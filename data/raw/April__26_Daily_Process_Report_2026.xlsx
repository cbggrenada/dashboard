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drawings/drawing1.xml" ContentType="application/vnd.openxmlformats-officedocument.drawing+xml"/>
  <Override PartName="/xl/comments2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Operations\Brewing\Reports Local\Daily Process Report\2026 Daily Process Report\"/>
    </mc:Choice>
  </mc:AlternateContent>
  <xr:revisionPtr revIDLastSave="0" documentId="13_ncr:1_{E731C386-FAFB-49D0-9F7F-CD4B5052AFE1}" xr6:coauthVersionLast="47" xr6:coauthVersionMax="47" xr10:uidLastSave="{00000000-0000-0000-0000-000000000000}"/>
  <bookViews>
    <workbookView xWindow="-120" yWindow="-120" windowWidth="29040" windowHeight="15720" tabRatio="599" firstSheet="10" activeTab="19" xr2:uid="{1120807F-7390-4E10-A66F-84111922E872}"/>
  </bookViews>
  <sheets>
    <sheet name="Dec 18th" sheetId="658" state="hidden" r:id="rId1"/>
    <sheet name="Apr 1st" sheetId="962" r:id="rId2"/>
    <sheet name="Apr 2nd" sheetId="963" r:id="rId3"/>
    <sheet name="Apr 7th" sheetId="964" r:id="rId4"/>
    <sheet name="Apr 8th" sheetId="965" r:id="rId5"/>
    <sheet name="Apr 9th " sheetId="966" r:id="rId6"/>
    <sheet name="Apr 10th" sheetId="967" r:id="rId7"/>
    <sheet name="Apr 13th" sheetId="968" r:id="rId8"/>
    <sheet name="Apr 14th" sheetId="969" r:id="rId9"/>
    <sheet name="Apr 15th" sheetId="970" r:id="rId10"/>
    <sheet name="Apr 16th " sheetId="971" r:id="rId11"/>
    <sheet name="Apr 20th " sheetId="972" r:id="rId12"/>
    <sheet name="Apr 21st" sheetId="973" r:id="rId13"/>
    <sheet name="Apr 22nd" sheetId="974" r:id="rId14"/>
    <sheet name="Apr 23rd" sheetId="975" r:id="rId15"/>
    <sheet name="Apr 24th-26th" sheetId="976" r:id="rId16"/>
    <sheet name="Apr 27th" sheetId="977" r:id="rId17"/>
    <sheet name="Apr 28th" sheetId="978" r:id="rId18"/>
    <sheet name="Apr 29th " sheetId="979" r:id="rId19"/>
    <sheet name="Apr 30th" sheetId="980" r:id="rId20"/>
    <sheet name="MTD_Links" sheetId="18" r:id="rId21"/>
    <sheet name="YTD_Links" sheetId="19" r:id="rId22"/>
    <sheet name="KPIs" sheetId="20" state="hidden" r:id="rId23"/>
    <sheet name="Brewer Performance" sheetId="21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</externalReferences>
  <definedNames>
    <definedName name="_xlnm.Print_Area" localSheetId="23">'Brewer Performance'!$B$2:$K$35</definedName>
    <definedName name="_xlnm.Print_Area" localSheetId="20">MTD_Links!$B$2:$K$65</definedName>
    <definedName name="_xlnm.Print_Area" localSheetId="21">YTD_Links!$B$2:$K$65</definedName>
    <definedName name="ProductList" localSheetId="23">[1]November15!$R$3:$R$9</definedName>
    <definedName name="ProductList">[2]November15!$R$3:$R$9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3" i="980" l="1"/>
  <c r="M33" i="980"/>
  <c r="L33" i="980"/>
  <c r="M34" i="980"/>
  <c r="L34" i="980"/>
  <c r="K34" i="980"/>
  <c r="R11" i="980"/>
  <c r="S11" i="980"/>
  <c r="T11" i="980"/>
  <c r="U11" i="980"/>
  <c r="V11" i="980"/>
  <c r="W11" i="980"/>
  <c r="X11" i="980"/>
  <c r="Y11" i="980"/>
  <c r="Z11" i="980"/>
  <c r="R12" i="980"/>
  <c r="S12" i="980"/>
  <c r="T12" i="980"/>
  <c r="U12" i="980"/>
  <c r="V12" i="980"/>
  <c r="W12" i="980"/>
  <c r="X12" i="980"/>
  <c r="Y12" i="980"/>
  <c r="Z12" i="980"/>
  <c r="R13" i="980"/>
  <c r="S13" i="980"/>
  <c r="T13" i="980"/>
  <c r="U13" i="980"/>
  <c r="V13" i="980"/>
  <c r="W13" i="980"/>
  <c r="X13" i="980"/>
  <c r="Y13" i="980"/>
  <c r="Z13" i="980"/>
  <c r="R14" i="980"/>
  <c r="S14" i="980"/>
  <c r="T14" i="980"/>
  <c r="U14" i="980"/>
  <c r="V14" i="980"/>
  <c r="W14" i="980"/>
  <c r="X14" i="980"/>
  <c r="Y14" i="980"/>
  <c r="Z14" i="980"/>
  <c r="R15" i="980"/>
  <c r="S15" i="980"/>
  <c r="T15" i="980"/>
  <c r="U15" i="980"/>
  <c r="V15" i="980"/>
  <c r="W15" i="980"/>
  <c r="X15" i="980"/>
  <c r="Y15" i="980"/>
  <c r="Z15" i="980"/>
  <c r="R16" i="980"/>
  <c r="S16" i="980"/>
  <c r="T16" i="980"/>
  <c r="U16" i="980"/>
  <c r="V16" i="980"/>
  <c r="W16" i="980"/>
  <c r="X16" i="980"/>
  <c r="Y16" i="980"/>
  <c r="Z16" i="980"/>
  <c r="R17" i="980"/>
  <c r="S17" i="980"/>
  <c r="T17" i="980"/>
  <c r="U17" i="980"/>
  <c r="V17" i="980"/>
  <c r="W17" i="980"/>
  <c r="X17" i="980"/>
  <c r="Y17" i="980"/>
  <c r="Z17" i="980"/>
  <c r="R18" i="980"/>
  <c r="S18" i="980"/>
  <c r="T18" i="980"/>
  <c r="U18" i="980"/>
  <c r="V18" i="980"/>
  <c r="W18" i="980"/>
  <c r="X18" i="980"/>
  <c r="Y18" i="980"/>
  <c r="Z18" i="980"/>
  <c r="R19" i="980"/>
  <c r="S19" i="980"/>
  <c r="T19" i="980"/>
  <c r="U19" i="980"/>
  <c r="V19" i="980"/>
  <c r="W19" i="980"/>
  <c r="X19" i="980"/>
  <c r="Y19" i="980"/>
  <c r="Z19" i="980"/>
  <c r="R20" i="980"/>
  <c r="S20" i="980"/>
  <c r="T20" i="980"/>
  <c r="U20" i="980"/>
  <c r="V20" i="980"/>
  <c r="W20" i="980"/>
  <c r="X20" i="980"/>
  <c r="Y20" i="980"/>
  <c r="Z20" i="980"/>
  <c r="R21" i="980"/>
  <c r="S21" i="980"/>
  <c r="T21" i="980"/>
  <c r="U21" i="980"/>
  <c r="V21" i="980"/>
  <c r="W21" i="980"/>
  <c r="X21" i="980"/>
  <c r="Y21" i="980"/>
  <c r="Z21" i="980"/>
  <c r="R22" i="980"/>
  <c r="S22" i="980"/>
  <c r="T22" i="980"/>
  <c r="U22" i="980"/>
  <c r="V22" i="980"/>
  <c r="W22" i="980"/>
  <c r="X22" i="980"/>
  <c r="Y22" i="980"/>
  <c r="Z22" i="980"/>
  <c r="R23" i="980"/>
  <c r="S23" i="980"/>
  <c r="T23" i="980"/>
  <c r="U23" i="980"/>
  <c r="V23" i="980"/>
  <c r="W23" i="980"/>
  <c r="X23" i="980"/>
  <c r="Y23" i="980"/>
  <c r="Z23" i="980"/>
  <c r="R24" i="980"/>
  <c r="S24" i="980"/>
  <c r="T24" i="980"/>
  <c r="U24" i="980"/>
  <c r="V24" i="980"/>
  <c r="W24" i="980"/>
  <c r="X24" i="980"/>
  <c r="Y24" i="980"/>
  <c r="Z24" i="980"/>
  <c r="R25" i="980"/>
  <c r="S25" i="980"/>
  <c r="T25" i="980"/>
  <c r="U25" i="980"/>
  <c r="V25" i="980"/>
  <c r="W25" i="980"/>
  <c r="X25" i="980"/>
  <c r="Y25" i="980"/>
  <c r="Z25" i="980"/>
  <c r="R26" i="980"/>
  <c r="S26" i="980"/>
  <c r="T26" i="980"/>
  <c r="U26" i="980"/>
  <c r="V26" i="980"/>
  <c r="W26" i="980"/>
  <c r="X26" i="980"/>
  <c r="Y26" i="980"/>
  <c r="Z26" i="980"/>
  <c r="R27" i="980"/>
  <c r="S27" i="980"/>
  <c r="T27" i="980"/>
  <c r="U27" i="980"/>
  <c r="V27" i="980"/>
  <c r="W27" i="980"/>
  <c r="X27" i="980"/>
  <c r="Y27" i="980"/>
  <c r="Z27" i="980"/>
  <c r="R28" i="980"/>
  <c r="S28" i="980"/>
  <c r="T28" i="980"/>
  <c r="U28" i="980"/>
  <c r="V28" i="980"/>
  <c r="W28" i="980"/>
  <c r="X28" i="980"/>
  <c r="Y28" i="980"/>
  <c r="Z28" i="980"/>
  <c r="R29" i="980"/>
  <c r="S29" i="980"/>
  <c r="T29" i="980"/>
  <c r="U29" i="980"/>
  <c r="V29" i="980"/>
  <c r="W29" i="980"/>
  <c r="X29" i="980"/>
  <c r="Y29" i="980"/>
  <c r="Z29" i="980"/>
  <c r="R30" i="980"/>
  <c r="S30" i="980"/>
  <c r="T30" i="980"/>
  <c r="U30" i="980"/>
  <c r="V30" i="980"/>
  <c r="W30" i="980"/>
  <c r="X30" i="980"/>
  <c r="Y30" i="980"/>
  <c r="Z30" i="980"/>
  <c r="I10" i="980"/>
  <c r="J10" i="980"/>
  <c r="L10" i="980"/>
  <c r="M10" i="980"/>
  <c r="N10" i="980"/>
  <c r="O10" i="980"/>
  <c r="I11" i="980"/>
  <c r="J11" i="980"/>
  <c r="L11" i="980"/>
  <c r="M11" i="980"/>
  <c r="N11" i="980"/>
  <c r="O11" i="980"/>
  <c r="I12" i="980"/>
  <c r="J12" i="980"/>
  <c r="L12" i="980"/>
  <c r="M12" i="980"/>
  <c r="N12" i="980"/>
  <c r="O12" i="980"/>
  <c r="I13" i="980"/>
  <c r="J13" i="980"/>
  <c r="L13" i="980"/>
  <c r="M13" i="980"/>
  <c r="N13" i="980"/>
  <c r="O13" i="980"/>
  <c r="I14" i="980"/>
  <c r="J14" i="980"/>
  <c r="L14" i="980"/>
  <c r="M14" i="980"/>
  <c r="N14" i="980"/>
  <c r="O14" i="980"/>
  <c r="I15" i="980"/>
  <c r="J15" i="980"/>
  <c r="L15" i="980"/>
  <c r="M15" i="980"/>
  <c r="N15" i="980"/>
  <c r="O15" i="980"/>
  <c r="C10" i="980"/>
  <c r="D10" i="980"/>
  <c r="E10" i="980"/>
  <c r="F10" i="980"/>
  <c r="G10" i="980"/>
  <c r="C11" i="980"/>
  <c r="D11" i="980"/>
  <c r="E11" i="980"/>
  <c r="F11" i="980"/>
  <c r="G11" i="980"/>
  <c r="C12" i="980"/>
  <c r="D12" i="980"/>
  <c r="E12" i="980"/>
  <c r="F12" i="980"/>
  <c r="G12" i="980"/>
  <c r="C13" i="980"/>
  <c r="D13" i="980"/>
  <c r="E13" i="980"/>
  <c r="F13" i="980"/>
  <c r="G13" i="980"/>
  <c r="C14" i="980"/>
  <c r="D14" i="980"/>
  <c r="E14" i="980"/>
  <c r="F14" i="980"/>
  <c r="G14" i="980"/>
  <c r="C15" i="980"/>
  <c r="D15" i="980"/>
  <c r="E15" i="980"/>
  <c r="F15" i="980"/>
  <c r="G15" i="980"/>
  <c r="F78" i="980"/>
  <c r="L64" i="980"/>
  <c r="AX62" i="980"/>
  <c r="AW62" i="980"/>
  <c r="AV62" i="980"/>
  <c r="AU62" i="980"/>
  <c r="AT62" i="980"/>
  <c r="AS62" i="980"/>
  <c r="AR62" i="980"/>
  <c r="AQ62" i="980"/>
  <c r="AP62" i="980"/>
  <c r="AO62" i="980"/>
  <c r="AN62" i="980"/>
  <c r="AM62" i="980"/>
  <c r="AL62" i="980"/>
  <c r="AK62" i="980"/>
  <c r="AJ62" i="980"/>
  <c r="AI62" i="980"/>
  <c r="AH62" i="980"/>
  <c r="AG62" i="980"/>
  <c r="AF62" i="980"/>
  <c r="AE62" i="980"/>
  <c r="AD62" i="980"/>
  <c r="AC62" i="980"/>
  <c r="AB62" i="980"/>
  <c r="AX61" i="980"/>
  <c r="AW61" i="980"/>
  <c r="AV61" i="980"/>
  <c r="AU61" i="980"/>
  <c r="AT61" i="980"/>
  <c r="AS61" i="980"/>
  <c r="AR61" i="980"/>
  <c r="AQ61" i="980"/>
  <c r="AP61" i="980"/>
  <c r="AO61" i="980"/>
  <c r="AN61" i="980"/>
  <c r="AM61" i="980"/>
  <c r="AL61" i="980"/>
  <c r="AK61" i="980"/>
  <c r="AJ61" i="980"/>
  <c r="AI61" i="980"/>
  <c r="AH61" i="980"/>
  <c r="AG61" i="980"/>
  <c r="AF61" i="980"/>
  <c r="AE61" i="980"/>
  <c r="AD61" i="980"/>
  <c r="AC61" i="980"/>
  <c r="AB61" i="980"/>
  <c r="AX60" i="980"/>
  <c r="AW60" i="980"/>
  <c r="AV60" i="980"/>
  <c r="AU60" i="980"/>
  <c r="AT60" i="980"/>
  <c r="AS60" i="980"/>
  <c r="AR60" i="980"/>
  <c r="AQ60" i="980"/>
  <c r="AP60" i="980"/>
  <c r="AO60" i="980"/>
  <c r="AN60" i="980"/>
  <c r="AM60" i="980"/>
  <c r="AL60" i="980"/>
  <c r="AK60" i="980"/>
  <c r="AJ60" i="980"/>
  <c r="AI60" i="980"/>
  <c r="AH60" i="980"/>
  <c r="AG60" i="980"/>
  <c r="AF60" i="980"/>
  <c r="AE60" i="980"/>
  <c r="AD60" i="980"/>
  <c r="AC60" i="980"/>
  <c r="AB60" i="980"/>
  <c r="K55" i="980"/>
  <c r="Z42" i="980"/>
  <c r="Y42" i="980"/>
  <c r="X42" i="980"/>
  <c r="W42" i="980"/>
  <c r="V42" i="980"/>
  <c r="U42" i="980"/>
  <c r="T42" i="980"/>
  <c r="S42" i="980"/>
  <c r="R42" i="980"/>
  <c r="Z41" i="980"/>
  <c r="Y41" i="980"/>
  <c r="X41" i="980"/>
  <c r="W41" i="980"/>
  <c r="V41" i="980"/>
  <c r="U41" i="980"/>
  <c r="T41" i="980"/>
  <c r="S41" i="980"/>
  <c r="R41" i="980"/>
  <c r="Z40" i="980"/>
  <c r="Y40" i="980"/>
  <c r="X40" i="980"/>
  <c r="W40" i="980"/>
  <c r="V40" i="980"/>
  <c r="U40" i="980"/>
  <c r="T40" i="980"/>
  <c r="S40" i="980"/>
  <c r="R40" i="980"/>
  <c r="Z39" i="980"/>
  <c r="Y39" i="980"/>
  <c r="X39" i="980"/>
  <c r="W39" i="980"/>
  <c r="V39" i="980"/>
  <c r="U39" i="980"/>
  <c r="T39" i="980"/>
  <c r="S39" i="980"/>
  <c r="R39" i="980"/>
  <c r="Z38" i="980"/>
  <c r="Y38" i="980"/>
  <c r="X38" i="980"/>
  <c r="W38" i="980"/>
  <c r="V38" i="980"/>
  <c r="U38" i="980"/>
  <c r="T38" i="980"/>
  <c r="S38" i="980"/>
  <c r="R38" i="980"/>
  <c r="Z37" i="980"/>
  <c r="Y37" i="980"/>
  <c r="X37" i="980"/>
  <c r="W37" i="980"/>
  <c r="V37" i="980"/>
  <c r="U37" i="980"/>
  <c r="T37" i="980"/>
  <c r="S37" i="980"/>
  <c r="R37" i="980"/>
  <c r="M37" i="980"/>
  <c r="L37" i="980"/>
  <c r="K37" i="980"/>
  <c r="Z36" i="980"/>
  <c r="Y36" i="980"/>
  <c r="X36" i="980"/>
  <c r="W36" i="980"/>
  <c r="V36" i="980"/>
  <c r="U36" i="980"/>
  <c r="T36" i="980"/>
  <c r="S36" i="980"/>
  <c r="R36" i="980"/>
  <c r="M36" i="980"/>
  <c r="Z35" i="980"/>
  <c r="Y35" i="980"/>
  <c r="X35" i="980"/>
  <c r="W35" i="980"/>
  <c r="V35" i="980"/>
  <c r="U35" i="980"/>
  <c r="T35" i="980"/>
  <c r="S35" i="980"/>
  <c r="R35" i="980"/>
  <c r="Z34" i="980"/>
  <c r="Y34" i="980"/>
  <c r="X34" i="980"/>
  <c r="W34" i="980"/>
  <c r="V34" i="980"/>
  <c r="U34" i="980"/>
  <c r="T34" i="980"/>
  <c r="S34" i="980"/>
  <c r="R34" i="980"/>
  <c r="Z33" i="980"/>
  <c r="Y33" i="980"/>
  <c r="X33" i="980"/>
  <c r="W33" i="980"/>
  <c r="V33" i="980"/>
  <c r="U33" i="980"/>
  <c r="T33" i="980"/>
  <c r="S33" i="980"/>
  <c r="R33" i="980"/>
  <c r="Z32" i="980"/>
  <c r="Y32" i="980"/>
  <c r="X32" i="980"/>
  <c r="W32" i="980"/>
  <c r="V32" i="980"/>
  <c r="U32" i="980"/>
  <c r="T32" i="980"/>
  <c r="S32" i="980"/>
  <c r="R32" i="980"/>
  <c r="M32" i="980"/>
  <c r="L32" i="980"/>
  <c r="K32" i="980"/>
  <c r="Z31" i="980"/>
  <c r="Y31" i="980"/>
  <c r="X31" i="980"/>
  <c r="W31" i="980"/>
  <c r="V31" i="980"/>
  <c r="U31" i="980"/>
  <c r="T31" i="980"/>
  <c r="S31" i="980"/>
  <c r="R31" i="980"/>
  <c r="M31" i="980"/>
  <c r="L31" i="980"/>
  <c r="K31" i="980"/>
  <c r="Z10" i="980"/>
  <c r="Y10" i="980"/>
  <c r="X10" i="980"/>
  <c r="W10" i="980"/>
  <c r="V10" i="980"/>
  <c r="U10" i="980"/>
  <c r="T10" i="980"/>
  <c r="S10" i="980"/>
  <c r="R10" i="980"/>
  <c r="G70" i="979"/>
  <c r="K56" i="979"/>
  <c r="K70" i="979" s="1"/>
  <c r="G56" i="979"/>
  <c r="D56" i="979"/>
  <c r="L56" i="979" s="1"/>
  <c r="C70" i="979" s="1"/>
  <c r="K48" i="975"/>
  <c r="K61" i="975" s="1"/>
  <c r="K53" i="978"/>
  <c r="K55" i="978"/>
  <c r="B56" i="979"/>
  <c r="M30" i="979"/>
  <c r="L30" i="979"/>
  <c r="K30" i="979"/>
  <c r="O17" i="979"/>
  <c r="N17" i="979"/>
  <c r="M17" i="979"/>
  <c r="L17" i="979"/>
  <c r="J17" i="979"/>
  <c r="I17" i="979"/>
  <c r="G17" i="979"/>
  <c r="F17" i="979"/>
  <c r="E17" i="979"/>
  <c r="D17" i="979"/>
  <c r="C17" i="979"/>
  <c r="R10" i="979"/>
  <c r="S10" i="979"/>
  <c r="T10" i="979"/>
  <c r="U10" i="979"/>
  <c r="V10" i="979"/>
  <c r="W10" i="979"/>
  <c r="X10" i="979"/>
  <c r="Y10" i="979"/>
  <c r="Z10" i="979"/>
  <c r="R11" i="979"/>
  <c r="S11" i="979"/>
  <c r="T11" i="979"/>
  <c r="U11" i="979"/>
  <c r="V11" i="979"/>
  <c r="W11" i="979"/>
  <c r="X11" i="979"/>
  <c r="Y11" i="979"/>
  <c r="Z11" i="979"/>
  <c r="R12" i="979"/>
  <c r="S12" i="979"/>
  <c r="T12" i="979"/>
  <c r="U12" i="979"/>
  <c r="V12" i="979"/>
  <c r="W12" i="979"/>
  <c r="X12" i="979"/>
  <c r="Y12" i="979"/>
  <c r="Z12" i="979"/>
  <c r="R13" i="979"/>
  <c r="S13" i="979"/>
  <c r="T13" i="979"/>
  <c r="U13" i="979"/>
  <c r="V13" i="979"/>
  <c r="W13" i="979"/>
  <c r="X13" i="979"/>
  <c r="Y13" i="979"/>
  <c r="Z13" i="979"/>
  <c r="R14" i="979"/>
  <c r="S14" i="979"/>
  <c r="T14" i="979"/>
  <c r="U14" i="979"/>
  <c r="V14" i="979"/>
  <c r="W14" i="979"/>
  <c r="X14" i="979"/>
  <c r="Y14" i="979"/>
  <c r="Z14" i="979"/>
  <c r="R15" i="979"/>
  <c r="S15" i="979"/>
  <c r="T15" i="979"/>
  <c r="U15" i="979"/>
  <c r="V15" i="979"/>
  <c r="W15" i="979"/>
  <c r="X15" i="979"/>
  <c r="Y15" i="979"/>
  <c r="Z15" i="979"/>
  <c r="R16" i="979"/>
  <c r="S16" i="979"/>
  <c r="T16" i="979"/>
  <c r="U16" i="979"/>
  <c r="V16" i="979"/>
  <c r="W16" i="979"/>
  <c r="X16" i="979"/>
  <c r="Y16" i="979"/>
  <c r="Z16" i="979"/>
  <c r="R17" i="979"/>
  <c r="S17" i="979"/>
  <c r="T17" i="979"/>
  <c r="U17" i="979"/>
  <c r="V17" i="979"/>
  <c r="W17" i="979"/>
  <c r="X17" i="979"/>
  <c r="Y17" i="979"/>
  <c r="Z17" i="979"/>
  <c r="R18" i="979"/>
  <c r="S18" i="979"/>
  <c r="T18" i="979"/>
  <c r="U18" i="979"/>
  <c r="V18" i="979"/>
  <c r="W18" i="979"/>
  <c r="X18" i="979"/>
  <c r="Y18" i="979"/>
  <c r="Z18" i="979"/>
  <c r="R19" i="979"/>
  <c r="S19" i="979"/>
  <c r="T19" i="979"/>
  <c r="U19" i="979"/>
  <c r="V19" i="979"/>
  <c r="W19" i="979"/>
  <c r="X19" i="979"/>
  <c r="Y19" i="979"/>
  <c r="Z19" i="979"/>
  <c r="R20" i="979"/>
  <c r="S20" i="979"/>
  <c r="T20" i="979"/>
  <c r="U20" i="979"/>
  <c r="V20" i="979"/>
  <c r="W20" i="979"/>
  <c r="X20" i="979"/>
  <c r="Y20" i="979"/>
  <c r="Z20" i="979"/>
  <c r="R21" i="979"/>
  <c r="S21" i="979"/>
  <c r="T21" i="979"/>
  <c r="U21" i="979"/>
  <c r="V21" i="979"/>
  <c r="W21" i="979"/>
  <c r="X21" i="979"/>
  <c r="Y21" i="979"/>
  <c r="Z21" i="979"/>
  <c r="I10" i="979"/>
  <c r="J10" i="979"/>
  <c r="K10" i="979"/>
  <c r="L10" i="979"/>
  <c r="M10" i="979"/>
  <c r="N10" i="979"/>
  <c r="O10" i="979"/>
  <c r="I11" i="979"/>
  <c r="J11" i="979"/>
  <c r="K11" i="979"/>
  <c r="L11" i="979"/>
  <c r="M11" i="979"/>
  <c r="N11" i="979"/>
  <c r="O11" i="979"/>
  <c r="I12" i="979"/>
  <c r="J12" i="979"/>
  <c r="K12" i="979"/>
  <c r="L12" i="979"/>
  <c r="M12" i="979"/>
  <c r="N12" i="979"/>
  <c r="O12" i="979"/>
  <c r="I13" i="979"/>
  <c r="J13" i="979"/>
  <c r="K13" i="979"/>
  <c r="L13" i="979"/>
  <c r="M13" i="979"/>
  <c r="N13" i="979"/>
  <c r="O13" i="979"/>
  <c r="I14" i="979"/>
  <c r="J14" i="979"/>
  <c r="K14" i="979"/>
  <c r="L14" i="979"/>
  <c r="M14" i="979"/>
  <c r="N14" i="979"/>
  <c r="O14" i="979"/>
  <c r="C10" i="979"/>
  <c r="D10" i="979"/>
  <c r="E10" i="979"/>
  <c r="F10" i="979"/>
  <c r="G10" i="979"/>
  <c r="C11" i="979"/>
  <c r="D11" i="979"/>
  <c r="E11" i="979"/>
  <c r="F11" i="979"/>
  <c r="G11" i="979"/>
  <c r="C12" i="979"/>
  <c r="D12" i="979"/>
  <c r="E12" i="979"/>
  <c r="F12" i="979"/>
  <c r="G12" i="979"/>
  <c r="C13" i="979"/>
  <c r="D13" i="979"/>
  <c r="E13" i="979"/>
  <c r="F13" i="979"/>
  <c r="G13" i="979"/>
  <c r="C14" i="979"/>
  <c r="D14" i="979"/>
  <c r="E14" i="979"/>
  <c r="F14" i="979"/>
  <c r="G14" i="979"/>
  <c r="F74" i="979"/>
  <c r="L60" i="979"/>
  <c r="AX58" i="979"/>
  <c r="AW58" i="979"/>
  <c r="AV58" i="979"/>
  <c r="AU58" i="979"/>
  <c r="AT58" i="979"/>
  <c r="AS58" i="979"/>
  <c r="AR58" i="979"/>
  <c r="AQ58" i="979"/>
  <c r="AP58" i="979"/>
  <c r="AO58" i="979"/>
  <c r="AN58" i="979"/>
  <c r="AM58" i="979"/>
  <c r="AL58" i="979"/>
  <c r="AK58" i="979"/>
  <c r="AJ58" i="979"/>
  <c r="AI58" i="979"/>
  <c r="AH58" i="979"/>
  <c r="AG58" i="979"/>
  <c r="AF58" i="979"/>
  <c r="AE58" i="979"/>
  <c r="AD58" i="979"/>
  <c r="AC58" i="979"/>
  <c r="AB58" i="979"/>
  <c r="AX57" i="979"/>
  <c r="AW57" i="979"/>
  <c r="AV57" i="979"/>
  <c r="AU57" i="979"/>
  <c r="AT57" i="979"/>
  <c r="AS57" i="979"/>
  <c r="AR57" i="979"/>
  <c r="AQ57" i="979"/>
  <c r="AP57" i="979"/>
  <c r="AO57" i="979"/>
  <c r="AN57" i="979"/>
  <c r="AM57" i="979"/>
  <c r="AL57" i="979"/>
  <c r="AK57" i="979"/>
  <c r="AJ57" i="979"/>
  <c r="AI57" i="979"/>
  <c r="AH57" i="979"/>
  <c r="AG57" i="979"/>
  <c r="AF57" i="979"/>
  <c r="AE57" i="979"/>
  <c r="AD57" i="979"/>
  <c r="AC57" i="979"/>
  <c r="AB57" i="979"/>
  <c r="AX56" i="979"/>
  <c r="AW56" i="979"/>
  <c r="AV56" i="979"/>
  <c r="AU56" i="979"/>
  <c r="AT56" i="979"/>
  <c r="AS56" i="979"/>
  <c r="AR56" i="979"/>
  <c r="AQ56" i="979"/>
  <c r="AP56" i="979"/>
  <c r="AO56" i="979"/>
  <c r="AN56" i="979"/>
  <c r="AM56" i="979"/>
  <c r="AL56" i="979"/>
  <c r="AK56" i="979"/>
  <c r="AJ56" i="979"/>
  <c r="AI56" i="979"/>
  <c r="AH56" i="979"/>
  <c r="AG56" i="979"/>
  <c r="AF56" i="979"/>
  <c r="AE56" i="979"/>
  <c r="AD56" i="979"/>
  <c r="AC56" i="979"/>
  <c r="AB56" i="979"/>
  <c r="K51" i="979"/>
  <c r="Z38" i="979"/>
  <c r="Y38" i="979"/>
  <c r="X38" i="979"/>
  <c r="W38" i="979"/>
  <c r="V38" i="979"/>
  <c r="U38" i="979"/>
  <c r="T38" i="979"/>
  <c r="S38" i="979"/>
  <c r="R38" i="979"/>
  <c r="Z37" i="979"/>
  <c r="Y37" i="979"/>
  <c r="X37" i="979"/>
  <c r="W37" i="979"/>
  <c r="V37" i="979"/>
  <c r="U37" i="979"/>
  <c r="T37" i="979"/>
  <c r="S37" i="979"/>
  <c r="R37" i="979"/>
  <c r="Z36" i="979"/>
  <c r="Y36" i="979"/>
  <c r="X36" i="979"/>
  <c r="W36" i="979"/>
  <c r="V36" i="979"/>
  <c r="U36" i="979"/>
  <c r="T36" i="979"/>
  <c r="S36" i="979"/>
  <c r="R36" i="979"/>
  <c r="Z35" i="979"/>
  <c r="Y35" i="979"/>
  <c r="X35" i="979"/>
  <c r="W35" i="979"/>
  <c r="V35" i="979"/>
  <c r="U35" i="979"/>
  <c r="T35" i="979"/>
  <c r="S35" i="979"/>
  <c r="R35" i="979"/>
  <c r="Z34" i="979"/>
  <c r="Y34" i="979"/>
  <c r="X34" i="979"/>
  <c r="W34" i="979"/>
  <c r="V34" i="979"/>
  <c r="U34" i="979"/>
  <c r="T34" i="979"/>
  <c r="S34" i="979"/>
  <c r="R34" i="979"/>
  <c r="Z33" i="979"/>
  <c r="Y33" i="979"/>
  <c r="X33" i="979"/>
  <c r="W33" i="979"/>
  <c r="V33" i="979"/>
  <c r="U33" i="979"/>
  <c r="T33" i="979"/>
  <c r="S33" i="979"/>
  <c r="R33" i="979"/>
  <c r="M33" i="979"/>
  <c r="L33" i="979"/>
  <c r="K33" i="979"/>
  <c r="Z32" i="979"/>
  <c r="Y32" i="979"/>
  <c r="X32" i="979"/>
  <c r="W32" i="979"/>
  <c r="V32" i="979"/>
  <c r="U32" i="979"/>
  <c r="T32" i="979"/>
  <c r="S32" i="979"/>
  <c r="R32" i="979"/>
  <c r="M32" i="979"/>
  <c r="Z31" i="979"/>
  <c r="Y31" i="979"/>
  <c r="X31" i="979"/>
  <c r="W31" i="979"/>
  <c r="V31" i="979"/>
  <c r="U31" i="979"/>
  <c r="T31" i="979"/>
  <c r="S31" i="979"/>
  <c r="R31" i="979"/>
  <c r="Z30" i="979"/>
  <c r="Y30" i="979"/>
  <c r="X30" i="979"/>
  <c r="W30" i="979"/>
  <c r="V30" i="979"/>
  <c r="U30" i="979"/>
  <c r="T30" i="979"/>
  <c r="S30" i="979"/>
  <c r="R30" i="979"/>
  <c r="Z29" i="979"/>
  <c r="Y29" i="979"/>
  <c r="X29" i="979"/>
  <c r="W29" i="979"/>
  <c r="V29" i="979"/>
  <c r="U29" i="979"/>
  <c r="T29" i="979"/>
  <c r="S29" i="979"/>
  <c r="R29" i="979"/>
  <c r="M29" i="979"/>
  <c r="L29" i="979"/>
  <c r="K29" i="979"/>
  <c r="Z28" i="979"/>
  <c r="Y28" i="979"/>
  <c r="X28" i="979"/>
  <c r="W28" i="979"/>
  <c r="V28" i="979"/>
  <c r="U28" i="979"/>
  <c r="T28" i="979"/>
  <c r="S28" i="979"/>
  <c r="R28" i="979"/>
  <c r="M28" i="979"/>
  <c r="L28" i="979"/>
  <c r="K28" i="979"/>
  <c r="Z27" i="979"/>
  <c r="Y27" i="979"/>
  <c r="X27" i="979"/>
  <c r="W27" i="979"/>
  <c r="V27" i="979"/>
  <c r="U27" i="979"/>
  <c r="T27" i="979"/>
  <c r="S27" i="979"/>
  <c r="R27" i="979"/>
  <c r="M27" i="979"/>
  <c r="L27" i="979"/>
  <c r="K27" i="979"/>
  <c r="Z26" i="979"/>
  <c r="Y26" i="979"/>
  <c r="X26" i="979"/>
  <c r="W26" i="979"/>
  <c r="V26" i="979"/>
  <c r="U26" i="979"/>
  <c r="T26" i="979"/>
  <c r="S26" i="979"/>
  <c r="R26" i="979"/>
  <c r="Z25" i="979"/>
  <c r="Y25" i="979"/>
  <c r="X25" i="979"/>
  <c r="W25" i="979"/>
  <c r="V25" i="979"/>
  <c r="U25" i="979"/>
  <c r="T25" i="979"/>
  <c r="S25" i="979"/>
  <c r="R25" i="979"/>
  <c r="Z24" i="979"/>
  <c r="Y24" i="979"/>
  <c r="X24" i="979"/>
  <c r="W24" i="979"/>
  <c r="V24" i="979"/>
  <c r="U24" i="979"/>
  <c r="T24" i="979"/>
  <c r="S24" i="979"/>
  <c r="R24" i="979"/>
  <c r="Z23" i="979"/>
  <c r="Y23" i="979"/>
  <c r="X23" i="979"/>
  <c r="W23" i="979"/>
  <c r="V23" i="979"/>
  <c r="U23" i="979"/>
  <c r="T23" i="979"/>
  <c r="S23" i="979"/>
  <c r="R23" i="979"/>
  <c r="Z22" i="979"/>
  <c r="Y22" i="979"/>
  <c r="X22" i="979"/>
  <c r="W22" i="979"/>
  <c r="V22" i="979"/>
  <c r="U22" i="979"/>
  <c r="T22" i="979"/>
  <c r="S22" i="979"/>
  <c r="R22" i="979"/>
  <c r="G55" i="978"/>
  <c r="G53" i="978"/>
  <c r="B55" i="978"/>
  <c r="B53" i="978"/>
  <c r="M24" i="978"/>
  <c r="L24" i="978"/>
  <c r="K24" i="978"/>
  <c r="M26" i="978"/>
  <c r="L26" i="978"/>
  <c r="K26" i="978"/>
  <c r="I14" i="978"/>
  <c r="J14" i="978"/>
  <c r="K14" i="978"/>
  <c r="L14" i="978"/>
  <c r="M14" i="978"/>
  <c r="N14" i="978"/>
  <c r="O14" i="978"/>
  <c r="K15" i="978"/>
  <c r="L15" i="978"/>
  <c r="M15" i="978"/>
  <c r="N15" i="978"/>
  <c r="O15" i="978"/>
  <c r="K16" i="978"/>
  <c r="L16" i="978"/>
  <c r="M16" i="978"/>
  <c r="N16" i="978"/>
  <c r="O16" i="978"/>
  <c r="K17" i="978"/>
  <c r="L17" i="978"/>
  <c r="M17" i="978"/>
  <c r="N17" i="978"/>
  <c r="O17" i="978"/>
  <c r="K18" i="978"/>
  <c r="L18" i="978"/>
  <c r="M18" i="978"/>
  <c r="N18" i="978"/>
  <c r="O18" i="978"/>
  <c r="C18" i="978"/>
  <c r="D18" i="978"/>
  <c r="E18" i="978"/>
  <c r="F18" i="978"/>
  <c r="G18" i="978"/>
  <c r="C14" i="978"/>
  <c r="D14" i="978"/>
  <c r="E14" i="978"/>
  <c r="F14" i="978"/>
  <c r="G14" i="978"/>
  <c r="C15" i="978"/>
  <c r="D15" i="978"/>
  <c r="E15" i="978"/>
  <c r="F15" i="978"/>
  <c r="G15" i="978"/>
  <c r="C16" i="978"/>
  <c r="D16" i="978"/>
  <c r="E16" i="978"/>
  <c r="F16" i="978"/>
  <c r="G16" i="978"/>
  <c r="C17" i="978"/>
  <c r="D17" i="978"/>
  <c r="E17" i="978"/>
  <c r="F17" i="978"/>
  <c r="G17" i="978"/>
  <c r="R12" i="978"/>
  <c r="S12" i="978"/>
  <c r="T12" i="978"/>
  <c r="U12" i="978"/>
  <c r="V12" i="978"/>
  <c r="W12" i="978"/>
  <c r="X12" i="978"/>
  <c r="Y12" i="978"/>
  <c r="Z12" i="978"/>
  <c r="R13" i="978"/>
  <c r="S13" i="978"/>
  <c r="T13" i="978"/>
  <c r="U13" i="978"/>
  <c r="V13" i="978"/>
  <c r="W13" i="978"/>
  <c r="X13" i="978"/>
  <c r="Y13" i="978"/>
  <c r="Z13" i="978"/>
  <c r="R14" i="978"/>
  <c r="S14" i="978"/>
  <c r="T14" i="978"/>
  <c r="U14" i="978"/>
  <c r="V14" i="978"/>
  <c r="W14" i="978"/>
  <c r="X14" i="978"/>
  <c r="Y14" i="978"/>
  <c r="Z14" i="978"/>
  <c r="R15" i="978"/>
  <c r="S15" i="978"/>
  <c r="T15" i="978"/>
  <c r="U15" i="978"/>
  <c r="V15" i="978"/>
  <c r="W15" i="978"/>
  <c r="X15" i="978"/>
  <c r="Y15" i="978"/>
  <c r="Z15" i="978"/>
  <c r="R16" i="978"/>
  <c r="S16" i="978"/>
  <c r="T16" i="978"/>
  <c r="U16" i="978"/>
  <c r="V16" i="978"/>
  <c r="W16" i="978"/>
  <c r="X16" i="978"/>
  <c r="Y16" i="978"/>
  <c r="Z16" i="978"/>
  <c r="R17" i="978"/>
  <c r="S17" i="978"/>
  <c r="T17" i="978"/>
  <c r="U17" i="978"/>
  <c r="V17" i="978"/>
  <c r="W17" i="978"/>
  <c r="X17" i="978"/>
  <c r="Y17" i="978"/>
  <c r="Z17" i="978"/>
  <c r="R18" i="978"/>
  <c r="S18" i="978"/>
  <c r="T18" i="978"/>
  <c r="U18" i="978"/>
  <c r="V18" i="978"/>
  <c r="W18" i="978"/>
  <c r="X18" i="978"/>
  <c r="Y18" i="978"/>
  <c r="Z18" i="978"/>
  <c r="R19" i="978"/>
  <c r="S19" i="978"/>
  <c r="T19" i="978"/>
  <c r="U19" i="978"/>
  <c r="V19" i="978"/>
  <c r="W19" i="978"/>
  <c r="X19" i="978"/>
  <c r="Y19" i="978"/>
  <c r="Z19" i="978"/>
  <c r="J10" i="978"/>
  <c r="L10" i="978"/>
  <c r="M10" i="978"/>
  <c r="N10" i="978"/>
  <c r="O10" i="978"/>
  <c r="J11" i="978"/>
  <c r="L11" i="978"/>
  <c r="M11" i="978"/>
  <c r="N11" i="978"/>
  <c r="O11" i="978"/>
  <c r="J12" i="978"/>
  <c r="L12" i="978"/>
  <c r="M12" i="978"/>
  <c r="N12" i="978"/>
  <c r="O12" i="978"/>
  <c r="C10" i="978"/>
  <c r="D10" i="978"/>
  <c r="E10" i="978"/>
  <c r="F10" i="978"/>
  <c r="G10" i="978"/>
  <c r="C11" i="978"/>
  <c r="D11" i="978"/>
  <c r="E11" i="978"/>
  <c r="F11" i="978"/>
  <c r="G11" i="978"/>
  <c r="C12" i="978"/>
  <c r="D12" i="978"/>
  <c r="E12" i="978"/>
  <c r="F12" i="978"/>
  <c r="G12" i="978"/>
  <c r="F71" i="978"/>
  <c r="L57" i="978"/>
  <c r="AX55" i="978"/>
  <c r="AW55" i="978"/>
  <c r="AV55" i="978"/>
  <c r="AU55" i="978"/>
  <c r="AT55" i="978"/>
  <c r="AS55" i="978"/>
  <c r="AR55" i="978"/>
  <c r="AQ55" i="978"/>
  <c r="AP55" i="978"/>
  <c r="AO55" i="978"/>
  <c r="AN55" i="978"/>
  <c r="AM55" i="978"/>
  <c r="AL55" i="978"/>
  <c r="AK55" i="978"/>
  <c r="AJ55" i="978"/>
  <c r="AI55" i="978"/>
  <c r="AH55" i="978"/>
  <c r="AG55" i="978"/>
  <c r="AF55" i="978"/>
  <c r="AE55" i="978"/>
  <c r="AD55" i="978"/>
  <c r="AC55" i="978"/>
  <c r="AB55" i="978"/>
  <c r="AX54" i="978"/>
  <c r="AW54" i="978"/>
  <c r="AV54" i="978"/>
  <c r="AU54" i="978"/>
  <c r="AT54" i="978"/>
  <c r="AS54" i="978"/>
  <c r="AR54" i="978"/>
  <c r="AQ54" i="978"/>
  <c r="AP54" i="978"/>
  <c r="AO54" i="978"/>
  <c r="AN54" i="978"/>
  <c r="AM54" i="978"/>
  <c r="AL54" i="978"/>
  <c r="AK54" i="978"/>
  <c r="AJ54" i="978"/>
  <c r="AI54" i="978"/>
  <c r="AH54" i="978"/>
  <c r="AG54" i="978"/>
  <c r="AF54" i="978"/>
  <c r="AE54" i="978"/>
  <c r="AD54" i="978"/>
  <c r="AC54" i="978"/>
  <c r="AB54" i="978"/>
  <c r="AX53" i="978"/>
  <c r="AW53" i="978"/>
  <c r="AV53" i="978"/>
  <c r="AU53" i="978"/>
  <c r="AT53" i="978"/>
  <c r="AS53" i="978"/>
  <c r="AR53" i="978"/>
  <c r="AQ53" i="978"/>
  <c r="AP53" i="978"/>
  <c r="AO53" i="978"/>
  <c r="AN53" i="978"/>
  <c r="AM53" i="978"/>
  <c r="AL53" i="978"/>
  <c r="AK53" i="978"/>
  <c r="AJ53" i="978"/>
  <c r="AI53" i="978"/>
  <c r="AH53" i="978"/>
  <c r="AG53" i="978"/>
  <c r="AF53" i="978"/>
  <c r="AE53" i="978"/>
  <c r="AD53" i="978"/>
  <c r="AC53" i="978"/>
  <c r="AB53" i="978"/>
  <c r="K48" i="978"/>
  <c r="Z35" i="978"/>
  <c r="Y35" i="978"/>
  <c r="X35" i="978"/>
  <c r="W35" i="978"/>
  <c r="V35" i="978"/>
  <c r="U35" i="978"/>
  <c r="T35" i="978"/>
  <c r="S35" i="978"/>
  <c r="R35" i="978"/>
  <c r="Z34" i="978"/>
  <c r="Y34" i="978"/>
  <c r="X34" i="978"/>
  <c r="W34" i="978"/>
  <c r="V34" i="978"/>
  <c r="U34" i="978"/>
  <c r="T34" i="978"/>
  <c r="S34" i="978"/>
  <c r="R34" i="978"/>
  <c r="Z33" i="978"/>
  <c r="Y33" i="978"/>
  <c r="X33" i="978"/>
  <c r="W33" i="978"/>
  <c r="V33" i="978"/>
  <c r="U33" i="978"/>
  <c r="T33" i="978"/>
  <c r="S33" i="978"/>
  <c r="R33" i="978"/>
  <c r="Z32" i="978"/>
  <c r="Y32" i="978"/>
  <c r="X32" i="978"/>
  <c r="W32" i="978"/>
  <c r="V32" i="978"/>
  <c r="U32" i="978"/>
  <c r="T32" i="978"/>
  <c r="S32" i="978"/>
  <c r="R32" i="978"/>
  <c r="Z31" i="978"/>
  <c r="Y31" i="978"/>
  <c r="X31" i="978"/>
  <c r="W31" i="978"/>
  <c r="V31" i="978"/>
  <c r="U31" i="978"/>
  <c r="T31" i="978"/>
  <c r="S31" i="978"/>
  <c r="R31" i="978"/>
  <c r="Z30" i="978"/>
  <c r="Y30" i="978"/>
  <c r="X30" i="978"/>
  <c r="W30" i="978"/>
  <c r="V30" i="978"/>
  <c r="U30" i="978"/>
  <c r="T30" i="978"/>
  <c r="S30" i="978"/>
  <c r="R30" i="978"/>
  <c r="M30" i="978"/>
  <c r="L30" i="978"/>
  <c r="K30" i="978"/>
  <c r="Z29" i="978"/>
  <c r="Y29" i="978"/>
  <c r="X29" i="978"/>
  <c r="W29" i="978"/>
  <c r="V29" i="978"/>
  <c r="U29" i="978"/>
  <c r="T29" i="978"/>
  <c r="S29" i="978"/>
  <c r="R29" i="978"/>
  <c r="M29" i="978"/>
  <c r="Z28" i="978"/>
  <c r="Y28" i="978"/>
  <c r="X28" i="978"/>
  <c r="W28" i="978"/>
  <c r="V28" i="978"/>
  <c r="U28" i="978"/>
  <c r="T28" i="978"/>
  <c r="S28" i="978"/>
  <c r="R28" i="978"/>
  <c r="Z27" i="978"/>
  <c r="Y27" i="978"/>
  <c r="X27" i="978"/>
  <c r="W27" i="978"/>
  <c r="V27" i="978"/>
  <c r="U27" i="978"/>
  <c r="T27" i="978"/>
  <c r="S27" i="978"/>
  <c r="R27" i="978"/>
  <c r="M27" i="978"/>
  <c r="Z26" i="978"/>
  <c r="Y26" i="978"/>
  <c r="X26" i="978"/>
  <c r="W26" i="978"/>
  <c r="V26" i="978"/>
  <c r="U26" i="978"/>
  <c r="T26" i="978"/>
  <c r="S26" i="978"/>
  <c r="R26" i="978"/>
  <c r="Z25" i="978"/>
  <c r="Y25" i="978"/>
  <c r="X25" i="978"/>
  <c r="W25" i="978"/>
  <c r="V25" i="978"/>
  <c r="U25" i="978"/>
  <c r="T25" i="978"/>
  <c r="S25" i="978"/>
  <c r="R25" i="978"/>
  <c r="M25" i="978"/>
  <c r="L25" i="978"/>
  <c r="K25" i="978"/>
  <c r="Z24" i="978"/>
  <c r="Y24" i="978"/>
  <c r="X24" i="978"/>
  <c r="W24" i="978"/>
  <c r="V24" i="978"/>
  <c r="U24" i="978"/>
  <c r="T24" i="978"/>
  <c r="S24" i="978"/>
  <c r="R24" i="978"/>
  <c r="Z23" i="978"/>
  <c r="Y23" i="978"/>
  <c r="X23" i="978"/>
  <c r="W23" i="978"/>
  <c r="V23" i="978"/>
  <c r="U23" i="978"/>
  <c r="T23" i="978"/>
  <c r="S23" i="978"/>
  <c r="R23" i="978"/>
  <c r="Z22" i="978"/>
  <c r="Y22" i="978"/>
  <c r="X22" i="978"/>
  <c r="W22" i="978"/>
  <c r="V22" i="978"/>
  <c r="U22" i="978"/>
  <c r="T22" i="978"/>
  <c r="S22" i="978"/>
  <c r="R22" i="978"/>
  <c r="Z21" i="978"/>
  <c r="Y21" i="978"/>
  <c r="X21" i="978"/>
  <c r="W21" i="978"/>
  <c r="V21" i="978"/>
  <c r="U21" i="978"/>
  <c r="T21" i="978"/>
  <c r="S21" i="978"/>
  <c r="R21" i="978"/>
  <c r="Z20" i="978"/>
  <c r="Y20" i="978"/>
  <c r="X20" i="978"/>
  <c r="W20" i="978"/>
  <c r="V20" i="978"/>
  <c r="U20" i="978"/>
  <c r="T20" i="978"/>
  <c r="S20" i="978"/>
  <c r="R20" i="978"/>
  <c r="Z11" i="978"/>
  <c r="Y11" i="978"/>
  <c r="X11" i="978"/>
  <c r="W11" i="978"/>
  <c r="V11" i="978"/>
  <c r="U11" i="978"/>
  <c r="T11" i="978"/>
  <c r="S11" i="978"/>
  <c r="R11" i="978"/>
  <c r="Z10" i="978"/>
  <c r="Y10" i="978"/>
  <c r="X10" i="978"/>
  <c r="W10" i="978"/>
  <c r="V10" i="978"/>
  <c r="U10" i="978"/>
  <c r="T10" i="978"/>
  <c r="S10" i="978"/>
  <c r="R10" i="978"/>
  <c r="M29" i="977"/>
  <c r="L29" i="977"/>
  <c r="K29" i="977"/>
  <c r="I10" i="977"/>
  <c r="J10" i="977"/>
  <c r="L10" i="977"/>
  <c r="M10" i="977"/>
  <c r="N10" i="977"/>
  <c r="O10" i="977"/>
  <c r="I11" i="977"/>
  <c r="J11" i="977"/>
  <c r="L11" i="977"/>
  <c r="M11" i="977"/>
  <c r="N11" i="977"/>
  <c r="O11" i="977"/>
  <c r="I12" i="977"/>
  <c r="J12" i="977"/>
  <c r="L12" i="977"/>
  <c r="M12" i="977"/>
  <c r="N12" i="977"/>
  <c r="O12" i="977"/>
  <c r="I13" i="977"/>
  <c r="J13" i="977"/>
  <c r="L13" i="977"/>
  <c r="M13" i="977"/>
  <c r="N13" i="977"/>
  <c r="O13" i="977"/>
  <c r="I14" i="977"/>
  <c r="J14" i="977"/>
  <c r="L14" i="977"/>
  <c r="M14" i="977"/>
  <c r="N14" i="977"/>
  <c r="O14" i="977"/>
  <c r="I15" i="977"/>
  <c r="J15" i="977"/>
  <c r="L15" i="977"/>
  <c r="M15" i="977"/>
  <c r="N15" i="977"/>
  <c r="O15" i="977"/>
  <c r="I16" i="977"/>
  <c r="J16" i="977"/>
  <c r="L16" i="977"/>
  <c r="M16" i="977"/>
  <c r="N16" i="977"/>
  <c r="O16" i="977"/>
  <c r="I17" i="977"/>
  <c r="J17" i="977"/>
  <c r="L17" i="977"/>
  <c r="M17" i="977"/>
  <c r="N17" i="977"/>
  <c r="O17" i="977"/>
  <c r="I18" i="977"/>
  <c r="J18" i="977"/>
  <c r="L18" i="977"/>
  <c r="M18" i="977"/>
  <c r="N18" i="977"/>
  <c r="O18" i="977"/>
  <c r="C10" i="977"/>
  <c r="D10" i="977"/>
  <c r="E10" i="977"/>
  <c r="F10" i="977"/>
  <c r="G10" i="977"/>
  <c r="C11" i="977"/>
  <c r="D11" i="977"/>
  <c r="E11" i="977"/>
  <c r="F11" i="977"/>
  <c r="G11" i="977"/>
  <c r="C12" i="977"/>
  <c r="D12" i="977"/>
  <c r="E12" i="977"/>
  <c r="F12" i="977"/>
  <c r="G12" i="977"/>
  <c r="C13" i="977"/>
  <c r="D13" i="977"/>
  <c r="E13" i="977"/>
  <c r="F13" i="977"/>
  <c r="G13" i="977"/>
  <c r="C14" i="977"/>
  <c r="D14" i="977"/>
  <c r="E14" i="977"/>
  <c r="F14" i="977"/>
  <c r="G14" i="977"/>
  <c r="C15" i="977"/>
  <c r="D15" i="977"/>
  <c r="E15" i="977"/>
  <c r="F15" i="977"/>
  <c r="G15" i="977"/>
  <c r="C16" i="977"/>
  <c r="D16" i="977"/>
  <c r="E16" i="977"/>
  <c r="F16" i="977"/>
  <c r="G16" i="977"/>
  <c r="C17" i="977"/>
  <c r="D17" i="977"/>
  <c r="E17" i="977"/>
  <c r="F17" i="977"/>
  <c r="G17" i="977"/>
  <c r="C18" i="977"/>
  <c r="D18" i="977"/>
  <c r="E18" i="977"/>
  <c r="F18" i="977"/>
  <c r="G18" i="977"/>
  <c r="F76" i="977"/>
  <c r="L62" i="977"/>
  <c r="AX60" i="977"/>
  <c r="AW60" i="977"/>
  <c r="AV60" i="977"/>
  <c r="AU60" i="977"/>
  <c r="AT60" i="977"/>
  <c r="AS60" i="977"/>
  <c r="AR60" i="977"/>
  <c r="AQ60" i="977"/>
  <c r="AP60" i="977"/>
  <c r="AO60" i="977"/>
  <c r="AN60" i="977"/>
  <c r="AM60" i="977"/>
  <c r="AL60" i="977"/>
  <c r="AK60" i="977"/>
  <c r="AJ60" i="977"/>
  <c r="AI60" i="977"/>
  <c r="AH60" i="977"/>
  <c r="AG60" i="977"/>
  <c r="AF60" i="977"/>
  <c r="AE60" i="977"/>
  <c r="AD60" i="977"/>
  <c r="AC60" i="977"/>
  <c r="AB60" i="977"/>
  <c r="AX59" i="977"/>
  <c r="AW59" i="977"/>
  <c r="AV59" i="977"/>
  <c r="AU59" i="977"/>
  <c r="AT59" i="977"/>
  <c r="AS59" i="977"/>
  <c r="AR59" i="977"/>
  <c r="AQ59" i="977"/>
  <c r="AP59" i="977"/>
  <c r="AO59" i="977"/>
  <c r="AN59" i="977"/>
  <c r="AM59" i="977"/>
  <c r="AL59" i="977"/>
  <c r="AK59" i="977"/>
  <c r="AJ59" i="977"/>
  <c r="AI59" i="977"/>
  <c r="AH59" i="977"/>
  <c r="AG59" i="977"/>
  <c r="AF59" i="977"/>
  <c r="AE59" i="977"/>
  <c r="AD59" i="977"/>
  <c r="AC59" i="977"/>
  <c r="AB59" i="977"/>
  <c r="AX58" i="977"/>
  <c r="AW58" i="977"/>
  <c r="AV58" i="977"/>
  <c r="AU58" i="977"/>
  <c r="AT58" i="977"/>
  <c r="AS58" i="977"/>
  <c r="AR58" i="977"/>
  <c r="AQ58" i="977"/>
  <c r="AP58" i="977"/>
  <c r="AO58" i="977"/>
  <c r="AN58" i="977"/>
  <c r="AM58" i="977"/>
  <c r="AL58" i="977"/>
  <c r="AK58" i="977"/>
  <c r="AJ58" i="977"/>
  <c r="AI58" i="977"/>
  <c r="AH58" i="977"/>
  <c r="AG58" i="977"/>
  <c r="AF58" i="977"/>
  <c r="AE58" i="977"/>
  <c r="AD58" i="977"/>
  <c r="AC58" i="977"/>
  <c r="AB58" i="977"/>
  <c r="K53" i="977"/>
  <c r="Z40" i="977"/>
  <c r="Y40" i="977"/>
  <c r="X40" i="977"/>
  <c r="W40" i="977"/>
  <c r="V40" i="977"/>
  <c r="U40" i="977"/>
  <c r="T40" i="977"/>
  <c r="S40" i="977"/>
  <c r="R40" i="977"/>
  <c r="Z39" i="977"/>
  <c r="Y39" i="977"/>
  <c r="X39" i="977"/>
  <c r="W39" i="977"/>
  <c r="V39" i="977"/>
  <c r="U39" i="977"/>
  <c r="T39" i="977"/>
  <c r="S39" i="977"/>
  <c r="R39" i="977"/>
  <c r="Z38" i="977"/>
  <c r="Y38" i="977"/>
  <c r="X38" i="977"/>
  <c r="W38" i="977"/>
  <c r="V38" i="977"/>
  <c r="U38" i="977"/>
  <c r="T38" i="977"/>
  <c r="S38" i="977"/>
  <c r="R38" i="977"/>
  <c r="Z37" i="977"/>
  <c r="Y37" i="977"/>
  <c r="X37" i="977"/>
  <c r="W37" i="977"/>
  <c r="V37" i="977"/>
  <c r="U37" i="977"/>
  <c r="T37" i="977"/>
  <c r="S37" i="977"/>
  <c r="R37" i="977"/>
  <c r="Z36" i="977"/>
  <c r="Y36" i="977"/>
  <c r="X36" i="977"/>
  <c r="W36" i="977"/>
  <c r="V36" i="977"/>
  <c r="U36" i="977"/>
  <c r="T36" i="977"/>
  <c r="S36" i="977"/>
  <c r="R36" i="977"/>
  <c r="Z35" i="977"/>
  <c r="Y35" i="977"/>
  <c r="X35" i="977"/>
  <c r="W35" i="977"/>
  <c r="V35" i="977"/>
  <c r="U35" i="977"/>
  <c r="T35" i="977"/>
  <c r="S35" i="977"/>
  <c r="R35" i="977"/>
  <c r="M35" i="977"/>
  <c r="L35" i="977"/>
  <c r="K35" i="977"/>
  <c r="Z34" i="977"/>
  <c r="Y34" i="977"/>
  <c r="X34" i="977"/>
  <c r="W34" i="977"/>
  <c r="V34" i="977"/>
  <c r="U34" i="977"/>
  <c r="T34" i="977"/>
  <c r="S34" i="977"/>
  <c r="R34" i="977"/>
  <c r="M34" i="977"/>
  <c r="Z33" i="977"/>
  <c r="Y33" i="977"/>
  <c r="X33" i="977"/>
  <c r="W33" i="977"/>
  <c r="V33" i="977"/>
  <c r="U33" i="977"/>
  <c r="T33" i="977"/>
  <c r="S33" i="977"/>
  <c r="R33" i="977"/>
  <c r="Z32" i="977"/>
  <c r="Y32" i="977"/>
  <c r="X32" i="977"/>
  <c r="W32" i="977"/>
  <c r="V32" i="977"/>
  <c r="U32" i="977"/>
  <c r="T32" i="977"/>
  <c r="S32" i="977"/>
  <c r="R32" i="977"/>
  <c r="M32" i="977"/>
  <c r="Z31" i="977"/>
  <c r="Y31" i="977"/>
  <c r="X31" i="977"/>
  <c r="W31" i="977"/>
  <c r="V31" i="977"/>
  <c r="U31" i="977"/>
  <c r="T31" i="977"/>
  <c r="S31" i="977"/>
  <c r="R31" i="977"/>
  <c r="M31" i="977"/>
  <c r="L31" i="977"/>
  <c r="K31" i="977"/>
  <c r="Z30" i="977"/>
  <c r="Y30" i="977"/>
  <c r="X30" i="977"/>
  <c r="W30" i="977"/>
  <c r="V30" i="977"/>
  <c r="U30" i="977"/>
  <c r="T30" i="977"/>
  <c r="S30" i="977"/>
  <c r="R30" i="977"/>
  <c r="M30" i="977"/>
  <c r="L30" i="977"/>
  <c r="K30" i="977"/>
  <c r="Z29" i="977"/>
  <c r="Y29" i="977"/>
  <c r="X29" i="977"/>
  <c r="W29" i="977"/>
  <c r="V29" i="977"/>
  <c r="U29" i="977"/>
  <c r="T29" i="977"/>
  <c r="S29" i="977"/>
  <c r="R29" i="977"/>
  <c r="Z28" i="977"/>
  <c r="Y28" i="977"/>
  <c r="X28" i="977"/>
  <c r="W28" i="977"/>
  <c r="V28" i="977"/>
  <c r="U28" i="977"/>
  <c r="T28" i="977"/>
  <c r="S28" i="977"/>
  <c r="R28" i="977"/>
  <c r="Z27" i="977"/>
  <c r="Y27" i="977"/>
  <c r="X27" i="977"/>
  <c r="W27" i="977"/>
  <c r="V27" i="977"/>
  <c r="U27" i="977"/>
  <c r="T27" i="977"/>
  <c r="S27" i="977"/>
  <c r="R27" i="977"/>
  <c r="Z26" i="977"/>
  <c r="Y26" i="977"/>
  <c r="X26" i="977"/>
  <c r="W26" i="977"/>
  <c r="V26" i="977"/>
  <c r="U26" i="977"/>
  <c r="T26" i="977"/>
  <c r="S26" i="977"/>
  <c r="R26" i="977"/>
  <c r="Z25" i="977"/>
  <c r="Y25" i="977"/>
  <c r="X25" i="977"/>
  <c r="W25" i="977"/>
  <c r="V25" i="977"/>
  <c r="U25" i="977"/>
  <c r="T25" i="977"/>
  <c r="S25" i="977"/>
  <c r="R25" i="977"/>
  <c r="Z24" i="977"/>
  <c r="Y24" i="977"/>
  <c r="X24" i="977"/>
  <c r="W24" i="977"/>
  <c r="V24" i="977"/>
  <c r="U24" i="977"/>
  <c r="T24" i="977"/>
  <c r="S24" i="977"/>
  <c r="R24" i="977"/>
  <c r="Z23" i="977"/>
  <c r="Y23" i="977"/>
  <c r="X23" i="977"/>
  <c r="W23" i="977"/>
  <c r="V23" i="977"/>
  <c r="U23" i="977"/>
  <c r="T23" i="977"/>
  <c r="S23" i="977"/>
  <c r="R23" i="977"/>
  <c r="Z22" i="977"/>
  <c r="Y22" i="977"/>
  <c r="X22" i="977"/>
  <c r="W22" i="977"/>
  <c r="V22" i="977"/>
  <c r="U22" i="977"/>
  <c r="T22" i="977"/>
  <c r="S22" i="977"/>
  <c r="R22" i="977"/>
  <c r="Z21" i="977"/>
  <c r="Y21" i="977"/>
  <c r="X21" i="977"/>
  <c r="W21" i="977"/>
  <c r="V21" i="977"/>
  <c r="U21" i="977"/>
  <c r="T21" i="977"/>
  <c r="S21" i="977"/>
  <c r="R21" i="977"/>
  <c r="Z20" i="977"/>
  <c r="Y20" i="977"/>
  <c r="X20" i="977"/>
  <c r="W20" i="977"/>
  <c r="V20" i="977"/>
  <c r="U20" i="977"/>
  <c r="T20" i="977"/>
  <c r="S20" i="977"/>
  <c r="R20" i="977"/>
  <c r="Z19" i="977"/>
  <c r="Y19" i="977"/>
  <c r="X19" i="977"/>
  <c r="W19" i="977"/>
  <c r="V19" i="977"/>
  <c r="U19" i="977"/>
  <c r="T19" i="977"/>
  <c r="S19" i="977"/>
  <c r="R19" i="977"/>
  <c r="Z18" i="977"/>
  <c r="Y18" i="977"/>
  <c r="X18" i="977"/>
  <c r="W18" i="977"/>
  <c r="V18" i="977"/>
  <c r="U18" i="977"/>
  <c r="T18" i="977"/>
  <c r="S18" i="977"/>
  <c r="R18" i="977"/>
  <c r="Z17" i="977"/>
  <c r="Y17" i="977"/>
  <c r="X17" i="977"/>
  <c r="W17" i="977"/>
  <c r="V17" i="977"/>
  <c r="U17" i="977"/>
  <c r="T17" i="977"/>
  <c r="S17" i="977"/>
  <c r="R17" i="977"/>
  <c r="Z16" i="977"/>
  <c r="Y16" i="977"/>
  <c r="X16" i="977"/>
  <c r="W16" i="977"/>
  <c r="V16" i="977"/>
  <c r="U16" i="977"/>
  <c r="T16" i="977"/>
  <c r="S16" i="977"/>
  <c r="R16" i="977"/>
  <c r="Z15" i="977"/>
  <c r="Y15" i="977"/>
  <c r="X15" i="977"/>
  <c r="W15" i="977"/>
  <c r="V15" i="977"/>
  <c r="U15" i="977"/>
  <c r="T15" i="977"/>
  <c r="S15" i="977"/>
  <c r="R15" i="977"/>
  <c r="Z14" i="977"/>
  <c r="Y14" i="977"/>
  <c r="X14" i="977"/>
  <c r="W14" i="977"/>
  <c r="V14" i="977"/>
  <c r="U14" i="977"/>
  <c r="T14" i="977"/>
  <c r="S14" i="977"/>
  <c r="R14" i="977"/>
  <c r="Z13" i="977"/>
  <c r="Y13" i="977"/>
  <c r="X13" i="977"/>
  <c r="W13" i="977"/>
  <c r="V13" i="977"/>
  <c r="U13" i="977"/>
  <c r="T13" i="977"/>
  <c r="S13" i="977"/>
  <c r="R13" i="977"/>
  <c r="Z12" i="977"/>
  <c r="Y12" i="977"/>
  <c r="X12" i="977"/>
  <c r="W12" i="977"/>
  <c r="V12" i="977"/>
  <c r="U12" i="977"/>
  <c r="T12" i="977"/>
  <c r="S12" i="977"/>
  <c r="R12" i="977"/>
  <c r="Z11" i="977"/>
  <c r="Y11" i="977"/>
  <c r="X11" i="977"/>
  <c r="W11" i="977"/>
  <c r="V11" i="977"/>
  <c r="U11" i="977"/>
  <c r="T11" i="977"/>
  <c r="S11" i="977"/>
  <c r="R11" i="977"/>
  <c r="Z10" i="977"/>
  <c r="Y10" i="977"/>
  <c r="X10" i="977"/>
  <c r="W10" i="977"/>
  <c r="V10" i="977"/>
  <c r="U10" i="977"/>
  <c r="T10" i="977"/>
  <c r="S10" i="977"/>
  <c r="R10" i="977"/>
  <c r="M49" i="976"/>
  <c r="L49" i="976"/>
  <c r="K49" i="976"/>
  <c r="M50" i="976"/>
  <c r="L50" i="976"/>
  <c r="K50" i="976"/>
  <c r="R10" i="976"/>
  <c r="S10" i="976"/>
  <c r="T10" i="976"/>
  <c r="U10" i="976"/>
  <c r="V10" i="976"/>
  <c r="W10" i="976"/>
  <c r="X10" i="976"/>
  <c r="Y10" i="976"/>
  <c r="Z10" i="976"/>
  <c r="R11" i="976"/>
  <c r="S11" i="976"/>
  <c r="T11" i="976"/>
  <c r="U11" i="976"/>
  <c r="V11" i="976"/>
  <c r="W11" i="976"/>
  <c r="X11" i="976"/>
  <c r="Y11" i="976"/>
  <c r="Z11" i="976"/>
  <c r="R12" i="976"/>
  <c r="S12" i="976"/>
  <c r="T12" i="976"/>
  <c r="U12" i="976"/>
  <c r="V12" i="976"/>
  <c r="W12" i="976"/>
  <c r="X12" i="976"/>
  <c r="Y12" i="976"/>
  <c r="Z12" i="976"/>
  <c r="R13" i="976"/>
  <c r="S13" i="976"/>
  <c r="T13" i="976"/>
  <c r="U13" i="976"/>
  <c r="V13" i="976"/>
  <c r="W13" i="976"/>
  <c r="X13" i="976"/>
  <c r="Y13" i="976"/>
  <c r="Z13" i="976"/>
  <c r="R14" i="976"/>
  <c r="S14" i="976"/>
  <c r="T14" i="976"/>
  <c r="U14" i="976"/>
  <c r="V14" i="976"/>
  <c r="W14" i="976"/>
  <c r="X14" i="976"/>
  <c r="Y14" i="976"/>
  <c r="Z14" i="976"/>
  <c r="R15" i="976"/>
  <c r="S15" i="976"/>
  <c r="T15" i="976"/>
  <c r="U15" i="976"/>
  <c r="V15" i="976"/>
  <c r="W15" i="976"/>
  <c r="X15" i="976"/>
  <c r="Y15" i="976"/>
  <c r="Z15" i="976"/>
  <c r="R16" i="976"/>
  <c r="S16" i="976"/>
  <c r="T16" i="976"/>
  <c r="U16" i="976"/>
  <c r="V16" i="976"/>
  <c r="W16" i="976"/>
  <c r="X16" i="976"/>
  <c r="Y16" i="976"/>
  <c r="Z16" i="976"/>
  <c r="R17" i="976"/>
  <c r="S17" i="976"/>
  <c r="T17" i="976"/>
  <c r="U17" i="976"/>
  <c r="V17" i="976"/>
  <c r="W17" i="976"/>
  <c r="X17" i="976"/>
  <c r="Y17" i="976"/>
  <c r="Z17" i="976"/>
  <c r="R18" i="976"/>
  <c r="S18" i="976"/>
  <c r="T18" i="976"/>
  <c r="U18" i="976"/>
  <c r="V18" i="976"/>
  <c r="W18" i="976"/>
  <c r="X18" i="976"/>
  <c r="Y18" i="976"/>
  <c r="Z18" i="976"/>
  <c r="R19" i="976"/>
  <c r="S19" i="976"/>
  <c r="T19" i="976"/>
  <c r="U19" i="976"/>
  <c r="V19" i="976"/>
  <c r="W19" i="976"/>
  <c r="X19" i="976"/>
  <c r="Y19" i="976"/>
  <c r="Z19" i="976"/>
  <c r="R20" i="976"/>
  <c r="S20" i="976"/>
  <c r="T20" i="976"/>
  <c r="U20" i="976"/>
  <c r="V20" i="976"/>
  <c r="W20" i="976"/>
  <c r="X20" i="976"/>
  <c r="Y20" i="976"/>
  <c r="Z20" i="976"/>
  <c r="R21" i="976"/>
  <c r="S21" i="976"/>
  <c r="T21" i="976"/>
  <c r="U21" i="976"/>
  <c r="V21" i="976"/>
  <c r="W21" i="976"/>
  <c r="X21" i="976"/>
  <c r="Y21" i="976"/>
  <c r="Z21" i="976"/>
  <c r="R22" i="976"/>
  <c r="S22" i="976"/>
  <c r="T22" i="976"/>
  <c r="U22" i="976"/>
  <c r="V22" i="976"/>
  <c r="W22" i="976"/>
  <c r="X22" i="976"/>
  <c r="Y22" i="976"/>
  <c r="Z22" i="976"/>
  <c r="R23" i="976"/>
  <c r="S23" i="976"/>
  <c r="T23" i="976"/>
  <c r="U23" i="976"/>
  <c r="V23" i="976"/>
  <c r="W23" i="976"/>
  <c r="X23" i="976"/>
  <c r="Y23" i="976"/>
  <c r="Z23" i="976"/>
  <c r="R24" i="976"/>
  <c r="S24" i="976"/>
  <c r="T24" i="976"/>
  <c r="U24" i="976"/>
  <c r="V24" i="976"/>
  <c r="W24" i="976"/>
  <c r="X24" i="976"/>
  <c r="Y24" i="976"/>
  <c r="Z24" i="976"/>
  <c r="R25" i="976"/>
  <c r="S25" i="976"/>
  <c r="T25" i="976"/>
  <c r="U25" i="976"/>
  <c r="V25" i="976"/>
  <c r="W25" i="976"/>
  <c r="X25" i="976"/>
  <c r="Y25" i="976"/>
  <c r="Z25" i="976"/>
  <c r="R26" i="976"/>
  <c r="S26" i="976"/>
  <c r="T26" i="976"/>
  <c r="U26" i="976"/>
  <c r="V26" i="976"/>
  <c r="W26" i="976"/>
  <c r="X26" i="976"/>
  <c r="Y26" i="976"/>
  <c r="Z26" i="976"/>
  <c r="R27" i="976"/>
  <c r="S27" i="976"/>
  <c r="T27" i="976"/>
  <c r="U27" i="976"/>
  <c r="V27" i="976"/>
  <c r="W27" i="976"/>
  <c r="X27" i="976"/>
  <c r="Y27" i="976"/>
  <c r="Z27" i="976"/>
  <c r="R28" i="976"/>
  <c r="S28" i="976"/>
  <c r="T28" i="976"/>
  <c r="U28" i="976"/>
  <c r="V28" i="976"/>
  <c r="W28" i="976"/>
  <c r="X28" i="976"/>
  <c r="Y28" i="976"/>
  <c r="Z28" i="976"/>
  <c r="R29" i="976"/>
  <c r="S29" i="976"/>
  <c r="T29" i="976"/>
  <c r="U29" i="976"/>
  <c r="V29" i="976"/>
  <c r="W29" i="976"/>
  <c r="X29" i="976"/>
  <c r="Y29" i="976"/>
  <c r="Z29" i="976"/>
  <c r="I10" i="976"/>
  <c r="J10" i="976"/>
  <c r="K10" i="976"/>
  <c r="L10" i="976"/>
  <c r="M10" i="976"/>
  <c r="N10" i="976"/>
  <c r="O10" i="976"/>
  <c r="I11" i="976"/>
  <c r="J11" i="976"/>
  <c r="K11" i="976"/>
  <c r="L11" i="976"/>
  <c r="M11" i="976"/>
  <c r="N11" i="976"/>
  <c r="O11" i="976"/>
  <c r="I12" i="976"/>
  <c r="J12" i="976"/>
  <c r="K12" i="976"/>
  <c r="L12" i="976"/>
  <c r="M12" i="976"/>
  <c r="N12" i="976"/>
  <c r="O12" i="976"/>
  <c r="I13" i="976"/>
  <c r="J13" i="976"/>
  <c r="K13" i="976"/>
  <c r="L13" i="976"/>
  <c r="M13" i="976"/>
  <c r="N13" i="976"/>
  <c r="O13" i="976"/>
  <c r="I14" i="976"/>
  <c r="J14" i="976"/>
  <c r="K14" i="976"/>
  <c r="L14" i="976"/>
  <c r="M14" i="976"/>
  <c r="N14" i="976"/>
  <c r="O14" i="976"/>
  <c r="I15" i="976"/>
  <c r="J15" i="976"/>
  <c r="K15" i="976"/>
  <c r="L15" i="976"/>
  <c r="M15" i="976"/>
  <c r="N15" i="976"/>
  <c r="O15" i="976"/>
  <c r="I16" i="976"/>
  <c r="J16" i="976"/>
  <c r="K16" i="976"/>
  <c r="L16" i="976"/>
  <c r="M16" i="976"/>
  <c r="N16" i="976"/>
  <c r="O16" i="976"/>
  <c r="I19" i="976"/>
  <c r="J19" i="976"/>
  <c r="L19" i="976"/>
  <c r="M19" i="976"/>
  <c r="N19" i="976"/>
  <c r="O19" i="976"/>
  <c r="C10" i="976"/>
  <c r="D10" i="976"/>
  <c r="E10" i="976"/>
  <c r="F10" i="976"/>
  <c r="G10" i="976"/>
  <c r="C11" i="976"/>
  <c r="D11" i="976"/>
  <c r="E11" i="976"/>
  <c r="F11" i="976"/>
  <c r="G11" i="976"/>
  <c r="C12" i="976"/>
  <c r="D12" i="976"/>
  <c r="E12" i="976"/>
  <c r="F12" i="976"/>
  <c r="G12" i="976"/>
  <c r="C13" i="976"/>
  <c r="D13" i="976"/>
  <c r="E13" i="976"/>
  <c r="F13" i="976"/>
  <c r="G13" i="976"/>
  <c r="C14" i="976"/>
  <c r="D14" i="976"/>
  <c r="E14" i="976"/>
  <c r="F14" i="976"/>
  <c r="G14" i="976"/>
  <c r="C15" i="976"/>
  <c r="D15" i="976"/>
  <c r="E15" i="976"/>
  <c r="F15" i="976"/>
  <c r="G15" i="976"/>
  <c r="C16" i="976"/>
  <c r="D16" i="976"/>
  <c r="E16" i="976"/>
  <c r="F16" i="976"/>
  <c r="G16" i="976"/>
  <c r="C19" i="976"/>
  <c r="E19" i="976"/>
  <c r="F19" i="976"/>
  <c r="G19" i="976"/>
  <c r="R30" i="976"/>
  <c r="S30" i="976"/>
  <c r="T30" i="976"/>
  <c r="U30" i="976"/>
  <c r="V30" i="976"/>
  <c r="W30" i="976"/>
  <c r="X30" i="976"/>
  <c r="Y30" i="976"/>
  <c r="Z30" i="976"/>
  <c r="R31" i="976"/>
  <c r="S31" i="976"/>
  <c r="T31" i="976"/>
  <c r="U31" i="976"/>
  <c r="V31" i="976"/>
  <c r="W31" i="976"/>
  <c r="X31" i="976"/>
  <c r="Y31" i="976"/>
  <c r="Z31" i="976"/>
  <c r="R32" i="976"/>
  <c r="S32" i="976"/>
  <c r="T32" i="976"/>
  <c r="U32" i="976"/>
  <c r="V32" i="976"/>
  <c r="W32" i="976"/>
  <c r="X32" i="976"/>
  <c r="Y32" i="976"/>
  <c r="Z32" i="976"/>
  <c r="R33" i="976"/>
  <c r="S33" i="976"/>
  <c r="T33" i="976"/>
  <c r="U33" i="976"/>
  <c r="V33" i="976"/>
  <c r="W33" i="976"/>
  <c r="X33" i="976"/>
  <c r="Y33" i="976"/>
  <c r="Z33" i="976"/>
  <c r="R34" i="976"/>
  <c r="S34" i="976"/>
  <c r="T34" i="976"/>
  <c r="U34" i="976"/>
  <c r="V34" i="976"/>
  <c r="W34" i="976"/>
  <c r="X34" i="976"/>
  <c r="Y34" i="976"/>
  <c r="Z34" i="976"/>
  <c r="R35" i="976"/>
  <c r="S35" i="976"/>
  <c r="T35" i="976"/>
  <c r="U35" i="976"/>
  <c r="V35" i="976"/>
  <c r="W35" i="976"/>
  <c r="X35" i="976"/>
  <c r="Y35" i="976"/>
  <c r="Z35" i="976"/>
  <c r="R36" i="976"/>
  <c r="S36" i="976"/>
  <c r="T36" i="976"/>
  <c r="U36" i="976"/>
  <c r="V36" i="976"/>
  <c r="W36" i="976"/>
  <c r="X36" i="976"/>
  <c r="Y36" i="976"/>
  <c r="Z36" i="976"/>
  <c r="R37" i="976"/>
  <c r="S37" i="976"/>
  <c r="T37" i="976"/>
  <c r="U37" i="976"/>
  <c r="V37" i="976"/>
  <c r="W37" i="976"/>
  <c r="X37" i="976"/>
  <c r="Y37" i="976"/>
  <c r="Z37" i="976"/>
  <c r="R38" i="976"/>
  <c r="S38" i="976"/>
  <c r="T38" i="976"/>
  <c r="U38" i="976"/>
  <c r="V38" i="976"/>
  <c r="W38" i="976"/>
  <c r="X38" i="976"/>
  <c r="Y38" i="976"/>
  <c r="Z38" i="976"/>
  <c r="R39" i="976"/>
  <c r="S39" i="976"/>
  <c r="T39" i="976"/>
  <c r="U39" i="976"/>
  <c r="V39" i="976"/>
  <c r="W39" i="976"/>
  <c r="X39" i="976"/>
  <c r="Y39" i="976"/>
  <c r="Z39" i="976"/>
  <c r="R40" i="976"/>
  <c r="S40" i="976"/>
  <c r="T40" i="976"/>
  <c r="U40" i="976"/>
  <c r="V40" i="976"/>
  <c r="W40" i="976"/>
  <c r="X40" i="976"/>
  <c r="Y40" i="976"/>
  <c r="Z40" i="976"/>
  <c r="R41" i="976"/>
  <c r="S41" i="976"/>
  <c r="T41" i="976"/>
  <c r="U41" i="976"/>
  <c r="V41" i="976"/>
  <c r="W41" i="976"/>
  <c r="X41" i="976"/>
  <c r="Y41" i="976"/>
  <c r="Z41" i="976"/>
  <c r="R42" i="976"/>
  <c r="S42" i="976"/>
  <c r="T42" i="976"/>
  <c r="U42" i="976"/>
  <c r="V42" i="976"/>
  <c r="W42" i="976"/>
  <c r="X42" i="976"/>
  <c r="Y42" i="976"/>
  <c r="Z42" i="976"/>
  <c r="R43" i="976"/>
  <c r="S43" i="976"/>
  <c r="T43" i="976"/>
  <c r="U43" i="976"/>
  <c r="V43" i="976"/>
  <c r="W43" i="976"/>
  <c r="X43" i="976"/>
  <c r="Y43" i="976"/>
  <c r="Z43" i="976"/>
  <c r="R44" i="976"/>
  <c r="S44" i="976"/>
  <c r="T44" i="976"/>
  <c r="U44" i="976"/>
  <c r="V44" i="976"/>
  <c r="W44" i="976"/>
  <c r="X44" i="976"/>
  <c r="Y44" i="976"/>
  <c r="Z44" i="976"/>
  <c r="R45" i="976"/>
  <c r="S45" i="976"/>
  <c r="T45" i="976"/>
  <c r="U45" i="976"/>
  <c r="V45" i="976"/>
  <c r="W45" i="976"/>
  <c r="X45" i="976"/>
  <c r="Y45" i="976"/>
  <c r="Z45" i="976"/>
  <c r="R46" i="976"/>
  <c r="S46" i="976"/>
  <c r="T46" i="976"/>
  <c r="U46" i="976"/>
  <c r="V46" i="976"/>
  <c r="W46" i="976"/>
  <c r="X46" i="976"/>
  <c r="Y46" i="976"/>
  <c r="Z46" i="976"/>
  <c r="I21" i="976"/>
  <c r="J21" i="976"/>
  <c r="L21" i="976"/>
  <c r="M21" i="976"/>
  <c r="N21" i="976"/>
  <c r="O21" i="976"/>
  <c r="I22" i="976"/>
  <c r="J22" i="976"/>
  <c r="L22" i="976"/>
  <c r="M22" i="976"/>
  <c r="O22" i="976"/>
  <c r="I23" i="976"/>
  <c r="J23" i="976"/>
  <c r="L23" i="976"/>
  <c r="M23" i="976"/>
  <c r="N23" i="976"/>
  <c r="O23" i="976"/>
  <c r="I24" i="976"/>
  <c r="J24" i="976"/>
  <c r="L24" i="976"/>
  <c r="M24" i="976"/>
  <c r="N24" i="976"/>
  <c r="O24" i="976"/>
  <c r="I25" i="976"/>
  <c r="J25" i="976"/>
  <c r="L25" i="976"/>
  <c r="M25" i="976"/>
  <c r="N25" i="976"/>
  <c r="O25" i="976"/>
  <c r="I26" i="976"/>
  <c r="J26" i="976"/>
  <c r="L26" i="976"/>
  <c r="M26" i="976"/>
  <c r="N26" i="976"/>
  <c r="O26" i="976"/>
  <c r="I28" i="976"/>
  <c r="J28" i="976"/>
  <c r="L28" i="976"/>
  <c r="M28" i="976"/>
  <c r="N28" i="976"/>
  <c r="O28" i="976"/>
  <c r="I29" i="976"/>
  <c r="J29" i="976"/>
  <c r="L29" i="976"/>
  <c r="M29" i="976"/>
  <c r="N29" i="976"/>
  <c r="O29" i="976"/>
  <c r="C21" i="976"/>
  <c r="D21" i="976"/>
  <c r="E21" i="976"/>
  <c r="F21" i="976"/>
  <c r="G21" i="976"/>
  <c r="C22" i="976"/>
  <c r="D22" i="976"/>
  <c r="E22" i="976"/>
  <c r="F22" i="976"/>
  <c r="G22" i="976"/>
  <c r="C23" i="976"/>
  <c r="D23" i="976"/>
  <c r="E23" i="976"/>
  <c r="F23" i="976"/>
  <c r="G23" i="976"/>
  <c r="C24" i="976"/>
  <c r="D24" i="976"/>
  <c r="E24" i="976"/>
  <c r="F24" i="976"/>
  <c r="G24" i="976"/>
  <c r="C25" i="976"/>
  <c r="D25" i="976"/>
  <c r="E25" i="976"/>
  <c r="F25" i="976"/>
  <c r="G25" i="976"/>
  <c r="C26" i="976"/>
  <c r="D26" i="976"/>
  <c r="E26" i="976"/>
  <c r="F26" i="976"/>
  <c r="G26" i="976"/>
  <c r="C28" i="976"/>
  <c r="D28" i="976"/>
  <c r="E28" i="976"/>
  <c r="F28" i="976"/>
  <c r="G28" i="976"/>
  <c r="C29" i="976"/>
  <c r="D29" i="976"/>
  <c r="E29" i="976"/>
  <c r="F29" i="976"/>
  <c r="G29" i="976"/>
  <c r="G78" i="976"/>
  <c r="B78" i="976"/>
  <c r="I73" i="976"/>
  <c r="J73" i="976"/>
  <c r="F96" i="976"/>
  <c r="L82" i="976"/>
  <c r="AX80" i="976"/>
  <c r="AW80" i="976"/>
  <c r="AV80" i="976"/>
  <c r="AU80" i="976"/>
  <c r="AT80" i="976"/>
  <c r="AS80" i="976"/>
  <c r="AR80" i="976"/>
  <c r="AQ80" i="976"/>
  <c r="AP80" i="976"/>
  <c r="AO80" i="976"/>
  <c r="AN80" i="976"/>
  <c r="AM80" i="976"/>
  <c r="AL80" i="976"/>
  <c r="AK80" i="976"/>
  <c r="AJ80" i="976"/>
  <c r="AI80" i="976"/>
  <c r="AH80" i="976"/>
  <c r="AG80" i="976"/>
  <c r="AF80" i="976"/>
  <c r="AE80" i="976"/>
  <c r="AD80" i="976"/>
  <c r="AC80" i="976"/>
  <c r="AB80" i="976"/>
  <c r="AX79" i="976"/>
  <c r="AW79" i="976"/>
  <c r="AV79" i="976"/>
  <c r="AU79" i="976"/>
  <c r="AT79" i="976"/>
  <c r="AS79" i="976"/>
  <c r="AR79" i="976"/>
  <c r="AQ79" i="976"/>
  <c r="AP79" i="976"/>
  <c r="AO79" i="976"/>
  <c r="AN79" i="976"/>
  <c r="AM79" i="976"/>
  <c r="AL79" i="976"/>
  <c r="AK79" i="976"/>
  <c r="AJ79" i="976"/>
  <c r="AI79" i="976"/>
  <c r="AH79" i="976"/>
  <c r="AG79" i="976"/>
  <c r="AF79" i="976"/>
  <c r="AE79" i="976"/>
  <c r="AD79" i="976"/>
  <c r="AC79" i="976"/>
  <c r="AB79" i="976"/>
  <c r="AX78" i="976"/>
  <c r="AW78" i="976"/>
  <c r="AV78" i="976"/>
  <c r="AU78" i="976"/>
  <c r="AT78" i="976"/>
  <c r="AS78" i="976"/>
  <c r="AR78" i="976"/>
  <c r="AQ78" i="976"/>
  <c r="AP78" i="976"/>
  <c r="AO78" i="976"/>
  <c r="AN78" i="976"/>
  <c r="AM78" i="976"/>
  <c r="AL78" i="976"/>
  <c r="AK78" i="976"/>
  <c r="AJ78" i="976"/>
  <c r="AI78" i="976"/>
  <c r="AH78" i="976"/>
  <c r="AG78" i="976"/>
  <c r="AF78" i="976"/>
  <c r="AE78" i="976"/>
  <c r="AD78" i="976"/>
  <c r="AC78" i="976"/>
  <c r="AB78" i="976"/>
  <c r="K73" i="976"/>
  <c r="Z60" i="976"/>
  <c r="Y60" i="976"/>
  <c r="X60" i="976"/>
  <c r="W60" i="976"/>
  <c r="V60" i="976"/>
  <c r="U60" i="976"/>
  <c r="T60" i="976"/>
  <c r="S60" i="976"/>
  <c r="R60" i="976"/>
  <c r="Z59" i="976"/>
  <c r="Y59" i="976"/>
  <c r="X59" i="976"/>
  <c r="W59" i="976"/>
  <c r="V59" i="976"/>
  <c r="U59" i="976"/>
  <c r="T59" i="976"/>
  <c r="S59" i="976"/>
  <c r="R59" i="976"/>
  <c r="Z58" i="976"/>
  <c r="Y58" i="976"/>
  <c r="X58" i="976"/>
  <c r="W58" i="976"/>
  <c r="V58" i="976"/>
  <c r="U58" i="976"/>
  <c r="T58" i="976"/>
  <c r="S58" i="976"/>
  <c r="R58" i="976"/>
  <c r="Z57" i="976"/>
  <c r="Y57" i="976"/>
  <c r="X57" i="976"/>
  <c r="W57" i="976"/>
  <c r="V57" i="976"/>
  <c r="U57" i="976"/>
  <c r="T57" i="976"/>
  <c r="S57" i="976"/>
  <c r="R57" i="976"/>
  <c r="Z56" i="976"/>
  <c r="Y56" i="976"/>
  <c r="X56" i="976"/>
  <c r="W56" i="976"/>
  <c r="V56" i="976"/>
  <c r="U56" i="976"/>
  <c r="T56" i="976"/>
  <c r="S56" i="976"/>
  <c r="R56" i="976"/>
  <c r="Z55" i="976"/>
  <c r="Y55" i="976"/>
  <c r="X55" i="976"/>
  <c r="W55" i="976"/>
  <c r="V55" i="976"/>
  <c r="U55" i="976"/>
  <c r="T55" i="976"/>
  <c r="S55" i="976"/>
  <c r="R55" i="976"/>
  <c r="M55" i="976"/>
  <c r="L55" i="976"/>
  <c r="K55" i="976"/>
  <c r="Z54" i="976"/>
  <c r="Y54" i="976"/>
  <c r="X54" i="976"/>
  <c r="W54" i="976"/>
  <c r="V54" i="976"/>
  <c r="U54" i="976"/>
  <c r="T54" i="976"/>
  <c r="S54" i="976"/>
  <c r="R54" i="976"/>
  <c r="M54" i="976"/>
  <c r="Z53" i="976"/>
  <c r="Y53" i="976"/>
  <c r="X53" i="976"/>
  <c r="W53" i="976"/>
  <c r="V53" i="976"/>
  <c r="U53" i="976"/>
  <c r="T53" i="976"/>
  <c r="S53" i="976"/>
  <c r="R53" i="976"/>
  <c r="Z52" i="976"/>
  <c r="Y52" i="976"/>
  <c r="X52" i="976"/>
  <c r="W52" i="976"/>
  <c r="V52" i="976"/>
  <c r="U52" i="976"/>
  <c r="T52" i="976"/>
  <c r="S52" i="976"/>
  <c r="R52" i="976"/>
  <c r="M52" i="976"/>
  <c r="Z51" i="976"/>
  <c r="Y51" i="976"/>
  <c r="X51" i="976"/>
  <c r="W51" i="976"/>
  <c r="V51" i="976"/>
  <c r="U51" i="976"/>
  <c r="T51" i="976"/>
  <c r="S51" i="976"/>
  <c r="R51" i="976"/>
  <c r="M51" i="976"/>
  <c r="L51" i="976"/>
  <c r="K51" i="976"/>
  <c r="Z50" i="976"/>
  <c r="Y50" i="976"/>
  <c r="X50" i="976"/>
  <c r="W50" i="976"/>
  <c r="V50" i="976"/>
  <c r="U50" i="976"/>
  <c r="T50" i="976"/>
  <c r="S50" i="976"/>
  <c r="R50" i="976"/>
  <c r="Z49" i="976"/>
  <c r="Y49" i="976"/>
  <c r="X49" i="976"/>
  <c r="W49" i="976"/>
  <c r="V49" i="976"/>
  <c r="U49" i="976"/>
  <c r="T49" i="976"/>
  <c r="S49" i="976"/>
  <c r="R49" i="976"/>
  <c r="Z48" i="976"/>
  <c r="Y48" i="976"/>
  <c r="X48" i="976"/>
  <c r="W48" i="976"/>
  <c r="V48" i="976"/>
  <c r="U48" i="976"/>
  <c r="T48" i="976"/>
  <c r="S48" i="976"/>
  <c r="R48" i="976"/>
  <c r="Z47" i="976"/>
  <c r="Y47" i="976"/>
  <c r="X47" i="976"/>
  <c r="W47" i="976"/>
  <c r="V47" i="976"/>
  <c r="U47" i="976"/>
  <c r="T47" i="976"/>
  <c r="S47" i="976"/>
  <c r="R47" i="976"/>
  <c r="G48" i="975"/>
  <c r="B48" i="975"/>
  <c r="M19" i="975"/>
  <c r="L19" i="975"/>
  <c r="K19" i="975"/>
  <c r="I10" i="975"/>
  <c r="J10" i="975"/>
  <c r="L10" i="975"/>
  <c r="M10" i="975"/>
  <c r="N10" i="975"/>
  <c r="O10" i="975"/>
  <c r="I11" i="975"/>
  <c r="J11" i="975"/>
  <c r="L11" i="975"/>
  <c r="M11" i="975"/>
  <c r="N11" i="975"/>
  <c r="O11" i="975"/>
  <c r="C10" i="975"/>
  <c r="D10" i="975"/>
  <c r="E10" i="975"/>
  <c r="F10" i="975"/>
  <c r="G10" i="975"/>
  <c r="C11" i="975"/>
  <c r="D11" i="975"/>
  <c r="E11" i="975"/>
  <c r="F11" i="975"/>
  <c r="G11" i="975"/>
  <c r="L28" i="974"/>
  <c r="I18" i="974"/>
  <c r="J18" i="974"/>
  <c r="L18" i="974"/>
  <c r="M18" i="974"/>
  <c r="O18" i="974"/>
  <c r="C18" i="974"/>
  <c r="D18" i="974"/>
  <c r="E18" i="974"/>
  <c r="F18" i="974"/>
  <c r="G18" i="974"/>
  <c r="F66" i="975"/>
  <c r="L52" i="975"/>
  <c r="AX50" i="975"/>
  <c r="AW50" i="975"/>
  <c r="AV50" i="975"/>
  <c r="AU50" i="975"/>
  <c r="AT50" i="975"/>
  <c r="AS50" i="975"/>
  <c r="AR50" i="975"/>
  <c r="AQ50" i="975"/>
  <c r="AP50" i="975"/>
  <c r="AO50" i="975"/>
  <c r="AN50" i="975"/>
  <c r="AM50" i="975"/>
  <c r="AL50" i="975"/>
  <c r="AK50" i="975"/>
  <c r="AJ50" i="975"/>
  <c r="AI50" i="975"/>
  <c r="AH50" i="975"/>
  <c r="AG50" i="975"/>
  <c r="AF50" i="975"/>
  <c r="AE50" i="975"/>
  <c r="AD50" i="975"/>
  <c r="AC50" i="975"/>
  <c r="AB50" i="975"/>
  <c r="AX49" i="975"/>
  <c r="AW49" i="975"/>
  <c r="AV49" i="975"/>
  <c r="AU49" i="975"/>
  <c r="AT49" i="975"/>
  <c r="AS49" i="975"/>
  <c r="AR49" i="975"/>
  <c r="AQ49" i="975"/>
  <c r="AP49" i="975"/>
  <c r="AO49" i="975"/>
  <c r="AN49" i="975"/>
  <c r="AM49" i="975"/>
  <c r="AL49" i="975"/>
  <c r="AK49" i="975"/>
  <c r="AJ49" i="975"/>
  <c r="AI49" i="975"/>
  <c r="AH49" i="975"/>
  <c r="AG49" i="975"/>
  <c r="AF49" i="975"/>
  <c r="AE49" i="975"/>
  <c r="AD49" i="975"/>
  <c r="AC49" i="975"/>
  <c r="AB49" i="975"/>
  <c r="AX48" i="975"/>
  <c r="AW48" i="975"/>
  <c r="AV48" i="975"/>
  <c r="AU48" i="975"/>
  <c r="AT48" i="975"/>
  <c r="AS48" i="975"/>
  <c r="AR48" i="975"/>
  <c r="AQ48" i="975"/>
  <c r="AP48" i="975"/>
  <c r="AO48" i="975"/>
  <c r="AN48" i="975"/>
  <c r="AM48" i="975"/>
  <c r="AL48" i="975"/>
  <c r="AK48" i="975"/>
  <c r="AJ48" i="975"/>
  <c r="AI48" i="975"/>
  <c r="AH48" i="975"/>
  <c r="AG48" i="975"/>
  <c r="AF48" i="975"/>
  <c r="AE48" i="975"/>
  <c r="AD48" i="975"/>
  <c r="AC48" i="975"/>
  <c r="AB48" i="975"/>
  <c r="K43" i="975"/>
  <c r="Z30" i="975"/>
  <c r="Y30" i="975"/>
  <c r="X30" i="975"/>
  <c r="W30" i="975"/>
  <c r="V30" i="975"/>
  <c r="U30" i="975"/>
  <c r="T30" i="975"/>
  <c r="S30" i="975"/>
  <c r="R30" i="975"/>
  <c r="Z29" i="975"/>
  <c r="Y29" i="975"/>
  <c r="X29" i="975"/>
  <c r="W29" i="975"/>
  <c r="V29" i="975"/>
  <c r="U29" i="975"/>
  <c r="T29" i="975"/>
  <c r="S29" i="975"/>
  <c r="R29" i="975"/>
  <c r="Z28" i="975"/>
  <c r="Y28" i="975"/>
  <c r="X28" i="975"/>
  <c r="W28" i="975"/>
  <c r="V28" i="975"/>
  <c r="U28" i="975"/>
  <c r="T28" i="975"/>
  <c r="S28" i="975"/>
  <c r="R28" i="975"/>
  <c r="Z27" i="975"/>
  <c r="Y27" i="975"/>
  <c r="X27" i="975"/>
  <c r="W27" i="975"/>
  <c r="V27" i="975"/>
  <c r="U27" i="975"/>
  <c r="T27" i="975"/>
  <c r="S27" i="975"/>
  <c r="R27" i="975"/>
  <c r="Z26" i="975"/>
  <c r="Y26" i="975"/>
  <c r="X26" i="975"/>
  <c r="W26" i="975"/>
  <c r="V26" i="975"/>
  <c r="U26" i="975"/>
  <c r="T26" i="975"/>
  <c r="S26" i="975"/>
  <c r="R26" i="975"/>
  <c r="Z25" i="975"/>
  <c r="Y25" i="975"/>
  <c r="X25" i="975"/>
  <c r="W25" i="975"/>
  <c r="V25" i="975"/>
  <c r="U25" i="975"/>
  <c r="T25" i="975"/>
  <c r="S25" i="975"/>
  <c r="R25" i="975"/>
  <c r="M25" i="975"/>
  <c r="L25" i="975"/>
  <c r="K25" i="975"/>
  <c r="Z24" i="975"/>
  <c r="Y24" i="975"/>
  <c r="X24" i="975"/>
  <c r="W24" i="975"/>
  <c r="V24" i="975"/>
  <c r="U24" i="975"/>
  <c r="T24" i="975"/>
  <c r="S24" i="975"/>
  <c r="R24" i="975"/>
  <c r="M24" i="975"/>
  <c r="Z23" i="975"/>
  <c r="Y23" i="975"/>
  <c r="X23" i="975"/>
  <c r="W23" i="975"/>
  <c r="V23" i="975"/>
  <c r="U23" i="975"/>
  <c r="T23" i="975"/>
  <c r="S23" i="975"/>
  <c r="R23" i="975"/>
  <c r="Z22" i="975"/>
  <c r="Y22" i="975"/>
  <c r="X22" i="975"/>
  <c r="W22" i="975"/>
  <c r="V22" i="975"/>
  <c r="U22" i="975"/>
  <c r="T22" i="975"/>
  <c r="S22" i="975"/>
  <c r="R22" i="975"/>
  <c r="M22" i="975"/>
  <c r="Z21" i="975"/>
  <c r="Y21" i="975"/>
  <c r="X21" i="975"/>
  <c r="W21" i="975"/>
  <c r="V21" i="975"/>
  <c r="U21" i="975"/>
  <c r="T21" i="975"/>
  <c r="S21" i="975"/>
  <c r="R21" i="975"/>
  <c r="M21" i="975"/>
  <c r="L21" i="975"/>
  <c r="K21" i="975"/>
  <c r="Z20" i="975"/>
  <c r="Y20" i="975"/>
  <c r="X20" i="975"/>
  <c r="W20" i="975"/>
  <c r="V20" i="975"/>
  <c r="U20" i="975"/>
  <c r="T20" i="975"/>
  <c r="S20" i="975"/>
  <c r="R20" i="975"/>
  <c r="M20" i="975"/>
  <c r="L20" i="975"/>
  <c r="K20" i="975"/>
  <c r="Z19" i="975"/>
  <c r="Y19" i="975"/>
  <c r="X19" i="975"/>
  <c r="W19" i="975"/>
  <c r="V19" i="975"/>
  <c r="U19" i="975"/>
  <c r="T19" i="975"/>
  <c r="S19" i="975"/>
  <c r="R19" i="975"/>
  <c r="Z18" i="975"/>
  <c r="Y18" i="975"/>
  <c r="X18" i="975"/>
  <c r="W18" i="975"/>
  <c r="V18" i="975"/>
  <c r="U18" i="975"/>
  <c r="T18" i="975"/>
  <c r="S18" i="975"/>
  <c r="R18" i="975"/>
  <c r="Z17" i="975"/>
  <c r="Y17" i="975"/>
  <c r="X17" i="975"/>
  <c r="W17" i="975"/>
  <c r="V17" i="975"/>
  <c r="U17" i="975"/>
  <c r="T17" i="975"/>
  <c r="S17" i="975"/>
  <c r="R17" i="975"/>
  <c r="Z16" i="975"/>
  <c r="Y16" i="975"/>
  <c r="X16" i="975"/>
  <c r="W16" i="975"/>
  <c r="V16" i="975"/>
  <c r="U16" i="975"/>
  <c r="T16" i="975"/>
  <c r="S16" i="975"/>
  <c r="R16" i="975"/>
  <c r="Z15" i="975"/>
  <c r="Y15" i="975"/>
  <c r="X15" i="975"/>
  <c r="W15" i="975"/>
  <c r="V15" i="975"/>
  <c r="U15" i="975"/>
  <c r="T15" i="975"/>
  <c r="S15" i="975"/>
  <c r="R15" i="975"/>
  <c r="Z14" i="975"/>
  <c r="Y14" i="975"/>
  <c r="X14" i="975"/>
  <c r="W14" i="975"/>
  <c r="V14" i="975"/>
  <c r="U14" i="975"/>
  <c r="T14" i="975"/>
  <c r="S14" i="975"/>
  <c r="R14" i="975"/>
  <c r="Z13" i="975"/>
  <c r="Y13" i="975"/>
  <c r="X13" i="975"/>
  <c r="W13" i="975"/>
  <c r="V13" i="975"/>
  <c r="U13" i="975"/>
  <c r="T13" i="975"/>
  <c r="S13" i="975"/>
  <c r="R13" i="975"/>
  <c r="Z12" i="975"/>
  <c r="Y12" i="975"/>
  <c r="X12" i="975"/>
  <c r="W12" i="975"/>
  <c r="V12" i="975"/>
  <c r="U12" i="975"/>
  <c r="T12" i="975"/>
  <c r="S12" i="975"/>
  <c r="R12" i="975"/>
  <c r="Z11" i="975"/>
  <c r="Y11" i="975"/>
  <c r="X11" i="975"/>
  <c r="W11" i="975"/>
  <c r="V11" i="975"/>
  <c r="U11" i="975"/>
  <c r="T11" i="975"/>
  <c r="S11" i="975"/>
  <c r="R11" i="975"/>
  <c r="Z10" i="975"/>
  <c r="Y10" i="975"/>
  <c r="X10" i="975"/>
  <c r="W10" i="975"/>
  <c r="V10" i="975"/>
  <c r="U10" i="975"/>
  <c r="T10" i="975"/>
  <c r="S10" i="975"/>
  <c r="R10" i="975"/>
  <c r="L11" i="974"/>
  <c r="L12" i="974"/>
  <c r="L13" i="974"/>
  <c r="L14" i="974"/>
  <c r="L15" i="974"/>
  <c r="L16" i="974"/>
  <c r="L17" i="974"/>
  <c r="L10" i="974"/>
  <c r="M11" i="974"/>
  <c r="M12" i="974"/>
  <c r="M13" i="974"/>
  <c r="M14" i="974"/>
  <c r="M15" i="974"/>
  <c r="M16" i="974"/>
  <c r="M17" i="974"/>
  <c r="M10" i="974"/>
  <c r="N18" i="974"/>
  <c r="N22" i="976"/>
  <c r="K17" i="979"/>
  <c r="K10" i="980"/>
  <c r="K11" i="980"/>
  <c r="K12" i="980"/>
  <c r="K13" i="980"/>
  <c r="K14" i="980"/>
  <c r="K15" i="980"/>
  <c r="K10" i="978"/>
  <c r="K11" i="978"/>
  <c r="K12" i="978"/>
  <c r="K11" i="977"/>
  <c r="K12" i="977"/>
  <c r="K13" i="977"/>
  <c r="K14" i="977"/>
  <c r="K15" i="977"/>
  <c r="K16" i="977"/>
  <c r="K17" i="977"/>
  <c r="K18" i="977"/>
  <c r="K21" i="976"/>
  <c r="K22" i="976"/>
  <c r="K23" i="976"/>
  <c r="K24" i="976"/>
  <c r="K25" i="976"/>
  <c r="K26" i="976"/>
  <c r="K28" i="976"/>
  <c r="K29" i="976"/>
  <c r="K10" i="977"/>
  <c r="K18" i="974"/>
  <c r="K10" i="975"/>
  <c r="K11" i="975"/>
  <c r="J34" i="980" l="1"/>
  <c r="J29" i="979"/>
  <c r="K41" i="980"/>
  <c r="L41" i="980" s="1"/>
  <c r="M41" i="980" s="1"/>
  <c r="K37" i="979"/>
  <c r="L37" i="979" s="1"/>
  <c r="M37" i="979" s="1"/>
  <c r="K34" i="978"/>
  <c r="L34" i="978" s="1"/>
  <c r="M34" i="978" s="1"/>
  <c r="K39" i="977"/>
  <c r="L39" i="977" s="1"/>
  <c r="M39" i="977" s="1"/>
  <c r="K78" i="976"/>
  <c r="D53" i="978"/>
  <c r="L53" i="978" s="1"/>
  <c r="G66" i="978"/>
  <c r="D55" i="978"/>
  <c r="L55" i="978" s="1"/>
  <c r="K66" i="978"/>
  <c r="K58" i="971"/>
  <c r="K71" i="971" s="1"/>
  <c r="K59" i="973"/>
  <c r="K73" i="973" s="1"/>
  <c r="K57" i="974"/>
  <c r="K72" i="974" s="1"/>
  <c r="J49" i="976"/>
  <c r="J29" i="977"/>
  <c r="J50" i="976"/>
  <c r="D78" i="976"/>
  <c r="J17" i="978"/>
  <c r="J16" i="978"/>
  <c r="J15" i="978"/>
  <c r="J19" i="975"/>
  <c r="D48" i="975"/>
  <c r="L78" i="976"/>
  <c r="C97" i="976" s="1"/>
  <c r="K59" i="976"/>
  <c r="L59" i="976" s="1"/>
  <c r="M59" i="976" s="1"/>
  <c r="K29" i="975"/>
  <c r="L29" i="975" s="1"/>
  <c r="M29" i="975" s="1"/>
  <c r="L48" i="975"/>
  <c r="C61" i="975" s="1"/>
  <c r="M28" i="974"/>
  <c r="K28" i="974"/>
  <c r="C17" i="974"/>
  <c r="D17" i="974"/>
  <c r="E17" i="974"/>
  <c r="F17" i="974"/>
  <c r="G17" i="974"/>
  <c r="R10" i="974"/>
  <c r="S10" i="974"/>
  <c r="T10" i="974"/>
  <c r="U10" i="974"/>
  <c r="V10" i="974"/>
  <c r="W10" i="974"/>
  <c r="X10" i="974"/>
  <c r="Y10" i="974"/>
  <c r="Z10" i="974"/>
  <c r="R11" i="974"/>
  <c r="S11" i="974"/>
  <c r="T11" i="974"/>
  <c r="U11" i="974"/>
  <c r="V11" i="974"/>
  <c r="W11" i="974"/>
  <c r="X11" i="974"/>
  <c r="Y11" i="974"/>
  <c r="Z11" i="974"/>
  <c r="R12" i="974"/>
  <c r="S12" i="974"/>
  <c r="T12" i="974"/>
  <c r="U12" i="974"/>
  <c r="V12" i="974"/>
  <c r="W12" i="974"/>
  <c r="X12" i="974"/>
  <c r="Y12" i="974"/>
  <c r="Z12" i="974"/>
  <c r="R13" i="974"/>
  <c r="S13" i="974"/>
  <c r="T13" i="974"/>
  <c r="U13" i="974"/>
  <c r="V13" i="974"/>
  <c r="W13" i="974"/>
  <c r="X13" i="974"/>
  <c r="Y13" i="974"/>
  <c r="Z13" i="974"/>
  <c r="R14" i="974"/>
  <c r="S14" i="974"/>
  <c r="T14" i="974"/>
  <c r="U14" i="974"/>
  <c r="V14" i="974"/>
  <c r="W14" i="974"/>
  <c r="X14" i="974"/>
  <c r="Y14" i="974"/>
  <c r="Z14" i="974"/>
  <c r="R15" i="974"/>
  <c r="S15" i="974"/>
  <c r="T15" i="974"/>
  <c r="U15" i="974"/>
  <c r="V15" i="974"/>
  <c r="W15" i="974"/>
  <c r="X15" i="974"/>
  <c r="Y15" i="974"/>
  <c r="Z15" i="974"/>
  <c r="R16" i="974"/>
  <c r="S16" i="974"/>
  <c r="T16" i="974"/>
  <c r="U16" i="974"/>
  <c r="V16" i="974"/>
  <c r="W16" i="974"/>
  <c r="X16" i="974"/>
  <c r="Y16" i="974"/>
  <c r="Z16" i="974"/>
  <c r="R17" i="974"/>
  <c r="S17" i="974"/>
  <c r="T17" i="974"/>
  <c r="U17" i="974"/>
  <c r="V17" i="974"/>
  <c r="W17" i="974"/>
  <c r="X17" i="974"/>
  <c r="Y17" i="974"/>
  <c r="Z17" i="974"/>
  <c r="K10" i="974"/>
  <c r="N10" i="974"/>
  <c r="O10" i="974"/>
  <c r="K11" i="974"/>
  <c r="N11" i="974"/>
  <c r="O11" i="974"/>
  <c r="K12" i="974"/>
  <c r="N12" i="974"/>
  <c r="O12" i="974"/>
  <c r="K13" i="974"/>
  <c r="N13" i="974"/>
  <c r="O13" i="974"/>
  <c r="K14" i="974"/>
  <c r="N14" i="974"/>
  <c r="O14" i="974"/>
  <c r="K15" i="974"/>
  <c r="N15" i="974"/>
  <c r="O15" i="974"/>
  <c r="K16" i="974"/>
  <c r="N16" i="974"/>
  <c r="O16" i="974"/>
  <c r="K17" i="974"/>
  <c r="N17" i="974"/>
  <c r="O17" i="974"/>
  <c r="D10" i="974"/>
  <c r="E10" i="974"/>
  <c r="F10" i="974"/>
  <c r="G10" i="974"/>
  <c r="D11" i="974"/>
  <c r="E11" i="974"/>
  <c r="F11" i="974"/>
  <c r="G11" i="974"/>
  <c r="D12" i="974"/>
  <c r="E12" i="974"/>
  <c r="F12" i="974"/>
  <c r="G12" i="974"/>
  <c r="D13" i="974"/>
  <c r="E13" i="974"/>
  <c r="F13" i="974"/>
  <c r="G13" i="974"/>
  <c r="C14" i="974"/>
  <c r="D14" i="974"/>
  <c r="E14" i="974"/>
  <c r="F14" i="974"/>
  <c r="G14" i="974"/>
  <c r="C15" i="974"/>
  <c r="D15" i="974"/>
  <c r="E15" i="974"/>
  <c r="F15" i="974"/>
  <c r="G15" i="974"/>
  <c r="C16" i="974"/>
  <c r="D16" i="974"/>
  <c r="E16" i="974"/>
  <c r="F16" i="974"/>
  <c r="G16" i="974"/>
  <c r="F57" i="974"/>
  <c r="E57" i="974"/>
  <c r="D57" i="974"/>
  <c r="G57" i="974"/>
  <c r="L57" i="974" s="1"/>
  <c r="C72" i="974" s="1"/>
  <c r="B57" i="974"/>
  <c r="F75" i="974"/>
  <c r="L61" i="974"/>
  <c r="AX59" i="974"/>
  <c r="AW59" i="974"/>
  <c r="AV59" i="974"/>
  <c r="AU59" i="974"/>
  <c r="AT59" i="974"/>
  <c r="AS59" i="974"/>
  <c r="AR59" i="974"/>
  <c r="AQ59" i="974"/>
  <c r="AP59" i="974"/>
  <c r="AO59" i="974"/>
  <c r="AN59" i="974"/>
  <c r="AM59" i="974"/>
  <c r="AL59" i="974"/>
  <c r="AK59" i="974"/>
  <c r="AJ59" i="974"/>
  <c r="AI59" i="974"/>
  <c r="AH59" i="974"/>
  <c r="AG59" i="974"/>
  <c r="AF59" i="974"/>
  <c r="AE59" i="974"/>
  <c r="AD59" i="974"/>
  <c r="AC59" i="974"/>
  <c r="AB59" i="974"/>
  <c r="AX58" i="974"/>
  <c r="AW58" i="974"/>
  <c r="AV58" i="974"/>
  <c r="AU58" i="974"/>
  <c r="AT58" i="974"/>
  <c r="AS58" i="974"/>
  <c r="AR58" i="974"/>
  <c r="AQ58" i="974"/>
  <c r="AP58" i="974"/>
  <c r="AO58" i="974"/>
  <c r="AN58" i="974"/>
  <c r="AM58" i="974"/>
  <c r="AL58" i="974"/>
  <c r="AK58" i="974"/>
  <c r="AJ58" i="974"/>
  <c r="AI58" i="974"/>
  <c r="AH58" i="974"/>
  <c r="AG58" i="974"/>
  <c r="AF58" i="974"/>
  <c r="AE58" i="974"/>
  <c r="AD58" i="974"/>
  <c r="AC58" i="974"/>
  <c r="AB58" i="974"/>
  <c r="AX57" i="974"/>
  <c r="AW57" i="974"/>
  <c r="AV57" i="974"/>
  <c r="AU57" i="974"/>
  <c r="AT57" i="974"/>
  <c r="AS57" i="974"/>
  <c r="AR57" i="974"/>
  <c r="AQ57" i="974"/>
  <c r="AP57" i="974"/>
  <c r="AO57" i="974"/>
  <c r="AN57" i="974"/>
  <c r="AM57" i="974"/>
  <c r="AL57" i="974"/>
  <c r="AK57" i="974"/>
  <c r="AJ57" i="974"/>
  <c r="AI57" i="974"/>
  <c r="AH57" i="974"/>
  <c r="AG57" i="974"/>
  <c r="AF57" i="974"/>
  <c r="AE57" i="974"/>
  <c r="AD57" i="974"/>
  <c r="AC57" i="974"/>
  <c r="AB57" i="974"/>
  <c r="K52" i="974"/>
  <c r="Z39" i="974"/>
  <c r="Y39" i="974"/>
  <c r="X39" i="974"/>
  <c r="W39" i="974"/>
  <c r="V39" i="974"/>
  <c r="U39" i="974"/>
  <c r="T39" i="974"/>
  <c r="S39" i="974"/>
  <c r="R39" i="974"/>
  <c r="Z38" i="974"/>
  <c r="Y38" i="974"/>
  <c r="X38" i="974"/>
  <c r="W38" i="974"/>
  <c r="V38" i="974"/>
  <c r="U38" i="974"/>
  <c r="T38" i="974"/>
  <c r="S38" i="974"/>
  <c r="R38" i="974"/>
  <c r="Z37" i="974"/>
  <c r="Y37" i="974"/>
  <c r="X37" i="974"/>
  <c r="W37" i="974"/>
  <c r="V37" i="974"/>
  <c r="U37" i="974"/>
  <c r="T37" i="974"/>
  <c r="S37" i="974"/>
  <c r="R37" i="974"/>
  <c r="Z36" i="974"/>
  <c r="Y36" i="974"/>
  <c r="X36" i="974"/>
  <c r="W36" i="974"/>
  <c r="V36" i="974"/>
  <c r="U36" i="974"/>
  <c r="T36" i="974"/>
  <c r="S36" i="974"/>
  <c r="R36" i="974"/>
  <c r="Z35" i="974"/>
  <c r="Y35" i="974"/>
  <c r="X35" i="974"/>
  <c r="W35" i="974"/>
  <c r="V35" i="974"/>
  <c r="U35" i="974"/>
  <c r="T35" i="974"/>
  <c r="S35" i="974"/>
  <c r="R35" i="974"/>
  <c r="Z34" i="974"/>
  <c r="Y34" i="974"/>
  <c r="X34" i="974"/>
  <c r="W34" i="974"/>
  <c r="V34" i="974"/>
  <c r="U34" i="974"/>
  <c r="T34" i="974"/>
  <c r="S34" i="974"/>
  <c r="R34" i="974"/>
  <c r="M34" i="974"/>
  <c r="L34" i="974"/>
  <c r="K34" i="974"/>
  <c r="Z33" i="974"/>
  <c r="Y33" i="974"/>
  <c r="X33" i="974"/>
  <c r="W33" i="974"/>
  <c r="V33" i="974"/>
  <c r="U33" i="974"/>
  <c r="T33" i="974"/>
  <c r="S33" i="974"/>
  <c r="R33" i="974"/>
  <c r="M33" i="974"/>
  <c r="Z32" i="974"/>
  <c r="Y32" i="974"/>
  <c r="X32" i="974"/>
  <c r="W32" i="974"/>
  <c r="V32" i="974"/>
  <c r="U32" i="974"/>
  <c r="T32" i="974"/>
  <c r="S32" i="974"/>
  <c r="R32" i="974"/>
  <c r="Z31" i="974"/>
  <c r="Y31" i="974"/>
  <c r="X31" i="974"/>
  <c r="W31" i="974"/>
  <c r="V31" i="974"/>
  <c r="U31" i="974"/>
  <c r="T31" i="974"/>
  <c r="S31" i="974"/>
  <c r="R31" i="974"/>
  <c r="M31" i="974"/>
  <c r="Z30" i="974"/>
  <c r="Y30" i="974"/>
  <c r="X30" i="974"/>
  <c r="W30" i="974"/>
  <c r="V30" i="974"/>
  <c r="U30" i="974"/>
  <c r="T30" i="974"/>
  <c r="S30" i="974"/>
  <c r="R30" i="974"/>
  <c r="M30" i="974"/>
  <c r="L30" i="974"/>
  <c r="K30" i="974"/>
  <c r="Z29" i="974"/>
  <c r="Y29" i="974"/>
  <c r="X29" i="974"/>
  <c r="W29" i="974"/>
  <c r="V29" i="974"/>
  <c r="U29" i="974"/>
  <c r="T29" i="974"/>
  <c r="S29" i="974"/>
  <c r="R29" i="974"/>
  <c r="M29" i="974"/>
  <c r="L29" i="974"/>
  <c r="K29" i="974"/>
  <c r="Z28" i="974"/>
  <c r="Y28" i="974"/>
  <c r="X28" i="974"/>
  <c r="W28" i="974"/>
  <c r="V28" i="974"/>
  <c r="U28" i="974"/>
  <c r="T28" i="974"/>
  <c r="S28" i="974"/>
  <c r="R28" i="974"/>
  <c r="Z27" i="974"/>
  <c r="Y27" i="974"/>
  <c r="X27" i="974"/>
  <c r="W27" i="974"/>
  <c r="V27" i="974"/>
  <c r="U27" i="974"/>
  <c r="T27" i="974"/>
  <c r="S27" i="974"/>
  <c r="R27" i="974"/>
  <c r="Z26" i="974"/>
  <c r="Y26" i="974"/>
  <c r="X26" i="974"/>
  <c r="W26" i="974"/>
  <c r="V26" i="974"/>
  <c r="U26" i="974"/>
  <c r="T26" i="974"/>
  <c r="S26" i="974"/>
  <c r="R26" i="974"/>
  <c r="Z25" i="974"/>
  <c r="Y25" i="974"/>
  <c r="X25" i="974"/>
  <c r="W25" i="974"/>
  <c r="V25" i="974"/>
  <c r="U25" i="974"/>
  <c r="T25" i="974"/>
  <c r="S25" i="974"/>
  <c r="R25" i="974"/>
  <c r="Z24" i="974"/>
  <c r="Y24" i="974"/>
  <c r="X24" i="974"/>
  <c r="W24" i="974"/>
  <c r="V24" i="974"/>
  <c r="U24" i="974"/>
  <c r="T24" i="974"/>
  <c r="S24" i="974"/>
  <c r="R24" i="974"/>
  <c r="Z23" i="974"/>
  <c r="Y23" i="974"/>
  <c r="X23" i="974"/>
  <c r="W23" i="974"/>
  <c r="V23" i="974"/>
  <c r="U23" i="974"/>
  <c r="T23" i="974"/>
  <c r="S23" i="974"/>
  <c r="R23" i="974"/>
  <c r="Z22" i="974"/>
  <c r="Y22" i="974"/>
  <c r="X22" i="974"/>
  <c r="W22" i="974"/>
  <c r="V22" i="974"/>
  <c r="U22" i="974"/>
  <c r="T22" i="974"/>
  <c r="S22" i="974"/>
  <c r="R22" i="974"/>
  <c r="Z21" i="974"/>
  <c r="Y21" i="974"/>
  <c r="X21" i="974"/>
  <c r="W21" i="974"/>
  <c r="V21" i="974"/>
  <c r="U21" i="974"/>
  <c r="T21" i="974"/>
  <c r="S21" i="974"/>
  <c r="R21" i="974"/>
  <c r="Z20" i="974"/>
  <c r="Y20" i="974"/>
  <c r="X20" i="974"/>
  <c r="W20" i="974"/>
  <c r="V20" i="974"/>
  <c r="U20" i="974"/>
  <c r="T20" i="974"/>
  <c r="S20" i="974"/>
  <c r="R20" i="974"/>
  <c r="Z19" i="974"/>
  <c r="Y19" i="974"/>
  <c r="X19" i="974"/>
  <c r="W19" i="974"/>
  <c r="V19" i="974"/>
  <c r="U19" i="974"/>
  <c r="T19" i="974"/>
  <c r="S19" i="974"/>
  <c r="R19" i="974"/>
  <c r="Z18" i="974"/>
  <c r="Y18" i="974"/>
  <c r="X18" i="974"/>
  <c r="W18" i="974"/>
  <c r="V18" i="974"/>
  <c r="U18" i="974"/>
  <c r="T18" i="974"/>
  <c r="S18" i="974"/>
  <c r="R18" i="974"/>
  <c r="G59" i="973"/>
  <c r="F64" i="972"/>
  <c r="B59" i="973"/>
  <c r="M30" i="973"/>
  <c r="L30" i="973"/>
  <c r="K30" i="973"/>
  <c r="M36" i="973"/>
  <c r="L36" i="973"/>
  <c r="K36" i="973"/>
  <c r="K19" i="973"/>
  <c r="L19" i="973"/>
  <c r="O19" i="973"/>
  <c r="N19" i="973"/>
  <c r="M19" i="973"/>
  <c r="J19" i="973"/>
  <c r="I19" i="973"/>
  <c r="J30" i="973" s="1"/>
  <c r="G19" i="973"/>
  <c r="F19" i="973"/>
  <c r="E19" i="973"/>
  <c r="D19" i="973"/>
  <c r="C19" i="973"/>
  <c r="C14" i="973"/>
  <c r="D14" i="973"/>
  <c r="E14" i="973"/>
  <c r="F14" i="973"/>
  <c r="G14" i="973"/>
  <c r="I14" i="973"/>
  <c r="J14" i="973"/>
  <c r="K14" i="973"/>
  <c r="L14" i="973"/>
  <c r="M14" i="973"/>
  <c r="N14" i="973"/>
  <c r="O14" i="973"/>
  <c r="C15" i="973"/>
  <c r="D15" i="973"/>
  <c r="E15" i="973"/>
  <c r="F15" i="973"/>
  <c r="G15" i="973"/>
  <c r="I15" i="973"/>
  <c r="J15" i="973"/>
  <c r="K15" i="973"/>
  <c r="L15" i="973"/>
  <c r="M15" i="973"/>
  <c r="N15" i="973"/>
  <c r="O15" i="973"/>
  <c r="C16" i="973"/>
  <c r="D16" i="973"/>
  <c r="E16" i="973"/>
  <c r="F16" i="973"/>
  <c r="G16" i="973"/>
  <c r="I16" i="973"/>
  <c r="J16" i="973"/>
  <c r="K16" i="973"/>
  <c r="L16" i="973"/>
  <c r="M16" i="973"/>
  <c r="N16" i="973"/>
  <c r="O16" i="973"/>
  <c r="C17" i="973"/>
  <c r="D17" i="973"/>
  <c r="E17" i="973"/>
  <c r="F17" i="973"/>
  <c r="G17" i="973"/>
  <c r="I17" i="973"/>
  <c r="J17" i="973"/>
  <c r="K17" i="973"/>
  <c r="L17" i="973"/>
  <c r="M17" i="973"/>
  <c r="N17" i="973"/>
  <c r="O17" i="973"/>
  <c r="O13" i="973"/>
  <c r="N13" i="973"/>
  <c r="M13" i="973"/>
  <c r="L13" i="973"/>
  <c r="K13" i="973"/>
  <c r="J13" i="973"/>
  <c r="I13" i="973"/>
  <c r="G13" i="973"/>
  <c r="F13" i="973"/>
  <c r="E13" i="973"/>
  <c r="D13" i="973"/>
  <c r="C13" i="973"/>
  <c r="O12" i="973"/>
  <c r="N12" i="973"/>
  <c r="M12" i="973"/>
  <c r="L12" i="973"/>
  <c r="K12" i="973"/>
  <c r="J12" i="973"/>
  <c r="I12" i="973"/>
  <c r="G12" i="973"/>
  <c r="F12" i="973"/>
  <c r="E12" i="973"/>
  <c r="D12" i="973"/>
  <c r="C12" i="973"/>
  <c r="O11" i="973"/>
  <c r="N11" i="973"/>
  <c r="M11" i="973"/>
  <c r="L11" i="973"/>
  <c r="K11" i="973"/>
  <c r="J11" i="973"/>
  <c r="I11" i="973"/>
  <c r="G11" i="973"/>
  <c r="F11" i="973"/>
  <c r="E11" i="973"/>
  <c r="D11" i="973"/>
  <c r="C11" i="973"/>
  <c r="O10" i="973"/>
  <c r="N10" i="973"/>
  <c r="M10" i="973"/>
  <c r="L10" i="973"/>
  <c r="K10" i="973"/>
  <c r="J10" i="973"/>
  <c r="I10" i="973"/>
  <c r="G10" i="973"/>
  <c r="F10" i="973"/>
  <c r="E10" i="973"/>
  <c r="D10" i="973"/>
  <c r="C10" i="973"/>
  <c r="F77" i="973"/>
  <c r="L63" i="973"/>
  <c r="AX61" i="973"/>
  <c r="AW61" i="973"/>
  <c r="AV61" i="973"/>
  <c r="AU61" i="973"/>
  <c r="AT61" i="973"/>
  <c r="AS61" i="973"/>
  <c r="AR61" i="973"/>
  <c r="AQ61" i="973"/>
  <c r="AP61" i="973"/>
  <c r="AO61" i="973"/>
  <c r="AN61" i="973"/>
  <c r="AM61" i="973"/>
  <c r="AL61" i="973"/>
  <c r="AK61" i="973"/>
  <c r="AJ61" i="973"/>
  <c r="AI61" i="973"/>
  <c r="AH61" i="973"/>
  <c r="AG61" i="973"/>
  <c r="AF61" i="973"/>
  <c r="AE61" i="973"/>
  <c r="AD61" i="973"/>
  <c r="AC61" i="973"/>
  <c r="AB61" i="973"/>
  <c r="AX60" i="973"/>
  <c r="AW60" i="973"/>
  <c r="AV60" i="973"/>
  <c r="AU60" i="973"/>
  <c r="AT60" i="973"/>
  <c r="AS60" i="973"/>
  <c r="AR60" i="973"/>
  <c r="AQ60" i="973"/>
  <c r="AP60" i="973"/>
  <c r="AO60" i="973"/>
  <c r="AN60" i="973"/>
  <c r="AM60" i="973"/>
  <c r="AL60" i="973"/>
  <c r="AK60" i="973"/>
  <c r="AJ60" i="973"/>
  <c r="AI60" i="973"/>
  <c r="AH60" i="973"/>
  <c r="AG60" i="973"/>
  <c r="AF60" i="973"/>
  <c r="AE60" i="973"/>
  <c r="AD60" i="973"/>
  <c r="AC60" i="973"/>
  <c r="AB60" i="973"/>
  <c r="AX59" i="973"/>
  <c r="AW59" i="973"/>
  <c r="AV59" i="973"/>
  <c r="AU59" i="973"/>
  <c r="AT59" i="973"/>
  <c r="AS59" i="973"/>
  <c r="AR59" i="973"/>
  <c r="AQ59" i="973"/>
  <c r="AP59" i="973"/>
  <c r="AO59" i="973"/>
  <c r="AN59" i="973"/>
  <c r="AM59" i="973"/>
  <c r="AL59" i="973"/>
  <c r="AK59" i="973"/>
  <c r="AJ59" i="973"/>
  <c r="AI59" i="973"/>
  <c r="AH59" i="973"/>
  <c r="AG59" i="973"/>
  <c r="AF59" i="973"/>
  <c r="AE59" i="973"/>
  <c r="AD59" i="973"/>
  <c r="AC59" i="973"/>
  <c r="AB59" i="973"/>
  <c r="K54" i="973"/>
  <c r="Z41" i="973"/>
  <c r="Y41" i="973"/>
  <c r="X41" i="973"/>
  <c r="W41" i="973"/>
  <c r="V41" i="973"/>
  <c r="U41" i="973"/>
  <c r="T41" i="973"/>
  <c r="S41" i="973"/>
  <c r="R41" i="973"/>
  <c r="Z40" i="973"/>
  <c r="Y40" i="973"/>
  <c r="X40" i="973"/>
  <c r="W40" i="973"/>
  <c r="V40" i="973"/>
  <c r="U40" i="973"/>
  <c r="T40" i="973"/>
  <c r="S40" i="973"/>
  <c r="R40" i="973"/>
  <c r="Z39" i="973"/>
  <c r="Y39" i="973"/>
  <c r="X39" i="973"/>
  <c r="W39" i="973"/>
  <c r="V39" i="973"/>
  <c r="U39" i="973"/>
  <c r="T39" i="973"/>
  <c r="S39" i="973"/>
  <c r="R39" i="973"/>
  <c r="Z38" i="973"/>
  <c r="Y38" i="973"/>
  <c r="X38" i="973"/>
  <c r="W38" i="973"/>
  <c r="V38" i="973"/>
  <c r="U38" i="973"/>
  <c r="T38" i="973"/>
  <c r="S38" i="973"/>
  <c r="R38" i="973"/>
  <c r="Z37" i="973"/>
  <c r="Y37" i="973"/>
  <c r="X37" i="973"/>
  <c r="W37" i="973"/>
  <c r="V37" i="973"/>
  <c r="U37" i="973"/>
  <c r="T37" i="973"/>
  <c r="S37" i="973"/>
  <c r="R37" i="973"/>
  <c r="Z36" i="973"/>
  <c r="Y36" i="973"/>
  <c r="X36" i="973"/>
  <c r="W36" i="973"/>
  <c r="V36" i="973"/>
  <c r="U36" i="973"/>
  <c r="T36" i="973"/>
  <c r="S36" i="973"/>
  <c r="R36" i="973"/>
  <c r="Z35" i="973"/>
  <c r="Y35" i="973"/>
  <c r="X35" i="973"/>
  <c r="W35" i="973"/>
  <c r="V35" i="973"/>
  <c r="U35" i="973"/>
  <c r="T35" i="973"/>
  <c r="S35" i="973"/>
  <c r="R35" i="973"/>
  <c r="M35" i="973"/>
  <c r="Z34" i="973"/>
  <c r="Y34" i="973"/>
  <c r="X34" i="973"/>
  <c r="W34" i="973"/>
  <c r="V34" i="973"/>
  <c r="U34" i="973"/>
  <c r="T34" i="973"/>
  <c r="S34" i="973"/>
  <c r="R34" i="973"/>
  <c r="Z33" i="973"/>
  <c r="Y33" i="973"/>
  <c r="X33" i="973"/>
  <c r="W33" i="973"/>
  <c r="V33" i="973"/>
  <c r="U33" i="973"/>
  <c r="T33" i="973"/>
  <c r="S33" i="973"/>
  <c r="R33" i="973"/>
  <c r="M33" i="973"/>
  <c r="Z32" i="973"/>
  <c r="Y32" i="973"/>
  <c r="X32" i="973"/>
  <c r="W32" i="973"/>
  <c r="V32" i="973"/>
  <c r="U32" i="973"/>
  <c r="T32" i="973"/>
  <c r="S32" i="973"/>
  <c r="R32" i="973"/>
  <c r="M32" i="973"/>
  <c r="L32" i="973"/>
  <c r="K32" i="973"/>
  <c r="Z31" i="973"/>
  <c r="Y31" i="973"/>
  <c r="X31" i="973"/>
  <c r="W31" i="973"/>
  <c r="V31" i="973"/>
  <c r="U31" i="973"/>
  <c r="T31" i="973"/>
  <c r="S31" i="973"/>
  <c r="R31" i="973"/>
  <c r="M31" i="973"/>
  <c r="L31" i="973"/>
  <c r="K31" i="973"/>
  <c r="Z30" i="973"/>
  <c r="Y30" i="973"/>
  <c r="X30" i="973"/>
  <c r="W30" i="973"/>
  <c r="V30" i="973"/>
  <c r="U30" i="973"/>
  <c r="T30" i="973"/>
  <c r="S30" i="973"/>
  <c r="R30" i="973"/>
  <c r="Z29" i="973"/>
  <c r="Y29" i="973"/>
  <c r="X29" i="973"/>
  <c r="W29" i="973"/>
  <c r="V29" i="973"/>
  <c r="U29" i="973"/>
  <c r="T29" i="973"/>
  <c r="S29" i="973"/>
  <c r="R29" i="973"/>
  <c r="Z28" i="973"/>
  <c r="Y28" i="973"/>
  <c r="X28" i="973"/>
  <c r="W28" i="973"/>
  <c r="V28" i="973"/>
  <c r="U28" i="973"/>
  <c r="T28" i="973"/>
  <c r="S28" i="973"/>
  <c r="R28" i="973"/>
  <c r="Z27" i="973"/>
  <c r="Y27" i="973"/>
  <c r="X27" i="973"/>
  <c r="W27" i="973"/>
  <c r="V27" i="973"/>
  <c r="U27" i="973"/>
  <c r="T27" i="973"/>
  <c r="S27" i="973"/>
  <c r="R27" i="973"/>
  <c r="Z26" i="973"/>
  <c r="Y26" i="973"/>
  <c r="X26" i="973"/>
  <c r="W26" i="973"/>
  <c r="V26" i="973"/>
  <c r="U26" i="973"/>
  <c r="T26" i="973"/>
  <c r="S26" i="973"/>
  <c r="R26" i="973"/>
  <c r="Z25" i="973"/>
  <c r="Y25" i="973"/>
  <c r="X25" i="973"/>
  <c r="W25" i="973"/>
  <c r="V25" i="973"/>
  <c r="U25" i="973"/>
  <c r="T25" i="973"/>
  <c r="S25" i="973"/>
  <c r="R25" i="973"/>
  <c r="Z24" i="973"/>
  <c r="Y24" i="973"/>
  <c r="X24" i="973"/>
  <c r="W24" i="973"/>
  <c r="V24" i="973"/>
  <c r="U24" i="973"/>
  <c r="T24" i="973"/>
  <c r="S24" i="973"/>
  <c r="R24" i="973"/>
  <c r="Z23" i="973"/>
  <c r="Y23" i="973"/>
  <c r="X23" i="973"/>
  <c r="W23" i="973"/>
  <c r="V23" i="973"/>
  <c r="U23" i="973"/>
  <c r="T23" i="973"/>
  <c r="S23" i="973"/>
  <c r="R23" i="973"/>
  <c r="Z22" i="973"/>
  <c r="Y22" i="973"/>
  <c r="X22" i="973"/>
  <c r="W22" i="973"/>
  <c r="V22" i="973"/>
  <c r="U22" i="973"/>
  <c r="T22" i="973"/>
  <c r="S22" i="973"/>
  <c r="R22" i="973"/>
  <c r="Z21" i="973"/>
  <c r="Y21" i="973"/>
  <c r="X21" i="973"/>
  <c r="W21" i="973"/>
  <c r="V21" i="973"/>
  <c r="U21" i="973"/>
  <c r="T21" i="973"/>
  <c r="S21" i="973"/>
  <c r="R21" i="973"/>
  <c r="Z20" i="973"/>
  <c r="Y20" i="973"/>
  <c r="X20" i="973"/>
  <c r="W20" i="973"/>
  <c r="V20" i="973"/>
  <c r="U20" i="973"/>
  <c r="T20" i="973"/>
  <c r="S20" i="973"/>
  <c r="R20" i="973"/>
  <c r="Z19" i="973"/>
  <c r="Y19" i="973"/>
  <c r="X19" i="973"/>
  <c r="W19" i="973"/>
  <c r="V19" i="973"/>
  <c r="U19" i="973"/>
  <c r="T19" i="973"/>
  <c r="S19" i="973"/>
  <c r="R19" i="973"/>
  <c r="Z18" i="973"/>
  <c r="Y18" i="973"/>
  <c r="X18" i="973"/>
  <c r="W18" i="973"/>
  <c r="V18" i="973"/>
  <c r="U18" i="973"/>
  <c r="T18" i="973"/>
  <c r="S18" i="973"/>
  <c r="R18" i="973"/>
  <c r="Z17" i="973"/>
  <c r="Y17" i="973"/>
  <c r="X17" i="973"/>
  <c r="W17" i="973"/>
  <c r="V17" i="973"/>
  <c r="U17" i="973"/>
  <c r="T17" i="973"/>
  <c r="S17" i="973"/>
  <c r="R17" i="973"/>
  <c r="Z16" i="973"/>
  <c r="Y16" i="973"/>
  <c r="X16" i="973"/>
  <c r="W16" i="973"/>
  <c r="V16" i="973"/>
  <c r="U16" i="973"/>
  <c r="T16" i="973"/>
  <c r="S16" i="973"/>
  <c r="R16" i="973"/>
  <c r="Z15" i="973"/>
  <c r="Y15" i="973"/>
  <c r="X15" i="973"/>
  <c r="W15" i="973"/>
  <c r="V15" i="973"/>
  <c r="U15" i="973"/>
  <c r="T15" i="973"/>
  <c r="S15" i="973"/>
  <c r="R15" i="973"/>
  <c r="Z14" i="973"/>
  <c r="Y14" i="973"/>
  <c r="X14" i="973"/>
  <c r="W14" i="973"/>
  <c r="V14" i="973"/>
  <c r="U14" i="973"/>
  <c r="T14" i="973"/>
  <c r="S14" i="973"/>
  <c r="R14" i="973"/>
  <c r="Z13" i="973"/>
  <c r="Y13" i="973"/>
  <c r="X13" i="973"/>
  <c r="W13" i="973"/>
  <c r="V13" i="973"/>
  <c r="U13" i="973"/>
  <c r="T13" i="973"/>
  <c r="S13" i="973"/>
  <c r="R13" i="973"/>
  <c r="Z12" i="973"/>
  <c r="Y12" i="973"/>
  <c r="X12" i="973"/>
  <c r="W12" i="973"/>
  <c r="V12" i="973"/>
  <c r="U12" i="973"/>
  <c r="T12" i="973"/>
  <c r="S12" i="973"/>
  <c r="R12" i="973"/>
  <c r="Z11" i="973"/>
  <c r="Y11" i="973"/>
  <c r="X11" i="973"/>
  <c r="W11" i="973"/>
  <c r="V11" i="973"/>
  <c r="U11" i="973"/>
  <c r="T11" i="973"/>
  <c r="S11" i="973"/>
  <c r="R11" i="973"/>
  <c r="Z10" i="973"/>
  <c r="Y10" i="973"/>
  <c r="X10" i="973"/>
  <c r="W10" i="973"/>
  <c r="V10" i="973"/>
  <c r="U10" i="973"/>
  <c r="T10" i="973"/>
  <c r="S10" i="973"/>
  <c r="R10" i="973"/>
  <c r="M36" i="972"/>
  <c r="L36" i="972"/>
  <c r="K36" i="972"/>
  <c r="R12" i="972"/>
  <c r="S12" i="972"/>
  <c r="T12" i="972"/>
  <c r="U12" i="972"/>
  <c r="V12" i="972"/>
  <c r="W12" i="972"/>
  <c r="X12" i="972"/>
  <c r="Y12" i="972"/>
  <c r="Z12" i="972"/>
  <c r="R13" i="972"/>
  <c r="S13" i="972"/>
  <c r="T13" i="972"/>
  <c r="U13" i="972"/>
  <c r="V13" i="972"/>
  <c r="W13" i="972"/>
  <c r="X13" i="972"/>
  <c r="Y13" i="972"/>
  <c r="Z13" i="972"/>
  <c r="R14" i="972"/>
  <c r="S14" i="972"/>
  <c r="T14" i="972"/>
  <c r="U14" i="972"/>
  <c r="V14" i="972"/>
  <c r="W14" i="972"/>
  <c r="X14" i="972"/>
  <c r="Y14" i="972"/>
  <c r="Z14" i="972"/>
  <c r="R15" i="972"/>
  <c r="S15" i="972"/>
  <c r="T15" i="972"/>
  <c r="U15" i="972"/>
  <c r="V15" i="972"/>
  <c r="W15" i="972"/>
  <c r="X15" i="972"/>
  <c r="Y15" i="972"/>
  <c r="Z15" i="972"/>
  <c r="R16" i="972"/>
  <c r="S16" i="972"/>
  <c r="T16" i="972"/>
  <c r="U16" i="972"/>
  <c r="V16" i="972"/>
  <c r="W16" i="972"/>
  <c r="X16" i="972"/>
  <c r="Y16" i="972"/>
  <c r="Z16" i="972"/>
  <c r="R17" i="972"/>
  <c r="S17" i="972"/>
  <c r="T17" i="972"/>
  <c r="U17" i="972"/>
  <c r="V17" i="972"/>
  <c r="W17" i="972"/>
  <c r="X17" i="972"/>
  <c r="Y17" i="972"/>
  <c r="Z17" i="972"/>
  <c r="R18" i="972"/>
  <c r="S18" i="972"/>
  <c r="T18" i="972"/>
  <c r="U18" i="972"/>
  <c r="V18" i="972"/>
  <c r="W18" i="972"/>
  <c r="X18" i="972"/>
  <c r="Y18" i="972"/>
  <c r="Z18" i="972"/>
  <c r="R19" i="972"/>
  <c r="S19" i="972"/>
  <c r="T19" i="972"/>
  <c r="U19" i="972"/>
  <c r="V19" i="972"/>
  <c r="W19" i="972"/>
  <c r="X19" i="972"/>
  <c r="Y19" i="972"/>
  <c r="Z19" i="972"/>
  <c r="R20" i="972"/>
  <c r="S20" i="972"/>
  <c r="T20" i="972"/>
  <c r="U20" i="972"/>
  <c r="V20" i="972"/>
  <c r="W20" i="972"/>
  <c r="X20" i="972"/>
  <c r="Y20" i="972"/>
  <c r="Z20" i="972"/>
  <c r="R21" i="972"/>
  <c r="S21" i="972"/>
  <c r="T21" i="972"/>
  <c r="U21" i="972"/>
  <c r="V21" i="972"/>
  <c r="W21" i="972"/>
  <c r="X21" i="972"/>
  <c r="Y21" i="972"/>
  <c r="Z21" i="972"/>
  <c r="R22" i="972"/>
  <c r="S22" i="972"/>
  <c r="T22" i="972"/>
  <c r="U22" i="972"/>
  <c r="V22" i="972"/>
  <c r="W22" i="972"/>
  <c r="X22" i="972"/>
  <c r="Y22" i="972"/>
  <c r="Z22" i="972"/>
  <c r="R23" i="972"/>
  <c r="S23" i="972"/>
  <c r="T23" i="972"/>
  <c r="U23" i="972"/>
  <c r="V23" i="972"/>
  <c r="W23" i="972"/>
  <c r="X23" i="972"/>
  <c r="Y23" i="972"/>
  <c r="Z23" i="972"/>
  <c r="R24" i="972"/>
  <c r="S24" i="972"/>
  <c r="T24" i="972"/>
  <c r="U24" i="972"/>
  <c r="V24" i="972"/>
  <c r="W24" i="972"/>
  <c r="X24" i="972"/>
  <c r="Y24" i="972"/>
  <c r="Z24" i="972"/>
  <c r="R25" i="972"/>
  <c r="S25" i="972"/>
  <c r="T25" i="972"/>
  <c r="U25" i="972"/>
  <c r="V25" i="972"/>
  <c r="W25" i="972"/>
  <c r="X25" i="972"/>
  <c r="Y25" i="972"/>
  <c r="Z25" i="972"/>
  <c r="R26" i="972"/>
  <c r="S26" i="972"/>
  <c r="T26" i="972"/>
  <c r="U26" i="972"/>
  <c r="V26" i="972"/>
  <c r="W26" i="972"/>
  <c r="X26" i="972"/>
  <c r="Y26" i="972"/>
  <c r="Z26" i="972"/>
  <c r="R27" i="972"/>
  <c r="S27" i="972"/>
  <c r="T27" i="972"/>
  <c r="U27" i="972"/>
  <c r="V27" i="972"/>
  <c r="W27" i="972"/>
  <c r="X27" i="972"/>
  <c r="Y27" i="972"/>
  <c r="Z27" i="972"/>
  <c r="R28" i="972"/>
  <c r="S28" i="972"/>
  <c r="T28" i="972"/>
  <c r="U28" i="972"/>
  <c r="V28" i="972"/>
  <c r="W28" i="972"/>
  <c r="X28" i="972"/>
  <c r="Y28" i="972"/>
  <c r="Z28" i="972"/>
  <c r="R29" i="972"/>
  <c r="S29" i="972"/>
  <c r="T29" i="972"/>
  <c r="U29" i="972"/>
  <c r="V29" i="972"/>
  <c r="W29" i="972"/>
  <c r="X29" i="972"/>
  <c r="Y29" i="972"/>
  <c r="Z29" i="972"/>
  <c r="R30" i="972"/>
  <c r="S30" i="972"/>
  <c r="T30" i="972"/>
  <c r="U30" i="972"/>
  <c r="V30" i="972"/>
  <c r="W30" i="972"/>
  <c r="X30" i="972"/>
  <c r="Y30" i="972"/>
  <c r="Z30" i="972"/>
  <c r="R31" i="972"/>
  <c r="S31" i="972"/>
  <c r="T31" i="972"/>
  <c r="U31" i="972"/>
  <c r="V31" i="972"/>
  <c r="W31" i="972"/>
  <c r="X31" i="972"/>
  <c r="Y31" i="972"/>
  <c r="Z31" i="972"/>
  <c r="R32" i="972"/>
  <c r="S32" i="972"/>
  <c r="T32" i="972"/>
  <c r="U32" i="972"/>
  <c r="V32" i="972"/>
  <c r="W32" i="972"/>
  <c r="X32" i="972"/>
  <c r="Y32" i="972"/>
  <c r="Z32" i="972"/>
  <c r="R33" i="972"/>
  <c r="S33" i="972"/>
  <c r="T33" i="972"/>
  <c r="U33" i="972"/>
  <c r="V33" i="972"/>
  <c r="W33" i="972"/>
  <c r="X33" i="972"/>
  <c r="Y33" i="972"/>
  <c r="Z33" i="972"/>
  <c r="R34" i="972"/>
  <c r="S34" i="972"/>
  <c r="T34" i="972"/>
  <c r="U34" i="972"/>
  <c r="V34" i="972"/>
  <c r="W34" i="972"/>
  <c r="X34" i="972"/>
  <c r="Y34" i="972"/>
  <c r="Z34" i="972"/>
  <c r="R35" i="972"/>
  <c r="S35" i="972"/>
  <c r="T35" i="972"/>
  <c r="U35" i="972"/>
  <c r="V35" i="972"/>
  <c r="W35" i="972"/>
  <c r="X35" i="972"/>
  <c r="Y35" i="972"/>
  <c r="Z35" i="972"/>
  <c r="R36" i="972"/>
  <c r="S36" i="972"/>
  <c r="T36" i="972"/>
  <c r="U36" i="972"/>
  <c r="V36" i="972"/>
  <c r="W36" i="972"/>
  <c r="X36" i="972"/>
  <c r="Y36" i="972"/>
  <c r="Z36" i="972"/>
  <c r="R37" i="972"/>
  <c r="S37" i="972"/>
  <c r="T37" i="972"/>
  <c r="U37" i="972"/>
  <c r="V37" i="972"/>
  <c r="W37" i="972"/>
  <c r="X37" i="972"/>
  <c r="Y37" i="972"/>
  <c r="Z37" i="972"/>
  <c r="C12" i="972"/>
  <c r="D12" i="972"/>
  <c r="E12" i="972"/>
  <c r="F12" i="972"/>
  <c r="G12" i="972"/>
  <c r="I12" i="972"/>
  <c r="J12" i="972"/>
  <c r="K12" i="972"/>
  <c r="L12" i="972"/>
  <c r="M12" i="972"/>
  <c r="N12" i="972"/>
  <c r="O12" i="972"/>
  <c r="C13" i="972"/>
  <c r="D13" i="972"/>
  <c r="E13" i="972"/>
  <c r="F13" i="972"/>
  <c r="G13" i="972"/>
  <c r="I13" i="972"/>
  <c r="J13" i="972"/>
  <c r="K13" i="972"/>
  <c r="L13" i="972"/>
  <c r="M13" i="972"/>
  <c r="N13" i="972"/>
  <c r="O13" i="972"/>
  <c r="C14" i="972"/>
  <c r="D14" i="972"/>
  <c r="E14" i="972"/>
  <c r="F14" i="972"/>
  <c r="G14" i="972"/>
  <c r="I14" i="972"/>
  <c r="J14" i="972"/>
  <c r="K14" i="972"/>
  <c r="L14" i="972"/>
  <c r="M14" i="972"/>
  <c r="N14" i="972"/>
  <c r="O14" i="972"/>
  <c r="C15" i="972"/>
  <c r="D15" i="972"/>
  <c r="E15" i="972"/>
  <c r="F15" i="972"/>
  <c r="G15" i="972"/>
  <c r="I15" i="972"/>
  <c r="J15" i="972"/>
  <c r="K15" i="972"/>
  <c r="L15" i="972"/>
  <c r="M15" i="972"/>
  <c r="N15" i="972"/>
  <c r="O15" i="972"/>
  <c r="C16" i="972"/>
  <c r="D16" i="972"/>
  <c r="E16" i="972"/>
  <c r="F16" i="972"/>
  <c r="G16" i="972"/>
  <c r="I16" i="972"/>
  <c r="J16" i="972"/>
  <c r="K16" i="972"/>
  <c r="L16" i="972"/>
  <c r="M16" i="972"/>
  <c r="N16" i="972"/>
  <c r="O16" i="972"/>
  <c r="C17" i="972"/>
  <c r="D17" i="972"/>
  <c r="E17" i="972"/>
  <c r="F17" i="972"/>
  <c r="G17" i="972"/>
  <c r="I17" i="972"/>
  <c r="J17" i="972"/>
  <c r="K17" i="972"/>
  <c r="L17" i="972"/>
  <c r="M17" i="972"/>
  <c r="N17" i="972"/>
  <c r="O17" i="972"/>
  <c r="C10" i="972"/>
  <c r="D10" i="972"/>
  <c r="E10" i="972"/>
  <c r="F10" i="972"/>
  <c r="G10" i="972"/>
  <c r="I10" i="972"/>
  <c r="J10" i="972"/>
  <c r="K10" i="972"/>
  <c r="L10" i="972"/>
  <c r="M10" i="972"/>
  <c r="N10" i="972"/>
  <c r="O10" i="972"/>
  <c r="C11" i="972"/>
  <c r="D11" i="972"/>
  <c r="E11" i="972"/>
  <c r="F11" i="972"/>
  <c r="G11" i="972"/>
  <c r="I11" i="972"/>
  <c r="J11" i="972"/>
  <c r="K11" i="972"/>
  <c r="L11" i="972"/>
  <c r="M11" i="972"/>
  <c r="N11" i="972"/>
  <c r="O11" i="972"/>
  <c r="F82" i="972"/>
  <c r="L68" i="972"/>
  <c r="AX66" i="972"/>
  <c r="AW66" i="972"/>
  <c r="AV66" i="972"/>
  <c r="AU66" i="972"/>
  <c r="AT66" i="972"/>
  <c r="AS66" i="972"/>
  <c r="AR66" i="972"/>
  <c r="AQ66" i="972"/>
  <c r="AP66" i="972"/>
  <c r="AO66" i="972"/>
  <c r="AN66" i="972"/>
  <c r="AM66" i="972"/>
  <c r="AL66" i="972"/>
  <c r="AK66" i="972"/>
  <c r="AJ66" i="972"/>
  <c r="AI66" i="972"/>
  <c r="AH66" i="972"/>
  <c r="AG66" i="972"/>
  <c r="AF66" i="972"/>
  <c r="AE66" i="972"/>
  <c r="AD66" i="972"/>
  <c r="AC66" i="972"/>
  <c r="AB66" i="972"/>
  <c r="AX65" i="972"/>
  <c r="AW65" i="972"/>
  <c r="AV65" i="972"/>
  <c r="AU65" i="972"/>
  <c r="AT65" i="972"/>
  <c r="AS65" i="972"/>
  <c r="AR65" i="972"/>
  <c r="AQ65" i="972"/>
  <c r="AP65" i="972"/>
  <c r="AO65" i="972"/>
  <c r="AN65" i="972"/>
  <c r="AM65" i="972"/>
  <c r="AL65" i="972"/>
  <c r="AK65" i="972"/>
  <c r="AJ65" i="972"/>
  <c r="AI65" i="972"/>
  <c r="AH65" i="972"/>
  <c r="AG65" i="972"/>
  <c r="AF65" i="972"/>
  <c r="AE65" i="972"/>
  <c r="AD65" i="972"/>
  <c r="AC65" i="972"/>
  <c r="AB65" i="972"/>
  <c r="AX64" i="972"/>
  <c r="AW64" i="972"/>
  <c r="AV64" i="972"/>
  <c r="AU64" i="972"/>
  <c r="AT64" i="972"/>
  <c r="AS64" i="972"/>
  <c r="AR64" i="972"/>
  <c r="AQ64" i="972"/>
  <c r="AP64" i="972"/>
  <c r="AO64" i="972"/>
  <c r="AN64" i="972"/>
  <c r="AM64" i="972"/>
  <c r="AL64" i="972"/>
  <c r="AK64" i="972"/>
  <c r="AJ64" i="972"/>
  <c r="AI64" i="972"/>
  <c r="AH64" i="972"/>
  <c r="AG64" i="972"/>
  <c r="AF64" i="972"/>
  <c r="AE64" i="972"/>
  <c r="AD64" i="972"/>
  <c r="AC64" i="972"/>
  <c r="AB64" i="972"/>
  <c r="B64" i="972"/>
  <c r="K59" i="972"/>
  <c r="Z46" i="972"/>
  <c r="Y46" i="972"/>
  <c r="X46" i="972"/>
  <c r="W46" i="972"/>
  <c r="V46" i="972"/>
  <c r="U46" i="972"/>
  <c r="T46" i="972"/>
  <c r="S46" i="972"/>
  <c r="R46" i="972"/>
  <c r="Z45" i="972"/>
  <c r="Y45" i="972"/>
  <c r="X45" i="972"/>
  <c r="W45" i="972"/>
  <c r="V45" i="972"/>
  <c r="U45" i="972"/>
  <c r="T45" i="972"/>
  <c r="S45" i="972"/>
  <c r="R45" i="972"/>
  <c r="Z44" i="972"/>
  <c r="Y44" i="972"/>
  <c r="X44" i="972"/>
  <c r="W44" i="972"/>
  <c r="V44" i="972"/>
  <c r="U44" i="972"/>
  <c r="T44" i="972"/>
  <c r="S44" i="972"/>
  <c r="R44" i="972"/>
  <c r="Z43" i="972"/>
  <c r="Y43" i="972"/>
  <c r="X43" i="972"/>
  <c r="W43" i="972"/>
  <c r="V43" i="972"/>
  <c r="U43" i="972"/>
  <c r="T43" i="972"/>
  <c r="S43" i="972"/>
  <c r="R43" i="972"/>
  <c r="Z42" i="972"/>
  <c r="Y42" i="972"/>
  <c r="X42" i="972"/>
  <c r="W42" i="972"/>
  <c r="V42" i="972"/>
  <c r="U42" i="972"/>
  <c r="T42" i="972"/>
  <c r="S42" i="972"/>
  <c r="R42" i="972"/>
  <c r="Z41" i="972"/>
  <c r="Y41" i="972"/>
  <c r="X41" i="972"/>
  <c r="W41" i="972"/>
  <c r="V41" i="972"/>
  <c r="U41" i="972"/>
  <c r="T41" i="972"/>
  <c r="S41" i="972"/>
  <c r="R41" i="972"/>
  <c r="M41" i="972"/>
  <c r="Z40" i="972"/>
  <c r="Y40" i="972"/>
  <c r="X40" i="972"/>
  <c r="W40" i="972"/>
  <c r="V40" i="972"/>
  <c r="U40" i="972"/>
  <c r="T40" i="972"/>
  <c r="S40" i="972"/>
  <c r="R40" i="972"/>
  <c r="M40" i="972"/>
  <c r="Z39" i="972"/>
  <c r="Y39" i="972"/>
  <c r="X39" i="972"/>
  <c r="W39" i="972"/>
  <c r="V39" i="972"/>
  <c r="U39" i="972"/>
  <c r="T39" i="972"/>
  <c r="S39" i="972"/>
  <c r="R39" i="972"/>
  <c r="Z38" i="972"/>
  <c r="Y38" i="972"/>
  <c r="X38" i="972"/>
  <c r="W38" i="972"/>
  <c r="V38" i="972"/>
  <c r="U38" i="972"/>
  <c r="T38" i="972"/>
  <c r="S38" i="972"/>
  <c r="R38" i="972"/>
  <c r="M38" i="972"/>
  <c r="M37" i="972"/>
  <c r="L37" i="972"/>
  <c r="K37" i="972"/>
  <c r="M35" i="972"/>
  <c r="L35" i="972"/>
  <c r="K35" i="972"/>
  <c r="Z11" i="972"/>
  <c r="Y11" i="972"/>
  <c r="X11" i="972"/>
  <c r="W11" i="972"/>
  <c r="V11" i="972"/>
  <c r="U11" i="972"/>
  <c r="T11" i="972"/>
  <c r="S11" i="972"/>
  <c r="R11" i="972"/>
  <c r="Z10" i="972"/>
  <c r="Y10" i="972"/>
  <c r="X10" i="972"/>
  <c r="W10" i="972"/>
  <c r="V10" i="972"/>
  <c r="U10" i="972"/>
  <c r="T10" i="972"/>
  <c r="S10" i="972"/>
  <c r="R10" i="972"/>
  <c r="G58" i="971"/>
  <c r="I18" i="978"/>
  <c r="J18" i="978"/>
  <c r="G72" i="974" l="1"/>
  <c r="G97" i="976"/>
  <c r="C66" i="978"/>
  <c r="K97" i="976"/>
  <c r="K91" i="976"/>
  <c r="K64" i="972"/>
  <c r="K77" i="972" s="1"/>
  <c r="I17" i="978"/>
  <c r="I16" i="978"/>
  <c r="I15" i="978"/>
  <c r="J26" i="978" s="1"/>
  <c r="G61" i="975"/>
  <c r="H57" i="974"/>
  <c r="G64" i="972"/>
  <c r="I64" i="972" s="1"/>
  <c r="K38" i="974"/>
  <c r="L38" i="974" s="1"/>
  <c r="M38" i="974" s="1"/>
  <c r="J36" i="973"/>
  <c r="I17" i="974"/>
  <c r="J17" i="974"/>
  <c r="I16" i="974"/>
  <c r="J16" i="974"/>
  <c r="I15" i="974"/>
  <c r="J15" i="974"/>
  <c r="I14" i="974"/>
  <c r="J14" i="974"/>
  <c r="J13" i="974"/>
  <c r="I13" i="974"/>
  <c r="I12" i="974"/>
  <c r="J12" i="974"/>
  <c r="I11" i="974"/>
  <c r="J11" i="974"/>
  <c r="I57" i="974"/>
  <c r="K45" i="972"/>
  <c r="L45" i="972" s="1"/>
  <c r="M45" i="972" s="1"/>
  <c r="J36" i="972"/>
  <c r="K40" i="973"/>
  <c r="L40" i="973" s="1"/>
  <c r="M40" i="973" s="1"/>
  <c r="B58" i="971"/>
  <c r="M29" i="971"/>
  <c r="L29" i="971"/>
  <c r="K29" i="971"/>
  <c r="L11" i="971"/>
  <c r="L12" i="971"/>
  <c r="L13" i="971"/>
  <c r="L14" i="971"/>
  <c r="L15" i="971"/>
  <c r="L16" i="971"/>
  <c r="L17" i="971"/>
  <c r="L18" i="971"/>
  <c r="L10" i="971"/>
  <c r="J16" i="971"/>
  <c r="I13" i="971"/>
  <c r="J13" i="971"/>
  <c r="I17" i="971"/>
  <c r="I18" i="971"/>
  <c r="J18" i="971"/>
  <c r="I11" i="971"/>
  <c r="I15" i="971"/>
  <c r="J17" i="971"/>
  <c r="R11" i="971"/>
  <c r="S11" i="971"/>
  <c r="T11" i="971"/>
  <c r="U11" i="971"/>
  <c r="V11" i="971"/>
  <c r="W11" i="971"/>
  <c r="X11" i="971"/>
  <c r="Y11" i="971"/>
  <c r="Z11" i="971"/>
  <c r="R12" i="971"/>
  <c r="S12" i="971"/>
  <c r="T12" i="971"/>
  <c r="U12" i="971"/>
  <c r="V12" i="971"/>
  <c r="W12" i="971"/>
  <c r="X12" i="971"/>
  <c r="Y12" i="971"/>
  <c r="Z12" i="971"/>
  <c r="R13" i="971"/>
  <c r="S13" i="971"/>
  <c r="T13" i="971"/>
  <c r="U13" i="971"/>
  <c r="V13" i="971"/>
  <c r="W13" i="971"/>
  <c r="X13" i="971"/>
  <c r="Y13" i="971"/>
  <c r="Z13" i="971"/>
  <c r="R14" i="971"/>
  <c r="S14" i="971"/>
  <c r="T14" i="971"/>
  <c r="U14" i="971"/>
  <c r="V14" i="971"/>
  <c r="W14" i="971"/>
  <c r="X14" i="971"/>
  <c r="Y14" i="971"/>
  <c r="Z14" i="971"/>
  <c r="R15" i="971"/>
  <c r="S15" i="971"/>
  <c r="T15" i="971"/>
  <c r="U15" i="971"/>
  <c r="V15" i="971"/>
  <c r="W15" i="971"/>
  <c r="X15" i="971"/>
  <c r="Y15" i="971"/>
  <c r="Z15" i="971"/>
  <c r="R16" i="971"/>
  <c r="S16" i="971"/>
  <c r="T16" i="971"/>
  <c r="U16" i="971"/>
  <c r="V16" i="971"/>
  <c r="W16" i="971"/>
  <c r="X16" i="971"/>
  <c r="Y16" i="971"/>
  <c r="Z16" i="971"/>
  <c r="R17" i="971"/>
  <c r="S17" i="971"/>
  <c r="T17" i="971"/>
  <c r="U17" i="971"/>
  <c r="V17" i="971"/>
  <c r="W17" i="971"/>
  <c r="X17" i="971"/>
  <c r="Y17" i="971"/>
  <c r="Z17" i="971"/>
  <c r="R18" i="971"/>
  <c r="S18" i="971"/>
  <c r="T18" i="971"/>
  <c r="U18" i="971"/>
  <c r="V18" i="971"/>
  <c r="W18" i="971"/>
  <c r="X18" i="971"/>
  <c r="Y18" i="971"/>
  <c r="Z18" i="971"/>
  <c r="R19" i="971"/>
  <c r="S19" i="971"/>
  <c r="T19" i="971"/>
  <c r="U19" i="971"/>
  <c r="V19" i="971"/>
  <c r="W19" i="971"/>
  <c r="X19" i="971"/>
  <c r="Y19" i="971"/>
  <c r="Z19" i="971"/>
  <c r="R20" i="971"/>
  <c r="S20" i="971"/>
  <c r="T20" i="971"/>
  <c r="U20" i="971"/>
  <c r="V20" i="971"/>
  <c r="W20" i="971"/>
  <c r="X20" i="971"/>
  <c r="Y20" i="971"/>
  <c r="Z20" i="971"/>
  <c r="R21" i="971"/>
  <c r="S21" i="971"/>
  <c r="T21" i="971"/>
  <c r="U21" i="971"/>
  <c r="V21" i="971"/>
  <c r="W21" i="971"/>
  <c r="X21" i="971"/>
  <c r="Y21" i="971"/>
  <c r="Z21" i="971"/>
  <c r="R22" i="971"/>
  <c r="S22" i="971"/>
  <c r="T22" i="971"/>
  <c r="U22" i="971"/>
  <c r="V22" i="971"/>
  <c r="W22" i="971"/>
  <c r="X22" i="971"/>
  <c r="Y22" i="971"/>
  <c r="Z22" i="971"/>
  <c r="R23" i="971"/>
  <c r="S23" i="971"/>
  <c r="T23" i="971"/>
  <c r="U23" i="971"/>
  <c r="V23" i="971"/>
  <c r="W23" i="971"/>
  <c r="X23" i="971"/>
  <c r="Y23" i="971"/>
  <c r="Z23" i="971"/>
  <c r="R24" i="971"/>
  <c r="S24" i="971"/>
  <c r="T24" i="971"/>
  <c r="U24" i="971"/>
  <c r="V24" i="971"/>
  <c r="W24" i="971"/>
  <c r="X24" i="971"/>
  <c r="Y24" i="971"/>
  <c r="Z24" i="971"/>
  <c r="R25" i="971"/>
  <c r="S25" i="971"/>
  <c r="T25" i="971"/>
  <c r="U25" i="971"/>
  <c r="V25" i="971"/>
  <c r="W25" i="971"/>
  <c r="X25" i="971"/>
  <c r="Y25" i="971"/>
  <c r="Z25" i="971"/>
  <c r="R26" i="971"/>
  <c r="S26" i="971"/>
  <c r="T26" i="971"/>
  <c r="U26" i="971"/>
  <c r="V26" i="971"/>
  <c r="W26" i="971"/>
  <c r="X26" i="971"/>
  <c r="Y26" i="971"/>
  <c r="Z26" i="971"/>
  <c r="R27" i="971"/>
  <c r="S27" i="971"/>
  <c r="T27" i="971"/>
  <c r="U27" i="971"/>
  <c r="V27" i="971"/>
  <c r="W27" i="971"/>
  <c r="X27" i="971"/>
  <c r="Y27" i="971"/>
  <c r="Z27" i="971"/>
  <c r="R28" i="971"/>
  <c r="S28" i="971"/>
  <c r="T28" i="971"/>
  <c r="U28" i="971"/>
  <c r="V28" i="971"/>
  <c r="W28" i="971"/>
  <c r="X28" i="971"/>
  <c r="Y28" i="971"/>
  <c r="Z28" i="971"/>
  <c r="R29" i="971"/>
  <c r="S29" i="971"/>
  <c r="T29" i="971"/>
  <c r="U29" i="971"/>
  <c r="V29" i="971"/>
  <c r="W29" i="971"/>
  <c r="X29" i="971"/>
  <c r="Y29" i="971"/>
  <c r="Z29" i="971"/>
  <c r="R30" i="971"/>
  <c r="S30" i="971"/>
  <c r="T30" i="971"/>
  <c r="U30" i="971"/>
  <c r="V30" i="971"/>
  <c r="W30" i="971"/>
  <c r="X30" i="971"/>
  <c r="Y30" i="971"/>
  <c r="Z30" i="971"/>
  <c r="R31" i="971"/>
  <c r="S31" i="971"/>
  <c r="T31" i="971"/>
  <c r="U31" i="971"/>
  <c r="V31" i="971"/>
  <c r="W31" i="971"/>
  <c r="X31" i="971"/>
  <c r="Y31" i="971"/>
  <c r="Z31" i="971"/>
  <c r="R32" i="971"/>
  <c r="S32" i="971"/>
  <c r="T32" i="971"/>
  <c r="U32" i="971"/>
  <c r="V32" i="971"/>
  <c r="W32" i="971"/>
  <c r="X32" i="971"/>
  <c r="Y32" i="971"/>
  <c r="Z32" i="971"/>
  <c r="R33" i="971"/>
  <c r="S33" i="971"/>
  <c r="T33" i="971"/>
  <c r="U33" i="971"/>
  <c r="V33" i="971"/>
  <c r="W33" i="971"/>
  <c r="X33" i="971"/>
  <c r="Y33" i="971"/>
  <c r="Z33" i="971"/>
  <c r="R34" i="971"/>
  <c r="S34" i="971"/>
  <c r="T34" i="971"/>
  <c r="U34" i="971"/>
  <c r="V34" i="971"/>
  <c r="W34" i="971"/>
  <c r="X34" i="971"/>
  <c r="Y34" i="971"/>
  <c r="Z34" i="971"/>
  <c r="R35" i="971"/>
  <c r="S35" i="971"/>
  <c r="T35" i="971"/>
  <c r="U35" i="971"/>
  <c r="V35" i="971"/>
  <c r="W35" i="971"/>
  <c r="X35" i="971"/>
  <c r="Y35" i="971"/>
  <c r="Z35" i="971"/>
  <c r="C10" i="971"/>
  <c r="D10" i="971"/>
  <c r="E10" i="971"/>
  <c r="F10" i="971"/>
  <c r="G10" i="971"/>
  <c r="M10" i="971"/>
  <c r="N10" i="971"/>
  <c r="O10" i="971"/>
  <c r="C11" i="971"/>
  <c r="D11" i="971"/>
  <c r="E11" i="971"/>
  <c r="F11" i="971"/>
  <c r="G11" i="971"/>
  <c r="M11" i="971"/>
  <c r="N11" i="971"/>
  <c r="O11" i="971"/>
  <c r="C12" i="971"/>
  <c r="D12" i="971"/>
  <c r="E12" i="971"/>
  <c r="F12" i="971"/>
  <c r="M12" i="971"/>
  <c r="N12" i="971"/>
  <c r="O12" i="971"/>
  <c r="C13" i="971"/>
  <c r="D13" i="971"/>
  <c r="E13" i="971"/>
  <c r="F13" i="971"/>
  <c r="G13" i="971"/>
  <c r="M13" i="971"/>
  <c r="N13" i="971"/>
  <c r="O13" i="971"/>
  <c r="C14" i="971"/>
  <c r="D14" i="971"/>
  <c r="E14" i="971"/>
  <c r="F14" i="971"/>
  <c r="G14" i="971"/>
  <c r="I14" i="971"/>
  <c r="J14" i="971"/>
  <c r="M14" i="971"/>
  <c r="N14" i="971"/>
  <c r="O14" i="971"/>
  <c r="C15" i="971"/>
  <c r="D15" i="971"/>
  <c r="E15" i="971"/>
  <c r="F15" i="971"/>
  <c r="G15" i="971"/>
  <c r="M15" i="971"/>
  <c r="N15" i="971"/>
  <c r="O15" i="971"/>
  <c r="C16" i="971"/>
  <c r="D16" i="971"/>
  <c r="E16" i="971"/>
  <c r="F16" i="971"/>
  <c r="G16" i="971"/>
  <c r="M16" i="971"/>
  <c r="N16" i="971"/>
  <c r="O16" i="971"/>
  <c r="C17" i="971"/>
  <c r="D17" i="971"/>
  <c r="E17" i="971"/>
  <c r="F17" i="971"/>
  <c r="G17" i="971"/>
  <c r="M17" i="971"/>
  <c r="N17" i="971"/>
  <c r="O17" i="971"/>
  <c r="C18" i="971"/>
  <c r="D18" i="971"/>
  <c r="E18" i="971"/>
  <c r="F18" i="971"/>
  <c r="G18" i="971"/>
  <c r="M18" i="971"/>
  <c r="N18" i="971"/>
  <c r="O18" i="971"/>
  <c r="F76" i="971"/>
  <c r="L62" i="971"/>
  <c r="AX60" i="971"/>
  <c r="AW60" i="971"/>
  <c r="AV60" i="971"/>
  <c r="AU60" i="971"/>
  <c r="AT60" i="971"/>
  <c r="AS60" i="971"/>
  <c r="AR60" i="971"/>
  <c r="AQ60" i="971"/>
  <c r="AP60" i="971"/>
  <c r="AO60" i="971"/>
  <c r="AN60" i="971"/>
  <c r="AM60" i="971"/>
  <c r="AL60" i="971"/>
  <c r="AK60" i="971"/>
  <c r="AJ60" i="971"/>
  <c r="AI60" i="971"/>
  <c r="AH60" i="971"/>
  <c r="AG60" i="971"/>
  <c r="AF60" i="971"/>
  <c r="AE60" i="971"/>
  <c r="AD60" i="971"/>
  <c r="AC60" i="971"/>
  <c r="AB60" i="971"/>
  <c r="AX59" i="971"/>
  <c r="AW59" i="971"/>
  <c r="AV59" i="971"/>
  <c r="AU59" i="971"/>
  <c r="AT59" i="971"/>
  <c r="AS59" i="971"/>
  <c r="AR59" i="971"/>
  <c r="AQ59" i="971"/>
  <c r="AP59" i="971"/>
  <c r="AO59" i="971"/>
  <c r="AN59" i="971"/>
  <c r="AM59" i="971"/>
  <c r="AL59" i="971"/>
  <c r="AK59" i="971"/>
  <c r="AJ59" i="971"/>
  <c r="AI59" i="971"/>
  <c r="AH59" i="971"/>
  <c r="AG59" i="971"/>
  <c r="AF59" i="971"/>
  <c r="AE59" i="971"/>
  <c r="AD59" i="971"/>
  <c r="AC59" i="971"/>
  <c r="AB59" i="971"/>
  <c r="AX58" i="971"/>
  <c r="AW58" i="971"/>
  <c r="AV58" i="971"/>
  <c r="AU58" i="971"/>
  <c r="AT58" i="971"/>
  <c r="AS58" i="971"/>
  <c r="AR58" i="971"/>
  <c r="AQ58" i="971"/>
  <c r="AP58" i="971"/>
  <c r="AO58" i="971"/>
  <c r="AN58" i="971"/>
  <c r="AM58" i="971"/>
  <c r="AL58" i="971"/>
  <c r="AK58" i="971"/>
  <c r="AJ58" i="971"/>
  <c r="AI58" i="971"/>
  <c r="AH58" i="971"/>
  <c r="AG58" i="971"/>
  <c r="AF58" i="971"/>
  <c r="AE58" i="971"/>
  <c r="AD58" i="971"/>
  <c r="AC58" i="971"/>
  <c r="AB58" i="971"/>
  <c r="K53" i="971"/>
  <c r="Z40" i="971"/>
  <c r="Y40" i="971"/>
  <c r="X40" i="971"/>
  <c r="W40" i="971"/>
  <c r="V40" i="971"/>
  <c r="U40" i="971"/>
  <c r="T40" i="971"/>
  <c r="S40" i="971"/>
  <c r="R40" i="971"/>
  <c r="Z39" i="971"/>
  <c r="Y39" i="971"/>
  <c r="X39" i="971"/>
  <c r="W39" i="971"/>
  <c r="V39" i="971"/>
  <c r="U39" i="971"/>
  <c r="T39" i="971"/>
  <c r="S39" i="971"/>
  <c r="R39" i="971"/>
  <c r="Z38" i="971"/>
  <c r="Y38" i="971"/>
  <c r="X38" i="971"/>
  <c r="W38" i="971"/>
  <c r="V38" i="971"/>
  <c r="U38" i="971"/>
  <c r="T38" i="971"/>
  <c r="S38" i="971"/>
  <c r="R38" i="971"/>
  <c r="Z37" i="971"/>
  <c r="Y37" i="971"/>
  <c r="X37" i="971"/>
  <c r="W37" i="971"/>
  <c r="V37" i="971"/>
  <c r="U37" i="971"/>
  <c r="T37" i="971"/>
  <c r="S37" i="971"/>
  <c r="R37" i="971"/>
  <c r="Z36" i="971"/>
  <c r="Y36" i="971"/>
  <c r="X36" i="971"/>
  <c r="W36" i="971"/>
  <c r="V36" i="971"/>
  <c r="U36" i="971"/>
  <c r="T36" i="971"/>
  <c r="S36" i="971"/>
  <c r="R36" i="971"/>
  <c r="M35" i="971"/>
  <c r="M34" i="971"/>
  <c r="M32" i="971"/>
  <c r="M31" i="971"/>
  <c r="L31" i="971"/>
  <c r="K31" i="971"/>
  <c r="M30" i="971"/>
  <c r="L30" i="971"/>
  <c r="K30" i="971"/>
  <c r="Z10" i="971"/>
  <c r="Y10" i="971"/>
  <c r="X10" i="971"/>
  <c r="W10" i="971"/>
  <c r="V10" i="971"/>
  <c r="U10" i="971"/>
  <c r="T10" i="971"/>
  <c r="S10" i="971"/>
  <c r="R10" i="971"/>
  <c r="G58" i="970"/>
  <c r="G56" i="970"/>
  <c r="I10" i="978"/>
  <c r="I11" i="978"/>
  <c r="I12" i="978"/>
  <c r="J24" i="978" l="1"/>
  <c r="D59" i="973"/>
  <c r="L59" i="973" s="1"/>
  <c r="C73" i="973" s="1"/>
  <c r="G73" i="973"/>
  <c r="K10" i="971"/>
  <c r="K11" i="971"/>
  <c r="K12" i="971"/>
  <c r="K13" i="971"/>
  <c r="K14" i="971"/>
  <c r="K15" i="971"/>
  <c r="K16" i="971"/>
  <c r="K17" i="971"/>
  <c r="K18" i="971"/>
  <c r="J11" i="971"/>
  <c r="J15" i="971"/>
  <c r="I16" i="971"/>
  <c r="K39" i="971"/>
  <c r="L39" i="971" s="1"/>
  <c r="M39" i="971" s="1"/>
  <c r="B58" i="970"/>
  <c r="B56" i="970"/>
  <c r="M27" i="970"/>
  <c r="L27" i="970"/>
  <c r="K27" i="970"/>
  <c r="I10" i="970"/>
  <c r="J10" i="970"/>
  <c r="M10" i="970"/>
  <c r="N10" i="970"/>
  <c r="O10" i="970"/>
  <c r="I11" i="970"/>
  <c r="J11" i="970"/>
  <c r="M11" i="970"/>
  <c r="N11" i="970"/>
  <c r="O11" i="970"/>
  <c r="I12" i="970"/>
  <c r="J12" i="970"/>
  <c r="M12" i="970"/>
  <c r="N12" i="970"/>
  <c r="O12" i="970"/>
  <c r="I13" i="970"/>
  <c r="J13" i="970"/>
  <c r="M13" i="970"/>
  <c r="N13" i="970"/>
  <c r="O13" i="970"/>
  <c r="I14" i="970"/>
  <c r="J14" i="970"/>
  <c r="M14" i="970"/>
  <c r="N14" i="970"/>
  <c r="O14" i="970"/>
  <c r="I15" i="970"/>
  <c r="J15" i="970"/>
  <c r="M15" i="970"/>
  <c r="N15" i="970"/>
  <c r="O15" i="970"/>
  <c r="I16" i="970"/>
  <c r="J16" i="970"/>
  <c r="M16" i="970"/>
  <c r="N16" i="970"/>
  <c r="O16" i="970"/>
  <c r="I17" i="970"/>
  <c r="J17" i="970"/>
  <c r="M17" i="970"/>
  <c r="N17" i="970"/>
  <c r="O17" i="970"/>
  <c r="I18" i="970"/>
  <c r="J18" i="970"/>
  <c r="M18" i="970"/>
  <c r="N18" i="970"/>
  <c r="O18" i="970"/>
  <c r="I19" i="970"/>
  <c r="J19" i="970"/>
  <c r="M19" i="970"/>
  <c r="N19" i="970"/>
  <c r="O19" i="970"/>
  <c r="C10" i="970"/>
  <c r="D10" i="970"/>
  <c r="E10" i="970"/>
  <c r="F10" i="970"/>
  <c r="G10" i="970"/>
  <c r="C11" i="970"/>
  <c r="D11" i="970"/>
  <c r="E11" i="970"/>
  <c r="F11" i="970"/>
  <c r="G11" i="970"/>
  <c r="C12" i="970"/>
  <c r="D12" i="970"/>
  <c r="E12" i="970"/>
  <c r="F12" i="970"/>
  <c r="G12" i="970"/>
  <c r="C13" i="970"/>
  <c r="D13" i="970"/>
  <c r="E13" i="970"/>
  <c r="F13" i="970"/>
  <c r="G13" i="970"/>
  <c r="C14" i="970"/>
  <c r="D14" i="970"/>
  <c r="E14" i="970"/>
  <c r="F14" i="970"/>
  <c r="G14" i="970"/>
  <c r="C15" i="970"/>
  <c r="D15" i="970"/>
  <c r="E15" i="970"/>
  <c r="F15" i="970"/>
  <c r="G15" i="970"/>
  <c r="C16" i="970"/>
  <c r="D16" i="970"/>
  <c r="E16" i="970"/>
  <c r="F16" i="970"/>
  <c r="G16" i="970"/>
  <c r="C17" i="970"/>
  <c r="D17" i="970"/>
  <c r="E17" i="970"/>
  <c r="F17" i="970"/>
  <c r="G17" i="970"/>
  <c r="C18" i="970"/>
  <c r="D18" i="970"/>
  <c r="E18" i="970"/>
  <c r="F18" i="970"/>
  <c r="G18" i="970"/>
  <c r="C19" i="970"/>
  <c r="D19" i="970"/>
  <c r="E19" i="970"/>
  <c r="F19" i="970"/>
  <c r="G19" i="970"/>
  <c r="F74" i="970"/>
  <c r="L60" i="970"/>
  <c r="AX58" i="970"/>
  <c r="AW58" i="970"/>
  <c r="AV58" i="970"/>
  <c r="AU58" i="970"/>
  <c r="AT58" i="970"/>
  <c r="AS58" i="970"/>
  <c r="AR58" i="970"/>
  <c r="AQ58" i="970"/>
  <c r="AP58" i="970"/>
  <c r="AO58" i="970"/>
  <c r="AN58" i="970"/>
  <c r="AM58" i="970"/>
  <c r="AL58" i="970"/>
  <c r="AK58" i="970"/>
  <c r="AJ58" i="970"/>
  <c r="AI58" i="970"/>
  <c r="AH58" i="970"/>
  <c r="AG58" i="970"/>
  <c r="AF58" i="970"/>
  <c r="AE58" i="970"/>
  <c r="AD58" i="970"/>
  <c r="AC58" i="970"/>
  <c r="AB58" i="970"/>
  <c r="AX57" i="970"/>
  <c r="AW57" i="970"/>
  <c r="AV57" i="970"/>
  <c r="AU57" i="970"/>
  <c r="AT57" i="970"/>
  <c r="AS57" i="970"/>
  <c r="AR57" i="970"/>
  <c r="AQ57" i="970"/>
  <c r="AP57" i="970"/>
  <c r="AO57" i="970"/>
  <c r="AN57" i="970"/>
  <c r="AM57" i="970"/>
  <c r="AL57" i="970"/>
  <c r="AK57" i="970"/>
  <c r="AJ57" i="970"/>
  <c r="AI57" i="970"/>
  <c r="AH57" i="970"/>
  <c r="AG57" i="970"/>
  <c r="AF57" i="970"/>
  <c r="AE57" i="970"/>
  <c r="AD57" i="970"/>
  <c r="AC57" i="970"/>
  <c r="AB57" i="970"/>
  <c r="AX56" i="970"/>
  <c r="AW56" i="970"/>
  <c r="AV56" i="970"/>
  <c r="AU56" i="970"/>
  <c r="AT56" i="970"/>
  <c r="AS56" i="970"/>
  <c r="AR56" i="970"/>
  <c r="AQ56" i="970"/>
  <c r="AP56" i="970"/>
  <c r="AO56" i="970"/>
  <c r="AN56" i="970"/>
  <c r="AM56" i="970"/>
  <c r="AL56" i="970"/>
  <c r="AK56" i="970"/>
  <c r="AJ56" i="970"/>
  <c r="AI56" i="970"/>
  <c r="AH56" i="970"/>
  <c r="AG56" i="970"/>
  <c r="AF56" i="970"/>
  <c r="AE56" i="970"/>
  <c r="AD56" i="970"/>
  <c r="AC56" i="970"/>
  <c r="AB56" i="970"/>
  <c r="K51" i="970"/>
  <c r="Z38" i="970"/>
  <c r="Y38" i="970"/>
  <c r="X38" i="970"/>
  <c r="W38" i="970"/>
  <c r="V38" i="970"/>
  <c r="U38" i="970"/>
  <c r="T38" i="970"/>
  <c r="S38" i="970"/>
  <c r="R38" i="970"/>
  <c r="Z37" i="970"/>
  <c r="Y37" i="970"/>
  <c r="X37" i="970"/>
  <c r="W37" i="970"/>
  <c r="V37" i="970"/>
  <c r="U37" i="970"/>
  <c r="T37" i="970"/>
  <c r="S37" i="970"/>
  <c r="R37" i="970"/>
  <c r="Z36" i="970"/>
  <c r="Y36" i="970"/>
  <c r="X36" i="970"/>
  <c r="W36" i="970"/>
  <c r="V36" i="970"/>
  <c r="U36" i="970"/>
  <c r="T36" i="970"/>
  <c r="S36" i="970"/>
  <c r="R36" i="970"/>
  <c r="Z35" i="970"/>
  <c r="Y35" i="970"/>
  <c r="X35" i="970"/>
  <c r="W35" i="970"/>
  <c r="V35" i="970"/>
  <c r="U35" i="970"/>
  <c r="T35" i="970"/>
  <c r="S35" i="970"/>
  <c r="R35" i="970"/>
  <c r="Z34" i="970"/>
  <c r="Y34" i="970"/>
  <c r="X34" i="970"/>
  <c r="W34" i="970"/>
  <c r="V34" i="970"/>
  <c r="U34" i="970"/>
  <c r="T34" i="970"/>
  <c r="S34" i="970"/>
  <c r="R34" i="970"/>
  <c r="Z33" i="970"/>
  <c r="Y33" i="970"/>
  <c r="X33" i="970"/>
  <c r="W33" i="970"/>
  <c r="V33" i="970"/>
  <c r="U33" i="970"/>
  <c r="T33" i="970"/>
  <c r="S33" i="970"/>
  <c r="R33" i="970"/>
  <c r="M33" i="970"/>
  <c r="Z32" i="970"/>
  <c r="Y32" i="970"/>
  <c r="X32" i="970"/>
  <c r="W32" i="970"/>
  <c r="V32" i="970"/>
  <c r="U32" i="970"/>
  <c r="T32" i="970"/>
  <c r="S32" i="970"/>
  <c r="R32" i="970"/>
  <c r="M32" i="970"/>
  <c r="Z31" i="970"/>
  <c r="Y31" i="970"/>
  <c r="X31" i="970"/>
  <c r="W31" i="970"/>
  <c r="V31" i="970"/>
  <c r="U31" i="970"/>
  <c r="T31" i="970"/>
  <c r="S31" i="970"/>
  <c r="R31" i="970"/>
  <c r="Z30" i="970"/>
  <c r="Y30" i="970"/>
  <c r="X30" i="970"/>
  <c r="W30" i="970"/>
  <c r="V30" i="970"/>
  <c r="U30" i="970"/>
  <c r="T30" i="970"/>
  <c r="S30" i="970"/>
  <c r="R30" i="970"/>
  <c r="M30" i="970"/>
  <c r="Z29" i="970"/>
  <c r="Y29" i="970"/>
  <c r="X29" i="970"/>
  <c r="W29" i="970"/>
  <c r="V29" i="970"/>
  <c r="U29" i="970"/>
  <c r="T29" i="970"/>
  <c r="S29" i="970"/>
  <c r="R29" i="970"/>
  <c r="M29" i="970"/>
  <c r="L29" i="970"/>
  <c r="K29" i="970"/>
  <c r="Z28" i="970"/>
  <c r="Y28" i="970"/>
  <c r="X28" i="970"/>
  <c r="W28" i="970"/>
  <c r="V28" i="970"/>
  <c r="U28" i="970"/>
  <c r="T28" i="970"/>
  <c r="S28" i="970"/>
  <c r="R28" i="970"/>
  <c r="M28" i="970"/>
  <c r="L28" i="970"/>
  <c r="K28" i="970"/>
  <c r="Z27" i="970"/>
  <c r="Y27" i="970"/>
  <c r="X27" i="970"/>
  <c r="W27" i="970"/>
  <c r="V27" i="970"/>
  <c r="U27" i="970"/>
  <c r="T27" i="970"/>
  <c r="S27" i="970"/>
  <c r="R27" i="970"/>
  <c r="Z26" i="970"/>
  <c r="Y26" i="970"/>
  <c r="X26" i="970"/>
  <c r="W26" i="970"/>
  <c r="V26" i="970"/>
  <c r="U26" i="970"/>
  <c r="T26" i="970"/>
  <c r="S26" i="970"/>
  <c r="R26" i="970"/>
  <c r="Z25" i="970"/>
  <c r="Y25" i="970"/>
  <c r="X25" i="970"/>
  <c r="W25" i="970"/>
  <c r="V25" i="970"/>
  <c r="U25" i="970"/>
  <c r="T25" i="970"/>
  <c r="S25" i="970"/>
  <c r="R25" i="970"/>
  <c r="Z24" i="970"/>
  <c r="Y24" i="970"/>
  <c r="X24" i="970"/>
  <c r="W24" i="970"/>
  <c r="V24" i="970"/>
  <c r="U24" i="970"/>
  <c r="T24" i="970"/>
  <c r="S24" i="970"/>
  <c r="R24" i="970"/>
  <c r="Z23" i="970"/>
  <c r="Y23" i="970"/>
  <c r="X23" i="970"/>
  <c r="W23" i="970"/>
  <c r="V23" i="970"/>
  <c r="U23" i="970"/>
  <c r="T23" i="970"/>
  <c r="S23" i="970"/>
  <c r="R23" i="970"/>
  <c r="Z22" i="970"/>
  <c r="Y22" i="970"/>
  <c r="X22" i="970"/>
  <c r="W22" i="970"/>
  <c r="V22" i="970"/>
  <c r="U22" i="970"/>
  <c r="T22" i="970"/>
  <c r="S22" i="970"/>
  <c r="R22" i="970"/>
  <c r="Z21" i="970"/>
  <c r="Y21" i="970"/>
  <c r="X21" i="970"/>
  <c r="W21" i="970"/>
  <c r="V21" i="970"/>
  <c r="U21" i="970"/>
  <c r="T21" i="970"/>
  <c r="S21" i="970"/>
  <c r="R21" i="970"/>
  <c r="Z20" i="970"/>
  <c r="Y20" i="970"/>
  <c r="X20" i="970"/>
  <c r="W20" i="970"/>
  <c r="V20" i="970"/>
  <c r="U20" i="970"/>
  <c r="T20" i="970"/>
  <c r="S20" i="970"/>
  <c r="R20" i="970"/>
  <c r="Z19" i="970"/>
  <c r="Y19" i="970"/>
  <c r="X19" i="970"/>
  <c r="W19" i="970"/>
  <c r="V19" i="970"/>
  <c r="U19" i="970"/>
  <c r="T19" i="970"/>
  <c r="S19" i="970"/>
  <c r="R19" i="970"/>
  <c r="Z18" i="970"/>
  <c r="Y18" i="970"/>
  <c r="X18" i="970"/>
  <c r="W18" i="970"/>
  <c r="V18" i="970"/>
  <c r="U18" i="970"/>
  <c r="T18" i="970"/>
  <c r="S18" i="970"/>
  <c r="R18" i="970"/>
  <c r="Z17" i="970"/>
  <c r="Y17" i="970"/>
  <c r="X17" i="970"/>
  <c r="W17" i="970"/>
  <c r="V17" i="970"/>
  <c r="U17" i="970"/>
  <c r="T17" i="970"/>
  <c r="S17" i="970"/>
  <c r="R17" i="970"/>
  <c r="Z16" i="970"/>
  <c r="Y16" i="970"/>
  <c r="X16" i="970"/>
  <c r="W16" i="970"/>
  <c r="V16" i="970"/>
  <c r="U16" i="970"/>
  <c r="T16" i="970"/>
  <c r="S16" i="970"/>
  <c r="R16" i="970"/>
  <c r="Z15" i="970"/>
  <c r="Y15" i="970"/>
  <c r="X15" i="970"/>
  <c r="W15" i="970"/>
  <c r="V15" i="970"/>
  <c r="U15" i="970"/>
  <c r="T15" i="970"/>
  <c r="S15" i="970"/>
  <c r="R15" i="970"/>
  <c r="Z14" i="970"/>
  <c r="Y14" i="970"/>
  <c r="X14" i="970"/>
  <c r="W14" i="970"/>
  <c r="V14" i="970"/>
  <c r="U14" i="970"/>
  <c r="T14" i="970"/>
  <c r="S14" i="970"/>
  <c r="R14" i="970"/>
  <c r="Z13" i="970"/>
  <c r="Y13" i="970"/>
  <c r="X13" i="970"/>
  <c r="W13" i="970"/>
  <c r="V13" i="970"/>
  <c r="U13" i="970"/>
  <c r="T13" i="970"/>
  <c r="S13" i="970"/>
  <c r="R13" i="970"/>
  <c r="Z12" i="970"/>
  <c r="Y12" i="970"/>
  <c r="X12" i="970"/>
  <c r="W12" i="970"/>
  <c r="V12" i="970"/>
  <c r="U12" i="970"/>
  <c r="T12" i="970"/>
  <c r="S12" i="970"/>
  <c r="R12" i="970"/>
  <c r="Z11" i="970"/>
  <c r="Y11" i="970"/>
  <c r="X11" i="970"/>
  <c r="W11" i="970"/>
  <c r="V11" i="970"/>
  <c r="U11" i="970"/>
  <c r="T11" i="970"/>
  <c r="S11" i="970"/>
  <c r="R11" i="970"/>
  <c r="Z10" i="970"/>
  <c r="Y10" i="970"/>
  <c r="X10" i="970"/>
  <c r="W10" i="970"/>
  <c r="V10" i="970"/>
  <c r="U10" i="970"/>
  <c r="T10" i="970"/>
  <c r="S10" i="970"/>
  <c r="R10" i="970"/>
  <c r="M36" i="969"/>
  <c r="L36" i="969"/>
  <c r="K36" i="969"/>
  <c r="C13" i="969"/>
  <c r="D13" i="969"/>
  <c r="E13" i="969"/>
  <c r="F13" i="969"/>
  <c r="G13" i="969"/>
  <c r="L13" i="969"/>
  <c r="M13" i="969"/>
  <c r="N13" i="969"/>
  <c r="O13" i="969"/>
  <c r="C14" i="969"/>
  <c r="D14" i="969"/>
  <c r="E14" i="969"/>
  <c r="F14" i="969"/>
  <c r="G14" i="969"/>
  <c r="L14" i="969"/>
  <c r="M14" i="969"/>
  <c r="N14" i="969"/>
  <c r="O14" i="969"/>
  <c r="C15" i="969"/>
  <c r="D15" i="969"/>
  <c r="E15" i="969"/>
  <c r="F15" i="969"/>
  <c r="G15" i="969"/>
  <c r="L15" i="969"/>
  <c r="M15" i="969"/>
  <c r="N15" i="969"/>
  <c r="O15" i="969"/>
  <c r="C16" i="969"/>
  <c r="D16" i="969"/>
  <c r="E16" i="969"/>
  <c r="F16" i="969"/>
  <c r="G16" i="969"/>
  <c r="L16" i="969"/>
  <c r="M16" i="969"/>
  <c r="N16" i="969"/>
  <c r="O16" i="969"/>
  <c r="C17" i="969"/>
  <c r="D17" i="969"/>
  <c r="E17" i="969"/>
  <c r="F17" i="969"/>
  <c r="G17" i="969"/>
  <c r="L17" i="969"/>
  <c r="M17" i="969"/>
  <c r="N17" i="969"/>
  <c r="O17" i="969"/>
  <c r="C18" i="969"/>
  <c r="D18" i="969"/>
  <c r="E18" i="969"/>
  <c r="F18" i="969"/>
  <c r="G18" i="969"/>
  <c r="M18" i="969"/>
  <c r="N18" i="969"/>
  <c r="O18" i="969"/>
  <c r="C10" i="969"/>
  <c r="D10" i="969"/>
  <c r="E10" i="969"/>
  <c r="F10" i="969"/>
  <c r="G10" i="969"/>
  <c r="L10" i="969"/>
  <c r="M10" i="969"/>
  <c r="N10" i="969"/>
  <c r="O10" i="969"/>
  <c r="C11" i="969"/>
  <c r="D11" i="969"/>
  <c r="E11" i="969"/>
  <c r="F11" i="969"/>
  <c r="G11" i="969"/>
  <c r="L11" i="969"/>
  <c r="M11" i="969"/>
  <c r="N11" i="969"/>
  <c r="O11" i="969"/>
  <c r="C12" i="969"/>
  <c r="D12" i="969"/>
  <c r="E12" i="969"/>
  <c r="F12" i="969"/>
  <c r="G12" i="969"/>
  <c r="L12" i="969"/>
  <c r="M12" i="969"/>
  <c r="N12" i="969"/>
  <c r="O12" i="969"/>
  <c r="F83" i="969"/>
  <c r="L69" i="969"/>
  <c r="AX67" i="969"/>
  <c r="AW67" i="969"/>
  <c r="AV67" i="969"/>
  <c r="AU67" i="969"/>
  <c r="AT67" i="969"/>
  <c r="AS67" i="969"/>
  <c r="AR67" i="969"/>
  <c r="AQ67" i="969"/>
  <c r="AP67" i="969"/>
  <c r="AO67" i="969"/>
  <c r="AN67" i="969"/>
  <c r="AM67" i="969"/>
  <c r="AL67" i="969"/>
  <c r="AK67" i="969"/>
  <c r="AJ67" i="969"/>
  <c r="AI67" i="969"/>
  <c r="AH67" i="969"/>
  <c r="AG67" i="969"/>
  <c r="AF67" i="969"/>
  <c r="AE67" i="969"/>
  <c r="AD67" i="969"/>
  <c r="AC67" i="969"/>
  <c r="AB67" i="969"/>
  <c r="AX66" i="969"/>
  <c r="AW66" i="969"/>
  <c r="AV66" i="969"/>
  <c r="AU66" i="969"/>
  <c r="AT66" i="969"/>
  <c r="AS66" i="969"/>
  <c r="AR66" i="969"/>
  <c r="AQ66" i="969"/>
  <c r="AP66" i="969"/>
  <c r="AO66" i="969"/>
  <c r="AN66" i="969"/>
  <c r="AM66" i="969"/>
  <c r="AL66" i="969"/>
  <c r="AK66" i="969"/>
  <c r="AJ66" i="969"/>
  <c r="AI66" i="969"/>
  <c r="AH66" i="969"/>
  <c r="AG66" i="969"/>
  <c r="AF66" i="969"/>
  <c r="AE66" i="969"/>
  <c r="AD66" i="969"/>
  <c r="AC66" i="969"/>
  <c r="AB66" i="969"/>
  <c r="AX65" i="969"/>
  <c r="AW65" i="969"/>
  <c r="AV65" i="969"/>
  <c r="AU65" i="969"/>
  <c r="AT65" i="969"/>
  <c r="AS65" i="969"/>
  <c r="AR65" i="969"/>
  <c r="AQ65" i="969"/>
  <c r="AP65" i="969"/>
  <c r="AO65" i="969"/>
  <c r="AN65" i="969"/>
  <c r="AM65" i="969"/>
  <c r="AL65" i="969"/>
  <c r="AK65" i="969"/>
  <c r="AJ65" i="969"/>
  <c r="AI65" i="969"/>
  <c r="AH65" i="969"/>
  <c r="AG65" i="969"/>
  <c r="AF65" i="969"/>
  <c r="AE65" i="969"/>
  <c r="AD65" i="969"/>
  <c r="AC65" i="969"/>
  <c r="AB65" i="969"/>
  <c r="K60" i="969"/>
  <c r="Z47" i="969"/>
  <c r="Y47" i="969"/>
  <c r="X47" i="969"/>
  <c r="W47" i="969"/>
  <c r="V47" i="969"/>
  <c r="U47" i="969"/>
  <c r="T47" i="969"/>
  <c r="S47" i="969"/>
  <c r="R47" i="969"/>
  <c r="Z46" i="969"/>
  <c r="Y46" i="969"/>
  <c r="X46" i="969"/>
  <c r="W46" i="969"/>
  <c r="V46" i="969"/>
  <c r="U46" i="969"/>
  <c r="T46" i="969"/>
  <c r="S46" i="969"/>
  <c r="R46" i="969"/>
  <c r="Z45" i="969"/>
  <c r="Y45" i="969"/>
  <c r="X45" i="969"/>
  <c r="W45" i="969"/>
  <c r="V45" i="969"/>
  <c r="U45" i="969"/>
  <c r="T45" i="969"/>
  <c r="S45" i="969"/>
  <c r="R45" i="969"/>
  <c r="Z44" i="969"/>
  <c r="Y44" i="969"/>
  <c r="X44" i="969"/>
  <c r="W44" i="969"/>
  <c r="V44" i="969"/>
  <c r="U44" i="969"/>
  <c r="T44" i="969"/>
  <c r="S44" i="969"/>
  <c r="R44" i="969"/>
  <c r="Z43" i="969"/>
  <c r="Y43" i="969"/>
  <c r="X43" i="969"/>
  <c r="W43" i="969"/>
  <c r="V43" i="969"/>
  <c r="U43" i="969"/>
  <c r="T43" i="969"/>
  <c r="S43" i="969"/>
  <c r="R43" i="969"/>
  <c r="Z42" i="969"/>
  <c r="Y42" i="969"/>
  <c r="X42" i="969"/>
  <c r="W42" i="969"/>
  <c r="V42" i="969"/>
  <c r="U42" i="969"/>
  <c r="T42" i="969"/>
  <c r="S42" i="969"/>
  <c r="R42" i="969"/>
  <c r="M42" i="969"/>
  <c r="Z41" i="969"/>
  <c r="Y41" i="969"/>
  <c r="X41" i="969"/>
  <c r="W41" i="969"/>
  <c r="V41" i="969"/>
  <c r="U41" i="969"/>
  <c r="T41" i="969"/>
  <c r="S41" i="969"/>
  <c r="R41" i="969"/>
  <c r="M41" i="969"/>
  <c r="Z40" i="969"/>
  <c r="Y40" i="969"/>
  <c r="X40" i="969"/>
  <c r="W40" i="969"/>
  <c r="V40" i="969"/>
  <c r="U40" i="969"/>
  <c r="T40" i="969"/>
  <c r="S40" i="969"/>
  <c r="R40" i="969"/>
  <c r="Z39" i="969"/>
  <c r="Y39" i="969"/>
  <c r="X39" i="969"/>
  <c r="W39" i="969"/>
  <c r="V39" i="969"/>
  <c r="U39" i="969"/>
  <c r="T39" i="969"/>
  <c r="S39" i="969"/>
  <c r="R39" i="969"/>
  <c r="M39" i="969"/>
  <c r="Z38" i="969"/>
  <c r="Y38" i="969"/>
  <c r="X38" i="969"/>
  <c r="W38" i="969"/>
  <c r="V38" i="969"/>
  <c r="U38" i="969"/>
  <c r="T38" i="969"/>
  <c r="S38" i="969"/>
  <c r="R38" i="969"/>
  <c r="M38" i="969"/>
  <c r="L38" i="969"/>
  <c r="K38" i="969"/>
  <c r="Z37" i="969"/>
  <c r="Y37" i="969"/>
  <c r="X37" i="969"/>
  <c r="W37" i="969"/>
  <c r="V37" i="969"/>
  <c r="U37" i="969"/>
  <c r="T37" i="969"/>
  <c r="S37" i="969"/>
  <c r="R37" i="969"/>
  <c r="M37" i="969"/>
  <c r="L37" i="969"/>
  <c r="K37" i="969"/>
  <c r="Z36" i="969"/>
  <c r="Y36" i="969"/>
  <c r="X36" i="969"/>
  <c r="W36" i="969"/>
  <c r="V36" i="969"/>
  <c r="U36" i="969"/>
  <c r="T36" i="969"/>
  <c r="S36" i="969"/>
  <c r="R36" i="969"/>
  <c r="Z35" i="969"/>
  <c r="Y35" i="969"/>
  <c r="X35" i="969"/>
  <c r="W35" i="969"/>
  <c r="V35" i="969"/>
  <c r="U35" i="969"/>
  <c r="T35" i="969"/>
  <c r="S35" i="969"/>
  <c r="R35" i="969"/>
  <c r="Z34" i="969"/>
  <c r="Y34" i="969"/>
  <c r="X34" i="969"/>
  <c r="W34" i="969"/>
  <c r="V34" i="969"/>
  <c r="U34" i="969"/>
  <c r="T34" i="969"/>
  <c r="S34" i="969"/>
  <c r="R34" i="969"/>
  <c r="Z33" i="969"/>
  <c r="Y33" i="969"/>
  <c r="X33" i="969"/>
  <c r="W33" i="969"/>
  <c r="V33" i="969"/>
  <c r="U33" i="969"/>
  <c r="T33" i="969"/>
  <c r="S33" i="969"/>
  <c r="R33" i="969"/>
  <c r="Z32" i="969"/>
  <c r="Y32" i="969"/>
  <c r="X32" i="969"/>
  <c r="W32" i="969"/>
  <c r="V32" i="969"/>
  <c r="U32" i="969"/>
  <c r="T32" i="969"/>
  <c r="S32" i="969"/>
  <c r="R32" i="969"/>
  <c r="Z31" i="969"/>
  <c r="Y31" i="969"/>
  <c r="X31" i="969"/>
  <c r="W31" i="969"/>
  <c r="V31" i="969"/>
  <c r="U31" i="969"/>
  <c r="T31" i="969"/>
  <c r="S31" i="969"/>
  <c r="R31" i="969"/>
  <c r="Z30" i="969"/>
  <c r="Y30" i="969"/>
  <c r="X30" i="969"/>
  <c r="W30" i="969"/>
  <c r="V30" i="969"/>
  <c r="U30" i="969"/>
  <c r="T30" i="969"/>
  <c r="S30" i="969"/>
  <c r="R30" i="969"/>
  <c r="Z29" i="969"/>
  <c r="Y29" i="969"/>
  <c r="X29" i="969"/>
  <c r="W29" i="969"/>
  <c r="V29" i="969"/>
  <c r="U29" i="969"/>
  <c r="T29" i="969"/>
  <c r="S29" i="969"/>
  <c r="R29" i="969"/>
  <c r="Z28" i="969"/>
  <c r="Y28" i="969"/>
  <c r="X28" i="969"/>
  <c r="W28" i="969"/>
  <c r="V28" i="969"/>
  <c r="U28" i="969"/>
  <c r="T28" i="969"/>
  <c r="S28" i="969"/>
  <c r="R28" i="969"/>
  <c r="Z27" i="969"/>
  <c r="Y27" i="969"/>
  <c r="X27" i="969"/>
  <c r="W27" i="969"/>
  <c r="V27" i="969"/>
  <c r="U27" i="969"/>
  <c r="T27" i="969"/>
  <c r="S27" i="969"/>
  <c r="R27" i="969"/>
  <c r="Z26" i="969"/>
  <c r="Y26" i="969"/>
  <c r="X26" i="969"/>
  <c r="W26" i="969"/>
  <c r="V26" i="969"/>
  <c r="U26" i="969"/>
  <c r="T26" i="969"/>
  <c r="S26" i="969"/>
  <c r="R26" i="969"/>
  <c r="Z25" i="969"/>
  <c r="Y25" i="969"/>
  <c r="X25" i="969"/>
  <c r="W25" i="969"/>
  <c r="V25" i="969"/>
  <c r="U25" i="969"/>
  <c r="T25" i="969"/>
  <c r="S25" i="969"/>
  <c r="R25" i="969"/>
  <c r="Z24" i="969"/>
  <c r="Y24" i="969"/>
  <c r="X24" i="969"/>
  <c r="W24" i="969"/>
  <c r="V24" i="969"/>
  <c r="U24" i="969"/>
  <c r="T24" i="969"/>
  <c r="S24" i="969"/>
  <c r="R24" i="969"/>
  <c r="Z23" i="969"/>
  <c r="Y23" i="969"/>
  <c r="X23" i="969"/>
  <c r="W23" i="969"/>
  <c r="V23" i="969"/>
  <c r="U23" i="969"/>
  <c r="T23" i="969"/>
  <c r="S23" i="969"/>
  <c r="R23" i="969"/>
  <c r="Z22" i="969"/>
  <c r="Y22" i="969"/>
  <c r="X22" i="969"/>
  <c r="W22" i="969"/>
  <c r="V22" i="969"/>
  <c r="U22" i="969"/>
  <c r="T22" i="969"/>
  <c r="S22" i="969"/>
  <c r="R22" i="969"/>
  <c r="Z21" i="969"/>
  <c r="Y21" i="969"/>
  <c r="X21" i="969"/>
  <c r="W21" i="969"/>
  <c r="V21" i="969"/>
  <c r="U21" i="969"/>
  <c r="T21" i="969"/>
  <c r="S21" i="969"/>
  <c r="R21" i="969"/>
  <c r="Z20" i="969"/>
  <c r="Y20" i="969"/>
  <c r="X20" i="969"/>
  <c r="W20" i="969"/>
  <c r="V20" i="969"/>
  <c r="U20" i="969"/>
  <c r="T20" i="969"/>
  <c r="S20" i="969"/>
  <c r="R20" i="969"/>
  <c r="Z19" i="969"/>
  <c r="Y19" i="969"/>
  <c r="X19" i="969"/>
  <c r="W19" i="969"/>
  <c r="V19" i="969"/>
  <c r="U19" i="969"/>
  <c r="T19" i="969"/>
  <c r="S19" i="969"/>
  <c r="R19" i="969"/>
  <c r="Z18" i="969"/>
  <c r="Y18" i="969"/>
  <c r="X18" i="969"/>
  <c r="W18" i="969"/>
  <c r="V18" i="969"/>
  <c r="U18" i="969"/>
  <c r="T18" i="969"/>
  <c r="S18" i="969"/>
  <c r="R18" i="969"/>
  <c r="Z17" i="969"/>
  <c r="Y17" i="969"/>
  <c r="X17" i="969"/>
  <c r="W17" i="969"/>
  <c r="V17" i="969"/>
  <c r="U17" i="969"/>
  <c r="T17" i="969"/>
  <c r="S17" i="969"/>
  <c r="R17" i="969"/>
  <c r="Z16" i="969"/>
  <c r="Y16" i="969"/>
  <c r="X16" i="969"/>
  <c r="W16" i="969"/>
  <c r="V16" i="969"/>
  <c r="U16" i="969"/>
  <c r="T16" i="969"/>
  <c r="S16" i="969"/>
  <c r="R16" i="969"/>
  <c r="Z15" i="969"/>
  <c r="Y15" i="969"/>
  <c r="X15" i="969"/>
  <c r="W15" i="969"/>
  <c r="V15" i="969"/>
  <c r="U15" i="969"/>
  <c r="T15" i="969"/>
  <c r="S15" i="969"/>
  <c r="R15" i="969"/>
  <c r="Z14" i="969"/>
  <c r="Y14" i="969"/>
  <c r="X14" i="969"/>
  <c r="W14" i="969"/>
  <c r="V14" i="969"/>
  <c r="U14" i="969"/>
  <c r="T14" i="969"/>
  <c r="S14" i="969"/>
  <c r="R14" i="969"/>
  <c r="Z13" i="969"/>
  <c r="Y13" i="969"/>
  <c r="X13" i="969"/>
  <c r="W13" i="969"/>
  <c r="V13" i="969"/>
  <c r="U13" i="969"/>
  <c r="T13" i="969"/>
  <c r="S13" i="969"/>
  <c r="R13" i="969"/>
  <c r="Z12" i="969"/>
  <c r="Y12" i="969"/>
  <c r="X12" i="969"/>
  <c r="W12" i="969"/>
  <c r="V12" i="969"/>
  <c r="U12" i="969"/>
  <c r="T12" i="969"/>
  <c r="S12" i="969"/>
  <c r="R12" i="969"/>
  <c r="Z11" i="969"/>
  <c r="Y11" i="969"/>
  <c r="X11" i="969"/>
  <c r="W11" i="969"/>
  <c r="V11" i="969"/>
  <c r="U11" i="969"/>
  <c r="T11" i="969"/>
  <c r="S11" i="969"/>
  <c r="R11" i="969"/>
  <c r="Z10" i="969"/>
  <c r="Y10" i="969"/>
  <c r="X10" i="969"/>
  <c r="W10" i="969"/>
  <c r="V10" i="969"/>
  <c r="U10" i="969"/>
  <c r="T10" i="969"/>
  <c r="S10" i="969"/>
  <c r="R10" i="969"/>
  <c r="G71" i="968"/>
  <c r="I10" i="974"/>
  <c r="J28" i="974" s="1"/>
  <c r="J10" i="974"/>
  <c r="J27" i="970" l="1"/>
  <c r="D58" i="970"/>
  <c r="L58" i="970" s="1"/>
  <c r="D56" i="970"/>
  <c r="L56" i="970" s="1"/>
  <c r="K37" i="970"/>
  <c r="L37" i="970" s="1"/>
  <c r="M37" i="970" s="1"/>
  <c r="K46" i="969"/>
  <c r="L46" i="969" s="1"/>
  <c r="M46" i="969" s="1"/>
  <c r="M43" i="968"/>
  <c r="L43" i="968"/>
  <c r="K43" i="968"/>
  <c r="K10" i="968"/>
  <c r="K13" i="968"/>
  <c r="K15" i="968"/>
  <c r="K17" i="968"/>
  <c r="R20" i="968"/>
  <c r="S20" i="968"/>
  <c r="T20" i="968"/>
  <c r="U20" i="968"/>
  <c r="V20" i="968"/>
  <c r="W20" i="968"/>
  <c r="X20" i="968"/>
  <c r="Y20" i="968"/>
  <c r="Z20" i="968"/>
  <c r="R21" i="968"/>
  <c r="S21" i="968"/>
  <c r="T21" i="968"/>
  <c r="U21" i="968"/>
  <c r="V21" i="968"/>
  <c r="W21" i="968"/>
  <c r="X21" i="968"/>
  <c r="Y21" i="968"/>
  <c r="Z21" i="968"/>
  <c r="R22" i="968"/>
  <c r="S22" i="968"/>
  <c r="T22" i="968"/>
  <c r="U22" i="968"/>
  <c r="V22" i="968"/>
  <c r="W22" i="968"/>
  <c r="X22" i="968"/>
  <c r="Y22" i="968"/>
  <c r="Z22" i="968"/>
  <c r="R23" i="968"/>
  <c r="S23" i="968"/>
  <c r="T23" i="968"/>
  <c r="U23" i="968"/>
  <c r="V23" i="968"/>
  <c r="W23" i="968"/>
  <c r="X23" i="968"/>
  <c r="Y23" i="968"/>
  <c r="Z23" i="968"/>
  <c r="R24" i="968"/>
  <c r="S24" i="968"/>
  <c r="T24" i="968"/>
  <c r="U24" i="968"/>
  <c r="V24" i="968"/>
  <c r="W24" i="968"/>
  <c r="X24" i="968"/>
  <c r="Y24" i="968"/>
  <c r="Z24" i="968"/>
  <c r="R25" i="968"/>
  <c r="S25" i="968"/>
  <c r="T25" i="968"/>
  <c r="U25" i="968"/>
  <c r="V25" i="968"/>
  <c r="W25" i="968"/>
  <c r="X25" i="968"/>
  <c r="Y25" i="968"/>
  <c r="Z25" i="968"/>
  <c r="R26" i="968"/>
  <c r="S26" i="968"/>
  <c r="T26" i="968"/>
  <c r="U26" i="968"/>
  <c r="V26" i="968"/>
  <c r="W26" i="968"/>
  <c r="X26" i="968"/>
  <c r="Y26" i="968"/>
  <c r="Z26" i="968"/>
  <c r="R27" i="968"/>
  <c r="S27" i="968"/>
  <c r="T27" i="968"/>
  <c r="U27" i="968"/>
  <c r="V27" i="968"/>
  <c r="W27" i="968"/>
  <c r="X27" i="968"/>
  <c r="Y27" i="968"/>
  <c r="Z27" i="968"/>
  <c r="R28" i="968"/>
  <c r="S28" i="968"/>
  <c r="T28" i="968"/>
  <c r="U28" i="968"/>
  <c r="V28" i="968"/>
  <c r="W28" i="968"/>
  <c r="X28" i="968"/>
  <c r="Y28" i="968"/>
  <c r="Z28" i="968"/>
  <c r="R29" i="968"/>
  <c r="S29" i="968"/>
  <c r="T29" i="968"/>
  <c r="U29" i="968"/>
  <c r="V29" i="968"/>
  <c r="W29" i="968"/>
  <c r="X29" i="968"/>
  <c r="Y29" i="968"/>
  <c r="Z29" i="968"/>
  <c r="R30" i="968"/>
  <c r="S30" i="968"/>
  <c r="T30" i="968"/>
  <c r="U30" i="968"/>
  <c r="V30" i="968"/>
  <c r="W30" i="968"/>
  <c r="X30" i="968"/>
  <c r="Y30" i="968"/>
  <c r="Z30" i="968"/>
  <c r="R31" i="968"/>
  <c r="S31" i="968"/>
  <c r="T31" i="968"/>
  <c r="U31" i="968"/>
  <c r="V31" i="968"/>
  <c r="W31" i="968"/>
  <c r="X31" i="968"/>
  <c r="Y31" i="968"/>
  <c r="Z31" i="968"/>
  <c r="R32" i="968"/>
  <c r="S32" i="968"/>
  <c r="T32" i="968"/>
  <c r="U32" i="968"/>
  <c r="V32" i="968"/>
  <c r="W32" i="968"/>
  <c r="X32" i="968"/>
  <c r="Y32" i="968"/>
  <c r="Z32" i="968"/>
  <c r="R33" i="968"/>
  <c r="S33" i="968"/>
  <c r="T33" i="968"/>
  <c r="U33" i="968"/>
  <c r="V33" i="968"/>
  <c r="W33" i="968"/>
  <c r="X33" i="968"/>
  <c r="Y33" i="968"/>
  <c r="Z33" i="968"/>
  <c r="R34" i="968"/>
  <c r="S34" i="968"/>
  <c r="T34" i="968"/>
  <c r="U34" i="968"/>
  <c r="V34" i="968"/>
  <c r="W34" i="968"/>
  <c r="X34" i="968"/>
  <c r="Y34" i="968"/>
  <c r="Z34" i="968"/>
  <c r="R35" i="968"/>
  <c r="S35" i="968"/>
  <c r="T35" i="968"/>
  <c r="U35" i="968"/>
  <c r="V35" i="968"/>
  <c r="W35" i="968"/>
  <c r="X35" i="968"/>
  <c r="Y35" i="968"/>
  <c r="Z35" i="968"/>
  <c r="R36" i="968"/>
  <c r="S36" i="968"/>
  <c r="T36" i="968"/>
  <c r="U36" i="968"/>
  <c r="V36" i="968"/>
  <c r="W36" i="968"/>
  <c r="X36" i="968"/>
  <c r="Y36" i="968"/>
  <c r="Z36" i="968"/>
  <c r="R37" i="968"/>
  <c r="S37" i="968"/>
  <c r="T37" i="968"/>
  <c r="U37" i="968"/>
  <c r="V37" i="968"/>
  <c r="W37" i="968"/>
  <c r="X37" i="968"/>
  <c r="Y37" i="968"/>
  <c r="Z37" i="968"/>
  <c r="R10" i="968"/>
  <c r="S10" i="968"/>
  <c r="T10" i="968"/>
  <c r="U10" i="968"/>
  <c r="V10" i="968"/>
  <c r="W10" i="968"/>
  <c r="X10" i="968"/>
  <c r="Y10" i="968"/>
  <c r="Z10" i="968"/>
  <c r="R11" i="968"/>
  <c r="S11" i="968"/>
  <c r="T11" i="968"/>
  <c r="U11" i="968"/>
  <c r="V11" i="968"/>
  <c r="W11" i="968"/>
  <c r="X11" i="968"/>
  <c r="Y11" i="968"/>
  <c r="Z11" i="968"/>
  <c r="R12" i="968"/>
  <c r="S12" i="968"/>
  <c r="T12" i="968"/>
  <c r="U12" i="968"/>
  <c r="V12" i="968"/>
  <c r="W12" i="968"/>
  <c r="X12" i="968"/>
  <c r="Y12" i="968"/>
  <c r="Z12" i="968"/>
  <c r="R13" i="968"/>
  <c r="S13" i="968"/>
  <c r="T13" i="968"/>
  <c r="U13" i="968"/>
  <c r="V13" i="968"/>
  <c r="W13" i="968"/>
  <c r="X13" i="968"/>
  <c r="Y13" i="968"/>
  <c r="Z13" i="968"/>
  <c r="R14" i="968"/>
  <c r="S14" i="968"/>
  <c r="T14" i="968"/>
  <c r="U14" i="968"/>
  <c r="V14" i="968"/>
  <c r="W14" i="968"/>
  <c r="X14" i="968"/>
  <c r="Y14" i="968"/>
  <c r="Z14" i="968"/>
  <c r="R15" i="968"/>
  <c r="S15" i="968"/>
  <c r="T15" i="968"/>
  <c r="U15" i="968"/>
  <c r="V15" i="968"/>
  <c r="W15" i="968"/>
  <c r="X15" i="968"/>
  <c r="Y15" i="968"/>
  <c r="Z15" i="968"/>
  <c r="R16" i="968"/>
  <c r="S16" i="968"/>
  <c r="T16" i="968"/>
  <c r="U16" i="968"/>
  <c r="V16" i="968"/>
  <c r="W16" i="968"/>
  <c r="X16" i="968"/>
  <c r="Y16" i="968"/>
  <c r="Z16" i="968"/>
  <c r="R17" i="968"/>
  <c r="S17" i="968"/>
  <c r="T17" i="968"/>
  <c r="U17" i="968"/>
  <c r="V17" i="968"/>
  <c r="W17" i="968"/>
  <c r="X17" i="968"/>
  <c r="Y17" i="968"/>
  <c r="Z17" i="968"/>
  <c r="R18" i="968"/>
  <c r="S18" i="968"/>
  <c r="T18" i="968"/>
  <c r="U18" i="968"/>
  <c r="V18" i="968"/>
  <c r="W18" i="968"/>
  <c r="X18" i="968"/>
  <c r="Y18" i="968"/>
  <c r="Z18" i="968"/>
  <c r="R19" i="968"/>
  <c r="S19" i="968"/>
  <c r="T19" i="968"/>
  <c r="U19" i="968"/>
  <c r="V19" i="968"/>
  <c r="W19" i="968"/>
  <c r="X19" i="968"/>
  <c r="Y19" i="968"/>
  <c r="Z19" i="968"/>
  <c r="C10" i="968"/>
  <c r="D10" i="968"/>
  <c r="E10" i="968"/>
  <c r="F10" i="968"/>
  <c r="G10" i="968"/>
  <c r="I10" i="968"/>
  <c r="J10" i="968"/>
  <c r="L10" i="968"/>
  <c r="M10" i="968"/>
  <c r="N10" i="968"/>
  <c r="O10" i="968"/>
  <c r="C11" i="968"/>
  <c r="D11" i="968"/>
  <c r="E11" i="968"/>
  <c r="F11" i="968"/>
  <c r="G11" i="968"/>
  <c r="I11" i="968"/>
  <c r="J11" i="968"/>
  <c r="K11" i="968"/>
  <c r="L11" i="968"/>
  <c r="M11" i="968"/>
  <c r="N11" i="968"/>
  <c r="O11" i="968"/>
  <c r="C12" i="968"/>
  <c r="D12" i="968"/>
  <c r="E12" i="968"/>
  <c r="F12" i="968"/>
  <c r="G12" i="968"/>
  <c r="I12" i="968"/>
  <c r="J12" i="968"/>
  <c r="K12" i="968"/>
  <c r="L12" i="968"/>
  <c r="M12" i="968"/>
  <c r="N12" i="968"/>
  <c r="O12" i="968"/>
  <c r="C13" i="968"/>
  <c r="D13" i="968"/>
  <c r="E13" i="968"/>
  <c r="F13" i="968"/>
  <c r="G13" i="968"/>
  <c r="I13" i="968"/>
  <c r="J13" i="968"/>
  <c r="L13" i="968"/>
  <c r="M13" i="968"/>
  <c r="N13" i="968"/>
  <c r="O13" i="968"/>
  <c r="C14" i="968"/>
  <c r="D14" i="968"/>
  <c r="E14" i="968"/>
  <c r="F14" i="968"/>
  <c r="G14" i="968"/>
  <c r="I14" i="968"/>
  <c r="J14" i="968"/>
  <c r="K14" i="968"/>
  <c r="L14" i="968"/>
  <c r="M14" i="968"/>
  <c r="N14" i="968"/>
  <c r="O14" i="968"/>
  <c r="C15" i="968"/>
  <c r="D15" i="968"/>
  <c r="E15" i="968"/>
  <c r="F15" i="968"/>
  <c r="G15" i="968"/>
  <c r="I15" i="968"/>
  <c r="J15" i="968"/>
  <c r="L15" i="968"/>
  <c r="M15" i="968"/>
  <c r="N15" i="968"/>
  <c r="O15" i="968"/>
  <c r="C16" i="968"/>
  <c r="D16" i="968"/>
  <c r="E16" i="968"/>
  <c r="F16" i="968"/>
  <c r="G16" i="968"/>
  <c r="I16" i="968"/>
  <c r="J16" i="968"/>
  <c r="K16" i="968"/>
  <c r="L16" i="968"/>
  <c r="M16" i="968"/>
  <c r="N16" i="968"/>
  <c r="O16" i="968"/>
  <c r="C17" i="968"/>
  <c r="D17" i="968"/>
  <c r="E17" i="968"/>
  <c r="F17" i="968"/>
  <c r="G17" i="968"/>
  <c r="I17" i="968"/>
  <c r="J17" i="968"/>
  <c r="L17" i="968"/>
  <c r="M17" i="968"/>
  <c r="N17" i="968"/>
  <c r="O17" i="968"/>
  <c r="F89" i="968"/>
  <c r="L75" i="968"/>
  <c r="AX73" i="968"/>
  <c r="AW73" i="968"/>
  <c r="AV73" i="968"/>
  <c r="AU73" i="968"/>
  <c r="AT73" i="968"/>
  <c r="AS73" i="968"/>
  <c r="AR73" i="968"/>
  <c r="AQ73" i="968"/>
  <c r="AP73" i="968"/>
  <c r="AO73" i="968"/>
  <c r="AN73" i="968"/>
  <c r="AM73" i="968"/>
  <c r="AL73" i="968"/>
  <c r="AK73" i="968"/>
  <c r="AJ73" i="968"/>
  <c r="AI73" i="968"/>
  <c r="AH73" i="968"/>
  <c r="AG73" i="968"/>
  <c r="AF73" i="968"/>
  <c r="AE73" i="968"/>
  <c r="AD73" i="968"/>
  <c r="AC73" i="968"/>
  <c r="AB73" i="968"/>
  <c r="AX72" i="968"/>
  <c r="AW72" i="968"/>
  <c r="AV72" i="968"/>
  <c r="AU72" i="968"/>
  <c r="AT72" i="968"/>
  <c r="AS72" i="968"/>
  <c r="AR72" i="968"/>
  <c r="AQ72" i="968"/>
  <c r="AP72" i="968"/>
  <c r="AO72" i="968"/>
  <c r="AN72" i="968"/>
  <c r="AM72" i="968"/>
  <c r="AL72" i="968"/>
  <c r="AK72" i="968"/>
  <c r="AJ72" i="968"/>
  <c r="AI72" i="968"/>
  <c r="AH72" i="968"/>
  <c r="AG72" i="968"/>
  <c r="AF72" i="968"/>
  <c r="AE72" i="968"/>
  <c r="AD72" i="968"/>
  <c r="AC72" i="968"/>
  <c r="AB72" i="968"/>
  <c r="AX71" i="968"/>
  <c r="AW71" i="968"/>
  <c r="AV71" i="968"/>
  <c r="AU71" i="968"/>
  <c r="AT71" i="968"/>
  <c r="AS71" i="968"/>
  <c r="AR71" i="968"/>
  <c r="AQ71" i="968"/>
  <c r="AP71" i="968"/>
  <c r="AO71" i="968"/>
  <c r="AN71" i="968"/>
  <c r="AM71" i="968"/>
  <c r="AL71" i="968"/>
  <c r="AK71" i="968"/>
  <c r="AJ71" i="968"/>
  <c r="AI71" i="968"/>
  <c r="AH71" i="968"/>
  <c r="AG71" i="968"/>
  <c r="AF71" i="968"/>
  <c r="AE71" i="968"/>
  <c r="AD71" i="968"/>
  <c r="AC71" i="968"/>
  <c r="AB71" i="968"/>
  <c r="B71" i="968"/>
  <c r="K66" i="968"/>
  <c r="Z53" i="968"/>
  <c r="Y53" i="968"/>
  <c r="X53" i="968"/>
  <c r="W53" i="968"/>
  <c r="V53" i="968"/>
  <c r="U53" i="968"/>
  <c r="T53" i="968"/>
  <c r="S53" i="968"/>
  <c r="R53" i="968"/>
  <c r="Z52" i="968"/>
  <c r="Y52" i="968"/>
  <c r="X52" i="968"/>
  <c r="W52" i="968"/>
  <c r="V52" i="968"/>
  <c r="U52" i="968"/>
  <c r="T52" i="968"/>
  <c r="S52" i="968"/>
  <c r="R52" i="968"/>
  <c r="Z51" i="968"/>
  <c r="Y51" i="968"/>
  <c r="X51" i="968"/>
  <c r="W51" i="968"/>
  <c r="V51" i="968"/>
  <c r="U51" i="968"/>
  <c r="T51" i="968"/>
  <c r="S51" i="968"/>
  <c r="R51" i="968"/>
  <c r="Z50" i="968"/>
  <c r="Y50" i="968"/>
  <c r="X50" i="968"/>
  <c r="W50" i="968"/>
  <c r="V50" i="968"/>
  <c r="U50" i="968"/>
  <c r="T50" i="968"/>
  <c r="S50" i="968"/>
  <c r="R50" i="968"/>
  <c r="Z49" i="968"/>
  <c r="Y49" i="968"/>
  <c r="X49" i="968"/>
  <c r="W49" i="968"/>
  <c r="V49" i="968"/>
  <c r="U49" i="968"/>
  <c r="T49" i="968"/>
  <c r="S49" i="968"/>
  <c r="R49" i="968"/>
  <c r="Z48" i="968"/>
  <c r="Y48" i="968"/>
  <c r="X48" i="968"/>
  <c r="W48" i="968"/>
  <c r="V48" i="968"/>
  <c r="U48" i="968"/>
  <c r="T48" i="968"/>
  <c r="S48" i="968"/>
  <c r="R48" i="968"/>
  <c r="M48" i="968"/>
  <c r="Z47" i="968"/>
  <c r="Y47" i="968"/>
  <c r="X47" i="968"/>
  <c r="W47" i="968"/>
  <c r="V47" i="968"/>
  <c r="U47" i="968"/>
  <c r="T47" i="968"/>
  <c r="S47" i="968"/>
  <c r="R47" i="968"/>
  <c r="M47" i="968"/>
  <c r="Z46" i="968"/>
  <c r="Y46" i="968"/>
  <c r="X46" i="968"/>
  <c r="W46" i="968"/>
  <c r="V46" i="968"/>
  <c r="U46" i="968"/>
  <c r="T46" i="968"/>
  <c r="S46" i="968"/>
  <c r="R46" i="968"/>
  <c r="Z45" i="968"/>
  <c r="Y45" i="968"/>
  <c r="X45" i="968"/>
  <c r="W45" i="968"/>
  <c r="V45" i="968"/>
  <c r="U45" i="968"/>
  <c r="T45" i="968"/>
  <c r="S45" i="968"/>
  <c r="R45" i="968"/>
  <c r="M45" i="968"/>
  <c r="Z44" i="968"/>
  <c r="Y44" i="968"/>
  <c r="X44" i="968"/>
  <c r="W44" i="968"/>
  <c r="V44" i="968"/>
  <c r="U44" i="968"/>
  <c r="T44" i="968"/>
  <c r="S44" i="968"/>
  <c r="R44" i="968"/>
  <c r="M44" i="968"/>
  <c r="L44" i="968"/>
  <c r="K44" i="968"/>
  <c r="Z43" i="968"/>
  <c r="Y43" i="968"/>
  <c r="X43" i="968"/>
  <c r="W43" i="968"/>
  <c r="V43" i="968"/>
  <c r="U43" i="968"/>
  <c r="T43" i="968"/>
  <c r="S43" i="968"/>
  <c r="R43" i="968"/>
  <c r="Z42" i="968"/>
  <c r="Y42" i="968"/>
  <c r="X42" i="968"/>
  <c r="W42" i="968"/>
  <c r="V42" i="968"/>
  <c r="U42" i="968"/>
  <c r="T42" i="968"/>
  <c r="S42" i="968"/>
  <c r="R42" i="968"/>
  <c r="M42" i="968"/>
  <c r="L42" i="968"/>
  <c r="K42" i="968"/>
  <c r="Z41" i="968"/>
  <c r="Y41" i="968"/>
  <c r="X41" i="968"/>
  <c r="W41" i="968"/>
  <c r="V41" i="968"/>
  <c r="U41" i="968"/>
  <c r="T41" i="968"/>
  <c r="S41" i="968"/>
  <c r="R41" i="968"/>
  <c r="Z40" i="968"/>
  <c r="Y40" i="968"/>
  <c r="X40" i="968"/>
  <c r="W40" i="968"/>
  <c r="V40" i="968"/>
  <c r="U40" i="968"/>
  <c r="T40" i="968"/>
  <c r="S40" i="968"/>
  <c r="R40" i="968"/>
  <c r="Z39" i="968"/>
  <c r="Y39" i="968"/>
  <c r="X39" i="968"/>
  <c r="W39" i="968"/>
  <c r="V39" i="968"/>
  <c r="U39" i="968"/>
  <c r="T39" i="968"/>
  <c r="S39" i="968"/>
  <c r="R39" i="968"/>
  <c r="Z38" i="968"/>
  <c r="Y38" i="968"/>
  <c r="X38" i="968"/>
  <c r="W38" i="968"/>
  <c r="V38" i="968"/>
  <c r="U38" i="968"/>
  <c r="T38" i="968"/>
  <c r="S38" i="968"/>
  <c r="R38" i="968"/>
  <c r="G60" i="967"/>
  <c r="K31" i="967"/>
  <c r="C70" i="970" l="1"/>
  <c r="G70" i="970"/>
  <c r="J43" i="968"/>
  <c r="K52" i="968"/>
  <c r="L52" i="968" s="1"/>
  <c r="M52" i="968" s="1"/>
  <c r="M31" i="967"/>
  <c r="L31" i="967"/>
  <c r="B60" i="967" l="1"/>
  <c r="R15" i="967"/>
  <c r="S15" i="967"/>
  <c r="T15" i="967"/>
  <c r="U15" i="967"/>
  <c r="V15" i="967"/>
  <c r="W15" i="967"/>
  <c r="X15" i="967"/>
  <c r="Y15" i="967"/>
  <c r="Z15" i="967"/>
  <c r="R16" i="967"/>
  <c r="S16" i="967"/>
  <c r="T16" i="967"/>
  <c r="U16" i="967"/>
  <c r="V16" i="967"/>
  <c r="W16" i="967"/>
  <c r="X16" i="967"/>
  <c r="Y16" i="967"/>
  <c r="Z16" i="967"/>
  <c r="R17" i="967"/>
  <c r="S17" i="967"/>
  <c r="T17" i="967"/>
  <c r="U17" i="967"/>
  <c r="V17" i="967"/>
  <c r="W17" i="967"/>
  <c r="X17" i="967"/>
  <c r="Y17" i="967"/>
  <c r="Z17" i="967"/>
  <c r="R18" i="967"/>
  <c r="S18" i="967"/>
  <c r="T18" i="967"/>
  <c r="U18" i="967"/>
  <c r="V18" i="967"/>
  <c r="W18" i="967"/>
  <c r="X18" i="967"/>
  <c r="Y18" i="967"/>
  <c r="Z18" i="967"/>
  <c r="R19" i="967"/>
  <c r="S19" i="967"/>
  <c r="T19" i="967"/>
  <c r="U19" i="967"/>
  <c r="V19" i="967"/>
  <c r="W19" i="967"/>
  <c r="X19" i="967"/>
  <c r="Y19" i="967"/>
  <c r="Z19" i="967"/>
  <c r="R20" i="967"/>
  <c r="S20" i="967"/>
  <c r="T20" i="967"/>
  <c r="U20" i="967"/>
  <c r="V20" i="967"/>
  <c r="W20" i="967"/>
  <c r="X20" i="967"/>
  <c r="Y20" i="967"/>
  <c r="Z20" i="967"/>
  <c r="R21" i="967"/>
  <c r="S21" i="967"/>
  <c r="T21" i="967"/>
  <c r="U21" i="967"/>
  <c r="V21" i="967"/>
  <c r="W21" i="967"/>
  <c r="X21" i="967"/>
  <c r="Y21" i="967"/>
  <c r="Z21" i="967"/>
  <c r="R22" i="967"/>
  <c r="S22" i="967"/>
  <c r="T22" i="967"/>
  <c r="U22" i="967"/>
  <c r="V22" i="967"/>
  <c r="W22" i="967"/>
  <c r="X22" i="967"/>
  <c r="Y22" i="967"/>
  <c r="Z22" i="967"/>
  <c r="R23" i="967"/>
  <c r="S23" i="967"/>
  <c r="T23" i="967"/>
  <c r="U23" i="967"/>
  <c r="V23" i="967"/>
  <c r="W23" i="967"/>
  <c r="X23" i="967"/>
  <c r="Y23" i="967"/>
  <c r="Z23" i="967"/>
  <c r="R24" i="967"/>
  <c r="S24" i="967"/>
  <c r="T24" i="967"/>
  <c r="U24" i="967"/>
  <c r="V24" i="967"/>
  <c r="W24" i="967"/>
  <c r="X24" i="967"/>
  <c r="Y24" i="967"/>
  <c r="Z24" i="967"/>
  <c r="R25" i="967"/>
  <c r="S25" i="967"/>
  <c r="T25" i="967"/>
  <c r="U25" i="967"/>
  <c r="V25" i="967"/>
  <c r="W25" i="967"/>
  <c r="X25" i="967"/>
  <c r="Y25" i="967"/>
  <c r="Z25" i="967"/>
  <c r="R26" i="967"/>
  <c r="S26" i="967"/>
  <c r="T26" i="967"/>
  <c r="U26" i="967"/>
  <c r="V26" i="967"/>
  <c r="W26" i="967"/>
  <c r="X26" i="967"/>
  <c r="Y26" i="967"/>
  <c r="Z26" i="967"/>
  <c r="R27" i="967"/>
  <c r="S27" i="967"/>
  <c r="T27" i="967"/>
  <c r="U27" i="967"/>
  <c r="V27" i="967"/>
  <c r="W27" i="967"/>
  <c r="X27" i="967"/>
  <c r="Y27" i="967"/>
  <c r="Z27" i="967"/>
  <c r="R28" i="967"/>
  <c r="S28" i="967"/>
  <c r="T28" i="967"/>
  <c r="U28" i="967"/>
  <c r="V28" i="967"/>
  <c r="W28" i="967"/>
  <c r="X28" i="967"/>
  <c r="Y28" i="967"/>
  <c r="Z28" i="967"/>
  <c r="R29" i="967"/>
  <c r="S29" i="967"/>
  <c r="T29" i="967"/>
  <c r="U29" i="967"/>
  <c r="V29" i="967"/>
  <c r="W29" i="967"/>
  <c r="X29" i="967"/>
  <c r="Y29" i="967"/>
  <c r="Z29" i="967"/>
  <c r="I10" i="967"/>
  <c r="J10" i="967"/>
  <c r="L10" i="967"/>
  <c r="M10" i="967"/>
  <c r="N10" i="967"/>
  <c r="O10" i="967"/>
  <c r="I11" i="967"/>
  <c r="J11" i="967"/>
  <c r="L11" i="967"/>
  <c r="M11" i="967"/>
  <c r="N11" i="967"/>
  <c r="O11" i="967"/>
  <c r="I12" i="967"/>
  <c r="J12" i="967"/>
  <c r="L12" i="967"/>
  <c r="M12" i="967"/>
  <c r="N12" i="967"/>
  <c r="O12" i="967"/>
  <c r="I13" i="967"/>
  <c r="J13" i="967"/>
  <c r="L13" i="967"/>
  <c r="M13" i="967"/>
  <c r="N13" i="967"/>
  <c r="O13" i="967"/>
  <c r="I14" i="967"/>
  <c r="J14" i="967"/>
  <c r="L14" i="967"/>
  <c r="M14" i="967"/>
  <c r="N14" i="967"/>
  <c r="O14" i="967"/>
  <c r="I15" i="967"/>
  <c r="J15" i="967"/>
  <c r="L15" i="967"/>
  <c r="M15" i="967"/>
  <c r="N15" i="967"/>
  <c r="O15" i="967"/>
  <c r="C10" i="967"/>
  <c r="D10" i="967"/>
  <c r="E10" i="967"/>
  <c r="F10" i="967"/>
  <c r="G10" i="967"/>
  <c r="C11" i="967"/>
  <c r="D11" i="967"/>
  <c r="E11" i="967"/>
  <c r="F11" i="967"/>
  <c r="G11" i="967"/>
  <c r="C12" i="967"/>
  <c r="D12" i="967"/>
  <c r="E12" i="967"/>
  <c r="F12" i="967"/>
  <c r="G12" i="967"/>
  <c r="C13" i="967"/>
  <c r="D13" i="967"/>
  <c r="E13" i="967"/>
  <c r="F13" i="967"/>
  <c r="G13" i="967"/>
  <c r="C14" i="967"/>
  <c r="D14" i="967"/>
  <c r="E14" i="967"/>
  <c r="F14" i="967"/>
  <c r="G14" i="967"/>
  <c r="C15" i="967"/>
  <c r="D15" i="967"/>
  <c r="E15" i="967"/>
  <c r="F15" i="967"/>
  <c r="G15" i="967"/>
  <c r="F78" i="967"/>
  <c r="L64" i="967"/>
  <c r="AX62" i="967"/>
  <c r="AW62" i="967"/>
  <c r="AV62" i="967"/>
  <c r="AU62" i="967"/>
  <c r="AT62" i="967"/>
  <c r="AS62" i="967"/>
  <c r="AR62" i="967"/>
  <c r="AQ62" i="967"/>
  <c r="AP62" i="967"/>
  <c r="AO62" i="967"/>
  <c r="AN62" i="967"/>
  <c r="AM62" i="967"/>
  <c r="AL62" i="967"/>
  <c r="AK62" i="967"/>
  <c r="AJ62" i="967"/>
  <c r="AI62" i="967"/>
  <c r="AH62" i="967"/>
  <c r="AG62" i="967"/>
  <c r="AF62" i="967"/>
  <c r="AE62" i="967"/>
  <c r="AD62" i="967"/>
  <c r="AC62" i="967"/>
  <c r="AB62" i="967"/>
  <c r="AX61" i="967"/>
  <c r="AW61" i="967"/>
  <c r="AV61" i="967"/>
  <c r="AU61" i="967"/>
  <c r="AT61" i="967"/>
  <c r="AS61" i="967"/>
  <c r="AR61" i="967"/>
  <c r="AQ61" i="967"/>
  <c r="AP61" i="967"/>
  <c r="AO61" i="967"/>
  <c r="AN61" i="967"/>
  <c r="AM61" i="967"/>
  <c r="AL61" i="967"/>
  <c r="AK61" i="967"/>
  <c r="AJ61" i="967"/>
  <c r="AI61" i="967"/>
  <c r="AH61" i="967"/>
  <c r="AG61" i="967"/>
  <c r="AF61" i="967"/>
  <c r="AE61" i="967"/>
  <c r="AD61" i="967"/>
  <c r="AC61" i="967"/>
  <c r="AB61" i="967"/>
  <c r="AX60" i="967"/>
  <c r="AW60" i="967"/>
  <c r="AV60" i="967"/>
  <c r="AU60" i="967"/>
  <c r="AT60" i="967"/>
  <c r="AS60" i="967"/>
  <c r="AR60" i="967"/>
  <c r="AQ60" i="967"/>
  <c r="AP60" i="967"/>
  <c r="AO60" i="967"/>
  <c r="AN60" i="967"/>
  <c r="AM60" i="967"/>
  <c r="AL60" i="967"/>
  <c r="AK60" i="967"/>
  <c r="AJ60" i="967"/>
  <c r="AI60" i="967"/>
  <c r="AH60" i="967"/>
  <c r="AG60" i="967"/>
  <c r="AF60" i="967"/>
  <c r="AE60" i="967"/>
  <c r="AD60" i="967"/>
  <c r="AC60" i="967"/>
  <c r="AB60" i="967"/>
  <c r="K55" i="967"/>
  <c r="Z42" i="967"/>
  <c r="Y42" i="967"/>
  <c r="X42" i="967"/>
  <c r="W42" i="967"/>
  <c r="V42" i="967"/>
  <c r="U42" i="967"/>
  <c r="T42" i="967"/>
  <c r="S42" i="967"/>
  <c r="R42" i="967"/>
  <c r="Z41" i="967"/>
  <c r="Y41" i="967"/>
  <c r="X41" i="967"/>
  <c r="W41" i="967"/>
  <c r="V41" i="967"/>
  <c r="U41" i="967"/>
  <c r="T41" i="967"/>
  <c r="S41" i="967"/>
  <c r="R41" i="967"/>
  <c r="Z40" i="967"/>
  <c r="Y40" i="967"/>
  <c r="X40" i="967"/>
  <c r="W40" i="967"/>
  <c r="V40" i="967"/>
  <c r="U40" i="967"/>
  <c r="T40" i="967"/>
  <c r="S40" i="967"/>
  <c r="R40" i="967"/>
  <c r="Z39" i="967"/>
  <c r="Y39" i="967"/>
  <c r="X39" i="967"/>
  <c r="W39" i="967"/>
  <c r="V39" i="967"/>
  <c r="U39" i="967"/>
  <c r="T39" i="967"/>
  <c r="S39" i="967"/>
  <c r="R39" i="967"/>
  <c r="Z38" i="967"/>
  <c r="Y38" i="967"/>
  <c r="X38" i="967"/>
  <c r="W38" i="967"/>
  <c r="V38" i="967"/>
  <c r="U38" i="967"/>
  <c r="T38" i="967"/>
  <c r="S38" i="967"/>
  <c r="R38" i="967"/>
  <c r="Z37" i="967"/>
  <c r="Y37" i="967"/>
  <c r="X37" i="967"/>
  <c r="W37" i="967"/>
  <c r="V37" i="967"/>
  <c r="U37" i="967"/>
  <c r="T37" i="967"/>
  <c r="S37" i="967"/>
  <c r="R37" i="967"/>
  <c r="M37" i="967"/>
  <c r="Z36" i="967"/>
  <c r="Y36" i="967"/>
  <c r="X36" i="967"/>
  <c r="W36" i="967"/>
  <c r="V36" i="967"/>
  <c r="U36" i="967"/>
  <c r="T36" i="967"/>
  <c r="S36" i="967"/>
  <c r="R36" i="967"/>
  <c r="M36" i="967"/>
  <c r="Z35" i="967"/>
  <c r="Y35" i="967"/>
  <c r="X35" i="967"/>
  <c r="W35" i="967"/>
  <c r="V35" i="967"/>
  <c r="U35" i="967"/>
  <c r="T35" i="967"/>
  <c r="S35" i="967"/>
  <c r="R35" i="967"/>
  <c r="Z34" i="967"/>
  <c r="Y34" i="967"/>
  <c r="X34" i="967"/>
  <c r="W34" i="967"/>
  <c r="V34" i="967"/>
  <c r="U34" i="967"/>
  <c r="T34" i="967"/>
  <c r="S34" i="967"/>
  <c r="R34" i="967"/>
  <c r="M34" i="967"/>
  <c r="Z33" i="967"/>
  <c r="Y33" i="967"/>
  <c r="X33" i="967"/>
  <c r="W33" i="967"/>
  <c r="V33" i="967"/>
  <c r="U33" i="967"/>
  <c r="T33" i="967"/>
  <c r="S33" i="967"/>
  <c r="R33" i="967"/>
  <c r="M33" i="967"/>
  <c r="L33" i="967"/>
  <c r="K33" i="967"/>
  <c r="Z32" i="967"/>
  <c r="Y32" i="967"/>
  <c r="X32" i="967"/>
  <c r="W32" i="967"/>
  <c r="V32" i="967"/>
  <c r="U32" i="967"/>
  <c r="T32" i="967"/>
  <c r="S32" i="967"/>
  <c r="R32" i="967"/>
  <c r="M32" i="967"/>
  <c r="L32" i="967"/>
  <c r="K32" i="967"/>
  <c r="Z31" i="967"/>
  <c r="Y31" i="967"/>
  <c r="X31" i="967"/>
  <c r="W31" i="967"/>
  <c r="V31" i="967"/>
  <c r="U31" i="967"/>
  <c r="T31" i="967"/>
  <c r="S31" i="967"/>
  <c r="R31" i="967"/>
  <c r="Z30" i="967"/>
  <c r="Y30" i="967"/>
  <c r="X30" i="967"/>
  <c r="W30" i="967"/>
  <c r="V30" i="967"/>
  <c r="U30" i="967"/>
  <c r="T30" i="967"/>
  <c r="S30" i="967"/>
  <c r="R30" i="967"/>
  <c r="Z14" i="967"/>
  <c r="Y14" i="967"/>
  <c r="X14" i="967"/>
  <c r="W14" i="967"/>
  <c r="V14" i="967"/>
  <c r="U14" i="967"/>
  <c r="T14" i="967"/>
  <c r="S14" i="967"/>
  <c r="R14" i="967"/>
  <c r="Z13" i="967"/>
  <c r="Y13" i="967"/>
  <c r="X13" i="967"/>
  <c r="W13" i="967"/>
  <c r="V13" i="967"/>
  <c r="U13" i="967"/>
  <c r="T13" i="967"/>
  <c r="S13" i="967"/>
  <c r="R13" i="967"/>
  <c r="Z12" i="967"/>
  <c r="Y12" i="967"/>
  <c r="X12" i="967"/>
  <c r="W12" i="967"/>
  <c r="V12" i="967"/>
  <c r="U12" i="967"/>
  <c r="T12" i="967"/>
  <c r="S12" i="967"/>
  <c r="R12" i="967"/>
  <c r="Z11" i="967"/>
  <c r="Y11" i="967"/>
  <c r="X11" i="967"/>
  <c r="W11" i="967"/>
  <c r="V11" i="967"/>
  <c r="U11" i="967"/>
  <c r="T11" i="967"/>
  <c r="S11" i="967"/>
  <c r="R11" i="967"/>
  <c r="Z10" i="967"/>
  <c r="Y10" i="967"/>
  <c r="X10" i="967"/>
  <c r="W10" i="967"/>
  <c r="V10" i="967"/>
  <c r="U10" i="967"/>
  <c r="T10" i="967"/>
  <c r="S10" i="967"/>
  <c r="R10" i="967"/>
  <c r="M34" i="966"/>
  <c r="L34" i="966"/>
  <c r="K34" i="966"/>
  <c r="M35" i="966"/>
  <c r="L35" i="966"/>
  <c r="K35" i="966"/>
  <c r="C19" i="966"/>
  <c r="D19" i="966"/>
  <c r="E19" i="966"/>
  <c r="F19" i="966"/>
  <c r="G19" i="966"/>
  <c r="I19" i="966"/>
  <c r="J19" i="966"/>
  <c r="L19" i="966"/>
  <c r="M19" i="966"/>
  <c r="N19" i="966"/>
  <c r="O19" i="966"/>
  <c r="O18" i="966"/>
  <c r="N18" i="966"/>
  <c r="M18" i="966"/>
  <c r="L18" i="966"/>
  <c r="J18" i="966"/>
  <c r="I18" i="966"/>
  <c r="G18" i="966"/>
  <c r="F18" i="966"/>
  <c r="E18" i="966"/>
  <c r="D18" i="966"/>
  <c r="C18" i="966"/>
  <c r="R12" i="966"/>
  <c r="S12" i="966"/>
  <c r="T12" i="966"/>
  <c r="U12" i="966"/>
  <c r="V12" i="966"/>
  <c r="W12" i="966"/>
  <c r="X12" i="966"/>
  <c r="Y12" i="966"/>
  <c r="Z12" i="966"/>
  <c r="R13" i="966"/>
  <c r="S13" i="966"/>
  <c r="T13" i="966"/>
  <c r="U13" i="966"/>
  <c r="V13" i="966"/>
  <c r="W13" i="966"/>
  <c r="X13" i="966"/>
  <c r="Y13" i="966"/>
  <c r="Z13" i="966"/>
  <c r="R14" i="966"/>
  <c r="S14" i="966"/>
  <c r="T14" i="966"/>
  <c r="U14" i="966"/>
  <c r="V14" i="966"/>
  <c r="W14" i="966"/>
  <c r="X14" i="966"/>
  <c r="Y14" i="966"/>
  <c r="Z14" i="966"/>
  <c r="R15" i="966"/>
  <c r="S15" i="966"/>
  <c r="T15" i="966"/>
  <c r="U15" i="966"/>
  <c r="V15" i="966"/>
  <c r="W15" i="966"/>
  <c r="X15" i="966"/>
  <c r="Y15" i="966"/>
  <c r="Z15" i="966"/>
  <c r="R16" i="966"/>
  <c r="S16" i="966"/>
  <c r="T16" i="966"/>
  <c r="U16" i="966"/>
  <c r="V16" i="966"/>
  <c r="W16" i="966"/>
  <c r="X16" i="966"/>
  <c r="Y16" i="966"/>
  <c r="Z16" i="966"/>
  <c r="R17" i="966"/>
  <c r="S17" i="966"/>
  <c r="T17" i="966"/>
  <c r="U17" i="966"/>
  <c r="V17" i="966"/>
  <c r="W17" i="966"/>
  <c r="X17" i="966"/>
  <c r="Y17" i="966"/>
  <c r="Z17" i="966"/>
  <c r="R18" i="966"/>
  <c r="S18" i="966"/>
  <c r="T18" i="966"/>
  <c r="U18" i="966"/>
  <c r="V18" i="966"/>
  <c r="W18" i="966"/>
  <c r="X18" i="966"/>
  <c r="Y18" i="966"/>
  <c r="Z18" i="966"/>
  <c r="R19" i="966"/>
  <c r="S19" i="966"/>
  <c r="T19" i="966"/>
  <c r="U19" i="966"/>
  <c r="V19" i="966"/>
  <c r="W19" i="966"/>
  <c r="X19" i="966"/>
  <c r="Y19" i="966"/>
  <c r="Z19" i="966"/>
  <c r="R20" i="966"/>
  <c r="S20" i="966"/>
  <c r="T20" i="966"/>
  <c r="U20" i="966"/>
  <c r="V20" i="966"/>
  <c r="W20" i="966"/>
  <c r="X20" i="966"/>
  <c r="Y20" i="966"/>
  <c r="Z20" i="966"/>
  <c r="R21" i="966"/>
  <c r="S21" i="966"/>
  <c r="T21" i="966"/>
  <c r="U21" i="966"/>
  <c r="V21" i="966"/>
  <c r="W21" i="966"/>
  <c r="X21" i="966"/>
  <c r="Y21" i="966"/>
  <c r="Z21" i="966"/>
  <c r="R22" i="966"/>
  <c r="S22" i="966"/>
  <c r="T22" i="966"/>
  <c r="U22" i="966"/>
  <c r="V22" i="966"/>
  <c r="W22" i="966"/>
  <c r="X22" i="966"/>
  <c r="Y22" i="966"/>
  <c r="Z22" i="966"/>
  <c r="R23" i="966"/>
  <c r="S23" i="966"/>
  <c r="T23" i="966"/>
  <c r="U23" i="966"/>
  <c r="V23" i="966"/>
  <c r="W23" i="966"/>
  <c r="X23" i="966"/>
  <c r="Y23" i="966"/>
  <c r="Z23" i="966"/>
  <c r="R24" i="966"/>
  <c r="S24" i="966"/>
  <c r="T24" i="966"/>
  <c r="U24" i="966"/>
  <c r="V24" i="966"/>
  <c r="W24" i="966"/>
  <c r="X24" i="966"/>
  <c r="Y24" i="966"/>
  <c r="Z24" i="966"/>
  <c r="I10" i="966"/>
  <c r="J10" i="966"/>
  <c r="L10" i="966"/>
  <c r="M10" i="966"/>
  <c r="N10" i="966"/>
  <c r="O10" i="966"/>
  <c r="I11" i="966"/>
  <c r="J11" i="966"/>
  <c r="L11" i="966"/>
  <c r="M11" i="966"/>
  <c r="N11" i="966"/>
  <c r="O11" i="966"/>
  <c r="I12" i="966"/>
  <c r="J12" i="966"/>
  <c r="L12" i="966"/>
  <c r="M12" i="966"/>
  <c r="N12" i="966"/>
  <c r="O12" i="966"/>
  <c r="I13" i="966"/>
  <c r="J13" i="966"/>
  <c r="L13" i="966"/>
  <c r="M13" i="966"/>
  <c r="N13" i="966"/>
  <c r="O13" i="966"/>
  <c r="I14" i="966"/>
  <c r="J14" i="966"/>
  <c r="L14" i="966"/>
  <c r="M14" i="966"/>
  <c r="N14" i="966"/>
  <c r="O14" i="966"/>
  <c r="I15" i="966"/>
  <c r="J15" i="966"/>
  <c r="L15" i="966"/>
  <c r="M15" i="966"/>
  <c r="N15" i="966"/>
  <c r="O15" i="966"/>
  <c r="I16" i="966"/>
  <c r="J16" i="966"/>
  <c r="L16" i="966"/>
  <c r="M16" i="966"/>
  <c r="N16" i="966"/>
  <c r="O16" i="966"/>
  <c r="C10" i="966"/>
  <c r="D10" i="966"/>
  <c r="E10" i="966"/>
  <c r="F10" i="966"/>
  <c r="G10" i="966"/>
  <c r="C11" i="966"/>
  <c r="D11" i="966"/>
  <c r="E11" i="966"/>
  <c r="F11" i="966"/>
  <c r="G11" i="966"/>
  <c r="C12" i="966"/>
  <c r="D12" i="966"/>
  <c r="E12" i="966"/>
  <c r="F12" i="966"/>
  <c r="G12" i="966"/>
  <c r="C13" i="966"/>
  <c r="D13" i="966"/>
  <c r="E13" i="966"/>
  <c r="F13" i="966"/>
  <c r="G13" i="966"/>
  <c r="C14" i="966"/>
  <c r="D14" i="966"/>
  <c r="E14" i="966"/>
  <c r="F14" i="966"/>
  <c r="G14" i="966"/>
  <c r="C15" i="966"/>
  <c r="D15" i="966"/>
  <c r="E15" i="966"/>
  <c r="F15" i="966"/>
  <c r="G15" i="966"/>
  <c r="C16" i="966"/>
  <c r="D16" i="966"/>
  <c r="E16" i="966"/>
  <c r="F16" i="966"/>
  <c r="G16" i="966"/>
  <c r="G65" i="966"/>
  <c r="G63" i="966"/>
  <c r="B65" i="966"/>
  <c r="F81" i="966"/>
  <c r="L67" i="966"/>
  <c r="AX65" i="966"/>
  <c r="AW65" i="966"/>
  <c r="AV65" i="966"/>
  <c r="AU65" i="966"/>
  <c r="AT65" i="966"/>
  <c r="AS65" i="966"/>
  <c r="AR65" i="966"/>
  <c r="AQ65" i="966"/>
  <c r="AP65" i="966"/>
  <c r="AO65" i="966"/>
  <c r="AN65" i="966"/>
  <c r="AM65" i="966"/>
  <c r="AL65" i="966"/>
  <c r="AK65" i="966"/>
  <c r="AJ65" i="966"/>
  <c r="AI65" i="966"/>
  <c r="AH65" i="966"/>
  <c r="AG65" i="966"/>
  <c r="AF65" i="966"/>
  <c r="AE65" i="966"/>
  <c r="AD65" i="966"/>
  <c r="AC65" i="966"/>
  <c r="AB65" i="966"/>
  <c r="AX64" i="966"/>
  <c r="AW64" i="966"/>
  <c r="AV64" i="966"/>
  <c r="AU64" i="966"/>
  <c r="AT64" i="966"/>
  <c r="AS64" i="966"/>
  <c r="AR64" i="966"/>
  <c r="AQ64" i="966"/>
  <c r="AP64" i="966"/>
  <c r="AO64" i="966"/>
  <c r="AN64" i="966"/>
  <c r="AM64" i="966"/>
  <c r="AL64" i="966"/>
  <c r="AK64" i="966"/>
  <c r="AJ64" i="966"/>
  <c r="AI64" i="966"/>
  <c r="AH64" i="966"/>
  <c r="AG64" i="966"/>
  <c r="AF64" i="966"/>
  <c r="AE64" i="966"/>
  <c r="AD64" i="966"/>
  <c r="AC64" i="966"/>
  <c r="AB64" i="966"/>
  <c r="AX63" i="966"/>
  <c r="AW63" i="966"/>
  <c r="AV63" i="966"/>
  <c r="AU63" i="966"/>
  <c r="AT63" i="966"/>
  <c r="AS63" i="966"/>
  <c r="AR63" i="966"/>
  <c r="AQ63" i="966"/>
  <c r="AP63" i="966"/>
  <c r="AO63" i="966"/>
  <c r="AN63" i="966"/>
  <c r="AM63" i="966"/>
  <c r="AL63" i="966"/>
  <c r="AK63" i="966"/>
  <c r="AJ63" i="966"/>
  <c r="AI63" i="966"/>
  <c r="AH63" i="966"/>
  <c r="AG63" i="966"/>
  <c r="AF63" i="966"/>
  <c r="AE63" i="966"/>
  <c r="AD63" i="966"/>
  <c r="AC63" i="966"/>
  <c r="AB63" i="966"/>
  <c r="B63" i="966"/>
  <c r="K58" i="966"/>
  <c r="Z45" i="966"/>
  <c r="Y45" i="966"/>
  <c r="X45" i="966"/>
  <c r="W45" i="966"/>
  <c r="V45" i="966"/>
  <c r="U45" i="966"/>
  <c r="T45" i="966"/>
  <c r="S45" i="966"/>
  <c r="R45" i="966"/>
  <c r="Z44" i="966"/>
  <c r="Y44" i="966"/>
  <c r="X44" i="966"/>
  <c r="W44" i="966"/>
  <c r="V44" i="966"/>
  <c r="U44" i="966"/>
  <c r="T44" i="966"/>
  <c r="S44" i="966"/>
  <c r="R44" i="966"/>
  <c r="Z43" i="966"/>
  <c r="Y43" i="966"/>
  <c r="X43" i="966"/>
  <c r="W43" i="966"/>
  <c r="V43" i="966"/>
  <c r="U43" i="966"/>
  <c r="T43" i="966"/>
  <c r="S43" i="966"/>
  <c r="R43" i="966"/>
  <c r="Z42" i="966"/>
  <c r="Y42" i="966"/>
  <c r="X42" i="966"/>
  <c r="W42" i="966"/>
  <c r="V42" i="966"/>
  <c r="U42" i="966"/>
  <c r="T42" i="966"/>
  <c r="S42" i="966"/>
  <c r="R42" i="966"/>
  <c r="Z41" i="966"/>
  <c r="Y41" i="966"/>
  <c r="X41" i="966"/>
  <c r="W41" i="966"/>
  <c r="V41" i="966"/>
  <c r="U41" i="966"/>
  <c r="T41" i="966"/>
  <c r="S41" i="966"/>
  <c r="R41" i="966"/>
  <c r="Z40" i="966"/>
  <c r="Y40" i="966"/>
  <c r="X40" i="966"/>
  <c r="W40" i="966"/>
  <c r="V40" i="966"/>
  <c r="U40" i="966"/>
  <c r="T40" i="966"/>
  <c r="S40" i="966"/>
  <c r="R40" i="966"/>
  <c r="M40" i="966"/>
  <c r="Z39" i="966"/>
  <c r="Y39" i="966"/>
  <c r="X39" i="966"/>
  <c r="W39" i="966"/>
  <c r="V39" i="966"/>
  <c r="U39" i="966"/>
  <c r="T39" i="966"/>
  <c r="S39" i="966"/>
  <c r="R39" i="966"/>
  <c r="M39" i="966"/>
  <c r="Z38" i="966"/>
  <c r="Y38" i="966"/>
  <c r="X38" i="966"/>
  <c r="W38" i="966"/>
  <c r="V38" i="966"/>
  <c r="U38" i="966"/>
  <c r="T38" i="966"/>
  <c r="S38" i="966"/>
  <c r="R38" i="966"/>
  <c r="Z37" i="966"/>
  <c r="Y37" i="966"/>
  <c r="X37" i="966"/>
  <c r="W37" i="966"/>
  <c r="V37" i="966"/>
  <c r="U37" i="966"/>
  <c r="T37" i="966"/>
  <c r="S37" i="966"/>
  <c r="R37" i="966"/>
  <c r="M37" i="966"/>
  <c r="Z36" i="966"/>
  <c r="Y36" i="966"/>
  <c r="X36" i="966"/>
  <c r="W36" i="966"/>
  <c r="V36" i="966"/>
  <c r="U36" i="966"/>
  <c r="T36" i="966"/>
  <c r="S36" i="966"/>
  <c r="R36" i="966"/>
  <c r="M36" i="966"/>
  <c r="L36" i="966"/>
  <c r="K36" i="966"/>
  <c r="Z35" i="966"/>
  <c r="Y35" i="966"/>
  <c r="X35" i="966"/>
  <c r="W35" i="966"/>
  <c r="V35" i="966"/>
  <c r="U35" i="966"/>
  <c r="T35" i="966"/>
  <c r="S35" i="966"/>
  <c r="R35" i="966"/>
  <c r="Z34" i="966"/>
  <c r="Y34" i="966"/>
  <c r="Z33" i="966"/>
  <c r="Y33" i="966"/>
  <c r="X33" i="966"/>
  <c r="W33" i="966"/>
  <c r="V33" i="966"/>
  <c r="U33" i="966"/>
  <c r="T33" i="966"/>
  <c r="S33" i="966"/>
  <c r="R33" i="966"/>
  <c r="Z32" i="966"/>
  <c r="Y32" i="966"/>
  <c r="X32" i="966"/>
  <c r="W32" i="966"/>
  <c r="V32" i="966"/>
  <c r="U32" i="966"/>
  <c r="T32" i="966"/>
  <c r="S32" i="966"/>
  <c r="R32" i="966"/>
  <c r="Z31" i="966"/>
  <c r="Y31" i="966"/>
  <c r="X31" i="966"/>
  <c r="W31" i="966"/>
  <c r="V31" i="966"/>
  <c r="U31" i="966"/>
  <c r="T31" i="966"/>
  <c r="S31" i="966"/>
  <c r="R31" i="966"/>
  <c r="Z30" i="966"/>
  <c r="Y30" i="966"/>
  <c r="X30" i="966"/>
  <c r="W30" i="966"/>
  <c r="V30" i="966"/>
  <c r="U30" i="966"/>
  <c r="T30" i="966"/>
  <c r="S30" i="966"/>
  <c r="R30" i="966"/>
  <c r="Z29" i="966"/>
  <c r="Y29" i="966"/>
  <c r="X29" i="966"/>
  <c r="W29" i="966"/>
  <c r="V29" i="966"/>
  <c r="U29" i="966"/>
  <c r="T29" i="966"/>
  <c r="S29" i="966"/>
  <c r="R29" i="966"/>
  <c r="Z28" i="966"/>
  <c r="Y28" i="966"/>
  <c r="X28" i="966"/>
  <c r="W28" i="966"/>
  <c r="V28" i="966"/>
  <c r="U28" i="966"/>
  <c r="T28" i="966"/>
  <c r="S28" i="966"/>
  <c r="R28" i="966"/>
  <c r="Z27" i="966"/>
  <c r="Y27" i="966"/>
  <c r="X27" i="966"/>
  <c r="W27" i="966"/>
  <c r="V27" i="966"/>
  <c r="U27" i="966"/>
  <c r="T27" i="966"/>
  <c r="S27" i="966"/>
  <c r="R27" i="966"/>
  <c r="Z26" i="966"/>
  <c r="Y26" i="966"/>
  <c r="X26" i="966"/>
  <c r="W26" i="966"/>
  <c r="V26" i="966"/>
  <c r="U26" i="966"/>
  <c r="T26" i="966"/>
  <c r="S26" i="966"/>
  <c r="R26" i="966"/>
  <c r="Z25" i="966"/>
  <c r="Y25" i="966"/>
  <c r="X25" i="966"/>
  <c r="W25" i="966"/>
  <c r="V25" i="966"/>
  <c r="U25" i="966"/>
  <c r="T25" i="966"/>
  <c r="S25" i="966"/>
  <c r="R25" i="966"/>
  <c r="Z11" i="966"/>
  <c r="Y11" i="966"/>
  <c r="X11" i="966"/>
  <c r="W11" i="966"/>
  <c r="V11" i="966"/>
  <c r="U11" i="966"/>
  <c r="T11" i="966"/>
  <c r="S11" i="966"/>
  <c r="R11" i="966"/>
  <c r="Z10" i="966"/>
  <c r="Y10" i="966"/>
  <c r="X10" i="966"/>
  <c r="W10" i="966"/>
  <c r="V10" i="966"/>
  <c r="U10" i="966"/>
  <c r="T10" i="966"/>
  <c r="S10" i="966"/>
  <c r="R10" i="966"/>
  <c r="B26" i="965"/>
  <c r="C32" i="965" a="1"/>
  <c r="C32" i="965" s="1"/>
  <c r="C26" i="965" a="1"/>
  <c r="C26" i="965" s="1"/>
  <c r="M27" i="965"/>
  <c r="L27" i="965"/>
  <c r="K27" i="965"/>
  <c r="L49" i="966" l="1"/>
  <c r="M49" i="966" s="1"/>
  <c r="L46" i="967"/>
  <c r="M46" i="967" s="1"/>
  <c r="L46" i="980"/>
  <c r="M46" i="980" s="1"/>
  <c r="L42" i="979"/>
  <c r="M42" i="979" s="1"/>
  <c r="L39" i="978"/>
  <c r="M39" i="978" s="1"/>
  <c r="L44" i="977"/>
  <c r="M44" i="977" s="1"/>
  <c r="L64" i="976"/>
  <c r="M64" i="976" s="1"/>
  <c r="L34" i="975"/>
  <c r="M34" i="975" s="1"/>
  <c r="L43" i="974"/>
  <c r="M43" i="974" s="1"/>
  <c r="L45" i="973"/>
  <c r="M45" i="973" s="1"/>
  <c r="L50" i="972"/>
  <c r="M50" i="972" s="1"/>
  <c r="L44" i="971"/>
  <c r="M44" i="971" s="1"/>
  <c r="L51" i="969"/>
  <c r="M51" i="969" s="1"/>
  <c r="L42" i="970"/>
  <c r="M42" i="970" s="1"/>
  <c r="L57" i="968"/>
  <c r="M57" i="968" s="1"/>
  <c r="J31" i="967"/>
  <c r="J34" i="966"/>
  <c r="K41" i="967"/>
  <c r="L41" i="967" s="1"/>
  <c r="M41" i="967" s="1"/>
  <c r="J35" i="966"/>
  <c r="K44" i="966"/>
  <c r="L44" i="966" s="1"/>
  <c r="M44" i="966" s="1"/>
  <c r="R34" i="966"/>
  <c r="S34" i="966"/>
  <c r="T34" i="966"/>
  <c r="U34" i="966"/>
  <c r="V34" i="966"/>
  <c r="W34" i="966"/>
  <c r="X34" i="966"/>
  <c r="C12" i="965"/>
  <c r="C10" i="965"/>
  <c r="R12" i="965"/>
  <c r="S12" i="965"/>
  <c r="T12" i="965"/>
  <c r="U12" i="965"/>
  <c r="V12" i="965"/>
  <c r="W12" i="965"/>
  <c r="X12" i="965"/>
  <c r="Y12" i="965"/>
  <c r="Z12" i="965"/>
  <c r="R13" i="965"/>
  <c r="S13" i="965"/>
  <c r="T13" i="965"/>
  <c r="U13" i="965"/>
  <c r="V13" i="965"/>
  <c r="W13" i="965"/>
  <c r="X13" i="965"/>
  <c r="Y13" i="965"/>
  <c r="Z13" i="965"/>
  <c r="R14" i="965"/>
  <c r="S14" i="965"/>
  <c r="T14" i="965"/>
  <c r="U14" i="965"/>
  <c r="V14" i="965"/>
  <c r="W14" i="965"/>
  <c r="X14" i="965"/>
  <c r="Y14" i="965"/>
  <c r="Z14" i="965"/>
  <c r="R15" i="965"/>
  <c r="S15" i="965"/>
  <c r="T15" i="965"/>
  <c r="U15" i="965"/>
  <c r="V15" i="965"/>
  <c r="W15" i="965"/>
  <c r="X15" i="965"/>
  <c r="Y15" i="965"/>
  <c r="Z15" i="965"/>
  <c r="R16" i="965"/>
  <c r="S16" i="965"/>
  <c r="T16" i="965"/>
  <c r="U16" i="965"/>
  <c r="V16" i="965"/>
  <c r="W16" i="965"/>
  <c r="X16" i="965"/>
  <c r="Y16" i="965"/>
  <c r="Z16" i="965"/>
  <c r="R17" i="965"/>
  <c r="S17" i="965"/>
  <c r="T17" i="965"/>
  <c r="U17" i="965"/>
  <c r="V17" i="965"/>
  <c r="W17" i="965"/>
  <c r="X17" i="965"/>
  <c r="Y17" i="965"/>
  <c r="Z17" i="965"/>
  <c r="R18" i="965"/>
  <c r="S18" i="965"/>
  <c r="T18" i="965"/>
  <c r="U18" i="965"/>
  <c r="V18" i="965"/>
  <c r="W18" i="965"/>
  <c r="X18" i="965"/>
  <c r="Y18" i="965"/>
  <c r="Z18" i="965"/>
  <c r="R19" i="965"/>
  <c r="S19" i="965"/>
  <c r="T19" i="965"/>
  <c r="U19" i="965"/>
  <c r="V19" i="965"/>
  <c r="W19" i="965"/>
  <c r="X19" i="965"/>
  <c r="Y19" i="965"/>
  <c r="Z19" i="965"/>
  <c r="R20" i="965"/>
  <c r="S20" i="965"/>
  <c r="T20" i="965"/>
  <c r="U20" i="965"/>
  <c r="V20" i="965"/>
  <c r="W20" i="965"/>
  <c r="X20" i="965"/>
  <c r="Y20" i="965"/>
  <c r="Z20" i="965"/>
  <c r="R21" i="965"/>
  <c r="S21" i="965"/>
  <c r="T21" i="965"/>
  <c r="U21" i="965"/>
  <c r="V21" i="965"/>
  <c r="W21" i="965"/>
  <c r="X21" i="965"/>
  <c r="Y21" i="965"/>
  <c r="Z21" i="965"/>
  <c r="R22" i="965"/>
  <c r="S22" i="965"/>
  <c r="T22" i="965"/>
  <c r="U22" i="965"/>
  <c r="V22" i="965"/>
  <c r="W22" i="965"/>
  <c r="X22" i="965"/>
  <c r="Y22" i="965"/>
  <c r="Z22" i="965"/>
  <c r="R23" i="965"/>
  <c r="S23" i="965"/>
  <c r="T23" i="965"/>
  <c r="U23" i="965"/>
  <c r="V23" i="965"/>
  <c r="W23" i="965"/>
  <c r="X23" i="965"/>
  <c r="Y23" i="965"/>
  <c r="Z23" i="965"/>
  <c r="R24" i="965"/>
  <c r="S24" i="965"/>
  <c r="T24" i="965"/>
  <c r="U24" i="965"/>
  <c r="V24" i="965"/>
  <c r="W24" i="965"/>
  <c r="X24" i="965"/>
  <c r="Y24" i="965"/>
  <c r="Z24" i="965"/>
  <c r="R25" i="965"/>
  <c r="S25" i="965"/>
  <c r="T25" i="965"/>
  <c r="U25" i="965"/>
  <c r="V25" i="965"/>
  <c r="W25" i="965"/>
  <c r="X25" i="965"/>
  <c r="Y25" i="965"/>
  <c r="Z25" i="965"/>
  <c r="R26" i="965"/>
  <c r="S26" i="965"/>
  <c r="T26" i="965"/>
  <c r="U26" i="965"/>
  <c r="V26" i="965"/>
  <c r="W26" i="965"/>
  <c r="X26" i="965"/>
  <c r="Y26" i="965"/>
  <c r="Z26" i="965"/>
  <c r="R27" i="965"/>
  <c r="S27" i="965"/>
  <c r="T27" i="965"/>
  <c r="U27" i="965"/>
  <c r="V27" i="965"/>
  <c r="W27" i="965"/>
  <c r="X27" i="965"/>
  <c r="Y27" i="965"/>
  <c r="Z27" i="965"/>
  <c r="D10" i="965"/>
  <c r="E10" i="965"/>
  <c r="F10" i="965"/>
  <c r="G10" i="965"/>
  <c r="I10" i="965"/>
  <c r="J10" i="965"/>
  <c r="L10" i="965"/>
  <c r="M10" i="965"/>
  <c r="N10" i="965"/>
  <c r="O10" i="965"/>
  <c r="C11" i="965"/>
  <c r="D11" i="965"/>
  <c r="E11" i="965"/>
  <c r="F11" i="965"/>
  <c r="G11" i="965"/>
  <c r="I11" i="965"/>
  <c r="J11" i="965"/>
  <c r="L11" i="965"/>
  <c r="M11" i="965"/>
  <c r="N11" i="965"/>
  <c r="O11" i="965"/>
  <c r="D12" i="965"/>
  <c r="E12" i="965"/>
  <c r="F12" i="965"/>
  <c r="G12" i="965"/>
  <c r="I12" i="965"/>
  <c r="J12" i="965"/>
  <c r="L12" i="965"/>
  <c r="M12" i="965"/>
  <c r="N12" i="965"/>
  <c r="O12" i="965"/>
  <c r="K14" i="970" l="1"/>
  <c r="K15" i="970"/>
  <c r="K16" i="970"/>
  <c r="K17" i="970"/>
  <c r="K18" i="970"/>
  <c r="K19" i="970"/>
  <c r="J27" i="965"/>
  <c r="B55" i="965"/>
  <c r="G55" i="965"/>
  <c r="F73" i="965"/>
  <c r="L59" i="965"/>
  <c r="AX57" i="965"/>
  <c r="AW57" i="965"/>
  <c r="AV57" i="965"/>
  <c r="AU57" i="965"/>
  <c r="AT57" i="965"/>
  <c r="AS57" i="965"/>
  <c r="AR57" i="965"/>
  <c r="AQ57" i="965"/>
  <c r="AP57" i="965"/>
  <c r="AO57" i="965"/>
  <c r="AN57" i="965"/>
  <c r="AM57" i="965"/>
  <c r="AL57" i="965"/>
  <c r="AK57" i="965"/>
  <c r="AJ57" i="965"/>
  <c r="AI57" i="965"/>
  <c r="AH57" i="965"/>
  <c r="AG57" i="965"/>
  <c r="AF57" i="965"/>
  <c r="AE57" i="965"/>
  <c r="AD57" i="965"/>
  <c r="AC57" i="965"/>
  <c r="AB57" i="965"/>
  <c r="AX56" i="965"/>
  <c r="AW56" i="965"/>
  <c r="AV56" i="965"/>
  <c r="AU56" i="965"/>
  <c r="AT56" i="965"/>
  <c r="AS56" i="965"/>
  <c r="AR56" i="965"/>
  <c r="AQ56" i="965"/>
  <c r="AP56" i="965"/>
  <c r="AO56" i="965"/>
  <c r="AN56" i="965"/>
  <c r="AM56" i="965"/>
  <c r="AL56" i="965"/>
  <c r="AK56" i="965"/>
  <c r="AJ56" i="965"/>
  <c r="AI56" i="965"/>
  <c r="AH56" i="965"/>
  <c r="AG56" i="965"/>
  <c r="AF56" i="965"/>
  <c r="AE56" i="965"/>
  <c r="AD56" i="965"/>
  <c r="AC56" i="965"/>
  <c r="AB56" i="965"/>
  <c r="AX55" i="965"/>
  <c r="AW55" i="965"/>
  <c r="AV55" i="965"/>
  <c r="AU55" i="965"/>
  <c r="AT55" i="965"/>
  <c r="AS55" i="965"/>
  <c r="AR55" i="965"/>
  <c r="AQ55" i="965"/>
  <c r="AP55" i="965"/>
  <c r="AO55" i="965"/>
  <c r="AN55" i="965"/>
  <c r="AM55" i="965"/>
  <c r="AL55" i="965"/>
  <c r="AK55" i="965"/>
  <c r="AJ55" i="965"/>
  <c r="AI55" i="965"/>
  <c r="AH55" i="965"/>
  <c r="AG55" i="965"/>
  <c r="AF55" i="965"/>
  <c r="AE55" i="965"/>
  <c r="AD55" i="965"/>
  <c r="AC55" i="965"/>
  <c r="AB55" i="965"/>
  <c r="K50" i="965"/>
  <c r="Z37" i="965"/>
  <c r="Y37" i="965"/>
  <c r="X37" i="965"/>
  <c r="W37" i="965"/>
  <c r="V37" i="965"/>
  <c r="U37" i="965"/>
  <c r="T37" i="965"/>
  <c r="S37" i="965"/>
  <c r="R37" i="965"/>
  <c r="Z36" i="965"/>
  <c r="Y36" i="965"/>
  <c r="X36" i="965"/>
  <c r="W36" i="965"/>
  <c r="V36" i="965"/>
  <c r="U36" i="965"/>
  <c r="T36" i="965"/>
  <c r="S36" i="965"/>
  <c r="R36" i="965"/>
  <c r="Z35" i="965"/>
  <c r="Y35" i="965"/>
  <c r="X35" i="965"/>
  <c r="W35" i="965"/>
  <c r="V35" i="965"/>
  <c r="U35" i="965"/>
  <c r="T35" i="965"/>
  <c r="S35" i="965"/>
  <c r="R35" i="965"/>
  <c r="Z34" i="965"/>
  <c r="Y34" i="965"/>
  <c r="X34" i="965"/>
  <c r="W34" i="965"/>
  <c r="V34" i="965"/>
  <c r="U34" i="965"/>
  <c r="T34" i="965"/>
  <c r="S34" i="965"/>
  <c r="R34" i="965"/>
  <c r="Z33" i="965"/>
  <c r="Y33" i="965"/>
  <c r="X33" i="965"/>
  <c r="W33" i="965"/>
  <c r="V33" i="965"/>
  <c r="U33" i="965"/>
  <c r="T33" i="965"/>
  <c r="S33" i="965"/>
  <c r="R33" i="965"/>
  <c r="Z32" i="965"/>
  <c r="Y32" i="965"/>
  <c r="X32" i="965"/>
  <c r="W32" i="965"/>
  <c r="V32" i="965"/>
  <c r="U32" i="965"/>
  <c r="T32" i="965"/>
  <c r="S32" i="965"/>
  <c r="R32" i="965"/>
  <c r="M32" i="965"/>
  <c r="Z31" i="965"/>
  <c r="Y31" i="965"/>
  <c r="X31" i="965"/>
  <c r="W31" i="965"/>
  <c r="V31" i="965"/>
  <c r="U31" i="965"/>
  <c r="T31" i="965"/>
  <c r="S31" i="965"/>
  <c r="R31" i="965"/>
  <c r="M31" i="965"/>
  <c r="Z30" i="965"/>
  <c r="Y30" i="965"/>
  <c r="X30" i="965"/>
  <c r="W30" i="965"/>
  <c r="V30" i="965"/>
  <c r="U30" i="965"/>
  <c r="T30" i="965"/>
  <c r="S30" i="965"/>
  <c r="R30" i="965"/>
  <c r="Z29" i="965"/>
  <c r="Y29" i="965"/>
  <c r="X29" i="965"/>
  <c r="W29" i="965"/>
  <c r="V29" i="965"/>
  <c r="U29" i="965"/>
  <c r="T29" i="965"/>
  <c r="S29" i="965"/>
  <c r="R29" i="965"/>
  <c r="M29" i="965"/>
  <c r="Z28" i="965"/>
  <c r="Y28" i="965"/>
  <c r="X28" i="965"/>
  <c r="W28" i="965"/>
  <c r="V28" i="965"/>
  <c r="U28" i="965"/>
  <c r="T28" i="965"/>
  <c r="S28" i="965"/>
  <c r="R28" i="965"/>
  <c r="M28" i="965"/>
  <c r="L28" i="965"/>
  <c r="K28" i="965"/>
  <c r="M26" i="965"/>
  <c r="L26" i="965"/>
  <c r="K26" i="965"/>
  <c r="Z11" i="965"/>
  <c r="Y11" i="965"/>
  <c r="X11" i="965"/>
  <c r="W11" i="965"/>
  <c r="V11" i="965"/>
  <c r="U11" i="965"/>
  <c r="T11" i="965"/>
  <c r="S11" i="965"/>
  <c r="R11" i="965"/>
  <c r="Z10" i="965"/>
  <c r="Y10" i="965"/>
  <c r="X10" i="965"/>
  <c r="W10" i="965"/>
  <c r="V10" i="965"/>
  <c r="U10" i="965"/>
  <c r="T10" i="965"/>
  <c r="S10" i="965"/>
  <c r="R10" i="965"/>
  <c r="C10" i="974" l="1"/>
  <c r="C11" i="974"/>
  <c r="C12" i="974"/>
  <c r="C13" i="974"/>
  <c r="K13" i="969"/>
  <c r="K14" i="969"/>
  <c r="K15" i="969"/>
  <c r="K16" i="969"/>
  <c r="K17" i="969"/>
  <c r="K18" i="969"/>
  <c r="K10" i="970"/>
  <c r="K11" i="970"/>
  <c r="K12" i="970"/>
  <c r="K13" i="970"/>
  <c r="K36" i="965"/>
  <c r="L36" i="965" s="1"/>
  <c r="M36" i="965" s="1"/>
  <c r="L41" i="965"/>
  <c r="M41" i="965" s="1"/>
  <c r="F16" i="964" l="1"/>
  <c r="L10" i="964"/>
  <c r="L12" i="964"/>
  <c r="L16" i="964"/>
  <c r="K28" i="964"/>
  <c r="R13" i="964"/>
  <c r="S13" i="964"/>
  <c r="T13" i="964"/>
  <c r="U13" i="964"/>
  <c r="V13" i="964"/>
  <c r="W13" i="964"/>
  <c r="X13" i="964"/>
  <c r="Y13" i="964"/>
  <c r="Z13" i="964"/>
  <c r="R14" i="964"/>
  <c r="S14" i="964"/>
  <c r="T14" i="964"/>
  <c r="U14" i="964"/>
  <c r="V14" i="964"/>
  <c r="W14" i="964"/>
  <c r="X14" i="964"/>
  <c r="Y14" i="964"/>
  <c r="Z14" i="964"/>
  <c r="R15" i="964"/>
  <c r="S15" i="964"/>
  <c r="T15" i="964"/>
  <c r="U15" i="964"/>
  <c r="V15" i="964"/>
  <c r="W15" i="964"/>
  <c r="X15" i="964"/>
  <c r="Y15" i="964"/>
  <c r="Z15" i="964"/>
  <c r="R16" i="964"/>
  <c r="S16" i="964"/>
  <c r="T16" i="964"/>
  <c r="U16" i="964"/>
  <c r="V16" i="964"/>
  <c r="W16" i="964"/>
  <c r="X16" i="964"/>
  <c r="Y16" i="964"/>
  <c r="Z16" i="964"/>
  <c r="R17" i="964"/>
  <c r="S17" i="964"/>
  <c r="T17" i="964"/>
  <c r="U17" i="964"/>
  <c r="V17" i="964"/>
  <c r="W17" i="964"/>
  <c r="X17" i="964"/>
  <c r="Y17" i="964"/>
  <c r="Z17" i="964"/>
  <c r="R18" i="964"/>
  <c r="S18" i="964"/>
  <c r="T18" i="964"/>
  <c r="U18" i="964"/>
  <c r="V18" i="964"/>
  <c r="W18" i="964"/>
  <c r="X18" i="964"/>
  <c r="Y18" i="964"/>
  <c r="Z18" i="964"/>
  <c r="R19" i="964"/>
  <c r="S19" i="964"/>
  <c r="T19" i="964"/>
  <c r="U19" i="964"/>
  <c r="V19" i="964"/>
  <c r="W19" i="964"/>
  <c r="X19" i="964"/>
  <c r="Y19" i="964"/>
  <c r="Z19" i="964"/>
  <c r="R20" i="964"/>
  <c r="S20" i="964"/>
  <c r="T20" i="964"/>
  <c r="U20" i="964"/>
  <c r="V20" i="964"/>
  <c r="W20" i="964"/>
  <c r="X20" i="964"/>
  <c r="Y20" i="964"/>
  <c r="Z20" i="964"/>
  <c r="R21" i="964"/>
  <c r="S21" i="964"/>
  <c r="T21" i="964"/>
  <c r="U21" i="964"/>
  <c r="V21" i="964"/>
  <c r="W21" i="964"/>
  <c r="X21" i="964"/>
  <c r="Y21" i="964"/>
  <c r="Z21" i="964"/>
  <c r="R22" i="964"/>
  <c r="S22" i="964"/>
  <c r="T22" i="964"/>
  <c r="U22" i="964"/>
  <c r="V22" i="964"/>
  <c r="W22" i="964"/>
  <c r="X22" i="964"/>
  <c r="Y22" i="964"/>
  <c r="Z22" i="964"/>
  <c r="R23" i="964"/>
  <c r="S23" i="964"/>
  <c r="T23" i="964"/>
  <c r="U23" i="964"/>
  <c r="V23" i="964"/>
  <c r="W23" i="964"/>
  <c r="X23" i="964"/>
  <c r="Y23" i="964"/>
  <c r="Z23" i="964"/>
  <c r="R24" i="964"/>
  <c r="S24" i="964"/>
  <c r="T24" i="964"/>
  <c r="U24" i="964"/>
  <c r="V24" i="964"/>
  <c r="W24" i="964"/>
  <c r="X24" i="964"/>
  <c r="Y24" i="964"/>
  <c r="Z24" i="964"/>
  <c r="R25" i="964"/>
  <c r="S25" i="964"/>
  <c r="T25" i="964"/>
  <c r="U25" i="964"/>
  <c r="V25" i="964"/>
  <c r="W25" i="964"/>
  <c r="X25" i="964"/>
  <c r="Y25" i="964"/>
  <c r="Z25" i="964"/>
  <c r="R26" i="964"/>
  <c r="S26" i="964"/>
  <c r="T26" i="964"/>
  <c r="U26" i="964"/>
  <c r="V26" i="964"/>
  <c r="W26" i="964"/>
  <c r="X26" i="964"/>
  <c r="Y26" i="964"/>
  <c r="Z26" i="964"/>
  <c r="R27" i="964"/>
  <c r="S27" i="964"/>
  <c r="T27" i="964"/>
  <c r="U27" i="964"/>
  <c r="V27" i="964"/>
  <c r="W27" i="964"/>
  <c r="X27" i="964"/>
  <c r="Y27" i="964"/>
  <c r="Z27" i="964"/>
  <c r="R28" i="964"/>
  <c r="S28" i="964"/>
  <c r="T28" i="964"/>
  <c r="U28" i="964"/>
  <c r="V28" i="964"/>
  <c r="W28" i="964"/>
  <c r="X28" i="964"/>
  <c r="Y28" i="964"/>
  <c r="Z28" i="964"/>
  <c r="R29" i="964"/>
  <c r="S29" i="964"/>
  <c r="T29" i="964"/>
  <c r="U29" i="964"/>
  <c r="V29" i="964"/>
  <c r="W29" i="964"/>
  <c r="X29" i="964"/>
  <c r="Y29" i="964"/>
  <c r="Z29" i="964"/>
  <c r="R30" i="964"/>
  <c r="S30" i="964"/>
  <c r="T30" i="964"/>
  <c r="U30" i="964"/>
  <c r="V30" i="964"/>
  <c r="W30" i="964"/>
  <c r="X30" i="964"/>
  <c r="Y30" i="964"/>
  <c r="Z30" i="964"/>
  <c r="R31" i="964"/>
  <c r="S31" i="964"/>
  <c r="T31" i="964"/>
  <c r="U31" i="964"/>
  <c r="V31" i="964"/>
  <c r="W31" i="964"/>
  <c r="X31" i="964"/>
  <c r="Y31" i="964"/>
  <c r="Z31" i="964"/>
  <c r="R32" i="964"/>
  <c r="S32" i="964"/>
  <c r="T32" i="964"/>
  <c r="U32" i="964"/>
  <c r="V32" i="964"/>
  <c r="W32" i="964"/>
  <c r="X32" i="964"/>
  <c r="Y32" i="964"/>
  <c r="Z32" i="964"/>
  <c r="R33" i="964"/>
  <c r="S33" i="964"/>
  <c r="T33" i="964"/>
  <c r="U33" i="964"/>
  <c r="V33" i="964"/>
  <c r="W33" i="964"/>
  <c r="X33" i="964"/>
  <c r="Y33" i="964"/>
  <c r="Z33" i="964"/>
  <c r="C14" i="964"/>
  <c r="D14" i="964"/>
  <c r="E14" i="964"/>
  <c r="F14" i="964"/>
  <c r="G14" i="964"/>
  <c r="L14" i="964"/>
  <c r="M14" i="964"/>
  <c r="O14" i="964"/>
  <c r="C15" i="964"/>
  <c r="D15" i="964"/>
  <c r="E15" i="964"/>
  <c r="F15" i="964"/>
  <c r="G15" i="964"/>
  <c r="L15" i="964"/>
  <c r="M15" i="964"/>
  <c r="O15" i="964"/>
  <c r="C16" i="964"/>
  <c r="D16" i="964"/>
  <c r="E16" i="964"/>
  <c r="G16" i="964"/>
  <c r="M16" i="964"/>
  <c r="O16" i="964"/>
  <c r="C17" i="964"/>
  <c r="D17" i="964"/>
  <c r="E17" i="964"/>
  <c r="F17" i="964"/>
  <c r="G17" i="964"/>
  <c r="L17" i="964"/>
  <c r="M17" i="964"/>
  <c r="O17" i="964"/>
  <c r="C10" i="964"/>
  <c r="D10" i="964"/>
  <c r="E10" i="964"/>
  <c r="F10" i="964"/>
  <c r="G10" i="964"/>
  <c r="M10" i="964"/>
  <c r="O10" i="964"/>
  <c r="C11" i="964"/>
  <c r="D11" i="964"/>
  <c r="E11" i="964"/>
  <c r="F11" i="964"/>
  <c r="G11" i="964"/>
  <c r="L11" i="964"/>
  <c r="M11" i="964"/>
  <c r="O11" i="964"/>
  <c r="C12" i="964"/>
  <c r="D12" i="964"/>
  <c r="E12" i="964"/>
  <c r="F12" i="964"/>
  <c r="G12" i="964"/>
  <c r="M12" i="964"/>
  <c r="O12" i="964"/>
  <c r="C13" i="964"/>
  <c r="D13" i="964"/>
  <c r="E13" i="964"/>
  <c r="F13" i="964"/>
  <c r="G13" i="964"/>
  <c r="L13" i="964"/>
  <c r="M13" i="964"/>
  <c r="O13" i="964"/>
  <c r="I11" i="964" l="1"/>
  <c r="J11" i="964"/>
  <c r="I12" i="964"/>
  <c r="J12" i="964"/>
  <c r="I13" i="964"/>
  <c r="I14" i="964"/>
  <c r="J14" i="964"/>
  <c r="J15" i="964"/>
  <c r="I15" i="964"/>
  <c r="I16" i="964"/>
  <c r="J16" i="964"/>
  <c r="J17" i="964"/>
  <c r="I17" i="964"/>
  <c r="J10" i="964"/>
  <c r="N11" i="964"/>
  <c r="N12" i="964"/>
  <c r="N13" i="964"/>
  <c r="N14" i="964"/>
  <c r="N15" i="964"/>
  <c r="N16" i="964"/>
  <c r="N17" i="964"/>
  <c r="K17" i="964"/>
  <c r="K16" i="964"/>
  <c r="K15" i="964"/>
  <c r="K14" i="964"/>
  <c r="K13" i="964"/>
  <c r="K12" i="964"/>
  <c r="K11" i="964"/>
  <c r="K10" i="964"/>
  <c r="G55" i="964"/>
  <c r="F73" i="964"/>
  <c r="L59" i="964"/>
  <c r="AX57" i="964"/>
  <c r="AW57" i="964"/>
  <c r="AV57" i="964"/>
  <c r="AU57" i="964"/>
  <c r="AT57" i="964"/>
  <c r="AS57" i="964"/>
  <c r="AR57" i="964"/>
  <c r="AQ57" i="964"/>
  <c r="AP57" i="964"/>
  <c r="AO57" i="964"/>
  <c r="AN57" i="964"/>
  <c r="AM57" i="964"/>
  <c r="AL57" i="964"/>
  <c r="AK57" i="964"/>
  <c r="AJ57" i="964"/>
  <c r="AI57" i="964"/>
  <c r="AH57" i="964"/>
  <c r="AG57" i="964"/>
  <c r="AF57" i="964"/>
  <c r="AE57" i="964"/>
  <c r="AD57" i="964"/>
  <c r="AC57" i="964"/>
  <c r="AB57" i="964"/>
  <c r="AX56" i="964"/>
  <c r="AW56" i="964"/>
  <c r="AV56" i="964"/>
  <c r="AU56" i="964"/>
  <c r="AT56" i="964"/>
  <c r="AS56" i="964"/>
  <c r="AR56" i="964"/>
  <c r="AQ56" i="964"/>
  <c r="AP56" i="964"/>
  <c r="AO56" i="964"/>
  <c r="AN56" i="964"/>
  <c r="AM56" i="964"/>
  <c r="AL56" i="964"/>
  <c r="AK56" i="964"/>
  <c r="AJ56" i="964"/>
  <c r="AI56" i="964"/>
  <c r="AH56" i="964"/>
  <c r="AG56" i="964"/>
  <c r="AF56" i="964"/>
  <c r="AE56" i="964"/>
  <c r="AD56" i="964"/>
  <c r="AC56" i="964"/>
  <c r="AB56" i="964"/>
  <c r="AX55" i="964"/>
  <c r="AW55" i="964"/>
  <c r="AV55" i="964"/>
  <c r="AU55" i="964"/>
  <c r="AT55" i="964"/>
  <c r="AS55" i="964"/>
  <c r="AR55" i="964"/>
  <c r="AQ55" i="964"/>
  <c r="AP55" i="964"/>
  <c r="AO55" i="964"/>
  <c r="AN55" i="964"/>
  <c r="AM55" i="964"/>
  <c r="AL55" i="964"/>
  <c r="AK55" i="964"/>
  <c r="AJ55" i="964"/>
  <c r="AI55" i="964"/>
  <c r="AH55" i="964"/>
  <c r="AG55" i="964"/>
  <c r="AF55" i="964"/>
  <c r="AE55" i="964"/>
  <c r="AD55" i="964"/>
  <c r="AC55" i="964"/>
  <c r="AB55" i="964"/>
  <c r="B55" i="964"/>
  <c r="K50" i="964"/>
  <c r="L41" i="964" s="1"/>
  <c r="M41" i="964" s="1"/>
  <c r="Z37" i="964"/>
  <c r="Y37" i="964"/>
  <c r="X37" i="964"/>
  <c r="W37" i="964"/>
  <c r="V37" i="964"/>
  <c r="U37" i="964"/>
  <c r="T37" i="964"/>
  <c r="S37" i="964"/>
  <c r="R37" i="964"/>
  <c r="Z36" i="964"/>
  <c r="Y36" i="964"/>
  <c r="X36" i="964"/>
  <c r="W36" i="964"/>
  <c r="V36" i="964"/>
  <c r="U36" i="964"/>
  <c r="T36" i="964"/>
  <c r="S36" i="964"/>
  <c r="R36" i="964"/>
  <c r="Z35" i="964"/>
  <c r="Y35" i="964"/>
  <c r="X35" i="964"/>
  <c r="W35" i="964"/>
  <c r="V35" i="964"/>
  <c r="U35" i="964"/>
  <c r="T35" i="964"/>
  <c r="S35" i="964"/>
  <c r="R35" i="964"/>
  <c r="Z34" i="964"/>
  <c r="Y34" i="964"/>
  <c r="X34" i="964"/>
  <c r="W34" i="964"/>
  <c r="V34" i="964"/>
  <c r="U34" i="964"/>
  <c r="T34" i="964"/>
  <c r="S34" i="964"/>
  <c r="R34" i="964"/>
  <c r="M32" i="964"/>
  <c r="M31" i="964"/>
  <c r="M29" i="964"/>
  <c r="M27" i="964"/>
  <c r="M26" i="964"/>
  <c r="L26" i="964"/>
  <c r="K26" i="964"/>
  <c r="K36" i="964" s="1"/>
  <c r="B26" i="964"/>
  <c r="Z12" i="964"/>
  <c r="Y12" i="964"/>
  <c r="X12" i="964"/>
  <c r="W12" i="964"/>
  <c r="V12" i="964"/>
  <c r="U12" i="964"/>
  <c r="T12" i="964"/>
  <c r="S12" i="964"/>
  <c r="R12" i="964"/>
  <c r="Z11" i="964"/>
  <c r="Y11" i="964"/>
  <c r="X11" i="964"/>
  <c r="W11" i="964"/>
  <c r="V11" i="964"/>
  <c r="U11" i="964"/>
  <c r="T11" i="964"/>
  <c r="S11" i="964"/>
  <c r="R11" i="964"/>
  <c r="Z10" i="964"/>
  <c r="Y10" i="964"/>
  <c r="X10" i="964"/>
  <c r="W10" i="964"/>
  <c r="V10" i="964"/>
  <c r="U10" i="964"/>
  <c r="T10" i="964"/>
  <c r="S10" i="964"/>
  <c r="R10" i="964"/>
  <c r="B24" i="963"/>
  <c r="J13" i="964" l="1"/>
  <c r="G53" i="963"/>
  <c r="M28" i="964" l="1"/>
  <c r="I10" i="964"/>
  <c r="J28" i="964" s="1"/>
  <c r="L28" i="964"/>
  <c r="L36" i="964" s="1"/>
  <c r="M36" i="964" s="1"/>
  <c r="B53" i="963"/>
  <c r="M24" i="963"/>
  <c r="L24" i="963"/>
  <c r="K24" i="963"/>
  <c r="R11" i="963"/>
  <c r="S11" i="963"/>
  <c r="T11" i="963"/>
  <c r="U11" i="963"/>
  <c r="V11" i="963"/>
  <c r="W11" i="963"/>
  <c r="X11" i="963"/>
  <c r="Y11" i="963"/>
  <c r="Z11" i="963"/>
  <c r="R12" i="963"/>
  <c r="S12" i="963"/>
  <c r="T12" i="963"/>
  <c r="U12" i="963"/>
  <c r="V12" i="963"/>
  <c r="W12" i="963"/>
  <c r="X12" i="963"/>
  <c r="Y12" i="963"/>
  <c r="Z12" i="963"/>
  <c r="R13" i="963"/>
  <c r="S13" i="963"/>
  <c r="T13" i="963"/>
  <c r="U13" i="963"/>
  <c r="V13" i="963"/>
  <c r="W13" i="963"/>
  <c r="X13" i="963"/>
  <c r="Y13" i="963"/>
  <c r="Z13" i="963"/>
  <c r="R14" i="963"/>
  <c r="S14" i="963"/>
  <c r="T14" i="963"/>
  <c r="U14" i="963"/>
  <c r="V14" i="963"/>
  <c r="W14" i="963"/>
  <c r="X14" i="963"/>
  <c r="Y14" i="963"/>
  <c r="Z14" i="963"/>
  <c r="R15" i="963"/>
  <c r="S15" i="963"/>
  <c r="T15" i="963"/>
  <c r="U15" i="963"/>
  <c r="V15" i="963"/>
  <c r="W15" i="963"/>
  <c r="X15" i="963"/>
  <c r="Y15" i="963"/>
  <c r="Z15" i="963"/>
  <c r="R16" i="963"/>
  <c r="S16" i="963"/>
  <c r="T16" i="963"/>
  <c r="U16" i="963"/>
  <c r="V16" i="963"/>
  <c r="W16" i="963"/>
  <c r="X16" i="963"/>
  <c r="Y16" i="963"/>
  <c r="Z16" i="963"/>
  <c r="R17" i="963"/>
  <c r="S17" i="963"/>
  <c r="T17" i="963"/>
  <c r="U17" i="963"/>
  <c r="V17" i="963"/>
  <c r="W17" i="963"/>
  <c r="X17" i="963"/>
  <c r="Y17" i="963"/>
  <c r="Z17" i="963"/>
  <c r="R18" i="963"/>
  <c r="S18" i="963"/>
  <c r="T18" i="963"/>
  <c r="U18" i="963"/>
  <c r="V18" i="963"/>
  <c r="W18" i="963"/>
  <c r="X18" i="963"/>
  <c r="Y18" i="963"/>
  <c r="Z18" i="963"/>
  <c r="R19" i="963"/>
  <c r="S19" i="963"/>
  <c r="T19" i="963"/>
  <c r="U19" i="963"/>
  <c r="V19" i="963"/>
  <c r="W19" i="963"/>
  <c r="X19" i="963"/>
  <c r="Y19" i="963"/>
  <c r="Z19" i="963"/>
  <c r="R20" i="963"/>
  <c r="S20" i="963"/>
  <c r="T20" i="963"/>
  <c r="U20" i="963"/>
  <c r="V20" i="963"/>
  <c r="W20" i="963"/>
  <c r="X20" i="963"/>
  <c r="Y20" i="963"/>
  <c r="Z20" i="963"/>
  <c r="I10" i="963"/>
  <c r="J10" i="963"/>
  <c r="L10" i="963"/>
  <c r="M10" i="963"/>
  <c r="N10" i="963"/>
  <c r="O10" i="963"/>
  <c r="I11" i="963"/>
  <c r="J11" i="963"/>
  <c r="L11" i="963"/>
  <c r="M11" i="963"/>
  <c r="N11" i="963"/>
  <c r="O11" i="963"/>
  <c r="I12" i="963"/>
  <c r="J12" i="963"/>
  <c r="L12" i="963"/>
  <c r="M12" i="963"/>
  <c r="N12" i="963"/>
  <c r="O12" i="963"/>
  <c r="I13" i="963"/>
  <c r="J13" i="963"/>
  <c r="L13" i="963"/>
  <c r="M13" i="963"/>
  <c r="N13" i="963"/>
  <c r="O13" i="963"/>
  <c r="C10" i="963"/>
  <c r="D10" i="963"/>
  <c r="E10" i="963"/>
  <c r="F10" i="963"/>
  <c r="G10" i="963"/>
  <c r="C11" i="963"/>
  <c r="D11" i="963"/>
  <c r="E11" i="963"/>
  <c r="F11" i="963"/>
  <c r="G11" i="963"/>
  <c r="C12" i="963"/>
  <c r="D12" i="963"/>
  <c r="E12" i="963"/>
  <c r="F12" i="963"/>
  <c r="G12" i="963"/>
  <c r="C13" i="963"/>
  <c r="D13" i="963"/>
  <c r="E13" i="963"/>
  <c r="F13" i="963"/>
  <c r="G13" i="963"/>
  <c r="J24" i="963" l="1"/>
  <c r="F71" i="963"/>
  <c r="L57" i="963"/>
  <c r="AX55" i="963"/>
  <c r="AW55" i="963"/>
  <c r="AV55" i="963"/>
  <c r="AU55" i="963"/>
  <c r="AT55" i="963"/>
  <c r="AS55" i="963"/>
  <c r="AR55" i="963"/>
  <c r="AQ55" i="963"/>
  <c r="AP55" i="963"/>
  <c r="AO55" i="963"/>
  <c r="AN55" i="963"/>
  <c r="AM55" i="963"/>
  <c r="AL55" i="963"/>
  <c r="AK55" i="963"/>
  <c r="AJ55" i="963"/>
  <c r="AI55" i="963"/>
  <c r="AH55" i="963"/>
  <c r="AG55" i="963"/>
  <c r="AF55" i="963"/>
  <c r="AE55" i="963"/>
  <c r="AD55" i="963"/>
  <c r="AC55" i="963"/>
  <c r="AB55" i="963"/>
  <c r="AX54" i="963"/>
  <c r="AW54" i="963"/>
  <c r="AV54" i="963"/>
  <c r="AU54" i="963"/>
  <c r="AT54" i="963"/>
  <c r="AS54" i="963"/>
  <c r="AR54" i="963"/>
  <c r="AQ54" i="963"/>
  <c r="AP54" i="963"/>
  <c r="AO54" i="963"/>
  <c r="AN54" i="963"/>
  <c r="AM54" i="963"/>
  <c r="AL54" i="963"/>
  <c r="AK54" i="963"/>
  <c r="AJ54" i="963"/>
  <c r="AI54" i="963"/>
  <c r="AH54" i="963"/>
  <c r="AG54" i="963"/>
  <c r="AF54" i="963"/>
  <c r="AE54" i="963"/>
  <c r="AD54" i="963"/>
  <c r="AC54" i="963"/>
  <c r="AB54" i="963"/>
  <c r="AX53" i="963"/>
  <c r="AW53" i="963"/>
  <c r="AV53" i="963"/>
  <c r="AU53" i="963"/>
  <c r="AT53" i="963"/>
  <c r="AS53" i="963"/>
  <c r="AR53" i="963"/>
  <c r="AQ53" i="963"/>
  <c r="AP53" i="963"/>
  <c r="AO53" i="963"/>
  <c r="AN53" i="963"/>
  <c r="AM53" i="963"/>
  <c r="AL53" i="963"/>
  <c r="AK53" i="963"/>
  <c r="AJ53" i="963"/>
  <c r="AI53" i="963"/>
  <c r="AH53" i="963"/>
  <c r="AG53" i="963"/>
  <c r="AF53" i="963"/>
  <c r="AE53" i="963"/>
  <c r="AD53" i="963"/>
  <c r="AC53" i="963"/>
  <c r="AB53" i="963"/>
  <c r="K48" i="963"/>
  <c r="L39" i="963" s="1"/>
  <c r="M39" i="963" s="1"/>
  <c r="Z35" i="963"/>
  <c r="Y35" i="963"/>
  <c r="X35" i="963"/>
  <c r="W35" i="963"/>
  <c r="V35" i="963"/>
  <c r="U35" i="963"/>
  <c r="T35" i="963"/>
  <c r="S35" i="963"/>
  <c r="R35" i="963"/>
  <c r="Z34" i="963"/>
  <c r="Y34" i="963"/>
  <c r="X34" i="963"/>
  <c r="W34" i="963"/>
  <c r="V34" i="963"/>
  <c r="U34" i="963"/>
  <c r="T34" i="963"/>
  <c r="S34" i="963"/>
  <c r="R34" i="963"/>
  <c r="K34" i="963"/>
  <c r="L34" i="963" s="1"/>
  <c r="M34" i="963" s="1"/>
  <c r="Z33" i="963"/>
  <c r="Y33" i="963"/>
  <c r="X33" i="963"/>
  <c r="W33" i="963"/>
  <c r="V33" i="963"/>
  <c r="U33" i="963"/>
  <c r="T33" i="963"/>
  <c r="S33" i="963"/>
  <c r="R33" i="963"/>
  <c r="Z32" i="963"/>
  <c r="Y32" i="963"/>
  <c r="X32" i="963"/>
  <c r="W32" i="963"/>
  <c r="V32" i="963"/>
  <c r="U32" i="963"/>
  <c r="T32" i="963"/>
  <c r="S32" i="963"/>
  <c r="R32" i="963"/>
  <c r="Z31" i="963"/>
  <c r="Y31" i="963"/>
  <c r="X31" i="963"/>
  <c r="W31" i="963"/>
  <c r="V31" i="963"/>
  <c r="U31" i="963"/>
  <c r="T31" i="963"/>
  <c r="S31" i="963"/>
  <c r="R31" i="963"/>
  <c r="Z30" i="963"/>
  <c r="Y30" i="963"/>
  <c r="X30" i="963"/>
  <c r="W30" i="963"/>
  <c r="V30" i="963"/>
  <c r="U30" i="963"/>
  <c r="T30" i="963"/>
  <c r="S30" i="963"/>
  <c r="R30" i="963"/>
  <c r="M30" i="963"/>
  <c r="Z29" i="963"/>
  <c r="Y29" i="963"/>
  <c r="X29" i="963"/>
  <c r="W29" i="963"/>
  <c r="V29" i="963"/>
  <c r="U29" i="963"/>
  <c r="T29" i="963"/>
  <c r="S29" i="963"/>
  <c r="R29" i="963"/>
  <c r="M29" i="963"/>
  <c r="Z28" i="963"/>
  <c r="Y28" i="963"/>
  <c r="X28" i="963"/>
  <c r="W28" i="963"/>
  <c r="V28" i="963"/>
  <c r="U28" i="963"/>
  <c r="T28" i="963"/>
  <c r="S28" i="963"/>
  <c r="R28" i="963"/>
  <c r="Z27" i="963"/>
  <c r="Y27" i="963"/>
  <c r="X27" i="963"/>
  <c r="W27" i="963"/>
  <c r="V27" i="963"/>
  <c r="U27" i="963"/>
  <c r="T27" i="963"/>
  <c r="S27" i="963"/>
  <c r="R27" i="963"/>
  <c r="M27" i="963"/>
  <c r="Z26" i="963"/>
  <c r="Y26" i="963"/>
  <c r="X26" i="963"/>
  <c r="W26" i="963"/>
  <c r="V26" i="963"/>
  <c r="U26" i="963"/>
  <c r="T26" i="963"/>
  <c r="S26" i="963"/>
  <c r="R26" i="963"/>
  <c r="M26" i="963"/>
  <c r="Z25" i="963"/>
  <c r="Y25" i="963"/>
  <c r="X25" i="963"/>
  <c r="W25" i="963"/>
  <c r="V25" i="963"/>
  <c r="U25" i="963"/>
  <c r="T25" i="963"/>
  <c r="S25" i="963"/>
  <c r="R25" i="963"/>
  <c r="M25" i="963"/>
  <c r="Z24" i="963"/>
  <c r="Z23" i="963"/>
  <c r="Y23" i="963"/>
  <c r="X23" i="963"/>
  <c r="W23" i="963"/>
  <c r="V23" i="963"/>
  <c r="U23" i="963"/>
  <c r="T23" i="963"/>
  <c r="S23" i="963"/>
  <c r="R23" i="963"/>
  <c r="Z22" i="963"/>
  <c r="Y22" i="963"/>
  <c r="X22" i="963"/>
  <c r="W22" i="963"/>
  <c r="V22" i="963"/>
  <c r="U22" i="963"/>
  <c r="T22" i="963"/>
  <c r="S22" i="963"/>
  <c r="R22" i="963"/>
  <c r="Z21" i="963"/>
  <c r="Y21" i="963"/>
  <c r="X21" i="963"/>
  <c r="W21" i="963"/>
  <c r="V21" i="963"/>
  <c r="U21" i="963"/>
  <c r="T21" i="963"/>
  <c r="S21" i="963"/>
  <c r="R21" i="963"/>
  <c r="Z10" i="963"/>
  <c r="Y10" i="963"/>
  <c r="X10" i="963"/>
  <c r="W10" i="963"/>
  <c r="V10" i="963"/>
  <c r="U10" i="963"/>
  <c r="T10" i="963"/>
  <c r="S10" i="963"/>
  <c r="R10" i="963"/>
  <c r="B26" i="962"/>
  <c r="M26" i="962"/>
  <c r="L26" i="962"/>
  <c r="L41" i="962"/>
  <c r="K26" i="962"/>
  <c r="R11" i="962"/>
  <c r="S11" i="962"/>
  <c r="T11" i="962"/>
  <c r="U11" i="962"/>
  <c r="V11" i="962"/>
  <c r="W11" i="962"/>
  <c r="X11" i="962"/>
  <c r="Y11" i="962"/>
  <c r="Z11" i="962"/>
  <c r="R12" i="962"/>
  <c r="S12" i="962"/>
  <c r="T12" i="962"/>
  <c r="U12" i="962"/>
  <c r="V12" i="962"/>
  <c r="W12" i="962"/>
  <c r="X12" i="962"/>
  <c r="Y12" i="962"/>
  <c r="Z12" i="962"/>
  <c r="R13" i="962"/>
  <c r="S13" i="962"/>
  <c r="T13" i="962"/>
  <c r="U13" i="962"/>
  <c r="V13" i="962"/>
  <c r="W13" i="962"/>
  <c r="X13" i="962"/>
  <c r="Y13" i="962"/>
  <c r="Z13" i="962"/>
  <c r="R14" i="962"/>
  <c r="S14" i="962"/>
  <c r="T14" i="962"/>
  <c r="U14" i="962"/>
  <c r="V14" i="962"/>
  <c r="W14" i="962"/>
  <c r="X14" i="962"/>
  <c r="Y14" i="962"/>
  <c r="Z14" i="962"/>
  <c r="R15" i="962"/>
  <c r="S15" i="962"/>
  <c r="T15" i="962"/>
  <c r="U15" i="962"/>
  <c r="V15" i="962"/>
  <c r="W15" i="962"/>
  <c r="X15" i="962"/>
  <c r="Y15" i="962"/>
  <c r="Z15" i="962"/>
  <c r="R16" i="962"/>
  <c r="S16" i="962"/>
  <c r="T16" i="962"/>
  <c r="U16" i="962"/>
  <c r="V16" i="962"/>
  <c r="W16" i="962"/>
  <c r="X16" i="962"/>
  <c r="Y16" i="962"/>
  <c r="Z16" i="962"/>
  <c r="R17" i="962"/>
  <c r="S17" i="962"/>
  <c r="T17" i="962"/>
  <c r="U17" i="962"/>
  <c r="V17" i="962"/>
  <c r="W17" i="962"/>
  <c r="X17" i="962"/>
  <c r="Y17" i="962"/>
  <c r="Z17" i="962"/>
  <c r="R18" i="962"/>
  <c r="S18" i="962"/>
  <c r="T18" i="962"/>
  <c r="U18" i="962"/>
  <c r="V18" i="962"/>
  <c r="W18" i="962"/>
  <c r="X18" i="962"/>
  <c r="Y18" i="962"/>
  <c r="Z18" i="962"/>
  <c r="R19" i="962"/>
  <c r="S19" i="962"/>
  <c r="T19" i="962"/>
  <c r="U19" i="962"/>
  <c r="V19" i="962"/>
  <c r="W19" i="962"/>
  <c r="X19" i="962"/>
  <c r="Y19" i="962"/>
  <c r="Z19" i="962"/>
  <c r="R20" i="962"/>
  <c r="S20" i="962"/>
  <c r="T20" i="962"/>
  <c r="U20" i="962"/>
  <c r="V20" i="962"/>
  <c r="W20" i="962"/>
  <c r="X20" i="962"/>
  <c r="Y20" i="962"/>
  <c r="Z20" i="962"/>
  <c r="R21" i="962"/>
  <c r="S21" i="962"/>
  <c r="T21" i="962"/>
  <c r="U21" i="962"/>
  <c r="V21" i="962"/>
  <c r="W21" i="962"/>
  <c r="X21" i="962"/>
  <c r="Y21" i="962"/>
  <c r="Z21" i="962"/>
  <c r="R22" i="962"/>
  <c r="S22" i="962"/>
  <c r="T22" i="962"/>
  <c r="U22" i="962"/>
  <c r="V22" i="962"/>
  <c r="W22" i="962"/>
  <c r="X22" i="962"/>
  <c r="Y22" i="962"/>
  <c r="Z22" i="962"/>
  <c r="R23" i="962"/>
  <c r="S23" i="962"/>
  <c r="T23" i="962"/>
  <c r="U23" i="962"/>
  <c r="V23" i="962"/>
  <c r="W23" i="962"/>
  <c r="X23" i="962"/>
  <c r="Y23" i="962"/>
  <c r="Z23" i="962"/>
  <c r="R24" i="962"/>
  <c r="S24" i="962"/>
  <c r="T24" i="962"/>
  <c r="U24" i="962"/>
  <c r="V24" i="962"/>
  <c r="W24" i="962"/>
  <c r="X24" i="962"/>
  <c r="Y24" i="962"/>
  <c r="Z24" i="962"/>
  <c r="C15" i="962"/>
  <c r="D15" i="962"/>
  <c r="E15" i="962"/>
  <c r="F15" i="962"/>
  <c r="G15" i="962"/>
  <c r="I15" i="962"/>
  <c r="J15" i="962"/>
  <c r="L15" i="962"/>
  <c r="M15" i="962"/>
  <c r="N15" i="962"/>
  <c r="O15" i="962"/>
  <c r="C16" i="962"/>
  <c r="D16" i="962"/>
  <c r="E16" i="962"/>
  <c r="F16" i="962"/>
  <c r="G16" i="962"/>
  <c r="I16" i="962"/>
  <c r="J16" i="962"/>
  <c r="L16" i="962"/>
  <c r="M16" i="962"/>
  <c r="N16" i="962"/>
  <c r="O16" i="962"/>
  <c r="C10" i="962"/>
  <c r="D10" i="962"/>
  <c r="E10" i="962"/>
  <c r="F10" i="962"/>
  <c r="G10" i="962"/>
  <c r="I10" i="962"/>
  <c r="J10" i="962"/>
  <c r="L10" i="962"/>
  <c r="M10" i="962"/>
  <c r="N10" i="962"/>
  <c r="O10" i="962"/>
  <c r="C11" i="962"/>
  <c r="D11" i="962"/>
  <c r="E11" i="962"/>
  <c r="F11" i="962"/>
  <c r="G11" i="962"/>
  <c r="I11" i="962"/>
  <c r="J11" i="962"/>
  <c r="L11" i="962"/>
  <c r="M11" i="962"/>
  <c r="N11" i="962"/>
  <c r="O11" i="962"/>
  <c r="C12" i="962"/>
  <c r="D12" i="962"/>
  <c r="E12" i="962"/>
  <c r="F12" i="962"/>
  <c r="G12" i="962"/>
  <c r="I12" i="962"/>
  <c r="J12" i="962"/>
  <c r="L12" i="962"/>
  <c r="M12" i="962"/>
  <c r="N12" i="962"/>
  <c r="O12" i="962"/>
  <c r="C13" i="962"/>
  <c r="D13" i="962"/>
  <c r="E13" i="962"/>
  <c r="F13" i="962"/>
  <c r="G13" i="962"/>
  <c r="I13" i="962"/>
  <c r="J13" i="962"/>
  <c r="L13" i="962"/>
  <c r="M13" i="962"/>
  <c r="N13" i="962"/>
  <c r="O13" i="962"/>
  <c r="C14" i="962"/>
  <c r="D14" i="962"/>
  <c r="E14" i="962"/>
  <c r="F14" i="962"/>
  <c r="G14" i="962"/>
  <c r="I14" i="962"/>
  <c r="J14" i="962"/>
  <c r="L14" i="962"/>
  <c r="M14" i="962"/>
  <c r="N14" i="962"/>
  <c r="O14" i="962"/>
  <c r="J60" i="19"/>
  <c r="J63" i="19"/>
  <c r="J64" i="19"/>
  <c r="G60" i="19"/>
  <c r="G63" i="19"/>
  <c r="G64" i="19"/>
  <c r="J59" i="18"/>
  <c r="J60" i="18"/>
  <c r="J61" i="18"/>
  <c r="J63" i="18"/>
  <c r="J64" i="18"/>
  <c r="G58" i="18"/>
  <c r="G59" i="18"/>
  <c r="G60" i="18"/>
  <c r="G61" i="18"/>
  <c r="G62" i="18"/>
  <c r="G63" i="18"/>
  <c r="G64" i="18"/>
  <c r="D62" i="18"/>
  <c r="D59" i="18"/>
  <c r="D60" i="18"/>
  <c r="D61" i="18"/>
  <c r="D63" i="18"/>
  <c r="D64" i="18"/>
  <c r="M41" i="962"/>
  <c r="J26" i="962" l="1"/>
  <c r="V24" i="963"/>
  <c r="R24" i="963"/>
  <c r="S24" i="963"/>
  <c r="T24" i="963"/>
  <c r="U24" i="963"/>
  <c r="W24" i="963"/>
  <c r="X24" i="963"/>
  <c r="Y24" i="963"/>
  <c r="D58" i="18"/>
  <c r="F73" i="962"/>
  <c r="L59" i="962"/>
  <c r="AX57" i="962"/>
  <c r="AW57" i="962"/>
  <c r="AV57" i="962"/>
  <c r="AU57" i="962"/>
  <c r="AT57" i="962"/>
  <c r="AS57" i="962"/>
  <c r="AR57" i="962"/>
  <c r="AQ57" i="962"/>
  <c r="AP57" i="962"/>
  <c r="AO57" i="962"/>
  <c r="AN57" i="962"/>
  <c r="AM57" i="962"/>
  <c r="AL57" i="962"/>
  <c r="AK57" i="962"/>
  <c r="AJ57" i="962"/>
  <c r="AI57" i="962"/>
  <c r="AH57" i="962"/>
  <c r="AG57" i="962"/>
  <c r="AF57" i="962"/>
  <c r="AE57" i="962"/>
  <c r="AD57" i="962"/>
  <c r="AC57" i="962"/>
  <c r="AB57" i="962"/>
  <c r="AX56" i="962"/>
  <c r="AW56" i="962"/>
  <c r="AV56" i="962"/>
  <c r="AU56" i="962"/>
  <c r="AT56" i="962"/>
  <c r="AS56" i="962"/>
  <c r="AR56" i="962"/>
  <c r="AQ56" i="962"/>
  <c r="AP56" i="962"/>
  <c r="AO56" i="962"/>
  <c r="AN56" i="962"/>
  <c r="AM56" i="962"/>
  <c r="AL56" i="962"/>
  <c r="AK56" i="962"/>
  <c r="AJ56" i="962"/>
  <c r="AI56" i="962"/>
  <c r="AH56" i="962"/>
  <c r="AG56" i="962"/>
  <c r="AF56" i="962"/>
  <c r="AE56" i="962"/>
  <c r="AD56" i="962"/>
  <c r="AC56" i="962"/>
  <c r="AB56" i="962"/>
  <c r="AX55" i="962"/>
  <c r="AW55" i="962"/>
  <c r="AV55" i="962"/>
  <c r="AU55" i="962"/>
  <c r="AT55" i="962"/>
  <c r="AS55" i="962"/>
  <c r="AR55" i="962"/>
  <c r="AQ55" i="962"/>
  <c r="AP55" i="962"/>
  <c r="AO55" i="962"/>
  <c r="AN55" i="962"/>
  <c r="AM55" i="962"/>
  <c r="AL55" i="962"/>
  <c r="AK55" i="962"/>
  <c r="AJ55" i="962"/>
  <c r="AI55" i="962"/>
  <c r="AH55" i="962"/>
  <c r="AG55" i="962"/>
  <c r="AF55" i="962"/>
  <c r="AE55" i="962"/>
  <c r="AD55" i="962"/>
  <c r="AC55" i="962"/>
  <c r="AB55" i="962"/>
  <c r="K50" i="962"/>
  <c r="Z37" i="962"/>
  <c r="Y37" i="962"/>
  <c r="X37" i="962"/>
  <c r="W37" i="962"/>
  <c r="V37" i="962"/>
  <c r="U37" i="962"/>
  <c r="T37" i="962"/>
  <c r="S37" i="962"/>
  <c r="R37" i="962"/>
  <c r="Z36" i="962"/>
  <c r="Y36" i="962"/>
  <c r="X36" i="962"/>
  <c r="W36" i="962"/>
  <c r="V36" i="962"/>
  <c r="U36" i="962"/>
  <c r="T36" i="962"/>
  <c r="S36" i="962"/>
  <c r="R36" i="962"/>
  <c r="Z35" i="962"/>
  <c r="Y35" i="962"/>
  <c r="X35" i="962"/>
  <c r="W35" i="962"/>
  <c r="V35" i="962"/>
  <c r="U35" i="962"/>
  <c r="T35" i="962"/>
  <c r="S35" i="962"/>
  <c r="R35" i="962"/>
  <c r="Z34" i="962"/>
  <c r="Y34" i="962"/>
  <c r="X34" i="962"/>
  <c r="W34" i="962"/>
  <c r="V34" i="962"/>
  <c r="U34" i="962"/>
  <c r="T34" i="962"/>
  <c r="S34" i="962"/>
  <c r="R34" i="962"/>
  <c r="Z33" i="962"/>
  <c r="Y33" i="962"/>
  <c r="X33" i="962"/>
  <c r="W33" i="962"/>
  <c r="V33" i="962"/>
  <c r="U33" i="962"/>
  <c r="T33" i="962"/>
  <c r="S33" i="962"/>
  <c r="R33" i="962"/>
  <c r="Z32" i="962"/>
  <c r="Y32" i="962"/>
  <c r="X32" i="962"/>
  <c r="W32" i="962"/>
  <c r="V32" i="962"/>
  <c r="U32" i="962"/>
  <c r="T32" i="962"/>
  <c r="S32" i="962"/>
  <c r="R32" i="962"/>
  <c r="M32" i="962"/>
  <c r="Z31" i="962"/>
  <c r="Y31" i="962"/>
  <c r="X31" i="962"/>
  <c r="W31" i="962"/>
  <c r="V31" i="962"/>
  <c r="U31" i="962"/>
  <c r="T31" i="962"/>
  <c r="S31" i="962"/>
  <c r="R31" i="962"/>
  <c r="M31" i="962"/>
  <c r="Z30" i="962"/>
  <c r="Y30" i="962"/>
  <c r="X30" i="962"/>
  <c r="W30" i="962"/>
  <c r="V30" i="962"/>
  <c r="U30" i="962"/>
  <c r="T30" i="962"/>
  <c r="S30" i="962"/>
  <c r="R30" i="962"/>
  <c r="Z29" i="962"/>
  <c r="Y29" i="962"/>
  <c r="X29" i="962"/>
  <c r="W29" i="962"/>
  <c r="V29" i="962"/>
  <c r="U29" i="962"/>
  <c r="T29" i="962"/>
  <c r="S29" i="962"/>
  <c r="R29" i="962"/>
  <c r="M29" i="962"/>
  <c r="Z28" i="962"/>
  <c r="Y28" i="962"/>
  <c r="X28" i="962"/>
  <c r="W28" i="962"/>
  <c r="V28" i="962"/>
  <c r="U28" i="962"/>
  <c r="T28" i="962"/>
  <c r="S28" i="962"/>
  <c r="R28" i="962"/>
  <c r="M28" i="962"/>
  <c r="Z27" i="962"/>
  <c r="Y27" i="962"/>
  <c r="X27" i="962"/>
  <c r="W27" i="962"/>
  <c r="V27" i="962"/>
  <c r="U27" i="962"/>
  <c r="T27" i="962"/>
  <c r="S27" i="962"/>
  <c r="R27" i="962"/>
  <c r="M27" i="962"/>
  <c r="Z26" i="962"/>
  <c r="Y26" i="962"/>
  <c r="X26" i="962"/>
  <c r="W26" i="962"/>
  <c r="V26" i="962"/>
  <c r="U26" i="962"/>
  <c r="T26" i="962"/>
  <c r="S26" i="962"/>
  <c r="R26" i="962"/>
  <c r="Z25" i="962"/>
  <c r="Y25" i="962"/>
  <c r="X25" i="962"/>
  <c r="W25" i="962"/>
  <c r="V25" i="962"/>
  <c r="U25" i="962"/>
  <c r="T25" i="962"/>
  <c r="S25" i="962"/>
  <c r="R25" i="962"/>
  <c r="Z10" i="962"/>
  <c r="Y10" i="962"/>
  <c r="X10" i="962"/>
  <c r="W10" i="962"/>
  <c r="V10" i="962"/>
  <c r="U10" i="962"/>
  <c r="T10" i="962"/>
  <c r="S10" i="962"/>
  <c r="R10" i="962"/>
  <c r="K36" i="962" l="1"/>
  <c r="L36" i="962" s="1"/>
  <c r="M36" i="962" s="1"/>
  <c r="O47" i="21" l="1"/>
  <c r="N47" i="21"/>
  <c r="M47" i="21"/>
  <c r="L47" i="21"/>
  <c r="K47" i="21"/>
  <c r="J47" i="21"/>
  <c r="I47" i="21"/>
  <c r="G47" i="21"/>
  <c r="F47" i="21"/>
  <c r="D47" i="21"/>
  <c r="D45" i="21"/>
  <c r="P45" i="21" s="1"/>
  <c r="F9" i="21" s="1"/>
  <c r="H44" i="21"/>
  <c r="E44" i="21"/>
  <c r="D44" i="21"/>
  <c r="P42" i="21"/>
  <c r="H41" i="21"/>
  <c r="E41" i="21"/>
  <c r="D41" i="21"/>
  <c r="H40" i="21"/>
  <c r="E40" i="21"/>
  <c r="D40" i="21"/>
  <c r="F38" i="21"/>
  <c r="E9" i="21"/>
  <c r="E8" i="21"/>
  <c r="F7" i="21"/>
  <c r="E7" i="21"/>
  <c r="E6" i="21"/>
  <c r="E5" i="21"/>
  <c r="E3" i="21"/>
  <c r="D37" i="19"/>
  <c r="D36" i="19"/>
  <c r="D34" i="19"/>
  <c r="D33" i="19"/>
  <c r="E29" i="19"/>
  <c r="E27" i="19"/>
  <c r="K26" i="19"/>
  <c r="K25" i="19"/>
  <c r="K24" i="19"/>
  <c r="K23" i="19"/>
  <c r="J13" i="19"/>
  <c r="I13" i="19"/>
  <c r="H13" i="19"/>
  <c r="G13" i="19"/>
  <c r="F13" i="19"/>
  <c r="E13" i="19"/>
  <c r="D13" i="19"/>
  <c r="C13" i="19"/>
  <c r="E26" i="19" s="1"/>
  <c r="J12" i="19"/>
  <c r="I12" i="19"/>
  <c r="H12" i="19"/>
  <c r="G12" i="19"/>
  <c r="F12" i="19"/>
  <c r="E12" i="19"/>
  <c r="D12" i="19"/>
  <c r="C12" i="19"/>
  <c r="E25" i="19" s="1"/>
  <c r="J11" i="19"/>
  <c r="I11" i="19"/>
  <c r="H11" i="19"/>
  <c r="G11" i="19"/>
  <c r="F11" i="19"/>
  <c r="E11" i="19"/>
  <c r="D11" i="19"/>
  <c r="C11" i="19"/>
  <c r="E24" i="19" s="1"/>
  <c r="J10" i="19"/>
  <c r="I10" i="19"/>
  <c r="H10" i="19"/>
  <c r="G10" i="19"/>
  <c r="F10" i="19"/>
  <c r="E10" i="19"/>
  <c r="D10" i="19"/>
  <c r="C10" i="19"/>
  <c r="E23" i="19" s="1"/>
  <c r="D37" i="18"/>
  <c r="D36" i="18"/>
  <c r="D34" i="18"/>
  <c r="D33" i="18"/>
  <c r="E29" i="18"/>
  <c r="E27" i="18"/>
  <c r="K26" i="18"/>
  <c r="K25" i="18"/>
  <c r="K24" i="18"/>
  <c r="K23" i="18"/>
  <c r="J13" i="18"/>
  <c r="I13" i="18"/>
  <c r="H13" i="18"/>
  <c r="G13" i="18"/>
  <c r="F13" i="18"/>
  <c r="E13" i="18"/>
  <c r="D13" i="18"/>
  <c r="C13" i="18"/>
  <c r="E26" i="18" s="1"/>
  <c r="J12" i="18"/>
  <c r="I12" i="18"/>
  <c r="H12" i="18"/>
  <c r="G12" i="18"/>
  <c r="F12" i="18"/>
  <c r="E12" i="18"/>
  <c r="D12" i="18"/>
  <c r="C12" i="18"/>
  <c r="E25" i="18" s="1"/>
  <c r="J11" i="18"/>
  <c r="I11" i="18"/>
  <c r="H11" i="18"/>
  <c r="G11" i="18"/>
  <c r="F11" i="18"/>
  <c r="E11" i="18"/>
  <c r="D11" i="18"/>
  <c r="C11" i="18"/>
  <c r="E24" i="18" s="1"/>
  <c r="J10" i="18"/>
  <c r="I10" i="18"/>
  <c r="H10" i="18"/>
  <c r="G10" i="18"/>
  <c r="F10" i="18"/>
  <c r="E10" i="18"/>
  <c r="D10" i="18"/>
  <c r="C10" i="18"/>
  <c r="E23" i="18" s="1"/>
  <c r="F94" i="658"/>
  <c r="G90" i="658"/>
  <c r="AY80" i="658"/>
  <c r="AX80" i="658"/>
  <c r="AW80" i="658"/>
  <c r="AV80" i="658"/>
  <c r="AU80" i="658"/>
  <c r="AT80" i="658"/>
  <c r="AS80" i="658"/>
  <c r="AR80" i="658"/>
  <c r="AQ80" i="658"/>
  <c r="AP80" i="658"/>
  <c r="AO80" i="658"/>
  <c r="AN80" i="658"/>
  <c r="AM80" i="658"/>
  <c r="AL80" i="658"/>
  <c r="AK80" i="658"/>
  <c r="AJ80" i="658"/>
  <c r="AI80" i="658"/>
  <c r="AH80" i="658"/>
  <c r="AG80" i="658"/>
  <c r="AF80" i="658"/>
  <c r="AE80" i="658"/>
  <c r="AD80" i="658"/>
  <c r="AC80" i="658"/>
  <c r="AB80" i="658"/>
  <c r="AA80" i="658"/>
  <c r="Z80" i="658"/>
  <c r="Y80" i="658"/>
  <c r="X80" i="658"/>
  <c r="W80" i="658"/>
  <c r="V80" i="658"/>
  <c r="U80" i="658"/>
  <c r="K79" i="658"/>
  <c r="K90" i="658" s="1"/>
  <c r="G79" i="658"/>
  <c r="D79" i="658"/>
  <c r="K74" i="658"/>
  <c r="D72" i="658"/>
  <c r="M65" i="658"/>
  <c r="L65" i="658"/>
  <c r="M58" i="658"/>
  <c r="M57" i="658"/>
  <c r="M56" i="658"/>
  <c r="L56" i="658"/>
  <c r="K56" i="658"/>
  <c r="M55" i="658"/>
  <c r="M53" i="658"/>
  <c r="L53" i="658"/>
  <c r="K53" i="658"/>
  <c r="M52" i="658"/>
  <c r="L52" i="658"/>
  <c r="K52" i="658"/>
  <c r="M51" i="658"/>
  <c r="L51" i="658"/>
  <c r="K51" i="658"/>
  <c r="M50" i="658"/>
  <c r="L50" i="658"/>
  <c r="K50" i="658"/>
  <c r="AA47" i="658"/>
  <c r="Z47" i="658"/>
  <c r="Y47" i="658"/>
  <c r="X47" i="658"/>
  <c r="W47" i="658"/>
  <c r="V47" i="658"/>
  <c r="U47" i="658"/>
  <c r="T47" i="658"/>
  <c r="S47" i="658"/>
  <c r="AA46" i="658"/>
  <c r="Z46" i="658"/>
  <c r="Y46" i="658"/>
  <c r="X46" i="658"/>
  <c r="W46" i="658"/>
  <c r="V46" i="658"/>
  <c r="U46" i="658"/>
  <c r="T46" i="658"/>
  <c r="S46" i="658"/>
  <c r="AA45" i="658"/>
  <c r="Z45" i="658"/>
  <c r="Y45" i="658"/>
  <c r="X45" i="658"/>
  <c r="W45" i="658"/>
  <c r="V45" i="658"/>
  <c r="U45" i="658"/>
  <c r="T45" i="658"/>
  <c r="S45" i="658"/>
  <c r="AA44" i="658"/>
  <c r="Z44" i="658"/>
  <c r="Y44" i="658"/>
  <c r="X44" i="658"/>
  <c r="W44" i="658"/>
  <c r="V44" i="658"/>
  <c r="U44" i="658"/>
  <c r="T44" i="658"/>
  <c r="S44" i="658"/>
  <c r="AA43" i="658"/>
  <c r="Z43" i="658"/>
  <c r="Y43" i="658"/>
  <c r="X43" i="658"/>
  <c r="W43" i="658"/>
  <c r="V43" i="658"/>
  <c r="U43" i="658"/>
  <c r="T43" i="658"/>
  <c r="S43" i="658"/>
  <c r="AA42" i="658"/>
  <c r="Z42" i="658"/>
  <c r="Y42" i="658"/>
  <c r="X42" i="658"/>
  <c r="W42" i="658"/>
  <c r="V42" i="658"/>
  <c r="U42" i="658"/>
  <c r="T42" i="658"/>
  <c r="S42" i="658"/>
  <c r="AA41" i="658"/>
  <c r="Z41" i="658"/>
  <c r="Y41" i="658"/>
  <c r="X41" i="658"/>
  <c r="W41" i="658"/>
  <c r="V41" i="658"/>
  <c r="U41" i="658"/>
  <c r="T41" i="658"/>
  <c r="S41" i="658"/>
  <c r="AA40" i="658"/>
  <c r="Z40" i="658"/>
  <c r="Y40" i="658"/>
  <c r="X40" i="658"/>
  <c r="W40" i="658"/>
  <c r="V40" i="658"/>
  <c r="U40" i="658"/>
  <c r="T40" i="658"/>
  <c r="S40" i="658"/>
  <c r="AA39" i="658"/>
  <c r="Z39" i="658"/>
  <c r="Y39" i="658"/>
  <c r="X39" i="658"/>
  <c r="W39" i="658"/>
  <c r="V39" i="658"/>
  <c r="U39" i="658"/>
  <c r="T39" i="658"/>
  <c r="S39" i="658"/>
  <c r="AA38" i="658"/>
  <c r="Z38" i="658"/>
  <c r="Y38" i="658"/>
  <c r="X38" i="658"/>
  <c r="W38" i="658"/>
  <c r="V38" i="658"/>
  <c r="U38" i="658"/>
  <c r="T38" i="658"/>
  <c r="S38" i="658"/>
  <c r="AA37" i="658"/>
  <c r="Z37" i="658"/>
  <c r="Y37" i="658"/>
  <c r="X37" i="658"/>
  <c r="W37" i="658"/>
  <c r="V37" i="658"/>
  <c r="U37" i="658"/>
  <c r="T37" i="658"/>
  <c r="S37" i="658"/>
  <c r="AA36" i="658"/>
  <c r="Z36" i="658"/>
  <c r="Y36" i="658"/>
  <c r="X36" i="658"/>
  <c r="W36" i="658"/>
  <c r="V36" i="658"/>
  <c r="U36" i="658"/>
  <c r="T36" i="658"/>
  <c r="S36" i="658"/>
  <c r="AA35" i="658"/>
  <c r="Z35" i="658"/>
  <c r="Y35" i="658"/>
  <c r="X35" i="658"/>
  <c r="W35" i="658"/>
  <c r="V35" i="658"/>
  <c r="U35" i="658"/>
  <c r="T35" i="658"/>
  <c r="S35" i="658"/>
  <c r="AA34" i="658"/>
  <c r="Z34" i="658"/>
  <c r="Y34" i="658"/>
  <c r="X34" i="658"/>
  <c r="W34" i="658"/>
  <c r="V34" i="658"/>
  <c r="U34" i="658"/>
  <c r="T34" i="658"/>
  <c r="S34" i="658"/>
  <c r="AA33" i="658"/>
  <c r="Z33" i="658"/>
  <c r="Y33" i="658"/>
  <c r="X33" i="658"/>
  <c r="W33" i="658"/>
  <c r="V33" i="658"/>
  <c r="U33" i="658"/>
  <c r="T33" i="658"/>
  <c r="S33" i="658"/>
  <c r="AA32" i="658"/>
  <c r="Z32" i="658"/>
  <c r="Y32" i="658"/>
  <c r="X32" i="658"/>
  <c r="W32" i="658"/>
  <c r="V32" i="658"/>
  <c r="U32" i="658"/>
  <c r="T32" i="658"/>
  <c r="S32" i="658"/>
  <c r="AA31" i="658"/>
  <c r="Z31" i="658"/>
  <c r="Y31" i="658"/>
  <c r="X31" i="658"/>
  <c r="W31" i="658"/>
  <c r="V31" i="658"/>
  <c r="U31" i="658"/>
  <c r="T31" i="658"/>
  <c r="S31" i="658"/>
  <c r="AA30" i="658"/>
  <c r="Z30" i="658"/>
  <c r="Y30" i="658"/>
  <c r="X30" i="658"/>
  <c r="W30" i="658"/>
  <c r="V30" i="658"/>
  <c r="U30" i="658"/>
  <c r="T30" i="658"/>
  <c r="S30" i="658"/>
  <c r="AA29" i="658"/>
  <c r="Z29" i="658"/>
  <c r="Y29" i="658"/>
  <c r="X29" i="658"/>
  <c r="W29" i="658"/>
  <c r="V29" i="658"/>
  <c r="U29" i="658"/>
  <c r="T29" i="658"/>
  <c r="S29" i="658"/>
  <c r="AA28" i="658"/>
  <c r="Z28" i="658"/>
  <c r="Y28" i="658"/>
  <c r="X28" i="658"/>
  <c r="W28" i="658"/>
  <c r="V28" i="658"/>
  <c r="U28" i="658"/>
  <c r="T28" i="658"/>
  <c r="S28" i="658"/>
  <c r="AA27" i="658"/>
  <c r="Z27" i="658"/>
  <c r="Y27" i="658"/>
  <c r="X27" i="658"/>
  <c r="W27" i="658"/>
  <c r="V27" i="658"/>
  <c r="U27" i="658"/>
  <c r="T27" i="658"/>
  <c r="S27" i="658"/>
  <c r="AA26" i="658"/>
  <c r="Z26" i="658"/>
  <c r="Y26" i="658"/>
  <c r="X26" i="658"/>
  <c r="W26" i="658"/>
  <c r="V26" i="658"/>
  <c r="U26" i="658"/>
  <c r="T26" i="658"/>
  <c r="S26" i="658"/>
  <c r="AA25" i="658"/>
  <c r="Z25" i="658"/>
  <c r="Y25" i="658"/>
  <c r="X25" i="658"/>
  <c r="W25" i="658"/>
  <c r="V25" i="658"/>
  <c r="U25" i="658"/>
  <c r="T25" i="658"/>
  <c r="S25" i="658"/>
  <c r="AA24" i="658"/>
  <c r="Z24" i="658"/>
  <c r="Y24" i="658"/>
  <c r="X24" i="658"/>
  <c r="W24" i="658"/>
  <c r="V24" i="658"/>
  <c r="U24" i="658"/>
  <c r="T24" i="658"/>
  <c r="S24" i="658"/>
  <c r="AA23" i="658"/>
  <c r="Z23" i="658"/>
  <c r="Y23" i="658"/>
  <c r="X23" i="658"/>
  <c r="W23" i="658"/>
  <c r="V23" i="658"/>
  <c r="U23" i="658"/>
  <c r="T23" i="658"/>
  <c r="S23" i="658"/>
  <c r="AA22" i="658"/>
  <c r="Z22" i="658"/>
  <c r="Y22" i="658"/>
  <c r="X22" i="658"/>
  <c r="W22" i="658"/>
  <c r="V22" i="658"/>
  <c r="U22" i="658"/>
  <c r="T22" i="658"/>
  <c r="S22" i="658"/>
  <c r="AA21" i="658"/>
  <c r="Z21" i="658"/>
  <c r="Y21" i="658"/>
  <c r="X21" i="658"/>
  <c r="W21" i="658"/>
  <c r="V21" i="658"/>
  <c r="U21" i="658"/>
  <c r="T21" i="658"/>
  <c r="S21" i="658"/>
  <c r="AA20" i="658"/>
  <c r="Z20" i="658"/>
  <c r="Y20" i="658"/>
  <c r="X20" i="658"/>
  <c r="W20" i="658"/>
  <c r="V20" i="658"/>
  <c r="U20" i="658"/>
  <c r="T20" i="658"/>
  <c r="S20" i="658"/>
  <c r="AA19" i="658"/>
  <c r="Z19" i="658"/>
  <c r="Y19" i="658"/>
  <c r="X19" i="658"/>
  <c r="W19" i="658"/>
  <c r="V19" i="658"/>
  <c r="U19" i="658"/>
  <c r="T19" i="658"/>
  <c r="S19" i="658"/>
  <c r="AA18" i="658"/>
  <c r="Z18" i="658"/>
  <c r="Y18" i="658"/>
  <c r="X18" i="658"/>
  <c r="W18" i="658"/>
  <c r="V18" i="658"/>
  <c r="U18" i="658"/>
  <c r="T18" i="658"/>
  <c r="S18" i="658"/>
  <c r="AA17" i="658"/>
  <c r="Z17" i="658"/>
  <c r="Y17" i="658"/>
  <c r="X17" i="658"/>
  <c r="W17" i="658"/>
  <c r="V17" i="658"/>
  <c r="U17" i="658"/>
  <c r="T17" i="658"/>
  <c r="S17" i="658"/>
  <c r="AA16" i="658"/>
  <c r="Z16" i="658"/>
  <c r="Y16" i="658"/>
  <c r="X16" i="658"/>
  <c r="W16" i="658"/>
  <c r="V16" i="658"/>
  <c r="U16" i="658"/>
  <c r="T16" i="658"/>
  <c r="S16" i="658"/>
  <c r="AA15" i="658"/>
  <c r="Z15" i="658"/>
  <c r="Y15" i="658"/>
  <c r="X15" i="658"/>
  <c r="W15" i="658"/>
  <c r="V15" i="658"/>
  <c r="U15" i="658"/>
  <c r="T15" i="658"/>
  <c r="S15" i="658"/>
  <c r="AA14" i="658"/>
  <c r="Z14" i="658"/>
  <c r="Y14" i="658"/>
  <c r="X14" i="658"/>
  <c r="W14" i="658"/>
  <c r="V14" i="658"/>
  <c r="U14" i="658"/>
  <c r="T14" i="658"/>
  <c r="S14" i="658"/>
  <c r="AA13" i="658"/>
  <c r="Z13" i="658"/>
  <c r="Y13" i="658"/>
  <c r="X13" i="658"/>
  <c r="W13" i="658"/>
  <c r="V13" i="658"/>
  <c r="U13" i="658"/>
  <c r="T13" i="658"/>
  <c r="S13" i="658"/>
  <c r="AA12" i="658"/>
  <c r="Z12" i="658"/>
  <c r="Y12" i="658"/>
  <c r="X12" i="658"/>
  <c r="W12" i="658"/>
  <c r="V12" i="658"/>
  <c r="U12" i="658"/>
  <c r="T12" i="658"/>
  <c r="S12" i="658"/>
  <c r="AA11" i="658"/>
  <c r="Z11" i="658"/>
  <c r="Y11" i="658"/>
  <c r="X11" i="658"/>
  <c r="W11" i="658"/>
  <c r="V11" i="658"/>
  <c r="U11" i="658"/>
  <c r="T11" i="658"/>
  <c r="S11" i="658"/>
  <c r="AA10" i="658"/>
  <c r="Z10" i="658"/>
  <c r="Y10" i="658"/>
  <c r="X10" i="658"/>
  <c r="W10" i="658"/>
  <c r="V10" i="658"/>
  <c r="U10" i="658"/>
  <c r="T10" i="658"/>
  <c r="S10" i="658"/>
  <c r="K59" i="658" l="1"/>
  <c r="L59" i="658" s="1"/>
  <c r="M59" i="658" s="1"/>
  <c r="C33" i="18"/>
  <c r="P44" i="21"/>
  <c r="F8" i="21" s="1"/>
  <c r="L79" i="658"/>
  <c r="C90" i="658" s="1"/>
  <c r="I20" i="18"/>
  <c r="E10" i="21"/>
  <c r="I20" i="19"/>
  <c r="C33" i="19"/>
  <c r="P40" i="21"/>
  <c r="F5" i="21" s="1"/>
  <c r="E47" i="21"/>
  <c r="H47" i="21"/>
  <c r="P41" i="21"/>
  <c r="F6" i="21" s="1"/>
  <c r="D40" i="18"/>
  <c r="D40" i="19"/>
  <c r="K11" i="967" l="1"/>
  <c r="K12" i="967"/>
  <c r="K13" i="967"/>
  <c r="K14" i="967"/>
  <c r="K15" i="967"/>
  <c r="K10" i="969"/>
  <c r="K11" i="969"/>
  <c r="K12" i="969"/>
  <c r="P47" i="21"/>
  <c r="F10" i="21" s="1"/>
  <c r="L55" i="962" l="1"/>
  <c r="N10" i="964" l="1"/>
  <c r="K18" i="966" l="1"/>
  <c r="K19" i="966"/>
  <c r="K10" i="967"/>
  <c r="G61" i="19"/>
  <c r="G58" i="19" l="1"/>
  <c r="G59" i="19"/>
  <c r="G62" i="19"/>
  <c r="D55" i="965" l="1"/>
  <c r="D63" i="966" l="1"/>
  <c r="L63" i="966" s="1"/>
  <c r="C77" i="966" s="1"/>
  <c r="L55" i="965"/>
  <c r="C69" i="965" s="1"/>
  <c r="G77" i="966" l="1"/>
  <c r="G69" i="965"/>
  <c r="G57" i="18" l="1"/>
  <c r="K12" i="963" l="1"/>
  <c r="K13" i="963"/>
  <c r="G57" i="19"/>
  <c r="K10" i="966" l="1"/>
  <c r="K11" i="966"/>
  <c r="K12" i="966"/>
  <c r="K13" i="966"/>
  <c r="K14" i="966"/>
  <c r="K15" i="966"/>
  <c r="K16" i="966"/>
  <c r="K12" i="965"/>
  <c r="K11" i="965"/>
  <c r="K10" i="965"/>
  <c r="F60" i="967" l="1"/>
  <c r="D58" i="19"/>
  <c r="D59" i="19"/>
  <c r="D60" i="19"/>
  <c r="D62" i="19"/>
  <c r="D63" i="19"/>
  <c r="D61" i="19"/>
  <c r="D64" i="19"/>
  <c r="K11" i="962" l="1"/>
  <c r="K12" i="962"/>
  <c r="K13" i="962"/>
  <c r="K14" i="962"/>
  <c r="K15" i="962"/>
  <c r="K16" i="962"/>
  <c r="K10" i="963"/>
  <c r="K11" i="963"/>
  <c r="I60" i="967"/>
  <c r="F53" i="963"/>
  <c r="I53" i="963" l="1"/>
  <c r="K10" i="962" l="1"/>
  <c r="I18" i="969"/>
  <c r="I17" i="969"/>
  <c r="I16" i="969"/>
  <c r="J18" i="969"/>
  <c r="J17" i="969"/>
  <c r="J16" i="969"/>
  <c r="J10" i="969" l="1"/>
  <c r="I11" i="969"/>
  <c r="J11" i="969"/>
  <c r="I12" i="969"/>
  <c r="J12" i="969"/>
  <c r="I13" i="969"/>
  <c r="J13" i="969"/>
  <c r="I14" i="969"/>
  <c r="J14" i="969"/>
  <c r="I15" i="969"/>
  <c r="J15" i="969"/>
  <c r="I10" i="969" l="1"/>
  <c r="J36" i="969" s="1"/>
  <c r="F55" i="965" l="1"/>
  <c r="D57" i="19" l="1"/>
  <c r="D57" i="18"/>
  <c r="I55" i="965"/>
  <c r="H55" i="965"/>
  <c r="I10" i="971" l="1"/>
  <c r="J29" i="971" s="1"/>
  <c r="J10" i="971"/>
  <c r="D64" i="972" l="1"/>
  <c r="G77" i="972"/>
  <c r="D58" i="971" l="1"/>
  <c r="L58" i="971" s="1"/>
  <c r="C71" i="971" s="1"/>
  <c r="G71" i="971"/>
  <c r="H64" i="972"/>
  <c r="L64" i="972"/>
  <c r="C77" i="972" s="1"/>
  <c r="G73" i="967"/>
  <c r="D60" i="967"/>
  <c r="G84" i="968"/>
  <c r="D71" i="968"/>
  <c r="L71" i="968" s="1"/>
  <c r="C84" i="968" s="1"/>
  <c r="G76" i="966"/>
  <c r="D65" i="966"/>
  <c r="L65" i="966" s="1"/>
  <c r="C76" i="966" s="1"/>
  <c r="H60" i="967" l="1"/>
  <c r="L60" i="967"/>
  <c r="C73" i="967" s="1"/>
  <c r="D55" i="964" l="1"/>
  <c r="L55" i="964" s="1"/>
  <c r="C68" i="964" s="1"/>
  <c r="G68" i="964"/>
  <c r="D53" i="963"/>
  <c r="H53" i="963" l="1"/>
  <c r="L53" i="963"/>
  <c r="C66" i="963" s="1"/>
  <c r="G66" i="963"/>
  <c r="D56" i="18"/>
  <c r="G56" i="18" l="1"/>
  <c r="D56" i="19"/>
  <c r="G65" i="18" l="1"/>
  <c r="D65" i="18"/>
  <c r="D65" i="19"/>
  <c r="G56" i="19" l="1"/>
  <c r="G65" i="19"/>
  <c r="J62" i="18" l="1"/>
  <c r="J58" i="18"/>
  <c r="J59" i="19" l="1"/>
  <c r="J61" i="19"/>
  <c r="J58" i="19"/>
  <c r="J62" i="19" l="1"/>
  <c r="K65" i="966" l="1"/>
  <c r="K76" i="966" s="1"/>
  <c r="K63" i="966" l="1"/>
  <c r="K77" i="966" s="1"/>
  <c r="K55" i="965"/>
  <c r="K69" i="965" s="1"/>
  <c r="K56" i="970"/>
  <c r="K70" i="970" s="1"/>
  <c r="K60" i="967"/>
  <c r="K73" i="967" s="1"/>
  <c r="K58" i="970"/>
  <c r="K53" i="963"/>
  <c r="K66" i="963" s="1"/>
  <c r="K71" i="968"/>
  <c r="K84" i="968" s="1"/>
  <c r="K55" i="964"/>
  <c r="K68" i="964" s="1"/>
  <c r="J57" i="18" l="1"/>
  <c r="J56" i="18"/>
  <c r="J65" i="18" l="1"/>
  <c r="J57" i="19"/>
  <c r="J65" i="19" l="1"/>
  <c r="J56" i="19"/>
  <c r="C26" i="964" l="1" a="1"/>
  <c r="C26" i="964" s="1"/>
  <c r="C24" i="963" a="1"/>
  <c r="C24" i="963" s="1"/>
  <c r="C28" i="964" a="1"/>
  <c r="C28" i="964" s="1"/>
  <c r="C32" i="964" a="1"/>
  <c r="C32" i="96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EF1F6E66-18DD-4077-9D03-81A5E75AC25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36C2866C-0128-443E-900A-885D0ED885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38040F8-D023-429E-B8F5-09C5137BA51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842231B0-DF58-4498-B8AB-6E631512279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6F888C63-44F1-4C10-BE19-1703D7AA656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30DC34E3-879A-491E-8A28-2320E6267A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388573A8-AFDB-4EC6-8147-E3D5E69861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33B133D5-4EE7-48E7-9932-35D5829D8A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0313F1B7-8B43-4B82-84C2-5D1CF95A9B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EA1037DD-8911-4DFC-A38E-43C64558C9F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63" authorId="0" shapeId="0" xr:uid="{EF0D0E60-B8D7-4708-80DC-7BF0A8CA041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No Cacl2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552DDD4F-85CB-44BE-ADA0-0E2354D6472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D47F2581-4D1D-4581-8BC3-5E184E60E0E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CF309D53-4CD7-4B51-821B-3210351776F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11FC1775-63E4-4AE6-94A1-32DF84F8715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2F0A4E3A-3F0B-486E-9E21-25BF597FB3D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977EF188-E99C-4C14-8CBB-E09D73503F9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E33A61BB-5A38-4F5F-A663-D29256D344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33F90074-877C-4683-B04E-8AB74E468AE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449329B7-B688-4FAA-BA1A-8D60D80A9E7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61AE3A94-26BF-4E10-8159-70FA317A40E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E9A3553D-BE8C-4246-99FC-A683A9E8D36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10225CFB-97DC-440E-B4F9-AE7CDF46FEC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0CE67666-81FB-4345-8E63-C9E4BC269D9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3151ED7D-E0E6-49D1-8C0D-9035307A9AF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0C3A0F1B-C330-46EE-A21E-FB19CDCCE35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718A2038-EB2B-4ECB-ADA7-383B0CB5C26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C8AE359A-BD96-4C1C-862D-0FD05079CF5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D2B84C84-95B2-4372-9078-5FD56D8A29B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86705FF0-6288-4DC7-A666-D0BD30C3A01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71CA4223-4EB0-43AE-8768-27092AEE950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3EE76A40-46ED-4E3A-B988-78123A40E69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EAAC5611-DB81-4037-8B21-FADB0D9E3EB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EFEB42ED-7AA9-4861-A0F6-146A2EF00F7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2AD06C84-273A-4631-876B-1CC6986387D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F263B374-66D2-403C-8542-88E053775B1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81301BF1-05E9-4375-8EB9-5C965237646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246EE048-635C-4A83-854A-785A5709531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532E4AB5-4874-42E2-8B87-8A9810FFC7F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D0D96ADD-0673-44F2-AED4-C908BFFB613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3B37EFF1-001C-4382-918A-C247864FDD5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913D6B71-B511-4E2F-8894-1E4CFB02CB1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0BC8BEE7-D285-4084-9FE0-BAB2DE91117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7A312318-325B-48E2-B390-D146CC699A7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7D47CFB4-F4A5-4AC8-8B84-8EF41ED1C1C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6C584532-A7CA-476D-BE6E-A4805413989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4F0C7512-0070-4537-96F9-81038013E6D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87B3F0D7-7DF8-499B-A687-A8B60324F6C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CA19E58E-783A-4DC6-B080-A9D7481716F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B43BAA9F-7AB3-450E-96C0-5C1848ADEC3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F6A57B0B-D92B-4248-A638-4DE5677EA00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ED9B7DD5-4B21-4816-B2E6-84B21963235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25670C38-D2D9-4252-91E8-1D70075AEE9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5CA96548-E807-4003-8664-04C44F8EB5A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107E802F-4B13-4A30-8210-DF643C56B90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50" authorId="1" shapeId="0" xr:uid="{AA49F9DD-F84D-409A-8235-3947C030780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tank availabilty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BACC28CF-00C6-49AB-930D-9A7F3CEA5A2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808843C3-4A21-48FB-99A6-E8F9695D050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1345A3B1-7E50-424A-9F31-C888CAD2F8D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2FB85B80-0559-40C0-986D-3B54A8A2E67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52D04FB8-93AB-4688-88B0-89087FD05FF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6C8B46E8-C0F1-4F38-89A4-8E192E0395F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5284CEF0-9A54-429A-A366-910349627CD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11375E75-E5C1-4A89-B331-B5E712F5699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7777E937-D6BF-4451-815F-8362E2B24A9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D5261675-7F23-4165-BFB9-1D9041506E7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5ADA8871-4BCD-4939-8E7A-40C4E72FC05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58" authorId="1" shapeId="0" xr:uid="{5F29989B-9215-4AAD-84D3-B6EE39EF6AC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tank availabilty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ACC10E7B-4FDF-45EC-9F23-6E7E2E92B2B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ECCEFFD8-2A9D-4136-BFB0-1C665D45D7F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4FFF4280-3C44-4FA2-AE44-0214F2F6210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8E0055A6-B347-42D3-962C-A82A82AD156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E6B86342-8ADC-4EA8-97BB-7DB0742F4C4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F430099C-AB5A-4D50-8CBC-C3A3B5AE798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6B347BD8-F375-4B70-9FB0-C2A59461055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94BAC599-F56D-4120-A241-F748BCB6FD7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C6ADD77E-146C-4D32-BD99-3A7585120BF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A5A6338E-F39D-496C-8825-F0A59C912A4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F6EBC18B-ADF6-4CF3-A5C8-1D0DDCDAE0F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55" authorId="1" shapeId="0" xr:uid="{5A71231F-C852-4C60-BBE6-330F62A9621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tank availabilty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D01BDE7D-6421-40A8-BB99-0E367EAE259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FF607A23-B8A1-4677-A420-D0B94FB45CB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4A8D4CCD-9B70-4AB8-A804-24E4844EF9E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84BFA644-B8AF-4F95-863F-BEEC3D889B2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E64B1F1B-5FD1-493D-B118-5DE7DDE14B1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3B05C381-FB2F-4186-BC77-1E656261166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CB20300F-0094-45E3-87E5-D2EB1FABDF1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703BBED2-F777-4417-8D34-AFE343F964D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0C544893-CE38-438D-97B2-B378CCF1C7D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D3ACFBC9-321A-414D-8E70-433332F364C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89F89350-7BB2-449B-8EAF-B544FFEA142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66" authorId="1" shapeId="0" xr:uid="{37B1E271-837C-4A86-BEE0-0C4F82134F9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tank availabilty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50AA190F-2CF4-4A17-BA8E-739DFBCF3AD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137D3B01-B6B7-4CC7-B195-A93E39EDBB6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A08FA354-0DC4-4DEB-B17E-71FEAAE1130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2B1E23C5-5AE3-4EE6-A8F8-080EF21B916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57FA13BD-5E89-4095-B26E-2B69226E058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574427BE-E887-4656-99E5-26C7A0413C2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783C4A0D-7FAA-4FAB-BF4A-7CFAACC963A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34CCB3F9-00E9-4AE3-A851-8601867FC88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7A2D48BD-7FBF-44F3-905A-AA8FE147EE0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04FB1053-FCFB-4E79-ADA0-4685C4E72B2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E0020051-19D2-4E2B-9AD2-E2D7AB700FF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2B5D1395-71B8-4943-84B6-DE563884DEB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82A24273-39B3-4AB4-BB7E-108544C2D81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7D249A78-4ECB-4207-97B6-6A55188AA5C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022F2E84-B229-4A7F-B525-EEEB7801EC3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8D101DC2-31D9-4484-A166-C9C59848AA4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25BE2495-8F37-4BAD-9DC0-F088EEE1A41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F73D2C80-E2FE-4AA8-B282-34D42A0E9FB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13F15395-61D2-45F1-9D11-997ACEDA32F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98885A2C-4E10-4B06-91D5-E681921DC03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0BD16129-4B42-4432-A6F3-434FBE47B34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5BDDE314-9ED0-4B38-AC39-75ACA608A01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BB85D29F-9863-484A-AACE-D2B8317DE30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51A29B39-C6AE-4605-BD2B-20C42796708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2E8ED7AA-E7CB-45E3-AC8A-08AD322D43F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CFB559F-97EB-414F-A342-4AD99CF207D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B1485A19-1761-4E84-ABFC-5A2FC95227D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AAA6026E-2DD1-4DC3-B4C5-64390F670C6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FE85CD1A-AFCB-430F-9CF7-06B251967AB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B59503F5-EA9F-4610-8F03-3884AC443E0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72796884-FF3F-42A6-A98F-B28E687C596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74C3869E-F2E5-4B57-85D6-8FC5877823B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8EE6EB65-D234-47F6-8F53-7B3BAC1DFAE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76C9BB03-958F-4D11-8DC2-C696F06A092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A2E81497-B9D4-49AC-B1D8-394FD0959B6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E793C21C-A870-4B38-B4F3-EBCCF819FDA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D15F7306-4BE9-40DB-B26C-83923B499AC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0D997190-A0A7-4311-AC7F-579FA2EB3AC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DC757931-921D-425A-B7BD-42E3676D9FC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8D9FBBF2-892A-4C83-AE78-8A0E008DA8B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76D48C77-D016-4D53-87AD-7AEB8CE5276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48594BF4-775B-4A90-97CC-8CD70254F91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CA9E0218-087F-458E-8B84-A8C97028C1F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ACFA6835-AF10-4BDB-9AD5-30C6DAFF4EF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CE070D55-F173-41C7-8090-6BC9FC17072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B4DC7F1D-B2A6-4BA9-B9C6-1669E1AD524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99594E76-161B-402C-924F-E89334D611F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DA280342-8C26-4CA6-872A-6A2F0C39667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152288F8-2290-4FCD-8F60-A0CD7F1C7AF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0F79908F-0113-43B2-84DF-C3EE290DA19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04BD473B-E280-41D2-83E9-F5467C73190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166127E6-AE87-4D46-A298-8CEBDA7D7D1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C7790708-334B-449E-93C8-1D4DEAA26E1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B0C8FDC3-6563-479A-AFB4-FB9F79F38AB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4220F6CF-901A-400B-AEF3-FD5FCEC79C7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1EA4DDC9-722C-46E0-8126-374963AA929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9AE329F6-3952-4E8C-98D3-9121C2A7013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4D1F755D-8D8F-4C18-98DF-64E434B8127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A11073E-7D1A-4963-ADF3-C6547EA5233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D6B8CC3C-9939-4B4B-886A-F8AAF8D7998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EFD6167C-9A5C-495E-98F9-A070DFB176E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5B2F8CFE-A898-4C5D-8EC7-FD18F4D1FAB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F84D41BF-7CAA-4D5D-9450-73558E4D27E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9A59AECD-C401-4C1A-AE80-BB95FD30A58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49E4C2F7-DF6C-4B37-A016-4F8ABFBA4A0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5983C5B1-15C7-441B-860E-B9A3133EACF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391869D7-FA42-49F9-9C7A-AD3D25DE7A6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9B7A3297-6347-41CE-B538-0233208C66D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0FA6EC9B-41B3-4043-AC57-394A0EDCEAB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1760E013-7D34-4785-8C47-75E542421A1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2492B7AE-9D79-4B3F-BF54-AB9346DE668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A3AED65E-6940-4A58-A5FB-7765B1A10D1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E848E1F9-EE0F-4DF9-9790-26AACB5D569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B8B46BD4-0E40-454D-8777-42253A76932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BF579A8E-55C6-4B51-A008-716706AAED1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53E21C36-3117-4CCD-949B-EDEAF7F26C7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85DF69EB-5D1E-41A2-9670-8A738173B19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E7471CB5-548E-4EC8-B11B-564A31EEBCF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EFF83CB8-B466-437D-B02B-ADFEA57B0DD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AF631D90-A97B-4FF9-8AF9-2DBE4F2AB77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B6962F5A-4349-48E0-BE12-5970CFBB365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313F45CF-979F-4515-9D57-088752960EC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5F20BB7F-1342-4555-B121-3D5D1445BED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D2CC55EC-3DB7-4F8A-A4D3-2AB85D244E0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9B22339E-0761-40FA-8703-0A8D11A8EDB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D99D4E58-83DF-45D1-BDFE-5DF630AF80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E1132CE1-5214-410B-BD0C-A5223FE8EAA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39F3667C-F3E6-40F8-8281-3C55BCA209E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F9F6013F-5885-4E57-B3C5-2053A25C3B8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D002FB1C-2BB1-4E2F-8CA5-3FB15714BF7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3723DFD2-9002-4ED0-B31E-E3B9B08A882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E0401D72-8F25-4CAE-B1A4-A3722883D48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2D01C7CB-CC7C-4E31-B414-873E4490681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5E59FF5B-6089-46CC-83E9-D16B8D49C8D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B342BCC8-F0A0-41BD-8675-634A273C4E6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25C44B75-23F6-4DE6-97C1-13E5FBF2916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AD33FA7B-738A-4C2A-9FFF-3BEFABD22BB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189875CB-6D01-4A46-BF68-024DF5A1E2B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5AEECF48-F278-4008-9E5C-9DB01731FDA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CAA0A91C-B281-448E-A6DC-360819069B8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0242DA2A-C3B9-4D1C-B0B6-C46DDE070F7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90494397-A641-4F30-9E35-A7DABCD4308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05F5E765-E00B-4C06-A8B5-4C0AC48F437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5EED292A-7641-4DE4-868A-185244D1327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83951BB2-2B0D-4B83-9984-D23DFB28EE6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51684A87-47A5-4784-98E9-69C6E857C4A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1E672326-645C-428C-AD90-7A5F8FAB833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D1608F2B-02DB-4FBC-89B0-0DB79424AC7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22E6CB7B-4D54-441B-9944-52A92D19603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B468A2B1-59E2-4E71-9758-3ABDB008B44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C5B8A653-95FB-4CB5-B12F-7CE92D91DD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D7AEE199-D405-4B6E-BC30-5C986F54539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6C31749E-DFBF-4BB3-84A8-0AB679CD9DC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E99F5E9C-362F-4FC7-989F-105D596E064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0E362985-EA89-4107-A99D-C18264BBF79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B7CBE182-B206-4A72-88F8-793D0EBE521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1291189F-03E4-4D7C-849D-0D19F46F68B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395463F1-B0AE-4020-A178-B5A007B8F78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A40278B9-4FB4-4787-BB87-717B07F6E31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171BDEFB-C0F8-4B42-8008-07E7A13D7B0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9244687E-63CA-4D3E-A134-3E6B17C00B7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B79B1855-DD18-4900-8386-BD6A5CDBDE0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CA696865-772E-4AD2-B4CF-E9DAB16EDAA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61146727-7384-49FA-B375-E25AE795E1E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0C8513AC-2C0C-4B70-A61A-3D35EF567B0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4EA64992-0D88-4BBC-8A73-488D1CB32D7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E72AA79A-AE2A-4370-9376-5430196EE35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7165A09D-DF9B-44FE-AC6D-1811DA24A7D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C36F268B-7D62-4CC2-9B04-F0F815041A2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A3520B03-C7FE-4FE2-84AB-CA47BD379EE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42717008-04AC-4149-A933-139213D9BB6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D3FDD8B9-72B7-44B6-8D2A-AC0A1372808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G42" authorId="0" shapeId="0" xr:uid="{D8E8AFA0-D691-4A54-AD3E-8CFCB2EDDCE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2days</t>
        </r>
      </text>
    </comment>
    <comment ref="D45" authorId="0" shapeId="0" xr:uid="{FF1551A6-B51A-4CE8-B073-D15FFA344B4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Brewed for 5days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<sst xmlns="http://schemas.openxmlformats.org/spreadsheetml/2006/main" count="2973" uniqueCount="200">
  <si>
    <t>P.G.</t>
  </si>
  <si>
    <t>Hot Time</t>
  </si>
  <si>
    <t>Process Time</t>
  </si>
  <si>
    <t>Brewing Department Daily Process Loss Report</t>
  </si>
  <si>
    <t>Lower</t>
  </si>
  <si>
    <t>Upper</t>
  </si>
  <si>
    <t>CARIB</t>
  </si>
  <si>
    <t>Date:</t>
  </si>
  <si>
    <r>
      <t xml:space="preserve">Filter Sheets </t>
    </r>
    <r>
      <rPr>
        <b/>
        <i/>
        <sz val="9"/>
        <rFont val="Arial"/>
        <family val="2"/>
      </rPr>
      <t xml:space="preserve">(Target </t>
    </r>
    <r>
      <rPr>
        <b/>
        <i/>
        <u/>
        <sz val="9"/>
        <rFont val="Arial"/>
        <family val="2"/>
      </rPr>
      <t>20</t>
    </r>
    <r>
      <rPr>
        <b/>
        <i/>
        <sz val="9"/>
        <rFont val="Arial"/>
        <family val="2"/>
      </rPr>
      <t xml:space="preserve"> days)</t>
    </r>
  </si>
  <si>
    <t>STAG</t>
  </si>
  <si>
    <t>Double</t>
  </si>
  <si>
    <t>Single</t>
  </si>
  <si>
    <t>GUINNESS</t>
  </si>
  <si>
    <t>Brewhouse:</t>
  </si>
  <si>
    <t>Sheet Day</t>
  </si>
  <si>
    <t>MACKESON</t>
  </si>
  <si>
    <t>STARMALT</t>
  </si>
  <si>
    <t>Brand</t>
  </si>
  <si>
    <t>Brew no.</t>
  </si>
  <si>
    <t>Kett. Hls</t>
  </si>
  <si>
    <t>Wort</t>
  </si>
  <si>
    <t>Cool Time(Mins)</t>
  </si>
  <si>
    <t>Cast. P.G. (Lab Result)</t>
  </si>
  <si>
    <t>Theor. Extr. (77.5%)</t>
  </si>
  <si>
    <t xml:space="preserve"> Boil Time</t>
  </si>
  <si>
    <t>Total Hot</t>
  </si>
  <si>
    <t>Brewing</t>
  </si>
  <si>
    <t>Operator</t>
  </si>
  <si>
    <t>Comments</t>
  </si>
  <si>
    <t>MAXIMALT</t>
  </si>
  <si>
    <t>Meter (Hls)</t>
  </si>
  <si>
    <t>Target(&lt; 60Mins)</t>
  </si>
  <si>
    <t>Time</t>
  </si>
  <si>
    <t>VITAMALT</t>
  </si>
  <si>
    <t>EXTRACT RECOVERY</t>
  </si>
  <si>
    <t>BBT P.G./ O.G</t>
  </si>
  <si>
    <t>Actual</t>
  </si>
  <si>
    <t>MTD</t>
  </si>
  <si>
    <t>YTD</t>
  </si>
  <si>
    <t>Target</t>
  </si>
  <si>
    <t>GUINN</t>
  </si>
  <si>
    <t xml:space="preserve"> </t>
  </si>
  <si>
    <t>Process:</t>
  </si>
  <si>
    <t>Fermentation/Filtration</t>
  </si>
  <si>
    <t>Filt. Date</t>
  </si>
  <si>
    <t>FV Hls</t>
  </si>
  <si>
    <t xml:space="preserve">GFE/ Prim/ Vita Blend (Hls) </t>
  </si>
  <si>
    <t>SV Hls</t>
  </si>
  <si>
    <t>BBT Hls</t>
  </si>
  <si>
    <t xml:space="preserve"> Loss (%) Ferm</t>
  </si>
  <si>
    <t xml:space="preserve"> Loss (%) Filt</t>
  </si>
  <si>
    <t>Throughput</t>
  </si>
  <si>
    <t>Process Loss (%)</t>
  </si>
  <si>
    <t>Filt. Operator</t>
  </si>
  <si>
    <t>hls</t>
  </si>
  <si>
    <t>Process Loss (Volume)</t>
  </si>
  <si>
    <t>Process Loss (Extract)</t>
  </si>
  <si>
    <t>:</t>
  </si>
  <si>
    <t>Process Department Daily Loss Report</t>
  </si>
  <si>
    <t>Date</t>
  </si>
  <si>
    <t>1st Run</t>
  </si>
  <si>
    <r>
      <t xml:space="preserve">Extr. Rec </t>
    </r>
    <r>
      <rPr>
        <b/>
        <sz val="9"/>
        <rFont val="Arial"/>
        <family val="2"/>
      </rPr>
      <t>(79.5%)</t>
    </r>
  </si>
  <si>
    <r>
      <t xml:space="preserve">Theor. Extr. </t>
    </r>
    <r>
      <rPr>
        <b/>
        <sz val="9"/>
        <rFont val="Arial"/>
        <family val="2"/>
      </rPr>
      <t>(</t>
    </r>
    <r>
      <rPr>
        <b/>
        <i/>
        <sz val="9"/>
        <rFont val="Arial"/>
        <family val="2"/>
      </rPr>
      <t>77.5</t>
    </r>
    <r>
      <rPr>
        <b/>
        <sz val="9"/>
        <rFont val="Arial"/>
        <family val="2"/>
      </rPr>
      <t>%)</t>
    </r>
  </si>
  <si>
    <t>Target(65Mins)</t>
  </si>
  <si>
    <t>Carib</t>
  </si>
  <si>
    <t>.</t>
  </si>
  <si>
    <t>Cooling Temperatures</t>
  </si>
  <si>
    <t>RU 5</t>
  </si>
  <si>
    <t>Brew No.</t>
  </si>
  <si>
    <t>Alcohol Temp.</t>
  </si>
  <si>
    <t>Start</t>
  </si>
  <si>
    <t>End</t>
  </si>
  <si>
    <t>Stag</t>
  </si>
  <si>
    <t>Guinn</t>
  </si>
  <si>
    <t>Vitamalt</t>
  </si>
  <si>
    <t>Maximalt</t>
  </si>
  <si>
    <t>Mackeson</t>
  </si>
  <si>
    <t>MaltaCarib</t>
  </si>
  <si>
    <t>Filtration</t>
  </si>
  <si>
    <t>GFE/ Prim</t>
  </si>
  <si>
    <t>Without VitaMalt adjustment</t>
  </si>
  <si>
    <t>Filtration Throughput</t>
  </si>
  <si>
    <t>StarMalt</t>
  </si>
  <si>
    <t>Bad Dog</t>
  </si>
  <si>
    <t>TARGET</t>
  </si>
  <si>
    <t>BRANDS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</si>
  <si>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</si>
  <si>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</si>
  <si>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</si>
  <si>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</si>
  <si>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</si>
  <si>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</si>
  <si>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</si>
  <si>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</si>
  <si>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</si>
  <si>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</si>
  <si>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Guinness</t>
  </si>
  <si>
    <t xml:space="preserve">Maximalt </t>
  </si>
  <si>
    <t>Star Malt</t>
  </si>
  <si>
    <t>OVERALL</t>
  </si>
  <si>
    <t>PROCESS VOLUME LOSSES</t>
  </si>
  <si>
    <t>PROCESS VOLUME EXTRACT</t>
  </si>
  <si>
    <t xml:space="preserve">BREWER PERFORMANCE MTD </t>
  </si>
  <si>
    <t>NAME</t>
  </si>
  <si>
    <t>LAST BREW</t>
  </si>
  <si>
    <t>KEIRAN BENJAMIN</t>
  </si>
  <si>
    <t>JOHNNY GREENIDGE</t>
  </si>
  <si>
    <t>JAMES GRANT</t>
  </si>
  <si>
    <t>RODNEY REGIS</t>
  </si>
  <si>
    <t xml:space="preserve">    OVERALL MONTHLY PROGRESSION</t>
  </si>
  <si>
    <t>TARGET OF 98%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</si>
  <si>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</si>
  <si>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</si>
  <si>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</si>
  <si>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</si>
  <si>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</si>
  <si>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</si>
  <si>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</si>
  <si>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</si>
  <si>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</si>
  <si>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</si>
  <si>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</si>
  <si>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</si>
  <si>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 PROGESSION GRAPH</t>
  </si>
  <si>
    <t>Cooling  Time</t>
  </si>
  <si>
    <t>Hurricane Reef</t>
  </si>
  <si>
    <t>Actual Pilsen Malt</t>
  </si>
  <si>
    <t>HURRICANE REEF</t>
  </si>
  <si>
    <t>HR</t>
  </si>
  <si>
    <t>Daily Brewing Plan</t>
  </si>
  <si>
    <t>Total</t>
  </si>
  <si>
    <t>CARIBE</t>
  </si>
  <si>
    <t>DESEAN EMERY</t>
  </si>
  <si>
    <t xml:space="preserve">Date: </t>
  </si>
  <si>
    <t xml:space="preserve">HR- PILSNER </t>
  </si>
  <si>
    <t>HR- PISNER</t>
  </si>
  <si>
    <t>Average Brews per day</t>
  </si>
  <si>
    <t>HR- P</t>
  </si>
  <si>
    <t>MTD No. of Brews</t>
  </si>
  <si>
    <t xml:space="preserve">AVERAGE </t>
  </si>
  <si>
    <t xml:space="preserve">GEMMON MASON </t>
  </si>
  <si>
    <t>CAMULUS PHILLIP</t>
  </si>
  <si>
    <t>Boil Off /Vol.  (4-6%)</t>
  </si>
  <si>
    <t xml:space="preserve">      MTD GRAPH OCTOBER 2022</t>
  </si>
  <si>
    <t>Cast P.G. (Cellar Operator)-gravity</t>
  </si>
  <si>
    <t>BRAND</t>
  </si>
  <si>
    <t xml:space="preserve">Actual </t>
  </si>
  <si>
    <t xml:space="preserve">Brews Achieved </t>
  </si>
  <si>
    <t>HURRICANE REEF- APA</t>
  </si>
  <si>
    <t>HURRICANE REEF- IPA</t>
  </si>
  <si>
    <t>NO BREAK</t>
  </si>
  <si>
    <t xml:space="preserve"> MALT LOT: Lot 8</t>
  </si>
  <si>
    <t>Extr. Rec (79.1%)</t>
  </si>
  <si>
    <t>LOT WORT COLOUR: 3.4</t>
  </si>
  <si>
    <t xml:space="preserve">K.Hosten </t>
  </si>
  <si>
    <t xml:space="preserve">Operator </t>
  </si>
  <si>
    <t>HR- APA</t>
  </si>
  <si>
    <t>HR- IPA</t>
  </si>
  <si>
    <t>HR- Pils</t>
  </si>
  <si>
    <t>HR PILS</t>
  </si>
  <si>
    <t>HR APA</t>
  </si>
  <si>
    <t>HURRICANE REEF PILS</t>
  </si>
  <si>
    <t xml:space="preserve">BRAND </t>
  </si>
  <si>
    <t>IPA</t>
  </si>
  <si>
    <t>APA</t>
  </si>
  <si>
    <t>Extr. Rec (77.9%)</t>
  </si>
  <si>
    <t xml:space="preserve">  </t>
  </si>
  <si>
    <t xml:space="preserve">LOT WORT COLOUR: </t>
  </si>
  <si>
    <t xml:space="preserve">          </t>
  </si>
  <si>
    <t>Brewing Time</t>
  </si>
  <si>
    <t xml:space="preserve"> MALT LOT: Lot #13</t>
  </si>
  <si>
    <t>1 SBF</t>
  </si>
  <si>
    <t>Brews Achieved</t>
  </si>
  <si>
    <t>3 SBF</t>
  </si>
  <si>
    <t>G. Mason</t>
  </si>
  <si>
    <t>NO SBF</t>
  </si>
  <si>
    <t>R. Regis</t>
  </si>
  <si>
    <t>J. Nelson</t>
  </si>
  <si>
    <t>K. Hosten</t>
  </si>
  <si>
    <t>Brew held up by skip</t>
  </si>
  <si>
    <t>K. Neptune</t>
  </si>
  <si>
    <t>2 SBF</t>
  </si>
  <si>
    <t>Spent grain issues</t>
  </si>
  <si>
    <t>61mins before transfer to LT</t>
  </si>
  <si>
    <t>Spent grain removal</t>
  </si>
  <si>
    <t>T. Charles</t>
  </si>
  <si>
    <t>Heating up issues</t>
  </si>
  <si>
    <t>7 SBF</t>
  </si>
  <si>
    <t xml:space="preserve">Spent grain issues </t>
  </si>
  <si>
    <t xml:space="preserve">Wort Kettle pump malfunction </t>
  </si>
  <si>
    <t>Brews Achieved (25th)</t>
  </si>
  <si>
    <t>Brews Achieved (26th)</t>
  </si>
  <si>
    <t>Issues with CIP pump</t>
  </si>
  <si>
    <t>Cooling issues</t>
  </si>
  <si>
    <t>Copper up in pre run</t>
  </si>
  <si>
    <t>4SBF</t>
  </si>
  <si>
    <t>1SBF</t>
  </si>
  <si>
    <t xml:space="preserve">blockage spent grain line </t>
  </si>
  <si>
    <t xml:space="preserve">copper up in pre-run tank </t>
  </si>
  <si>
    <t>2SBF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</si>
</sst>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[$-409]mmmm\ d\,\ yyyy;@"/>
    <numFmt numFmtId="166" formatCode="0.0"/>
    <numFmt numFmtId="167" formatCode="[m]"/>
    <numFmt numFmtId="168" formatCode="0.000"/>
    <numFmt numFmtId="169" formatCode="[$-409]d\-mmm;@"/>
    <numFmt numFmtId="170" formatCode="0.0%"/>
    <numFmt numFmtId="171" formatCode="#,##0.0"/>
  </numFmts>
  <fonts count="8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Tahoma"/>
      <family val="2"/>
    </font>
    <font>
      <sz val="11"/>
      <name val="Tahoma"/>
      <family val="2"/>
    </font>
    <font>
      <b/>
      <sz val="11"/>
      <color rgb="FF963634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i/>
      <u/>
      <sz val="9"/>
      <name val="Arial"/>
      <family val="2"/>
    </font>
    <font>
      <i/>
      <sz val="11"/>
      <name val="Calibri"/>
      <family val="2"/>
    </font>
    <font>
      <b/>
      <sz val="11"/>
      <name val="Tahoma"/>
      <family val="2"/>
    </font>
    <font>
      <b/>
      <u/>
      <sz val="11"/>
      <name val="Arial"/>
      <family val="2"/>
    </font>
    <font>
      <b/>
      <sz val="11"/>
      <color rgb="FF0000FF"/>
      <name val="Arial"/>
      <family val="2"/>
    </font>
    <font>
      <sz val="11"/>
      <color theme="1"/>
      <name val="Arial"/>
      <family val="2"/>
    </font>
    <font>
      <b/>
      <i/>
      <sz val="11"/>
      <name val="Arial"/>
      <family val="2"/>
    </font>
    <font>
      <b/>
      <sz val="11"/>
      <color indexed="53"/>
      <name val="Arial"/>
      <family val="2"/>
    </font>
    <font>
      <sz val="11"/>
      <color theme="0"/>
      <name val="Arial"/>
      <family val="2"/>
    </font>
    <font>
      <i/>
      <sz val="11"/>
      <color theme="1"/>
      <name val="Arial"/>
      <family val="2"/>
    </font>
    <font>
      <b/>
      <sz val="11"/>
      <color indexed="12"/>
      <name val="Arial"/>
      <family val="2"/>
    </font>
    <font>
      <b/>
      <sz val="11"/>
      <color indexed="17"/>
      <name val="Arial"/>
      <family val="2"/>
    </font>
    <font>
      <b/>
      <sz val="11"/>
      <color indexed="10"/>
      <name val="Arial"/>
      <family val="2"/>
    </font>
    <font>
      <b/>
      <sz val="11"/>
      <color indexed="20"/>
      <name val="Arial"/>
      <family val="2"/>
    </font>
    <font>
      <b/>
      <sz val="11"/>
      <color indexed="16"/>
      <name val="Arial"/>
      <family val="2"/>
    </font>
    <font>
      <b/>
      <sz val="11"/>
      <color theme="1"/>
      <name val="Arial"/>
      <family val="2"/>
    </font>
    <font>
      <b/>
      <sz val="11"/>
      <color rgb="FF0070C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 Narrow"/>
      <family val="2"/>
    </font>
    <font>
      <b/>
      <sz val="11"/>
      <color theme="2" tint="-0.89999084444715716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2" tint="-0.89999084444715716"/>
      <name val="Arial"/>
      <family val="2"/>
    </font>
    <font>
      <sz val="12"/>
      <name val="Tahoma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9"/>
      <color indexed="10"/>
      <name val="Arial"/>
      <family val="2"/>
    </font>
    <font>
      <b/>
      <sz val="10"/>
      <color indexed="12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b/>
      <sz val="10"/>
      <color indexed="17"/>
      <name val="Arial"/>
      <family val="2"/>
    </font>
    <font>
      <b/>
      <sz val="10"/>
      <color indexed="10"/>
      <name val="Arial"/>
      <family val="2"/>
    </font>
    <font>
      <b/>
      <sz val="10"/>
      <color indexed="16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color theme="1"/>
      <name val="Arial"/>
      <family val="2"/>
    </font>
    <font>
      <b/>
      <sz val="10"/>
      <color indexed="53"/>
      <name val="Arial"/>
      <family val="2"/>
    </font>
    <font>
      <b/>
      <sz val="10"/>
      <color indexed="20"/>
      <name val="Arial"/>
      <family val="2"/>
    </font>
    <font>
      <b/>
      <sz val="9"/>
      <color indexed="63"/>
      <name val="Arial"/>
      <family val="2"/>
    </font>
    <font>
      <sz val="10"/>
      <color indexed="10"/>
      <name val="Arial"/>
      <family val="2"/>
    </font>
    <font>
      <b/>
      <sz val="8"/>
      <name val="Arial"/>
      <family val="2"/>
    </font>
    <font>
      <b/>
      <sz val="8"/>
      <color theme="2" tint="-0.89999084444715716"/>
      <name val="Arial"/>
      <family val="2"/>
    </font>
    <font>
      <sz val="10"/>
      <color theme="2" tint="-0.899990844447157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BankGothic Lt BT"/>
      <family val="2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4"/>
      <color theme="0"/>
      <name val="BankGothic Md BT"/>
      <family val="2"/>
    </font>
    <font>
      <b/>
      <i/>
      <sz val="14"/>
      <color theme="0"/>
      <name val="Calibri"/>
      <family val="2"/>
      <scheme val="minor"/>
    </font>
    <font>
      <sz val="16"/>
      <color theme="1"/>
      <name val="BankGothic Md BT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Arial"/>
      <family val="2"/>
    </font>
    <font>
      <b/>
      <sz val="11"/>
      <color rgb="FFCC66FF"/>
      <name val="Arial"/>
      <family val="2"/>
    </font>
    <font>
      <b/>
      <sz val="11"/>
      <color rgb="FFFFC000"/>
      <name val="Arial"/>
      <family val="2"/>
    </font>
    <font>
      <b/>
      <sz val="11"/>
      <color rgb="FFFF0000"/>
      <name val="Arial"/>
      <family val="2"/>
    </font>
    <font>
      <b/>
      <sz val="11"/>
      <color rgb="FF008200"/>
      <name val="Arial"/>
      <family val="2"/>
    </font>
    <font>
      <b/>
      <sz val="11"/>
      <color rgb="FF00B050"/>
      <name val="Arial"/>
      <family val="2"/>
    </font>
    <font>
      <b/>
      <sz val="11"/>
      <color theme="8" tint="0.39997558519241921"/>
      <name val="Arial"/>
      <family val="2"/>
    </font>
    <font>
      <b/>
      <sz val="11"/>
      <color rgb="FFFF66FF"/>
      <name val="Arial"/>
      <family val="2"/>
    </font>
    <font>
      <b/>
      <sz val="11"/>
      <color theme="9" tint="0.39997558519241921"/>
      <name val="Arial"/>
      <family val="2"/>
    </font>
    <font>
      <b/>
      <sz val="11"/>
      <color rgb="FFC00000"/>
      <name val="Arial"/>
      <family val="2"/>
    </font>
    <font>
      <b/>
      <sz val="11"/>
      <color theme="5" tint="-0.249977111117893"/>
      <name val="Arial"/>
      <family val="2"/>
    </font>
    <font>
      <b/>
      <sz val="11"/>
      <color theme="5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9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Dashed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ashed">
        <color theme="0" tint="-0.499984740745262"/>
      </top>
      <bottom style="thin">
        <color indexed="64"/>
      </bottom>
      <diagonal/>
    </border>
  </borders>
  <cellStyleXfs count="11">
    <xf numFmtId="165" fontId="0" fillId="0" borderId="0"/>
    <xf numFmtId="164" fontId="7" fillId="0" borderId="0" applyFont="0" applyFill="0" applyBorder="0" applyAlignment="0" applyProtection="0"/>
    <xf numFmtId="0" fontId="5" fillId="2" borderId="0" applyNumberFormat="0" applyBorder="0" applyAlignment="0" applyProtection="0"/>
    <xf numFmtId="165" fontId="7" fillId="0" borderId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634">
    <xf numFmtId="165" fontId="0" fillId="0" borderId="0" xfId="0"/>
    <xf numFmtId="165" fontId="9" fillId="0" borderId="0" xfId="3" applyFont="1"/>
    <xf numFmtId="165" fontId="9" fillId="0" borderId="0" xfId="3" applyFont="1" applyAlignment="1">
      <alignment wrapText="1"/>
    </xf>
    <xf numFmtId="165" fontId="10" fillId="3" borderId="1" xfId="0" applyFont="1" applyFill="1" applyBorder="1"/>
    <xf numFmtId="165" fontId="11" fillId="0" borderId="0" xfId="3" applyFont="1" applyAlignment="1">
      <alignment horizontal="center" wrapText="1"/>
    </xf>
    <xf numFmtId="165" fontId="12" fillId="0" borderId="0" xfId="3" applyFont="1"/>
    <xf numFmtId="165" fontId="8" fillId="0" borderId="0" xfId="3" applyFont="1" applyAlignment="1">
      <alignment wrapText="1"/>
    </xf>
    <xf numFmtId="166" fontId="10" fillId="3" borderId="1" xfId="0" applyNumberFormat="1" applyFont="1" applyFill="1" applyBorder="1"/>
    <xf numFmtId="166" fontId="10" fillId="3" borderId="2" xfId="0" applyNumberFormat="1" applyFont="1" applyFill="1" applyBorder="1"/>
    <xf numFmtId="167" fontId="9" fillId="3" borderId="1" xfId="3" applyNumberFormat="1" applyFont="1" applyFill="1" applyBorder="1" applyAlignment="1">
      <alignment horizontal="right"/>
    </xf>
    <xf numFmtId="167" fontId="9" fillId="3" borderId="1" xfId="3" applyNumberFormat="1" applyFont="1" applyFill="1" applyBorder="1" applyAlignment="1">
      <alignment horizontal="right" vertical="center"/>
    </xf>
    <xf numFmtId="166" fontId="8" fillId="0" borderId="0" xfId="3" applyNumberFormat="1" applyFont="1"/>
    <xf numFmtId="165" fontId="9" fillId="0" borderId="0" xfId="3" applyFont="1" applyAlignment="1">
      <alignment horizontal="center" wrapText="1"/>
    </xf>
    <xf numFmtId="165" fontId="9" fillId="0" borderId="0" xfId="3" applyFont="1" applyAlignment="1">
      <alignment vertical="center"/>
    </xf>
    <xf numFmtId="165" fontId="17" fillId="0" borderId="1" xfId="3" applyFont="1" applyBorder="1"/>
    <xf numFmtId="165" fontId="18" fillId="0" borderId="0" xfId="3" applyFont="1"/>
    <xf numFmtId="1" fontId="8" fillId="0" borderId="0" xfId="3" applyNumberFormat="1" applyFont="1" applyAlignment="1">
      <alignment horizontal="center" wrapText="1"/>
    </xf>
    <xf numFmtId="165" fontId="9" fillId="5" borderId="7" xfId="3" applyFont="1" applyFill="1" applyBorder="1" applyAlignment="1">
      <alignment horizontal="center" vertical="center" wrapText="1"/>
    </xf>
    <xf numFmtId="165" fontId="8" fillId="0" borderId="9" xfId="3" applyFont="1" applyBorder="1" applyAlignment="1">
      <alignment horizontal="center"/>
    </xf>
    <xf numFmtId="20" fontId="9" fillId="0" borderId="0" xfId="3" applyNumberFormat="1" applyFont="1"/>
    <xf numFmtId="165" fontId="9" fillId="0" borderId="11" xfId="3" applyFont="1" applyBorder="1" applyAlignment="1">
      <alignment horizontal="center" vertical="top" wrapText="1"/>
    </xf>
    <xf numFmtId="165" fontId="9" fillId="5" borderId="11" xfId="3" applyFont="1" applyFill="1" applyBorder="1" applyAlignment="1">
      <alignment horizontal="center" vertical="top" wrapText="1"/>
    </xf>
    <xf numFmtId="165" fontId="23" fillId="0" borderId="13" xfId="3" applyFont="1" applyBorder="1" applyAlignment="1">
      <alignment horizontal="left"/>
    </xf>
    <xf numFmtId="2" fontId="9" fillId="0" borderId="0" xfId="3" applyNumberFormat="1" applyFont="1"/>
    <xf numFmtId="165" fontId="9" fillId="0" borderId="20" xfId="3" applyFont="1" applyBorder="1" applyAlignment="1">
      <alignment horizontal="left"/>
    </xf>
    <xf numFmtId="165" fontId="9" fillId="0" borderId="21" xfId="3" applyFont="1" applyBorder="1" applyAlignment="1">
      <alignment horizontal="center"/>
    </xf>
    <xf numFmtId="165" fontId="9" fillId="0" borderId="21" xfId="3" applyFont="1" applyBorder="1" applyAlignment="1">
      <alignment horizontal="center" wrapText="1"/>
    </xf>
    <xf numFmtId="165" fontId="9" fillId="0" borderId="22" xfId="3" applyFont="1" applyBorder="1" applyAlignment="1">
      <alignment horizontal="center"/>
    </xf>
    <xf numFmtId="165" fontId="24" fillId="0" borderId="0" xfId="3" applyFont="1"/>
    <xf numFmtId="165" fontId="26" fillId="0" borderId="13" xfId="3" applyFont="1" applyBorder="1" applyAlignment="1">
      <alignment horizontal="left"/>
    </xf>
    <xf numFmtId="166" fontId="8" fillId="0" borderId="15" xfId="3" applyNumberFormat="1" applyFont="1" applyBorder="1"/>
    <xf numFmtId="166" fontId="8" fillId="0" borderId="0" xfId="3" applyNumberFormat="1" applyFont="1" applyAlignment="1">
      <alignment wrapText="1"/>
    </xf>
    <xf numFmtId="2" fontId="8" fillId="0" borderId="0" xfId="3" quotePrefix="1" applyNumberFormat="1" applyFont="1" applyAlignment="1">
      <alignment horizontal="center"/>
    </xf>
    <xf numFmtId="165" fontId="27" fillId="0" borderId="13" xfId="3" applyFont="1" applyBorder="1"/>
    <xf numFmtId="165" fontId="28" fillId="0" borderId="13" xfId="3" applyFont="1" applyBorder="1"/>
    <xf numFmtId="165" fontId="29" fillId="0" borderId="13" xfId="3" applyFont="1" applyBorder="1"/>
    <xf numFmtId="165" fontId="30" fillId="0" borderId="13" xfId="3" applyFont="1" applyBorder="1" applyAlignment="1">
      <alignment horizontal="left"/>
    </xf>
    <xf numFmtId="165" fontId="13" fillId="0" borderId="13" xfId="3" applyFont="1" applyBorder="1"/>
    <xf numFmtId="165" fontId="32" fillId="0" borderId="31" xfId="3" applyFont="1" applyBorder="1"/>
    <xf numFmtId="166" fontId="8" fillId="0" borderId="0" xfId="3" applyNumberFormat="1" applyFont="1" applyAlignment="1">
      <alignment horizontal="right"/>
    </xf>
    <xf numFmtId="166" fontId="8" fillId="4" borderId="0" xfId="3" applyNumberFormat="1" applyFont="1" applyFill="1"/>
    <xf numFmtId="2" fontId="8" fillId="0" borderId="0" xfId="3" applyNumberFormat="1" applyFont="1" applyAlignment="1">
      <alignment horizontal="center"/>
    </xf>
    <xf numFmtId="2" fontId="9" fillId="0" borderId="0" xfId="3" applyNumberFormat="1" applyFont="1" applyAlignment="1">
      <alignment horizontal="center"/>
    </xf>
    <xf numFmtId="166" fontId="9" fillId="0" borderId="0" xfId="3" applyNumberFormat="1" applyFont="1" applyAlignment="1">
      <alignment horizontal="center"/>
    </xf>
    <xf numFmtId="2" fontId="24" fillId="0" borderId="0" xfId="3" applyNumberFormat="1" applyFont="1"/>
    <xf numFmtId="165" fontId="13" fillId="0" borderId="0" xfId="3" applyFont="1"/>
    <xf numFmtId="2" fontId="33" fillId="0" borderId="0" xfId="3" applyNumberFormat="1" applyFont="1" applyAlignment="1">
      <alignment horizontal="center"/>
    </xf>
    <xf numFmtId="165" fontId="8" fillId="0" borderId="4" xfId="3" applyFont="1" applyBorder="1" applyAlignment="1">
      <alignment horizontal="center"/>
    </xf>
    <xf numFmtId="165" fontId="8" fillId="0" borderId="0" xfId="3" applyFont="1" applyAlignment="1">
      <alignment horizontal="center"/>
    </xf>
    <xf numFmtId="165" fontId="8" fillId="0" borderId="0" xfId="3" applyFont="1" applyAlignment="1">
      <alignment horizontal="center" wrapText="1"/>
    </xf>
    <xf numFmtId="165" fontId="9" fillId="0" borderId="0" xfId="3" applyFont="1" applyAlignment="1">
      <alignment horizontal="center" vertical="center" wrapText="1"/>
    </xf>
    <xf numFmtId="169" fontId="34" fillId="0" borderId="41" xfId="0" applyNumberFormat="1" applyFont="1" applyBorder="1" applyAlignment="1">
      <alignment horizontal="center" vertical="center"/>
    </xf>
    <xf numFmtId="170" fontId="8" fillId="0" borderId="42" xfId="4" applyNumberFormat="1" applyFont="1" applyBorder="1" applyAlignment="1">
      <alignment horizontal="center" vertical="center"/>
    </xf>
    <xf numFmtId="2" fontId="31" fillId="0" borderId="2" xfId="3" applyNumberFormat="1" applyFont="1" applyBorder="1" applyAlignment="1">
      <alignment horizontal="center" vertical="center"/>
    </xf>
    <xf numFmtId="165" fontId="8" fillId="0" borderId="0" xfId="3" applyFont="1" applyAlignment="1">
      <alignment horizontal="center" vertical="center"/>
    </xf>
    <xf numFmtId="165" fontId="9" fillId="0" borderId="43" xfId="3" applyFont="1" applyBorder="1" applyAlignment="1">
      <alignment vertical="center" wrapText="1"/>
    </xf>
    <xf numFmtId="165" fontId="9" fillId="0" borderId="0" xfId="3" applyFont="1" applyAlignment="1">
      <alignment vertical="center" wrapText="1"/>
    </xf>
    <xf numFmtId="170" fontId="8" fillId="0" borderId="0" xfId="3" applyNumberFormat="1" applyFont="1" applyAlignment="1">
      <alignment horizontal="center" vertical="center"/>
    </xf>
    <xf numFmtId="165" fontId="9" fillId="0" borderId="44" xfId="3" applyFont="1" applyBorder="1" applyAlignment="1">
      <alignment horizontal="center" shrinkToFit="1"/>
    </xf>
    <xf numFmtId="165" fontId="9" fillId="0" borderId="45" xfId="3" applyFont="1" applyBorder="1" applyAlignment="1">
      <alignment horizontal="center" shrinkToFit="1"/>
    </xf>
    <xf numFmtId="165" fontId="9" fillId="0" borderId="0" xfId="3" applyFont="1" applyAlignment="1">
      <alignment horizontal="center" wrapText="1" shrinkToFit="1"/>
    </xf>
    <xf numFmtId="165" fontId="9" fillId="0" borderId="50" xfId="3" applyFont="1" applyBorder="1" applyAlignment="1">
      <alignment horizontal="left"/>
    </xf>
    <xf numFmtId="165" fontId="9" fillId="0" borderId="10" xfId="3" applyFont="1" applyBorder="1" applyAlignment="1">
      <alignment horizontal="left"/>
    </xf>
    <xf numFmtId="165" fontId="9" fillId="0" borderId="12" xfId="3" applyFont="1" applyBorder="1" applyAlignment="1">
      <alignment horizontal="left"/>
    </xf>
    <xf numFmtId="165" fontId="9" fillId="0" borderId="0" xfId="3" applyFont="1" applyAlignment="1">
      <alignment horizontal="left" wrapText="1"/>
    </xf>
    <xf numFmtId="2" fontId="35" fillId="0" borderId="1" xfId="3" applyNumberFormat="1" applyFont="1" applyBorder="1" applyAlignment="1">
      <alignment horizontal="right"/>
    </xf>
    <xf numFmtId="166" fontId="8" fillId="0" borderId="15" xfId="3" applyNumberFormat="1" applyFont="1" applyBorder="1" applyAlignment="1">
      <alignment horizontal="right"/>
    </xf>
    <xf numFmtId="170" fontId="31" fillId="0" borderId="1" xfId="3" applyNumberFormat="1" applyFont="1" applyBorder="1" applyAlignment="1">
      <alignment horizontal="right"/>
    </xf>
    <xf numFmtId="9" fontId="8" fillId="0" borderId="15" xfId="3" applyNumberFormat="1" applyFont="1" applyBorder="1" applyAlignment="1">
      <alignment horizontal="right"/>
    </xf>
    <xf numFmtId="9" fontId="8" fillId="0" borderId="0" xfId="3" applyNumberFormat="1" applyFont="1" applyAlignment="1">
      <alignment horizontal="right" wrapText="1"/>
    </xf>
    <xf numFmtId="166" fontId="8" fillId="0" borderId="51" xfId="3" applyNumberFormat="1" applyFont="1" applyBorder="1" applyAlignment="1">
      <alignment horizontal="right"/>
    </xf>
    <xf numFmtId="9" fontId="8" fillId="0" borderId="51" xfId="3" applyNumberFormat="1" applyFont="1" applyBorder="1" applyAlignment="1">
      <alignment horizontal="right"/>
    </xf>
    <xf numFmtId="166" fontId="8" fillId="0" borderId="36" xfId="3" applyNumberFormat="1" applyFont="1" applyBorder="1" applyAlignment="1">
      <alignment horizontal="right"/>
    </xf>
    <xf numFmtId="2" fontId="9" fillId="0" borderId="31" xfId="3" applyNumberFormat="1" applyFont="1" applyBorder="1" applyAlignment="1">
      <alignment horizontal="right"/>
    </xf>
    <xf numFmtId="165" fontId="8" fillId="0" borderId="0" xfId="3" applyFont="1" applyAlignment="1">
      <alignment horizontal="right"/>
    </xf>
    <xf numFmtId="165" fontId="8" fillId="0" borderId="0" xfId="3" applyFont="1" applyAlignment="1">
      <alignment horizontal="right" wrapText="1"/>
    </xf>
    <xf numFmtId="2" fontId="38" fillId="0" borderId="1" xfId="3" applyNumberFormat="1" applyFont="1" applyBorder="1" applyAlignment="1">
      <alignment horizontal="right"/>
    </xf>
    <xf numFmtId="165" fontId="9" fillId="0" borderId="37" xfId="3" applyFont="1" applyBorder="1" applyAlignment="1">
      <alignment vertical="center"/>
    </xf>
    <xf numFmtId="165" fontId="7" fillId="0" borderId="0" xfId="3"/>
    <xf numFmtId="165" fontId="39" fillId="0" borderId="0" xfId="3" applyFont="1"/>
    <xf numFmtId="165" fontId="40" fillId="0" borderId="6" xfId="3" applyFont="1" applyBorder="1" applyAlignment="1">
      <alignment horizontal="center" vertical="center" wrapText="1"/>
    </xf>
    <xf numFmtId="165" fontId="14" fillId="0" borderId="6" xfId="3" applyFont="1" applyBorder="1" applyAlignment="1">
      <alignment horizontal="center" vertical="center" wrapText="1"/>
    </xf>
    <xf numFmtId="165" fontId="40" fillId="0" borderId="7" xfId="3" applyFont="1" applyBorder="1" applyAlignment="1">
      <alignment horizontal="center" vertical="center" wrapText="1"/>
    </xf>
    <xf numFmtId="165" fontId="40" fillId="0" borderId="10" xfId="3" applyFont="1" applyBorder="1" applyAlignment="1">
      <alignment horizontal="center" vertical="center" wrapText="1"/>
    </xf>
    <xf numFmtId="165" fontId="42" fillId="0" borderId="10" xfId="3" applyFont="1" applyBorder="1" applyAlignment="1">
      <alignment horizontal="center" vertical="center" wrapText="1"/>
    </xf>
    <xf numFmtId="165" fontId="40" fillId="0" borderId="11" xfId="3" applyFont="1" applyBorder="1" applyAlignment="1">
      <alignment horizontal="center" vertical="center" wrapText="1"/>
    </xf>
    <xf numFmtId="165" fontId="40" fillId="0" borderId="0" xfId="3" applyFont="1" applyAlignment="1">
      <alignment horizontal="left"/>
    </xf>
    <xf numFmtId="165" fontId="43" fillId="0" borderId="13" xfId="3" applyFont="1" applyBorder="1" applyAlignment="1">
      <alignment horizontal="left"/>
    </xf>
    <xf numFmtId="16" fontId="7" fillId="0" borderId="10" xfId="3" applyNumberFormat="1" applyBorder="1" applyAlignment="1">
      <alignment horizontal="center"/>
    </xf>
    <xf numFmtId="166" fontId="44" fillId="0" borderId="1" xfId="3" applyNumberFormat="1" applyFont="1" applyBorder="1" applyAlignment="1">
      <alignment horizontal="center"/>
    </xf>
    <xf numFmtId="1" fontId="44" fillId="0" borderId="10" xfId="3" applyNumberFormat="1" applyFont="1" applyBorder="1" applyAlignment="1">
      <alignment horizontal="center"/>
    </xf>
    <xf numFmtId="166" fontId="45" fillId="0" borderId="10" xfId="3" applyNumberFormat="1" applyFont="1" applyBorder="1" applyAlignment="1">
      <alignment horizontal="center"/>
    </xf>
    <xf numFmtId="166" fontId="7" fillId="0" borderId="1" xfId="3" applyNumberFormat="1" applyBorder="1" applyAlignment="1">
      <alignment horizontal="center"/>
    </xf>
    <xf numFmtId="167" fontId="7" fillId="0" borderId="11" xfId="3" applyNumberFormat="1" applyBorder="1" applyAlignment="1">
      <alignment horizontal="center"/>
    </xf>
    <xf numFmtId="165" fontId="46" fillId="8" borderId="43" xfId="3" applyFont="1" applyFill="1" applyBorder="1" applyAlignment="1">
      <alignment horizontal="center" wrapText="1"/>
    </xf>
    <xf numFmtId="165" fontId="40" fillId="0" borderId="0" xfId="3" applyFont="1"/>
    <xf numFmtId="165" fontId="7" fillId="0" borderId="13" xfId="3" applyBorder="1"/>
    <xf numFmtId="166" fontId="7" fillId="0" borderId="0" xfId="3" applyNumberFormat="1" applyAlignment="1">
      <alignment horizontal="center"/>
    </xf>
    <xf numFmtId="165" fontId="47" fillId="8" borderId="43" xfId="3" applyFont="1" applyFill="1" applyBorder="1" applyAlignment="1">
      <alignment horizontal="center" wrapText="1"/>
    </xf>
    <xf numFmtId="165" fontId="48" fillId="0" borderId="13" xfId="3" applyFont="1" applyBorder="1"/>
    <xf numFmtId="166" fontId="7" fillId="0" borderId="0" xfId="3" applyNumberFormat="1"/>
    <xf numFmtId="165" fontId="49" fillId="0" borderId="13" xfId="3" applyFont="1" applyBorder="1"/>
    <xf numFmtId="165" fontId="50" fillId="0" borderId="52" xfId="3" applyFont="1" applyBorder="1" applyAlignment="1">
      <alignment horizontal="left"/>
    </xf>
    <xf numFmtId="15" fontId="7" fillId="0" borderId="10" xfId="3" applyNumberFormat="1" applyBorder="1" applyAlignment="1">
      <alignment horizontal="center"/>
    </xf>
    <xf numFmtId="166" fontId="7" fillId="8" borderId="1" xfId="3" applyNumberFormat="1" applyFill="1" applyBorder="1" applyAlignment="1">
      <alignment horizontal="center"/>
    </xf>
    <xf numFmtId="166" fontId="7" fillId="8" borderId="11" xfId="3" applyNumberFormat="1" applyFill="1" applyBorder="1" applyAlignment="1">
      <alignment horizontal="center"/>
    </xf>
    <xf numFmtId="165" fontId="14" fillId="8" borderId="43" xfId="3" applyFont="1" applyFill="1" applyBorder="1" applyAlignment="1">
      <alignment horizontal="center"/>
    </xf>
    <xf numFmtId="165" fontId="48" fillId="0" borderId="31" xfId="3" applyFont="1" applyBorder="1"/>
    <xf numFmtId="16" fontId="7" fillId="0" borderId="32" xfId="3" applyNumberFormat="1" applyBorder="1" applyAlignment="1">
      <alignment horizontal="center"/>
    </xf>
    <xf numFmtId="15" fontId="7" fillId="0" borderId="32" xfId="3" applyNumberFormat="1" applyBorder="1" applyAlignment="1">
      <alignment horizontal="center"/>
    </xf>
    <xf numFmtId="166" fontId="7" fillId="0" borderId="32" xfId="3" applyNumberFormat="1" applyBorder="1" applyAlignment="1">
      <alignment horizontal="center"/>
    </xf>
    <xf numFmtId="1" fontId="44" fillId="0" borderId="32" xfId="3" applyNumberFormat="1" applyFont="1" applyBorder="1" applyAlignment="1">
      <alignment horizontal="center"/>
    </xf>
    <xf numFmtId="166" fontId="45" fillId="0" borderId="32" xfId="3" applyNumberFormat="1" applyFont="1" applyBorder="1" applyAlignment="1">
      <alignment horizontal="center"/>
    </xf>
    <xf numFmtId="166" fontId="7" fillId="8" borderId="32" xfId="3" applyNumberFormat="1" applyFill="1" applyBorder="1" applyAlignment="1">
      <alignment horizontal="center"/>
    </xf>
    <xf numFmtId="166" fontId="7" fillId="8" borderId="53" xfId="3" applyNumberFormat="1" applyFill="1" applyBorder="1" applyAlignment="1">
      <alignment horizontal="center"/>
    </xf>
    <xf numFmtId="167" fontId="7" fillId="0" borderId="53" xfId="3" applyNumberFormat="1" applyBorder="1" applyAlignment="1">
      <alignment horizontal="center"/>
    </xf>
    <xf numFmtId="165" fontId="51" fillId="0" borderId="54" xfId="3" applyFont="1" applyBorder="1" applyAlignment="1">
      <alignment horizontal="center"/>
    </xf>
    <xf numFmtId="165" fontId="7" fillId="0" borderId="0" xfId="3" applyAlignment="1">
      <alignment horizontal="center"/>
    </xf>
    <xf numFmtId="15" fontId="7" fillId="0" borderId="0" xfId="3" applyNumberFormat="1" applyAlignment="1">
      <alignment horizontal="center"/>
    </xf>
    <xf numFmtId="166" fontId="52" fillId="0" borderId="0" xfId="3" applyNumberFormat="1" applyFont="1" applyAlignment="1">
      <alignment horizontal="center"/>
    </xf>
    <xf numFmtId="2" fontId="7" fillId="0" borderId="0" xfId="3" applyNumberFormat="1" applyAlignment="1">
      <alignment horizontal="center"/>
    </xf>
    <xf numFmtId="166" fontId="40" fillId="0" borderId="33" xfId="3" applyNumberFormat="1" applyFont="1" applyBorder="1"/>
    <xf numFmtId="165" fontId="51" fillId="0" borderId="0" xfId="3" applyFont="1" applyAlignment="1">
      <alignment horizontal="center"/>
    </xf>
    <xf numFmtId="166" fontId="44" fillId="0" borderId="20" xfId="3" applyNumberFormat="1" applyFont="1" applyBorder="1" applyAlignment="1">
      <alignment horizontal="center"/>
    </xf>
    <xf numFmtId="166" fontId="44" fillId="0" borderId="21" xfId="3" applyNumberFormat="1" applyFont="1" applyBorder="1" applyAlignment="1">
      <alignment horizontal="center"/>
    </xf>
    <xf numFmtId="2" fontId="40" fillId="0" borderId="0" xfId="3" applyNumberFormat="1" applyFont="1" applyAlignment="1">
      <alignment horizontal="center"/>
    </xf>
    <xf numFmtId="2" fontId="40" fillId="0" borderId="57" xfId="3" applyNumberFormat="1" applyFont="1" applyBorder="1" applyAlignment="1">
      <alignment horizontal="center"/>
    </xf>
    <xf numFmtId="166" fontId="7" fillId="0" borderId="13" xfId="3" applyNumberFormat="1" applyBorder="1" applyAlignment="1">
      <alignment horizontal="center"/>
    </xf>
    <xf numFmtId="2" fontId="7" fillId="0" borderId="1" xfId="3" applyNumberFormat="1" applyBorder="1" applyAlignment="1">
      <alignment horizontal="center"/>
    </xf>
    <xf numFmtId="165" fontId="7" fillId="0" borderId="2" xfId="3" applyBorder="1" applyAlignment="1">
      <alignment horizontal="center"/>
    </xf>
    <xf numFmtId="165" fontId="49" fillId="0" borderId="58" xfId="3" applyFont="1" applyBorder="1" applyAlignment="1">
      <alignment horizontal="center"/>
    </xf>
    <xf numFmtId="165" fontId="53" fillId="0" borderId="13" xfId="3" applyFont="1" applyBorder="1" applyAlignment="1">
      <alignment horizontal="center"/>
    </xf>
    <xf numFmtId="2" fontId="45" fillId="0" borderId="15" xfId="3" applyNumberFormat="1" applyFont="1" applyBorder="1" applyAlignment="1">
      <alignment horizontal="center"/>
    </xf>
    <xf numFmtId="2" fontId="45" fillId="0" borderId="2" xfId="3" applyNumberFormat="1" applyFont="1" applyBorder="1" applyAlignment="1">
      <alignment horizontal="center"/>
    </xf>
    <xf numFmtId="166" fontId="40" fillId="0" borderId="0" xfId="3" applyNumberFormat="1" applyFont="1" applyAlignment="1">
      <alignment horizontal="center"/>
    </xf>
    <xf numFmtId="1" fontId="7" fillId="0" borderId="58" xfId="3" applyNumberFormat="1" applyBorder="1" applyAlignment="1">
      <alignment horizontal="center"/>
    </xf>
    <xf numFmtId="166" fontId="54" fillId="0" borderId="59" xfId="3" applyNumberFormat="1" applyFont="1" applyBorder="1" applyAlignment="1">
      <alignment horizontal="center"/>
    </xf>
    <xf numFmtId="15" fontId="7" fillId="0" borderId="31" xfId="3" applyNumberFormat="1" applyBorder="1" applyAlignment="1">
      <alignment horizontal="center"/>
    </xf>
    <xf numFmtId="2" fontId="7" fillId="0" borderId="36" xfId="3" applyNumberFormat="1" applyBorder="1" applyAlignment="1">
      <alignment horizontal="center"/>
    </xf>
    <xf numFmtId="2" fontId="7" fillId="0" borderId="53" xfId="3" applyNumberFormat="1" applyBorder="1" applyAlignment="1">
      <alignment horizontal="center"/>
    </xf>
    <xf numFmtId="166" fontId="7" fillId="0" borderId="61" xfId="3" applyNumberFormat="1" applyBorder="1" applyAlignment="1">
      <alignment horizontal="center"/>
    </xf>
    <xf numFmtId="165" fontId="40" fillId="0" borderId="20" xfId="3" applyFont="1" applyBorder="1" applyAlignment="1">
      <alignment horizontal="left"/>
    </xf>
    <xf numFmtId="165" fontId="40" fillId="0" borderId="21" xfId="3" applyFont="1" applyBorder="1" applyAlignment="1">
      <alignment horizontal="center"/>
    </xf>
    <xf numFmtId="165" fontId="40" fillId="0" borderId="56" xfId="3" applyFont="1" applyBorder="1" applyAlignment="1">
      <alignment horizontal="center"/>
    </xf>
    <xf numFmtId="165" fontId="40" fillId="0" borderId="0" xfId="3" applyFont="1" applyAlignment="1">
      <alignment horizontal="center"/>
    </xf>
    <xf numFmtId="166" fontId="7" fillId="0" borderId="1" xfId="3" applyNumberFormat="1" applyBorder="1" applyAlignment="1">
      <alignment horizontal="right"/>
    </xf>
    <xf numFmtId="166" fontId="40" fillId="0" borderId="1" xfId="3" applyNumberFormat="1" applyFont="1" applyBorder="1" applyAlignment="1">
      <alignment horizontal="right"/>
    </xf>
    <xf numFmtId="166" fontId="7" fillId="0" borderId="59" xfId="3" applyNumberFormat="1" applyBorder="1"/>
    <xf numFmtId="165" fontId="55" fillId="0" borderId="13" xfId="3" applyFont="1" applyBorder="1" applyAlignment="1">
      <alignment horizontal="left"/>
    </xf>
    <xf numFmtId="166" fontId="54" fillId="0" borderId="1" xfId="3" applyNumberFormat="1" applyFont="1" applyBorder="1" applyAlignment="1">
      <alignment horizontal="right"/>
    </xf>
    <xf numFmtId="165" fontId="56" fillId="0" borderId="13" xfId="3" applyFont="1" applyBorder="1"/>
    <xf numFmtId="166" fontId="40" fillId="0" borderId="1" xfId="3" applyNumberFormat="1" applyFont="1" applyBorder="1"/>
    <xf numFmtId="166" fontId="45" fillId="0" borderId="1" xfId="3" applyNumberFormat="1" applyFont="1" applyBorder="1" applyAlignment="1">
      <alignment horizontal="right"/>
    </xf>
    <xf numFmtId="166" fontId="54" fillId="0" borderId="14" xfId="3" applyNumberFormat="1" applyFont="1" applyBorder="1"/>
    <xf numFmtId="165" fontId="57" fillId="0" borderId="31" xfId="3" applyFont="1" applyBorder="1"/>
    <xf numFmtId="166" fontId="7" fillId="0" borderId="32" xfId="3" applyNumberFormat="1" applyBorder="1" applyAlignment="1">
      <alignment horizontal="right"/>
    </xf>
    <xf numFmtId="166" fontId="40" fillId="0" borderId="14" xfId="3" applyNumberFormat="1" applyFont="1" applyBorder="1"/>
    <xf numFmtId="166" fontId="7" fillId="0" borderId="60" xfId="3" applyNumberFormat="1" applyBorder="1"/>
    <xf numFmtId="165" fontId="57" fillId="0" borderId="0" xfId="3" applyFont="1"/>
    <xf numFmtId="166" fontId="7" fillId="0" borderId="0" xfId="3" applyNumberFormat="1" applyAlignment="1">
      <alignment horizontal="right"/>
    </xf>
    <xf numFmtId="16" fontId="7" fillId="0" borderId="10" xfId="3" applyNumberFormat="1" applyBorder="1" applyAlignment="1">
      <alignment horizontal="center" vertical="center"/>
    </xf>
    <xf numFmtId="15" fontId="7" fillId="0" borderId="6" xfId="3" applyNumberFormat="1" applyBorder="1" applyAlignment="1">
      <alignment vertical="center"/>
    </xf>
    <xf numFmtId="2" fontId="7" fillId="0" borderId="1" xfId="3" applyNumberFormat="1" applyBorder="1" applyAlignment="1">
      <alignment horizontal="right" vertical="center"/>
    </xf>
    <xf numFmtId="166" fontId="7" fillId="0" borderId="1" xfId="3" applyNumberFormat="1" applyBorder="1" applyAlignment="1">
      <alignment horizontal="center" vertical="center"/>
    </xf>
    <xf numFmtId="170" fontId="7" fillId="0" borderId="6" xfId="3" applyNumberFormat="1" applyBorder="1" applyAlignment="1">
      <alignment vertical="center"/>
    </xf>
    <xf numFmtId="165" fontId="40" fillId="0" borderId="23" xfId="3" applyFont="1" applyBorder="1" applyAlignment="1">
      <alignment vertical="center" wrapText="1"/>
    </xf>
    <xf numFmtId="165" fontId="58" fillId="0" borderId="0" xfId="3" applyFont="1"/>
    <xf numFmtId="15" fontId="7" fillId="0" borderId="1" xfId="3" applyNumberFormat="1" applyBorder="1" applyAlignment="1">
      <alignment horizontal="center" vertical="center"/>
    </xf>
    <xf numFmtId="165" fontId="7" fillId="0" borderId="1" xfId="3" applyBorder="1"/>
    <xf numFmtId="165" fontId="59" fillId="0" borderId="43" xfId="3" applyFont="1" applyBorder="1" applyAlignment="1">
      <alignment vertical="center" wrapText="1"/>
    </xf>
    <xf numFmtId="2" fontId="7" fillId="0" borderId="1" xfId="3" applyNumberFormat="1" applyBorder="1" applyAlignment="1">
      <alignment horizontal="center" vertical="center"/>
    </xf>
    <xf numFmtId="2" fontId="7" fillId="0" borderId="1" xfId="3" applyNumberFormat="1" applyBorder="1" applyAlignment="1">
      <alignment horizontal="right"/>
    </xf>
    <xf numFmtId="165" fontId="40" fillId="0" borderId="43" xfId="3" applyFont="1" applyBorder="1" applyAlignment="1">
      <alignment vertical="center" wrapText="1"/>
    </xf>
    <xf numFmtId="165" fontId="52" fillId="0" borderId="13" xfId="3" applyFont="1" applyBorder="1"/>
    <xf numFmtId="165" fontId="52" fillId="0" borderId="52" xfId="3" applyFont="1" applyBorder="1"/>
    <xf numFmtId="165" fontId="7" fillId="0" borderId="14" xfId="3" applyBorder="1"/>
    <xf numFmtId="166" fontId="7" fillId="0" borderId="14" xfId="3" applyNumberFormat="1" applyBorder="1" applyAlignment="1">
      <alignment horizontal="right"/>
    </xf>
    <xf numFmtId="165" fontId="40" fillId="0" borderId="66" xfId="3" applyFont="1" applyBorder="1" applyAlignment="1">
      <alignment vertical="center" wrapText="1"/>
    </xf>
    <xf numFmtId="165" fontId="40" fillId="0" borderId="31" xfId="3" applyFont="1" applyBorder="1" applyAlignment="1">
      <alignment horizontal="center" shrinkToFit="1"/>
    </xf>
    <xf numFmtId="165" fontId="7" fillId="0" borderId="32" xfId="3" applyBorder="1" applyAlignment="1">
      <alignment horizontal="center"/>
    </xf>
    <xf numFmtId="15" fontId="7" fillId="0" borderId="39" xfId="3" applyNumberFormat="1" applyBorder="1"/>
    <xf numFmtId="165" fontId="7" fillId="0" borderId="32" xfId="3" applyBorder="1"/>
    <xf numFmtId="165" fontId="7" fillId="0" borderId="32" xfId="3" applyBorder="1" applyAlignment="1">
      <alignment horizontal="right"/>
    </xf>
    <xf numFmtId="165" fontId="40" fillId="0" borderId="54" xfId="3" applyFont="1" applyBorder="1" applyAlignment="1">
      <alignment vertical="center" wrapText="1"/>
    </xf>
    <xf numFmtId="165" fontId="40" fillId="0" borderId="0" xfId="3" applyFont="1" applyAlignment="1">
      <alignment horizontal="center" shrinkToFit="1"/>
    </xf>
    <xf numFmtId="165" fontId="40" fillId="0" borderId="0" xfId="3" applyFont="1" applyAlignment="1">
      <alignment vertical="center" wrapText="1"/>
    </xf>
    <xf numFmtId="165" fontId="38" fillId="0" borderId="50" xfId="3" applyFont="1" applyBorder="1" applyAlignment="1">
      <alignment horizontal="left"/>
    </xf>
    <xf numFmtId="165" fontId="38" fillId="0" borderId="10" xfId="3" applyFont="1" applyBorder="1" applyAlignment="1">
      <alignment horizontal="left"/>
    </xf>
    <xf numFmtId="165" fontId="38" fillId="0" borderId="12" xfId="3" applyFont="1" applyBorder="1" applyAlignment="1">
      <alignment horizontal="left"/>
    </xf>
    <xf numFmtId="165" fontId="40" fillId="0" borderId="10" xfId="3" applyFont="1" applyBorder="1" applyAlignment="1">
      <alignment horizontal="left"/>
    </xf>
    <xf numFmtId="165" fontId="40" fillId="0" borderId="12" xfId="3" applyFont="1" applyBorder="1" applyAlignment="1">
      <alignment horizontal="left"/>
    </xf>
    <xf numFmtId="2" fontId="61" fillId="0" borderId="1" xfId="4" applyNumberFormat="1" applyFont="1" applyBorder="1" applyAlignment="1">
      <alignment horizontal="right"/>
    </xf>
    <xf numFmtId="166" fontId="61" fillId="0" borderId="15" xfId="3" applyNumberFormat="1" applyFont="1" applyBorder="1" applyAlignment="1">
      <alignment horizontal="right"/>
    </xf>
    <xf numFmtId="170" fontId="7" fillId="0" borderId="52" xfId="4" applyNumberFormat="1" applyBorder="1" applyAlignment="1">
      <alignment horizontal="right" vertical="center"/>
    </xf>
    <xf numFmtId="170" fontId="54" fillId="0" borderId="1" xfId="3" applyNumberFormat="1" applyFont="1" applyBorder="1" applyAlignment="1">
      <alignment horizontal="right"/>
    </xf>
    <xf numFmtId="9" fontId="7" fillId="0" borderId="15" xfId="3" applyNumberFormat="1" applyBorder="1" applyAlignment="1">
      <alignment horizontal="right"/>
    </xf>
    <xf numFmtId="170" fontId="7" fillId="0" borderId="1" xfId="4" applyNumberFormat="1" applyBorder="1" applyAlignment="1">
      <alignment horizontal="right"/>
    </xf>
    <xf numFmtId="165" fontId="23" fillId="0" borderId="13" xfId="3" applyFont="1" applyBorder="1"/>
    <xf numFmtId="2" fontId="61" fillId="0" borderId="0" xfId="3" applyNumberFormat="1" applyFont="1" applyAlignment="1">
      <alignment horizontal="right"/>
    </xf>
    <xf numFmtId="165" fontId="30" fillId="0" borderId="52" xfId="3" applyFont="1" applyBorder="1" applyAlignment="1">
      <alignment horizontal="left"/>
    </xf>
    <xf numFmtId="166" fontId="61" fillId="0" borderId="51" xfId="3" applyNumberFormat="1" applyFont="1" applyBorder="1" applyAlignment="1">
      <alignment horizontal="right"/>
    </xf>
    <xf numFmtId="165" fontId="31" fillId="0" borderId="52" xfId="3" applyFont="1" applyBorder="1" applyAlignment="1">
      <alignment horizontal="left"/>
    </xf>
    <xf numFmtId="2" fontId="61" fillId="0" borderId="14" xfId="4" applyNumberFormat="1" applyFont="1" applyBorder="1" applyAlignment="1">
      <alignment horizontal="right"/>
    </xf>
    <xf numFmtId="170" fontId="7" fillId="0" borderId="14" xfId="4" applyNumberFormat="1" applyBorder="1" applyAlignment="1">
      <alignment horizontal="right"/>
    </xf>
    <xf numFmtId="9" fontId="7" fillId="0" borderId="51" xfId="3" applyNumberFormat="1" applyBorder="1" applyAlignment="1">
      <alignment horizontal="right"/>
    </xf>
    <xf numFmtId="2" fontId="61" fillId="0" borderId="32" xfId="3" applyNumberFormat="1" applyFont="1" applyBorder="1" applyAlignment="1">
      <alignment horizontal="right"/>
    </xf>
    <xf numFmtId="166" fontId="61" fillId="0" borderId="36" xfId="3" applyNumberFormat="1" applyFont="1" applyBorder="1" applyAlignment="1">
      <alignment horizontal="right"/>
    </xf>
    <xf numFmtId="170" fontId="7" fillId="0" borderId="32" xfId="3" applyNumberFormat="1" applyBorder="1" applyAlignment="1">
      <alignment horizontal="right"/>
    </xf>
    <xf numFmtId="9" fontId="7" fillId="0" borderId="36" xfId="3" applyNumberFormat="1" applyBorder="1" applyAlignment="1">
      <alignment horizontal="right"/>
    </xf>
    <xf numFmtId="165" fontId="61" fillId="0" borderId="0" xfId="3" applyFont="1"/>
    <xf numFmtId="165" fontId="61" fillId="0" borderId="0" xfId="3" applyFont="1" applyAlignment="1">
      <alignment horizontal="right"/>
    </xf>
    <xf numFmtId="2" fontId="38" fillId="0" borderId="0" xfId="3" applyNumberFormat="1" applyFont="1" applyAlignment="1">
      <alignment horizontal="right"/>
    </xf>
    <xf numFmtId="2" fontId="40" fillId="0" borderId="0" xfId="3" applyNumberFormat="1" applyFont="1" applyAlignment="1">
      <alignment horizontal="right"/>
    </xf>
    <xf numFmtId="165" fontId="7" fillId="0" borderId="0" xfId="3" applyAlignment="1">
      <alignment horizontal="right"/>
    </xf>
    <xf numFmtId="165" fontId="62" fillId="0" borderId="0" xfId="3" applyFont="1"/>
    <xf numFmtId="165" fontId="53" fillId="0" borderId="0" xfId="0" applyFont="1"/>
    <xf numFmtId="165" fontId="53" fillId="0" borderId="0" xfId="0" applyFont="1" applyAlignment="1">
      <alignment horizontal="center"/>
    </xf>
    <xf numFmtId="165" fontId="63" fillId="3" borderId="1" xfId="0" applyFont="1" applyFill="1" applyBorder="1"/>
    <xf numFmtId="165" fontId="63" fillId="9" borderId="1" xfId="0" applyFont="1" applyFill="1" applyBorder="1" applyAlignment="1">
      <alignment horizontal="center"/>
    </xf>
    <xf numFmtId="165" fontId="0" fillId="0" borderId="0" xfId="0" applyAlignment="1">
      <alignment horizontal="center"/>
    </xf>
    <xf numFmtId="166" fontId="53" fillId="3" borderId="1" xfId="0" applyNumberFormat="1" applyFont="1" applyFill="1" applyBorder="1" applyAlignment="1">
      <alignment horizontal="center"/>
    </xf>
    <xf numFmtId="40" fontId="53" fillId="10" borderId="27" xfId="1" applyNumberFormat="1" applyFont="1" applyFill="1" applyBorder="1" applyAlignment="1">
      <alignment horizontal="center"/>
    </xf>
    <xf numFmtId="2" fontId="53" fillId="11" borderId="1" xfId="0" applyNumberFormat="1" applyFont="1" applyFill="1" applyBorder="1" applyAlignment="1">
      <alignment horizontal="center"/>
    </xf>
    <xf numFmtId="2" fontId="53" fillId="0" borderId="1" xfId="0" applyNumberFormat="1" applyFont="1" applyBorder="1" applyAlignment="1">
      <alignment horizontal="center"/>
    </xf>
    <xf numFmtId="40" fontId="53" fillId="12" borderId="27" xfId="1" applyNumberFormat="1" applyFont="1" applyFill="1" applyBorder="1" applyAlignment="1">
      <alignment horizontal="center"/>
    </xf>
    <xf numFmtId="40" fontId="53" fillId="13" borderId="27" xfId="1" applyNumberFormat="1" applyFont="1" applyFill="1" applyBorder="1" applyAlignment="1">
      <alignment horizontal="center"/>
    </xf>
    <xf numFmtId="40" fontId="53" fillId="14" borderId="27" xfId="1" applyNumberFormat="1" applyFont="1" applyFill="1" applyBorder="1" applyAlignment="1">
      <alignment horizontal="center"/>
    </xf>
    <xf numFmtId="40" fontId="53" fillId="15" borderId="27" xfId="1" applyNumberFormat="1" applyFont="1" applyFill="1" applyBorder="1" applyAlignment="1">
      <alignment horizontal="center"/>
    </xf>
    <xf numFmtId="40" fontId="53" fillId="16" borderId="27" xfId="1" applyNumberFormat="1" applyFont="1" applyFill="1" applyBorder="1" applyAlignment="1">
      <alignment horizontal="center"/>
    </xf>
    <xf numFmtId="40" fontId="53" fillId="17" borderId="27" xfId="1" applyNumberFormat="1" applyFont="1" applyFill="1" applyBorder="1" applyAlignment="1">
      <alignment horizontal="center"/>
    </xf>
    <xf numFmtId="40" fontId="53" fillId="18" borderId="27" xfId="1" applyNumberFormat="1" applyFont="1" applyFill="1" applyBorder="1" applyAlignment="1">
      <alignment horizontal="center"/>
    </xf>
    <xf numFmtId="166" fontId="63" fillId="4" borderId="1" xfId="0" applyNumberFormat="1" applyFont="1" applyFill="1" applyBorder="1" applyAlignment="1">
      <alignment horizontal="center"/>
    </xf>
    <xf numFmtId="165" fontId="63" fillId="19" borderId="1" xfId="0" applyFont="1" applyFill="1" applyBorder="1" applyAlignment="1">
      <alignment horizontal="center"/>
    </xf>
    <xf numFmtId="2" fontId="63" fillId="19" borderId="1" xfId="0" applyNumberFormat="1" applyFont="1" applyFill="1" applyBorder="1" applyAlignment="1">
      <alignment horizontal="center"/>
    </xf>
    <xf numFmtId="2" fontId="63" fillId="0" borderId="1" xfId="0" applyNumberFormat="1" applyFont="1" applyBorder="1" applyAlignment="1">
      <alignment horizontal="center"/>
    </xf>
    <xf numFmtId="165" fontId="63" fillId="9" borderId="3" xfId="0" applyFont="1" applyFill="1" applyBorder="1" applyAlignment="1">
      <alignment horizontal="center"/>
    </xf>
    <xf numFmtId="40" fontId="53" fillId="10" borderId="68" xfId="1" applyNumberFormat="1" applyFont="1" applyFill="1" applyBorder="1" applyAlignment="1">
      <alignment horizontal="center"/>
    </xf>
    <xf numFmtId="2" fontId="53" fillId="11" borderId="1" xfId="0" applyNumberFormat="1" applyFont="1" applyFill="1" applyBorder="1"/>
    <xf numFmtId="40" fontId="53" fillId="12" borderId="68" xfId="1" applyNumberFormat="1" applyFont="1" applyFill="1" applyBorder="1" applyAlignment="1">
      <alignment horizontal="center"/>
    </xf>
    <xf numFmtId="2" fontId="53" fillId="0" borderId="1" xfId="0" applyNumberFormat="1" applyFont="1" applyBorder="1"/>
    <xf numFmtId="40" fontId="53" fillId="13" borderId="68" xfId="1" applyNumberFormat="1" applyFont="1" applyFill="1" applyBorder="1" applyAlignment="1">
      <alignment horizontal="center"/>
    </xf>
    <xf numFmtId="40" fontId="53" fillId="14" borderId="68" xfId="1" applyNumberFormat="1" applyFont="1" applyFill="1" applyBorder="1" applyAlignment="1">
      <alignment horizontal="center"/>
    </xf>
    <xf numFmtId="40" fontId="53" fillId="15" borderId="68" xfId="1" applyNumberFormat="1" applyFont="1" applyFill="1" applyBorder="1" applyAlignment="1">
      <alignment horizontal="center"/>
    </xf>
    <xf numFmtId="2" fontId="53" fillId="11" borderId="1" xfId="0" applyNumberFormat="1" applyFont="1" applyFill="1" applyBorder="1" applyAlignment="1">
      <alignment horizontal="right"/>
    </xf>
    <xf numFmtId="40" fontId="53" fillId="16" borderId="68" xfId="1" applyNumberFormat="1" applyFont="1" applyFill="1" applyBorder="1" applyAlignment="1">
      <alignment horizontal="center"/>
    </xf>
    <xf numFmtId="2" fontId="53" fillId="0" borderId="1" xfId="0" applyNumberFormat="1" applyFont="1" applyBorder="1" applyAlignment="1">
      <alignment horizontal="right"/>
    </xf>
    <xf numFmtId="40" fontId="53" fillId="17" borderId="68" xfId="1" applyNumberFormat="1" applyFont="1" applyFill="1" applyBorder="1" applyAlignment="1">
      <alignment horizontal="center"/>
    </xf>
    <xf numFmtId="40" fontId="53" fillId="18" borderId="68" xfId="1" applyNumberFormat="1" applyFont="1" applyFill="1" applyBorder="1" applyAlignment="1">
      <alignment horizontal="center"/>
    </xf>
    <xf numFmtId="165" fontId="63" fillId="19" borderId="3" xfId="0" applyFont="1" applyFill="1" applyBorder="1"/>
    <xf numFmtId="2" fontId="63" fillId="19" borderId="1" xfId="0" applyNumberFormat="1" applyFont="1" applyFill="1" applyBorder="1"/>
    <xf numFmtId="165" fontId="6" fillId="0" borderId="0" xfId="0" applyFont="1"/>
    <xf numFmtId="165" fontId="10" fillId="0" borderId="0" xfId="0" applyFont="1"/>
    <xf numFmtId="165" fontId="65" fillId="0" borderId="0" xfId="0" applyFont="1"/>
    <xf numFmtId="165" fontId="66" fillId="19" borderId="70" xfId="0" applyFont="1" applyFill="1" applyBorder="1" applyAlignment="1">
      <alignment vertical="center"/>
    </xf>
    <xf numFmtId="165" fontId="66" fillId="19" borderId="71" xfId="0" applyFont="1" applyFill="1" applyBorder="1" applyAlignment="1">
      <alignment vertical="center"/>
    </xf>
    <xf numFmtId="165" fontId="66" fillId="19" borderId="72" xfId="0" applyFont="1" applyFill="1" applyBorder="1" applyAlignment="1">
      <alignment vertical="center"/>
    </xf>
    <xf numFmtId="165" fontId="66" fillId="21" borderId="72" xfId="0" applyFont="1" applyFill="1" applyBorder="1" applyAlignment="1">
      <alignment vertical="center"/>
    </xf>
    <xf numFmtId="165" fontId="67" fillId="0" borderId="50" xfId="0" applyFont="1" applyBorder="1"/>
    <xf numFmtId="2" fontId="68" fillId="0" borderId="12" xfId="0" applyNumberFormat="1" applyFont="1" applyBorder="1"/>
    <xf numFmtId="2" fontId="68" fillId="0" borderId="10" xfId="0" applyNumberFormat="1" applyFont="1" applyBorder="1"/>
    <xf numFmtId="2" fontId="68" fillId="6" borderId="10" xfId="0" applyNumberFormat="1" applyFont="1" applyFill="1" applyBorder="1"/>
    <xf numFmtId="166" fontId="67" fillId="21" borderId="12" xfId="0" applyNumberFormat="1" applyFont="1" applyFill="1" applyBorder="1"/>
    <xf numFmtId="2" fontId="69" fillId="0" borderId="73" xfId="0" applyNumberFormat="1" applyFont="1" applyBorder="1"/>
    <xf numFmtId="165" fontId="67" fillId="0" borderId="13" xfId="0" applyFont="1" applyBorder="1"/>
    <xf numFmtId="165" fontId="70" fillId="20" borderId="38" xfId="0" applyFont="1" applyFill="1" applyBorder="1" applyAlignment="1">
      <alignment vertical="center"/>
    </xf>
    <xf numFmtId="2" fontId="71" fillId="20" borderId="39" xfId="0" applyNumberFormat="1" applyFont="1" applyFill="1" applyBorder="1" applyAlignment="1">
      <alignment vertical="center"/>
    </xf>
    <xf numFmtId="165" fontId="66" fillId="22" borderId="72" xfId="0" applyFont="1" applyFill="1" applyBorder="1" applyAlignment="1">
      <alignment vertical="center"/>
    </xf>
    <xf numFmtId="2" fontId="68" fillId="0" borderId="12" xfId="0" applyNumberFormat="1" applyFont="1" applyBorder="1" applyAlignment="1">
      <alignment horizontal="right" vertical="center"/>
    </xf>
    <xf numFmtId="2" fontId="74" fillId="22" borderId="12" xfId="0" applyNumberFormat="1" applyFont="1" applyFill="1" applyBorder="1"/>
    <xf numFmtId="165" fontId="70" fillId="20" borderId="31" xfId="0" applyFont="1" applyFill="1" applyBorder="1" applyAlignment="1">
      <alignment vertical="center"/>
    </xf>
    <xf numFmtId="2" fontId="71" fillId="20" borderId="32" xfId="0" applyNumberFormat="1" applyFont="1" applyFill="1" applyBorder="1" applyAlignment="1">
      <alignment vertical="center"/>
    </xf>
    <xf numFmtId="2" fontId="71" fillId="22" borderId="36" xfId="0" applyNumberFormat="1" applyFont="1" applyFill="1" applyBorder="1" applyAlignment="1">
      <alignment vertical="center"/>
    </xf>
    <xf numFmtId="165" fontId="9" fillId="0" borderId="0" xfId="3" applyFont="1" applyAlignment="1">
      <alignment horizontal="center" vertical="center"/>
    </xf>
    <xf numFmtId="1" fontId="10" fillId="3" borderId="1" xfId="0" applyNumberFormat="1" applyFont="1" applyFill="1" applyBorder="1" applyAlignment="1">
      <alignment horizontal="center"/>
    </xf>
    <xf numFmtId="166" fontId="10" fillId="3" borderId="14" xfId="0" applyNumberFormat="1" applyFont="1" applyFill="1" applyBorder="1"/>
    <xf numFmtId="165" fontId="8" fillId="0" borderId="0" xfId="3" applyFont="1"/>
    <xf numFmtId="1" fontId="8" fillId="0" borderId="1" xfId="3" applyNumberFormat="1" applyFont="1" applyBorder="1" applyAlignment="1">
      <alignment horizontal="center" vertical="center"/>
    </xf>
    <xf numFmtId="165" fontId="8" fillId="0" borderId="0" xfId="3" applyFont="1" applyAlignment="1">
      <alignment vertical="center"/>
    </xf>
    <xf numFmtId="1" fontId="9" fillId="0" borderId="1" xfId="3" applyNumberFormat="1" applyFont="1" applyBorder="1" applyAlignment="1">
      <alignment horizontal="center" vertical="center"/>
    </xf>
    <xf numFmtId="166" fontId="8" fillId="0" borderId="1" xfId="3" applyNumberFormat="1" applyFont="1" applyBorder="1" applyAlignment="1">
      <alignment horizontal="center" vertical="center"/>
    </xf>
    <xf numFmtId="166" fontId="9" fillId="0" borderId="14" xfId="3" applyNumberFormat="1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right"/>
    </xf>
    <xf numFmtId="16" fontId="8" fillId="0" borderId="10" xfId="3" applyNumberFormat="1" applyFont="1" applyBorder="1" applyAlignment="1">
      <alignment horizontal="center" vertical="center"/>
    </xf>
    <xf numFmtId="1" fontId="9" fillId="0" borderId="1" xfId="3" applyNumberFormat="1" applyFont="1" applyBorder="1" applyAlignment="1">
      <alignment horizontal="right"/>
    </xf>
    <xf numFmtId="166" fontId="10" fillId="23" borderId="0" xfId="0" applyNumberFormat="1" applyFont="1" applyFill="1"/>
    <xf numFmtId="170" fontId="8" fillId="0" borderId="42" xfId="4" applyNumberFormat="1" applyFont="1" applyFill="1" applyBorder="1" applyAlignment="1">
      <alignment horizontal="center" vertical="center"/>
    </xf>
    <xf numFmtId="165" fontId="26" fillId="4" borderId="1" xfId="3" applyFont="1" applyFill="1" applyBorder="1" applyAlignment="1">
      <alignment horizontal="left"/>
    </xf>
    <xf numFmtId="165" fontId="28" fillId="4" borderId="1" xfId="3" applyFont="1" applyFill="1" applyBorder="1"/>
    <xf numFmtId="165" fontId="23" fillId="4" borderId="1" xfId="3" applyFont="1" applyFill="1" applyBorder="1" applyAlignment="1">
      <alignment horizontal="left"/>
    </xf>
    <xf numFmtId="165" fontId="29" fillId="4" borderId="1" xfId="3" applyFont="1" applyFill="1" applyBorder="1"/>
    <xf numFmtId="165" fontId="30" fillId="4" borderId="1" xfId="3" applyFont="1" applyFill="1" applyBorder="1" applyAlignment="1">
      <alignment horizontal="left"/>
    </xf>
    <xf numFmtId="165" fontId="9" fillId="4" borderId="1" xfId="3" applyFont="1" applyFill="1" applyBorder="1" applyAlignment="1">
      <alignment horizontal="left" vertical="center" wrapText="1"/>
    </xf>
    <xf numFmtId="1" fontId="9" fillId="4" borderId="1" xfId="3" applyNumberFormat="1" applyFont="1" applyFill="1" applyBorder="1" applyAlignment="1">
      <alignment horizontal="center" vertical="center" wrapText="1"/>
    </xf>
    <xf numFmtId="165" fontId="9" fillId="0" borderId="0" xfId="3" applyFont="1" applyAlignment="1">
      <alignment horizontal="center"/>
    </xf>
    <xf numFmtId="165" fontId="77" fillId="4" borderId="1" xfId="3" applyFont="1" applyFill="1" applyBorder="1" applyAlignment="1">
      <alignment horizontal="left"/>
    </xf>
    <xf numFmtId="166" fontId="10" fillId="0" borderId="0" xfId="0" applyNumberFormat="1" applyFont="1" applyAlignment="1">
      <alignment vertical="center"/>
    </xf>
    <xf numFmtId="167" fontId="9" fillId="0" borderId="0" xfId="3" applyNumberFormat="1" applyFont="1" applyAlignment="1">
      <alignment horizontal="right" vertical="center"/>
    </xf>
    <xf numFmtId="166" fontId="71" fillId="20" borderId="39" xfId="0" applyNumberFormat="1" applyFont="1" applyFill="1" applyBorder="1" applyAlignment="1">
      <alignment vertical="center"/>
    </xf>
    <xf numFmtId="166" fontId="69" fillId="0" borderId="73" xfId="0" applyNumberFormat="1" applyFont="1" applyBorder="1"/>
    <xf numFmtId="1" fontId="69" fillId="0" borderId="73" xfId="0" applyNumberFormat="1" applyFont="1" applyBorder="1"/>
    <xf numFmtId="14" fontId="9" fillId="0" borderId="0" xfId="3" applyNumberFormat="1" applyFont="1"/>
    <xf numFmtId="166" fontId="9" fillId="0" borderId="1" xfId="3" applyNumberFormat="1" applyFont="1" applyBorder="1" applyAlignment="1">
      <alignment horizontal="right"/>
    </xf>
    <xf numFmtId="4" fontId="8" fillId="0" borderId="11" xfId="3" applyNumberFormat="1" applyFont="1" applyBorder="1" applyAlignment="1">
      <alignment horizontal="center" vertical="center"/>
    </xf>
    <xf numFmtId="4" fontId="8" fillId="0" borderId="1" xfId="3" applyNumberFormat="1" applyFont="1" applyBorder="1" applyAlignment="1">
      <alignment horizontal="center" vertical="center"/>
    </xf>
    <xf numFmtId="166" fontId="9" fillId="0" borderId="14" xfId="3" applyNumberFormat="1" applyFont="1" applyBorder="1" applyAlignment="1">
      <alignment horizontal="right"/>
    </xf>
    <xf numFmtId="165" fontId="78" fillId="0" borderId="52" xfId="3" applyFont="1" applyBorder="1"/>
    <xf numFmtId="20" fontId="9" fillId="4" borderId="18" xfId="0" applyNumberFormat="1" applyFont="1" applyFill="1" applyBorder="1" applyAlignment="1">
      <alignment horizontal="center" vertical="center" wrapText="1"/>
    </xf>
    <xf numFmtId="1" fontId="9" fillId="0" borderId="63" xfId="3" applyNumberFormat="1" applyFont="1" applyBorder="1" applyAlignment="1">
      <alignment horizontal="center"/>
    </xf>
    <xf numFmtId="16" fontId="8" fillId="0" borderId="77" xfId="3" applyNumberFormat="1" applyFont="1" applyBorder="1" applyAlignment="1">
      <alignment vertical="center"/>
    </xf>
    <xf numFmtId="16" fontId="8" fillId="0" borderId="32" xfId="3" applyNumberFormat="1" applyFont="1" applyBorder="1" applyAlignment="1">
      <alignment vertical="center"/>
    </xf>
    <xf numFmtId="165" fontId="9" fillId="0" borderId="3" xfId="3" applyFont="1" applyBorder="1" applyAlignment="1">
      <alignment horizontal="center"/>
    </xf>
    <xf numFmtId="2" fontId="9" fillId="7" borderId="34" xfId="3" applyNumberFormat="1" applyFont="1" applyFill="1" applyBorder="1" applyAlignment="1">
      <alignment horizontal="center" vertical="center"/>
    </xf>
    <xf numFmtId="2" fontId="25" fillId="7" borderId="34" xfId="3" applyNumberFormat="1" applyFont="1" applyFill="1" applyBorder="1" applyAlignment="1">
      <alignment horizontal="center" vertical="center"/>
    </xf>
    <xf numFmtId="2" fontId="79" fillId="0" borderId="1" xfId="3" applyNumberFormat="1" applyFont="1" applyBorder="1" applyAlignment="1">
      <alignment horizontal="center" vertical="center"/>
    </xf>
    <xf numFmtId="2" fontId="8" fillId="0" borderId="0" xfId="3" applyNumberFormat="1" applyFont="1"/>
    <xf numFmtId="165" fontId="67" fillId="0" borderId="52" xfId="0" applyFont="1" applyBorder="1"/>
    <xf numFmtId="2" fontId="68" fillId="0" borderId="76" xfId="0" applyNumberFormat="1" applyFont="1" applyBorder="1"/>
    <xf numFmtId="2" fontId="68" fillId="0" borderId="80" xfId="0" applyNumberFormat="1" applyFont="1" applyBorder="1"/>
    <xf numFmtId="2" fontId="74" fillId="22" borderId="81" xfId="0" applyNumberFormat="1" applyFont="1" applyFill="1" applyBorder="1"/>
    <xf numFmtId="2" fontId="31" fillId="0" borderId="10" xfId="4" applyNumberFormat="1" applyFont="1" applyFill="1" applyBorder="1" applyAlignment="1">
      <alignment horizontal="center" vertical="center"/>
    </xf>
    <xf numFmtId="2" fontId="31" fillId="0" borderId="2" xfId="4" applyNumberFormat="1" applyFont="1" applyBorder="1" applyAlignment="1">
      <alignment horizontal="center" vertical="center"/>
    </xf>
    <xf numFmtId="2" fontId="31" fillId="0" borderId="2" xfId="4" applyNumberFormat="1" applyFont="1" applyFill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/>
    </xf>
    <xf numFmtId="1" fontId="9" fillId="0" borderId="1" xfId="3" applyNumberFormat="1" applyFont="1" applyBorder="1" applyAlignment="1">
      <alignment horizontal="center"/>
    </xf>
    <xf numFmtId="1" fontId="9" fillId="0" borderId="18" xfId="3" applyNumberFormat="1" applyFont="1" applyBorder="1" applyAlignment="1">
      <alignment horizontal="center"/>
    </xf>
    <xf numFmtId="166" fontId="9" fillId="0" borderId="14" xfId="3" applyNumberFormat="1" applyFont="1" applyBorder="1" applyAlignment="1">
      <alignment horizontal="center"/>
    </xf>
    <xf numFmtId="166" fontId="9" fillId="0" borderId="32" xfId="3" applyNumberFormat="1" applyFont="1" applyBorder="1" applyAlignment="1">
      <alignment horizontal="center"/>
    </xf>
    <xf numFmtId="166" fontId="9" fillId="0" borderId="14" xfId="3" applyNumberFormat="1" applyFont="1" applyBorder="1"/>
    <xf numFmtId="166" fontId="9" fillId="4" borderId="33" xfId="3" applyNumberFormat="1" applyFont="1" applyFill="1" applyBorder="1"/>
    <xf numFmtId="1" fontId="9" fillId="4" borderId="33" xfId="3" applyNumberFormat="1" applyFont="1" applyFill="1" applyBorder="1"/>
    <xf numFmtId="2" fontId="68" fillId="4" borderId="12" xfId="0" applyNumberFormat="1" applyFont="1" applyFill="1" applyBorder="1"/>
    <xf numFmtId="2" fontId="68" fillId="4" borderId="12" xfId="0" quotePrefix="1" applyNumberFormat="1" applyFont="1" applyFill="1" applyBorder="1"/>
    <xf numFmtId="2" fontId="68" fillId="4" borderId="80" xfId="0" applyNumberFormat="1" applyFont="1" applyFill="1" applyBorder="1"/>
    <xf numFmtId="2" fontId="8" fillId="0" borderId="0" xfId="3" applyNumberFormat="1" applyFont="1" applyAlignment="1">
      <alignment wrapText="1"/>
    </xf>
    <xf numFmtId="165" fontId="7" fillId="0" borderId="0" xfId="3" applyAlignment="1">
      <alignment horizontal="left"/>
    </xf>
    <xf numFmtId="2" fontId="7" fillId="0" borderId="60" xfId="3" applyNumberFormat="1" applyBorder="1" applyAlignment="1">
      <alignment horizontal="center"/>
    </xf>
    <xf numFmtId="2" fontId="40" fillId="0" borderId="26" xfId="3" applyNumberFormat="1" applyFont="1" applyBorder="1" applyAlignment="1">
      <alignment horizontal="center"/>
    </xf>
    <xf numFmtId="165" fontId="7" fillId="0" borderId="56" xfId="3" applyBorder="1" applyAlignment="1">
      <alignment horizontal="center"/>
    </xf>
    <xf numFmtId="165" fontId="9" fillId="0" borderId="1" xfId="3" applyFont="1" applyBorder="1" applyAlignment="1">
      <alignment horizontal="center" vertical="center" wrapText="1"/>
    </xf>
    <xf numFmtId="1" fontId="8" fillId="0" borderId="1" xfId="3" applyNumberFormat="1" applyFont="1" applyBorder="1"/>
    <xf numFmtId="2" fontId="35" fillId="23" borderId="1" xfId="3" applyNumberFormat="1" applyFont="1" applyFill="1" applyBorder="1" applyAlignment="1">
      <alignment horizontal="right"/>
    </xf>
    <xf numFmtId="2" fontId="9" fillId="23" borderId="21" xfId="3" applyNumberFormat="1" applyFont="1" applyFill="1" applyBorder="1" applyAlignment="1">
      <alignment horizontal="right"/>
    </xf>
    <xf numFmtId="20" fontId="9" fillId="4" borderId="17" xfId="0" applyNumberFormat="1" applyFont="1" applyFill="1" applyBorder="1" applyAlignment="1">
      <alignment horizontal="center" vertical="center" wrapText="1"/>
    </xf>
    <xf numFmtId="1" fontId="9" fillId="0" borderId="19" xfId="3" applyNumberFormat="1" applyFont="1" applyBorder="1" applyAlignment="1">
      <alignment horizontal="center"/>
    </xf>
    <xf numFmtId="165" fontId="27" fillId="4" borderId="1" xfId="3" applyFont="1" applyFill="1" applyBorder="1"/>
    <xf numFmtId="2" fontId="76" fillId="6" borderId="1" xfId="3" applyNumberFormat="1" applyFont="1" applyFill="1" applyBorder="1"/>
    <xf numFmtId="0" fontId="22" fillId="0" borderId="59" xfId="3" applyNumberFormat="1" applyFont="1" applyBorder="1" applyAlignment="1">
      <alignment vertical="top" wrapText="1"/>
    </xf>
    <xf numFmtId="166" fontId="9" fillId="0" borderId="0" xfId="3" applyNumberFormat="1" applyFont="1"/>
    <xf numFmtId="2" fontId="25" fillId="0" borderId="43" xfId="3" applyNumberFormat="1" applyFont="1" applyBorder="1" applyAlignment="1">
      <alignment horizontal="center" vertical="center"/>
    </xf>
    <xf numFmtId="2" fontId="25" fillId="0" borderId="54" xfId="3" applyNumberFormat="1" applyFont="1" applyBorder="1" applyAlignment="1">
      <alignment horizontal="center" vertical="center"/>
    </xf>
    <xf numFmtId="1" fontId="9" fillId="0" borderId="0" xfId="3" applyNumberFormat="1" applyFont="1"/>
    <xf numFmtId="2" fontId="9" fillId="0" borderId="76" xfId="6" applyNumberFormat="1" applyFont="1" applyBorder="1" applyAlignment="1">
      <alignment horizontal="center" vertical="center"/>
    </xf>
    <xf numFmtId="2" fontId="9" fillId="0" borderId="80" xfId="3" applyNumberFormat="1" applyFont="1" applyBorder="1" applyAlignment="1">
      <alignment horizontal="center" vertical="center"/>
    </xf>
    <xf numFmtId="165" fontId="9" fillId="0" borderId="1" xfId="3" applyFont="1" applyBorder="1" applyAlignment="1">
      <alignment vertical="center" wrapText="1"/>
    </xf>
    <xf numFmtId="165" fontId="9" fillId="0" borderId="0" xfId="3" applyFont="1" applyAlignment="1">
      <alignment horizontal="left"/>
    </xf>
    <xf numFmtId="165" fontId="9" fillId="0" borderId="6" xfId="3" applyFont="1" applyBorder="1" applyAlignment="1">
      <alignment horizontal="center" vertical="center" wrapText="1"/>
    </xf>
    <xf numFmtId="165" fontId="9" fillId="0" borderId="10" xfId="3" applyFont="1" applyBorder="1" applyAlignment="1">
      <alignment horizontal="center" vertical="center" wrapText="1"/>
    </xf>
    <xf numFmtId="165" fontId="9" fillId="0" borderId="4" xfId="3" applyFont="1" applyBorder="1" applyAlignment="1">
      <alignment horizontal="center"/>
    </xf>
    <xf numFmtId="165" fontId="9" fillId="0" borderId="7" xfId="3" applyFont="1" applyBorder="1" applyAlignment="1">
      <alignment horizontal="center" vertical="center" wrapText="1"/>
    </xf>
    <xf numFmtId="2" fontId="9" fillId="4" borderId="23" xfId="3" applyNumberFormat="1" applyFont="1" applyFill="1" applyBorder="1" applyAlignment="1">
      <alignment horizontal="center" vertical="center"/>
    </xf>
    <xf numFmtId="165" fontId="26" fillId="0" borderId="13" xfId="3" applyFont="1" applyBorder="1" applyAlignment="1">
      <alignment horizontal="left" vertical="center"/>
    </xf>
    <xf numFmtId="2" fontId="25" fillId="0" borderId="35" xfId="3" applyNumberFormat="1" applyFont="1" applyBorder="1" applyAlignment="1">
      <alignment horizontal="center" vertical="center"/>
    </xf>
    <xf numFmtId="2" fontId="9" fillId="7" borderId="0" xfId="3" applyNumberFormat="1" applyFont="1" applyFill="1" applyAlignment="1">
      <alignment horizontal="center" vertical="center"/>
    </xf>
    <xf numFmtId="2" fontId="25" fillId="7" borderId="0" xfId="3" applyNumberFormat="1" applyFont="1" applyFill="1" applyAlignment="1">
      <alignment horizontal="center" vertical="center"/>
    </xf>
    <xf numFmtId="166" fontId="9" fillId="7" borderId="0" xfId="3" applyNumberFormat="1" applyFont="1" applyFill="1" applyAlignment="1">
      <alignment horizontal="center" vertical="center"/>
    </xf>
    <xf numFmtId="16" fontId="8" fillId="0" borderId="1" xfId="3" applyNumberFormat="1" applyFont="1" applyBorder="1" applyAlignment="1">
      <alignment horizontal="center" vertical="center"/>
    </xf>
    <xf numFmtId="166" fontId="8" fillId="4" borderId="1" xfId="3" applyNumberFormat="1" applyFont="1" applyFill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 vertical="center"/>
    </xf>
    <xf numFmtId="1" fontId="31" fillId="0" borderId="1" xfId="3" applyNumberFormat="1" applyFont="1" applyBorder="1" applyAlignment="1">
      <alignment vertical="center" wrapText="1"/>
    </xf>
    <xf numFmtId="167" fontId="21" fillId="5" borderId="11" xfId="3" applyNumberFormat="1" applyFont="1" applyFill="1" applyBorder="1" applyAlignment="1">
      <alignment horizontal="center" vertical="center"/>
    </xf>
    <xf numFmtId="165" fontId="8" fillId="0" borderId="2" xfId="3" applyFont="1" applyBorder="1" applyAlignment="1">
      <alignment vertical="center"/>
    </xf>
    <xf numFmtId="170" fontId="8" fillId="0" borderId="1" xfId="4" applyNumberFormat="1" applyFont="1" applyBorder="1" applyAlignment="1">
      <alignment horizontal="center" vertical="center"/>
    </xf>
    <xf numFmtId="165" fontId="20" fillId="0" borderId="13" xfId="3" applyFont="1" applyBorder="1"/>
    <xf numFmtId="167" fontId="21" fillId="0" borderId="11" xfId="3" applyNumberFormat="1" applyFont="1" applyBorder="1" applyAlignment="1">
      <alignment horizontal="center" vertical="center"/>
    </xf>
    <xf numFmtId="1" fontId="31" fillId="0" borderId="51" xfId="3" applyNumberFormat="1" applyFont="1" applyBorder="1" applyAlignment="1">
      <alignment vertical="center" wrapText="1"/>
    </xf>
    <xf numFmtId="170" fontId="8" fillId="0" borderId="3" xfId="4" applyNumberFormat="1" applyFont="1" applyBorder="1" applyAlignment="1">
      <alignment horizontal="center" vertical="center"/>
    </xf>
    <xf numFmtId="4" fontId="8" fillId="0" borderId="10" xfId="3" applyNumberFormat="1" applyFont="1" applyBorder="1" applyAlignment="1">
      <alignment horizontal="center" vertical="center"/>
    </xf>
    <xf numFmtId="171" fontId="8" fillId="0" borderId="10" xfId="3" applyNumberFormat="1" applyFont="1" applyBorder="1" applyAlignment="1">
      <alignment horizontal="center" vertical="center"/>
    </xf>
    <xf numFmtId="2" fontId="8" fillId="0" borderId="10" xfId="3" applyNumberFormat="1" applyFont="1" applyBorder="1" applyAlignment="1">
      <alignment horizontal="center" vertical="center"/>
    </xf>
    <xf numFmtId="170" fontId="8" fillId="0" borderId="10" xfId="4" applyNumberFormat="1" applyFont="1" applyBorder="1" applyAlignment="1">
      <alignment horizontal="center" vertical="center"/>
    </xf>
    <xf numFmtId="2" fontId="31" fillId="0" borderId="1" xfId="4" applyNumberFormat="1" applyFont="1" applyFill="1" applyBorder="1" applyAlignment="1">
      <alignment horizontal="center" vertical="center"/>
    </xf>
    <xf numFmtId="2" fontId="31" fillId="0" borderId="1" xfId="4" applyNumberFormat="1" applyFont="1" applyBorder="1" applyAlignment="1">
      <alignment horizontal="center" vertical="center"/>
    </xf>
    <xf numFmtId="166" fontId="8" fillId="0" borderId="1" xfId="3" applyNumberFormat="1" applyFont="1" applyBorder="1" applyAlignment="1">
      <alignment horizontal="center"/>
    </xf>
    <xf numFmtId="2" fontId="9" fillId="0" borderId="1" xfId="3" applyNumberFormat="1" applyFont="1" applyBorder="1" applyAlignment="1">
      <alignment horizontal="left" vertical="center"/>
    </xf>
    <xf numFmtId="165" fontId="27" fillId="0" borderId="13" xfId="3" applyFont="1" applyBorder="1" applyAlignment="1">
      <alignment vertical="center"/>
    </xf>
    <xf numFmtId="170" fontId="9" fillId="23" borderId="1" xfId="3" applyNumberFormat="1" applyFont="1" applyFill="1" applyBorder="1" applyAlignment="1">
      <alignment horizontal="right"/>
    </xf>
    <xf numFmtId="165" fontId="26" fillId="0" borderId="13" xfId="3" applyFont="1" applyBorder="1" applyAlignment="1">
      <alignment horizontal="center" vertical="center"/>
    </xf>
    <xf numFmtId="165" fontId="9" fillId="0" borderId="18" xfId="3" applyFont="1" applyBorder="1"/>
    <xf numFmtId="2" fontId="9" fillId="0" borderId="10" xfId="3" applyNumberFormat="1" applyFont="1" applyBorder="1" applyAlignment="1">
      <alignment horizontal="center" vertical="center"/>
    </xf>
    <xf numFmtId="2" fontId="9" fillId="4" borderId="18" xfId="3" applyNumberFormat="1" applyFont="1" applyFill="1" applyBorder="1" applyAlignment="1">
      <alignment horizontal="center" vertical="center"/>
    </xf>
    <xf numFmtId="2" fontId="31" fillId="0" borderId="1" xfId="3" applyNumberFormat="1" applyFont="1" applyBorder="1" applyAlignment="1">
      <alignment horizontal="center" vertical="center"/>
    </xf>
    <xf numFmtId="2" fontId="9" fillId="4" borderId="1" xfId="3" applyNumberFormat="1" applyFont="1" applyFill="1" applyBorder="1" applyAlignment="1">
      <alignment horizontal="center" vertical="center"/>
    </xf>
    <xf numFmtId="165" fontId="27" fillId="0" borderId="1" xfId="3" applyFont="1" applyBorder="1" applyAlignment="1">
      <alignment vertical="center"/>
    </xf>
    <xf numFmtId="166" fontId="21" fillId="4" borderId="1" xfId="3" applyNumberFormat="1" applyFont="1" applyFill="1" applyBorder="1" applyAlignment="1">
      <alignment horizontal="center" vertical="center"/>
    </xf>
    <xf numFmtId="167" fontId="8" fillId="0" borderId="1" xfId="3" applyNumberFormat="1" applyFont="1" applyBorder="1" applyAlignment="1">
      <alignment horizontal="center" vertical="center"/>
    </xf>
    <xf numFmtId="166" fontId="8" fillId="7" borderId="1" xfId="3" applyNumberFormat="1" applyFont="1" applyFill="1" applyBorder="1" applyAlignment="1">
      <alignment horizontal="center" vertical="center"/>
    </xf>
    <xf numFmtId="167" fontId="8" fillId="0" borderId="11" xfId="3" applyNumberFormat="1" applyFont="1" applyBorder="1" applyAlignment="1">
      <alignment horizontal="center"/>
    </xf>
    <xf numFmtId="165" fontId="13" fillId="4" borderId="0" xfId="3" applyFont="1" applyFill="1" applyAlignment="1">
      <alignment horizontal="center" vertical="center"/>
    </xf>
    <xf numFmtId="165" fontId="13" fillId="4" borderId="25" xfId="3" applyFont="1" applyFill="1" applyBorder="1" applyAlignment="1">
      <alignment horizontal="center" vertical="center"/>
    </xf>
    <xf numFmtId="165" fontId="13" fillId="4" borderId="26" xfId="3" applyFont="1" applyFill="1" applyBorder="1" applyAlignment="1">
      <alignment horizontal="center" vertical="center"/>
    </xf>
    <xf numFmtId="165" fontId="13" fillId="4" borderId="75" xfId="3" applyFont="1" applyFill="1" applyBorder="1" applyAlignment="1">
      <alignment horizontal="center" vertical="center"/>
    </xf>
    <xf numFmtId="165" fontId="13" fillId="4" borderId="63" xfId="3" applyFont="1" applyFill="1" applyBorder="1" applyAlignment="1">
      <alignment horizontal="center" vertical="center"/>
    </xf>
    <xf numFmtId="165" fontId="13" fillId="4" borderId="4" xfId="3" applyFont="1" applyFill="1" applyBorder="1" applyAlignment="1">
      <alignment horizontal="center" vertical="center"/>
    </xf>
    <xf numFmtId="1" fontId="9" fillId="4" borderId="34" xfId="3" applyNumberFormat="1" applyFont="1" applyFill="1" applyBorder="1"/>
    <xf numFmtId="166" fontId="9" fillId="4" borderId="34" xfId="3" applyNumberFormat="1" applyFont="1" applyFill="1" applyBorder="1"/>
    <xf numFmtId="165" fontId="78" fillId="0" borderId="31" xfId="3" applyFont="1" applyBorder="1"/>
    <xf numFmtId="1" fontId="9" fillId="0" borderId="32" xfId="3" applyNumberFormat="1" applyFont="1" applyBorder="1" applyAlignment="1">
      <alignment horizontal="right"/>
    </xf>
    <xf numFmtId="166" fontId="9" fillId="0" borderId="32" xfId="3" applyNumberFormat="1" applyFont="1" applyBorder="1"/>
    <xf numFmtId="166" fontId="8" fillId="0" borderId="36" xfId="3" applyNumberFormat="1" applyFont="1" applyBorder="1"/>
    <xf numFmtId="165" fontId="81" fillId="0" borderId="52" xfId="3" applyFont="1" applyBorder="1"/>
    <xf numFmtId="165" fontId="82" fillId="0" borderId="52" xfId="3" applyFont="1" applyBorder="1"/>
    <xf numFmtId="170" fontId="7" fillId="0" borderId="0" xfId="3" applyNumberFormat="1" applyAlignment="1">
      <alignment horizontal="right"/>
    </xf>
    <xf numFmtId="165" fontId="83" fillId="0" borderId="31" xfId="3" applyFont="1" applyBorder="1"/>
    <xf numFmtId="165" fontId="84" fillId="0" borderId="31" xfId="3" applyFont="1" applyBorder="1"/>
    <xf numFmtId="166" fontId="8" fillId="0" borderId="0" xfId="3" applyNumberFormat="1" applyFont="1" applyAlignment="1">
      <alignment horizontal="center" vertical="center"/>
    </xf>
    <xf numFmtId="166" fontId="9" fillId="26" borderId="63" xfId="3" applyNumberFormat="1" applyFont="1" applyFill="1" applyBorder="1" applyAlignment="1">
      <alignment horizontal="center"/>
    </xf>
    <xf numFmtId="0" fontId="9" fillId="0" borderId="0" xfId="3" applyNumberFormat="1" applyFont="1" applyAlignment="1">
      <alignment horizontal="center"/>
    </xf>
    <xf numFmtId="0" fontId="22" fillId="0" borderId="1" xfId="3" applyNumberFormat="1" applyFont="1" applyBorder="1" applyAlignment="1">
      <alignment vertical="top" wrapText="1"/>
    </xf>
    <xf numFmtId="165" fontId="8" fillId="0" borderId="0" xfId="3" applyFont="1" applyAlignment="1">
      <alignment horizontal="left" vertical="center"/>
    </xf>
    <xf numFmtId="165" fontId="8" fillId="23" borderId="2" xfId="3" applyFont="1" applyFill="1" applyBorder="1" applyAlignment="1">
      <alignment vertical="center"/>
    </xf>
    <xf numFmtId="165" fontId="9" fillId="0" borderId="81" xfId="3" applyFont="1" applyBorder="1" applyAlignment="1">
      <alignment vertical="center" wrapText="1"/>
    </xf>
    <xf numFmtId="165" fontId="9" fillId="0" borderId="40" xfId="3" applyFont="1" applyBorder="1" applyAlignment="1">
      <alignment horizontal="center" vertical="center" wrapText="1"/>
    </xf>
    <xf numFmtId="16" fontId="8" fillId="0" borderId="39" xfId="3" applyNumberFormat="1" applyFont="1" applyBorder="1" applyAlignment="1">
      <alignment horizontal="center" vertical="center"/>
    </xf>
    <xf numFmtId="4" fontId="8" fillId="0" borderId="39" xfId="3" applyNumberFormat="1" applyFont="1" applyBorder="1" applyAlignment="1">
      <alignment horizontal="center" vertical="center"/>
    </xf>
    <xf numFmtId="171" fontId="8" fillId="0" borderId="39" xfId="3" applyNumberFormat="1" applyFont="1" applyBorder="1" applyAlignment="1">
      <alignment horizontal="center" vertical="center"/>
    </xf>
    <xf numFmtId="2" fontId="8" fillId="0" borderId="39" xfId="3" applyNumberFormat="1" applyFont="1" applyBorder="1" applyAlignment="1">
      <alignment horizontal="center" vertical="center"/>
    </xf>
    <xf numFmtId="4" fontId="8" fillId="0" borderId="62" xfId="3" applyNumberFormat="1" applyFont="1" applyBorder="1" applyAlignment="1">
      <alignment horizontal="center" vertical="center"/>
    </xf>
    <xf numFmtId="2" fontId="31" fillId="0" borderId="39" xfId="4" applyNumberFormat="1" applyFont="1" applyFill="1" applyBorder="1" applyAlignment="1">
      <alignment horizontal="center" vertical="center"/>
    </xf>
    <xf numFmtId="170" fontId="8" fillId="0" borderId="79" xfId="4" applyNumberFormat="1" applyFont="1" applyFill="1" applyBorder="1" applyAlignment="1">
      <alignment horizontal="center" vertical="center"/>
    </xf>
    <xf numFmtId="16" fontId="9" fillId="0" borderId="76" xfId="3" applyNumberFormat="1" applyFont="1" applyBorder="1" applyAlignment="1">
      <alignment horizontal="center" vertical="center"/>
    </xf>
    <xf numFmtId="4" fontId="8" fillId="0" borderId="76" xfId="3" applyNumberFormat="1" applyFont="1" applyBorder="1" applyAlignment="1">
      <alignment horizontal="center" vertical="center"/>
    </xf>
    <xf numFmtId="171" fontId="8" fillId="0" borderId="76" xfId="3" applyNumberFormat="1" applyFont="1" applyBorder="1" applyAlignment="1">
      <alignment horizontal="center" vertical="center"/>
    </xf>
    <xf numFmtId="2" fontId="8" fillId="0" borderId="76" xfId="3" applyNumberFormat="1" applyFont="1" applyBorder="1" applyAlignment="1">
      <alignment horizontal="center" vertical="center"/>
    </xf>
    <xf numFmtId="4" fontId="8" fillId="0" borderId="80" xfId="3" applyNumberFormat="1" applyFont="1" applyBorder="1" applyAlignment="1">
      <alignment horizontal="center" vertical="center"/>
    </xf>
    <xf numFmtId="2" fontId="31" fillId="0" borderId="76" xfId="4" applyNumberFormat="1" applyFont="1" applyFill="1" applyBorder="1" applyAlignment="1">
      <alignment horizontal="center" vertical="center"/>
    </xf>
    <xf numFmtId="170" fontId="8" fillId="0" borderId="9" xfId="4" applyNumberFormat="1" applyFont="1" applyFill="1" applyBorder="1" applyAlignment="1">
      <alignment horizontal="center" vertical="center"/>
    </xf>
    <xf numFmtId="165" fontId="85" fillId="0" borderId="38" xfId="3" applyFont="1" applyBorder="1" applyAlignment="1">
      <alignment horizontal="center" vertical="center"/>
    </xf>
    <xf numFmtId="2" fontId="31" fillId="0" borderId="62" xfId="4" applyNumberFormat="1" applyFont="1" applyFill="1" applyBorder="1" applyAlignment="1">
      <alignment horizontal="center" vertical="center"/>
    </xf>
    <xf numFmtId="2" fontId="9" fillId="0" borderId="39" xfId="3" applyNumberFormat="1" applyFont="1" applyBorder="1" applyAlignment="1">
      <alignment horizontal="center" vertical="center"/>
    </xf>
    <xf numFmtId="2" fontId="79" fillId="0" borderId="39" xfId="3" applyNumberFormat="1" applyFont="1" applyBorder="1" applyAlignment="1">
      <alignment horizontal="center" vertical="center"/>
    </xf>
    <xf numFmtId="16" fontId="9" fillId="0" borderId="84" xfId="3" applyNumberFormat="1" applyFont="1" applyBorder="1" applyAlignment="1">
      <alignment horizontal="center" vertical="center"/>
    </xf>
    <xf numFmtId="4" fontId="8" fillId="0" borderId="84" xfId="3" applyNumberFormat="1" applyFont="1" applyBorder="1" applyAlignment="1">
      <alignment horizontal="center" vertical="center"/>
    </xf>
    <xf numFmtId="171" fontId="8" fillId="0" borderId="84" xfId="3" applyNumberFormat="1" applyFont="1" applyBorder="1" applyAlignment="1">
      <alignment horizontal="center" vertical="center"/>
    </xf>
    <xf numFmtId="2" fontId="8" fillId="0" borderId="84" xfId="3" applyNumberFormat="1" applyFont="1" applyBorder="1" applyAlignment="1">
      <alignment horizontal="center" vertical="center"/>
    </xf>
    <xf numFmtId="4" fontId="8" fillId="0" borderId="85" xfId="3" applyNumberFormat="1" applyFont="1" applyBorder="1" applyAlignment="1">
      <alignment horizontal="center" vertical="center"/>
    </xf>
    <xf numFmtId="2" fontId="31" fillId="0" borderId="84" xfId="4" applyNumberFormat="1" applyFont="1" applyFill="1" applyBorder="1" applyAlignment="1">
      <alignment horizontal="center" vertical="center"/>
    </xf>
    <xf numFmtId="2" fontId="31" fillId="0" borderId="85" xfId="4" applyNumberFormat="1" applyFont="1" applyFill="1" applyBorder="1" applyAlignment="1">
      <alignment horizontal="center" vertical="center"/>
    </xf>
    <xf numFmtId="2" fontId="9" fillId="4" borderId="84" xfId="3" applyNumberFormat="1" applyFont="1" applyFill="1" applyBorder="1" applyAlignment="1">
      <alignment horizontal="center" vertical="center"/>
    </xf>
    <xf numFmtId="170" fontId="8" fillId="0" borderId="86" xfId="4" applyNumberFormat="1" applyFont="1" applyFill="1" applyBorder="1" applyAlignment="1">
      <alignment horizontal="center" vertical="center"/>
    </xf>
    <xf numFmtId="2" fontId="31" fillId="0" borderId="80" xfId="4" applyNumberFormat="1" applyFont="1" applyFill="1" applyBorder="1" applyAlignment="1">
      <alignment horizontal="center" vertical="center"/>
    </xf>
    <xf numFmtId="2" fontId="9" fillId="0" borderId="76" xfId="3" applyNumberFormat="1" applyFont="1" applyBorder="1" applyAlignment="1">
      <alignment horizontal="center" vertical="center"/>
    </xf>
    <xf numFmtId="2" fontId="79" fillId="0" borderId="76" xfId="3" applyNumberFormat="1" applyFont="1" applyBorder="1" applyAlignment="1">
      <alignment horizontal="center" vertical="center"/>
    </xf>
    <xf numFmtId="165" fontId="86" fillId="0" borderId="88" xfId="3" applyFont="1" applyBorder="1" applyAlignment="1">
      <alignment horizontal="center" vertical="center"/>
    </xf>
    <xf numFmtId="165" fontId="9" fillId="0" borderId="87" xfId="3" applyFont="1" applyBorder="1" applyAlignment="1">
      <alignment horizontal="center" vertical="center" wrapText="1"/>
    </xf>
    <xf numFmtId="165" fontId="9" fillId="0" borderId="18" xfId="3" applyFont="1" applyBorder="1" applyAlignment="1">
      <alignment horizontal="center" vertical="center" wrapText="1"/>
    </xf>
    <xf numFmtId="165" fontId="20" fillId="0" borderId="13" xfId="3" applyFont="1" applyBorder="1" applyAlignment="1">
      <alignment horizontal="center" vertical="center"/>
    </xf>
    <xf numFmtId="2" fontId="79" fillId="0" borderId="84" xfId="3" applyNumberFormat="1" applyFont="1" applyBorder="1" applyAlignment="1">
      <alignment horizontal="center" vertical="center"/>
    </xf>
    <xf numFmtId="2" fontId="31" fillId="0" borderId="84" xfId="4" applyNumberFormat="1" applyFont="1" applyBorder="1" applyAlignment="1">
      <alignment horizontal="center" vertical="center"/>
    </xf>
    <xf numFmtId="170" fontId="9" fillId="0" borderId="86" xfId="4" applyNumberFormat="1" applyFont="1" applyFill="1" applyBorder="1" applyAlignment="1">
      <alignment horizontal="center" vertical="center"/>
    </xf>
    <xf numFmtId="4" fontId="8" fillId="0" borderId="0" xfId="3" applyNumberFormat="1" applyFont="1" applyAlignment="1">
      <alignment horizontal="center" vertical="center"/>
    </xf>
    <xf numFmtId="171" fontId="8" fillId="0" borderId="0" xfId="3" applyNumberFormat="1" applyFont="1" applyAlignment="1">
      <alignment horizontal="center" vertical="center"/>
    </xf>
    <xf numFmtId="2" fontId="8" fillId="0" borderId="0" xfId="3" applyNumberFormat="1" applyFont="1" applyAlignment="1">
      <alignment horizontal="center" vertical="center"/>
    </xf>
    <xf numFmtId="2" fontId="31" fillId="0" borderId="0" xfId="4" applyNumberFormat="1" applyFont="1" applyFill="1" applyBorder="1" applyAlignment="1">
      <alignment horizontal="center" vertical="center"/>
    </xf>
    <xf numFmtId="170" fontId="8" fillId="0" borderId="0" xfId="4" applyNumberFormat="1" applyFont="1" applyFill="1" applyBorder="1" applyAlignment="1">
      <alignment horizontal="center" vertical="center"/>
    </xf>
    <xf numFmtId="2" fontId="79" fillId="0" borderId="0" xfId="3" applyNumberFormat="1" applyFont="1" applyAlignment="1">
      <alignment horizontal="center" vertical="center"/>
    </xf>
    <xf numFmtId="165" fontId="27" fillId="0" borderId="0" xfId="3" applyFont="1" applyAlignment="1">
      <alignment horizontal="center" vertical="center"/>
    </xf>
    <xf numFmtId="165" fontId="10" fillId="3" borderId="1" xfId="3" applyFont="1" applyFill="1" applyBorder="1"/>
    <xf numFmtId="166" fontId="10" fillId="3" borderId="1" xfId="3" applyNumberFormat="1" applyFont="1" applyFill="1" applyBorder="1"/>
    <xf numFmtId="166" fontId="10" fillId="3" borderId="2" xfId="3" applyNumberFormat="1" applyFont="1" applyFill="1" applyBorder="1"/>
    <xf numFmtId="1" fontId="10" fillId="3" borderId="1" xfId="3" applyNumberFormat="1" applyFont="1" applyFill="1" applyBorder="1" applyAlignment="1">
      <alignment horizontal="center"/>
    </xf>
    <xf numFmtId="166" fontId="10" fillId="3" borderId="14" xfId="3" applyNumberFormat="1" applyFont="1" applyFill="1" applyBorder="1"/>
    <xf numFmtId="166" fontId="10" fillId="0" borderId="0" xfId="3" applyNumberFormat="1" applyFont="1" applyAlignment="1">
      <alignment vertical="center"/>
    </xf>
    <xf numFmtId="20" fontId="9" fillId="4" borderId="17" xfId="3" applyNumberFormat="1" applyFont="1" applyFill="1" applyBorder="1" applyAlignment="1">
      <alignment horizontal="center" vertical="center" wrapText="1"/>
    </xf>
    <xf numFmtId="20" fontId="9" fillId="4" borderId="18" xfId="3" applyNumberFormat="1" applyFont="1" applyFill="1" applyBorder="1" applyAlignment="1">
      <alignment horizontal="center" vertical="center" wrapText="1"/>
    </xf>
    <xf numFmtId="169" fontId="34" fillId="0" borderId="41" xfId="3" applyNumberFormat="1" applyFont="1" applyBorder="1" applyAlignment="1">
      <alignment horizontal="center" vertical="center"/>
    </xf>
    <xf numFmtId="2" fontId="9" fillId="0" borderId="84" xfId="3" applyNumberFormat="1" applyFont="1" applyBorder="1" applyAlignment="1">
      <alignment horizontal="center" vertical="center"/>
    </xf>
    <xf numFmtId="2" fontId="40" fillId="0" borderId="1" xfId="3" applyNumberFormat="1" applyFont="1" applyBorder="1" applyAlignment="1">
      <alignment horizontal="right"/>
    </xf>
    <xf numFmtId="165" fontId="9" fillId="0" borderId="27" xfId="3" applyFont="1" applyBorder="1" applyAlignment="1">
      <alignment vertical="center" wrapText="1"/>
    </xf>
    <xf numFmtId="16" fontId="9" fillId="0" borderId="86" xfId="3" applyNumberFormat="1" applyFont="1" applyBorder="1" applyAlignment="1">
      <alignment horizontal="center" vertical="center"/>
    </xf>
    <xf numFmtId="165" fontId="20" fillId="0" borderId="18" xfId="3" applyFont="1" applyBorder="1" applyAlignment="1">
      <alignment horizontal="center" vertical="center"/>
    </xf>
    <xf numFmtId="165" fontId="87" fillId="0" borderId="18" xfId="3" applyFont="1" applyBorder="1" applyAlignment="1">
      <alignment horizontal="center" vertical="center"/>
    </xf>
    <xf numFmtId="166" fontId="79" fillId="7" borderId="1" xfId="3" applyNumberFormat="1" applyFont="1" applyFill="1" applyBorder="1" applyAlignment="1">
      <alignment horizontal="center" vertical="center"/>
    </xf>
    <xf numFmtId="4" fontId="21" fillId="0" borderId="89" xfId="3" applyNumberFormat="1" applyFont="1" applyBorder="1" applyAlignment="1">
      <alignment horizontal="center"/>
    </xf>
    <xf numFmtId="166" fontId="9" fillId="23" borderId="1" xfId="3" applyNumberFormat="1" applyFont="1" applyFill="1" applyBorder="1" applyAlignment="1">
      <alignment horizontal="center" vertical="center"/>
    </xf>
    <xf numFmtId="2" fontId="9" fillId="23" borderId="1" xfId="3" applyNumberFormat="1" applyFont="1" applyFill="1" applyBorder="1" applyAlignment="1">
      <alignment horizontal="center" vertical="center"/>
    </xf>
    <xf numFmtId="165" fontId="80" fillId="0" borderId="18" xfId="3" applyFont="1" applyBorder="1" applyAlignment="1">
      <alignment horizontal="center" vertical="center"/>
    </xf>
    <xf numFmtId="167" fontId="21" fillId="4" borderId="11" xfId="3" applyNumberFormat="1" applyFont="1" applyFill="1" applyBorder="1" applyAlignment="1">
      <alignment horizontal="center" vertical="center"/>
    </xf>
    <xf numFmtId="16" fontId="8" fillId="4" borderId="1" xfId="3" applyNumberFormat="1" applyFont="1" applyFill="1" applyBorder="1" applyAlignment="1">
      <alignment horizontal="center" vertical="center"/>
    </xf>
    <xf numFmtId="166" fontId="9" fillId="4" borderId="1" xfId="3" applyNumberFormat="1" applyFont="1" applyFill="1" applyBorder="1" applyAlignment="1">
      <alignment horizontal="center" vertical="center"/>
    </xf>
    <xf numFmtId="165" fontId="79" fillId="0" borderId="18" xfId="3" applyFont="1" applyBorder="1" applyAlignment="1">
      <alignment horizontal="center" vertical="center"/>
    </xf>
    <xf numFmtId="165" fontId="85" fillId="0" borderId="18" xfId="3" applyFont="1" applyBorder="1" applyAlignment="1">
      <alignment horizontal="center" vertical="center"/>
    </xf>
    <xf numFmtId="165" fontId="9" fillId="0" borderId="13" xfId="3" applyFont="1" applyBorder="1" applyAlignment="1">
      <alignment horizontal="left"/>
    </xf>
    <xf numFmtId="2" fontId="9" fillId="0" borderId="14" xfId="3" applyNumberFormat="1" applyFont="1" applyBorder="1" applyAlignment="1">
      <alignment horizontal="right"/>
    </xf>
    <xf numFmtId="2" fontId="9" fillId="0" borderId="32" xfId="3" applyNumberFormat="1" applyFont="1" applyBorder="1"/>
    <xf numFmtId="2" fontId="9" fillId="4" borderId="34" xfId="3" applyNumberFormat="1" applyFont="1" applyFill="1" applyBorder="1"/>
    <xf numFmtId="165" fontId="9" fillId="0" borderId="23" xfId="3" applyFont="1" applyBorder="1" applyAlignment="1">
      <alignment horizontal="center" vertical="center"/>
    </xf>
    <xf numFmtId="165" fontId="9" fillId="0" borderId="34" xfId="3" applyFont="1" applyBorder="1" applyAlignment="1">
      <alignment horizontal="center" vertical="center"/>
    </xf>
    <xf numFmtId="165" fontId="9" fillId="0" borderId="46" xfId="3" applyFont="1" applyBorder="1" applyAlignment="1">
      <alignment horizontal="center" vertical="center"/>
    </xf>
    <xf numFmtId="165" fontId="9" fillId="0" borderId="47" xfId="3" applyFont="1" applyBorder="1" applyAlignment="1">
      <alignment horizontal="center" vertical="center"/>
    </xf>
    <xf numFmtId="165" fontId="9" fillId="0" borderId="48" xfId="3" applyFont="1" applyBorder="1" applyAlignment="1">
      <alignment horizontal="center" vertical="center"/>
    </xf>
    <xf numFmtId="165" fontId="9" fillId="0" borderId="49" xfId="3" applyFont="1" applyBorder="1" applyAlignment="1">
      <alignment horizontal="center" vertical="center"/>
    </xf>
    <xf numFmtId="165" fontId="9" fillId="0" borderId="25" xfId="3" applyFont="1" applyBorder="1" applyAlignment="1">
      <alignment horizontal="center" vertical="center" wrapText="1"/>
    </xf>
    <xf numFmtId="165" fontId="9" fillId="0" borderId="75" xfId="3" applyFont="1" applyBorder="1" applyAlignment="1">
      <alignment horizontal="center" vertical="center" wrapText="1"/>
    </xf>
    <xf numFmtId="165" fontId="9" fillId="0" borderId="23" xfId="3" applyFont="1" applyBorder="1" applyAlignment="1">
      <alignment horizontal="center" vertical="center" wrapText="1"/>
    </xf>
    <xf numFmtId="165" fontId="9" fillId="0" borderId="27" xfId="3" applyFont="1" applyBorder="1" applyAlignment="1">
      <alignment horizontal="center" vertical="center" wrapText="1"/>
    </xf>
    <xf numFmtId="165" fontId="9" fillId="0" borderId="5" xfId="3" applyFont="1" applyBorder="1" applyAlignment="1">
      <alignment horizontal="center" vertical="center" wrapText="1"/>
    </xf>
    <xf numFmtId="165" fontId="9" fillId="0" borderId="38" xfId="3" applyFont="1" applyBorder="1" applyAlignment="1">
      <alignment horizontal="center" vertical="center" wrapText="1"/>
    </xf>
    <xf numFmtId="165" fontId="9" fillId="0" borderId="8" xfId="3" applyFont="1" applyBorder="1" applyAlignment="1">
      <alignment horizontal="center" vertical="center" wrapText="1"/>
    </xf>
    <xf numFmtId="165" fontId="9" fillId="0" borderId="40" xfId="3" applyFont="1" applyBorder="1" applyAlignment="1">
      <alignment horizontal="center" vertical="center" wrapText="1"/>
    </xf>
    <xf numFmtId="165" fontId="9" fillId="0" borderId="7" xfId="3" applyFont="1" applyBorder="1" applyAlignment="1">
      <alignment horizontal="center" vertical="center" wrapText="1"/>
    </xf>
    <xf numFmtId="165" fontId="9" fillId="0" borderId="62" xfId="3" applyFont="1" applyBorder="1" applyAlignment="1">
      <alignment horizontal="center" vertical="center" wrapText="1"/>
    </xf>
    <xf numFmtId="166" fontId="9" fillId="27" borderId="83" xfId="3" applyNumberFormat="1" applyFont="1" applyFill="1" applyBorder="1" applyAlignment="1">
      <alignment horizontal="center" vertical="center"/>
    </xf>
    <xf numFmtId="166" fontId="9" fillId="27" borderId="19" xfId="3" applyNumberFormat="1" applyFont="1" applyFill="1" applyBorder="1" applyAlignment="1">
      <alignment horizontal="center" vertical="center"/>
    </xf>
    <xf numFmtId="165" fontId="9" fillId="0" borderId="34" xfId="3" applyFont="1" applyBorder="1" applyAlignment="1">
      <alignment horizontal="center" vertical="center" wrapText="1"/>
    </xf>
    <xf numFmtId="168" fontId="9" fillId="0" borderId="78" xfId="3" applyNumberFormat="1" applyFont="1" applyBorder="1" applyAlignment="1">
      <alignment horizontal="center" vertical="center" wrapText="1"/>
    </xf>
    <xf numFmtId="168" fontId="9" fillId="0" borderId="79" xfId="3" applyNumberFormat="1" applyFont="1" applyBorder="1" applyAlignment="1">
      <alignment horizontal="center" vertical="center" wrapText="1"/>
    </xf>
    <xf numFmtId="165" fontId="9" fillId="0" borderId="6" xfId="3" applyFont="1" applyBorder="1" applyAlignment="1">
      <alignment horizontal="center" vertical="center" wrapText="1"/>
    </xf>
    <xf numFmtId="165" fontId="9" fillId="0" borderId="39" xfId="3" applyFont="1" applyBorder="1" applyAlignment="1">
      <alignment horizontal="center" vertical="center" wrapText="1"/>
    </xf>
    <xf numFmtId="165" fontId="80" fillId="0" borderId="23" xfId="3" applyFont="1" applyBorder="1" applyAlignment="1">
      <alignment horizontal="center" vertical="center"/>
    </xf>
    <xf numFmtId="165" fontId="80" fillId="0" borderId="27" xfId="3" applyFont="1" applyBorder="1" applyAlignment="1">
      <alignment horizontal="center" vertical="center"/>
    </xf>
    <xf numFmtId="165" fontId="80" fillId="0" borderId="35" xfId="3" applyFont="1" applyBorder="1" applyAlignment="1">
      <alignment horizontal="center" vertical="center"/>
    </xf>
    <xf numFmtId="166" fontId="8" fillId="0" borderId="25" xfId="3" applyNumberFormat="1" applyFont="1" applyBorder="1" applyAlignment="1">
      <alignment horizontal="center" vertical="center"/>
    </xf>
    <xf numFmtId="166" fontId="8" fillId="0" borderId="26" xfId="3" applyNumberFormat="1" applyFont="1" applyBorder="1" applyAlignment="1">
      <alignment horizontal="center" vertical="center"/>
    </xf>
    <xf numFmtId="166" fontId="8" fillId="0" borderId="28" xfId="3" applyNumberFormat="1" applyFont="1" applyBorder="1" applyAlignment="1">
      <alignment horizontal="center" vertical="center"/>
    </xf>
    <xf numFmtId="166" fontId="8" fillId="0" borderId="24" xfId="3" applyNumberFormat="1" applyFont="1" applyBorder="1" applyAlignment="1">
      <alignment horizontal="center" vertical="center"/>
    </xf>
    <xf numFmtId="2" fontId="31" fillId="24" borderId="1" xfId="3" applyNumberFormat="1" applyFont="1" applyFill="1" applyBorder="1" applyAlignment="1">
      <alignment horizontal="center"/>
    </xf>
    <xf numFmtId="165" fontId="9" fillId="25" borderId="16" xfId="3" applyFont="1" applyFill="1" applyBorder="1" applyAlignment="1">
      <alignment horizontal="center"/>
    </xf>
    <xf numFmtId="165" fontId="9" fillId="25" borderId="19" xfId="3" applyFont="1" applyFill="1" applyBorder="1" applyAlignment="1">
      <alignment horizontal="center"/>
    </xf>
    <xf numFmtId="166" fontId="8" fillId="0" borderId="29" xfId="3" applyNumberFormat="1" applyFont="1" applyBorder="1" applyAlignment="1">
      <alignment horizontal="center" vertical="center"/>
    </xf>
    <xf numFmtId="166" fontId="8" fillId="0" borderId="30" xfId="3" applyNumberFormat="1" applyFont="1" applyBorder="1" applyAlignment="1">
      <alignment horizontal="center" vertical="center"/>
    </xf>
    <xf numFmtId="166" fontId="8" fillId="0" borderId="75" xfId="3" applyNumberFormat="1" applyFont="1" applyBorder="1" applyAlignment="1">
      <alignment horizontal="center" vertical="center"/>
    </xf>
    <xf numFmtId="166" fontId="8" fillId="0" borderId="63" xfId="3" applyNumberFormat="1" applyFont="1" applyBorder="1" applyAlignment="1">
      <alignment horizontal="center" vertical="center"/>
    </xf>
    <xf numFmtId="165" fontId="9" fillId="0" borderId="4" xfId="3" applyFont="1" applyBorder="1" applyAlignment="1">
      <alignment horizontal="center"/>
    </xf>
    <xf numFmtId="165" fontId="9" fillId="0" borderId="83" xfId="3" applyFont="1" applyBorder="1" applyAlignment="1">
      <alignment horizontal="center" wrapText="1"/>
    </xf>
    <xf numFmtId="165" fontId="9" fillId="0" borderId="19" xfId="3" applyFont="1" applyBorder="1" applyAlignment="1">
      <alignment horizontal="center" wrapText="1"/>
    </xf>
    <xf numFmtId="165" fontId="80" fillId="0" borderId="34" xfId="3" applyFont="1" applyBorder="1" applyAlignment="1">
      <alignment horizontal="center" vertical="center"/>
    </xf>
    <xf numFmtId="166" fontId="8" fillId="0" borderId="0" xfId="3" applyNumberFormat="1" applyFont="1" applyAlignment="1">
      <alignment horizontal="center" vertical="center"/>
    </xf>
    <xf numFmtId="166" fontId="8" fillId="0" borderId="68" xfId="3" applyNumberFormat="1" applyFont="1" applyBorder="1" applyAlignment="1">
      <alignment horizontal="center" vertical="center"/>
    </xf>
    <xf numFmtId="166" fontId="8" fillId="0" borderId="74" xfId="3" applyNumberFormat="1" applyFont="1" applyBorder="1" applyAlignment="1">
      <alignment horizontal="center" vertical="center"/>
    </xf>
    <xf numFmtId="165" fontId="9" fillId="0" borderId="14" xfId="3" applyFont="1" applyBorder="1" applyAlignment="1">
      <alignment horizontal="center" vertical="center" wrapText="1"/>
    </xf>
    <xf numFmtId="165" fontId="9" fillId="0" borderId="10" xfId="3" applyFont="1" applyBorder="1" applyAlignment="1">
      <alignment horizontal="center" vertical="center" wrapText="1"/>
    </xf>
    <xf numFmtId="165" fontId="9" fillId="0" borderId="0" xfId="3" applyFont="1" applyAlignment="1">
      <alignment horizontal="left"/>
    </xf>
    <xf numFmtId="165" fontId="9" fillId="0" borderId="50" xfId="3" applyFont="1" applyBorder="1" applyAlignment="1">
      <alignment horizontal="center" vertical="center" wrapText="1"/>
    </xf>
    <xf numFmtId="165" fontId="9" fillId="7" borderId="6" xfId="3" applyFont="1" applyFill="1" applyBorder="1" applyAlignment="1">
      <alignment horizontal="center" vertical="center" wrapText="1"/>
    </xf>
    <xf numFmtId="165" fontId="9" fillId="7" borderId="10" xfId="3" applyFont="1" applyFill="1" applyBorder="1" applyAlignment="1">
      <alignment horizontal="center" vertical="center" wrapText="1"/>
    </xf>
    <xf numFmtId="165" fontId="5" fillId="2" borderId="6" xfId="2" applyNumberFormat="1" applyBorder="1" applyAlignment="1">
      <alignment horizontal="center" vertical="center" wrapText="1"/>
    </xf>
    <xf numFmtId="165" fontId="5" fillId="2" borderId="10" xfId="2" applyNumberFormat="1" applyBorder="1" applyAlignment="1">
      <alignment horizontal="center" vertical="center" wrapText="1"/>
    </xf>
    <xf numFmtId="165" fontId="9" fillId="4" borderId="6" xfId="3" applyFont="1" applyFill="1" applyBorder="1" applyAlignment="1">
      <alignment horizontal="center" vertical="center" wrapText="1"/>
    </xf>
    <xf numFmtId="165" fontId="9" fillId="4" borderId="10" xfId="3" applyFont="1" applyFill="1" applyBorder="1" applyAlignment="1">
      <alignment horizontal="center" vertical="center" wrapText="1"/>
    </xf>
    <xf numFmtId="165" fontId="19" fillId="0" borderId="6" xfId="3" applyFont="1" applyBorder="1" applyAlignment="1">
      <alignment horizontal="center" vertical="center" wrapText="1"/>
    </xf>
    <xf numFmtId="165" fontId="19" fillId="0" borderId="10" xfId="3" applyFont="1" applyBorder="1" applyAlignment="1">
      <alignment horizontal="center" vertical="center" wrapText="1"/>
    </xf>
    <xf numFmtId="165" fontId="9" fillId="0" borderId="11" xfId="3" applyFont="1" applyBorder="1" applyAlignment="1">
      <alignment horizontal="center" vertical="center" wrapText="1"/>
    </xf>
    <xf numFmtId="165" fontId="14" fillId="0" borderId="2" xfId="3" applyFont="1" applyBorder="1" applyAlignment="1">
      <alignment horizontal="center" wrapText="1"/>
    </xf>
    <xf numFmtId="165" fontId="14" fillId="0" borderId="3" xfId="3" applyFont="1" applyBorder="1" applyAlignment="1">
      <alignment horizontal="center" wrapText="1"/>
    </xf>
    <xf numFmtId="165" fontId="10" fillId="3" borderId="1" xfId="3" applyFont="1" applyFill="1" applyBorder="1" applyAlignment="1">
      <alignment horizontal="center"/>
    </xf>
    <xf numFmtId="165" fontId="11" fillId="0" borderId="0" xfId="3" applyFont="1" applyAlignment="1">
      <alignment horizontal="center"/>
    </xf>
    <xf numFmtId="165" fontId="9" fillId="0" borderId="26" xfId="3" applyFont="1" applyBorder="1" applyAlignment="1">
      <alignment horizontal="center" vertical="center" wrapText="1"/>
    </xf>
    <xf numFmtId="165" fontId="9" fillId="0" borderId="63" xfId="3" applyFont="1" applyBorder="1" applyAlignment="1">
      <alignment horizontal="center" vertical="center" wrapText="1"/>
    </xf>
    <xf numFmtId="166" fontId="9" fillId="7" borderId="75" xfId="3" applyNumberFormat="1" applyFont="1" applyFill="1" applyBorder="1" applyAlignment="1">
      <alignment horizontal="center" vertical="center"/>
    </xf>
    <xf numFmtId="166" fontId="9" fillId="7" borderId="63" xfId="3" applyNumberFormat="1" applyFont="1" applyFill="1" applyBorder="1" applyAlignment="1">
      <alignment horizontal="center" vertical="center"/>
    </xf>
    <xf numFmtId="165" fontId="26" fillId="0" borderId="66" xfId="3" applyFont="1" applyBorder="1" applyAlignment="1">
      <alignment horizontal="center" vertical="center"/>
    </xf>
    <xf numFmtId="165" fontId="26" fillId="0" borderId="27" xfId="3" applyFont="1" applyBorder="1" applyAlignment="1">
      <alignment horizontal="center" vertical="center"/>
    </xf>
    <xf numFmtId="165" fontId="26" fillId="0" borderId="35" xfId="3" applyFont="1" applyBorder="1" applyAlignment="1">
      <alignment horizontal="center" vertical="center"/>
    </xf>
    <xf numFmtId="2" fontId="31" fillId="24" borderId="74" xfId="3" applyNumberFormat="1" applyFont="1" applyFill="1" applyBorder="1" applyAlignment="1">
      <alignment horizontal="center"/>
    </xf>
    <xf numFmtId="166" fontId="8" fillId="0" borderId="37" xfId="3" applyNumberFormat="1" applyFont="1" applyBorder="1" applyAlignment="1">
      <alignment horizontal="center" vertical="center"/>
    </xf>
    <xf numFmtId="166" fontId="8" fillId="0" borderId="29" xfId="3" applyNumberFormat="1" applyFont="1" applyBorder="1" applyAlignment="1">
      <alignment horizontal="center"/>
    </xf>
    <xf numFmtId="166" fontId="8" fillId="0" borderId="30" xfId="3" applyNumberFormat="1" applyFont="1" applyBorder="1" applyAlignment="1">
      <alignment horizontal="center"/>
    </xf>
    <xf numFmtId="166" fontId="8" fillId="0" borderId="75" xfId="3" applyNumberFormat="1" applyFont="1" applyBorder="1" applyAlignment="1">
      <alignment horizontal="center"/>
    </xf>
    <xf numFmtId="166" fontId="8" fillId="0" borderId="63" xfId="3" applyNumberFormat="1" applyFont="1" applyBorder="1" applyAlignment="1">
      <alignment horizontal="center"/>
    </xf>
    <xf numFmtId="165" fontId="9" fillId="0" borderId="78" xfId="3" applyFont="1" applyBorder="1" applyAlignment="1">
      <alignment horizontal="center" vertical="center" wrapText="1"/>
    </xf>
    <xf numFmtId="165" fontId="9" fillId="0" borderId="42" xfId="3" applyFont="1" applyBorder="1" applyAlignment="1">
      <alignment horizontal="center" vertical="center" wrapText="1"/>
    </xf>
    <xf numFmtId="166" fontId="8" fillId="0" borderId="82" xfId="3" applyNumberFormat="1" applyFont="1" applyBorder="1" applyAlignment="1">
      <alignment horizontal="center"/>
    </xf>
    <xf numFmtId="166" fontId="8" fillId="0" borderId="74" xfId="3" applyNumberFormat="1" applyFont="1" applyBorder="1" applyAlignment="1">
      <alignment horizontal="center"/>
    </xf>
    <xf numFmtId="166" fontId="8" fillId="0" borderId="24" xfId="3" applyNumberFormat="1" applyFont="1" applyBorder="1" applyAlignment="1">
      <alignment horizontal="center"/>
    </xf>
    <xf numFmtId="166" fontId="8" fillId="0" borderId="0" xfId="3" applyNumberFormat="1" applyFont="1" applyAlignment="1">
      <alignment horizontal="center"/>
    </xf>
    <xf numFmtId="166" fontId="8" fillId="0" borderId="68" xfId="3" applyNumberFormat="1" applyFont="1" applyBorder="1" applyAlignment="1">
      <alignment horizontal="center"/>
    </xf>
    <xf numFmtId="165" fontId="10" fillId="3" borderId="1" xfId="0" applyFont="1" applyFill="1" applyBorder="1" applyAlignment="1">
      <alignment horizontal="center"/>
    </xf>
    <xf numFmtId="165" fontId="13" fillId="4" borderId="25" xfId="3" applyFont="1" applyFill="1" applyBorder="1" applyAlignment="1">
      <alignment horizontal="center" vertical="center"/>
    </xf>
    <xf numFmtId="165" fontId="13" fillId="4" borderId="26" xfId="3" applyFont="1" applyFill="1" applyBorder="1" applyAlignment="1">
      <alignment horizontal="center" vertical="center"/>
    </xf>
    <xf numFmtId="165" fontId="13" fillId="4" borderId="75" xfId="3" applyFont="1" applyFill="1" applyBorder="1" applyAlignment="1">
      <alignment horizontal="center" vertical="center"/>
    </xf>
    <xf numFmtId="165" fontId="13" fillId="4" borderId="63" xfId="3" applyFont="1" applyFill="1" applyBorder="1" applyAlignment="1">
      <alignment horizontal="center" vertical="center"/>
    </xf>
    <xf numFmtId="165" fontId="9" fillId="0" borderId="12" xfId="3" applyFont="1" applyBorder="1" applyAlignment="1">
      <alignment horizontal="center" vertical="center" wrapText="1"/>
    </xf>
    <xf numFmtId="165" fontId="13" fillId="4" borderId="0" xfId="3" applyFont="1" applyFill="1" applyAlignment="1">
      <alignment horizontal="center" vertical="center"/>
    </xf>
    <xf numFmtId="165" fontId="13" fillId="4" borderId="4" xfId="3" applyFont="1" applyFill="1" applyBorder="1" applyAlignment="1">
      <alignment horizontal="center" vertical="center"/>
    </xf>
    <xf numFmtId="165" fontId="83" fillId="0" borderId="23" xfId="3" applyFont="1" applyBorder="1" applyAlignment="1">
      <alignment horizontal="center" vertical="center"/>
    </xf>
    <xf numFmtId="165" fontId="83" fillId="0" borderId="27" xfId="3" applyFont="1" applyBorder="1" applyAlignment="1">
      <alignment horizontal="center" vertical="center"/>
    </xf>
    <xf numFmtId="165" fontId="83" fillId="0" borderId="34" xfId="3" applyFont="1" applyBorder="1" applyAlignment="1">
      <alignment horizontal="center" vertical="center"/>
    </xf>
    <xf numFmtId="165" fontId="20" fillId="0" borderId="23" xfId="3" applyFont="1" applyBorder="1" applyAlignment="1">
      <alignment horizontal="center" vertical="center"/>
    </xf>
    <xf numFmtId="165" fontId="20" fillId="0" borderId="27" xfId="3" applyFont="1" applyBorder="1" applyAlignment="1">
      <alignment horizontal="center" vertical="center"/>
    </xf>
    <xf numFmtId="165" fontId="20" fillId="0" borderId="34" xfId="3" applyFont="1" applyBorder="1" applyAlignment="1">
      <alignment horizontal="center" vertical="center"/>
    </xf>
    <xf numFmtId="165" fontId="7" fillId="0" borderId="53" xfId="3" applyBorder="1" applyAlignment="1">
      <alignment horizontal="center"/>
    </xf>
    <xf numFmtId="165" fontId="7" fillId="0" borderId="67" xfId="3" applyBorder="1" applyAlignment="1">
      <alignment horizontal="center"/>
    </xf>
    <xf numFmtId="15" fontId="40" fillId="0" borderId="44" xfId="3" applyNumberFormat="1" applyFont="1" applyBorder="1" applyAlignment="1">
      <alignment horizontal="center"/>
    </xf>
    <xf numFmtId="165" fontId="60" fillId="0" borderId="46" xfId="3" applyFont="1" applyBorder="1" applyAlignment="1">
      <alignment horizontal="center" vertical="center"/>
    </xf>
    <xf numFmtId="165" fontId="60" fillId="0" borderId="47" xfId="3" applyFont="1" applyBorder="1" applyAlignment="1">
      <alignment horizontal="center" vertical="center"/>
    </xf>
    <xf numFmtId="165" fontId="60" fillId="0" borderId="48" xfId="3" applyFont="1" applyBorder="1" applyAlignment="1">
      <alignment horizontal="center" vertical="center"/>
    </xf>
    <xf numFmtId="165" fontId="59" fillId="0" borderId="46" xfId="3" applyFont="1" applyBorder="1" applyAlignment="1">
      <alignment horizontal="center" vertical="center"/>
    </xf>
    <xf numFmtId="165" fontId="59" fillId="0" borderId="47" xfId="3" applyFont="1" applyBorder="1" applyAlignment="1">
      <alignment horizontal="center" vertical="center"/>
    </xf>
    <xf numFmtId="165" fontId="59" fillId="0" borderId="48" xfId="3" applyFont="1" applyBorder="1" applyAlignment="1">
      <alignment horizontal="center" vertical="center"/>
    </xf>
    <xf numFmtId="165" fontId="7" fillId="0" borderId="2" xfId="3" applyBorder="1" applyAlignment="1">
      <alignment horizontal="center"/>
    </xf>
    <xf numFmtId="165" fontId="7" fillId="0" borderId="65" xfId="3" applyBorder="1" applyAlignment="1">
      <alignment horizontal="center"/>
    </xf>
    <xf numFmtId="165" fontId="40" fillId="0" borderId="6" xfId="3" applyFont="1" applyBorder="1" applyAlignment="1">
      <alignment horizontal="center" vertical="center" wrapText="1"/>
    </xf>
    <xf numFmtId="165" fontId="40" fillId="0" borderId="39" xfId="3" applyFont="1" applyBorder="1" applyAlignment="1">
      <alignment horizontal="center" vertical="center" wrapText="1"/>
    </xf>
    <xf numFmtId="165" fontId="40" fillId="0" borderId="7" xfId="3" applyFont="1" applyBorder="1" applyAlignment="1">
      <alignment horizontal="center" vertical="center" wrapText="1"/>
    </xf>
    <xf numFmtId="165" fontId="40" fillId="0" borderId="17" xfId="3" applyFont="1" applyBorder="1" applyAlignment="1">
      <alignment horizontal="center" vertical="center" wrapText="1"/>
    </xf>
    <xf numFmtId="165" fontId="40" fillId="0" borderId="62" xfId="3" applyFont="1" applyBorder="1" applyAlignment="1">
      <alignment horizontal="center" vertical="center" wrapText="1"/>
    </xf>
    <xf numFmtId="165" fontId="40" fillId="0" borderId="4" xfId="3" applyFont="1" applyBorder="1" applyAlignment="1">
      <alignment horizontal="center" vertical="center" wrapText="1"/>
    </xf>
    <xf numFmtId="165" fontId="40" fillId="0" borderId="2" xfId="3" applyFont="1" applyBorder="1" applyAlignment="1">
      <alignment horizontal="center"/>
    </xf>
    <xf numFmtId="165" fontId="40" fillId="0" borderId="65" xfId="3" applyFont="1" applyBorder="1" applyAlignment="1">
      <alignment horizontal="center"/>
    </xf>
    <xf numFmtId="2" fontId="7" fillId="0" borderId="55" xfId="3" applyNumberFormat="1" applyBorder="1" applyAlignment="1">
      <alignment horizontal="center"/>
    </xf>
    <xf numFmtId="2" fontId="7" fillId="0" borderId="56" xfId="3" applyNumberFormat="1" applyBorder="1" applyAlignment="1">
      <alignment horizontal="center"/>
    </xf>
    <xf numFmtId="165" fontId="40" fillId="0" borderId="23" xfId="3" applyFont="1" applyBorder="1" applyAlignment="1">
      <alignment horizontal="center" vertical="center"/>
    </xf>
    <xf numFmtId="165" fontId="40" fillId="0" borderId="34" xfId="3" applyFont="1" applyBorder="1" applyAlignment="1">
      <alignment horizontal="center" vertical="center"/>
    </xf>
    <xf numFmtId="165" fontId="40" fillId="0" borderId="55" xfId="3" applyFont="1" applyBorder="1" applyAlignment="1">
      <alignment horizontal="center" vertical="center"/>
    </xf>
    <xf numFmtId="165" fontId="40" fillId="0" borderId="64" xfId="3" applyFont="1" applyBorder="1" applyAlignment="1">
      <alignment horizontal="center" vertical="center"/>
    </xf>
    <xf numFmtId="165" fontId="40" fillId="0" borderId="5" xfId="3" applyFont="1" applyBorder="1" applyAlignment="1">
      <alignment horizontal="center" vertical="center" wrapText="1"/>
    </xf>
    <xf numFmtId="165" fontId="40" fillId="0" borderId="38" xfId="3" applyFont="1" applyBorder="1" applyAlignment="1">
      <alignment horizontal="center" vertical="center" wrapText="1"/>
    </xf>
    <xf numFmtId="165" fontId="39" fillId="0" borderId="0" xfId="3" applyFont="1" applyAlignment="1">
      <alignment horizontal="center"/>
    </xf>
    <xf numFmtId="165" fontId="7" fillId="0" borderId="0" xfId="3" applyAlignment="1">
      <alignment horizontal="left"/>
    </xf>
    <xf numFmtId="165" fontId="40" fillId="0" borderId="50" xfId="3" applyFont="1" applyBorder="1" applyAlignment="1">
      <alignment horizontal="center" vertical="center" wrapText="1"/>
    </xf>
    <xf numFmtId="165" fontId="40" fillId="0" borderId="10" xfId="3" applyFont="1" applyBorder="1" applyAlignment="1">
      <alignment horizontal="center" vertical="center" wrapText="1"/>
    </xf>
    <xf numFmtId="165" fontId="41" fillId="0" borderId="6" xfId="3" applyFont="1" applyBorder="1" applyAlignment="1">
      <alignment horizontal="center" vertical="center" wrapText="1"/>
    </xf>
    <xf numFmtId="165" fontId="41" fillId="0" borderId="10" xfId="3" applyFont="1" applyBorder="1" applyAlignment="1">
      <alignment horizontal="center" vertical="center" wrapText="1"/>
    </xf>
    <xf numFmtId="165" fontId="40" fillId="0" borderId="35" xfId="3" applyFont="1" applyBorder="1" applyAlignment="1">
      <alignment horizontal="center" vertical="center"/>
    </xf>
    <xf numFmtId="165" fontId="63" fillId="4" borderId="0" xfId="0" applyFont="1" applyFill="1" applyAlignment="1">
      <alignment horizontal="center"/>
    </xf>
    <xf numFmtId="165" fontId="75" fillId="0" borderId="0" xfId="0" applyFont="1" applyAlignment="1">
      <alignment horizontal="center" vertical="top"/>
    </xf>
    <xf numFmtId="165" fontId="64" fillId="20" borderId="41" xfId="0" applyFont="1" applyFill="1" applyBorder="1" applyAlignment="1">
      <alignment horizontal="left" vertical="center"/>
    </xf>
    <xf numFmtId="165" fontId="64" fillId="20" borderId="69" xfId="0" applyFont="1" applyFill="1" applyBorder="1" applyAlignment="1">
      <alignment horizontal="left" vertical="center"/>
    </xf>
    <xf numFmtId="165" fontId="64" fillId="20" borderId="69" xfId="0" applyFont="1" applyFill="1" applyBorder="1" applyAlignment="1">
      <alignment horizontal="center" vertical="center"/>
    </xf>
    <xf numFmtId="165" fontId="72" fillId="0" borderId="0" xfId="0" applyFont="1" applyAlignment="1">
      <alignment horizontal="center" vertical="top"/>
    </xf>
    <xf numFmtId="165" fontId="64" fillId="20" borderId="4" xfId="0" applyFont="1" applyFill="1" applyBorder="1" applyAlignment="1">
      <alignment horizontal="center" vertical="center"/>
    </xf>
    <xf numFmtId="165" fontId="64" fillId="20" borderId="4" xfId="0" applyFont="1" applyFill="1" applyBorder="1" applyAlignment="1">
      <alignment horizontal="left" vertical="center"/>
    </xf>
    <xf numFmtId="165" fontId="73" fillId="20" borderId="4" xfId="0" applyFont="1" applyFill="1" applyBorder="1" applyAlignment="1">
      <alignment horizontal="right" vertical="center"/>
    </xf>
  </cellXfs>
  <cellStyles count="11">
    <cellStyle name="Comma" xfId="1" builtinId="3"/>
    <cellStyle name="Neutral" xfId="2" builtinId="28"/>
    <cellStyle name="Normal" xfId="0" builtinId="0"/>
    <cellStyle name="Normal 2" xfId="3" xr:uid="{C80A2C66-3E2C-4179-9159-DBCA8D9B0E56}"/>
    <cellStyle name="Normal 3" xfId="9" xr:uid="{CF2ABADC-5070-4BF5-85BE-C6735585C6D9}"/>
    <cellStyle name="Percent 2" xfId="4" xr:uid="{CE2CDC16-AD31-4ED8-AE2A-FCD60A61219D}"/>
    <cellStyle name="Percent 3" xfId="5" xr:uid="{146671D8-AF93-4F7C-A417-29B4344625B7}"/>
    <cellStyle name="Percent 3 2" xfId="7" xr:uid="{D9E4557F-C4B0-46CD-A4D0-A5F6371463AD}"/>
    <cellStyle name="Percent 4" xfId="6" xr:uid="{4AD98EB2-9BB4-4842-A408-0E56A74ED11E}"/>
    <cellStyle name="Percent 4 2" xfId="8" xr:uid="{4E10984A-3ADE-4C2D-B6E7-76DD6D94E726}"/>
    <cellStyle name="Percent 4 3" xfId="10" xr:uid="{01053475-F444-4128-81F2-2F08DC4F4A0B}"/>
  </cellStyles>
  <dxfs count="3495"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8200"/>
      <color rgb="FF0000FF"/>
      <color rgb="FFFF66FF"/>
      <color rgb="FFFF0000"/>
      <color rgb="FFFF0066"/>
      <color rgb="FFFF9999"/>
      <color rgb="FFCC3300"/>
      <color rgb="FFCC66FF"/>
      <color rgb="FFC288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8.xml"/><Relationship Id="rId47" Type="http://schemas.openxmlformats.org/officeDocument/2006/relationships/externalLink" Target="externalLinks/externalLink23.xml"/><Relationship Id="rId63" Type="http://schemas.openxmlformats.org/officeDocument/2006/relationships/externalLink" Target="externalLinks/externalLink39.xml"/><Relationship Id="rId68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externalLink" Target="externalLinks/externalLink21.xml"/><Relationship Id="rId53" Type="http://schemas.openxmlformats.org/officeDocument/2006/relationships/externalLink" Target="externalLinks/externalLink29.xml"/><Relationship Id="rId58" Type="http://schemas.openxmlformats.org/officeDocument/2006/relationships/externalLink" Target="externalLinks/externalLink34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37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48" Type="http://schemas.openxmlformats.org/officeDocument/2006/relationships/externalLink" Target="externalLinks/externalLink24.xml"/><Relationship Id="rId56" Type="http://schemas.openxmlformats.org/officeDocument/2006/relationships/externalLink" Target="externalLinks/externalLink32.xml"/><Relationship Id="rId64" Type="http://schemas.openxmlformats.org/officeDocument/2006/relationships/externalLink" Target="externalLinks/externalLink40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externalLink" Target="externalLinks/externalLink22.xml"/><Relationship Id="rId59" Type="http://schemas.openxmlformats.org/officeDocument/2006/relationships/externalLink" Target="externalLinks/externalLink35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Relationship Id="rId54" Type="http://schemas.openxmlformats.org/officeDocument/2006/relationships/externalLink" Target="externalLinks/externalLink30.xml"/><Relationship Id="rId62" Type="http://schemas.openxmlformats.org/officeDocument/2006/relationships/externalLink" Target="externalLinks/externalLink3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49" Type="http://schemas.openxmlformats.org/officeDocument/2006/relationships/externalLink" Target="externalLinks/externalLink25.xml"/><Relationship Id="rId57" Type="http://schemas.openxmlformats.org/officeDocument/2006/relationships/externalLink" Target="externalLinks/externalLink33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7.xml"/><Relationship Id="rId44" Type="http://schemas.openxmlformats.org/officeDocument/2006/relationships/externalLink" Target="externalLinks/externalLink20.xml"/><Relationship Id="rId52" Type="http://schemas.openxmlformats.org/officeDocument/2006/relationships/externalLink" Target="externalLinks/externalLink28.xml"/><Relationship Id="rId60" Type="http://schemas.openxmlformats.org/officeDocument/2006/relationships/externalLink" Target="externalLinks/externalLink36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5.xml"/><Relationship Id="rId34" Type="http://schemas.openxmlformats.org/officeDocument/2006/relationships/externalLink" Target="externalLinks/externalLink10.xml"/><Relationship Id="rId50" Type="http://schemas.openxmlformats.org/officeDocument/2006/relationships/externalLink" Target="externalLinks/externalLink26.xml"/><Relationship Id="rId55" Type="http://schemas.openxmlformats.org/officeDocument/2006/relationships/externalLink" Target="externalLinks/externalLink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'Brewer Performance'!$E$4</c:f>
              <c:strCache>
                <c:ptCount val="1"/>
                <c:pt idx="0">
                  <c:v>MTD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invertIfNegative val="0"/>
          <c:cat>
            <c:strRef>
              <c:f>'Brewer Performance'!$C$5:$C$9</c:f>
              <c:strCache>
                <c:ptCount val="5"/>
                <c:pt idx="0">
                  <c:v>KEIRAN BENJAMIN</c:v>
                </c:pt>
                <c:pt idx="1">
                  <c:v>JOHNNY GREENIDGE</c:v>
                </c:pt>
                <c:pt idx="2">
                  <c:v>JAMES GRANT</c:v>
                </c:pt>
                <c:pt idx="3">
                  <c:v>RODNEY REGIS</c:v>
                </c:pt>
                <c:pt idx="4">
                  <c:v>DESEAN EMERY</c:v>
                </c:pt>
              </c:strCache>
            </c:strRef>
          </c:cat>
          <c:val>
            <c:numRef>
              <c:f>'Brewer Performance'!$E$5:$E$9</c:f>
              <c:numCache>
                <c:formatCode>0.00</c:formatCode>
                <c:ptCount val="5"/>
                <c:pt idx="0">
                  <c:v>98.214734207097663</c:v>
                </c:pt>
                <c:pt idx="1">
                  <c:v>97.831216272750581</c:v>
                </c:pt>
                <c:pt idx="2">
                  <c:v>100.82497251003979</c:v>
                </c:pt>
                <c:pt idx="3">
                  <c:v>97.759800403711807</c:v>
                </c:pt>
                <c:pt idx="4">
                  <c:v>98.186950219332687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2-4AB4-ABF6-AFB5CBFC3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3214208"/>
        <c:axId val="37321600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'Brewer Performance'!$G$4</c15:sqref>
                        </c15:formulaRef>
                      </c:ext>
                    </c:extLst>
                    <c:strCache>
                      <c:ptCount val="1"/>
                      <c:pt idx="0">
                        <c:v>TARGET</c:v>
                      </c:pt>
                    </c:strCache>
                  </c:strRef>
                </c:tx>
                <c:spPr>
                  <a:solidFill>
                    <a:schemeClr val="accent3">
                      <a:lumMod val="75000"/>
                    </a:schemeClr>
                  </a:solidFill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'Brewer Performance'!$C$5:$C$9</c15:sqref>
                        </c15:formulaRef>
                      </c:ext>
                    </c:extLst>
                    <c:strCache>
                      <c:ptCount val="5"/>
                      <c:pt idx="0">
                        <c:v>KEIRAN BENJAMIN</c:v>
                      </c:pt>
                      <c:pt idx="1">
                        <c:v>JOHNNY GREENIDGE</c:v>
                      </c:pt>
                      <c:pt idx="2">
                        <c:v>JAMES GRANT</c:v>
                      </c:pt>
                      <c:pt idx="3">
                        <c:v>RODNEY REGIS</c:v>
                      </c:pt>
                      <c:pt idx="4">
                        <c:v>DESEAN EMERY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Performance'!$G$5:$G$9</c15:sqref>
                        </c15:formulaRef>
                      </c:ext>
                    </c:extLst>
                    <c:numCache>
                      <c:formatCode>0.0</c:formatCode>
                      <c:ptCount val="5"/>
                      <c:pt idx="0">
                        <c:v>98</c:v>
                      </c:pt>
                      <c:pt idx="1">
                        <c:v>98</c:v>
                      </c:pt>
                      <c:pt idx="2">
                        <c:v>98</c:v>
                      </c:pt>
                      <c:pt idx="3">
                        <c:v>98</c:v>
                      </c:pt>
                      <c:pt idx="4">
                        <c:v>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F12-4AB4-ABF6-AFB5CBFC33A6}"/>
                  </c:ext>
                </c:extLst>
              </c15:ser>
            </c15:filteredBarSeries>
          </c:ext>
        </c:extLst>
      </c:barChart>
      <c:catAx>
        <c:axId val="37321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6000"/>
        <c:crosses val="autoZero"/>
        <c:auto val="1"/>
        <c:lblAlgn val="ctr"/>
        <c:lblOffset val="100"/>
        <c:noMultiLvlLbl val="0"/>
      </c:catAx>
      <c:valAx>
        <c:axId val="373216000"/>
        <c:scaling>
          <c:orientation val="minMax"/>
          <c:max val="100"/>
          <c:min val="9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42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100"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" l="0.70000000000000062" r="0.70000000000000062" t="0.750000000000002" header="0.30000000000000032" footer="0.30000000000000032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'Brewer Performance'!$C$40</c:f>
              <c:strCache>
                <c:ptCount val="1"/>
                <c:pt idx="0">
                  <c:v>KEIRAN BENJAMIN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Performance'!$D$40:$O$40</c:f>
              <c:numCache>
                <c:formatCode>0.00</c:formatCode>
                <c:ptCount val="12"/>
                <c:pt idx="0">
                  <c:v>96.507822129582451</c:v>
                </c:pt>
                <c:pt idx="1">
                  <c:v>98.284801217583563</c:v>
                </c:pt>
                <c:pt idx="2">
                  <c:v>98.226686244092193</c:v>
                </c:pt>
                <c:pt idx="3">
                  <c:v>98.210530202427222</c:v>
                </c:pt>
                <c:pt idx="4">
                  <c:v>98.517352497406634</c:v>
                </c:pt>
                <c:pt idx="5">
                  <c:v>98.214734207097663</c:v>
                </c:pt>
                <c:pt idx="6">
                  <c:v>98.198803831827249</c:v>
                </c:pt>
                <c:pt idx="7">
                  <c:v>97.486490472733735</c:v>
                </c:pt>
                <c:pt idx="8">
                  <c:v>97.932459358923822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C4-4B61-A360-434F4872A4EA}"/>
            </c:ext>
          </c:extLst>
        </c:ser>
        <c:ser>
          <c:idx val="1"/>
          <c:order val="1"/>
          <c:tx>
            <c:strRef>
              <c:f>'Brewer Performance'!$C$41</c:f>
              <c:strCache>
                <c:ptCount val="1"/>
                <c:pt idx="0">
                  <c:v>JOHNNY GREENIDGE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Performance'!$D$41:$O$41</c:f>
              <c:numCache>
                <c:formatCode>0.00</c:formatCode>
                <c:ptCount val="12"/>
                <c:pt idx="0">
                  <c:v>97.99738587335284</c:v>
                </c:pt>
                <c:pt idx="1">
                  <c:v>97.918121549662388</c:v>
                </c:pt>
                <c:pt idx="2">
                  <c:v>98.070081368185257</c:v>
                </c:pt>
                <c:pt idx="3">
                  <c:v>97.79453968977019</c:v>
                </c:pt>
                <c:pt idx="4">
                  <c:v>98.442574874312371</c:v>
                </c:pt>
                <c:pt idx="5">
                  <c:v>97.831216272750581</c:v>
                </c:pt>
                <c:pt idx="6">
                  <c:v>98.459260197488078</c:v>
                </c:pt>
                <c:pt idx="7">
                  <c:v>98.711428992063503</c:v>
                </c:pt>
                <c:pt idx="8">
                  <c:v>97.854862054451985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C4-4B61-A360-434F4872A4EA}"/>
            </c:ext>
          </c:extLst>
        </c:ser>
        <c:ser>
          <c:idx val="2"/>
          <c:order val="2"/>
          <c:tx>
            <c:strRef>
              <c:f>'Brewer Performance'!$C$42</c:f>
              <c:strCache>
                <c:ptCount val="1"/>
                <c:pt idx="0">
                  <c:v>JAMES GRANT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Performance'!$D$42:$O$42</c:f>
              <c:numCache>
                <c:formatCode>0.00</c:formatCode>
                <c:ptCount val="12"/>
                <c:pt idx="3">
                  <c:v>98.305001734453086</c:v>
                </c:pt>
                <c:pt idx="5">
                  <c:v>100.82497251003979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C4-4B61-A360-434F4872A4EA}"/>
            </c:ext>
          </c:extLst>
        </c:ser>
        <c:ser>
          <c:idx val="3"/>
          <c:order val="3"/>
          <c:tx>
            <c:strRef>
              <c:f>'Brewer Performance'!$C$44</c:f>
              <c:strCache>
                <c:ptCount val="1"/>
                <c:pt idx="0">
                  <c:v>RODNEY REGIS</c:v>
                </c:pt>
              </c:strCache>
              <c:extLst xmlns:c15="http://schemas.microsoft.com/office/drawing/2012/chart"/>
            </c:strRef>
          </c:tx>
          <c:marker>
            <c:spPr>
              <a:solidFill>
                <a:srgbClr val="7030A0"/>
              </a:solidFill>
            </c:spPr>
          </c:marker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Performance'!$D$44:$O$44</c:f>
              <c:numCache>
                <c:formatCode>0.00</c:formatCode>
                <c:ptCount val="12"/>
                <c:pt idx="0">
                  <c:v>98.304611060419475</c:v>
                </c:pt>
                <c:pt idx="1">
                  <c:v>97.289162940824014</c:v>
                </c:pt>
                <c:pt idx="2">
                  <c:v>98.163642226187022</c:v>
                </c:pt>
                <c:pt idx="3">
                  <c:v>97.964054285784258</c:v>
                </c:pt>
                <c:pt idx="4">
                  <c:v>98.685415156420575</c:v>
                </c:pt>
                <c:pt idx="5">
                  <c:v>97.759800403711807</c:v>
                </c:pt>
                <c:pt idx="6">
                  <c:v>98.532266745142223</c:v>
                </c:pt>
                <c:pt idx="7">
                  <c:v>98.484140672420295</c:v>
                </c:pt>
                <c:pt idx="8">
                  <c:v>97.916815501712691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AEC4-4B61-A360-434F4872A4EA}"/>
            </c:ext>
          </c:extLst>
        </c:ser>
        <c:ser>
          <c:idx val="4"/>
          <c:order val="4"/>
          <c:tx>
            <c:strRef>
              <c:f>'Brewer Performance'!$C$45</c:f>
              <c:strCache>
                <c:ptCount val="1"/>
                <c:pt idx="0">
                  <c:v>DESEAN EMERY</c:v>
                </c:pt>
              </c:strCache>
              <c:extLst xmlns:c15="http://schemas.microsoft.com/office/drawing/2012/chart"/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Performance'!$D$45:$O$45</c:f>
              <c:numCache>
                <c:formatCode>0.00</c:formatCode>
                <c:ptCount val="12"/>
                <c:pt idx="0">
                  <c:v>98.673584433402866</c:v>
                </c:pt>
                <c:pt idx="5">
                  <c:v>98.186950219332687</c:v>
                </c:pt>
                <c:pt idx="6">
                  <c:v>97.888270164748889</c:v>
                </c:pt>
                <c:pt idx="7">
                  <c:v>97.609604379501235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AEC4-4B61-A360-434F4872A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286016"/>
        <c:axId val="373287552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>
                      <c:ext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EC4-4B61-A360-434F4872A4E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marker>
                  <c:spPr>
                    <a:solidFill>
                      <a:srgbClr val="FFFF99"/>
                    </a:solidFill>
                    <a:ln>
                      <a:solidFill>
                        <a:srgbClr val="FFFF00"/>
                      </a:solidFill>
                    </a:ln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C4-4B61-A360-434F4872A4EA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C4-4B61-A360-434F4872A4EA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C4-4B61-A360-434F4872A4EA}"/>
                  </c:ext>
                </c:extLst>
              </c15:ser>
            </c15:filteredLineSeries>
          </c:ext>
        </c:extLst>
      </c:lineChart>
      <c:catAx>
        <c:axId val="373286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en-US"/>
          </a:p>
        </c:txPr>
        <c:crossAx val="373287552"/>
        <c:crosses val="autoZero"/>
        <c:auto val="1"/>
        <c:lblAlgn val="ctr"/>
        <c:lblOffset val="100"/>
        <c:noMultiLvlLbl val="0"/>
      </c:catAx>
      <c:valAx>
        <c:axId val="373287552"/>
        <c:scaling>
          <c:orientation val="minMax"/>
          <c:max val="100"/>
          <c:min val="90.5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300" b="1"/>
            </a:pPr>
            <a:endParaRPr lang="en-US"/>
          </a:p>
        </c:txPr>
        <c:crossAx val="373286016"/>
        <c:crosses val="autoZero"/>
        <c:crossBetween val="between"/>
      </c:valAx>
      <c:spPr>
        <a:gradFill rotWithShape="1">
          <a:gsLst>
            <a:gs pos="0">
              <a:schemeClr val="dk1">
                <a:tint val="50000"/>
                <a:satMod val="300000"/>
              </a:schemeClr>
            </a:gs>
            <a:gs pos="35000">
              <a:schemeClr val="dk1">
                <a:tint val="37000"/>
                <a:satMod val="300000"/>
              </a:schemeClr>
            </a:gs>
            <a:gs pos="100000">
              <a:schemeClr val="dk1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dk1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</c:plotArea>
    <c:legend>
      <c:legendPos val="r"/>
      <c:overlay val="0"/>
      <c:txPr>
        <a:bodyPr/>
        <a:lstStyle/>
        <a:p>
          <a:pPr>
            <a:defRPr sz="1400" b="1" i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352283</xdr:colOff>
      <xdr:row>14</xdr:row>
      <xdr:rowOff>16246</xdr:rowOff>
    </xdr:from>
    <xdr:to>
      <xdr:col>8</xdr:col>
      <xdr:colOff>27873</xdr:colOff>
      <xdr:row>33</xdr:row>
      <xdr:rowOff>106174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51162C-1400-4B7D-927D-16D885EB38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251011</xdr:colOff>
      <xdr:row>48</xdr:row>
      <xdr:rowOff>79841</xdr:rowOff>
    </xdr:from>
    <xdr:to>
      <xdr:col>15</xdr:col>
      <xdr:colOff>679636</xdr:colOff>
      <xdr:row>75</xdr:row>
      <xdr:rowOff>36979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3D5D15-1D00-488B-99AD-7941550F4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May'18%20Daily%20Process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January'20%20Daily%20Process%20Report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StagLog2026.xls" TargetMode="External"/><Relationship Id="rId2" Type="http://schemas.openxmlformats.org/officeDocument/2006/relationships/externalLinkPath" Target="file:///F:\Operations\Brewing\Logbooks\Logbooks%202026\NewStagLog2026.xls" TargetMode="External"/><Relationship Id="rId1" Type="http://schemas.openxmlformats.org/officeDocument/2006/relationships/externalLinkPath" Target="/Operations/Brewing/Logbooks/Logbooks%202026/NewStagLog2026.xls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CaribLog2026.xlsx" TargetMode="External"/><Relationship Id="rId2" Type="http://schemas.openxmlformats.org/officeDocument/2006/relationships/externalLinkPath" Target="file:///F:\Operations\Brewing\Logbooks\Logbooks%202026\NewCaribLog2026.xlsx" TargetMode="External"/><Relationship Id="rId1" Type="http://schemas.openxmlformats.org/officeDocument/2006/relationships/externalLinkPath" Target="/Operations/Brewing/Logbooks/Logbooks%202026/NewCaribLog2026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GuinnLog2026.xls" TargetMode="External"/><Relationship Id="rId2" Type="http://schemas.openxmlformats.org/officeDocument/2006/relationships/externalLinkPath" Target="file:///F:\Operations\Brewing\Logbooks\Logbooks%202026\NewGuinnLog2026.xls" TargetMode="External"/><Relationship Id="rId1" Type="http://schemas.openxmlformats.org/officeDocument/2006/relationships/externalLinkPath" Target="/Operations/Brewing/Logbooks/Logbooks%202026/NewGuinnLog2026.xls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VMaltLog2026.xls" TargetMode="External"/><Relationship Id="rId2" Type="http://schemas.openxmlformats.org/officeDocument/2006/relationships/externalLinkPath" Target="file:///F:\Operations\Brewing\Logbooks\Logbooks%202026\NewVMaltLog2026.xls" TargetMode="External"/><Relationship Id="rId1" Type="http://schemas.openxmlformats.org/officeDocument/2006/relationships/externalLinkPath" Target="/Operations/Brewing/Logbooks/Logbooks%202026/NewVMaltLog2026.xls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MackLog2026.xls" TargetMode="External"/><Relationship Id="rId2" Type="http://schemas.openxmlformats.org/officeDocument/2006/relationships/externalLinkPath" Target="file:///F:\Operations\Brewing\Logbooks\Logbooks%202026\NewMackLog2026.xls" TargetMode="External"/><Relationship Id="rId1" Type="http://schemas.openxmlformats.org/officeDocument/2006/relationships/externalLinkPath" Target="/Operations/Brewing/Logbooks/Logbooks%202026/NewMackLog2026.xls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SMaltLog2026.xls" TargetMode="External"/><Relationship Id="rId2" Type="http://schemas.openxmlformats.org/officeDocument/2006/relationships/externalLinkPath" Target="file:///F:\Operations\Brewing\Logbooks\Logbooks%202026\NewSMaltLog2026.xls" TargetMode="External"/><Relationship Id="rId1" Type="http://schemas.openxmlformats.org/officeDocument/2006/relationships/externalLinkPath" Target="/Operations/Brewing/Logbooks/Logbooks%202026/NewSMaltLog2026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January%20'26%20Daily%20Process%20Report%202026.xlsx" TargetMode="External"/><Relationship Id="rId1" Type="http://schemas.openxmlformats.org/officeDocument/2006/relationships/externalLinkPath" Target="January%20'26%20Daily%20Process%20Report%202026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February%20'26%20Daily%20Process%20Report%202026.xlsx" TargetMode="External"/><Relationship Id="rId1" Type="http://schemas.openxmlformats.org/officeDocument/2006/relationships/externalLinkPath" Target="February%20'26%20Daily%20Process%20Report%202026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6%20Daily%20Process%20Report\March'26%20Daily%20Process%20Report%202026.xlsx" TargetMode="External"/><Relationship Id="rId1" Type="http://schemas.openxmlformats.org/officeDocument/2006/relationships/externalLinkPath" Target="March'26%20Daily%20Process%20Report%202026.xlsx" TargetMode="External"/></Relationships>
</file>

<file path=xl/externalLinks/_rels/externalLink1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Daily_Brewhouse_Efficiency/Daily_Brewhouse_Efficiency_2026.xls" TargetMode="External"/><Relationship Id="rId2" Type="http://schemas.openxmlformats.org/officeDocument/2006/relationships/externalLinkPath" Target="file:///F:\Operations\Reshelle\Brewing\Daily_Brewhouse_Efficiency\Daily_Brewhouse_Efficiency_2026.xls" TargetMode="External"/><Relationship Id="rId1" Type="http://schemas.openxmlformats.org/officeDocument/2006/relationships/externalLinkPath" Target="/Operations/Reshelle/Brewing/Daily_Brewhouse_Efficiency/Daily_Brewhouse_Efficiency_2026.xls" TargetMode="External"/></Relationships>
</file>

<file path=xl/externalLinks/_rels/externalLink1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Filtration_Throughput/Filtration_Throughput_2026.xlsx" TargetMode="External"/><Relationship Id="rId2" Type="http://schemas.openxmlformats.org/officeDocument/2006/relationships/externalLinkPath" Target="file:///F:\Operations\Reshelle\Brewing\Filtration_Throughput\Filtration_Throughput_2026.xlsx" TargetMode="External"/><Relationship Id="rId1" Type="http://schemas.openxmlformats.org/officeDocument/2006/relationships/externalLinkPath" Target="/Operations/Reshelle/Brewing/Filtration_Throughput/Filtration_Throughput_2026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Royd/Brewing/Filtration_Throughput/Filtration_Throughput_2019.xlsx" TargetMode="External"/><Relationship Id="rId1" Type="http://schemas.openxmlformats.org/officeDocument/2006/relationships/externalLinkPath" Target="/Operations/Royd/Brewing/Filtration_Throughput/Filtration_Throughput_2019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Royd/Brewing/Daily_Brewhouse_Efficiency/Daily_Brewhouse_Efficiency_2022.xls" TargetMode="External"/><Relationship Id="rId1" Type="http://schemas.openxmlformats.org/officeDocument/2006/relationships/externalLinkPath" Target="/Operations/Royd/Brewing/Daily_Brewhouse_Efficiency/Daily_Brewhouse_Efficiency_2022.xls" TargetMode="External"/></Relationships>
</file>

<file path=xl/externalLinks/_rels/externalLink1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CaribLog2022.xlsx" TargetMode="External"/><Relationship Id="rId2" Type="http://schemas.openxmlformats.org/officeDocument/2006/relationships/externalLinkPath" Target="file:///F:\Operations\Brewing\Logbooks\Logbooks%202022\NewCaribLog2022.xlsx" TargetMode="External"/><Relationship Id="rId1" Type="http://schemas.openxmlformats.org/officeDocument/2006/relationships/externalLinkPath" Target="/Operations/Brewing/Logbooks/Logbooks%202022/NewCaribLog2022.xlsx" TargetMode="External"/></Relationships>
</file>

<file path=xl/externalLinks/_rels/externalLink1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StagLog2022.xls" TargetMode="External"/><Relationship Id="rId2" Type="http://schemas.openxmlformats.org/officeDocument/2006/relationships/externalLinkPath" Target="file:///F:\Operations\Brewing\Logbooks\Logbooks%202022\NewStagLog2022.xls" TargetMode="External"/><Relationship Id="rId1" Type="http://schemas.openxmlformats.org/officeDocument/2006/relationships/externalLinkPath" Target="/Operations/Brewing/Logbooks/Logbooks%202022/NewStagLog2022.xls" TargetMode="External"/></Relationships>
</file>

<file path=xl/externalLinks/_rels/externalLink1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GuinnLog2022.xls" TargetMode="External"/><Relationship Id="rId2" Type="http://schemas.openxmlformats.org/officeDocument/2006/relationships/externalLinkPath" Target="file:///F:\Operations\Brewing\Logbooks\Logbooks%202022\NewGuinnLog2022.xls" TargetMode="External"/><Relationship Id="rId1" Type="http://schemas.openxmlformats.org/officeDocument/2006/relationships/externalLinkPath" Target="/Operations/Brewing/Logbooks/Logbooks%202022/NewGuinnLog2022.xls" TargetMode="External"/></Relationships>
</file>

<file path=xl/externalLinks/_rels/externalLink1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VMaltLog2022.xls" TargetMode="External"/><Relationship Id="rId2" Type="http://schemas.openxmlformats.org/officeDocument/2006/relationships/externalLinkPath" Target="file:///F:\Operations\Brewing\Logbooks\Logbooks%202022\NewVMaltLog2022.xls" TargetMode="External"/><Relationship Id="rId1" Type="http://schemas.openxmlformats.org/officeDocument/2006/relationships/externalLinkPath" Target="/Operations/Brewing/Logbooks/Logbooks%202022/NewVMaltLog2022.xls" TargetMode="External"/></Relationships>
</file>

<file path=xl/externalLinks/_rels/externalLink2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MackLog2022.xls" TargetMode="External"/><Relationship Id="rId2" Type="http://schemas.openxmlformats.org/officeDocument/2006/relationships/externalLinkPath" Target="file:///F:\Operations\Brewing\Logbooks\Logbooks%202022\NewMackLog2022.xls" TargetMode="External"/><Relationship Id="rId1" Type="http://schemas.openxmlformats.org/officeDocument/2006/relationships/externalLinkPath" Target="/Operations/Brewing/Logbooks/Logbooks%202022/NewMackLog2022.xls" TargetMode="External"/></Relationships>
</file>

<file path=xl/externalLinks/_rels/externalLink2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SMaltLog2022.xls" TargetMode="External"/><Relationship Id="rId2" Type="http://schemas.openxmlformats.org/officeDocument/2006/relationships/externalLinkPath" Target="file:///F:\Operations\Brewing\Logbooks\Logbooks%202022\NewSMaltLog2022.xls" TargetMode="External"/><Relationship Id="rId1" Type="http://schemas.openxmlformats.org/officeDocument/2006/relationships/externalLinkPath" Target="/Operations/Brewing/Logbooks/Logbooks%202022/NewSMaltLog2022.xls" TargetMode="External"/></Relationships>
</file>

<file path=xl/externalLinks/_rels/externalLink2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HRLog2022.xls" TargetMode="External"/><Relationship Id="rId2" Type="http://schemas.openxmlformats.org/officeDocument/2006/relationships/externalLinkPath" Target="file:///F:\Operations\Brewing\Logbooks\Logbooks%202022\NewHRLog2022.xls" TargetMode="External"/><Relationship Id="rId1" Type="http://schemas.openxmlformats.org/officeDocument/2006/relationships/externalLinkPath" Target="/Operations/Brewing/Logbooks/Logbooks%202022/NewHRLog2022.xls" TargetMode="External"/></Relationships>
</file>

<file path=xl/externalLinks/_rels/externalLink23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January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Jan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anuary%20'23%20Daily%20Process%20Report%202023.xlsx" TargetMode="External"/></Relationships>
</file>

<file path=xl/externalLinks/_rels/externalLink24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February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Febr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February%20'23%20Daily%20Process%20Report%202023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../2023%20Daily%20Process%20Report/March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March%20'23%20Daily%20Process%20Report%202023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../2023%20Daily%20Process%20Report/April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April%20'23%20Daily%20Process%20Report%202023.xlsx" TargetMode="External"/></Relationships>
</file>

<file path=xl/externalLinks/_rels/externalLink27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June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June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ne%20'23%20Daily%20Process%20Report%202023.xlsx" TargetMode="External"/></Relationships>
</file>

<file path=xl/externalLinks/_rels/externalLink28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July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Jul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ly%20'23%20Daily%20Process%20Report%202023.xlsx" TargetMode="External"/></Relationships>
</file>

<file path=xl/externalLinks/_rels/externalLink29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August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August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August%20'23%20Daily%20Process%20Report%202023.xlsx" TargetMode="External"/></Relationships>
</file>

<file path=xl/externalLinks/_rels/externalLink30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October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October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October%20'23%20Daily%20Process%20Report%202023.xlsx" TargetMode="External"/></Relationships>
</file>

<file path=xl/externalLinks/_rels/externalLink3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Daily_Brewhouse_Efficiency/Daily_Brewhouse_Efficiency_2023.xls" TargetMode="External"/><Relationship Id="rId2" Type="http://schemas.openxmlformats.org/officeDocument/2006/relationships/externalLinkPath" Target="file:///F:\Operations\Reshelle\Brewing\Daily_Brewhouse_Efficiency\Daily_Brewhouse_Efficiency_2023.xls" TargetMode="External"/><Relationship Id="rId1" Type="http://schemas.openxmlformats.org/officeDocument/2006/relationships/externalLinkPath" Target="/Operations/Reshelle/Brewing/Daily_Brewhouse_Efficiency/Daily_Brewhouse_Efficiency_2023.xls" TargetMode="External"/></Relationships>
</file>

<file path=xl/externalLinks/_rels/externalLink3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Filtration_Throughput/Filtration_Throughput_2023.xlsx" TargetMode="External"/><Relationship Id="rId2" Type="http://schemas.openxmlformats.org/officeDocument/2006/relationships/externalLinkPath" Target="file:///F:\Operations\Reshelle\Brewing\Filtration_Throughput\Filtration_Throughput_2023.xlsx" TargetMode="External"/><Relationship Id="rId1" Type="http://schemas.openxmlformats.org/officeDocument/2006/relationships/externalLinkPath" Target="/Operations/Reshelle/Brewing/Filtration_Throughput/Filtration_Throughput_2023.xlsx" TargetMode="External"/></Relationships>
</file>

<file path=xl/externalLinks/_rels/externalLink3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osses%202026/April_2026.xls" TargetMode="External"/><Relationship Id="rId2" Type="http://schemas.openxmlformats.org/officeDocument/2006/relationships/externalLinkPath" Target="file:///F:\Operations\Brewing\Reports%20Local\Losses%202026\April_2026.xls" TargetMode="External"/><Relationship Id="rId1" Type="http://schemas.openxmlformats.org/officeDocument/2006/relationships/externalLinkPath" Target="/Operations/Brewing/Reports%20Local/Losses%202026/April_202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CaribLog2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StagLog2.xls" TargetMode="External"/></Relationships>
</file>

<file path=xl/externalLinks/_rels/externalLink3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NewVMaltLog.xls" TargetMode="External"/><Relationship Id="rId2" Type="http://schemas.openxmlformats.org/officeDocument/2006/relationships/externalLinkPath" Target="file:///F:\Operations\Brewing\Logbooks\NewVMaltLog.xls" TargetMode="External"/><Relationship Id="rId1" Type="http://schemas.openxmlformats.org/officeDocument/2006/relationships/externalLinkPath" Target="/Operations/Brewing/Logbooks/NewVMaltLog.xls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Logbooks/NewMMaltLog.xls" TargetMode="External"/><Relationship Id="rId1" Type="http://schemas.openxmlformats.org/officeDocument/2006/relationships/externalLinkPath" Target="/Operations/Brewing/Logbooks/NewMMaltLog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2022%20Daily%20Process%20Report/January%20'22%20Daily%20Process%20Report%202022.xlsx" TargetMode="External"/><Relationship Id="rId1" Type="http://schemas.openxmlformats.org/officeDocument/2006/relationships/externalLinkPath" Target="/Operations/Brewing/Reports%20Local/Daily%20Process%20Report/2022%20Daily%20Process%20Report/January%20'22%20Daily%20Process%20Report%202022.xlsx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../2022%20Daily%20Process%20Report/February%20'22%20Daily%20Process%20Report%202022.xlsx" TargetMode="External"/><Relationship Id="rId1" Type="http://schemas.openxmlformats.org/officeDocument/2006/relationships/externalLinkPath" Target="/Operations/Brewing/Reports%20Local/Daily%20Process%20Report/2022%20Daily%20Process%20Report/February%20'22%20Daily%20Process%20Report%202022.xlsx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../2022%20Daily%20Process%20Report/May%20'22%20Daily%20Process%20Report%202022.xlsx" TargetMode="External"/><Relationship Id="rId1" Type="http://schemas.openxmlformats.org/officeDocument/2006/relationships/externalLinkPath" Target="/Operations/Brewing/Reports%20Local/Daily%20Process%20Report/2022%20Daily%20Process%20Report/May%20'22%20Daily%20Process%20Report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MTD_Links"/>
      <sheetName val="YTD_Link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10">
          <cell r="I10">
            <v>99.750932208295694</v>
          </cell>
        </row>
      </sheetData>
      <sheetData sheetId="137">
        <row r="10">
          <cell r="I10">
            <v>92.554657395524345</v>
          </cell>
        </row>
      </sheetData>
      <sheetData sheetId="138">
        <row r="10">
          <cell r="I10">
            <v>93.061018396064128</v>
          </cell>
        </row>
      </sheetData>
      <sheetData sheetId="139">
        <row r="10">
          <cell r="I10">
            <v>94.662435717962396</v>
          </cell>
        </row>
      </sheetData>
      <sheetData sheetId="140">
        <row r="10">
          <cell r="I10">
            <v>92.045957227088977</v>
          </cell>
        </row>
      </sheetData>
      <sheetData sheetId="141">
        <row r="10">
          <cell r="I10">
            <v>91.890983117060841</v>
          </cell>
        </row>
      </sheetData>
      <sheetData sheetId="142">
        <row r="10">
          <cell r="I10">
            <v>91.025110697731037</v>
          </cell>
        </row>
      </sheetData>
      <sheetData sheetId="143"/>
      <sheetData sheetId="144">
        <row r="10">
          <cell r="I10">
            <v>90.366953732682646</v>
          </cell>
        </row>
      </sheetData>
      <sheetData sheetId="145">
        <row r="10">
          <cell r="I10">
            <v>97.702971903640275</v>
          </cell>
        </row>
      </sheetData>
      <sheetData sheetId="146">
        <row r="10">
          <cell r="I10">
            <v>99.810032745121021</v>
          </cell>
        </row>
      </sheetData>
      <sheetData sheetId="147">
        <row r="10">
          <cell r="I10">
            <v>94.627590963754557</v>
          </cell>
        </row>
      </sheetData>
      <sheetData sheetId="148">
        <row r="10">
          <cell r="I10">
            <v>94.899173579696182</v>
          </cell>
        </row>
      </sheetData>
      <sheetData sheetId="149"/>
      <sheetData sheetId="150">
        <row r="10">
          <cell r="I10">
            <v>96.082518252933426</v>
          </cell>
        </row>
      </sheetData>
      <sheetData sheetId="151">
        <row r="10">
          <cell r="I10">
            <v>93.775699444109193</v>
          </cell>
        </row>
      </sheetData>
      <sheetData sheetId="152">
        <row r="11">
          <cell r="I11">
            <v>96.926141806735757</v>
          </cell>
        </row>
      </sheetData>
      <sheetData sheetId="153"/>
      <sheetData sheetId="154">
        <row r="10">
          <cell r="I10">
            <v>94.523973772447604</v>
          </cell>
        </row>
      </sheetData>
      <sheetData sheetId="155">
        <row r="10">
          <cell r="I10">
            <v>94.570474921386278</v>
          </cell>
        </row>
      </sheetData>
      <sheetData sheetId="156">
        <row r="10">
          <cell r="I10">
            <v>93.068442573487985</v>
          </cell>
        </row>
      </sheetData>
      <sheetData sheetId="157"/>
      <sheetData sheetId="158">
        <row r="10">
          <cell r="I10">
            <v>93.966969001465571</v>
          </cell>
        </row>
      </sheetData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>
        <row r="10">
          <cell r="I10">
            <v>94.746744496090514</v>
          </cell>
        </row>
      </sheetData>
      <sheetData sheetId="181">
        <row r="10">
          <cell r="I10">
            <v>81.610633396186259</v>
          </cell>
        </row>
      </sheetData>
      <sheetData sheetId="182">
        <row r="10">
          <cell r="I10">
            <v>89.881069793572991</v>
          </cell>
        </row>
      </sheetData>
      <sheetData sheetId="183">
        <row r="10">
          <cell r="I10">
            <v>92.308295030910401</v>
          </cell>
        </row>
      </sheetData>
      <sheetData sheetId="184">
        <row r="10">
          <cell r="I10">
            <v>90.815839711253389</v>
          </cell>
        </row>
      </sheetData>
      <sheetData sheetId="185">
        <row r="10">
          <cell r="I10">
            <v>93.204137247268804</v>
          </cell>
        </row>
      </sheetData>
      <sheetData sheetId="186">
        <row r="10">
          <cell r="I10">
            <v>92.808947037217479</v>
          </cell>
        </row>
      </sheetData>
      <sheetData sheetId="187">
        <row r="10">
          <cell r="I10">
            <v>95.493653491136698</v>
          </cell>
        </row>
      </sheetData>
      <sheetData sheetId="188">
        <row r="10">
          <cell r="I10">
            <v>93.032943465571279</v>
          </cell>
        </row>
      </sheetData>
      <sheetData sheetId="189">
        <row r="10">
          <cell r="I10">
            <v>95.082477249706741</v>
          </cell>
        </row>
      </sheetData>
      <sheetData sheetId="190">
        <row r="10">
          <cell r="I10">
            <v>94.086430493781364</v>
          </cell>
        </row>
      </sheetData>
      <sheetData sheetId="191">
        <row r="10">
          <cell r="I10">
            <v>95.237068907803788</v>
          </cell>
        </row>
      </sheetData>
      <sheetData sheetId="192">
        <row r="10">
          <cell r="I10">
            <v>93.696594322135354</v>
          </cell>
        </row>
      </sheetData>
      <sheetData sheetId="193">
        <row r="10">
          <cell r="I10">
            <v>95.035429294750102</v>
          </cell>
        </row>
      </sheetData>
      <sheetData sheetId="194">
        <row r="10">
          <cell r="I10">
            <v>95.845120933176332</v>
          </cell>
        </row>
      </sheetData>
      <sheetData sheetId="195">
        <row r="10">
          <cell r="I10">
            <v>96.575612538518712</v>
          </cell>
        </row>
      </sheetData>
      <sheetData sheetId="196">
        <row r="10">
          <cell r="I10">
            <v>95.60390348648707</v>
          </cell>
        </row>
      </sheetData>
      <sheetData sheetId="197">
        <row r="10">
          <cell r="I10">
            <v>94.900683340102304</v>
          </cell>
        </row>
      </sheetData>
      <sheetData sheetId="198">
        <row r="10">
          <cell r="I10">
            <v>93.675056093360212</v>
          </cell>
        </row>
      </sheetData>
      <sheetData sheetId="199">
        <row r="10">
          <cell r="I10">
            <v>94.141326868887788</v>
          </cell>
        </row>
      </sheetData>
      <sheetData sheetId="200">
        <row r="10">
          <cell r="I10">
            <v>94.400570300845345</v>
          </cell>
        </row>
      </sheetData>
      <sheetData sheetId="201">
        <row r="11">
          <cell r="I11">
            <v>94.497356214098588</v>
          </cell>
        </row>
      </sheetData>
      <sheetData sheetId="202">
        <row r="10">
          <cell r="I10">
            <v>91.531580743624872</v>
          </cell>
        </row>
      </sheetData>
      <sheetData sheetId="203">
        <row r="10">
          <cell r="I10">
            <v>93.571794724463402</v>
          </cell>
        </row>
      </sheetData>
      <sheetData sheetId="204">
        <row r="10">
          <cell r="I10">
            <v>95.684805072230873</v>
          </cell>
        </row>
      </sheetData>
      <sheetData sheetId="205">
        <row r="10">
          <cell r="I10">
            <v>94.899817680638733</v>
          </cell>
        </row>
      </sheetData>
      <sheetData sheetId="206">
        <row r="10">
          <cell r="I10">
            <v>98.148777849881043</v>
          </cell>
        </row>
      </sheetData>
      <sheetData sheetId="207">
        <row r="10">
          <cell r="I10">
            <v>91.33164066384883</v>
          </cell>
        </row>
      </sheetData>
      <sheetData sheetId="208">
        <row r="10">
          <cell r="I10">
            <v>95.746955675971961</v>
          </cell>
        </row>
      </sheetData>
      <sheetData sheetId="209">
        <row r="10">
          <cell r="I10">
            <v>95.863617376516174</v>
          </cell>
        </row>
      </sheetData>
      <sheetData sheetId="210"/>
      <sheetData sheetId="211">
        <row r="10">
          <cell r="I10">
            <v>93.577418863812994</v>
          </cell>
        </row>
      </sheetData>
      <sheetData sheetId="212">
        <row r="10">
          <cell r="I10">
            <v>95.118868459634214</v>
          </cell>
        </row>
      </sheetData>
      <sheetData sheetId="213">
        <row r="10">
          <cell r="I10">
            <v>93.134820383580376</v>
          </cell>
        </row>
      </sheetData>
      <sheetData sheetId="214">
        <row r="10">
          <cell r="I10">
            <v>95.49640692397216</v>
          </cell>
        </row>
      </sheetData>
      <sheetData sheetId="215">
        <row r="10">
          <cell r="I10">
            <v>91.053396528745949</v>
          </cell>
        </row>
      </sheetData>
      <sheetData sheetId="216">
        <row r="10">
          <cell r="I10">
            <v>95.765002805481018</v>
          </cell>
        </row>
      </sheetData>
      <sheetData sheetId="217">
        <row r="10">
          <cell r="I10">
            <v>92.921491614246094</v>
          </cell>
        </row>
      </sheetData>
      <sheetData sheetId="218">
        <row r="10">
          <cell r="I10">
            <v>92.833655936590446</v>
          </cell>
        </row>
      </sheetData>
      <sheetData sheetId="219">
        <row r="10">
          <cell r="I10">
            <v>86.080188720816224</v>
          </cell>
        </row>
      </sheetData>
      <sheetData sheetId="220">
        <row r="10">
          <cell r="I10">
            <v>98.758814208396146</v>
          </cell>
        </row>
      </sheetData>
      <sheetData sheetId="221">
        <row r="10">
          <cell r="I10">
            <v>95.215143108531947</v>
          </cell>
        </row>
      </sheetData>
      <sheetData sheetId="222">
        <row r="10">
          <cell r="I10">
            <v>94.448105220636052</v>
          </cell>
        </row>
      </sheetData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>
        <row r="10">
          <cell r="I10">
            <v>92.662727799254284</v>
          </cell>
        </row>
      </sheetData>
      <sheetData sheetId="235">
        <row r="10">
          <cell r="I10">
            <v>85.997635221262584</v>
          </cell>
        </row>
      </sheetData>
      <sheetData sheetId="236">
        <row r="10">
          <cell r="I10">
            <v>93.392916824918487</v>
          </cell>
        </row>
      </sheetData>
      <sheetData sheetId="237">
        <row r="10">
          <cell r="I10">
            <v>98.419688132633198</v>
          </cell>
        </row>
      </sheetData>
      <sheetData sheetId="238">
        <row r="10">
          <cell r="I10">
            <v>98.896182519195435</v>
          </cell>
        </row>
      </sheetData>
      <sheetData sheetId="239">
        <row r="10">
          <cell r="I10">
            <v>89.706959355738562</v>
          </cell>
        </row>
      </sheetData>
      <sheetData sheetId="240">
        <row r="10">
          <cell r="I10">
            <v>92.665294455101332</v>
          </cell>
        </row>
      </sheetData>
      <sheetData sheetId="241">
        <row r="10">
          <cell r="I10">
            <v>93.157946425620224</v>
          </cell>
        </row>
      </sheetData>
      <sheetData sheetId="242">
        <row r="10">
          <cell r="I10">
            <v>93.127008978016477</v>
          </cell>
        </row>
      </sheetData>
      <sheetData sheetId="243">
        <row r="10">
          <cell r="I10">
            <v>89.118933714764424</v>
          </cell>
        </row>
      </sheetData>
      <sheetData sheetId="244">
        <row r="10">
          <cell r="I10">
            <v>92.080920589691559</v>
          </cell>
        </row>
      </sheetData>
      <sheetData sheetId="245">
        <row r="10">
          <cell r="I10">
            <v>83.486440442093041</v>
          </cell>
        </row>
      </sheetData>
      <sheetData sheetId="246">
        <row r="10">
          <cell r="I10">
            <v>93.388712454229619</v>
          </cell>
        </row>
      </sheetData>
      <sheetData sheetId="247">
        <row r="10">
          <cell r="I10">
            <v>97.30268556743809</v>
          </cell>
        </row>
      </sheetData>
      <sheetData sheetId="248">
        <row r="10">
          <cell r="I10">
            <v>91.263443885169522</v>
          </cell>
        </row>
      </sheetData>
      <sheetData sheetId="249">
        <row r="10">
          <cell r="I10">
            <v>97.225481973555304</v>
          </cell>
        </row>
      </sheetData>
      <sheetData sheetId="250">
        <row r="10">
          <cell r="I10">
            <v>97.225481973555304</v>
          </cell>
        </row>
      </sheetData>
      <sheetData sheetId="251"/>
      <sheetData sheetId="252"/>
      <sheetData sheetId="25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wer Performance (2)"/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June 1"/>
      <sheetName val="June 4"/>
      <sheetName val="June 5"/>
      <sheetName val="June 6"/>
      <sheetName val="June 7"/>
      <sheetName val="June 8"/>
      <sheetName val="June 11"/>
      <sheetName val="June 12"/>
      <sheetName val="June 16"/>
      <sheetName val="June 17"/>
      <sheetName val="June 18"/>
      <sheetName val="June 19"/>
      <sheetName val="June 20"/>
      <sheetName val="June 21"/>
      <sheetName val="June 22"/>
      <sheetName val="June 24"/>
      <sheetName val="June 25"/>
      <sheetName val="June 26"/>
      <sheetName val="June 27"/>
      <sheetName val="June 28"/>
      <sheetName val="June 29"/>
      <sheetName val="July 1"/>
      <sheetName val="July 2"/>
      <sheetName val="July 3"/>
      <sheetName val="July4"/>
      <sheetName val="July5"/>
      <sheetName val="July 8"/>
      <sheetName val="July 9"/>
      <sheetName val="July10"/>
      <sheetName val="July 11"/>
      <sheetName val="July 12"/>
      <sheetName val="July 13"/>
      <sheetName val="July 14 &amp;15"/>
      <sheetName val="July 16"/>
      <sheetName val="July 17"/>
      <sheetName val="July 18"/>
      <sheetName val="July 19"/>
      <sheetName val="July 21&amp;22"/>
      <sheetName val="July23"/>
      <sheetName val="July 24&amp;25"/>
      <sheetName val="July 25"/>
      <sheetName val="July 26"/>
      <sheetName val="July 27"/>
      <sheetName val="July 29"/>
      <sheetName val="July 30"/>
      <sheetName val="July 31"/>
      <sheetName val="Aug1"/>
      <sheetName val="Aug2"/>
      <sheetName val="Aug3&amp;4"/>
      <sheetName val="Aug7"/>
      <sheetName val="Aug8"/>
      <sheetName val="Aug9"/>
      <sheetName val="Aug10"/>
      <sheetName val="Aug15"/>
      <sheetName val="Aug16"/>
      <sheetName val="Aug17"/>
      <sheetName val="Aug20"/>
      <sheetName val="Aug21"/>
      <sheetName val="Aug22"/>
      <sheetName val="Aug27"/>
      <sheetName val="Aug28"/>
      <sheetName val="Aug29"/>
      <sheetName val="Aug30"/>
      <sheetName val="Aug31"/>
      <sheetName val="September2"/>
      <sheetName val="September3"/>
      <sheetName val="Sept.4"/>
      <sheetName val="Sept.5"/>
      <sheetName val="Sept.6"/>
      <sheetName val="Sept.7 &amp;8"/>
      <sheetName val="Sept.10"/>
      <sheetName val="Sept.11"/>
      <sheetName val="Sept.12"/>
      <sheetName val="Sept.13"/>
      <sheetName val="Sept.14"/>
      <sheetName val="Sept.17"/>
      <sheetName val="Sept.18"/>
      <sheetName val="Sept.19"/>
      <sheetName val="Sept.20"/>
      <sheetName val="Sept.21"/>
      <sheetName val="Sept.22"/>
      <sheetName val="Sept.23"/>
      <sheetName val="Sept.24"/>
      <sheetName val="Sept.25"/>
      <sheetName val="Sept.26"/>
      <sheetName val="Sept.27"/>
      <sheetName val="Sept.28"/>
      <sheetName val="Sept.29"/>
      <sheetName val="Oct.1"/>
      <sheetName val="Oct.2"/>
      <sheetName val="Oct.3"/>
      <sheetName val="Oct.4"/>
      <sheetName val="Oct.5"/>
      <sheetName val="Oct.6"/>
      <sheetName val="Oct.7"/>
      <sheetName val="Oct.8"/>
      <sheetName val="Oct.9"/>
      <sheetName val="Oct.10"/>
      <sheetName val="Oct.11"/>
      <sheetName val="Oct.12"/>
      <sheetName val="Oct.13"/>
      <sheetName val="Oct.15"/>
      <sheetName val="Oct.16"/>
      <sheetName val="Oct.17"/>
      <sheetName val="Oct.18"/>
      <sheetName val="Oct.19"/>
      <sheetName val="Oct.21"/>
      <sheetName val="Oct.22"/>
      <sheetName val="Oct.23"/>
      <sheetName val="Oct.24"/>
      <sheetName val="Oct.26"/>
      <sheetName val="Oct.28"/>
      <sheetName val="Oct.29"/>
      <sheetName val="Oct.30"/>
      <sheetName val="Oct.31"/>
      <sheetName val="Nov. 1"/>
      <sheetName val="Nov. 2,3 &amp;4"/>
      <sheetName val="Nov. 5"/>
      <sheetName val="Nov. 6"/>
      <sheetName val="Nov. 8"/>
      <sheetName val="Nov. 9"/>
      <sheetName val="Nov. 10"/>
      <sheetName val="Nov. 11"/>
      <sheetName val="Nov. 12&amp;13"/>
      <sheetName val="Nov. 14"/>
      <sheetName val="Nov. 15"/>
      <sheetName val="Nov. 16&amp;17"/>
      <sheetName val="Nov. 19"/>
      <sheetName val="Nov. 20"/>
      <sheetName val="Nov. 21"/>
      <sheetName val="Nov. 22"/>
      <sheetName val="Nov. 23"/>
      <sheetName val="Nov.24"/>
      <sheetName val="Nov.25"/>
      <sheetName val="Nov.26"/>
      <sheetName val="Nov.27&amp;28th"/>
      <sheetName val="Nov.29"/>
      <sheetName val="Nov.30"/>
      <sheetName val="Dec.1 &amp;2"/>
      <sheetName val="Dec.3"/>
      <sheetName val="Dec. 4"/>
      <sheetName val="Dec. 5"/>
      <sheetName val="Dec. 6 "/>
      <sheetName val="Dec. 7"/>
      <sheetName val="Dec. 8 "/>
      <sheetName val="Dec. 9"/>
      <sheetName val="Dec. 10"/>
      <sheetName val="Dec. 11"/>
      <sheetName val="Dec. 12"/>
      <sheetName val="Dec. 13"/>
      <sheetName val="Dec. 14"/>
      <sheetName val="Dec. 15"/>
      <sheetName val="Dec. 17"/>
      <sheetName val="Dec. 18"/>
      <sheetName val="Dec. 19"/>
      <sheetName val="Dec. 20"/>
      <sheetName val="Dec. 21"/>
      <sheetName val="Dec. 22"/>
      <sheetName val="Dec. 26"/>
      <sheetName val="Dec. 27"/>
      <sheetName val="Dec. 28"/>
      <sheetName val="Dec. 31"/>
      <sheetName val="Jan. 02"/>
      <sheetName val="Jan. 03"/>
      <sheetName val="Jan. 04"/>
      <sheetName val="Jan. 07"/>
      <sheetName val="Jan. 08"/>
      <sheetName val="Jan. 09"/>
      <sheetName val="Jan. 10"/>
      <sheetName val="Jan. 11"/>
      <sheetName val="Jan. 13"/>
      <sheetName val="Jan. 14"/>
      <sheetName val="Jan. 15"/>
      <sheetName val="Jan. 16"/>
      <sheetName val="Jan. 17"/>
      <sheetName val="Jan. 18"/>
      <sheetName val="Jan. 21"/>
      <sheetName val="Jan. 22"/>
      <sheetName val="Jan. 23"/>
      <sheetName val="Jan. 24"/>
      <sheetName val="Jan. 25"/>
      <sheetName val="Jan. 28"/>
      <sheetName val="Jan. 29"/>
      <sheetName val="Jan. 30"/>
      <sheetName val="Feb. 3"/>
      <sheetName val="Feb. 4"/>
      <sheetName val="Feb. 5"/>
      <sheetName val="Feb.6"/>
      <sheetName val="Feb.8"/>
      <sheetName val="Feb. 9"/>
      <sheetName val="Feb. 11"/>
      <sheetName val="Feb. 14"/>
      <sheetName val="Feb. 17"/>
      <sheetName val="Feb. 18"/>
      <sheetName val="Feb. 19"/>
      <sheetName val="Feb.20"/>
      <sheetName val="Feb.21"/>
      <sheetName val="Feb.22"/>
      <sheetName val="Feb.24"/>
      <sheetName val="Feb.25"/>
      <sheetName val="Feb.26"/>
      <sheetName val="Feb.27"/>
      <sheetName val="Feb.28"/>
      <sheetName val="March.1"/>
      <sheetName val="March.3"/>
      <sheetName val="March.4"/>
      <sheetName val="March.6"/>
      <sheetName val="March.7"/>
      <sheetName val="March.8"/>
      <sheetName val="March.11"/>
      <sheetName val="March.12"/>
      <sheetName val="March.13"/>
      <sheetName val="March.14"/>
      <sheetName val="March.15"/>
      <sheetName val="March.16"/>
      <sheetName val="March.18"/>
      <sheetName val="March.19"/>
      <sheetName val="March.20"/>
      <sheetName val="March.21"/>
      <sheetName val="March.22"/>
      <sheetName val="March.24"/>
      <sheetName val="March.25"/>
      <sheetName val="March.26"/>
      <sheetName val="March.27"/>
      <sheetName val="March.28"/>
      <sheetName val="March.29"/>
      <sheetName val="March.31"/>
      <sheetName val="April.1"/>
      <sheetName val="April.2"/>
      <sheetName val="April.3"/>
      <sheetName val="April.4"/>
      <sheetName val="April.5"/>
      <sheetName val="April.8"/>
      <sheetName val="April.9"/>
      <sheetName val="April.10"/>
      <sheetName val="April.11"/>
      <sheetName val="April.12"/>
      <sheetName val="April.14"/>
      <sheetName val="April.15"/>
      <sheetName val="April.16"/>
      <sheetName val="April.17"/>
      <sheetName val="April.18"/>
      <sheetName val="April.23"/>
      <sheetName val="April.24"/>
      <sheetName val="April.25"/>
      <sheetName val="April.26"/>
      <sheetName val="April.28"/>
      <sheetName val="April.29"/>
      <sheetName val="April.30"/>
      <sheetName val="May.1&amp;2"/>
      <sheetName val="May.3"/>
      <sheetName val="May.5"/>
      <sheetName val="May.6 "/>
      <sheetName val="May.7"/>
      <sheetName val="May.8"/>
      <sheetName val="May.9"/>
      <sheetName val="May.10"/>
      <sheetName val="May.11"/>
      <sheetName val="May.13"/>
      <sheetName val="May.14"/>
      <sheetName val="May.15"/>
      <sheetName val="May.16"/>
      <sheetName val="May.17"/>
      <sheetName val="May.18"/>
      <sheetName val="May.19"/>
      <sheetName val="May.20"/>
      <sheetName val="May.21"/>
      <sheetName val="May.22"/>
      <sheetName val="May.23"/>
      <sheetName val="May.31"/>
      <sheetName val="June1"/>
      <sheetName val="June3"/>
      <sheetName val="June4"/>
      <sheetName val="June5"/>
      <sheetName val="June6"/>
      <sheetName val="June7"/>
      <sheetName val="June8"/>
      <sheetName val="June11"/>
      <sheetName val="June12"/>
      <sheetName val="June13"/>
      <sheetName val="June14"/>
      <sheetName val="June17"/>
      <sheetName val="June18"/>
      <sheetName val="June19"/>
      <sheetName val="June21"/>
      <sheetName val="June22"/>
      <sheetName val="June23"/>
      <sheetName val="June24"/>
      <sheetName val="June25"/>
      <sheetName val="June26"/>
      <sheetName val="June27"/>
      <sheetName val="June28"/>
      <sheetName val="July1"/>
      <sheetName val="July2"/>
      <sheetName val="July03"/>
      <sheetName val="July04"/>
      <sheetName val="July05"/>
      <sheetName val="July08"/>
      <sheetName val="July09"/>
      <sheetName val="July-10"/>
      <sheetName val="July-11"/>
      <sheetName val="July-12"/>
      <sheetName val="July-15"/>
      <sheetName val="July-16"/>
      <sheetName val="July-17"/>
      <sheetName val="July-18"/>
      <sheetName val="July-19"/>
      <sheetName val="July-22 "/>
      <sheetName val="July-23"/>
      <sheetName val="July-24 "/>
      <sheetName val="July-25 "/>
      <sheetName val="July-27 "/>
      <sheetName val="July-29 "/>
      <sheetName val="July-30 "/>
      <sheetName val="July-31 "/>
      <sheetName val="August-1"/>
      <sheetName val="August-2"/>
      <sheetName val="August-3"/>
      <sheetName val="August-6"/>
      <sheetName val="August-7"/>
      <sheetName val="August-8"/>
      <sheetName val="August-9"/>
      <sheetName val="August-14"/>
      <sheetName val="August-15"/>
      <sheetName val="August-16"/>
      <sheetName val="August-19"/>
      <sheetName val="August-20"/>
      <sheetName val="August-21"/>
      <sheetName val="August-22"/>
      <sheetName val="August-23"/>
      <sheetName val="August-26"/>
      <sheetName val="August-27"/>
      <sheetName val="August-28 "/>
      <sheetName val="August-30 "/>
      <sheetName val="September-2"/>
      <sheetName val="September-3"/>
      <sheetName val="September-4"/>
      <sheetName val="September-5"/>
      <sheetName val="September-6"/>
      <sheetName val="September-9"/>
      <sheetName val="September-10"/>
      <sheetName val="September-11"/>
      <sheetName val="September-12"/>
      <sheetName val="September-13"/>
      <sheetName val="September-16"/>
      <sheetName val="September-17"/>
      <sheetName val="September-18"/>
      <sheetName val="September-19"/>
      <sheetName val="September-20"/>
      <sheetName val="September-23"/>
      <sheetName val="September-24"/>
      <sheetName val="September-25"/>
      <sheetName val="September-26"/>
      <sheetName val="September-30"/>
      <sheetName val="October-1"/>
      <sheetName val="October-2"/>
      <sheetName val="October-3"/>
      <sheetName val="October-4"/>
      <sheetName val="October-7"/>
      <sheetName val="October-8"/>
      <sheetName val="October-9"/>
      <sheetName val="October-10"/>
      <sheetName val="October-11"/>
      <sheetName val="October-12"/>
      <sheetName val="October-14"/>
      <sheetName val="October-15"/>
      <sheetName val="October-16"/>
      <sheetName val="October-17"/>
      <sheetName val="October-18"/>
      <sheetName val="October-21"/>
      <sheetName val="October-22"/>
      <sheetName val="October-23"/>
      <sheetName val="October-24"/>
      <sheetName val="October-26"/>
      <sheetName val="October-27"/>
      <sheetName val="October-28"/>
      <sheetName val="October-29"/>
      <sheetName val="November-4"/>
      <sheetName val="November-5"/>
      <sheetName val="November-6"/>
      <sheetName val="November-7"/>
      <sheetName val="November-8"/>
      <sheetName val="November-9"/>
      <sheetName val="November-10"/>
      <sheetName val="November-11"/>
      <sheetName val="November-12"/>
      <sheetName val="November-13"/>
      <sheetName val="November-14"/>
      <sheetName val="November-15"/>
      <sheetName val="November-16"/>
      <sheetName val="November-17"/>
      <sheetName val="November-18"/>
      <sheetName val="November-19"/>
      <sheetName val="November-20"/>
      <sheetName val="November-21"/>
      <sheetName val="November-22"/>
      <sheetName val="November-23"/>
      <sheetName val="November-24"/>
      <sheetName val="November-25"/>
      <sheetName val="November-26"/>
      <sheetName val="November-27"/>
      <sheetName val="November-28"/>
      <sheetName val="November-29"/>
      <sheetName val="December-1"/>
      <sheetName val="December-2"/>
      <sheetName val="December-3"/>
      <sheetName val="December-4"/>
      <sheetName val="December-5"/>
      <sheetName val="December-6"/>
      <sheetName val="December-9"/>
      <sheetName val="December-10"/>
      <sheetName val="December-11"/>
      <sheetName val="December-12"/>
      <sheetName val="December-13"/>
      <sheetName val="December-14"/>
      <sheetName val="December-16"/>
      <sheetName val="December-17"/>
      <sheetName val="December-18"/>
      <sheetName val="December-19"/>
      <sheetName val="December-20"/>
      <sheetName val="December-22"/>
      <sheetName val="December-23"/>
      <sheetName val="December-24"/>
      <sheetName val="December-27"/>
      <sheetName val="December-30"/>
      <sheetName val="December-31"/>
      <sheetName val="January-2 "/>
      <sheetName val="January-3"/>
      <sheetName val="January-4"/>
      <sheetName val="January-7"/>
      <sheetName val="January-8"/>
      <sheetName val="January-9"/>
      <sheetName val="January-10"/>
      <sheetName val="January-11"/>
      <sheetName val="January-13"/>
      <sheetName val="January-14"/>
      <sheetName val="January-15"/>
      <sheetName val="January-16"/>
      <sheetName val="January-17"/>
      <sheetName val="January-20"/>
      <sheetName val="January-21"/>
      <sheetName val="January-22"/>
      <sheetName val="Janurary-23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/>
      <sheetData sheetId="697" refreshError="1"/>
      <sheetData sheetId="698">
        <row r="4">
          <cell r="E4" t="str">
            <v>MTD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Summary April '26"/>
      <sheetName val="Summary March '26"/>
      <sheetName val="Summary February '26"/>
      <sheetName val="Summary January '26"/>
      <sheetName val="Packaging"/>
    </sheetNames>
    <sheetDataSet>
      <sheetData sheetId="0"/>
      <sheetData sheetId="1"/>
      <sheetData sheetId="2"/>
      <sheetData sheetId="3"/>
      <sheetData sheetId="5"/>
      <sheetData sheetId="6">
        <row r="22">
          <cell r="AS22">
            <v>90.83852238031325</v>
          </cell>
        </row>
        <row r="23">
          <cell r="AS23">
            <v>96.684836556310898</v>
          </cell>
        </row>
        <row r="24">
          <cell r="AS24">
            <v>99.232339589579539</v>
          </cell>
        </row>
        <row r="25">
          <cell r="AS25">
            <v>97.192444367259839</v>
          </cell>
        </row>
        <row r="26">
          <cell r="AS26">
            <v>97.669442273884727</v>
          </cell>
        </row>
        <row r="27">
          <cell r="AS27">
            <v>98.409669512415022</v>
          </cell>
        </row>
        <row r="28">
          <cell r="AS28">
            <v>98.526897208705151</v>
          </cell>
        </row>
        <row r="29">
          <cell r="AS29">
            <v>98.632992892535128</v>
          </cell>
        </row>
        <row r="30">
          <cell r="AS30">
            <v>109.99798711625786</v>
          </cell>
        </row>
        <row r="31">
          <cell r="AS31">
            <v>97.655248935825526</v>
          </cell>
        </row>
        <row r="32">
          <cell r="AS32">
            <v>95.59750367474058</v>
          </cell>
        </row>
        <row r="33">
          <cell r="AS33">
            <v>91.227014661850589</v>
          </cell>
        </row>
        <row r="34">
          <cell r="AS34">
            <v>99.225964512754345</v>
          </cell>
        </row>
        <row r="35">
          <cell r="AS35">
            <v>96.399159890042384</v>
          </cell>
        </row>
        <row r="36">
          <cell r="AS36">
            <v>97.533873677524795</v>
          </cell>
        </row>
        <row r="37">
          <cell r="AS37">
            <v>98.662767363445553</v>
          </cell>
        </row>
        <row r="38">
          <cell r="AS38">
            <v>98.110362343721974</v>
          </cell>
        </row>
        <row r="39">
          <cell r="AS39">
            <v>97.644364444691902</v>
          </cell>
        </row>
        <row r="40">
          <cell r="AS40">
            <v>97.453064155420094</v>
          </cell>
        </row>
        <row r="41">
          <cell r="AS41">
            <v>100.20702691272596</v>
          </cell>
        </row>
        <row r="42">
          <cell r="AS42">
            <v>96.346712472097764</v>
          </cell>
        </row>
        <row r="43">
          <cell r="AS43">
            <v>97.523568316559476</v>
          </cell>
        </row>
        <row r="44">
          <cell r="AS44">
            <v>95.926010836532257</v>
          </cell>
        </row>
        <row r="45">
          <cell r="AS45">
            <v>93.454371995230545</v>
          </cell>
        </row>
        <row r="46">
          <cell r="AS46">
            <v>98.103230583960681</v>
          </cell>
        </row>
        <row r="47">
          <cell r="AS47">
            <v>100.44904539532449</v>
          </cell>
        </row>
        <row r="48">
          <cell r="AS48">
            <v>95.833135510284677</v>
          </cell>
        </row>
        <row r="49">
          <cell r="AS49">
            <v>99.410610314879818</v>
          </cell>
        </row>
        <row r="50">
          <cell r="AS50">
            <v>97.098158462404967</v>
          </cell>
        </row>
        <row r="51">
          <cell r="AS51">
            <v>0</v>
          </cell>
        </row>
        <row r="52">
          <cell r="AS52">
            <v>104.87426366689108</v>
          </cell>
        </row>
        <row r="53">
          <cell r="AS53">
            <v>101.76112094286238</v>
          </cell>
        </row>
        <row r="54">
          <cell r="AS54">
            <v>95.359527283738572</v>
          </cell>
        </row>
        <row r="55">
          <cell r="AS55">
            <v>95.527344703430927</v>
          </cell>
        </row>
        <row r="56">
          <cell r="AS56">
            <v>100.07660336606865</v>
          </cell>
        </row>
        <row r="57">
          <cell r="AS57">
            <v>99.467327733929991</v>
          </cell>
        </row>
        <row r="58">
          <cell r="AS58">
            <v>99.703032511968686</v>
          </cell>
        </row>
        <row r="59">
          <cell r="AS59">
            <v>97.74414704454891</v>
          </cell>
        </row>
        <row r="60">
          <cell r="AS60">
            <v>98.138276669728526</v>
          </cell>
        </row>
        <row r="61">
          <cell r="AS61">
            <v>100.18497924496634</v>
          </cell>
        </row>
        <row r="62">
          <cell r="AS62">
            <v>98.239543519521192</v>
          </cell>
        </row>
        <row r="63">
          <cell r="AS63">
            <v>98.533695545018929</v>
          </cell>
        </row>
        <row r="64">
          <cell r="AS64">
            <v>106.23422780270799</v>
          </cell>
        </row>
        <row r="65">
          <cell r="AS65">
            <v>101.82543081774969</v>
          </cell>
        </row>
        <row r="66">
          <cell r="AS66">
            <v>95.866364717151924</v>
          </cell>
        </row>
        <row r="67">
          <cell r="AS67">
            <v>103.14086541165727</v>
          </cell>
        </row>
        <row r="68">
          <cell r="AS68">
            <v>98.629167060203699</v>
          </cell>
        </row>
        <row r="69">
          <cell r="AS69">
            <v>98.859186647542359</v>
          </cell>
        </row>
        <row r="70">
          <cell r="AS70">
            <v>96.813810190504412</v>
          </cell>
        </row>
        <row r="71">
          <cell r="AS71">
            <v>99.638493421142599</v>
          </cell>
        </row>
        <row r="72">
          <cell r="AS72">
            <v>99.741578008131555</v>
          </cell>
        </row>
        <row r="73">
          <cell r="AS73">
            <v>100.21398306039248</v>
          </cell>
        </row>
        <row r="74">
          <cell r="AS74">
            <v>95.650862133364953</v>
          </cell>
        </row>
        <row r="75">
          <cell r="AS75">
            <v>98.001099487384138</v>
          </cell>
        </row>
        <row r="76">
          <cell r="AS76">
            <v>97.461393370976353</v>
          </cell>
        </row>
        <row r="77">
          <cell r="AS77">
            <v>98.255217290461545</v>
          </cell>
        </row>
        <row r="78">
          <cell r="AS78">
            <v>99.546243435804755</v>
          </cell>
        </row>
        <row r="79">
          <cell r="AS79">
            <v>98.33017402501261</v>
          </cell>
        </row>
        <row r="80">
          <cell r="AS80">
            <v>98.333997846966298</v>
          </cell>
        </row>
        <row r="81">
          <cell r="AS81">
            <v>94.60432549058099</v>
          </cell>
        </row>
        <row r="82">
          <cell r="AS82">
            <v>99.025209415013663</v>
          </cell>
        </row>
        <row r="83">
          <cell r="AS83">
            <v>94.60432549058099</v>
          </cell>
        </row>
        <row r="84">
          <cell r="AS84">
            <v>99.47104784488721</v>
          </cell>
        </row>
        <row r="85">
          <cell r="AS85">
            <v>99.198378090715636</v>
          </cell>
        </row>
        <row r="86">
          <cell r="AS86">
            <v>98.651407682761771</v>
          </cell>
        </row>
        <row r="87">
          <cell r="AS87">
            <v>95.500399540574435</v>
          </cell>
        </row>
        <row r="88">
          <cell r="AS88">
            <v>97.387098904762667</v>
          </cell>
        </row>
        <row r="89">
          <cell r="AS89">
            <v>93.977530506802793</v>
          </cell>
        </row>
        <row r="90">
          <cell r="AS90">
            <v>103.98288970906668</v>
          </cell>
        </row>
        <row r="91">
          <cell r="AS91">
            <v>95.88635207026536</v>
          </cell>
        </row>
        <row r="92">
          <cell r="AS92">
            <v>97.555318567088662</v>
          </cell>
        </row>
        <row r="93">
          <cell r="AS93">
            <v>98.651407682761771</v>
          </cell>
        </row>
        <row r="94">
          <cell r="AS94">
            <v>98.885347309806249</v>
          </cell>
        </row>
        <row r="95">
          <cell r="AS95">
            <v>97.116026980207323</v>
          </cell>
        </row>
        <row r="96">
          <cell r="AS96">
            <v>98.047046969958473</v>
          </cell>
        </row>
        <row r="97">
          <cell r="AS97">
            <v>98.368823692109089</v>
          </cell>
        </row>
        <row r="98">
          <cell r="AS98">
            <v>96.689071563521296</v>
          </cell>
        </row>
        <row r="99">
          <cell r="AS99">
            <v>99.344647215577908</v>
          </cell>
        </row>
        <row r="100">
          <cell r="AS100">
            <v>99.146354506564776</v>
          </cell>
        </row>
        <row r="101">
          <cell r="AS101">
            <v>96.667077258035434</v>
          </cell>
        </row>
        <row r="102">
          <cell r="AS102">
            <v>97.440413876099711</v>
          </cell>
        </row>
        <row r="103">
          <cell r="AS103">
            <v>98.7497690885385</v>
          </cell>
        </row>
        <row r="104">
          <cell r="AS104">
            <v>99.321694799161747</v>
          </cell>
        </row>
        <row r="105">
          <cell r="AS105">
            <v>100.46208508570412</v>
          </cell>
        </row>
        <row r="106">
          <cell r="AS106">
            <v>100.43231059698405</v>
          </cell>
        </row>
        <row r="107">
          <cell r="AS107">
            <v>95.835506022405141</v>
          </cell>
        </row>
        <row r="108">
          <cell r="AS108">
            <v>96.762123724352961</v>
          </cell>
        </row>
        <row r="109">
          <cell r="AS109">
            <v>99.760146592752164</v>
          </cell>
        </row>
        <row r="110">
          <cell r="AS110">
            <v>111.40726919026143</v>
          </cell>
        </row>
        <row r="111">
          <cell r="AS111">
            <v>93.624091427861956</v>
          </cell>
        </row>
        <row r="112">
          <cell r="AS112">
            <v>99.584274797583333</v>
          </cell>
        </row>
        <row r="113">
          <cell r="AS113">
            <v>99.70978306370283</v>
          </cell>
        </row>
        <row r="114">
          <cell r="AS114">
            <v>97.110300140907029</v>
          </cell>
        </row>
        <row r="115">
          <cell r="AS115">
            <v>92.705086039935708</v>
          </cell>
        </row>
        <row r="116">
          <cell r="AS116">
            <v>97.080519007256299</v>
          </cell>
        </row>
        <row r="117">
          <cell r="AS117">
            <v>97.541311782322396</v>
          </cell>
        </row>
        <row r="118">
          <cell r="AS118">
            <v>97.594273454571933</v>
          </cell>
        </row>
        <row r="119">
          <cell r="AS119">
            <v>92.293331261823425</v>
          </cell>
        </row>
        <row r="120">
          <cell r="AS120">
            <v>97.343784830508056</v>
          </cell>
        </row>
        <row r="121">
          <cell r="AS121">
            <v>96.622655969201077</v>
          </cell>
        </row>
        <row r="122">
          <cell r="AS122">
            <v>99.627850959740556</v>
          </cell>
        </row>
        <row r="123">
          <cell r="AS123">
            <v>95.822053579237433</v>
          </cell>
        </row>
        <row r="124">
          <cell r="AS124">
            <v>92.078533418077527</v>
          </cell>
        </row>
        <row r="125">
          <cell r="AS125">
            <v>91.706323721321553</v>
          </cell>
        </row>
        <row r="126">
          <cell r="AS126">
            <v>97.990435086817186</v>
          </cell>
        </row>
        <row r="127">
          <cell r="AS127">
            <v>98.099792913221961</v>
          </cell>
        </row>
        <row r="128">
          <cell r="AS128">
            <v>97.016230942599037</v>
          </cell>
        </row>
        <row r="129">
          <cell r="AS129">
            <v>97.224790380282329</v>
          </cell>
        </row>
        <row r="130">
          <cell r="AS130">
            <v>100.12446085425042</v>
          </cell>
        </row>
        <row r="131">
          <cell r="AS131">
            <v>97.065060568710209</v>
          </cell>
        </row>
        <row r="132">
          <cell r="AS132">
            <v>99.975893759521298</v>
          </cell>
        </row>
        <row r="133">
          <cell r="AS133">
            <v>97.744854170435261</v>
          </cell>
        </row>
        <row r="134">
          <cell r="AS134">
            <v>97.537234970496229</v>
          </cell>
        </row>
        <row r="135">
          <cell r="AS135">
            <v>100.40321390300859</v>
          </cell>
        </row>
        <row r="136">
          <cell r="AS136">
            <v>96.434077770876058</v>
          </cell>
        </row>
        <row r="137">
          <cell r="AS137">
            <v>98.484252856431482</v>
          </cell>
        </row>
        <row r="138">
          <cell r="AS138">
            <v>95.389217922687735</v>
          </cell>
        </row>
        <row r="139">
          <cell r="AS139">
            <v>99.224351098396042</v>
          </cell>
        </row>
        <row r="140">
          <cell r="AS140">
            <v>99.32353232094539</v>
          </cell>
        </row>
        <row r="141">
          <cell r="AS141">
            <v>98.997632648360266</v>
          </cell>
        </row>
        <row r="142">
          <cell r="AS142">
            <v>97.463760265996399</v>
          </cell>
        </row>
        <row r="143">
          <cell r="AS143">
            <v>98.264063319970077</v>
          </cell>
        </row>
        <row r="144">
          <cell r="AS144">
            <v>98.548192719950322</v>
          </cell>
        </row>
        <row r="145">
          <cell r="AS145">
            <v>98.823429599635432</v>
          </cell>
        </row>
        <row r="146">
          <cell r="AS146">
            <v>100.44128447905582</v>
          </cell>
        </row>
        <row r="147">
          <cell r="AS147">
            <v>99.541673683507312</v>
          </cell>
        </row>
        <row r="148">
          <cell r="AS148">
            <v>98.983156674800313</v>
          </cell>
        </row>
        <row r="149">
          <cell r="AS149">
            <v>98.87270268473425</v>
          </cell>
        </row>
        <row r="150">
          <cell r="AS150">
            <v>93.677898473705298</v>
          </cell>
        </row>
        <row r="151">
          <cell r="AS151">
            <v>96.09626744823305</v>
          </cell>
        </row>
        <row r="152">
          <cell r="AS152">
            <v>97.393225185801398</v>
          </cell>
        </row>
        <row r="153">
          <cell r="AS153">
            <v>99.51827092226965</v>
          </cell>
        </row>
        <row r="154">
          <cell r="AS154">
            <v>98.297037775048096</v>
          </cell>
        </row>
        <row r="155">
          <cell r="AS155">
            <v>98.699180649962642</v>
          </cell>
        </row>
        <row r="156">
          <cell r="AS156">
            <v>99.709379094868325</v>
          </cell>
        </row>
        <row r="157">
          <cell r="AS157">
            <v>99.20510217019843</v>
          </cell>
        </row>
        <row r="158">
          <cell r="AS158">
            <v>95.967564626079536</v>
          </cell>
        </row>
        <row r="159">
          <cell r="AS159">
            <v>99.038293072120226</v>
          </cell>
        </row>
        <row r="160">
          <cell r="AS160">
            <v>100.88509268187487</v>
          </cell>
        </row>
        <row r="161">
          <cell r="AS161">
            <v>100.27544662459104</v>
          </cell>
        </row>
        <row r="162">
          <cell r="AS162">
            <v>97.783409002966863</v>
          </cell>
        </row>
        <row r="163">
          <cell r="AS163">
            <v>99.181519714228756</v>
          </cell>
        </row>
        <row r="164">
          <cell r="AS164">
            <v>99.254628474405266</v>
          </cell>
        </row>
        <row r="165">
          <cell r="AS165">
            <v>99.821646060237796</v>
          </cell>
        </row>
        <row r="166">
          <cell r="AS166">
            <v>100.23336840295755</v>
          </cell>
        </row>
        <row r="167">
          <cell r="AS167">
            <v>99.224984415000222</v>
          </cell>
        </row>
        <row r="168">
          <cell r="AS168">
            <v>97.991392065284458</v>
          </cell>
        </row>
        <row r="169">
          <cell r="AS169">
            <v>98.754567210015793</v>
          </cell>
        </row>
        <row r="170">
          <cell r="AS170">
            <v>95.102929375307482</v>
          </cell>
        </row>
        <row r="171">
          <cell r="AS171">
            <v>99.584274797583333</v>
          </cell>
        </row>
        <row r="172">
          <cell r="AS172">
            <v>99.459082097726125</v>
          </cell>
        </row>
        <row r="173">
          <cell r="AS173">
            <v>99.987853202533756</v>
          </cell>
        </row>
        <row r="174">
          <cell r="AS174">
            <v>99.844431138440441</v>
          </cell>
        </row>
        <row r="175">
          <cell r="AS175">
            <v>99.739560847146265</v>
          </cell>
        </row>
        <row r="176">
          <cell r="AS176">
            <v>99.897261798186378</v>
          </cell>
        </row>
        <row r="177">
          <cell r="AS177">
            <v>97.867313690154518</v>
          </cell>
        </row>
        <row r="178">
          <cell r="AS178">
            <v>98.618699043994994</v>
          </cell>
        </row>
        <row r="179">
          <cell r="A179" t="str">
            <v>ST126</v>
          </cell>
          <cell r="P179">
            <v>61</v>
          </cell>
          <cell r="Q179">
            <v>12.193973634651604</v>
          </cell>
          <cell r="T179">
            <v>0.93680555555555556</v>
          </cell>
          <cell r="U179">
            <v>1.0486111111111112</v>
          </cell>
          <cell r="V179">
            <v>60</v>
          </cell>
          <cell r="AB179">
            <v>53.1</v>
          </cell>
          <cell r="AE179">
            <v>11.8</v>
          </cell>
          <cell r="AG179">
            <v>48.3</v>
          </cell>
          <cell r="AS179">
            <v>95.736023506245473</v>
          </cell>
          <cell r="AT179">
            <v>96.849743624142206</v>
          </cell>
          <cell r="AV179" t="str">
            <v>R. Regis</v>
          </cell>
          <cell r="AW179">
            <v>0.24652777777777779</v>
          </cell>
        </row>
        <row r="180">
          <cell r="A180" t="str">
            <v>ST127</v>
          </cell>
          <cell r="P180">
            <v>59</v>
          </cell>
          <cell r="Q180">
            <v>12.570621468926548</v>
          </cell>
          <cell r="T180">
            <v>1.0291666666666666</v>
          </cell>
          <cell r="U180">
            <v>1.1402777777777777</v>
          </cell>
          <cell r="V180">
            <v>59</v>
          </cell>
          <cell r="AB180">
            <v>53.1</v>
          </cell>
          <cell r="AE180">
            <v>12</v>
          </cell>
          <cell r="AG180">
            <v>49.6</v>
          </cell>
          <cell r="AS180">
            <v>100.19206739033324</v>
          </cell>
          <cell r="AT180">
            <v>101.35723707814648</v>
          </cell>
          <cell r="AV180" t="str">
            <v>R.Sookram</v>
          </cell>
          <cell r="AW180">
            <v>0.24444444444444435</v>
          </cell>
        </row>
        <row r="181">
          <cell r="A181" t="str">
            <v>ST128</v>
          </cell>
          <cell r="P181">
            <v>58</v>
          </cell>
          <cell r="Q181">
            <v>12.947269303201505</v>
          </cell>
          <cell r="T181">
            <v>1.1194444444444445</v>
          </cell>
          <cell r="U181">
            <v>1.2270833333333333</v>
          </cell>
          <cell r="V181">
            <v>61</v>
          </cell>
          <cell r="AB181">
            <v>53.1</v>
          </cell>
          <cell r="AE181">
            <v>12</v>
          </cell>
          <cell r="AG181">
            <v>49.3</v>
          </cell>
          <cell r="AS181">
            <v>99.586066982730401</v>
          </cell>
          <cell r="AT181">
            <v>100.74418927323833</v>
          </cell>
          <cell r="AV181" t="str">
            <v>R.Sookram</v>
          </cell>
          <cell r="AW181">
            <v>0.24791666666666667</v>
          </cell>
        </row>
        <row r="182">
          <cell r="A182" t="str">
            <v>ST129</v>
          </cell>
          <cell r="P182">
            <v>64</v>
          </cell>
          <cell r="Q182">
            <v>14.453860640301313</v>
          </cell>
          <cell r="T182">
            <v>0.21527777777777779</v>
          </cell>
          <cell r="U182">
            <v>0.32777777777777778</v>
          </cell>
          <cell r="V182">
            <v>57</v>
          </cell>
          <cell r="AB182">
            <v>53.1</v>
          </cell>
          <cell r="AE182">
            <v>11.8</v>
          </cell>
          <cell r="AG182">
            <v>49.6</v>
          </cell>
          <cell r="AS182">
            <v>98.561767031560422</v>
          </cell>
          <cell r="AT182">
            <v>99.707594070142719</v>
          </cell>
          <cell r="AV182" t="str">
            <v>R.Sookram</v>
          </cell>
          <cell r="AW182">
            <v>0.2583333333333333</v>
          </cell>
        </row>
        <row r="183">
          <cell r="A183" t="str">
            <v>ST130</v>
          </cell>
          <cell r="P183">
            <v>61</v>
          </cell>
          <cell r="Q183">
            <v>11.440677966101701</v>
          </cell>
          <cell r="T183">
            <v>0.30208333333333331</v>
          </cell>
          <cell r="U183">
            <v>0.41458333333333336</v>
          </cell>
          <cell r="V183">
            <v>62</v>
          </cell>
          <cell r="AB183">
            <v>53.1</v>
          </cell>
          <cell r="AE183">
            <v>12</v>
          </cell>
          <cell r="AG183">
            <v>50</v>
          </cell>
          <cell r="AS183">
            <v>101.12796978064378</v>
          </cell>
          <cell r="AT183">
            <v>102.30363013679882</v>
          </cell>
          <cell r="AV183" t="str">
            <v>R.Sookram</v>
          </cell>
          <cell r="AW183">
            <v>0.25138888888888888</v>
          </cell>
        </row>
        <row r="184">
          <cell r="A184" t="str">
            <v>ST131</v>
          </cell>
          <cell r="P184">
            <v>62</v>
          </cell>
          <cell r="Q184">
            <v>12.570621468926548</v>
          </cell>
          <cell r="T184">
            <v>0.39305555555555555</v>
          </cell>
          <cell r="U184">
            <v>0.50694444444444442</v>
          </cell>
          <cell r="V184">
            <v>62</v>
          </cell>
          <cell r="AB184">
            <v>53.1</v>
          </cell>
          <cell r="AE184">
            <v>11.8</v>
          </cell>
          <cell r="AG184">
            <v>50.2</v>
          </cell>
          <cell r="AS184">
            <v>99.627882297480085</v>
          </cell>
          <cell r="AT184">
            <v>100.78649087336471</v>
          </cell>
          <cell r="AV184" t="str">
            <v>R.Sookram</v>
          </cell>
          <cell r="AW184">
            <v>0.25</v>
          </cell>
        </row>
        <row r="185">
          <cell r="A185" t="str">
            <v>ST132</v>
          </cell>
          <cell r="P185">
            <v>61</v>
          </cell>
          <cell r="Q185">
            <v>11.440677966101701</v>
          </cell>
          <cell r="T185">
            <v>0.48402777777777778</v>
          </cell>
          <cell r="U185">
            <v>0.59652777777777777</v>
          </cell>
          <cell r="V185">
            <v>63</v>
          </cell>
          <cell r="AB185">
            <v>53.1</v>
          </cell>
          <cell r="AE185">
            <v>11.8</v>
          </cell>
          <cell r="AG185">
            <v>50.4</v>
          </cell>
          <cell r="AS185">
            <v>100.02480613133456</v>
          </cell>
          <cell r="AT185">
            <v>101.18803067764104</v>
          </cell>
          <cell r="AV185" t="str">
            <v>D. Gomaz</v>
          </cell>
          <cell r="AW185">
            <v>0.24930555555555556</v>
          </cell>
        </row>
        <row r="186">
          <cell r="A186" t="str">
            <v>ST133</v>
          </cell>
          <cell r="P186">
            <v>61</v>
          </cell>
          <cell r="Q186">
            <v>12.193973634651604</v>
          </cell>
          <cell r="T186">
            <v>0.5708333333333333</v>
          </cell>
          <cell r="U186">
            <v>0.6791666666666667</v>
          </cell>
          <cell r="V186">
            <v>60</v>
          </cell>
          <cell r="AB186">
            <v>53.1</v>
          </cell>
          <cell r="AE186">
            <v>11.9</v>
          </cell>
          <cell r="AG186">
            <v>49.8</v>
          </cell>
          <cell r="AS186">
            <v>99.841325706523776</v>
          </cell>
          <cell r="AT186">
            <v>101.00202821833859</v>
          </cell>
          <cell r="AV186" t="str">
            <v>D. Gomaz</v>
          </cell>
          <cell r="AW186">
            <v>0.24861111111111112</v>
          </cell>
        </row>
        <row r="187">
          <cell r="A187" t="str">
            <v>ST134</v>
          </cell>
          <cell r="P187">
            <v>62</v>
          </cell>
          <cell r="Q187">
            <v>14.186691312384466</v>
          </cell>
          <cell r="T187">
            <v>0.66527777777777775</v>
          </cell>
          <cell r="U187">
            <v>0.77847222222222223</v>
          </cell>
          <cell r="V187">
            <v>61</v>
          </cell>
          <cell r="AB187">
            <v>54.1</v>
          </cell>
          <cell r="AE187">
            <v>11.8</v>
          </cell>
          <cell r="AG187">
            <v>50.4</v>
          </cell>
          <cell r="AS187">
            <v>100.1514729514243</v>
          </cell>
          <cell r="AT187">
            <v>101.31578107127406</v>
          </cell>
          <cell r="AV187" t="str">
            <v>R. Regis</v>
          </cell>
          <cell r="AW187">
            <v>0.25763888888888886</v>
          </cell>
        </row>
        <row r="188">
          <cell r="A188" t="str">
            <v>ST135</v>
          </cell>
          <cell r="P188">
            <v>60</v>
          </cell>
          <cell r="Q188">
            <v>11.598890942698702</v>
          </cell>
          <cell r="T188">
            <v>0.75347222222222221</v>
          </cell>
          <cell r="U188">
            <v>0.8666666666666667</v>
          </cell>
          <cell r="V188">
            <v>62</v>
          </cell>
          <cell r="AB188">
            <v>54.1</v>
          </cell>
          <cell r="AE188">
            <v>11.9</v>
          </cell>
          <cell r="AG188">
            <v>49.8</v>
          </cell>
          <cell r="AS188">
            <v>99.841325706523776</v>
          </cell>
          <cell r="AT188">
            <v>101.00202821833859</v>
          </cell>
          <cell r="AV188" t="str">
            <v>R. Regis</v>
          </cell>
          <cell r="AW188">
            <v>0.25555555555555554</v>
          </cell>
        </row>
        <row r="189">
          <cell r="A189" t="str">
            <v>ST136</v>
          </cell>
          <cell r="P189">
            <v>60</v>
          </cell>
          <cell r="Q189">
            <v>9.380776340110911</v>
          </cell>
          <cell r="T189">
            <v>0.22152777777777777</v>
          </cell>
          <cell r="U189">
            <v>0.33541666666666664</v>
          </cell>
          <cell r="V189">
            <v>61</v>
          </cell>
          <cell r="AB189">
            <v>54.1</v>
          </cell>
          <cell r="AE189">
            <v>12</v>
          </cell>
          <cell r="AG189">
            <v>47.6</v>
          </cell>
          <cell r="AS189">
            <v>95.909461222197507</v>
          </cell>
          <cell r="AT189">
            <v>97.025570091113693</v>
          </cell>
          <cell r="AV189" t="str">
            <v>R. Regis</v>
          </cell>
          <cell r="AW189">
            <v>0.25208333333333333</v>
          </cell>
        </row>
        <row r="190">
          <cell r="A190" t="str">
            <v>ST137</v>
          </cell>
          <cell r="P190">
            <v>60</v>
          </cell>
          <cell r="Q190">
            <v>11.629001883239166</v>
          </cell>
          <cell r="T190">
            <v>0.31666666666666665</v>
          </cell>
          <cell r="U190">
            <v>0.43263888888888891</v>
          </cell>
          <cell r="V190">
            <v>66</v>
          </cell>
          <cell r="AB190">
            <v>53.1</v>
          </cell>
          <cell r="AE190">
            <v>11.9</v>
          </cell>
          <cell r="AG190">
            <v>50.2</v>
          </cell>
          <cell r="AS190">
            <v>100.38900800837614</v>
          </cell>
          <cell r="AT190">
            <v>101.55685741072082</v>
          </cell>
          <cell r="AV190" t="str">
            <v>R.Sookram</v>
          </cell>
          <cell r="AW190">
            <v>0.25555555555555554</v>
          </cell>
        </row>
        <row r="191">
          <cell r="A191" t="str">
            <v>ST138</v>
          </cell>
          <cell r="P191">
            <v>58</v>
          </cell>
          <cell r="Q191">
            <v>11.817325800376645</v>
          </cell>
          <cell r="T191">
            <v>0.42222222222222222</v>
          </cell>
          <cell r="U191">
            <v>0.54166666666666663</v>
          </cell>
          <cell r="V191">
            <v>62</v>
          </cell>
          <cell r="AB191">
            <v>53.1</v>
          </cell>
          <cell r="AE191">
            <v>11.9</v>
          </cell>
          <cell r="AG191">
            <v>50</v>
          </cell>
          <cell r="AS191">
            <v>100.11551319871461</v>
          </cell>
          <cell r="AT191">
            <v>101.27979261022284</v>
          </cell>
          <cell r="AV191" t="str">
            <v>R.Sookram</v>
          </cell>
          <cell r="AW191">
            <v>0.27083333333333331</v>
          </cell>
        </row>
        <row r="192">
          <cell r="A192" t="str">
            <v>ST139</v>
          </cell>
          <cell r="P192">
            <v>58</v>
          </cell>
          <cell r="Q192">
            <v>14.83050847457627</v>
          </cell>
          <cell r="T192">
            <v>0.53749999999999998</v>
          </cell>
          <cell r="U192">
            <v>0.65625</v>
          </cell>
          <cell r="V192">
            <v>62</v>
          </cell>
          <cell r="AB192">
            <v>53.1</v>
          </cell>
          <cell r="AE192">
            <v>11.9</v>
          </cell>
          <cell r="AG192">
            <v>49.8</v>
          </cell>
          <cell r="AS192">
            <v>99.841325706523776</v>
          </cell>
          <cell r="AT192">
            <v>101.00202821833859</v>
          </cell>
          <cell r="AV192" t="str">
            <v>R.Sookram</v>
          </cell>
          <cell r="AW192">
            <v>0.25694444444444442</v>
          </cell>
        </row>
        <row r="193">
          <cell r="A193" t="str">
            <v>ST140</v>
          </cell>
          <cell r="P193">
            <v>59</v>
          </cell>
          <cell r="Q193">
            <v>12.382297551789083</v>
          </cell>
          <cell r="T193">
            <v>0.63472222222222219</v>
          </cell>
          <cell r="U193">
            <v>0.74375000000000002</v>
          </cell>
          <cell r="V193">
            <v>61</v>
          </cell>
          <cell r="AB193">
            <v>53.1</v>
          </cell>
          <cell r="AE193">
            <v>11.9</v>
          </cell>
          <cell r="AG193">
            <v>47.8</v>
          </cell>
          <cell r="AS193">
            <v>95.710430617971156</v>
          </cell>
          <cell r="AT193">
            <v>96.823481735373022</v>
          </cell>
          <cell r="AV193" t="str">
            <v>R.Sookram</v>
          </cell>
          <cell r="AW193">
            <v>0.25416666666666671</v>
          </cell>
        </row>
        <row r="194">
          <cell r="A194" t="str">
            <v>ST141</v>
          </cell>
          <cell r="P194">
            <v>59</v>
          </cell>
          <cell r="Q194">
            <v>14.453860640301313</v>
          </cell>
          <cell r="T194">
            <v>0.73750000000000004</v>
          </cell>
          <cell r="U194">
            <v>0.84791666666666665</v>
          </cell>
          <cell r="V194">
            <v>60</v>
          </cell>
          <cell r="AB194">
            <v>53.1</v>
          </cell>
          <cell r="AE194">
            <v>12</v>
          </cell>
          <cell r="AG194">
            <v>47.1</v>
          </cell>
          <cell r="AS194">
            <v>95.142063993643049</v>
          </cell>
          <cell r="AT194">
            <v>96.248505370578613</v>
          </cell>
          <cell r="AV194" t="str">
            <v>R.Sookram</v>
          </cell>
          <cell r="AW194">
            <v>0.26458333333333328</v>
          </cell>
        </row>
        <row r="195">
          <cell r="A195" t="str">
            <v>ST142</v>
          </cell>
          <cell r="P195">
            <v>59</v>
          </cell>
          <cell r="Q195">
            <v>14.265536723163846</v>
          </cell>
          <cell r="T195">
            <v>0.84583333333333333</v>
          </cell>
          <cell r="U195">
            <v>0.94930555555555551</v>
          </cell>
          <cell r="V195">
            <v>58</v>
          </cell>
          <cell r="AB195">
            <v>53.1</v>
          </cell>
          <cell r="AE195">
            <v>12</v>
          </cell>
          <cell r="AG195">
            <v>48.9</v>
          </cell>
          <cell r="AS195">
            <v>98.778066439259973</v>
          </cell>
          <cell r="AT195">
            <v>99.926792200027464</v>
          </cell>
          <cell r="AV195" t="str">
            <v>R.Sookram</v>
          </cell>
          <cell r="AW195">
            <v>0.26388888888888884</v>
          </cell>
        </row>
        <row r="196">
          <cell r="A196" t="str">
            <v>ST143</v>
          </cell>
          <cell r="P196">
            <v>59</v>
          </cell>
          <cell r="Q196">
            <v>14.453860640301313</v>
          </cell>
          <cell r="T196">
            <v>0.95</v>
          </cell>
          <cell r="U196">
            <v>1.0625</v>
          </cell>
          <cell r="V196">
            <v>58</v>
          </cell>
          <cell r="AB196">
            <v>53.1</v>
          </cell>
          <cell r="AE196">
            <v>12.5</v>
          </cell>
          <cell r="AG196">
            <v>48.9</v>
          </cell>
          <cell r="AS196">
            <v>103.1035390938454</v>
          </cell>
          <cell r="AT196">
            <v>104.30256733617517</v>
          </cell>
          <cell r="AV196" t="str">
            <v>R.Sookram</v>
          </cell>
          <cell r="AW196">
            <v>0.27430555555555558</v>
          </cell>
        </row>
        <row r="197">
          <cell r="A197" t="str">
            <v>ST144</v>
          </cell>
          <cell r="P197">
            <v>61</v>
          </cell>
          <cell r="Q197">
            <v>10.499058380414318</v>
          </cell>
          <cell r="T197">
            <v>0.18541666666666667</v>
          </cell>
          <cell r="U197">
            <v>0.29652777777777778</v>
          </cell>
          <cell r="V197">
            <v>60</v>
          </cell>
          <cell r="AB197">
            <v>53.1</v>
          </cell>
          <cell r="AE197">
            <v>11.8</v>
          </cell>
          <cell r="AG197">
            <v>48.1</v>
          </cell>
          <cell r="AS197">
            <v>94.932222480540901</v>
          </cell>
          <cell r="AT197">
            <v>95.965303396736559</v>
          </cell>
          <cell r="AV197" t="str">
            <v>D. Gomaz</v>
          </cell>
          <cell r="AW197">
            <v>0.25486111111111109</v>
          </cell>
        </row>
        <row r="198">
          <cell r="A198" t="str">
            <v>ST145</v>
          </cell>
          <cell r="P198">
            <v>59</v>
          </cell>
          <cell r="Q198">
            <v>8.4274952919020727</v>
          </cell>
          <cell r="T198">
            <v>0.29791666666666666</v>
          </cell>
          <cell r="U198">
            <v>0.40277777777777779</v>
          </cell>
          <cell r="V198">
            <v>57</v>
          </cell>
          <cell r="AB198">
            <v>53.1</v>
          </cell>
          <cell r="AE198">
            <v>11.8</v>
          </cell>
          <cell r="AG198">
            <v>49.4</v>
          </cell>
          <cell r="AS198">
            <v>97.990481101055011</v>
          </cell>
          <cell r="AT198">
            <v>99.0554313671351</v>
          </cell>
          <cell r="AV198" t="str">
            <v>D. Gomaz</v>
          </cell>
          <cell r="AW198">
            <v>0.27083333333333337</v>
          </cell>
        </row>
        <row r="199">
          <cell r="A199" t="str">
            <v>ST146</v>
          </cell>
          <cell r="P199">
            <v>61</v>
          </cell>
          <cell r="Q199">
            <v>8.8041431261770189</v>
          </cell>
          <cell r="T199">
            <v>0.39652777777777776</v>
          </cell>
          <cell r="U199">
            <v>0.50694444444444442</v>
          </cell>
          <cell r="V199">
            <v>59</v>
          </cell>
          <cell r="AB199">
            <v>53.1</v>
          </cell>
          <cell r="AE199">
            <v>11.9</v>
          </cell>
          <cell r="AG199">
            <v>49.6</v>
          </cell>
          <cell r="AS199">
            <v>98.889572525993941</v>
          </cell>
          <cell r="AT199">
            <v>99.965363730367002</v>
          </cell>
          <cell r="AV199" t="str">
            <v>D. Gomaz</v>
          </cell>
          <cell r="AW199">
            <v>0.26388888888888884</v>
          </cell>
        </row>
        <row r="200">
          <cell r="A200" t="str">
            <v>ST147</v>
          </cell>
          <cell r="P200">
            <v>60</v>
          </cell>
          <cell r="Q200">
            <v>7.5323475046210771</v>
          </cell>
          <cell r="T200">
            <v>0.5</v>
          </cell>
          <cell r="U200">
            <v>0.60624999999999996</v>
          </cell>
          <cell r="V200">
            <v>55</v>
          </cell>
          <cell r="AB200">
            <v>54.1</v>
          </cell>
          <cell r="AE200">
            <v>11.8</v>
          </cell>
          <cell r="AG200">
            <v>50.7</v>
          </cell>
          <cell r="AS200">
            <v>100.44232879054731</v>
          </cell>
          <cell r="AT200">
            <v>101.53428855889075</v>
          </cell>
          <cell r="AV200" t="str">
            <v>R. Regis</v>
          </cell>
          <cell r="AW200">
            <v>0.25902777777777775</v>
          </cell>
        </row>
        <row r="201">
          <cell r="A201" t="str">
            <v>ST148</v>
          </cell>
          <cell r="P201">
            <v>62</v>
          </cell>
          <cell r="Q201">
            <v>8.6158192090395538</v>
          </cell>
          <cell r="T201">
            <v>0.62569444444444444</v>
          </cell>
          <cell r="U201">
            <v>0.73402777777777772</v>
          </cell>
          <cell r="V201">
            <v>56</v>
          </cell>
          <cell r="AB201">
            <v>53.1</v>
          </cell>
          <cell r="AE201">
            <v>11.9</v>
          </cell>
          <cell r="AG201">
            <v>49.9</v>
          </cell>
          <cell r="AS201">
            <v>99.86462564786504</v>
          </cell>
          <cell r="AT201">
            <v>100.9499439202185</v>
          </cell>
          <cell r="AV201" t="str">
            <v>R. Regis</v>
          </cell>
          <cell r="AW201">
            <v>0.2895833333333333</v>
          </cell>
        </row>
        <row r="202">
          <cell r="A202" t="str">
            <v>ST149</v>
          </cell>
          <cell r="P202">
            <v>59</v>
          </cell>
          <cell r="Q202">
            <v>11.064030131826742</v>
          </cell>
          <cell r="T202">
            <v>0.73124999999999996</v>
          </cell>
          <cell r="U202">
            <v>0.83958333333333335</v>
          </cell>
          <cell r="V202">
            <v>57</v>
          </cell>
          <cell r="AB202">
            <v>53.1</v>
          </cell>
          <cell r="AE202">
            <v>11.8</v>
          </cell>
          <cell r="AG202">
            <v>49.9</v>
          </cell>
          <cell r="AS202">
            <v>98.857439973339439</v>
          </cell>
          <cell r="AT202">
            <v>99.932169607271163</v>
          </cell>
          <cell r="AV202" t="str">
            <v>R. Regis</v>
          </cell>
          <cell r="AW202">
            <v>0.26319444444444451</v>
          </cell>
        </row>
        <row r="203">
          <cell r="A203" t="str">
            <v>ST150</v>
          </cell>
          <cell r="P203">
            <v>59</v>
          </cell>
          <cell r="Q203">
            <v>11.252354048964222</v>
          </cell>
          <cell r="T203">
            <v>0.85555555555555551</v>
          </cell>
          <cell r="U203">
            <v>0.96597222222222223</v>
          </cell>
          <cell r="V203">
            <v>58</v>
          </cell>
          <cell r="AB203">
            <v>53.1</v>
          </cell>
          <cell r="AE203">
            <v>11.8</v>
          </cell>
          <cell r="AG203">
            <v>49.8</v>
          </cell>
          <cell r="AS203">
            <v>98.783926292156664</v>
          </cell>
          <cell r="AT203">
            <v>99.857499637314319</v>
          </cell>
          <cell r="AV203" t="str">
            <v>R.Sookram</v>
          </cell>
          <cell r="AW203">
            <v>0.28194444444444444</v>
          </cell>
        </row>
        <row r="204">
          <cell r="A204" t="str">
            <v>ST151</v>
          </cell>
          <cell r="P204">
            <v>60</v>
          </cell>
          <cell r="Q204">
            <v>10.687382297551784</v>
          </cell>
          <cell r="T204">
            <v>0.95972222222222225</v>
          </cell>
          <cell r="U204">
            <v>1.0673611111111112</v>
          </cell>
          <cell r="V204">
            <v>57</v>
          </cell>
          <cell r="AB204">
            <v>53.1</v>
          </cell>
          <cell r="AE204">
            <v>12</v>
          </cell>
          <cell r="AG204">
            <v>48.8</v>
          </cell>
          <cell r="AS204">
            <v>98.526088754367564</v>
          </cell>
          <cell r="AT204">
            <v>99.596859948220427</v>
          </cell>
          <cell r="AV204" t="str">
            <v>R.Sookram</v>
          </cell>
          <cell r="AW204">
            <v>0.26180555555555562</v>
          </cell>
        </row>
        <row r="205">
          <cell r="A205" t="str">
            <v>ST152</v>
          </cell>
          <cell r="P205">
            <v>60</v>
          </cell>
          <cell r="Q205">
            <v>5.6132075471698144</v>
          </cell>
          <cell r="T205">
            <v>1.1895833333333334</v>
          </cell>
          <cell r="U205">
            <v>1.3145833333333334</v>
          </cell>
          <cell r="V205">
            <v>56</v>
          </cell>
          <cell r="AB205">
            <v>53</v>
          </cell>
          <cell r="AE205">
            <v>11.7</v>
          </cell>
          <cell r="AG205">
            <v>49.3</v>
          </cell>
          <cell r="AS205">
            <v>96.544079383440874</v>
          </cell>
          <cell r="AT205">
            <v>97.850486078865131</v>
          </cell>
          <cell r="AV205" t="str">
            <v>K. Benjamin</v>
          </cell>
          <cell r="AW205">
            <v>0.29375000000000018</v>
          </cell>
        </row>
        <row r="206">
          <cell r="A206" t="str">
            <v>ST153</v>
          </cell>
          <cell r="P206">
            <v>60</v>
          </cell>
          <cell r="Q206">
            <v>3.5377358490566038</v>
          </cell>
          <cell r="T206">
            <v>0.28958333333333336</v>
          </cell>
          <cell r="U206">
            <v>0.40416666666666667</v>
          </cell>
          <cell r="V206">
            <v>52</v>
          </cell>
          <cell r="AB206">
            <v>53</v>
          </cell>
          <cell r="AE206">
            <v>11.6</v>
          </cell>
          <cell r="AG206">
            <v>49.9</v>
          </cell>
          <cell r="AS206">
            <v>96.962529497843647</v>
          </cell>
          <cell r="AT206">
            <v>98.274162274140409</v>
          </cell>
          <cell r="AV206" t="str">
            <v>K. Benjamin</v>
          </cell>
          <cell r="AW206">
            <v>0.28958333333333336</v>
          </cell>
        </row>
        <row r="207">
          <cell r="A207" t="str">
            <v>ST154</v>
          </cell>
          <cell r="P207">
            <v>60</v>
          </cell>
          <cell r="Q207">
            <v>3.8354898336414096</v>
          </cell>
          <cell r="T207">
            <v>0.37847222222222221</v>
          </cell>
          <cell r="U207">
            <v>0.49583333333333335</v>
          </cell>
          <cell r="V207">
            <v>61</v>
          </cell>
          <cell r="AB207">
            <v>54.1</v>
          </cell>
          <cell r="AE207">
            <v>11.6</v>
          </cell>
          <cell r="AG207">
            <v>51.4</v>
          </cell>
          <cell r="AS207">
            <v>99.877234793370022</v>
          </cell>
          <cell r="AT207">
            <v>101.22829540863361</v>
          </cell>
          <cell r="AV207" t="str">
            <v>K. Benjamin</v>
          </cell>
          <cell r="AW207">
            <v>0.27361111111111114</v>
          </cell>
        </row>
        <row r="208">
          <cell r="A208" t="str">
            <v>ST155</v>
          </cell>
          <cell r="P208">
            <v>60</v>
          </cell>
          <cell r="Q208">
            <v>4.2843691148775873</v>
          </cell>
          <cell r="T208">
            <v>0.47222222222222221</v>
          </cell>
          <cell r="U208">
            <v>0.5854166666666667</v>
          </cell>
          <cell r="V208">
            <v>58</v>
          </cell>
          <cell r="AB208">
            <v>53.1</v>
          </cell>
          <cell r="AE208">
            <v>11.7</v>
          </cell>
          <cell r="AG208">
            <v>49.8</v>
          </cell>
          <cell r="AS208">
            <v>97.646475195902809</v>
          </cell>
          <cell r="AT208">
            <v>98.967359851244268</v>
          </cell>
          <cell r="AV208" t="str">
            <v>R. Regis</v>
          </cell>
          <cell r="AW208">
            <v>0.25555555555555559</v>
          </cell>
        </row>
        <row r="209">
          <cell r="A209" t="str">
            <v>ST156</v>
          </cell>
          <cell r="P209">
            <v>62</v>
          </cell>
          <cell r="Q209">
            <v>3.5310734463276838</v>
          </cell>
          <cell r="T209">
            <v>0.56736111111111109</v>
          </cell>
          <cell r="U209">
            <v>0.68194444444444446</v>
          </cell>
          <cell r="V209">
            <v>62</v>
          </cell>
          <cell r="AB209">
            <v>53.1</v>
          </cell>
          <cell r="AE209">
            <v>11.7</v>
          </cell>
          <cell r="AG209">
            <v>50</v>
          </cell>
          <cell r="AS209">
            <v>98.038629714761868</v>
          </cell>
          <cell r="AT209">
            <v>99.364819127755283</v>
          </cell>
          <cell r="AV209" t="str">
            <v>R. Regis</v>
          </cell>
          <cell r="AW209">
            <v>0.25833333333333336</v>
          </cell>
        </row>
        <row r="210">
          <cell r="A210" t="str">
            <v>ST157</v>
          </cell>
          <cell r="P210">
            <v>59</v>
          </cell>
          <cell r="Q210">
            <v>4.096045197740108</v>
          </cell>
          <cell r="T210">
            <v>0.66388888888888886</v>
          </cell>
          <cell r="U210">
            <v>0.77430555555555558</v>
          </cell>
          <cell r="V210">
            <v>58</v>
          </cell>
          <cell r="AB210">
            <v>53.1</v>
          </cell>
          <cell r="AE210">
            <v>11.9</v>
          </cell>
          <cell r="AG210">
            <v>49.8</v>
          </cell>
          <cell r="AS210">
            <v>99.402993964757954</v>
          </cell>
          <cell r="AT210">
            <v>100.74763942338438</v>
          </cell>
          <cell r="AV210" t="str">
            <v>R. Regis</v>
          </cell>
          <cell r="AW210">
            <v>0.25347222222222221</v>
          </cell>
        </row>
        <row r="211">
          <cell r="A211" t="str">
            <v>ST158</v>
          </cell>
          <cell r="P211">
            <v>58</v>
          </cell>
          <cell r="Q211">
            <v>3.5310734463276838</v>
          </cell>
          <cell r="T211">
            <v>0.75208333333333333</v>
          </cell>
          <cell r="U211">
            <v>0.85972222222222228</v>
          </cell>
          <cell r="V211">
            <v>56</v>
          </cell>
          <cell r="AB211">
            <v>53.1</v>
          </cell>
          <cell r="AE211">
            <v>11.8</v>
          </cell>
          <cell r="AG211">
            <v>50.1</v>
          </cell>
          <cell r="AS211">
            <v>99.243678265310521</v>
          </cell>
          <cell r="AT211">
            <v>100.58572097122654</v>
          </cell>
          <cell r="AV211" t="str">
            <v>R. Sookram</v>
          </cell>
          <cell r="AW211">
            <v>0.24861111111111112</v>
          </cell>
        </row>
        <row r="212">
          <cell r="A212" t="str">
            <v>ST159</v>
          </cell>
          <cell r="P212">
            <v>58</v>
          </cell>
          <cell r="T212">
            <v>0.47222222222222221</v>
          </cell>
          <cell r="U212">
            <v>0.59375</v>
          </cell>
          <cell r="V212">
            <v>20</v>
          </cell>
          <cell r="AE212">
            <v>11.6</v>
          </cell>
          <cell r="AG212">
            <v>48.6</v>
          </cell>
          <cell r="AS212">
            <v>94.436451575054136</v>
          </cell>
          <cell r="AT212">
            <v>95.71391355757963</v>
          </cell>
          <cell r="AV212" t="str">
            <v>R. Sookram</v>
          </cell>
          <cell r="AW212">
            <v>0.26041666666666669</v>
          </cell>
        </row>
      </sheetData>
      <sheetData sheetId="7">
        <row r="136">
          <cell r="D136">
            <v>12</v>
          </cell>
        </row>
        <row r="137">
          <cell r="D137">
            <v>12</v>
          </cell>
        </row>
        <row r="144">
          <cell r="D144">
            <v>11.8</v>
          </cell>
        </row>
        <row r="145">
          <cell r="D145">
            <v>11.8</v>
          </cell>
        </row>
        <row r="146">
          <cell r="D146">
            <v>12.1</v>
          </cell>
        </row>
        <row r="147">
          <cell r="D147">
            <v>12.1</v>
          </cell>
        </row>
        <row r="148">
          <cell r="D148">
            <v>11.7</v>
          </cell>
        </row>
        <row r="149">
          <cell r="D149">
            <v>11.8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ackaging"/>
      <sheetName val="Process"/>
      <sheetName val="Summary April '26"/>
      <sheetName val="Summary March '26"/>
      <sheetName val="Summary February '26"/>
      <sheetName val="Summary January '26"/>
    </sheetNames>
    <sheetDataSet>
      <sheetData sheetId="0"/>
      <sheetData sheetId="1"/>
      <sheetData sheetId="2"/>
      <sheetData sheetId="3"/>
      <sheetData sheetId="4"/>
      <sheetData sheetId="5">
        <row r="42">
          <cell r="AU42">
            <v>98.774703764205327</v>
          </cell>
        </row>
        <row r="43">
          <cell r="AU43">
            <v>99.746895730388445</v>
          </cell>
        </row>
        <row r="44">
          <cell r="AU44">
            <v>99.480491014553465</v>
          </cell>
        </row>
        <row r="45">
          <cell r="AU45">
            <v>99.359192252045119</v>
          </cell>
        </row>
        <row r="46">
          <cell r="AU46">
            <v>94.942986581581494</v>
          </cell>
        </row>
        <row r="47">
          <cell r="AU47">
            <v>99.744059513955506</v>
          </cell>
        </row>
        <row r="48">
          <cell r="AU48">
            <v>100.99522335236702</v>
          </cell>
        </row>
        <row r="49">
          <cell r="AU49">
            <v>96.38510978729046</v>
          </cell>
        </row>
        <row r="50">
          <cell r="AU50">
            <v>96.854916965661218</v>
          </cell>
        </row>
        <row r="51">
          <cell r="AU51">
            <v>97.756974250197359</v>
          </cell>
        </row>
        <row r="52">
          <cell r="AU52">
            <v>98.280554742749217</v>
          </cell>
        </row>
        <row r="53">
          <cell r="AU53">
            <v>96.13324085965202</v>
          </cell>
        </row>
        <row r="54">
          <cell r="AU54">
            <v>93.879203465211987</v>
          </cell>
        </row>
        <row r="55">
          <cell r="AU55">
            <v>95.350414753836105</v>
          </cell>
        </row>
        <row r="56">
          <cell r="AU56">
            <v>96.220784779412256</v>
          </cell>
        </row>
        <row r="57">
          <cell r="AU57">
            <v>98.599549107933044</v>
          </cell>
        </row>
        <row r="58">
          <cell r="AU58">
            <v>97.224654996866249</v>
          </cell>
        </row>
        <row r="59">
          <cell r="AU59">
            <v>97.214744342532583</v>
          </cell>
        </row>
        <row r="60">
          <cell r="AU60">
            <v>99.947116466554263</v>
          </cell>
        </row>
        <row r="61">
          <cell r="AU61">
            <v>98.532094795334359</v>
          </cell>
        </row>
        <row r="62">
          <cell r="AU62">
            <v>93.409868719251207</v>
          </cell>
        </row>
        <row r="63">
          <cell r="AU63">
            <v>99.155044731309943</v>
          </cell>
        </row>
        <row r="64">
          <cell r="AU64">
            <v>97.421068441304371</v>
          </cell>
        </row>
        <row r="65">
          <cell r="AU65">
            <v>96.397222195852265</v>
          </cell>
        </row>
        <row r="66">
          <cell r="AU66">
            <v>100.46145390412471</v>
          </cell>
        </row>
        <row r="67">
          <cell r="AU67">
            <v>98.998214709308328</v>
          </cell>
        </row>
        <row r="68">
          <cell r="AU68">
            <v>97.857422068578444</v>
          </cell>
        </row>
        <row r="69">
          <cell r="AU69">
            <v>97.436062166815688</v>
          </cell>
        </row>
        <row r="70">
          <cell r="AU70">
            <v>96.910477582354332</v>
          </cell>
        </row>
        <row r="71">
          <cell r="AU71">
            <v>98.960439575055489</v>
          </cell>
        </row>
        <row r="72">
          <cell r="AU72">
            <v>102.29507421858402</v>
          </cell>
        </row>
        <row r="73">
          <cell r="AU73">
            <v>99.640437653385277</v>
          </cell>
        </row>
        <row r="74">
          <cell r="AU74">
            <v>82.328169468585017</v>
          </cell>
        </row>
        <row r="75">
          <cell r="AU75">
            <v>97.674289949528585</v>
          </cell>
        </row>
        <row r="76">
          <cell r="AU76">
            <v>107.03141163467369</v>
          </cell>
        </row>
        <row r="77">
          <cell r="AU77">
            <v>95.236008152799599</v>
          </cell>
        </row>
        <row r="78">
          <cell r="AU78">
            <v>93.827567679359049</v>
          </cell>
        </row>
        <row r="79">
          <cell r="AU79">
            <v>95.896687100312732</v>
          </cell>
        </row>
        <row r="80">
          <cell r="AU80">
            <v>99.738925134433643</v>
          </cell>
        </row>
        <row r="81">
          <cell r="AU81">
            <v>100.16530562302518</v>
          </cell>
        </row>
        <row r="82">
          <cell r="AU82">
            <v>99.736526583941028</v>
          </cell>
        </row>
        <row r="83">
          <cell r="AU83">
            <v>99.664029210937514</v>
          </cell>
        </row>
        <row r="84">
          <cell r="AU84">
            <v>100.01748335846912</v>
          </cell>
        </row>
        <row r="85">
          <cell r="AU85">
            <v>102.59219085086538</v>
          </cell>
        </row>
        <row r="86">
          <cell r="AU86">
            <v>102.5433340471773</v>
          </cell>
        </row>
        <row r="87">
          <cell r="AU87">
            <v>96.805164931106077</v>
          </cell>
        </row>
        <row r="88">
          <cell r="AU88">
            <v>95.467350978288906</v>
          </cell>
        </row>
        <row r="89">
          <cell r="AU89">
            <v>101.53064235241746</v>
          </cell>
        </row>
        <row r="90">
          <cell r="AU90">
            <v>99.843022353876989</v>
          </cell>
        </row>
        <row r="91">
          <cell r="AU91">
            <v>101.2321550320278</v>
          </cell>
        </row>
        <row r="92">
          <cell r="AU92">
            <v>101.42626155454937</v>
          </cell>
        </row>
        <row r="93">
          <cell r="AU93">
            <v>100.44724358587611</v>
          </cell>
        </row>
        <row r="94">
          <cell r="AU94">
            <v>102.05296320797829</v>
          </cell>
        </row>
        <row r="95">
          <cell r="AU95">
            <v>95.560767955537841</v>
          </cell>
        </row>
        <row r="96">
          <cell r="AU96">
            <v>95.858476381615304</v>
          </cell>
        </row>
        <row r="97">
          <cell r="AU97">
            <v>93.414689526206047</v>
          </cell>
        </row>
        <row r="98">
          <cell r="AU98">
            <v>99.986346763685134</v>
          </cell>
        </row>
        <row r="99">
          <cell r="AU99">
            <v>99.177482096170877</v>
          </cell>
        </row>
        <row r="100">
          <cell r="AU100">
            <v>97.509880366294198</v>
          </cell>
        </row>
        <row r="101">
          <cell r="AU101">
            <v>101.75095732104258</v>
          </cell>
        </row>
        <row r="102">
          <cell r="AU102">
            <v>99.415120817930529</v>
          </cell>
        </row>
        <row r="103">
          <cell r="AU103">
            <v>99.662908503532648</v>
          </cell>
        </row>
        <row r="104">
          <cell r="AU104">
            <v>96.575602446302355</v>
          </cell>
        </row>
        <row r="105">
          <cell r="AU105">
            <v>95.507567677953077</v>
          </cell>
        </row>
        <row r="106">
          <cell r="AU106">
            <v>97.819710364525065</v>
          </cell>
        </row>
        <row r="107">
          <cell r="AU107">
            <v>93.737546450558312</v>
          </cell>
        </row>
        <row r="108">
          <cell r="AU108">
            <v>96.679439674001571</v>
          </cell>
        </row>
        <row r="109">
          <cell r="AU109">
            <v>96.344074013646235</v>
          </cell>
        </row>
        <row r="110">
          <cell r="AU110">
            <v>96.969073122994232</v>
          </cell>
        </row>
        <row r="111">
          <cell r="AU111">
            <v>98.413757188601139</v>
          </cell>
        </row>
        <row r="112">
          <cell r="AU112">
            <v>96.361633561905379</v>
          </cell>
        </row>
        <row r="113">
          <cell r="AU113">
            <v>97.5202904784814</v>
          </cell>
        </row>
        <row r="114">
          <cell r="AU114">
            <v>97.851490534465384</v>
          </cell>
        </row>
        <row r="115">
          <cell r="AU115">
            <v>96.702752232561977</v>
          </cell>
        </row>
        <row r="116">
          <cell r="AU116">
            <v>96.254729187993746</v>
          </cell>
        </row>
        <row r="117">
          <cell r="AU117">
            <v>98.215110637851069</v>
          </cell>
        </row>
        <row r="118">
          <cell r="AU118">
            <v>95.664747463751866</v>
          </cell>
        </row>
        <row r="119">
          <cell r="AU119">
            <v>95.472649577278474</v>
          </cell>
        </row>
        <row r="120">
          <cell r="AU120">
            <v>92.499443839985332</v>
          </cell>
        </row>
        <row r="121">
          <cell r="AU121">
            <v>101.81766752472274</v>
          </cell>
        </row>
        <row r="122">
          <cell r="AU122">
            <v>99.504012001826652</v>
          </cell>
        </row>
        <row r="123">
          <cell r="AU123">
            <v>99.783415797736893</v>
          </cell>
        </row>
        <row r="125">
          <cell r="AU125">
            <v>94.991214982303461</v>
          </cell>
        </row>
        <row r="126">
          <cell r="AU126">
            <v>98.081652776220835</v>
          </cell>
        </row>
        <row r="127">
          <cell r="AU127">
            <v>98.458827461721384</v>
          </cell>
        </row>
        <row r="128">
          <cell r="AU128">
            <v>95.824043987091741</v>
          </cell>
        </row>
        <row r="129">
          <cell r="AU129">
            <v>98.44333422721418</v>
          </cell>
        </row>
        <row r="130">
          <cell r="AU130">
            <v>100.21447484042207</v>
          </cell>
        </row>
        <row r="131">
          <cell r="AU131">
            <v>93.572296329201976</v>
          </cell>
        </row>
        <row r="132">
          <cell r="AU132">
            <v>99.628123440277676</v>
          </cell>
        </row>
        <row r="133">
          <cell r="AU133">
            <v>93.047268518820289</v>
          </cell>
        </row>
        <row r="134">
          <cell r="AU134">
            <v>98.00301242081278</v>
          </cell>
        </row>
        <row r="135">
          <cell r="AU135">
            <v>98.750429944987545</v>
          </cell>
        </row>
        <row r="136">
          <cell r="AU136">
            <v>100.69196814542862</v>
          </cell>
        </row>
        <row r="137">
          <cell r="AU137">
            <v>96.996599085521808</v>
          </cell>
        </row>
        <row r="138">
          <cell r="AU138">
            <v>97.499189767162704</v>
          </cell>
        </row>
        <row r="139">
          <cell r="AU139">
            <v>98.065329347096849</v>
          </cell>
        </row>
        <row r="140">
          <cell r="AU140">
            <v>100.56885966131995</v>
          </cell>
        </row>
        <row r="141">
          <cell r="AU141">
            <v>99.310564104752999</v>
          </cell>
        </row>
        <row r="142">
          <cell r="AU142">
            <v>81.813106414231768</v>
          </cell>
        </row>
        <row r="143">
          <cell r="AU143">
            <v>74.681377386116381</v>
          </cell>
        </row>
        <row r="144">
          <cell r="AU144">
            <v>99.596822865747242</v>
          </cell>
        </row>
        <row r="145">
          <cell r="AU145">
            <v>98.361425847158671</v>
          </cell>
        </row>
        <row r="146">
          <cell r="AU146">
            <v>102.80934079529675</v>
          </cell>
        </row>
        <row r="147">
          <cell r="AU147">
            <v>104.32736945451965</v>
          </cell>
        </row>
        <row r="148">
          <cell r="AU148">
            <v>102.41832780758313</v>
          </cell>
        </row>
        <row r="149">
          <cell r="AU149">
            <v>102.65008917352358</v>
          </cell>
        </row>
        <row r="150">
          <cell r="AU150">
            <v>98.351271471428475</v>
          </cell>
        </row>
        <row r="151">
          <cell r="AU151">
            <v>95.527089538140444</v>
          </cell>
        </row>
        <row r="152">
          <cell r="AU152">
            <v>98.791770353169028</v>
          </cell>
        </row>
        <row r="153">
          <cell r="AU153">
            <v>92.525215393532562</v>
          </cell>
        </row>
        <row r="154">
          <cell r="AU154">
            <v>98.286412743082607</v>
          </cell>
        </row>
        <row r="155">
          <cell r="AU155">
            <v>95.699273266512037</v>
          </cell>
        </row>
        <row r="156">
          <cell r="AU156">
            <v>96.200448437262068</v>
          </cell>
        </row>
        <row r="157">
          <cell r="AU157">
            <v>93.020726759402706</v>
          </cell>
        </row>
        <row r="158">
          <cell r="AU158">
            <v>96.412047269582672</v>
          </cell>
        </row>
        <row r="159">
          <cell r="AU159">
            <v>97.250520471561614</v>
          </cell>
        </row>
        <row r="160">
          <cell r="AU160">
            <v>98.1438476329579</v>
          </cell>
        </row>
        <row r="161">
          <cell r="AU161">
            <v>93.52608739149872</v>
          </cell>
        </row>
        <row r="162">
          <cell r="AU162">
            <v>101.12603213986264</v>
          </cell>
        </row>
        <row r="163">
          <cell r="AU163">
            <v>100.33640509948549</v>
          </cell>
        </row>
        <row r="164">
          <cell r="AU164">
            <v>100.85036161508521</v>
          </cell>
        </row>
        <row r="165">
          <cell r="AU165">
            <v>95.502024957607773</v>
          </cell>
        </row>
        <row r="166">
          <cell r="AU166">
            <v>94.342162395109455</v>
          </cell>
        </row>
        <row r="167">
          <cell r="AU167">
            <v>99.071689760585087</v>
          </cell>
        </row>
        <row r="168">
          <cell r="AU168">
            <v>98.514796568176052</v>
          </cell>
        </row>
        <row r="169">
          <cell r="AU169">
            <v>96.024272843684003</v>
          </cell>
        </row>
        <row r="170">
          <cell r="AU170">
            <v>98.175529465436611</v>
          </cell>
        </row>
        <row r="171">
          <cell r="AU171">
            <v>102.72843364793638</v>
          </cell>
        </row>
        <row r="172">
          <cell r="AU172">
            <v>97.857596270649012</v>
          </cell>
        </row>
        <row r="173">
          <cell r="AU173">
            <v>96.511183978216323</v>
          </cell>
        </row>
        <row r="174">
          <cell r="AU174">
            <v>96.273917789076862</v>
          </cell>
        </row>
        <row r="175">
          <cell r="AU175">
            <v>96.763833489372473</v>
          </cell>
        </row>
        <row r="176">
          <cell r="AU176">
            <v>98.253731658657813</v>
          </cell>
        </row>
        <row r="177">
          <cell r="AU177">
            <v>96.225557296455349</v>
          </cell>
        </row>
        <row r="178">
          <cell r="AU178">
            <v>95.76386603519768</v>
          </cell>
        </row>
        <row r="179">
          <cell r="AU179">
            <v>97.861559996128506</v>
          </cell>
        </row>
        <row r="180">
          <cell r="AU180">
            <v>98.551754908063671</v>
          </cell>
        </row>
        <row r="181">
          <cell r="AU181">
            <v>90.189295198187452</v>
          </cell>
        </row>
        <row r="182">
          <cell r="AU182">
            <v>99.950041431757512</v>
          </cell>
        </row>
        <row r="183">
          <cell r="AU183">
            <v>97.547980983941912</v>
          </cell>
        </row>
        <row r="184">
          <cell r="AU184">
            <v>97.02181756168649</v>
          </cell>
        </row>
        <row r="185">
          <cell r="AU185">
            <v>97.515157399606437</v>
          </cell>
        </row>
        <row r="186">
          <cell r="AU186">
            <v>95.404393473874009</v>
          </cell>
        </row>
        <row r="187">
          <cell r="AU187">
            <v>99.138574114682569</v>
          </cell>
        </row>
        <row r="188">
          <cell r="AU188">
            <v>97.371494370242544</v>
          </cell>
        </row>
        <row r="198">
          <cell r="AU198">
            <v>96.242072087973199</v>
          </cell>
        </row>
        <row r="199">
          <cell r="AU199">
            <v>98.87254747107896</v>
          </cell>
        </row>
        <row r="200">
          <cell r="AU200">
            <v>101.57164076036193</v>
          </cell>
        </row>
        <row r="201">
          <cell r="AU201">
            <v>99.130786137236072</v>
          </cell>
        </row>
        <row r="202">
          <cell r="AU202">
            <v>94.664735774609312</v>
          </cell>
        </row>
        <row r="203">
          <cell r="AU203">
            <v>98.211317122475975</v>
          </cell>
        </row>
        <row r="204">
          <cell r="AU204">
            <v>96.718815813314833</v>
          </cell>
        </row>
        <row r="205">
          <cell r="AU205">
            <v>99.681744479307142</v>
          </cell>
        </row>
        <row r="206">
          <cell r="AU206">
            <v>96.837780355457184</v>
          </cell>
        </row>
        <row r="207">
          <cell r="AU207">
            <v>101.84066195473321</v>
          </cell>
        </row>
        <row r="208">
          <cell r="AU208">
            <v>98.972363799020584</v>
          </cell>
        </row>
        <row r="209">
          <cell r="AU209">
            <v>97.717648278528927</v>
          </cell>
        </row>
        <row r="210">
          <cell r="AU210">
            <v>95.753750342141842</v>
          </cell>
        </row>
        <row r="211">
          <cell r="AU211">
            <v>98.477078860461759</v>
          </cell>
        </row>
        <row r="212">
          <cell r="AU212">
            <v>98.060574842581516</v>
          </cell>
        </row>
        <row r="213">
          <cell r="AU213">
            <v>98.477078860461759</v>
          </cell>
        </row>
        <row r="214">
          <cell r="AU214">
            <v>96.84005415922779</v>
          </cell>
        </row>
        <row r="215">
          <cell r="AU215">
            <v>100.25557474160721</v>
          </cell>
        </row>
        <row r="216">
          <cell r="AU216">
            <v>97.982769910971371</v>
          </cell>
        </row>
        <row r="217">
          <cell r="AU217">
            <v>98.499505757279664</v>
          </cell>
        </row>
        <row r="218">
          <cell r="AU218">
            <v>94.764649300245921</v>
          </cell>
        </row>
        <row r="219">
          <cell r="AU219">
            <v>114.82483845154799</v>
          </cell>
        </row>
        <row r="220">
          <cell r="AU220">
            <v>98.182619925802825</v>
          </cell>
        </row>
        <row r="221">
          <cell r="AU221">
            <v>98.728037202201719</v>
          </cell>
        </row>
        <row r="222">
          <cell r="AU222">
            <v>98.865584270828393</v>
          </cell>
        </row>
        <row r="223">
          <cell r="AU223">
            <v>94.960805086604111</v>
          </cell>
        </row>
        <row r="224">
          <cell r="AU224">
            <v>94.654963762652073</v>
          </cell>
        </row>
        <row r="225">
          <cell r="AU225">
            <v>97.983517470033405</v>
          </cell>
        </row>
        <row r="226">
          <cell r="AU226">
            <v>97.134089873786564</v>
          </cell>
        </row>
        <row r="227">
          <cell r="AU227">
            <v>97.825601678018998</v>
          </cell>
        </row>
        <row r="228">
          <cell r="AU228">
            <v>98.868627192961327</v>
          </cell>
        </row>
        <row r="229">
          <cell r="AU229">
            <v>98.076814194365696</v>
          </cell>
        </row>
        <row r="230">
          <cell r="AU230">
            <v>99.593534238465153</v>
          </cell>
        </row>
        <row r="231">
          <cell r="AU231">
            <v>96.043228742840341</v>
          </cell>
        </row>
        <row r="232">
          <cell r="AU232">
            <v>93.852195272622652</v>
          </cell>
        </row>
        <row r="233">
          <cell r="AU233">
            <v>97.973702378244013</v>
          </cell>
        </row>
        <row r="234">
          <cell r="AU234">
            <v>97.595557441238071</v>
          </cell>
        </row>
        <row r="235">
          <cell r="AU235">
            <v>99.011089727354573</v>
          </cell>
        </row>
        <row r="236">
          <cell r="AU236">
            <v>97.622156604926758</v>
          </cell>
        </row>
        <row r="237">
          <cell r="AU237">
            <v>98.713591365675498</v>
          </cell>
        </row>
        <row r="238">
          <cell r="AU238">
            <v>96.451431959126339</v>
          </cell>
        </row>
        <row r="239">
          <cell r="AU239">
            <v>97.225318569947376</v>
          </cell>
        </row>
        <row r="240">
          <cell r="AU240">
            <v>97.302716492359181</v>
          </cell>
        </row>
        <row r="241">
          <cell r="AU241">
            <v>96.377175001990878</v>
          </cell>
        </row>
        <row r="242">
          <cell r="AU242">
            <v>98.562914042619013</v>
          </cell>
        </row>
        <row r="243">
          <cell r="AU243">
            <v>97.595442540704411</v>
          </cell>
        </row>
        <row r="244">
          <cell r="AU244">
            <v>100.18284509194719</v>
          </cell>
        </row>
        <row r="245">
          <cell r="AU245">
            <v>96.311853798954317</v>
          </cell>
        </row>
        <row r="246">
          <cell r="AU246">
            <v>96.096956507805032</v>
          </cell>
        </row>
        <row r="247">
          <cell r="AU247">
            <v>99.508128433796273</v>
          </cell>
        </row>
        <row r="248">
          <cell r="AU248">
            <v>94.924305937938897</v>
          </cell>
        </row>
        <row r="249">
          <cell r="AU249">
            <v>97.266996516441111</v>
          </cell>
        </row>
        <row r="250">
          <cell r="AU250">
            <v>101.97538590361592</v>
          </cell>
        </row>
        <row r="251">
          <cell r="AU251">
            <v>93.260037484866757</v>
          </cell>
        </row>
        <row r="252">
          <cell r="AU252">
            <v>97.506312070474038</v>
          </cell>
        </row>
        <row r="253">
          <cell r="AU253">
            <v>97.162294174609158</v>
          </cell>
        </row>
        <row r="254">
          <cell r="AU254">
            <v>99.189410098175131</v>
          </cell>
        </row>
        <row r="255">
          <cell r="AU255">
            <v>96.590809413258498</v>
          </cell>
        </row>
        <row r="256">
          <cell r="AU256">
            <v>104.8589466494704</v>
          </cell>
        </row>
        <row r="257">
          <cell r="AU257">
            <v>98.830299448787045</v>
          </cell>
        </row>
        <row r="258">
          <cell r="AU258">
            <v>98.040070014500969</v>
          </cell>
        </row>
        <row r="259">
          <cell r="AU259">
            <v>99.708815326021792</v>
          </cell>
        </row>
        <row r="260">
          <cell r="AU260">
            <v>97.755708503233933</v>
          </cell>
        </row>
        <row r="261">
          <cell r="AU261">
            <v>97.407767694541405</v>
          </cell>
        </row>
        <row r="262">
          <cell r="AU262">
            <v>98.655643022911761</v>
          </cell>
        </row>
        <row r="263">
          <cell r="AU263">
            <v>95.847937505992363</v>
          </cell>
        </row>
        <row r="264">
          <cell r="AU264">
            <v>96.904607911463032</v>
          </cell>
        </row>
        <row r="265">
          <cell r="AU265">
            <v>97.843989874471959</v>
          </cell>
        </row>
        <row r="266">
          <cell r="AU266">
            <v>97.685025256417518</v>
          </cell>
        </row>
        <row r="267">
          <cell r="AU267">
            <v>101.44067430211668</v>
          </cell>
        </row>
        <row r="268">
          <cell r="AU268">
            <v>97.441660983042127</v>
          </cell>
        </row>
        <row r="269">
          <cell r="AU269">
            <v>96.686043099880422</v>
          </cell>
        </row>
        <row r="270">
          <cell r="AU270">
            <v>99.558186680524798</v>
          </cell>
        </row>
        <row r="271">
          <cell r="AU271">
            <v>100.34481040419453</v>
          </cell>
        </row>
        <row r="272">
          <cell r="AU272">
            <v>99.932598886125291</v>
          </cell>
        </row>
        <row r="273">
          <cell r="AU273">
            <v>97.05962214993248</v>
          </cell>
        </row>
        <row r="274">
          <cell r="AU274">
            <v>98.473296044522911</v>
          </cell>
        </row>
        <row r="275">
          <cell r="AU275">
            <v>96.821336097738467</v>
          </cell>
        </row>
        <row r="276">
          <cell r="AU276">
            <v>94.526889247991434</v>
          </cell>
        </row>
        <row r="277">
          <cell r="AU277">
            <v>99.232478638628749</v>
          </cell>
        </row>
        <row r="278">
          <cell r="AU278">
            <v>97.771866547676723</v>
          </cell>
        </row>
        <row r="279">
          <cell r="AU279">
            <v>98.557950595645067</v>
          </cell>
        </row>
        <row r="280">
          <cell r="AU280">
            <v>99.798300055092355</v>
          </cell>
        </row>
        <row r="281">
          <cell r="AU281">
            <v>99.38157832321258</v>
          </cell>
        </row>
        <row r="282">
          <cell r="AU282">
            <v>98.434186024142619</v>
          </cell>
        </row>
        <row r="283">
          <cell r="AU283">
            <v>98.376488030672363</v>
          </cell>
        </row>
        <row r="284">
          <cell r="AU284">
            <v>107.26927617311497</v>
          </cell>
        </row>
        <row r="285">
          <cell r="AU285">
            <v>104.13717497046395</v>
          </cell>
        </row>
        <row r="286">
          <cell r="AU286">
            <v>95.960980995714607</v>
          </cell>
        </row>
        <row r="287">
          <cell r="AU287">
            <v>98.780662674884439</v>
          </cell>
        </row>
        <row r="288">
          <cell r="AU288">
            <v>97.564314880534255</v>
          </cell>
        </row>
        <row r="289">
          <cell r="AU289">
            <v>98.861130500688475</v>
          </cell>
        </row>
        <row r="290">
          <cell r="AU290">
            <v>99.745630863635611</v>
          </cell>
        </row>
        <row r="292">
          <cell r="A292" t="str">
            <v>CA248</v>
          </cell>
          <cell r="B292">
            <v>46113</v>
          </cell>
          <cell r="P292">
            <v>64</v>
          </cell>
          <cell r="Q292">
            <v>11.333333333333329</v>
          </cell>
          <cell r="T292">
            <v>1.1666666666666667</v>
          </cell>
          <cell r="U292">
            <v>1.2756944444444445</v>
          </cell>
          <cell r="V292">
            <v>52</v>
          </cell>
          <cell r="Z292">
            <v>0.27222222222222214</v>
          </cell>
          <cell r="AF292">
            <v>50.6</v>
          </cell>
          <cell r="AG292">
            <v>11.7</v>
          </cell>
          <cell r="AI292">
            <v>50.6</v>
          </cell>
          <cell r="AU292">
            <v>97.704199504233429</v>
          </cell>
          <cell r="AV292">
            <v>98.62296750513481</v>
          </cell>
          <cell r="AX292" t="str">
            <v>K. Benjamin</v>
          </cell>
        </row>
        <row r="293">
          <cell r="A293" t="str">
            <v>CA249</v>
          </cell>
          <cell r="B293">
            <v>46113</v>
          </cell>
          <cell r="P293">
            <v>60</v>
          </cell>
          <cell r="Q293">
            <v>8</v>
          </cell>
          <cell r="T293">
            <v>0.25208333333333333</v>
          </cell>
          <cell r="U293">
            <v>0.37083333333333335</v>
          </cell>
          <cell r="V293">
            <v>68</v>
          </cell>
          <cell r="Z293">
            <v>0.25972222222222224</v>
          </cell>
          <cell r="AF293">
            <v>51.7</v>
          </cell>
          <cell r="AG293">
            <v>11.5</v>
          </cell>
          <cell r="AI293">
            <v>51.8</v>
          </cell>
          <cell r="AU293">
            <v>97.979907272741045</v>
          </cell>
          <cell r="AV293">
            <v>98.90138792166556</v>
          </cell>
          <cell r="AX293" t="str">
            <v>K. Benjamin</v>
          </cell>
        </row>
        <row r="294">
          <cell r="A294" t="str">
            <v>CA250</v>
          </cell>
          <cell r="B294">
            <v>46113</v>
          </cell>
          <cell r="P294">
            <v>61</v>
          </cell>
          <cell r="Q294">
            <v>7.985212569316082</v>
          </cell>
          <cell r="T294">
            <v>0.3347222222222222</v>
          </cell>
          <cell r="U294">
            <v>0.44791666666666669</v>
          </cell>
          <cell r="V294">
            <v>66</v>
          </cell>
          <cell r="Z294">
            <v>0.25</v>
          </cell>
          <cell r="AF294">
            <v>51.3</v>
          </cell>
          <cell r="AG294">
            <v>12</v>
          </cell>
          <cell r="AI294">
            <v>50.5</v>
          </cell>
          <cell r="AU294">
            <v>99.895350375578587</v>
          </cell>
          <cell r="AV294">
            <v>100.83484536848964</v>
          </cell>
          <cell r="AX294" t="str">
            <v>R. Regis</v>
          </cell>
        </row>
        <row r="295">
          <cell r="A295" t="str">
            <v>CA251</v>
          </cell>
          <cell r="B295">
            <v>46113</v>
          </cell>
          <cell r="P295">
            <v>57</v>
          </cell>
          <cell r="Q295">
            <v>8.3548983364140526</v>
          </cell>
          <cell r="T295">
            <v>0.86527777777777781</v>
          </cell>
          <cell r="U295">
            <v>0.96666666666666667</v>
          </cell>
          <cell r="V295">
            <v>59</v>
          </cell>
          <cell r="Z295">
            <v>0.23750000000000004</v>
          </cell>
          <cell r="AF295">
            <v>50.3</v>
          </cell>
          <cell r="AG295">
            <v>11.8</v>
          </cell>
          <cell r="AI295">
            <v>49.4</v>
          </cell>
          <cell r="AU295">
            <v>95.889566709390451</v>
          </cell>
          <cell r="AV295">
            <v>96.791446648865033</v>
          </cell>
          <cell r="AX295" t="str">
            <v>R.Sookram</v>
          </cell>
        </row>
        <row r="296">
          <cell r="A296" t="str">
            <v>CA252</v>
          </cell>
          <cell r="B296">
            <v>46113</v>
          </cell>
          <cell r="P296">
            <v>58</v>
          </cell>
          <cell r="Q296">
            <v>8.3548983364140526</v>
          </cell>
          <cell r="T296">
            <v>0.94861111111111107</v>
          </cell>
          <cell r="U296">
            <v>1.0486111111111112</v>
          </cell>
          <cell r="V296">
            <v>53</v>
          </cell>
          <cell r="Z296">
            <v>0.23611111111111116</v>
          </cell>
          <cell r="AF296">
            <v>51.1</v>
          </cell>
          <cell r="AG296">
            <v>11.9</v>
          </cell>
          <cell r="AI296">
            <v>50.4</v>
          </cell>
          <cell r="AU296">
            <v>99.06862717692897</v>
          </cell>
          <cell r="AV296">
            <v>100.00022566507224</v>
          </cell>
          <cell r="AX296" t="str">
            <v>R.Sookram</v>
          </cell>
        </row>
        <row r="297">
          <cell r="A297" t="str">
            <v>CA253</v>
          </cell>
          <cell r="B297">
            <v>46113</v>
          </cell>
          <cell r="P297">
            <v>45</v>
          </cell>
          <cell r="Q297">
            <v>11.703703703703704</v>
          </cell>
          <cell r="T297">
            <v>1.0486111111111112</v>
          </cell>
          <cell r="U297">
            <v>1.1576388888888889</v>
          </cell>
          <cell r="V297">
            <v>56</v>
          </cell>
          <cell r="Z297">
            <v>0.26180555555555551</v>
          </cell>
          <cell r="AF297">
            <v>49.2</v>
          </cell>
          <cell r="AG297">
            <v>12</v>
          </cell>
          <cell r="AI297">
            <v>48.3</v>
          </cell>
          <cell r="AU297">
            <v>95.445431119922034</v>
          </cell>
          <cell r="AV297">
            <v>96.561009033575203</v>
          </cell>
          <cell r="AX297" t="str">
            <v>K. Benjamin</v>
          </cell>
        </row>
        <row r="298">
          <cell r="A298" t="str">
            <v>CA254</v>
          </cell>
          <cell r="B298">
            <v>46113</v>
          </cell>
          <cell r="P298">
            <v>63</v>
          </cell>
          <cell r="Q298">
            <v>9.6666666666666643</v>
          </cell>
          <cell r="T298">
            <v>1.1555555555555554</v>
          </cell>
          <cell r="U298">
            <v>1.2708333333333333</v>
          </cell>
          <cell r="V298">
            <v>58</v>
          </cell>
          <cell r="Z298">
            <v>0.27777777777777768</v>
          </cell>
          <cell r="AF298">
            <v>53.2</v>
          </cell>
          <cell r="AG298">
            <v>11.9</v>
          </cell>
          <cell r="AI298">
            <v>53.3</v>
          </cell>
          <cell r="AU298">
            <v>104.42612750160676</v>
          </cell>
          <cell r="AV298">
            <v>105.88498565216436</v>
          </cell>
          <cell r="AX298" t="str">
            <v>K. Benjamin</v>
          </cell>
        </row>
        <row r="299">
          <cell r="A299" t="str">
            <v>CA255</v>
          </cell>
          <cell r="B299">
            <v>46114</v>
          </cell>
          <cell r="P299">
            <v>61</v>
          </cell>
          <cell r="Q299">
            <v>7.0740740740740744</v>
          </cell>
          <cell r="T299">
            <v>0.24444444444444444</v>
          </cell>
          <cell r="U299">
            <v>0.35416666666666669</v>
          </cell>
          <cell r="V299">
            <v>62</v>
          </cell>
          <cell r="Z299">
            <v>0.25347222222222221</v>
          </cell>
          <cell r="AF299">
            <v>51.8</v>
          </cell>
          <cell r="AG299">
            <v>11.6</v>
          </cell>
          <cell r="AI299">
            <v>51.1</v>
          </cell>
          <cell r="AU299">
            <v>97.341719131975395</v>
          </cell>
          <cell r="AV299">
            <v>98.701695291643603</v>
          </cell>
          <cell r="AX299" t="str">
            <v>K. Benjamin</v>
          </cell>
        </row>
        <row r="300">
          <cell r="A300" t="str">
            <v>CA256</v>
          </cell>
          <cell r="B300">
            <v>46114</v>
          </cell>
          <cell r="P300">
            <v>61</v>
          </cell>
          <cell r="Q300">
            <v>7.6155268022181106</v>
          </cell>
          <cell r="T300">
            <v>0.32430555555555557</v>
          </cell>
          <cell r="U300">
            <v>0.43055555555555558</v>
          </cell>
          <cell r="V300">
            <v>58</v>
          </cell>
          <cell r="Z300">
            <v>0.23611111111111113</v>
          </cell>
          <cell r="AF300">
            <v>51.1</v>
          </cell>
          <cell r="AG300">
            <v>12</v>
          </cell>
          <cell r="AI300">
            <v>50.3</v>
          </cell>
          <cell r="AU300">
            <v>99.419193802504751</v>
          </cell>
          <cell r="AV300">
            <v>100.80810388344609</v>
          </cell>
          <cell r="AX300" t="str">
            <v>R. Regis</v>
          </cell>
        </row>
        <row r="301">
          <cell r="A301" t="str">
            <v>CA257</v>
          </cell>
          <cell r="B301">
            <v>46114</v>
          </cell>
          <cell r="P301">
            <v>60</v>
          </cell>
          <cell r="Q301">
            <v>7.985212569316082</v>
          </cell>
          <cell r="T301">
            <v>0.4236111111111111</v>
          </cell>
          <cell r="U301">
            <v>0.53194444444444444</v>
          </cell>
          <cell r="V301">
            <v>65</v>
          </cell>
          <cell r="Z301">
            <v>0.25416666666666665</v>
          </cell>
          <cell r="AF301">
            <v>51.3</v>
          </cell>
          <cell r="AG301">
            <v>11.7</v>
          </cell>
          <cell r="AI301">
            <v>50.5</v>
          </cell>
          <cell r="AU301">
            <v>97.071854613833906</v>
          </cell>
          <cell r="AV301">
            <v>98.42806045472939</v>
          </cell>
          <cell r="AX301" t="str">
            <v>P. Calliste</v>
          </cell>
        </row>
        <row r="302">
          <cell r="A302" t="str">
            <v>CA258</v>
          </cell>
          <cell r="B302">
            <v>46114</v>
          </cell>
          <cell r="P302">
            <v>60</v>
          </cell>
          <cell r="Q302">
            <v>7.4306839186691374</v>
          </cell>
          <cell r="T302">
            <v>0.51736111111111116</v>
          </cell>
          <cell r="U302">
            <v>0.63263888888888886</v>
          </cell>
          <cell r="V302">
            <v>69</v>
          </cell>
          <cell r="Z302">
            <v>0.25416666666666665</v>
          </cell>
          <cell r="AF302">
            <v>52.1</v>
          </cell>
          <cell r="AG302">
            <v>11.7</v>
          </cell>
          <cell r="AI302">
            <v>51.8</v>
          </cell>
          <cell r="AU302">
            <v>99.570734039536561</v>
          </cell>
          <cell r="AV302">
            <v>100.96185210999965</v>
          </cell>
          <cell r="AX302" t="str">
            <v>P. Calliste</v>
          </cell>
        </row>
        <row r="303">
          <cell r="A303" t="str">
            <v>CA259</v>
          </cell>
          <cell r="B303">
            <v>46121</v>
          </cell>
          <cell r="P303">
            <v>61</v>
          </cell>
          <cell r="Q303">
            <v>8.3847549909255843</v>
          </cell>
          <cell r="T303">
            <v>0.92569444444444449</v>
          </cell>
          <cell r="U303">
            <v>1.0472222222222223</v>
          </cell>
          <cell r="V303">
            <v>51</v>
          </cell>
          <cell r="Z303">
            <v>0.25555555555555565</v>
          </cell>
          <cell r="AF303">
            <v>51.2</v>
          </cell>
          <cell r="AG303">
            <v>11.7</v>
          </cell>
          <cell r="AI303">
            <v>50</v>
          </cell>
          <cell r="AU303">
            <v>96.468452597935965</v>
          </cell>
          <cell r="AV303">
            <v>97.815963252959605</v>
          </cell>
          <cell r="AX303" t="str">
            <v>R. Regis</v>
          </cell>
        </row>
        <row r="304">
          <cell r="A304" t="str">
            <v>CA260</v>
          </cell>
          <cell r="B304">
            <v>46121</v>
          </cell>
          <cell r="P304">
            <v>58</v>
          </cell>
          <cell r="Q304">
            <v>9.0942698706099847</v>
          </cell>
          <cell r="T304">
            <v>1.0277777777777777</v>
          </cell>
          <cell r="U304">
            <v>1.1388888888888888</v>
          </cell>
          <cell r="V304">
            <v>60</v>
          </cell>
          <cell r="Z304">
            <v>0.25</v>
          </cell>
          <cell r="AF304">
            <v>51.14</v>
          </cell>
          <cell r="AG304">
            <v>11.6</v>
          </cell>
          <cell r="AI304">
            <v>51.2</v>
          </cell>
          <cell r="AU304">
            <v>98.260915565538383</v>
          </cell>
          <cell r="AV304">
            <v>99.633192172181978</v>
          </cell>
          <cell r="AX304" t="str">
            <v>R. Sookram</v>
          </cell>
        </row>
        <row r="305">
          <cell r="A305" t="str">
            <v>CA261</v>
          </cell>
          <cell r="B305">
            <v>46121</v>
          </cell>
          <cell r="P305">
            <v>61</v>
          </cell>
          <cell r="Q305">
            <v>9.0942698706099847</v>
          </cell>
          <cell r="T305">
            <v>1.3381944444444445</v>
          </cell>
          <cell r="U305">
            <v>1.4465277777777779</v>
          </cell>
          <cell r="V305">
            <v>61</v>
          </cell>
          <cell r="Z305">
            <v>0.47083333333333344</v>
          </cell>
          <cell r="AF305">
            <v>50.3</v>
          </cell>
          <cell r="AG305">
            <v>12</v>
          </cell>
          <cell r="AI305">
            <v>49.4</v>
          </cell>
          <cell r="AU305">
            <v>97.640321547589153</v>
          </cell>
          <cell r="AV305">
            <v>99.00438035471646</v>
          </cell>
          <cell r="AX305" t="str">
            <v>R. Sookram</v>
          </cell>
        </row>
        <row r="306">
          <cell r="A306" t="str">
            <v>CA262</v>
          </cell>
          <cell r="B306">
            <v>46122</v>
          </cell>
          <cell r="P306">
            <v>61</v>
          </cell>
          <cell r="Q306">
            <v>9.4639556377079437</v>
          </cell>
          <cell r="T306">
            <v>0.43333333333333335</v>
          </cell>
          <cell r="U306">
            <v>0.5444444444444444</v>
          </cell>
          <cell r="V306">
            <v>64</v>
          </cell>
          <cell r="Z306">
            <v>0.26666666666666661</v>
          </cell>
          <cell r="AF306">
            <v>51</v>
          </cell>
          <cell r="AG306">
            <v>11.7</v>
          </cell>
          <cell r="AI306">
            <v>51.3</v>
          </cell>
          <cell r="AU306">
            <v>98.731659046513386</v>
          </cell>
          <cell r="AV306">
            <v>100.11096410133182</v>
          </cell>
          <cell r="AX306" t="str">
            <v>D. Gomaz</v>
          </cell>
        </row>
        <row r="307">
          <cell r="A307" t="str">
            <v>CA263</v>
          </cell>
          <cell r="B307">
            <v>46122</v>
          </cell>
          <cell r="P307">
            <v>61</v>
          </cell>
          <cell r="Q307">
            <v>8.1700554528650677</v>
          </cell>
          <cell r="T307">
            <v>0.53125</v>
          </cell>
          <cell r="U307">
            <v>0.63958333333333328</v>
          </cell>
          <cell r="V307">
            <v>62</v>
          </cell>
          <cell r="Z307">
            <v>0.26111111111111107</v>
          </cell>
          <cell r="AF307">
            <v>52.1</v>
          </cell>
          <cell r="AG307">
            <v>11.6</v>
          </cell>
          <cell r="AI307">
            <v>52.5</v>
          </cell>
          <cell r="AU307">
            <v>100.63051286939478</v>
          </cell>
          <cell r="AV307">
            <v>102.03597546995495</v>
          </cell>
          <cell r="AX307" t="str">
            <v>D. Gomaz</v>
          </cell>
        </row>
        <row r="308">
          <cell r="A308" t="str">
            <v>CA264</v>
          </cell>
          <cell r="B308">
            <v>46122</v>
          </cell>
          <cell r="P308">
            <v>60</v>
          </cell>
          <cell r="Q308">
            <v>8.3847549909255843</v>
          </cell>
          <cell r="T308">
            <v>0.63124999999999998</v>
          </cell>
          <cell r="U308">
            <v>0.73819444444444449</v>
          </cell>
          <cell r="V308">
            <v>57</v>
          </cell>
          <cell r="Z308">
            <v>0.26944444444444449</v>
          </cell>
          <cell r="AF308">
            <v>51.2</v>
          </cell>
          <cell r="AG308">
            <v>11.7</v>
          </cell>
          <cell r="AI308">
            <v>50</v>
          </cell>
          <cell r="AU308">
            <v>96.708405814293428</v>
          </cell>
          <cell r="AV308">
            <v>98.059090051669742</v>
          </cell>
          <cell r="AX308" t="str">
            <v>R. Regis</v>
          </cell>
        </row>
        <row r="309">
          <cell r="A309" t="str">
            <v>CA265</v>
          </cell>
          <cell r="B309">
            <v>46122</v>
          </cell>
          <cell r="P309">
            <v>61</v>
          </cell>
          <cell r="Q309">
            <v>11.497227356746762</v>
          </cell>
          <cell r="T309">
            <v>0.72013888888888888</v>
          </cell>
          <cell r="U309">
            <v>0.83125000000000004</v>
          </cell>
          <cell r="V309">
            <v>59</v>
          </cell>
          <cell r="Z309">
            <v>0.2548611111111112</v>
          </cell>
          <cell r="AF309">
            <v>48.6</v>
          </cell>
          <cell r="AG309">
            <v>12.1</v>
          </cell>
          <cell r="AI309">
            <v>49.1</v>
          </cell>
          <cell r="AU309">
            <v>98.262108477392388</v>
          </cell>
          <cell r="AV309">
            <v>99.634583238684542</v>
          </cell>
          <cell r="AX309" t="str">
            <v>R. Regis</v>
          </cell>
        </row>
        <row r="310">
          <cell r="A310" t="str">
            <v>CA266</v>
          </cell>
          <cell r="B310">
            <v>46122</v>
          </cell>
          <cell r="P310">
            <v>60</v>
          </cell>
          <cell r="Q310">
            <v>9.8336414048059151</v>
          </cell>
          <cell r="T310">
            <v>0.81388888888888888</v>
          </cell>
          <cell r="U310">
            <v>0.92361111111111116</v>
          </cell>
          <cell r="V310">
            <v>62</v>
          </cell>
          <cell r="Z310">
            <v>0.24652777777777779</v>
          </cell>
          <cell r="AF310">
            <v>51.2</v>
          </cell>
          <cell r="AG310">
            <v>11.9</v>
          </cell>
          <cell r="AI310">
            <v>51.3</v>
          </cell>
          <cell r="AU310">
            <v>100.88223340232045</v>
          </cell>
          <cell r="AV310">
            <v>102.29130472546764</v>
          </cell>
          <cell r="AX310" t="str">
            <v>R. Regis</v>
          </cell>
        </row>
        <row r="311">
          <cell r="A311" t="str">
            <v>CA267</v>
          </cell>
          <cell r="B311">
            <v>46125</v>
          </cell>
          <cell r="P311">
            <v>60</v>
          </cell>
          <cell r="Q311">
            <v>11.1070780399274</v>
          </cell>
          <cell r="T311">
            <v>1.1340277777777779</v>
          </cell>
          <cell r="U311">
            <v>1.2527777777777778</v>
          </cell>
          <cell r="V311">
            <v>58</v>
          </cell>
          <cell r="Z311">
            <v>0.25277777777777777</v>
          </cell>
          <cell r="AF311">
            <v>50.9</v>
          </cell>
          <cell r="AG311">
            <v>11.6</v>
          </cell>
          <cell r="AI311">
            <v>51.3</v>
          </cell>
          <cell r="AU311">
            <v>97.964873795422605</v>
          </cell>
          <cell r="AV311">
            <v>99.33337698474557</v>
          </cell>
          <cell r="AX311" t="str">
            <v>R. Regis</v>
          </cell>
        </row>
        <row r="312">
          <cell r="A312" t="str">
            <v>CA268</v>
          </cell>
          <cell r="B312">
            <v>46126</v>
          </cell>
          <cell r="P312">
            <v>60</v>
          </cell>
          <cell r="Q312">
            <v>9.4736842105263133</v>
          </cell>
          <cell r="T312">
            <v>0.2298611111111111</v>
          </cell>
          <cell r="U312">
            <v>0.35208333333333336</v>
          </cell>
          <cell r="V312">
            <v>61</v>
          </cell>
          <cell r="Z312">
            <v>0.25486111111111115</v>
          </cell>
          <cell r="AF312">
            <v>50.6</v>
          </cell>
          <cell r="AG312">
            <v>12</v>
          </cell>
          <cell r="AI312">
            <v>49.3</v>
          </cell>
          <cell r="AU312">
            <v>97.684444147608716</v>
          </cell>
          <cell r="AV312">
            <v>99.048940268092579</v>
          </cell>
          <cell r="AX312" t="str">
            <v>R. Regis</v>
          </cell>
        </row>
        <row r="313">
          <cell r="A313" t="str">
            <v>CA269</v>
          </cell>
          <cell r="B313">
            <v>46126</v>
          </cell>
          <cell r="P313">
            <v>59</v>
          </cell>
          <cell r="Q313">
            <v>7.8003696857670963</v>
          </cell>
          <cell r="T313">
            <v>0.45694444444444443</v>
          </cell>
          <cell r="U313">
            <v>0.57152777777777775</v>
          </cell>
          <cell r="V313">
            <v>64</v>
          </cell>
          <cell r="Z313">
            <v>0.24166666666666664</v>
          </cell>
          <cell r="AF313">
            <v>51</v>
          </cell>
          <cell r="AG313">
            <v>11.6</v>
          </cell>
          <cell r="AI313">
            <v>52.4</v>
          </cell>
          <cell r="AU313">
            <v>100.56390577410568</v>
          </cell>
          <cell r="AV313">
            <v>101.9683451137175</v>
          </cell>
          <cell r="AX313" t="str">
            <v>D. Gomaz</v>
          </cell>
        </row>
        <row r="314">
          <cell r="A314" t="str">
            <v>CA270</v>
          </cell>
          <cell r="B314">
            <v>46126</v>
          </cell>
          <cell r="P314">
            <v>61</v>
          </cell>
          <cell r="Q314">
            <v>1.4173228346456672</v>
          </cell>
          <cell r="T314">
            <v>0.54791666666666672</v>
          </cell>
          <cell r="U314">
            <v>0.65694444444444444</v>
          </cell>
          <cell r="V314">
            <v>60</v>
          </cell>
          <cell r="Z314">
            <v>0.24375000000000002</v>
          </cell>
          <cell r="AF314">
            <v>51.2</v>
          </cell>
          <cell r="AG314">
            <v>12</v>
          </cell>
          <cell r="AI314">
            <v>50</v>
          </cell>
          <cell r="AU314">
            <v>99.284482347324953</v>
          </cell>
          <cell r="AV314">
            <v>100.58000323726671</v>
          </cell>
          <cell r="AX314" t="str">
            <v>D. Gomaz</v>
          </cell>
        </row>
        <row r="315">
          <cell r="A315" t="str">
            <v>CA271</v>
          </cell>
          <cell r="B315">
            <v>46126</v>
          </cell>
          <cell r="P315">
            <v>59</v>
          </cell>
          <cell r="Q315">
            <v>1.4090019569471601</v>
          </cell>
          <cell r="T315">
            <v>0.63958333333333328</v>
          </cell>
          <cell r="U315">
            <v>0.75069444444444444</v>
          </cell>
          <cell r="V315">
            <v>60</v>
          </cell>
          <cell r="Z315">
            <v>0.25416666666666665</v>
          </cell>
          <cell r="AF315">
            <v>51.1</v>
          </cell>
          <cell r="AG315">
            <v>12</v>
          </cell>
          <cell r="AI315">
            <v>50.2</v>
          </cell>
          <cell r="AU315">
            <v>99.92986277518375</v>
          </cell>
          <cell r="AV315">
            <v>101.23363252705178</v>
          </cell>
          <cell r="AX315" t="str">
            <v>D. Gomaz</v>
          </cell>
        </row>
        <row r="316">
          <cell r="A316" t="str">
            <v>CA272</v>
          </cell>
          <cell r="B316">
            <v>46126</v>
          </cell>
          <cell r="P316">
            <v>60</v>
          </cell>
          <cell r="Q316">
            <v>1.4145383104125715</v>
          </cell>
          <cell r="T316">
            <v>0.73124999999999996</v>
          </cell>
          <cell r="U316">
            <v>0.84375</v>
          </cell>
          <cell r="V316">
            <v>63</v>
          </cell>
          <cell r="Z316">
            <v>0.26041666666666663</v>
          </cell>
          <cell r="AF316">
            <v>51.8</v>
          </cell>
          <cell r="AG316">
            <v>11.6</v>
          </cell>
          <cell r="AI316">
            <v>51.9</v>
          </cell>
          <cell r="AU316">
            <v>98.833209781084534</v>
          </cell>
          <cell r="AV316">
            <v>100.12326487579573</v>
          </cell>
          <cell r="AX316" t="str">
            <v>D. Gomaz</v>
          </cell>
        </row>
        <row r="317">
          <cell r="A317" t="str">
            <v>CA273</v>
          </cell>
          <cell r="B317">
            <v>46126</v>
          </cell>
          <cell r="P317">
            <v>62</v>
          </cell>
          <cell r="Q317">
            <v>1.4035087719298225</v>
          </cell>
          <cell r="T317">
            <v>0.82361111111111107</v>
          </cell>
          <cell r="U317">
            <v>0.93125000000000002</v>
          </cell>
          <cell r="V317">
            <v>64</v>
          </cell>
          <cell r="Z317">
            <v>0.25763888888888886</v>
          </cell>
          <cell r="AF317">
            <v>51.3</v>
          </cell>
          <cell r="AG317">
            <v>11.9</v>
          </cell>
          <cell r="AI317">
            <v>50.4</v>
          </cell>
          <cell r="AU317">
            <v>99.202272266400399</v>
          </cell>
          <cell r="AV317">
            <v>100.49672043203837</v>
          </cell>
          <cell r="AX317" t="str">
            <v>D. Gomaz</v>
          </cell>
        </row>
        <row r="318">
          <cell r="A318" t="str">
            <v>CA274</v>
          </cell>
          <cell r="B318">
            <v>46126</v>
          </cell>
          <cell r="P318">
            <v>59</v>
          </cell>
          <cell r="Q318">
            <v>1.4062499999999978</v>
          </cell>
          <cell r="T318">
            <v>0.91527777777777775</v>
          </cell>
          <cell r="U318">
            <v>1.0194444444444444</v>
          </cell>
          <cell r="V318">
            <v>58</v>
          </cell>
          <cell r="Z318">
            <v>0.24861111111111101</v>
          </cell>
          <cell r="AF318">
            <v>51.6</v>
          </cell>
          <cell r="AG318">
            <v>11.8</v>
          </cell>
          <cell r="AI318">
            <v>50.6</v>
          </cell>
          <cell r="AU318">
            <v>98.715968018469894</v>
          </cell>
          <cell r="AV318">
            <v>100.00407060726477</v>
          </cell>
          <cell r="AX318" t="str">
            <v>D. Gomaz</v>
          </cell>
        </row>
        <row r="319">
          <cell r="A319" t="str">
            <v>CA275</v>
          </cell>
          <cell r="B319">
            <v>46126</v>
          </cell>
          <cell r="Q319">
            <v>1.4117647058823508</v>
          </cell>
          <cell r="T319">
            <v>1.1159722222222221</v>
          </cell>
          <cell r="U319">
            <v>1.2298611111111111</v>
          </cell>
          <cell r="V319">
            <v>57</v>
          </cell>
          <cell r="Z319">
            <v>0.25069444444444444</v>
          </cell>
          <cell r="AF319">
            <v>51</v>
          </cell>
          <cell r="AG319">
            <v>11.6</v>
          </cell>
          <cell r="AI319">
            <v>49.6</v>
          </cell>
          <cell r="AU319">
            <v>95.039912630667331</v>
          </cell>
          <cell r="AV319">
            <v>96.280047939632709</v>
          </cell>
          <cell r="AX319" t="str">
            <v>R. Regis</v>
          </cell>
        </row>
        <row r="320">
          <cell r="A320" t="str">
            <v>CA276</v>
          </cell>
          <cell r="B320">
            <v>46127</v>
          </cell>
          <cell r="Q320">
            <v>6.3216266173752338</v>
          </cell>
          <cell r="T320">
            <v>0.22222222222222221</v>
          </cell>
          <cell r="U320">
            <v>0.33055555555555555</v>
          </cell>
          <cell r="V320">
            <v>59</v>
          </cell>
          <cell r="Z320">
            <v>0.24722222222222223</v>
          </cell>
          <cell r="AF320">
            <v>51.4</v>
          </cell>
          <cell r="AG320">
            <v>11.9</v>
          </cell>
          <cell r="AI320">
            <v>50.1</v>
          </cell>
          <cell r="AU320">
            <v>98.367421417804422</v>
          </cell>
          <cell r="AV320">
            <v>99.651144866073068</v>
          </cell>
          <cell r="AX320" t="str">
            <v>R. Regis</v>
          </cell>
        </row>
        <row r="321">
          <cell r="A321" t="str">
            <v>CA277</v>
          </cell>
          <cell r="B321">
            <v>46127</v>
          </cell>
          <cell r="Q321">
            <v>5.3974121996303168</v>
          </cell>
          <cell r="T321">
            <v>0.32361111111111113</v>
          </cell>
          <cell r="U321">
            <v>0.42916666666666664</v>
          </cell>
          <cell r="V321">
            <v>63</v>
          </cell>
          <cell r="Z321">
            <v>0.24166666666666664</v>
          </cell>
          <cell r="AF321">
            <v>51.9</v>
          </cell>
          <cell r="AG321">
            <v>11.8</v>
          </cell>
          <cell r="AI321">
            <v>50.8</v>
          </cell>
          <cell r="AU321">
            <v>98.860563530003276</v>
          </cell>
          <cell r="AV321">
            <v>100.15072262620936</v>
          </cell>
          <cell r="AX321" t="str">
            <v>R. Regis</v>
          </cell>
        </row>
        <row r="322">
          <cell r="A322" t="str">
            <v>CA278</v>
          </cell>
          <cell r="B322">
            <v>46127</v>
          </cell>
          <cell r="Q322">
            <v>6.6913123844731928</v>
          </cell>
          <cell r="T322">
            <v>0.4284722222222222</v>
          </cell>
          <cell r="U322">
            <v>0.52430555555555558</v>
          </cell>
          <cell r="V322">
            <v>63</v>
          </cell>
          <cell r="Z322">
            <v>0.2326388888888889</v>
          </cell>
          <cell r="AF322">
            <v>51.6</v>
          </cell>
          <cell r="AG322">
            <v>11.7</v>
          </cell>
          <cell r="AI322">
            <v>50.9</v>
          </cell>
          <cell r="AU322">
            <v>98.293969985865587</v>
          </cell>
          <cell r="AV322">
            <v>99.576650591512873</v>
          </cell>
          <cell r="AX322" t="str">
            <v>R. Regis</v>
          </cell>
        </row>
        <row r="323">
          <cell r="A323" t="str">
            <v>CA279</v>
          </cell>
          <cell r="B323">
            <v>46127</v>
          </cell>
          <cell r="Q323">
            <v>7.8003696857670963</v>
          </cell>
          <cell r="T323">
            <v>0.52013888888888893</v>
          </cell>
          <cell r="U323">
            <v>0.63402777777777775</v>
          </cell>
          <cell r="V323">
            <v>64</v>
          </cell>
          <cell r="Z323">
            <v>0.25902777777777775</v>
          </cell>
          <cell r="AF323">
            <v>51.4</v>
          </cell>
          <cell r="AG323">
            <v>11.6</v>
          </cell>
          <cell r="AI323">
            <v>51.5</v>
          </cell>
          <cell r="AU323">
            <v>98.680554445148545</v>
          </cell>
          <cell r="AV323">
            <v>99.968194937320249</v>
          </cell>
          <cell r="AX323" t="str">
            <v>R. Sookram</v>
          </cell>
        </row>
        <row r="324">
          <cell r="A324" t="str">
            <v>CA280</v>
          </cell>
          <cell r="B324">
            <v>46127</v>
          </cell>
          <cell r="Q324">
            <v>7.2458410351201517</v>
          </cell>
          <cell r="T324">
            <v>0.61388888888888893</v>
          </cell>
          <cell r="U324">
            <v>0.71944444444444444</v>
          </cell>
          <cell r="V324">
            <v>62</v>
          </cell>
          <cell r="Z324">
            <v>0.25416666666666665</v>
          </cell>
          <cell r="AF324">
            <v>50.9</v>
          </cell>
          <cell r="AG324">
            <v>11.8</v>
          </cell>
          <cell r="AI324">
            <v>49.8</v>
          </cell>
          <cell r="AU324">
            <v>97.276066263342202</v>
          </cell>
          <cell r="AV324">
            <v>98.545296365711692</v>
          </cell>
          <cell r="AX324" t="str">
            <v>R. Sookram</v>
          </cell>
        </row>
        <row r="325">
          <cell r="A325" t="str">
            <v>CA281</v>
          </cell>
          <cell r="B325">
            <v>46127</v>
          </cell>
          <cell r="Q325">
            <v>6.1367837338262481</v>
          </cell>
          <cell r="T325">
            <v>0.70138888888888884</v>
          </cell>
          <cell r="U325">
            <v>0.80902777777777779</v>
          </cell>
          <cell r="V325">
            <v>61</v>
          </cell>
          <cell r="Z325">
            <v>0.24652777777777779</v>
          </cell>
          <cell r="AF325">
            <v>51.5</v>
          </cell>
          <cell r="AG325">
            <v>11.9</v>
          </cell>
          <cell r="AI325">
            <v>50.5</v>
          </cell>
          <cell r="AU325">
            <v>99.522717712698153</v>
          </cell>
          <cell r="AV325">
            <v>100.82126147626499</v>
          </cell>
          <cell r="AX325" t="str">
            <v>D. Gomaz</v>
          </cell>
        </row>
        <row r="326">
          <cell r="A326" t="str">
            <v>CA282</v>
          </cell>
          <cell r="B326">
            <v>46127</v>
          </cell>
          <cell r="Q326">
            <v>7.6155268022181106</v>
          </cell>
          <cell r="T326">
            <v>0.79027777777777775</v>
          </cell>
          <cell r="U326">
            <v>0.90555555555555556</v>
          </cell>
          <cell r="V326">
            <v>63</v>
          </cell>
          <cell r="Z326">
            <v>0.25277777777777777</v>
          </cell>
          <cell r="AF326">
            <v>50.7</v>
          </cell>
          <cell r="AG326">
            <v>11.7</v>
          </cell>
          <cell r="AI326">
            <v>50.5</v>
          </cell>
          <cell r="AU326">
            <v>97.280161876306295</v>
          </cell>
          <cell r="AV326">
            <v>98.549779475969927</v>
          </cell>
          <cell r="AX326" t="str">
            <v>D. Gomaz</v>
          </cell>
        </row>
        <row r="327">
          <cell r="A327" t="str">
            <v>CA283</v>
          </cell>
          <cell r="B327">
            <v>46127</v>
          </cell>
          <cell r="Q327">
            <v>7.8003696857670963</v>
          </cell>
          <cell r="T327">
            <v>0.93680555555555556</v>
          </cell>
          <cell r="U327">
            <v>1.054861111111111</v>
          </cell>
          <cell r="V327">
            <v>57</v>
          </cell>
          <cell r="Z327">
            <v>0.24236111111111103</v>
          </cell>
          <cell r="AF327">
            <v>51.8</v>
          </cell>
          <cell r="AG327">
            <v>11.6</v>
          </cell>
          <cell r="AI327">
            <v>51.3</v>
          </cell>
          <cell r="AU327">
            <v>98.419574335641741</v>
          </cell>
          <cell r="AV327">
            <v>99.703724602070267</v>
          </cell>
          <cell r="AX327" t="str">
            <v>D. Gomaz</v>
          </cell>
        </row>
        <row r="328">
          <cell r="A328" t="str">
            <v>CA284</v>
          </cell>
          <cell r="B328">
            <v>46127</v>
          </cell>
          <cell r="Q328">
            <v>7.4306839186691374</v>
          </cell>
          <cell r="T328">
            <v>1.0298611111111111</v>
          </cell>
          <cell r="U328">
            <v>1.132638888888889</v>
          </cell>
          <cell r="V328">
            <v>54</v>
          </cell>
          <cell r="Z328">
            <v>0.2368055555555556</v>
          </cell>
          <cell r="AF328">
            <v>50.8</v>
          </cell>
          <cell r="AG328">
            <v>12</v>
          </cell>
          <cell r="AI328">
            <v>49.8</v>
          </cell>
          <cell r="AU328">
            <v>99.010323522494176</v>
          </cell>
          <cell r="AV328">
            <v>100.302181714209</v>
          </cell>
          <cell r="AX328" t="str">
            <v>D. Gomaz</v>
          </cell>
        </row>
        <row r="329">
          <cell r="A329" t="str">
            <v>CA285</v>
          </cell>
          <cell r="B329">
            <v>46127</v>
          </cell>
          <cell r="Q329">
            <v>7.1143375680580796</v>
          </cell>
          <cell r="T329">
            <v>1.1284722222222223</v>
          </cell>
          <cell r="U329">
            <v>1.2555555555555555</v>
          </cell>
          <cell r="V329">
            <v>60</v>
          </cell>
          <cell r="Z329">
            <v>0.27638888888888891</v>
          </cell>
          <cell r="AF329">
            <v>52.3</v>
          </cell>
          <cell r="AG329">
            <v>12</v>
          </cell>
          <cell r="AI329">
            <v>51.1</v>
          </cell>
          <cell r="AU329">
            <v>101.34286464320613</v>
          </cell>
          <cell r="AV329">
            <v>102.66533159633937</v>
          </cell>
          <cell r="AX329" t="str">
            <v>R. Regis</v>
          </cell>
        </row>
        <row r="330">
          <cell r="A330" t="str">
            <v>CA286</v>
          </cell>
          <cell r="B330">
            <v>46128</v>
          </cell>
          <cell r="P330">
            <v>60</v>
          </cell>
          <cell r="Q330">
            <v>8.1700554528650677</v>
          </cell>
          <cell r="T330">
            <v>0.33750000000000002</v>
          </cell>
          <cell r="U330">
            <v>0.4465277777777778</v>
          </cell>
          <cell r="V330">
            <v>63</v>
          </cell>
          <cell r="Z330">
            <v>0.24513888888888891</v>
          </cell>
          <cell r="AF330">
            <v>51.6</v>
          </cell>
          <cell r="AG330">
            <v>11.7</v>
          </cell>
          <cell r="AI330">
            <v>51.7</v>
          </cell>
          <cell r="AU330">
            <v>100.08719027441192</v>
          </cell>
          <cell r="AV330">
            <v>101.39309911342652</v>
          </cell>
          <cell r="AX330" t="str">
            <v>R. Regis</v>
          </cell>
        </row>
        <row r="331">
          <cell r="A331" t="str">
            <v>CA287</v>
          </cell>
          <cell r="B331">
            <v>46128</v>
          </cell>
          <cell r="P331">
            <v>57</v>
          </cell>
          <cell r="Q331">
            <v>8.5397412199630267</v>
          </cell>
          <cell r="T331">
            <v>0.43611111111111112</v>
          </cell>
          <cell r="U331">
            <v>0.54374999999999996</v>
          </cell>
          <cell r="V331">
            <v>63</v>
          </cell>
          <cell r="Z331">
            <v>0.25902777777777775</v>
          </cell>
          <cell r="AF331">
            <v>51.04</v>
          </cell>
          <cell r="AG331">
            <v>11.6</v>
          </cell>
          <cell r="AI331">
            <v>50.7</v>
          </cell>
          <cell r="AU331">
            <v>97.147652628524895</v>
          </cell>
          <cell r="AV331">
            <v>98.415290938293936</v>
          </cell>
          <cell r="AX331" t="str">
            <v>R. Regis</v>
          </cell>
        </row>
        <row r="332">
          <cell r="A332" t="str">
            <v>CA288</v>
          </cell>
          <cell r="B332">
            <v>46128</v>
          </cell>
          <cell r="P332">
            <v>59</v>
          </cell>
          <cell r="Q332">
            <v>7.8003696857670963</v>
          </cell>
          <cell r="T332">
            <v>0.55000000000000004</v>
          </cell>
          <cell r="U332">
            <v>0.65902777777777777</v>
          </cell>
          <cell r="V332">
            <v>56</v>
          </cell>
          <cell r="Z332">
            <v>0.27708333333333335</v>
          </cell>
          <cell r="AF332">
            <v>51.8</v>
          </cell>
          <cell r="AI332">
            <v>51.6</v>
          </cell>
          <cell r="AU332"/>
          <cell r="AX332" t="str">
            <v>R. Sookram</v>
          </cell>
        </row>
        <row r="333">
          <cell r="A333" t="str">
            <v>CA289</v>
          </cell>
          <cell r="B333">
            <v>46128</v>
          </cell>
          <cell r="P333">
            <v>60</v>
          </cell>
          <cell r="Q333">
            <v>8.1700554528650677</v>
          </cell>
          <cell r="T333">
            <v>0.64027777777777772</v>
          </cell>
          <cell r="U333">
            <v>0.74930555555555556</v>
          </cell>
          <cell r="V333">
            <v>61</v>
          </cell>
          <cell r="Z333">
            <v>0.24930555555555556</v>
          </cell>
          <cell r="AF333">
            <v>50.8</v>
          </cell>
          <cell r="AG333">
            <v>12</v>
          </cell>
          <cell r="AI333">
            <v>49.5</v>
          </cell>
          <cell r="AU333">
            <v>98.291637523851719</v>
          </cell>
          <cell r="AV333">
            <v>99.574203204894033</v>
          </cell>
          <cell r="AX333" t="str">
            <v>R. Sookram</v>
          </cell>
        </row>
        <row r="334">
          <cell r="A334" t="str">
            <v>CA290</v>
          </cell>
          <cell r="B334">
            <v>46128</v>
          </cell>
          <cell r="P334">
            <v>60</v>
          </cell>
          <cell r="Q334">
            <v>6.3216266173752338</v>
          </cell>
          <cell r="T334">
            <v>0.72986111111111107</v>
          </cell>
          <cell r="U334">
            <v>0.84027777777777779</v>
          </cell>
          <cell r="V334">
            <v>64</v>
          </cell>
          <cell r="Z334">
            <v>0.24861111111111112</v>
          </cell>
          <cell r="AF334">
            <v>53.1</v>
          </cell>
          <cell r="AG334">
            <v>11.6</v>
          </cell>
          <cell r="AI334">
            <v>53</v>
          </cell>
          <cell r="AU334">
            <v>101.55474535131795</v>
          </cell>
          <cell r="AV334">
            <v>102.87988993549465</v>
          </cell>
          <cell r="AX334" t="str">
            <v>R. Sookram</v>
          </cell>
        </row>
        <row r="335">
          <cell r="A335" t="str">
            <v>CA291</v>
          </cell>
          <cell r="B335">
            <v>46128</v>
          </cell>
          <cell r="P335">
            <v>60</v>
          </cell>
          <cell r="Q335">
            <v>6.6913123844731928</v>
          </cell>
          <cell r="T335">
            <v>0.8208333333333333</v>
          </cell>
          <cell r="U335">
            <v>0.93194444444444446</v>
          </cell>
          <cell r="V335">
            <v>65</v>
          </cell>
          <cell r="Z335">
            <v>0.24236111111111114</v>
          </cell>
          <cell r="AF335">
            <v>52.1</v>
          </cell>
          <cell r="AG335">
            <v>11.7</v>
          </cell>
          <cell r="AI335">
            <v>51.9</v>
          </cell>
          <cell r="AU335">
            <v>100.47437476290094</v>
          </cell>
          <cell r="AV335">
            <v>101.78533547363318</v>
          </cell>
          <cell r="AX335" t="str">
            <v>D. Gomaz</v>
          </cell>
        </row>
        <row r="336">
          <cell r="A336" t="str">
            <v>CA292</v>
          </cell>
          <cell r="B336">
            <v>46128</v>
          </cell>
          <cell r="P336">
            <v>59</v>
          </cell>
          <cell r="Q336">
            <v>6.5064695009242195</v>
          </cell>
          <cell r="T336">
            <v>0.90833333333333333</v>
          </cell>
          <cell r="U336">
            <v>1.0131944444444445</v>
          </cell>
          <cell r="V336">
            <v>59</v>
          </cell>
          <cell r="Z336">
            <v>0.24027777777777781</v>
          </cell>
          <cell r="AF336">
            <v>52.2</v>
          </cell>
          <cell r="AG336">
            <v>11.7</v>
          </cell>
          <cell r="AI336">
            <v>52</v>
          </cell>
          <cell r="AU336">
            <v>100.54292897070825</v>
          </cell>
          <cell r="AV336">
            <v>101.85487079422313</v>
          </cell>
          <cell r="AX336" t="str">
            <v>D. Gomaz</v>
          </cell>
        </row>
        <row r="337">
          <cell r="A337" t="str">
            <v>CA293</v>
          </cell>
          <cell r="B337">
            <v>46128</v>
          </cell>
          <cell r="P337">
            <v>60</v>
          </cell>
          <cell r="Q337">
            <v>6.9328493647912897</v>
          </cell>
          <cell r="T337">
            <v>1</v>
          </cell>
          <cell r="U337">
            <v>1.1069444444444445</v>
          </cell>
          <cell r="V337">
            <v>61</v>
          </cell>
          <cell r="Z337">
            <v>0.25069444444444455</v>
          </cell>
          <cell r="AF337">
            <v>52</v>
          </cell>
          <cell r="AG337">
            <v>11.8</v>
          </cell>
          <cell r="AI337">
            <v>51.1</v>
          </cell>
          <cell r="AU337">
            <v>99.6914222479014</v>
          </cell>
          <cell r="AV337">
            <v>100.99225312314681</v>
          </cell>
          <cell r="AX337" t="str">
            <v>D. Gomaz</v>
          </cell>
        </row>
        <row r="338">
          <cell r="A338" t="str">
            <v>CA294</v>
          </cell>
          <cell r="B338">
            <v>46128</v>
          </cell>
          <cell r="P338">
            <v>61</v>
          </cell>
          <cell r="Q338">
            <v>6.9328493647912897</v>
          </cell>
          <cell r="T338">
            <v>1.0951388888888889</v>
          </cell>
          <cell r="U338">
            <v>1.2069444444444444</v>
          </cell>
          <cell r="V338">
            <v>68</v>
          </cell>
          <cell r="Z338">
            <v>0.26041666666666663</v>
          </cell>
          <cell r="AF338">
            <v>52</v>
          </cell>
          <cell r="AG338">
            <v>11.8</v>
          </cell>
          <cell r="AI338">
            <v>50.7</v>
          </cell>
          <cell r="AU338">
            <v>98.788355462696771</v>
          </cell>
          <cell r="AV338">
            <v>100.07748751865111</v>
          </cell>
          <cell r="AX338" t="str">
            <v>D. Gomaz</v>
          </cell>
        </row>
        <row r="339">
          <cell r="A339" t="str">
            <v>CA295</v>
          </cell>
          <cell r="B339">
            <v>46133</v>
          </cell>
          <cell r="P339">
            <v>51.14</v>
          </cell>
          <cell r="Q339">
            <v>7.0609981515711642</v>
          </cell>
          <cell r="T339">
            <v>1.1125</v>
          </cell>
          <cell r="V339">
            <v>62</v>
          </cell>
          <cell r="Z339">
            <v>0.23750000000000004</v>
          </cell>
          <cell r="AF339">
            <v>51</v>
          </cell>
          <cell r="AG339">
            <v>11.7</v>
          </cell>
          <cell r="AI339">
            <v>49.9</v>
          </cell>
          <cell r="AU339">
            <v>96.362850732705169</v>
          </cell>
          <cell r="AV339">
            <v>97.620331326453694</v>
          </cell>
          <cell r="AX339" t="str">
            <v>D. Gomaz</v>
          </cell>
        </row>
        <row r="340">
          <cell r="A340" t="str">
            <v>CA296</v>
          </cell>
          <cell r="B340">
            <v>46134</v>
          </cell>
          <cell r="P340">
            <v>61</v>
          </cell>
          <cell r="Q340">
            <v>6.8761552680221785</v>
          </cell>
          <cell r="T340">
            <v>0.2638888888888889</v>
          </cell>
          <cell r="U340">
            <v>0.38124999999999998</v>
          </cell>
          <cell r="V340">
            <v>64</v>
          </cell>
          <cell r="Z340">
            <v>0.31180555555555556</v>
          </cell>
          <cell r="AF340">
            <v>51.5</v>
          </cell>
          <cell r="AG340">
            <v>11.6</v>
          </cell>
          <cell r="AI340">
            <v>52.1</v>
          </cell>
          <cell r="AU340">
            <v>99.706387133823071</v>
          </cell>
          <cell r="AV340">
            <v>101.00749898284194</v>
          </cell>
          <cell r="AX340" t="str">
            <v>D. Gomaz</v>
          </cell>
        </row>
        <row r="341">
          <cell r="A341" t="str">
            <v>CA297</v>
          </cell>
          <cell r="B341">
            <v>46134</v>
          </cell>
          <cell r="P341">
            <v>61</v>
          </cell>
          <cell r="Q341">
            <v>7.477313974591647</v>
          </cell>
          <cell r="T341">
            <v>0.36388888888888887</v>
          </cell>
          <cell r="U341">
            <v>0.47083333333333333</v>
          </cell>
          <cell r="V341">
            <v>60</v>
          </cell>
          <cell r="Z341">
            <v>0.26249999999999996</v>
          </cell>
          <cell r="AF341">
            <v>51.7</v>
          </cell>
          <cell r="AG341">
            <v>11.7</v>
          </cell>
          <cell r="AI341">
            <v>50.5</v>
          </cell>
          <cell r="AU341">
            <v>97.642652173476279</v>
          </cell>
          <cell r="AV341">
            <v>98.916749521312852</v>
          </cell>
          <cell r="AX341" t="str">
            <v>D. Gomaz</v>
          </cell>
        </row>
        <row r="342">
          <cell r="A342" t="str">
            <v>CA298</v>
          </cell>
          <cell r="B342">
            <v>46134</v>
          </cell>
          <cell r="P342">
            <v>60</v>
          </cell>
          <cell r="Q342">
            <v>6.9328493647912897</v>
          </cell>
          <cell r="T342">
            <v>0.46597222222222223</v>
          </cell>
          <cell r="U342">
            <v>0.57361111111111107</v>
          </cell>
          <cell r="V342">
            <v>59</v>
          </cell>
          <cell r="Z342">
            <v>0.24027777777777776</v>
          </cell>
          <cell r="AF342">
            <v>52</v>
          </cell>
          <cell r="AG342">
            <v>11.8</v>
          </cell>
          <cell r="AI342">
            <v>50.8</v>
          </cell>
          <cell r="AU342">
            <v>99.106149710242491</v>
          </cell>
          <cell r="AV342">
            <v>100.39934361361757</v>
          </cell>
          <cell r="AX342" t="str">
            <v>R. Regis</v>
          </cell>
        </row>
        <row r="343">
          <cell r="A343" t="str">
            <v>CA299</v>
          </cell>
          <cell r="B343">
            <v>46134</v>
          </cell>
          <cell r="P343">
            <v>57</v>
          </cell>
          <cell r="Q343">
            <v>6.3216266173752338</v>
          </cell>
          <cell r="T343">
            <v>0.65208333333333335</v>
          </cell>
          <cell r="U343">
            <v>0.75902777777777775</v>
          </cell>
          <cell r="V343">
            <v>61</v>
          </cell>
          <cell r="Z343">
            <v>0.23819444444444438</v>
          </cell>
          <cell r="AF343">
            <v>51.4</v>
          </cell>
          <cell r="AG343">
            <v>11.6</v>
          </cell>
          <cell r="AI343">
            <v>50.4</v>
          </cell>
          <cell r="AU343">
            <v>96.333505901006006</v>
          </cell>
          <cell r="AV343">
            <v>97.590686160451796</v>
          </cell>
          <cell r="AX343" t="str">
            <v>R. Regis</v>
          </cell>
        </row>
        <row r="344">
          <cell r="A344" t="str">
            <v>CA300</v>
          </cell>
          <cell r="B344">
            <v>46134</v>
          </cell>
          <cell r="P344">
            <v>60</v>
          </cell>
          <cell r="Q344">
            <v>8.1700554528650677</v>
          </cell>
          <cell r="T344">
            <v>0.75277777777777777</v>
          </cell>
          <cell r="U344">
            <v>0.86458333333333337</v>
          </cell>
          <cell r="V344">
            <v>60</v>
          </cell>
          <cell r="Z344">
            <v>0.26041666666666674</v>
          </cell>
          <cell r="AF344">
            <v>51.7</v>
          </cell>
          <cell r="AG344">
            <v>11.6</v>
          </cell>
          <cell r="AI344">
            <v>51.6</v>
          </cell>
          <cell r="AU344">
            <v>98.749512017375622</v>
          </cell>
          <cell r="AV344">
            <v>100.03813718838089</v>
          </cell>
          <cell r="AX344" t="str">
            <v>R. Regis</v>
          </cell>
        </row>
        <row r="345">
          <cell r="A345" t="str">
            <v>CA301</v>
          </cell>
          <cell r="B345">
            <v>46134</v>
          </cell>
          <cell r="P345">
            <v>57</v>
          </cell>
          <cell r="Q345">
            <v>7.2458410351201517</v>
          </cell>
          <cell r="T345">
            <v>0.85763888888888884</v>
          </cell>
          <cell r="U345">
            <v>0.95833333333333337</v>
          </cell>
          <cell r="V345">
            <v>54</v>
          </cell>
          <cell r="Z345">
            <v>0.25694444444444453</v>
          </cell>
          <cell r="AF345">
            <v>50.9</v>
          </cell>
          <cell r="AG345">
            <v>11.8</v>
          </cell>
          <cell r="AI345">
            <v>50.1</v>
          </cell>
          <cell r="AU345">
            <v>97.86206666251897</v>
          </cell>
          <cell r="AV345">
            <v>99.138942729360579</v>
          </cell>
          <cell r="AX345" t="str">
            <v>R. Sookram</v>
          </cell>
        </row>
        <row r="346">
          <cell r="A346" t="str">
            <v>CA302</v>
          </cell>
          <cell r="B346">
            <v>46134</v>
          </cell>
          <cell r="P346">
            <v>59</v>
          </cell>
          <cell r="Q346">
            <v>6.8761552680221785</v>
          </cell>
          <cell r="T346">
            <v>0.94930555555555551</v>
          </cell>
          <cell r="U346">
            <v>1.0673611111111112</v>
          </cell>
          <cell r="V346">
            <v>61</v>
          </cell>
          <cell r="Z346">
            <v>0.26180555555555562</v>
          </cell>
          <cell r="AF346">
            <v>52.4</v>
          </cell>
          <cell r="AG346">
            <v>11.6</v>
          </cell>
          <cell r="AI346">
            <v>52.8</v>
          </cell>
          <cell r="AU346">
            <v>101.04601229684947</v>
          </cell>
          <cell r="AV346">
            <v>102.36460549508742</v>
          </cell>
          <cell r="AX346" t="str">
            <v>R. Sookram</v>
          </cell>
        </row>
        <row r="347">
          <cell r="A347" t="str">
            <v>CA303</v>
          </cell>
          <cell r="B347">
            <v>46134</v>
          </cell>
          <cell r="P347">
            <v>60</v>
          </cell>
          <cell r="Q347">
            <v>7.0740740740740744</v>
          </cell>
          <cell r="T347">
            <v>1.0451388888888888</v>
          </cell>
          <cell r="U347">
            <v>1.1458333333333333</v>
          </cell>
          <cell r="V347">
            <v>51</v>
          </cell>
          <cell r="Z347">
            <v>0.24999999999999989</v>
          </cell>
          <cell r="AF347">
            <v>50.9</v>
          </cell>
          <cell r="AG347">
            <v>11.8</v>
          </cell>
          <cell r="AI347">
            <v>49.8</v>
          </cell>
          <cell r="AU347">
            <v>97.276066263342202</v>
          </cell>
          <cell r="AV347">
            <v>98.545296365711692</v>
          </cell>
          <cell r="AX347" t="str">
            <v>R. Sookram</v>
          </cell>
        </row>
        <row r="348">
          <cell r="A348" t="str">
            <v>CA304</v>
          </cell>
          <cell r="B348">
            <v>46134</v>
          </cell>
          <cell r="P348">
            <v>60</v>
          </cell>
          <cell r="Q348">
            <v>9.8518518518518512</v>
          </cell>
          <cell r="T348">
            <v>2.807638888888889</v>
          </cell>
          <cell r="U348">
            <v>2.9159722222222224</v>
          </cell>
          <cell r="V348">
            <v>55</v>
          </cell>
          <cell r="Z348">
            <v>1.9194444444444447</v>
          </cell>
          <cell r="AF348">
            <v>50.6</v>
          </cell>
          <cell r="AG348">
            <v>11.7</v>
          </cell>
          <cell r="AI348">
            <v>48.6</v>
          </cell>
          <cell r="AU348">
            <v>93.852395703596613</v>
          </cell>
          <cell r="AV348">
            <v>95.077116281876755</v>
          </cell>
          <cell r="AX348" t="str">
            <v>K. Benjamin</v>
          </cell>
        </row>
        <row r="349">
          <cell r="A349" t="str">
            <v>CA305</v>
          </cell>
          <cell r="B349">
            <v>46135</v>
          </cell>
          <cell r="P349">
            <v>57</v>
          </cell>
          <cell r="Q349">
            <v>3.5555555555555589</v>
          </cell>
          <cell r="T349">
            <v>0.89236111111111116</v>
          </cell>
          <cell r="U349">
            <v>1</v>
          </cell>
          <cell r="V349">
            <v>61</v>
          </cell>
          <cell r="Z349">
            <v>0.90972222222222221</v>
          </cell>
          <cell r="AF349">
            <v>52.8</v>
          </cell>
          <cell r="AG349">
            <v>11.6</v>
          </cell>
          <cell r="AI349">
            <v>50.9</v>
          </cell>
          <cell r="AU349">
            <v>97.34537784324344</v>
          </cell>
          <cell r="AV349">
            <v>98.926307646108697</v>
          </cell>
          <cell r="AX349" t="str">
            <v>K. Benjamin</v>
          </cell>
        </row>
        <row r="350">
          <cell r="A350" t="str">
            <v>CA306</v>
          </cell>
          <cell r="B350">
            <v>46135</v>
          </cell>
          <cell r="P350">
            <v>63</v>
          </cell>
          <cell r="Q350">
            <v>4.8518518518518468</v>
          </cell>
          <cell r="T350">
            <v>1.0131944444444445</v>
          </cell>
          <cell r="U350">
            <v>1.1305555555555555</v>
          </cell>
          <cell r="V350">
            <v>53</v>
          </cell>
          <cell r="Z350">
            <v>0.25138888888888888</v>
          </cell>
          <cell r="AF350">
            <v>52.5</v>
          </cell>
          <cell r="AG350">
            <v>11.9</v>
          </cell>
          <cell r="AI350">
            <v>50.7</v>
          </cell>
          <cell r="AU350">
            <v>98.987340911426685</v>
          </cell>
          <cell r="AV350">
            <v>100.59546510355484</v>
          </cell>
          <cell r="AX350" t="str">
            <v>R. Sookram</v>
          </cell>
        </row>
        <row r="351">
          <cell r="A351" t="str">
            <v>CA307</v>
          </cell>
          <cell r="B351">
            <v>46137</v>
          </cell>
          <cell r="P351">
            <v>58</v>
          </cell>
          <cell r="Q351">
            <v>4.4731977818854007</v>
          </cell>
          <cell r="T351">
            <v>0.57430555555555551</v>
          </cell>
          <cell r="U351">
            <v>0.7055555555555556</v>
          </cell>
          <cell r="V351">
            <v>86</v>
          </cell>
          <cell r="Z351">
            <v>0.28888888888888892</v>
          </cell>
          <cell r="AF351">
            <v>52.8</v>
          </cell>
          <cell r="AG351">
            <v>11.7</v>
          </cell>
          <cell r="AI351">
            <v>50.9</v>
          </cell>
          <cell r="AU351">
            <v>98.106846922939908</v>
          </cell>
          <cell r="AV351">
            <v>99.700248527422247</v>
          </cell>
          <cell r="AX351" t="str">
            <v>R. Sookram</v>
          </cell>
        </row>
        <row r="352">
          <cell r="A352" t="str">
            <v>CA308</v>
          </cell>
          <cell r="B352">
            <v>46137</v>
          </cell>
          <cell r="P352">
            <v>60</v>
          </cell>
          <cell r="Q352">
            <v>5.0277264325323454</v>
          </cell>
          <cell r="T352">
            <v>0.67569444444444449</v>
          </cell>
          <cell r="U352">
            <v>0.79236111111111107</v>
          </cell>
          <cell r="V352">
            <v>61</v>
          </cell>
          <cell r="Z352">
            <v>0.2715277777777777</v>
          </cell>
          <cell r="AF352">
            <v>52.5</v>
          </cell>
          <cell r="AG352">
            <v>11.8</v>
          </cell>
          <cell r="AI352">
            <v>50.8</v>
          </cell>
          <cell r="AU352">
            <v>98.794769125933016</v>
          </cell>
          <cell r="AV352">
            <v>100.39934361361757</v>
          </cell>
          <cell r="AX352" t="str">
            <v>R. Sookram</v>
          </cell>
        </row>
        <row r="353">
          <cell r="A353" t="str">
            <v>CA309</v>
          </cell>
          <cell r="B353">
            <v>46137</v>
          </cell>
          <cell r="P353">
            <v>57</v>
          </cell>
          <cell r="Q353">
            <v>4.6580406654343864</v>
          </cell>
          <cell r="T353">
            <v>0.76944444444444449</v>
          </cell>
          <cell r="U353">
            <v>0.8881944444444444</v>
          </cell>
          <cell r="V353">
            <v>64</v>
          </cell>
          <cell r="Z353">
            <v>0.2631944444444444</v>
          </cell>
          <cell r="AF353">
            <v>53.2</v>
          </cell>
          <cell r="AG353">
            <v>11.6</v>
          </cell>
          <cell r="AI353">
            <v>51.4</v>
          </cell>
          <cell r="AU353">
            <v>98.17950033315293</v>
          </cell>
          <cell r="AV353">
            <v>99.774081937441963</v>
          </cell>
          <cell r="AX353" t="str">
            <v>R. Sookram</v>
          </cell>
        </row>
        <row r="354">
          <cell r="A354" t="str">
            <v>CA310</v>
          </cell>
          <cell r="B354">
            <v>46137</v>
          </cell>
          <cell r="P354">
            <v>60</v>
          </cell>
          <cell r="Q354">
            <v>4.288354898336415</v>
          </cell>
          <cell r="T354">
            <v>0.88124999999999998</v>
          </cell>
          <cell r="U354">
            <v>0.99305555555555558</v>
          </cell>
          <cell r="V354">
            <v>64</v>
          </cell>
          <cell r="Z354">
            <v>0.27430555555555558</v>
          </cell>
          <cell r="AF354">
            <v>52.5</v>
          </cell>
          <cell r="AG354">
            <v>11.6</v>
          </cell>
          <cell r="AI354">
            <v>50.8</v>
          </cell>
          <cell r="AU354">
            <v>96.913042197128789</v>
          </cell>
          <cell r="AV354">
            <v>98.487158317243185</v>
          </cell>
          <cell r="AX354" t="str">
            <v>R. Sookram</v>
          </cell>
        </row>
        <row r="355">
          <cell r="A355" t="str">
            <v>CA311</v>
          </cell>
          <cell r="B355">
            <v>46137</v>
          </cell>
          <cell r="P355">
            <v>61</v>
          </cell>
          <cell r="Q355">
            <v>3.9186691312384427</v>
          </cell>
          <cell r="T355">
            <v>0.97222222222222221</v>
          </cell>
          <cell r="U355">
            <v>1.0819444444444444</v>
          </cell>
          <cell r="V355">
            <v>63</v>
          </cell>
          <cell r="Z355">
            <v>0.25555555555555554</v>
          </cell>
          <cell r="AF355">
            <v>52.7</v>
          </cell>
          <cell r="AG355">
            <v>11.8</v>
          </cell>
          <cell r="AI355">
            <v>50.9</v>
          </cell>
          <cell r="AU355">
            <v>98.866426421918902</v>
          </cell>
          <cell r="AV355">
            <v>100.47227050689034</v>
          </cell>
          <cell r="AX355" t="str">
            <v>D. Gomaz</v>
          </cell>
        </row>
        <row r="356">
          <cell r="A356" t="str">
            <v>CA312</v>
          </cell>
          <cell r="B356">
            <v>46137</v>
          </cell>
          <cell r="P356">
            <v>62</v>
          </cell>
          <cell r="Q356">
            <v>4.4731977818854007</v>
          </cell>
          <cell r="T356">
            <v>1.0666666666666667</v>
          </cell>
          <cell r="U356">
            <v>1.1833333333333333</v>
          </cell>
          <cell r="V356">
            <v>68</v>
          </cell>
          <cell r="Z356">
            <v>0.26319444444444451</v>
          </cell>
          <cell r="AF356">
            <v>52.4</v>
          </cell>
          <cell r="AG356">
            <v>11.8</v>
          </cell>
          <cell r="AI356">
            <v>50.6</v>
          </cell>
          <cell r="AU356">
            <v>98.283716639471436</v>
          </cell>
          <cell r="AV356">
            <v>99.880096024531468</v>
          </cell>
          <cell r="AX356" t="str">
            <v>D. Gomaz</v>
          </cell>
        </row>
        <row r="357">
          <cell r="A357" t="str">
            <v>CA313</v>
          </cell>
          <cell r="B357">
            <v>46138</v>
          </cell>
          <cell r="P357">
            <v>61</v>
          </cell>
          <cell r="Q357">
            <v>5.2125693160813311</v>
          </cell>
          <cell r="T357">
            <v>1.1604166666666667</v>
          </cell>
          <cell r="U357">
            <v>1.29375</v>
          </cell>
          <cell r="V357">
            <v>69</v>
          </cell>
          <cell r="Z357">
            <v>0.26875000000000004</v>
          </cell>
          <cell r="AF357">
            <v>52</v>
          </cell>
          <cell r="AG357">
            <v>11.8</v>
          </cell>
          <cell r="AI357">
            <v>50.2</v>
          </cell>
          <cell r="AU357">
            <v>97.627901774051935</v>
          </cell>
          <cell r="AV357">
            <v>99.213524594559132</v>
          </cell>
          <cell r="AX357" t="str">
            <v>D. Gomaz</v>
          </cell>
        </row>
        <row r="358">
          <cell r="A358" t="str">
            <v>CA314</v>
          </cell>
          <cell r="B358">
            <v>46138</v>
          </cell>
          <cell r="P358">
            <v>60</v>
          </cell>
          <cell r="Q358">
            <v>4.1035120147874284</v>
          </cell>
          <cell r="T358">
            <v>0.31874999999999998</v>
          </cell>
          <cell r="U358">
            <v>0.43680555555555556</v>
          </cell>
          <cell r="V358">
            <v>73</v>
          </cell>
          <cell r="Z358">
            <v>0.32569444444444445</v>
          </cell>
          <cell r="AF358">
            <v>52.6</v>
          </cell>
          <cell r="AG358">
            <v>11.8</v>
          </cell>
          <cell r="AI358">
            <v>51</v>
          </cell>
          <cell r="AU358">
            <v>99.060663016068062</v>
          </cell>
          <cell r="AV358">
            <v>100.66966200100997</v>
          </cell>
          <cell r="AX358" t="str">
            <v>D. Gomaz</v>
          </cell>
        </row>
        <row r="359">
          <cell r="A359" t="str">
            <v>CA315</v>
          </cell>
          <cell r="B359">
            <v>46139</v>
          </cell>
          <cell r="P359">
            <v>58</v>
          </cell>
          <cell r="Q359">
            <v>5.0277264325323454</v>
          </cell>
          <cell r="T359">
            <v>0.22152777777777777</v>
          </cell>
          <cell r="U359">
            <v>0.33611111111111114</v>
          </cell>
          <cell r="V359">
            <v>62</v>
          </cell>
          <cell r="Z359">
            <v>0.25277777777777782</v>
          </cell>
          <cell r="AF359">
            <v>52.1</v>
          </cell>
          <cell r="AG359">
            <v>11.9</v>
          </cell>
          <cell r="AI359">
            <v>50.1</v>
          </cell>
          <cell r="AU359">
            <v>98.301955213273345</v>
          </cell>
          <cell r="AV359">
            <v>99.898525667561969</v>
          </cell>
          <cell r="AX359" t="str">
            <v>R. Sookram</v>
          </cell>
        </row>
        <row r="360">
          <cell r="A360" t="str">
            <v>CA316</v>
          </cell>
          <cell r="B360">
            <v>46139</v>
          </cell>
          <cell r="P360">
            <v>60</v>
          </cell>
          <cell r="Q360">
            <v>4.666666666666659</v>
          </cell>
          <cell r="T360">
            <v>0.31597222222222221</v>
          </cell>
          <cell r="U360">
            <v>0.43263888888888891</v>
          </cell>
          <cell r="V360">
            <v>61</v>
          </cell>
          <cell r="Z360">
            <v>0.26597222222222228</v>
          </cell>
          <cell r="AF360">
            <v>52.6</v>
          </cell>
          <cell r="AG360">
            <v>11.7</v>
          </cell>
          <cell r="AI360">
            <v>50.9</v>
          </cell>
          <cell r="AU360">
            <v>98.106846922939908</v>
          </cell>
          <cell r="AV360">
            <v>99.700248527422247</v>
          </cell>
          <cell r="AX360" t="str">
            <v>R. Sookram</v>
          </cell>
        </row>
        <row r="361">
          <cell r="A361" t="str">
            <v>CA317</v>
          </cell>
          <cell r="B361">
            <v>46139</v>
          </cell>
          <cell r="P361">
            <v>60</v>
          </cell>
          <cell r="Q361">
            <v>6.7037037037036988</v>
          </cell>
          <cell r="T361">
            <v>0.41319444444444442</v>
          </cell>
          <cell r="U361">
            <v>0.52638888888888891</v>
          </cell>
          <cell r="V361">
            <v>56</v>
          </cell>
          <cell r="Z361">
            <v>0.26805555555555555</v>
          </cell>
          <cell r="AF361">
            <v>51.1</v>
          </cell>
          <cell r="AG361">
            <v>11.7</v>
          </cell>
          <cell r="AI361">
            <v>50.1</v>
          </cell>
          <cell r="AU361">
            <v>96.325564324938568</v>
          </cell>
          <cell r="AV361">
            <v>97.890241101371387</v>
          </cell>
          <cell r="AX361" t="str">
            <v>R. Sookram</v>
          </cell>
        </row>
        <row r="362">
          <cell r="A362" t="str">
            <v>CA318</v>
          </cell>
          <cell r="B362">
            <v>46139</v>
          </cell>
          <cell r="P362">
            <v>60</v>
          </cell>
          <cell r="Q362">
            <v>4.1111111111111089</v>
          </cell>
          <cell r="T362">
            <v>0.5083333333333333</v>
          </cell>
          <cell r="U362">
            <v>0.63541666666666663</v>
          </cell>
          <cell r="V362">
            <v>73</v>
          </cell>
          <cell r="Z362">
            <v>0.28124999999999994</v>
          </cell>
          <cell r="AF362">
            <v>52.5</v>
          </cell>
          <cell r="AG362">
            <v>11.7</v>
          </cell>
          <cell r="AI362">
            <v>50.7</v>
          </cell>
          <cell r="AU362">
            <v>97.842907420327492</v>
          </cell>
          <cell r="AV362">
            <v>99.431917312393111</v>
          </cell>
          <cell r="AX362" t="str">
            <v>K. Benjamin</v>
          </cell>
        </row>
        <row r="363">
          <cell r="A363" t="str">
            <v>CA319</v>
          </cell>
          <cell r="B363">
            <v>46139</v>
          </cell>
          <cell r="P363">
            <v>61</v>
          </cell>
          <cell r="Q363">
            <v>4.4814814814814845</v>
          </cell>
          <cell r="T363">
            <v>0.59444444444444444</v>
          </cell>
          <cell r="U363">
            <v>0.72361111111111109</v>
          </cell>
          <cell r="V363">
            <v>79</v>
          </cell>
          <cell r="Z363">
            <v>0.27569444444444441</v>
          </cell>
          <cell r="AF363">
            <v>52.3</v>
          </cell>
          <cell r="AG363">
            <v>11.6</v>
          </cell>
          <cell r="AI363">
            <v>51.3</v>
          </cell>
          <cell r="AU363">
            <v>98.232555924411713</v>
          </cell>
          <cell r="AV363">
            <v>99.82778825064328</v>
          </cell>
          <cell r="AX363" t="str">
            <v>K. Benjamin</v>
          </cell>
        </row>
        <row r="364">
          <cell r="A364" t="str">
            <v>CA320</v>
          </cell>
          <cell r="B364">
            <v>46139</v>
          </cell>
          <cell r="P364">
            <v>61</v>
          </cell>
          <cell r="Q364">
            <v>6.0254083484573506</v>
          </cell>
          <cell r="T364">
            <v>0.6875</v>
          </cell>
          <cell r="U364">
            <v>0.82291666666666663</v>
          </cell>
          <cell r="V364">
            <v>81</v>
          </cell>
          <cell r="Z364">
            <v>0.28125</v>
          </cell>
          <cell r="AF364">
            <v>52.4</v>
          </cell>
          <cell r="AG364">
            <v>11.7</v>
          </cell>
          <cell r="AI364">
            <v>51.4</v>
          </cell>
          <cell r="AU364">
            <v>99.070568405483513</v>
          </cell>
          <cell r="AV364">
            <v>100.67962228505903</v>
          </cell>
          <cell r="AX364" t="str">
            <v>K. Benjamin</v>
          </cell>
        </row>
        <row r="365">
          <cell r="A365" t="str">
            <v>CA321</v>
          </cell>
          <cell r="B365">
            <v>46139</v>
          </cell>
          <cell r="P365">
            <v>60</v>
          </cell>
          <cell r="Q365">
            <v>4.8428835489833597</v>
          </cell>
          <cell r="T365">
            <v>0.79097222222222219</v>
          </cell>
          <cell r="U365">
            <v>0.92500000000000004</v>
          </cell>
          <cell r="V365">
            <v>76</v>
          </cell>
          <cell r="Z365">
            <v>0.27569444444444446</v>
          </cell>
          <cell r="AF365">
            <v>52.2</v>
          </cell>
          <cell r="AG365">
            <v>11.7</v>
          </cell>
          <cell r="AI365">
            <v>50.4</v>
          </cell>
          <cell r="AU365">
            <v>97.022595413926055</v>
          </cell>
          <cell r="AV365">
            <v>98.598490958983291</v>
          </cell>
          <cell r="AX365" t="str">
            <v>R. Regis</v>
          </cell>
        </row>
        <row r="366">
          <cell r="A366" t="str">
            <v>CA322</v>
          </cell>
          <cell r="B366">
            <v>46139</v>
          </cell>
          <cell r="P366">
            <v>60</v>
          </cell>
          <cell r="Q366">
            <v>3.9186691312384427</v>
          </cell>
          <cell r="T366">
            <v>0.89513888888888893</v>
          </cell>
          <cell r="U366">
            <v>1.0340277777777778</v>
          </cell>
          <cell r="V366">
            <v>98</v>
          </cell>
          <cell r="Z366">
            <v>0.28402777777777777</v>
          </cell>
          <cell r="AF366">
            <v>52.7</v>
          </cell>
          <cell r="AG366">
            <v>11.7</v>
          </cell>
          <cell r="AI366">
            <v>50.9</v>
          </cell>
          <cell r="AU366">
            <v>97.985121162080063</v>
          </cell>
          <cell r="AV366">
            <v>99.576650591512873</v>
          </cell>
          <cell r="AX366" t="str">
            <v>R. Regis</v>
          </cell>
        </row>
        <row r="367">
          <cell r="A367" t="str">
            <v>CA323</v>
          </cell>
          <cell r="B367">
            <v>46139</v>
          </cell>
          <cell r="P367">
            <v>58</v>
          </cell>
          <cell r="Q367">
            <v>4.2962962962962967</v>
          </cell>
          <cell r="T367">
            <v>1.0868055555555556</v>
          </cell>
          <cell r="U367">
            <v>1.2270833333333333</v>
          </cell>
          <cell r="V367">
            <v>74</v>
          </cell>
          <cell r="Z367">
            <v>0.31041666666666667</v>
          </cell>
          <cell r="AF367">
            <v>52.4</v>
          </cell>
          <cell r="AG367">
            <v>11.9</v>
          </cell>
          <cell r="AI367">
            <v>49.2</v>
          </cell>
          <cell r="AU367">
            <v>96.656126592782627</v>
          </cell>
          <cell r="AV367">
            <v>98.22586266598492</v>
          </cell>
          <cell r="AX367" t="str">
            <v>R. Regis</v>
          </cell>
        </row>
        <row r="368">
          <cell r="A368" t="str">
            <v>CA324</v>
          </cell>
          <cell r="B368">
            <v>46140</v>
          </cell>
          <cell r="P368">
            <v>58</v>
          </cell>
          <cell r="Q368">
            <v>5.0277264325323454</v>
          </cell>
          <cell r="T368">
            <v>0.19236111111111112</v>
          </cell>
          <cell r="U368">
            <v>0.31319444444444444</v>
          </cell>
          <cell r="V368">
            <v>67</v>
          </cell>
          <cell r="Z368">
            <v>0.26805555555555555</v>
          </cell>
          <cell r="AF368">
            <v>52.5</v>
          </cell>
          <cell r="AG368">
            <v>12</v>
          </cell>
          <cell r="AI368">
            <v>50.5</v>
          </cell>
          <cell r="AU368">
            <v>99.467995204961397</v>
          </cell>
          <cell r="AV368">
            <v>101.08392798948496</v>
          </cell>
          <cell r="AX368" t="str">
            <v>R. Sookram</v>
          </cell>
        </row>
        <row r="369">
          <cell r="A369" t="str">
            <v>CA325</v>
          </cell>
          <cell r="B369">
            <v>46140</v>
          </cell>
          <cell r="P369">
            <v>62</v>
          </cell>
          <cell r="Q369">
            <v>7.0609981515711642</v>
          </cell>
          <cell r="T369">
            <v>0.30486111111111114</v>
          </cell>
          <cell r="U369">
            <v>0.4201388888888889</v>
          </cell>
          <cell r="V369">
            <v>57</v>
          </cell>
          <cell r="Z369">
            <v>0.28472222222222221</v>
          </cell>
          <cell r="AF369">
            <v>51</v>
          </cell>
          <cell r="AG369">
            <v>11.8</v>
          </cell>
          <cell r="AI369">
            <v>49.4</v>
          </cell>
          <cell r="AU369">
            <v>96.072078638210456</v>
          </cell>
          <cell r="AV369">
            <v>97.632432569147824</v>
          </cell>
          <cell r="AX369" t="str">
            <v>R. Sookram</v>
          </cell>
        </row>
        <row r="370">
          <cell r="A370" t="str">
            <v>CA326</v>
          </cell>
          <cell r="B370">
            <v>46140</v>
          </cell>
          <cell r="P370">
            <v>60</v>
          </cell>
          <cell r="Q370">
            <v>5.407407407407411</v>
          </cell>
          <cell r="T370">
            <v>0.39861111111111114</v>
          </cell>
          <cell r="U370">
            <v>0.51666666666666672</v>
          </cell>
          <cell r="V370">
            <v>65</v>
          </cell>
          <cell r="Z370">
            <v>0.27361111111111114</v>
          </cell>
          <cell r="AF370">
            <v>51.8</v>
          </cell>
          <cell r="AG370">
            <v>11.8</v>
          </cell>
          <cell r="AI370">
            <v>50.3</v>
          </cell>
          <cell r="AU370">
            <v>97.701006857023984</v>
          </cell>
          <cell r="AV370">
            <v>99.287921542172583</v>
          </cell>
          <cell r="AX370" t="str">
            <v>R. Sookram</v>
          </cell>
        </row>
      </sheetData>
      <sheetData sheetId="6"/>
      <sheetData sheetId="7">
        <row r="221">
          <cell r="C221" t="str">
            <v>FV</v>
          </cell>
          <cell r="D221">
            <v>11.7</v>
          </cell>
        </row>
        <row r="222">
          <cell r="D222">
            <v>11.9</v>
          </cell>
        </row>
        <row r="223">
          <cell r="D223">
            <v>11.9</v>
          </cell>
        </row>
        <row r="224">
          <cell r="D224">
            <v>11.8</v>
          </cell>
        </row>
        <row r="225">
          <cell r="D225">
            <v>11.7</v>
          </cell>
        </row>
        <row r="226">
          <cell r="D226">
            <v>11.9</v>
          </cell>
        </row>
        <row r="227">
          <cell r="D227">
            <v>12.2</v>
          </cell>
        </row>
        <row r="228">
          <cell r="D228">
            <v>11.8</v>
          </cell>
        </row>
        <row r="229">
          <cell r="D229">
            <v>11.7</v>
          </cell>
        </row>
        <row r="230">
          <cell r="D230">
            <v>11.9</v>
          </cell>
        </row>
        <row r="231">
          <cell r="D231">
            <v>11.7</v>
          </cell>
        </row>
        <row r="232">
          <cell r="D232">
            <v>12.1</v>
          </cell>
        </row>
        <row r="233">
          <cell r="D233">
            <v>11.9</v>
          </cell>
        </row>
        <row r="234">
          <cell r="D234">
            <v>11.9</v>
          </cell>
        </row>
        <row r="247">
          <cell r="D247">
            <v>11.9</v>
          </cell>
        </row>
        <row r="248">
          <cell r="D248">
            <v>12</v>
          </cell>
        </row>
      </sheetData>
      <sheetData sheetId="8"/>
      <sheetData sheetId="9"/>
      <sheetData sheetId="10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rewMaterials"/>
      <sheetName val="Brewhouse"/>
      <sheetName val="Process"/>
      <sheetName val="Summary April '26"/>
      <sheetName val="Summary March '26"/>
      <sheetName val="Summary February '26"/>
      <sheetName val="Summary January '26"/>
      <sheetName val="Summary December '25"/>
      <sheetName val="Guinnbottling"/>
    </sheetNames>
    <sheetDataSet>
      <sheetData sheetId="0"/>
      <sheetData sheetId="1">
        <row r="16">
          <cell r="AU16">
            <v>96.003306141833193</v>
          </cell>
        </row>
        <row r="17">
          <cell r="AU17">
            <v>97.325117100528743</v>
          </cell>
        </row>
        <row r="18">
          <cell r="AU18">
            <v>99.121575646105413</v>
          </cell>
        </row>
        <row r="19">
          <cell r="AU19">
            <v>98.312989092995309</v>
          </cell>
        </row>
        <row r="20">
          <cell r="AU20">
            <v>97.776942468215154</v>
          </cell>
        </row>
        <row r="21">
          <cell r="AU21">
            <v>100.27176158202545</v>
          </cell>
        </row>
        <row r="22">
          <cell r="AU22">
            <v>99.294375681877099</v>
          </cell>
        </row>
        <row r="23">
          <cell r="AU23">
            <v>94.0155703648322</v>
          </cell>
        </row>
        <row r="25">
          <cell r="AU25">
            <v>103.50405139576692</v>
          </cell>
        </row>
        <row r="26">
          <cell r="AU26">
            <v>95.716844988758396</v>
          </cell>
        </row>
        <row r="27">
          <cell r="AU27">
            <v>95.930260280243118</v>
          </cell>
        </row>
        <row r="28">
          <cell r="AU28">
            <v>91.893952811328091</v>
          </cell>
        </row>
        <row r="29">
          <cell r="AU29">
            <v>113.58212162131902</v>
          </cell>
        </row>
        <row r="30">
          <cell r="AU30">
            <v>90.487433811004081</v>
          </cell>
        </row>
        <row r="31">
          <cell r="AU31">
            <v>102.62581305950147</v>
          </cell>
        </row>
        <row r="32">
          <cell r="AU32">
            <v>97.191888885824653</v>
          </cell>
        </row>
        <row r="34">
          <cell r="AU34">
            <v>90.907169651305182</v>
          </cell>
        </row>
        <row r="35">
          <cell r="AU35">
            <v>91.553613748299583</v>
          </cell>
        </row>
        <row r="36">
          <cell r="AU36">
            <v>95.905976258581575</v>
          </cell>
        </row>
        <row r="37">
          <cell r="AU37">
            <v>96.879053203911113</v>
          </cell>
        </row>
        <row r="38">
          <cell r="AU38">
            <v>95.469150075246716</v>
          </cell>
        </row>
        <row r="39">
          <cell r="AU39">
            <v>94.854987439727708</v>
          </cell>
        </row>
        <row r="40">
          <cell r="AU40">
            <v>96.379391191673903</v>
          </cell>
        </row>
        <row r="41">
          <cell r="AU41">
            <v>96.151545309064119</v>
          </cell>
        </row>
        <row r="43">
          <cell r="A43" t="str">
            <v>GU025</v>
          </cell>
          <cell r="O43">
            <v>56</v>
          </cell>
          <cell r="R43">
            <v>17.076648841354718</v>
          </cell>
          <cell r="T43">
            <v>0.2673611111111111</v>
          </cell>
          <cell r="U43">
            <v>0.38055555555555554</v>
          </cell>
          <cell r="V43">
            <v>62</v>
          </cell>
          <cell r="Z43">
            <v>0.27638888888888885</v>
          </cell>
          <cell r="AF43">
            <v>50.9</v>
          </cell>
          <cell r="AG43">
            <v>17.100000000000001</v>
          </cell>
          <cell r="AI43">
            <v>49.4</v>
          </cell>
          <cell r="AU43">
            <v>91.8653198132276</v>
          </cell>
          <cell r="AV43">
            <v>92.973268091681689</v>
          </cell>
          <cell r="AW43" t="str">
            <v>R. Sookram</v>
          </cell>
        </row>
        <row r="44">
          <cell r="A44" t="str">
            <v>GU026</v>
          </cell>
          <cell r="O44">
            <v>59</v>
          </cell>
          <cell r="R44">
            <v>13.51158645276292</v>
          </cell>
          <cell r="T44">
            <v>0.37569444444444444</v>
          </cell>
          <cell r="U44">
            <v>0.49236111111111114</v>
          </cell>
          <cell r="V44">
            <v>63</v>
          </cell>
          <cell r="Z44">
            <v>0.28402777777777777</v>
          </cell>
          <cell r="AF44">
            <v>52.5</v>
          </cell>
          <cell r="AG44">
            <v>17.399999999999999</v>
          </cell>
          <cell r="AI44">
            <v>51.1</v>
          </cell>
          <cell r="AU44">
            <v>96.795098985422072</v>
          </cell>
          <cell r="AV44">
            <v>97.962503219160453</v>
          </cell>
          <cell r="AW44" t="str">
            <v>R. Sookram</v>
          </cell>
        </row>
        <row r="45">
          <cell r="A45" t="str">
            <v>GU027</v>
          </cell>
          <cell r="O45">
            <v>58</v>
          </cell>
          <cell r="R45">
            <v>12.976827094474155</v>
          </cell>
          <cell r="T45">
            <v>0.47986111111111113</v>
          </cell>
          <cell r="U45">
            <v>0.59583333333333333</v>
          </cell>
          <cell r="V45">
            <v>64</v>
          </cell>
          <cell r="Z45">
            <v>0.27291666666666664</v>
          </cell>
          <cell r="AF45">
            <v>53.6</v>
          </cell>
          <cell r="AG45">
            <v>17.399999999999999</v>
          </cell>
          <cell r="AI45">
            <v>52.2</v>
          </cell>
          <cell r="AU45">
            <v>98.720710514490094</v>
          </cell>
          <cell r="AV45">
            <v>99.911755630978092</v>
          </cell>
          <cell r="AW45" t="str">
            <v>D. Gomaz</v>
          </cell>
        </row>
        <row r="46">
          <cell r="A46" t="str">
            <v>GU028</v>
          </cell>
          <cell r="O46">
            <v>59</v>
          </cell>
          <cell r="R46">
            <v>13.51158645276292</v>
          </cell>
          <cell r="T46">
            <v>0.58263888888888893</v>
          </cell>
          <cell r="U46">
            <v>0.69513888888888886</v>
          </cell>
          <cell r="V46">
            <v>62</v>
          </cell>
          <cell r="Z46">
            <v>0.26805555555555555</v>
          </cell>
          <cell r="AF46">
            <v>52.6</v>
          </cell>
          <cell r="AG46">
            <v>17.3</v>
          </cell>
          <cell r="AI46">
            <v>51.1</v>
          </cell>
          <cell r="AU46">
            <v>95.915862303234761</v>
          </cell>
          <cell r="AV46">
            <v>97.073471273810142</v>
          </cell>
          <cell r="AW46" t="str">
            <v>D. Gomaz</v>
          </cell>
        </row>
        <row r="47">
          <cell r="A47" t="str">
            <v>GU029</v>
          </cell>
          <cell r="O47">
            <v>58</v>
          </cell>
          <cell r="R47">
            <v>13.625218914185641</v>
          </cell>
          <cell r="T47">
            <v>0.68680555555555556</v>
          </cell>
          <cell r="U47">
            <v>0.80069444444444449</v>
          </cell>
          <cell r="V47">
            <v>61</v>
          </cell>
          <cell r="Z47">
            <v>0.2729166666666667</v>
          </cell>
          <cell r="AF47">
            <v>53.6</v>
          </cell>
          <cell r="AG47">
            <v>17</v>
          </cell>
          <cell r="AI47">
            <v>51.8</v>
          </cell>
          <cell r="AU47">
            <v>95.695713342598523</v>
          </cell>
          <cell r="AV47">
            <v>96.849858356940501</v>
          </cell>
          <cell r="AW47" t="str">
            <v>R. Regis</v>
          </cell>
        </row>
        <row r="48">
          <cell r="A48" t="str">
            <v>GU030</v>
          </cell>
          <cell r="O48">
            <v>58</v>
          </cell>
          <cell r="R48">
            <v>12.358003442340792</v>
          </cell>
          <cell r="T48">
            <v>0.80208333333333337</v>
          </cell>
          <cell r="U48">
            <v>0.91249999999999998</v>
          </cell>
          <cell r="V48">
            <v>59</v>
          </cell>
          <cell r="Z48">
            <v>0.28055555555555556</v>
          </cell>
          <cell r="AF48">
            <v>53.5</v>
          </cell>
          <cell r="AG48">
            <v>17.2</v>
          </cell>
          <cell r="AI48">
            <v>51.5</v>
          </cell>
          <cell r="AU48">
            <v>96.347140813579983</v>
          </cell>
          <cell r="AV48">
            <v>97.50914241565799</v>
          </cell>
          <cell r="AW48" t="str">
            <v>R. Regis</v>
          </cell>
        </row>
        <row r="49">
          <cell r="A49" t="str">
            <v>GU031</v>
          </cell>
          <cell r="O49">
            <v>59</v>
          </cell>
          <cell r="R49">
            <v>11.669535283993117</v>
          </cell>
          <cell r="T49">
            <v>0.91527777777777775</v>
          </cell>
          <cell r="U49">
            <v>1.0291666666666666</v>
          </cell>
          <cell r="V49">
            <v>63</v>
          </cell>
          <cell r="Z49">
            <v>0.27916666666666656</v>
          </cell>
          <cell r="AF49">
            <v>53.3</v>
          </cell>
          <cell r="AG49">
            <v>17.399999999999999</v>
          </cell>
          <cell r="AI49">
            <v>51</v>
          </cell>
          <cell r="AU49">
            <v>96.451268893467329</v>
          </cell>
          <cell r="AV49">
            <v>97.614933662449872</v>
          </cell>
          <cell r="AW49" t="str">
            <v>R. Regis</v>
          </cell>
        </row>
        <row r="50">
          <cell r="A50" t="str">
            <v>GU032</v>
          </cell>
          <cell r="O50">
            <v>57</v>
          </cell>
          <cell r="R50">
            <v>12.551724137931036</v>
          </cell>
          <cell r="T50">
            <v>1.0319444444444446</v>
          </cell>
          <cell r="U50">
            <v>1.1451388888888889</v>
          </cell>
          <cell r="V50">
            <v>67</v>
          </cell>
          <cell r="Z50">
            <v>0.26319444444444451</v>
          </cell>
          <cell r="AF50">
            <v>53.8</v>
          </cell>
          <cell r="AG50">
            <v>17.3</v>
          </cell>
          <cell r="AI50">
            <v>52</v>
          </cell>
          <cell r="AU50">
            <v>97.996131903201018</v>
          </cell>
          <cell r="AV50">
            <v>99.177813861182003</v>
          </cell>
          <cell r="AW50" t="str">
            <v>R. Sookram</v>
          </cell>
        </row>
        <row r="51">
          <cell r="A51" t="str">
            <v>GU033</v>
          </cell>
          <cell r="O51">
            <v>59</v>
          </cell>
          <cell r="R51">
            <v>6.7500000000000018</v>
          </cell>
          <cell r="T51">
            <v>0.58611111111111114</v>
          </cell>
          <cell r="U51">
            <v>0.73750000000000004</v>
          </cell>
          <cell r="V51">
            <v>62</v>
          </cell>
          <cell r="Z51">
            <v>0.30000000000000004</v>
          </cell>
          <cell r="AF51">
            <v>58.2</v>
          </cell>
          <cell r="AG51">
            <v>16.600000000000001</v>
          </cell>
          <cell r="AI51">
            <v>54.1</v>
          </cell>
          <cell r="AU51">
            <v>96.505256206141482</v>
          </cell>
          <cell r="AV51">
            <v>97.861011752682671</v>
          </cell>
          <cell r="AW51" t="str">
            <v>K. Benjamin</v>
          </cell>
        </row>
        <row r="52">
          <cell r="A52" t="str">
            <v>GU034</v>
          </cell>
          <cell r="O52">
            <v>61</v>
          </cell>
          <cell r="R52">
            <v>7.5387263339070616</v>
          </cell>
          <cell r="T52">
            <v>0.71250000000000002</v>
          </cell>
          <cell r="U52">
            <v>0.84444444444444444</v>
          </cell>
          <cell r="V52">
            <v>59</v>
          </cell>
          <cell r="Z52">
            <v>0.30277777777777781</v>
          </cell>
          <cell r="AF52">
            <v>54.8</v>
          </cell>
          <cell r="AG52">
            <v>17.2</v>
          </cell>
          <cell r="AI52">
            <v>50.9</v>
          </cell>
          <cell r="AU52">
            <v>94.58580500070201</v>
          </cell>
          <cell r="AV52">
            <v>95.913676440434685</v>
          </cell>
          <cell r="AW52" t="str">
            <v>K. Benjamin</v>
          </cell>
        </row>
        <row r="53">
          <cell r="A53" t="str">
            <v>GU035</v>
          </cell>
          <cell r="O53">
            <v>58</v>
          </cell>
          <cell r="R53">
            <v>5.3012048192771051</v>
          </cell>
          <cell r="T53">
            <v>0.83263888888888893</v>
          </cell>
          <cell r="U53">
            <v>0.95625000000000004</v>
          </cell>
          <cell r="V53">
            <v>60</v>
          </cell>
          <cell r="Z53">
            <v>0.28958333333333341</v>
          </cell>
          <cell r="AF53">
            <v>56.1</v>
          </cell>
          <cell r="AG53">
            <v>17.399999999999999</v>
          </cell>
          <cell r="AI53">
            <v>52.4</v>
          </cell>
          <cell r="AU53">
            <v>98.906990347725127</v>
          </cell>
          <cell r="AV53">
            <v>100.29455929239947</v>
          </cell>
          <cell r="AW53" t="str">
            <v>R. Regis</v>
          </cell>
        </row>
        <row r="54">
          <cell r="A54" t="str">
            <v>GU036</v>
          </cell>
          <cell r="O54">
            <v>57</v>
          </cell>
          <cell r="R54">
            <v>6.3814616755793194</v>
          </cell>
          <cell r="T54">
            <v>0.97291666666666665</v>
          </cell>
          <cell r="U54">
            <v>1.0895833333333333</v>
          </cell>
          <cell r="V54">
            <v>61</v>
          </cell>
          <cell r="Z54">
            <v>0.28749999999999998</v>
          </cell>
          <cell r="AF54">
            <v>54.2</v>
          </cell>
          <cell r="AG54">
            <v>17.3</v>
          </cell>
          <cell r="AI54">
            <v>50.6</v>
          </cell>
          <cell r="AU54">
            <v>94.944884823994201</v>
          </cell>
          <cell r="AV54">
            <v>96.276869279029114</v>
          </cell>
          <cell r="AW54" t="str">
            <v>R. Regis</v>
          </cell>
        </row>
        <row r="55">
          <cell r="A55" t="str">
            <v>GU037</v>
          </cell>
          <cell r="O55">
            <v>56</v>
          </cell>
          <cell r="R55">
            <v>4.9554367201426048</v>
          </cell>
          <cell r="T55">
            <v>1.0909722222222222</v>
          </cell>
          <cell r="U55">
            <v>1.20625</v>
          </cell>
          <cell r="V55">
            <v>60</v>
          </cell>
          <cell r="Z55">
            <v>0.26875000000000004</v>
          </cell>
          <cell r="AF55">
            <v>54.4</v>
          </cell>
          <cell r="AG55">
            <v>17.3</v>
          </cell>
          <cell r="AI55">
            <v>50.8</v>
          </cell>
          <cell r="AU55">
            <v>95.472821437606697</v>
          </cell>
          <cell r="AV55">
            <v>96.811743497295893</v>
          </cell>
          <cell r="AW55" t="str">
            <v>R. Regis</v>
          </cell>
        </row>
        <row r="56">
          <cell r="A56" t="str">
            <v>GU038</v>
          </cell>
          <cell r="O56">
            <v>62</v>
          </cell>
          <cell r="R56">
            <v>4.9554367201426048</v>
          </cell>
          <cell r="T56">
            <v>0.19930555555555557</v>
          </cell>
          <cell r="U56">
            <v>0.33055555555555555</v>
          </cell>
          <cell r="V56">
            <v>60</v>
          </cell>
          <cell r="Z56">
            <v>0.28888888888888886</v>
          </cell>
          <cell r="AF56">
            <v>54.4</v>
          </cell>
          <cell r="AG56">
            <v>17.2</v>
          </cell>
          <cell r="AI56">
            <v>51</v>
          </cell>
          <cell r="AU56">
            <v>95.226977398578171</v>
          </cell>
          <cell r="AV56">
            <v>96.562451712593358</v>
          </cell>
          <cell r="AW56" t="str">
            <v>R. Sookram</v>
          </cell>
        </row>
        <row r="57">
          <cell r="A57" t="str">
            <v>GU039</v>
          </cell>
          <cell r="O57">
            <v>58</v>
          </cell>
          <cell r="R57">
            <v>3.7142857142857109</v>
          </cell>
          <cell r="T57">
            <v>0.33750000000000002</v>
          </cell>
          <cell r="U57">
            <v>0.47916666666666669</v>
          </cell>
          <cell r="V57">
            <v>60</v>
          </cell>
          <cell r="Z57">
            <v>0.28819444444444448</v>
          </cell>
          <cell r="AF57">
            <v>55</v>
          </cell>
          <cell r="AG57">
            <v>17</v>
          </cell>
          <cell r="AI57">
            <v>51.3</v>
          </cell>
          <cell r="AU57">
            <v>94.66429901148345</v>
          </cell>
          <cell r="AV57">
            <v>95.991649269311068</v>
          </cell>
          <cell r="AW57" t="str">
            <v>R. Sookram</v>
          </cell>
        </row>
        <row r="58">
          <cell r="A58" t="str">
            <v>GU040</v>
          </cell>
          <cell r="O58">
            <v>58</v>
          </cell>
          <cell r="R58">
            <v>0.3214285714285709</v>
          </cell>
          <cell r="T58">
            <v>0.47708333333333336</v>
          </cell>
          <cell r="U58">
            <v>0.60972222222222228</v>
          </cell>
          <cell r="V58">
            <v>64</v>
          </cell>
          <cell r="Z58">
            <v>0.28333333333333338</v>
          </cell>
          <cell r="AF58">
            <v>56.9</v>
          </cell>
          <cell r="AG58">
            <v>17.399999999999999</v>
          </cell>
          <cell r="AI58">
            <v>53.2</v>
          </cell>
          <cell r="AU58">
            <v>100.57784401994616</v>
          </cell>
          <cell r="AV58">
            <v>101.98835951583827</v>
          </cell>
          <cell r="AW58" t="str">
            <v>K. Benjamin</v>
          </cell>
        </row>
        <row r="59">
          <cell r="A59" t="str">
            <v>GU041</v>
          </cell>
          <cell r="O59">
            <v>59</v>
          </cell>
          <cell r="R59">
            <v>1.0357142857142827</v>
          </cell>
          <cell r="T59">
            <v>0.61111111111111116</v>
          </cell>
          <cell r="U59">
            <v>0.8041666666666667</v>
          </cell>
          <cell r="V59">
            <v>62</v>
          </cell>
          <cell r="Z59">
            <v>0.34583333333333338</v>
          </cell>
          <cell r="AF59">
            <v>56.5</v>
          </cell>
          <cell r="AG59">
            <v>17</v>
          </cell>
          <cell r="AI59">
            <v>52.7</v>
          </cell>
          <cell r="AU59">
            <v>98.401209978530773</v>
          </cell>
          <cell r="AV59">
            <v>99.781200103013134</v>
          </cell>
          <cell r="AW59" t="str">
            <v>K. Benjamin</v>
          </cell>
        </row>
        <row r="60">
          <cell r="A60" t="str">
            <v>GU042</v>
          </cell>
          <cell r="O60">
            <v>61</v>
          </cell>
          <cell r="R60">
            <v>-3.5650623885923577E-2</v>
          </cell>
          <cell r="T60">
            <v>0.73402777777777772</v>
          </cell>
          <cell r="U60">
            <v>0.91666666666666663</v>
          </cell>
          <cell r="V60">
            <v>60</v>
          </cell>
          <cell r="Z60">
            <v>0.34027777777777779</v>
          </cell>
          <cell r="AF60">
            <v>57.2</v>
          </cell>
          <cell r="AG60">
            <v>17.100000000000001</v>
          </cell>
          <cell r="AI60">
            <v>53.4</v>
          </cell>
          <cell r="AU60">
            <v>99.190946222442903</v>
          </cell>
          <cell r="AV60">
            <v>100.58176757132915</v>
          </cell>
          <cell r="AW60" t="str">
            <v>K. Benjamin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itaMalt - Operator Performance"/>
      <sheetName val="BrewMaterials"/>
      <sheetName val="Brewhouse"/>
      <sheetName val="Process"/>
      <sheetName val="Summary April '26"/>
      <sheetName val="Summary March '26"/>
      <sheetName val="Summary February '26"/>
      <sheetName val="Packaging"/>
      <sheetName val="Summary January '26 "/>
      <sheetName val="Summary December '25"/>
      <sheetName val="Summary November '25"/>
      <sheetName val="Summary October '25"/>
      <sheetName val="Summary September '25"/>
      <sheetName val="Summary August '25"/>
      <sheetName val="Summary July '25"/>
      <sheetName val="Summary June '25"/>
      <sheetName val="Summary May '25"/>
      <sheetName val="Summary April '25"/>
      <sheetName val="Summary March '25"/>
      <sheetName val="Summary February '25"/>
      <sheetName val="Summary January '25"/>
      <sheetName val="Summary December '24 "/>
    </sheetNames>
    <sheetDataSet>
      <sheetData sheetId="0"/>
      <sheetData sheetId="1"/>
      <sheetData sheetId="2">
        <row r="23">
          <cell r="AV23">
            <v>97.339468430709204</v>
          </cell>
        </row>
        <row r="24">
          <cell r="AV24">
            <v>103.731151868401</v>
          </cell>
        </row>
        <row r="25">
          <cell r="AV25">
            <v>94.959846867032411</v>
          </cell>
        </row>
        <row r="26">
          <cell r="AV26">
            <v>97.339468430709204</v>
          </cell>
        </row>
        <row r="27">
          <cell r="AV27">
            <v>97.058295684709279</v>
          </cell>
        </row>
        <row r="28">
          <cell r="AV28">
            <v>97.867114815415192</v>
          </cell>
        </row>
        <row r="29">
          <cell r="AV29">
            <v>98.093597805251179</v>
          </cell>
        </row>
        <row r="30">
          <cell r="AV30">
            <v>102.88783663744221</v>
          </cell>
        </row>
        <row r="31">
          <cell r="AV31">
            <v>96.899121806418265</v>
          </cell>
        </row>
        <row r="32">
          <cell r="AV32">
            <v>98.250925468415389</v>
          </cell>
        </row>
        <row r="33">
          <cell r="AV33">
            <v>96.894670333550806</v>
          </cell>
        </row>
        <row r="34">
          <cell r="AV34">
            <v>98.444969429182507</v>
          </cell>
        </row>
        <row r="36">
          <cell r="AV36">
            <v>96.535163112888242</v>
          </cell>
        </row>
        <row r="38">
          <cell r="AV38">
            <v>96.780047980030858</v>
          </cell>
        </row>
        <row r="39">
          <cell r="AV39">
            <v>97.023341517405328</v>
          </cell>
        </row>
        <row r="40">
          <cell r="AV40">
            <v>96.378271472837781</v>
          </cell>
        </row>
        <row r="41">
          <cell r="AV41">
            <v>96.736022639137431</v>
          </cell>
        </row>
        <row r="42">
          <cell r="AV42">
            <v>97.949689692825132</v>
          </cell>
        </row>
        <row r="43">
          <cell r="AV43">
            <v>95.818529932594828</v>
          </cell>
        </row>
        <row r="44">
          <cell r="AV44">
            <v>97.823512224151031</v>
          </cell>
        </row>
        <row r="45">
          <cell r="AV45">
            <v>95.481796103254354</v>
          </cell>
        </row>
        <row r="46">
          <cell r="AV46">
            <v>98.065568882791581</v>
          </cell>
        </row>
        <row r="47">
          <cell r="AV47">
            <v>97.055454228278464</v>
          </cell>
        </row>
        <row r="48">
          <cell r="AV48">
            <v>99.652179089121645</v>
          </cell>
        </row>
        <row r="49">
          <cell r="AV49">
            <v>99.135667211498472</v>
          </cell>
        </row>
        <row r="50">
          <cell r="AV50">
            <v>99.232905943935492</v>
          </cell>
        </row>
        <row r="51">
          <cell r="AV51">
            <v>98.11852940599799</v>
          </cell>
        </row>
        <row r="52">
          <cell r="AV52">
            <v>92.3621562467644</v>
          </cell>
        </row>
        <row r="54">
          <cell r="A54" t="str">
            <v>VM029</v>
          </cell>
          <cell r="R54">
            <v>58</v>
          </cell>
          <cell r="S54">
            <v>5.7085828343313505</v>
          </cell>
          <cell r="V54">
            <v>1.1208333333333333</v>
          </cell>
          <cell r="W54">
            <v>1.2652777777777777</v>
          </cell>
          <cell r="X54">
            <v>84</v>
          </cell>
          <cell r="AB54">
            <v>0.41111111111111109</v>
          </cell>
          <cell r="AE54">
            <v>50.1</v>
          </cell>
          <cell r="AH54">
            <v>14.5</v>
          </cell>
          <cell r="AJ54">
            <v>47.3</v>
          </cell>
          <cell r="AV54">
            <v>97.205782019322555</v>
          </cell>
          <cell r="AW54">
            <v>97.538578672290498</v>
          </cell>
          <cell r="AZ54" t="str">
            <v>R. Regis</v>
          </cell>
        </row>
        <row r="55">
          <cell r="A55" t="str">
            <v>VM030</v>
          </cell>
          <cell r="R55">
            <v>63</v>
          </cell>
          <cell r="S55">
            <v>9.9001996007984054</v>
          </cell>
          <cell r="V55">
            <v>0.25277777777777777</v>
          </cell>
          <cell r="W55">
            <v>0.40625</v>
          </cell>
          <cell r="X55">
            <v>81</v>
          </cell>
          <cell r="AB55">
            <v>0.3125</v>
          </cell>
          <cell r="AE55">
            <v>50.1</v>
          </cell>
          <cell r="AH55">
            <v>14.6</v>
          </cell>
          <cell r="AJ55">
            <v>48.5</v>
          </cell>
          <cell r="AV55">
            <v>100.49327592303123</v>
          </cell>
          <cell r="AW55">
            <v>100.83589298020222</v>
          </cell>
          <cell r="AZ55" t="str">
            <v>R.Sookram</v>
          </cell>
        </row>
        <row r="56">
          <cell r="A56" t="str">
            <v>VM031</v>
          </cell>
          <cell r="R56">
            <v>62</v>
          </cell>
          <cell r="S56">
            <v>8.1200000000000045</v>
          </cell>
          <cell r="V56">
            <v>0.38263888888888886</v>
          </cell>
          <cell r="W56">
            <v>0.55208333333333337</v>
          </cell>
          <cell r="X56">
            <v>85</v>
          </cell>
          <cell r="AB56">
            <v>0.32986111111111116</v>
          </cell>
          <cell r="AE56">
            <v>50</v>
          </cell>
          <cell r="AH56">
            <v>14.2</v>
          </cell>
          <cell r="AJ56">
            <v>47.5</v>
          </cell>
          <cell r="AV56">
            <v>95.451783031665798</v>
          </cell>
          <cell r="AW56">
            <v>95.778574640692142</v>
          </cell>
          <cell r="AZ56" t="str">
            <v>R.Sookram</v>
          </cell>
        </row>
        <row r="57">
          <cell r="A57" t="str">
            <v>VM032</v>
          </cell>
          <cell r="R57">
            <v>61</v>
          </cell>
          <cell r="S57">
            <v>4.9199999999999875</v>
          </cell>
          <cell r="V57">
            <v>0.50902777777777775</v>
          </cell>
          <cell r="W57">
            <v>0.65833333333333333</v>
          </cell>
          <cell r="X57">
            <v>77</v>
          </cell>
          <cell r="AB57">
            <v>0.32152777777777775</v>
          </cell>
          <cell r="AE57">
            <v>50</v>
          </cell>
          <cell r="AH57">
            <v>14.2</v>
          </cell>
          <cell r="AJ57">
            <v>48.4</v>
          </cell>
          <cell r="AV57">
            <v>97.260343131213148</v>
          </cell>
          <cell r="AW57">
            <v>97.593326581252626</v>
          </cell>
          <cell r="AZ57" t="str">
            <v>K. Benjamin</v>
          </cell>
        </row>
        <row r="58">
          <cell r="A58" t="str">
            <v>VM033</v>
          </cell>
          <cell r="R58">
            <v>61</v>
          </cell>
          <cell r="S58">
            <v>3.9199999999999875</v>
          </cell>
          <cell r="V58">
            <v>0.62222222222222223</v>
          </cell>
          <cell r="W58">
            <v>0.76249999999999996</v>
          </cell>
          <cell r="X58">
            <v>86</v>
          </cell>
          <cell r="AB58">
            <v>0.31458333333333327</v>
          </cell>
          <cell r="AE58">
            <v>50</v>
          </cell>
          <cell r="AH58">
            <v>14.2</v>
          </cell>
          <cell r="AJ58">
            <v>48.1</v>
          </cell>
          <cell r="AV58">
            <v>96.759736809930104</v>
          </cell>
          <cell r="AW58">
            <v>97.089624914123732</v>
          </cell>
          <cell r="AZ58" t="str">
            <v>K. Benjamin</v>
          </cell>
        </row>
        <row r="59">
          <cell r="A59" t="str">
            <v>VM034</v>
          </cell>
          <cell r="R59">
            <v>61</v>
          </cell>
          <cell r="S59">
            <v>3.7199999999999989</v>
          </cell>
          <cell r="V59">
            <v>0.72222222222222221</v>
          </cell>
          <cell r="W59">
            <v>0.8618055555555556</v>
          </cell>
          <cell r="X59">
            <v>68</v>
          </cell>
          <cell r="AB59">
            <v>0.30625000000000002</v>
          </cell>
          <cell r="AE59">
            <v>50</v>
          </cell>
          <cell r="AH59">
            <v>14.3</v>
          </cell>
          <cell r="AJ59">
            <v>47.9</v>
          </cell>
          <cell r="AV59">
            <v>97.064501819306201</v>
          </cell>
          <cell r="AW59">
            <v>97.395428975015292</v>
          </cell>
          <cell r="AZ59" t="str">
            <v>K. Benjamin</v>
          </cell>
        </row>
        <row r="60">
          <cell r="A60" t="str">
            <v>VM035</v>
          </cell>
          <cell r="R60">
            <v>59</v>
          </cell>
          <cell r="S60">
            <v>4.1200000000000045</v>
          </cell>
          <cell r="V60">
            <v>0.84236111111111112</v>
          </cell>
          <cell r="W60">
            <v>0.95833333333333337</v>
          </cell>
          <cell r="X60">
            <v>53</v>
          </cell>
          <cell r="AB60">
            <v>0.30208333333333337</v>
          </cell>
          <cell r="AE60">
            <v>50</v>
          </cell>
          <cell r="AH60">
            <v>13.8</v>
          </cell>
          <cell r="AJ60">
            <v>47.2</v>
          </cell>
          <cell r="AV60">
            <v>92.16222714184731</v>
          </cell>
          <cell r="AW60">
            <v>92.476440712413435</v>
          </cell>
          <cell r="AZ60" t="str">
            <v>K. Benjamin</v>
          </cell>
        </row>
      </sheetData>
      <sheetData sheetId="3">
        <row r="36">
          <cell r="C36" t="str">
            <v>BBT6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January'26"/>
      <sheetName val="Summary October'25"/>
      <sheetName val="Summary September'25"/>
      <sheetName val="Summary August'25"/>
      <sheetName val="Summary July'25"/>
      <sheetName val="Summary June'25"/>
      <sheetName val="Summary May'25"/>
      <sheetName val="Summary April'25"/>
      <sheetName val="Summary March'25 "/>
      <sheetName val="Summary February'25"/>
      <sheetName val="Summary January'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A4" t="str">
            <v>MK001</v>
          </cell>
          <cell r="AT4">
            <v>95.757584041187528</v>
          </cell>
        </row>
        <row r="5">
          <cell r="AT5">
            <v>95.858102632741591</v>
          </cell>
        </row>
        <row r="6">
          <cell r="AT6">
            <v>91.101781537342561</v>
          </cell>
        </row>
        <row r="7">
          <cell r="AT7">
            <v>96.220044255599106</v>
          </cell>
        </row>
        <row r="8">
          <cell r="AT8">
            <v>91.159176033097395</v>
          </cell>
        </row>
        <row r="9">
          <cell r="AT9">
            <v>86.497061610388243</v>
          </cell>
        </row>
        <row r="10">
          <cell r="AT10">
            <v>90.533857449292626</v>
          </cell>
        </row>
        <row r="11">
          <cell r="AT11">
            <v>95.482188504770065</v>
          </cell>
        </row>
      </sheetData>
      <sheetData sheetId="8">
        <row r="4">
          <cell r="A4" t="str">
            <v>MK001</v>
          </cell>
        </row>
      </sheetData>
      <sheetData sheetId="9"/>
      <sheetData sheetId="10">
        <row r="22">
          <cell r="E22">
            <v>5765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 Apr'14"/>
      <sheetName val="Summary May'14"/>
      <sheetName val="BrewMaterials"/>
      <sheetName val="Brewhouse"/>
      <sheetName val="Process"/>
      <sheetName val="Summary March ' 26"/>
      <sheetName val="Summary February ' 26"/>
      <sheetName val="Summary January ' 26"/>
      <sheetName val="Summary December ' 25"/>
      <sheetName val="Packaging"/>
      <sheetName val="Summary April ' 26"/>
    </sheetNames>
    <sheetDataSet>
      <sheetData sheetId="0"/>
      <sheetData sheetId="1"/>
      <sheetData sheetId="2"/>
      <sheetData sheetId="3">
        <row r="5">
          <cell r="AY5">
            <v>97.569471586586559</v>
          </cell>
        </row>
        <row r="6">
          <cell r="AY6">
            <v>98.85391885240027</v>
          </cell>
        </row>
        <row r="7">
          <cell r="AY7">
            <v>97.962509317492206</v>
          </cell>
        </row>
        <row r="8">
          <cell r="AY8">
            <v>98.851728693915732</v>
          </cell>
        </row>
        <row r="9">
          <cell r="AY9">
            <v>96.643783230525969</v>
          </cell>
        </row>
        <row r="10">
          <cell r="AY10">
            <v>94.324644249999125</v>
          </cell>
        </row>
        <row r="11">
          <cell r="AY11">
            <v>92.117541140378776</v>
          </cell>
        </row>
        <row r="12">
          <cell r="AY12">
            <v>97.208951553511497</v>
          </cell>
        </row>
        <row r="13">
          <cell r="AY13">
            <v>98.512076526938472</v>
          </cell>
        </row>
        <row r="14">
          <cell r="AY14">
            <v>95.253677266359389</v>
          </cell>
        </row>
        <row r="16">
          <cell r="AY16">
            <v>93.855429141534003</v>
          </cell>
        </row>
        <row r="17">
          <cell r="AY17">
            <v>105.14531945603353</v>
          </cell>
        </row>
        <row r="18">
          <cell r="AY18">
            <v>93.755977480319771</v>
          </cell>
        </row>
        <row r="19">
          <cell r="AY19">
            <v>98.497810820823545</v>
          </cell>
        </row>
        <row r="20">
          <cell r="AY20">
            <v>97.678395385249857</v>
          </cell>
        </row>
        <row r="21">
          <cell r="AY21">
            <v>97.894369029995005</v>
          </cell>
        </row>
        <row r="22">
          <cell r="AY22">
            <v>96.582095881806836</v>
          </cell>
        </row>
        <row r="23">
          <cell r="AY23">
            <v>100.57737346889346</v>
          </cell>
        </row>
        <row r="42">
          <cell r="AY42">
            <v>99.134494554521325</v>
          </cell>
        </row>
        <row r="44">
          <cell r="A44" t="str">
            <v>SM037</v>
          </cell>
          <cell r="T44">
            <v>60</v>
          </cell>
          <cell r="U44">
            <v>16.723163841807914</v>
          </cell>
          <cell r="X44">
            <v>1.1854166666666666</v>
          </cell>
          <cell r="Y44">
            <v>1.336111111111111</v>
          </cell>
          <cell r="Z44">
            <v>80</v>
          </cell>
          <cell r="AD44">
            <v>0.32916666666666661</v>
          </cell>
          <cell r="AH44">
            <v>53.1</v>
          </cell>
          <cell r="AK44">
            <v>17.3</v>
          </cell>
          <cell r="AM44">
            <v>50.9</v>
          </cell>
          <cell r="AY44">
            <v>97.451901590189621</v>
          </cell>
          <cell r="AZ44">
            <v>98.086498197954199</v>
          </cell>
          <cell r="BC44" t="str">
            <v>D. Gomaz</v>
          </cell>
        </row>
        <row r="45">
          <cell r="A45" t="str">
            <v>SM038</v>
          </cell>
          <cell r="T45">
            <v>60</v>
          </cell>
          <cell r="U45">
            <v>14.463276836158204</v>
          </cell>
          <cell r="X45">
            <v>0.31111111111111112</v>
          </cell>
          <cell r="Y45">
            <v>0.40069444444444446</v>
          </cell>
          <cell r="Z45">
            <v>63</v>
          </cell>
          <cell r="AD45">
            <v>0.28263888888888888</v>
          </cell>
          <cell r="AH45">
            <v>53.1</v>
          </cell>
          <cell r="AK45">
            <v>17.399999999999999</v>
          </cell>
          <cell r="AM45">
            <v>50.4</v>
          </cell>
          <cell r="AY45">
            <v>97.068365512779494</v>
          </cell>
          <cell r="AZ45">
            <v>97.700464573654699</v>
          </cell>
          <cell r="BC45" t="str">
            <v>D. Gomaz</v>
          </cell>
        </row>
        <row r="46">
          <cell r="A46" t="str">
            <v>SM039</v>
          </cell>
          <cell r="T46">
            <v>60</v>
          </cell>
          <cell r="U46">
            <v>9.0018832391713772</v>
          </cell>
          <cell r="X46">
            <v>0.42291666666666666</v>
          </cell>
          <cell r="Y46">
            <v>0.55555555555555558</v>
          </cell>
          <cell r="Z46">
            <v>66</v>
          </cell>
          <cell r="AD46">
            <v>0.30208333333333337</v>
          </cell>
          <cell r="AH46">
            <v>53.1</v>
          </cell>
          <cell r="AK46">
            <v>17.2</v>
          </cell>
          <cell r="AM46">
            <v>53.1</v>
          </cell>
          <cell r="AY46">
            <v>100.84054451608544</v>
          </cell>
          <cell r="AZ46">
            <v>101.4983828530424</v>
          </cell>
          <cell r="BC46" t="str">
            <v>D. Gomaz</v>
          </cell>
        </row>
        <row r="47">
          <cell r="A47" t="str">
            <v>SM040</v>
          </cell>
          <cell r="T47">
            <v>60</v>
          </cell>
          <cell r="U47">
            <v>9.5748613678373502</v>
          </cell>
          <cell r="X47">
            <v>0.52847222222222223</v>
          </cell>
          <cell r="Y47">
            <v>0.66111111111111109</v>
          </cell>
          <cell r="Z47">
            <v>60</v>
          </cell>
          <cell r="AD47">
            <v>0.29652777777777778</v>
          </cell>
          <cell r="AH47">
            <v>54.1</v>
          </cell>
          <cell r="AK47">
            <v>17</v>
          </cell>
          <cell r="AM47">
            <v>52.9</v>
          </cell>
          <cell r="AY47">
            <v>100.42642805913154</v>
          </cell>
          <cell r="AZ47">
            <v>101.07269368226579</v>
          </cell>
          <cell r="BC47" t="str">
            <v>R. Regis</v>
          </cell>
        </row>
        <row r="48">
          <cell r="A48" t="str">
            <v>SM041</v>
          </cell>
          <cell r="T48">
            <v>57</v>
          </cell>
          <cell r="U48">
            <v>8.8354898336414056</v>
          </cell>
          <cell r="X48">
            <v>0.63263888888888886</v>
          </cell>
          <cell r="Y48">
            <v>0.78541666666666665</v>
          </cell>
          <cell r="Z48">
            <v>101</v>
          </cell>
          <cell r="AD48">
            <v>0.31319444444444444</v>
          </cell>
          <cell r="AH48">
            <v>54.1</v>
          </cell>
          <cell r="AK48">
            <v>17</v>
          </cell>
          <cell r="AM48">
            <v>52.5</v>
          </cell>
          <cell r="AY48">
            <v>99.340523834063077</v>
          </cell>
          <cell r="AZ48">
            <v>99.982162437240632</v>
          </cell>
          <cell r="BC48" t="str">
            <v>R. Regis</v>
          </cell>
        </row>
        <row r="49">
          <cell r="A49" t="str">
            <v>SM042</v>
          </cell>
          <cell r="T49">
            <v>61</v>
          </cell>
          <cell r="U49">
            <v>9.5668549905838152</v>
          </cell>
          <cell r="X49">
            <v>0.73402777777777772</v>
          </cell>
          <cell r="Y49">
            <v>0.86597222222222225</v>
          </cell>
          <cell r="Z49">
            <v>67</v>
          </cell>
          <cell r="AD49">
            <v>0.28958333333333341</v>
          </cell>
          <cell r="AH49">
            <v>53.1</v>
          </cell>
          <cell r="AK49">
            <v>17</v>
          </cell>
          <cell r="AM49">
            <v>52.8</v>
          </cell>
          <cell r="AY49">
            <v>100.23658604011617</v>
          </cell>
          <cell r="AZ49">
            <v>100.88162998910461</v>
          </cell>
          <cell r="BC49" t="str">
            <v>R. Regis</v>
          </cell>
        </row>
        <row r="50">
          <cell r="A50" t="str">
            <v>SM043</v>
          </cell>
          <cell r="T50">
            <v>61</v>
          </cell>
          <cell r="U50">
            <v>10.760000000000005</v>
          </cell>
          <cell r="X50">
            <v>0.84513888888888888</v>
          </cell>
          <cell r="Y50">
            <v>0.98124999999999996</v>
          </cell>
          <cell r="Z50">
            <v>71</v>
          </cell>
          <cell r="AD50">
            <v>0.30069444444444438</v>
          </cell>
          <cell r="AH50">
            <v>50</v>
          </cell>
          <cell r="AK50">
            <v>17.2</v>
          </cell>
          <cell r="AM50">
            <v>51.5</v>
          </cell>
          <cell r="AY50">
            <v>99.089008585979826</v>
          </cell>
          <cell r="AZ50">
            <v>99.726076466807839</v>
          </cell>
          <cell r="BC50" t="str">
            <v>R.Sookram</v>
          </cell>
        </row>
        <row r="51">
          <cell r="A51" t="str">
            <v>SM044</v>
          </cell>
          <cell r="T51">
            <v>60</v>
          </cell>
          <cell r="U51">
            <v>12.117400419287229</v>
          </cell>
          <cell r="X51">
            <v>0.94652777777777775</v>
          </cell>
          <cell r="Y51">
            <v>1.08125</v>
          </cell>
          <cell r="Z51">
            <v>82</v>
          </cell>
          <cell r="AD51">
            <v>0.29305555555555562</v>
          </cell>
          <cell r="AH51">
            <v>47.7</v>
          </cell>
          <cell r="AK51">
            <v>17</v>
          </cell>
          <cell r="AM51">
            <v>47.7</v>
          </cell>
          <cell r="AY51">
            <v>90.554643070332219</v>
          </cell>
          <cell r="AZ51">
            <v>91.137381637884289</v>
          </cell>
          <cell r="BC51" t="str">
            <v>R.Sookram</v>
          </cell>
        </row>
      </sheetData>
      <sheetData sheetId="4">
        <row r="5">
          <cell r="D5">
            <v>17.100000000000001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an 2nd"/>
      <sheetName val="Jan 5th"/>
      <sheetName val="Jan 6th"/>
      <sheetName val="Jan 7th"/>
      <sheetName val="Jan 8th "/>
      <sheetName val="Jan 9th-10th"/>
      <sheetName val="Jan12th "/>
      <sheetName val="Jan13th"/>
      <sheetName val="Jan14th"/>
      <sheetName val="Jan15th"/>
      <sheetName val="Jan16-18th"/>
      <sheetName val="Jan19th "/>
      <sheetName val="Jan20th"/>
      <sheetName val="Jan21st"/>
      <sheetName val="Jan22nd"/>
      <sheetName val="Jan23rd"/>
      <sheetName val="Jan26th"/>
      <sheetName val="Jan27th"/>
      <sheetName val="Jan28th"/>
      <sheetName val="Jan29th"/>
      <sheetName val="Jan30th-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2">
          <cell r="L42">
            <v>97.828041735841467</v>
          </cell>
        </row>
        <row r="47">
          <cell r="L47">
            <v>6.0869565217391308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Feb 2nd"/>
      <sheetName val="Feb 3rd"/>
      <sheetName val="Feb 4th"/>
      <sheetName val="Feb 5th"/>
      <sheetName val="Feb 6th"/>
      <sheetName val="Feb 9th"/>
      <sheetName val="Feb 10th"/>
      <sheetName val="Feb 11th"/>
      <sheetName val="Feb 12th"/>
      <sheetName val="Feb 13th"/>
      <sheetName val="Feb 16th"/>
      <sheetName val="Feb 17th"/>
      <sheetName val="Feb 18th "/>
      <sheetName val="Feb 19th"/>
      <sheetName val="Feb 20th"/>
      <sheetName val="Feb 23rd"/>
      <sheetName val="Feb 24th"/>
      <sheetName val="Feb 25th"/>
      <sheetName val="Feb 26th "/>
      <sheetName val="Feb 27th-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39">
          <cell r="L39">
            <v>6.1</v>
          </cell>
        </row>
      </sheetData>
      <sheetData sheetId="20"/>
      <sheetData sheetId="21"/>
      <sheetData sheetId="22"/>
      <sheetData sheetId="23"/>
      <sheetData sheetId="2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Mar 1st"/>
      <sheetName val="Mar 2nd"/>
      <sheetName val="Mar 3rd"/>
      <sheetName val="Mar 4th"/>
      <sheetName val="Mar 5th"/>
      <sheetName val="Mar 6th "/>
      <sheetName val="Mar 9th"/>
      <sheetName val="Mar 10th"/>
      <sheetName val="Mar 11th"/>
      <sheetName val="Mar 12th"/>
      <sheetName val="Mar 13th-15th"/>
      <sheetName val="Mar 16th"/>
      <sheetName val="Mar 18th"/>
      <sheetName val="Mar 19th"/>
      <sheetName val="Mar 20th -22nd"/>
      <sheetName val="Mar 23rd "/>
      <sheetName val="Mar 24th"/>
      <sheetName val="Mar 25th "/>
      <sheetName val="Mar 26th"/>
      <sheetName val="Mar 27th"/>
      <sheetName val="Mar 30th "/>
      <sheetName val="Mar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47">
          <cell r="L47">
            <v>7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6"/>
      <sheetName val="February_2026"/>
      <sheetName val="March_2026"/>
      <sheetName val="April_2026"/>
      <sheetName val="May_2026"/>
      <sheetName val="June_2025"/>
      <sheetName val="July_2025"/>
      <sheetName val="August_2025"/>
      <sheetName val="September_2025"/>
      <sheetName val="October_2025"/>
      <sheetName val="November_2025"/>
      <sheetName val="December_2025"/>
    </sheetNames>
    <sheetDataSet>
      <sheetData sheetId="0"/>
      <sheetData sheetId="1"/>
      <sheetData sheetId="2"/>
      <sheetData sheetId="3">
        <row r="3">
          <cell r="E3">
            <v>396.4</v>
          </cell>
          <cell r="J3">
            <v>406.40000000000003</v>
          </cell>
          <cell r="L3">
            <v>301.7</v>
          </cell>
          <cell r="M3">
            <v>287.39999999999998</v>
          </cell>
          <cell r="P3">
            <v>403.5</v>
          </cell>
          <cell r="S3">
            <v>604.9</v>
          </cell>
          <cell r="W3">
            <v>402.4</v>
          </cell>
          <cell r="Z3">
            <v>506.00000000000006</v>
          </cell>
          <cell r="AD3">
            <v>404.8</v>
          </cell>
          <cell r="AE3">
            <v>512.60000000000014</v>
          </cell>
          <cell r="AN3">
            <v>5.7220668283829799</v>
          </cell>
          <cell r="AQ3">
            <v>6.4485548463211986</v>
          </cell>
        </row>
        <row r="4">
          <cell r="AN4">
            <v>4.4277867523447343</v>
          </cell>
          <cell r="AQ4">
            <v>5.6038747647231943</v>
          </cell>
        </row>
        <row r="5">
          <cell r="AN5">
            <v>10.858502880677971</v>
          </cell>
          <cell r="AQ5">
            <v>13.201587402597006</v>
          </cell>
        </row>
        <row r="6">
          <cell r="AN6" t="e">
            <v>#DIV/0!</v>
          </cell>
          <cell r="AQ6">
            <v>4.3274739720788533</v>
          </cell>
        </row>
        <row r="7">
          <cell r="E7">
            <v>372.4</v>
          </cell>
          <cell r="J7">
            <v>382.9</v>
          </cell>
          <cell r="L7">
            <v>279.60000000000002</v>
          </cell>
          <cell r="M7">
            <v>264.60000000000002</v>
          </cell>
          <cell r="P7">
            <v>386.1</v>
          </cell>
          <cell r="S7">
            <v>570.5</v>
          </cell>
          <cell r="W7">
            <v>384.59999999999997</v>
          </cell>
          <cell r="Z7">
            <v>471</v>
          </cell>
          <cell r="AD7">
            <v>378.3</v>
          </cell>
          <cell r="AE7">
            <v>474.1</v>
          </cell>
          <cell r="AN7" t="e">
            <v>#DIV/0!</v>
          </cell>
          <cell r="AQ7" t="e">
            <v>#DIV/0!</v>
          </cell>
        </row>
        <row r="8">
          <cell r="AN8" t="e">
            <v>#DIV/0!</v>
          </cell>
          <cell r="AQ8">
            <v>7.9131369535794072</v>
          </cell>
        </row>
        <row r="9">
          <cell r="AN9">
            <v>4.0188417648776724</v>
          </cell>
          <cell r="AQ9">
            <v>4.8236555171494695</v>
          </cell>
        </row>
        <row r="10">
          <cell r="AN10" t="e">
            <v>#DIV/0!</v>
          </cell>
          <cell r="AQ10" t="e">
            <v>#DIV/0!</v>
          </cell>
        </row>
        <row r="11">
          <cell r="E11">
            <v>6.7363529833013249</v>
          </cell>
          <cell r="J11">
            <v>4.9486969549160484</v>
          </cell>
          <cell r="L11">
            <v>7.1755612465600453</v>
          </cell>
          <cell r="M11">
            <v>8.0808554309047285</v>
          </cell>
          <cell r="P11">
            <v>1.7533574738059599</v>
          </cell>
          <cell r="S11">
            <v>5.1523221625282831</v>
          </cell>
          <cell r="W11">
            <v>3.2597838294906025</v>
          </cell>
          <cell r="Z11">
            <v>6.618413837478732</v>
          </cell>
          <cell r="AD11">
            <v>5.6369190156083233</v>
          </cell>
          <cell r="AE11">
            <v>8.2620640604135822</v>
          </cell>
          <cell r="AN11" t="e">
            <v>#DIV/0!</v>
          </cell>
          <cell r="AQ11" t="e">
            <v>#DIV/0!</v>
          </cell>
        </row>
        <row r="12">
          <cell r="AN12">
            <v>5.6471617099059817</v>
          </cell>
          <cell r="AQ12">
            <v>6.517968096037043</v>
          </cell>
        </row>
        <row r="13">
          <cell r="J13">
            <v>375.49999999999994</v>
          </cell>
          <cell r="L13">
            <v>391.5</v>
          </cell>
          <cell r="X13">
            <v>396.9</v>
          </cell>
          <cell r="AF13">
            <v>395.5</v>
          </cell>
        </row>
        <row r="17">
          <cell r="J17">
            <v>354.7</v>
          </cell>
          <cell r="L17">
            <v>379.70000000000005</v>
          </cell>
          <cell r="X17">
            <v>373</v>
          </cell>
          <cell r="AF17">
            <v>368.1</v>
          </cell>
        </row>
        <row r="21">
          <cell r="J21">
            <v>5.2360362748010587</v>
          </cell>
          <cell r="L21">
            <v>1.3794538436150063</v>
          </cell>
          <cell r="X21">
            <v>5.1151245302217507</v>
          </cell>
          <cell r="AF21">
            <v>6.2545883959821271</v>
          </cell>
        </row>
        <row r="23">
          <cell r="Y23">
            <v>410.09999999999997</v>
          </cell>
        </row>
        <row r="28">
          <cell r="Y28">
            <v>373.7</v>
          </cell>
        </row>
        <row r="32">
          <cell r="Y32">
            <v>10.858502880677971</v>
          </cell>
        </row>
        <row r="55">
          <cell r="AA55">
            <v>411.8</v>
          </cell>
        </row>
        <row r="59">
          <cell r="AA59">
            <v>400.5</v>
          </cell>
        </row>
        <row r="63">
          <cell r="AA63">
            <v>4.0188417648776724</v>
          </cell>
        </row>
      </sheetData>
      <sheetData sheetId="4">
        <row r="3">
          <cell r="G3">
            <v>410.5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6"/>
      <sheetName val="February_2026"/>
      <sheetName val="March_2026"/>
      <sheetName val="April_2026"/>
      <sheetName val="May_2026"/>
      <sheetName val="June_2025"/>
      <sheetName val="July_2025"/>
      <sheetName val="August_2025"/>
      <sheetName val="August_2018 (2)"/>
      <sheetName val="September_2025"/>
      <sheetName val="October_2025"/>
      <sheetName val="November_2025"/>
      <sheetName val="December_2025"/>
      <sheetName val="May_2025"/>
    </sheetNames>
    <sheetDataSet>
      <sheetData sheetId="0"/>
      <sheetData sheetId="1"/>
      <sheetData sheetId="2"/>
      <sheetData sheetId="3">
        <row r="13">
          <cell r="AN13">
            <v>0.79053411306042887</v>
          </cell>
          <cell r="AQ13">
            <v>0.51798031256288712</v>
          </cell>
        </row>
        <row r="14">
          <cell r="AN14">
            <v>0.91543859649122816</v>
          </cell>
          <cell r="AQ14">
            <v>0.72493688613389817</v>
          </cell>
        </row>
        <row r="15">
          <cell r="AN15">
            <v>0.16390350877192983</v>
          </cell>
          <cell r="AQ15">
            <v>0.2727383040935672</v>
          </cell>
        </row>
        <row r="16">
          <cell r="AN16" t="e">
            <v>#DIV/0!</v>
          </cell>
          <cell r="AQ16">
            <v>0.8292543859649123</v>
          </cell>
        </row>
        <row r="17">
          <cell r="AN17" t="e">
            <v>#DIV/0!</v>
          </cell>
          <cell r="AQ17" t="e">
            <v>#DIV/0!</v>
          </cell>
        </row>
        <row r="18">
          <cell r="E18">
            <v>0.32666666666666666</v>
          </cell>
          <cell r="J18">
            <v>1.3435087719298244</v>
          </cell>
          <cell r="L18">
            <v>0.4905263157894737</v>
          </cell>
          <cell r="M18">
            <v>0.46421052631578952</v>
          </cell>
          <cell r="P18">
            <v>1.3547368421052632</v>
          </cell>
          <cell r="Q18">
            <v>0.66315789473684206</v>
          </cell>
          <cell r="R18">
            <v>1.3164912280701755</v>
          </cell>
          <cell r="S18">
            <v>0.6672514619883041</v>
          </cell>
          <cell r="W18">
            <v>1.3494736842105262</v>
          </cell>
          <cell r="Z18">
            <v>0.41315789473684211</v>
          </cell>
          <cell r="AD18">
            <v>0.26547368421052631</v>
          </cell>
          <cell r="AE18">
            <v>0.83175438596491236</v>
          </cell>
          <cell r="AN18" t="e">
            <v>#DIV/0!</v>
          </cell>
          <cell r="AQ18">
            <v>1.3550877192982456</v>
          </cell>
        </row>
        <row r="19">
          <cell r="AN19">
            <v>0.70263157894736838</v>
          </cell>
          <cell r="AQ19">
            <v>0.89457115009746591</v>
          </cell>
        </row>
        <row r="20">
          <cell r="AN20" t="e">
            <v>#DIV/0!</v>
          </cell>
          <cell r="AQ20" t="e">
            <v>#DIV/0!</v>
          </cell>
        </row>
        <row r="21">
          <cell r="AN21">
            <v>0</v>
          </cell>
          <cell r="AQ21" t="e">
            <v>#DIV/0!</v>
          </cell>
        </row>
        <row r="22">
          <cell r="AN22">
            <v>0.77859437946718646</v>
          </cell>
          <cell r="AQ22">
            <v>0.59503086476353495</v>
          </cell>
        </row>
        <row r="25">
          <cell r="K25">
            <v>1.244561403508772</v>
          </cell>
          <cell r="L25">
            <v>1.3322807017543861</v>
          </cell>
          <cell r="X25">
            <v>0.65438596491228074</v>
          </cell>
          <cell r="AF25">
            <v>0.4305263157894737</v>
          </cell>
        </row>
        <row r="32">
          <cell r="Y32">
            <v>0.16390350877192983</v>
          </cell>
        </row>
        <row r="53">
          <cell r="AA53">
            <v>0.70263157894736838</v>
          </cell>
        </row>
      </sheetData>
      <sheetData sheetId="4">
        <row r="13">
          <cell r="AN13">
            <v>1.3554385964912281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uary_2019"/>
      <sheetName val="February_2019"/>
      <sheetName val="March_2019"/>
      <sheetName val="April_2019"/>
      <sheetName val="May_2019"/>
      <sheetName val="June_2019"/>
      <sheetName val="July_2019"/>
      <sheetName val="August_2019"/>
      <sheetName val="August_2018 (2)"/>
      <sheetName val="September_2019"/>
      <sheetName val="October_2019"/>
      <sheetName val="November_2019"/>
      <sheetName val="December_2019"/>
    </sheetNames>
    <sheetDataSet>
      <sheetData sheetId="0">
        <row r="7">
          <cell r="D7">
            <v>0</v>
          </cell>
          <cell r="L7">
            <v>285.8</v>
          </cell>
          <cell r="M7">
            <v>508.1</v>
          </cell>
          <cell r="N7">
            <v>0</v>
          </cell>
          <cell r="O7">
            <v>0</v>
          </cell>
          <cell r="P7">
            <v>109.56666666666666</v>
          </cell>
          <cell r="Q7">
            <v>297.64999999999998</v>
          </cell>
          <cell r="R7">
            <v>122.3</v>
          </cell>
          <cell r="S7">
            <v>0</v>
          </cell>
          <cell r="T7">
            <v>294.7</v>
          </cell>
          <cell r="U7">
            <v>280.5</v>
          </cell>
          <cell r="V7">
            <v>0</v>
          </cell>
          <cell r="W7">
            <v>0</v>
          </cell>
          <cell r="X7">
            <v>188.25</v>
          </cell>
          <cell r="Y7">
            <v>295.7</v>
          </cell>
          <cell r="Z7">
            <v>257.8</v>
          </cell>
          <cell r="AA7">
            <v>291.2</v>
          </cell>
          <cell r="AB7">
            <v>187</v>
          </cell>
          <cell r="AC7">
            <v>0</v>
          </cell>
          <cell r="AD7">
            <v>0</v>
          </cell>
          <cell r="AE7">
            <v>485.1</v>
          </cell>
          <cell r="AF7">
            <v>171.55</v>
          </cell>
          <cell r="AG7">
            <v>423.8</v>
          </cell>
          <cell r="AH7">
            <v>0</v>
          </cell>
        </row>
        <row r="8">
          <cell r="D8" t="e">
            <v>#DIV/0!</v>
          </cell>
          <cell r="E8">
            <v>1.0319298245614037</v>
          </cell>
          <cell r="F8">
            <v>1.7789473684210526</v>
          </cell>
          <cell r="G8">
            <v>0.51929824561403504</v>
          </cell>
          <cell r="H8" t="e">
            <v>#DIV/0!</v>
          </cell>
          <cell r="I8" t="e">
            <v>#DIV/0!</v>
          </cell>
          <cell r="J8">
            <v>1.365263157894737</v>
          </cell>
          <cell r="K8" t="e">
            <v>#DIV/0!</v>
          </cell>
          <cell r="L8">
            <v>1.0028070175438597</v>
          </cell>
          <cell r="M8">
            <v>1.7828070175438597</v>
          </cell>
          <cell r="N8" t="e">
            <v>#DIV/0!</v>
          </cell>
          <cell r="O8" t="e">
            <v>#DIV/0!</v>
          </cell>
          <cell r="P8">
            <v>0.19222222222222221</v>
          </cell>
          <cell r="Q8">
            <v>0.52219298245614032</v>
          </cell>
          <cell r="R8">
            <v>0.42912280701754385</v>
          </cell>
          <cell r="S8" t="e">
            <v>#DIV/0!</v>
          </cell>
          <cell r="T8">
            <v>1.0340350877192983</v>
          </cell>
          <cell r="U8">
            <v>0.98421052631578942</v>
          </cell>
          <cell r="V8" t="e">
            <v>#DIV/0!</v>
          </cell>
          <cell r="W8" t="e">
            <v>#DIV/0!</v>
          </cell>
          <cell r="X8">
            <v>0.66052631578947374</v>
          </cell>
          <cell r="Y8">
            <v>1.0375438596491227</v>
          </cell>
          <cell r="Z8">
            <v>0.90456140350877201</v>
          </cell>
          <cell r="AA8">
            <v>1.0217543859649123</v>
          </cell>
          <cell r="AB8">
            <v>0.65614035087719302</v>
          </cell>
          <cell r="AC8" t="e">
            <v>#DIV/0!</v>
          </cell>
          <cell r="AD8" t="e">
            <v>#DIV/0!</v>
          </cell>
          <cell r="AE8">
            <v>1.7021052631578948</v>
          </cell>
          <cell r="AF8">
            <v>0.60192982456140354</v>
          </cell>
          <cell r="AG8">
            <v>1.4870175438596491</v>
          </cell>
          <cell r="AH8" t="e">
            <v>#DIV/0!</v>
          </cell>
        </row>
      </sheetData>
      <sheetData sheetId="1">
        <row r="13">
          <cell r="AN13">
            <v>0.94034030952171987</v>
          </cell>
        </row>
      </sheetData>
      <sheetData sheetId="2">
        <row r="13">
          <cell r="AQ13">
            <v>0.93551267438402086</v>
          </cell>
        </row>
      </sheetData>
      <sheetData sheetId="3">
        <row r="18">
          <cell r="G18">
            <v>1.0103508771929826</v>
          </cell>
        </row>
      </sheetData>
      <sheetData sheetId="4">
        <row r="13">
          <cell r="AN13">
            <v>0.87062818515015106</v>
          </cell>
        </row>
      </sheetData>
      <sheetData sheetId="5">
        <row r="13">
          <cell r="AN13">
            <v>0.94807447713221704</v>
          </cell>
        </row>
      </sheetData>
      <sheetData sheetId="6">
        <row r="13">
          <cell r="AN13">
            <v>1.0800362929336174</v>
          </cell>
        </row>
      </sheetData>
      <sheetData sheetId="7">
        <row r="13">
          <cell r="AN13">
            <v>1.1456090225563909</v>
          </cell>
        </row>
      </sheetData>
      <sheetData sheetId="8"/>
      <sheetData sheetId="9">
        <row r="13">
          <cell r="AM13">
            <v>1.1586666666666667</v>
          </cell>
        </row>
      </sheetData>
      <sheetData sheetId="10">
        <row r="13">
          <cell r="AN13">
            <v>0.7340526315789474</v>
          </cell>
        </row>
      </sheetData>
      <sheetData sheetId="11">
        <row r="13">
          <cell r="AN13">
            <v>0.98266798418972334</v>
          </cell>
        </row>
      </sheetData>
      <sheetData sheetId="12">
        <row r="13">
          <cell r="AN13">
            <v>0.83754385964912292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uary_2022"/>
      <sheetName val="February_2022"/>
      <sheetName val="March_2022"/>
      <sheetName val="April_2022"/>
      <sheetName val="May_2022"/>
      <sheetName val="July_2022"/>
      <sheetName val="June_2022"/>
      <sheetName val="August_2018  (2)"/>
      <sheetName val="August_2022"/>
      <sheetName val="September_2022"/>
      <sheetName val="October_2022"/>
      <sheetName val="November_2022"/>
      <sheetName val="December_2022"/>
      <sheetName val="Average"/>
      <sheetName val="March_2021"/>
      <sheetName val="April_2021"/>
      <sheetName val="May_2021"/>
      <sheetName val="June_2021"/>
      <sheetName val="July_2021"/>
      <sheetName val="August_2021"/>
      <sheetName val="September_2021"/>
      <sheetName val="October_2021"/>
      <sheetName val="November_2021"/>
      <sheetName val="December_2021"/>
    </sheetNames>
    <sheetDataSet>
      <sheetData sheetId="0">
        <row r="7">
          <cell r="F7">
            <v>90.5</v>
          </cell>
        </row>
      </sheetData>
      <sheetData sheetId="1">
        <row r="3">
          <cell r="D3">
            <v>410.59999999999997</v>
          </cell>
        </row>
      </sheetData>
      <sheetData sheetId="2">
        <row r="7">
          <cell r="D7">
            <v>199.8</v>
          </cell>
        </row>
      </sheetData>
      <sheetData sheetId="3">
        <row r="7">
          <cell r="G7">
            <v>266.8</v>
          </cell>
        </row>
      </sheetData>
      <sheetData sheetId="4">
        <row r="7">
          <cell r="E7">
            <v>291.89999999999998</v>
          </cell>
        </row>
        <row r="43">
          <cell r="M43">
            <v>3.4878406700073312</v>
          </cell>
        </row>
      </sheetData>
      <sheetData sheetId="5">
        <row r="3">
          <cell r="G3">
            <v>319.81</v>
          </cell>
        </row>
      </sheetData>
      <sheetData sheetId="6">
        <row r="7">
          <cell r="D7">
            <v>190.7</v>
          </cell>
        </row>
      </sheetData>
      <sheetData sheetId="7"/>
      <sheetData sheetId="8">
        <row r="7">
          <cell r="E7">
            <v>293.3</v>
          </cell>
        </row>
      </sheetData>
      <sheetData sheetId="9">
        <row r="7">
          <cell r="E7">
            <v>374.7</v>
          </cell>
        </row>
      </sheetData>
      <sheetData sheetId="10">
        <row r="3">
          <cell r="G3">
            <v>207.23000000000002</v>
          </cell>
        </row>
      </sheetData>
      <sheetData sheetId="11">
        <row r="7">
          <cell r="E7">
            <v>572.10000000000014</v>
          </cell>
        </row>
      </sheetData>
      <sheetData sheetId="12">
        <row r="3">
          <cell r="D3">
            <v>315.21000000000004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"/>
      <sheetName val="Summary September '23"/>
      <sheetName val="Summary August '23"/>
      <sheetName val="Summary July '23 "/>
      <sheetName val="Summary June '23"/>
      <sheetName val="Summary May '23 "/>
      <sheetName val="Summary April '23 "/>
      <sheetName val="Summary March '23 "/>
      <sheetName val="Summary February '23"/>
      <sheetName val="Summary January '23"/>
      <sheetName val="Summary December '22  "/>
      <sheetName val="Summary November '22   "/>
      <sheetName val="Summary October '22  "/>
      <sheetName val="Summary September '22  "/>
      <sheetName val="Summary August '22 "/>
      <sheetName val="Summary July '22 "/>
      <sheetName val="Summary June '22"/>
      <sheetName val="Summary May '22"/>
      <sheetName val="Summary April '22"/>
      <sheetName val="Summary March '22"/>
      <sheetName val="Summary February '22"/>
      <sheetName val="Summary January '22"/>
      <sheetName val="Summary December '21  "/>
    </sheetNames>
    <sheetDataSet>
      <sheetData sheetId="0"/>
      <sheetData sheetId="1"/>
      <sheetData sheetId="2"/>
      <sheetData sheetId="3"/>
      <sheetData sheetId="4"/>
      <sheetData sheetId="5">
        <row r="39">
          <cell r="AI39">
            <v>53</v>
          </cell>
        </row>
        <row r="849">
          <cell r="AU849">
            <v>95.663863833483461</v>
          </cell>
        </row>
        <row r="850">
          <cell r="AU850">
            <v>98.161203140703776</v>
          </cell>
        </row>
        <row r="851">
          <cell r="AU851">
            <v>99.759332436323248</v>
          </cell>
        </row>
        <row r="852">
          <cell r="AU852">
            <v>98.333283107625732</v>
          </cell>
        </row>
        <row r="853">
          <cell r="AU853">
            <v>98.502602722865149</v>
          </cell>
        </row>
        <row r="854">
          <cell r="AU854">
            <v>98.818687834716542</v>
          </cell>
        </row>
        <row r="855">
          <cell r="AU855">
            <v>97.298297014350211</v>
          </cell>
        </row>
        <row r="856">
          <cell r="AU856">
            <v>99.281443283645203</v>
          </cell>
        </row>
        <row r="857">
          <cell r="AU857">
            <v>96.092752278453332</v>
          </cell>
        </row>
        <row r="858">
          <cell r="AU858">
            <v>98.055003537976447</v>
          </cell>
        </row>
        <row r="859">
          <cell r="AU859">
            <v>100.91885920195962</v>
          </cell>
        </row>
        <row r="860">
          <cell r="AU860">
            <v>99.63105429686064</v>
          </cell>
        </row>
        <row r="861">
          <cell r="AU861">
            <v>96.873994166896026</v>
          </cell>
        </row>
        <row r="862">
          <cell r="AU862">
            <v>98.919847621112098</v>
          </cell>
        </row>
        <row r="863">
          <cell r="AU863">
            <v>98.631788415892132</v>
          </cell>
        </row>
        <row r="864">
          <cell r="AU864">
            <v>98.525744642541923</v>
          </cell>
        </row>
        <row r="865">
          <cell r="AU865">
            <v>97.946144197753199</v>
          </cell>
        </row>
        <row r="866">
          <cell r="AU866">
            <v>99.535261451801944</v>
          </cell>
        </row>
        <row r="867">
          <cell r="AU867">
            <v>99.041877420655766</v>
          </cell>
        </row>
        <row r="868">
          <cell r="AU868">
            <v>98.619710487506779</v>
          </cell>
        </row>
        <row r="869">
          <cell r="AU869">
            <v>94.871478991746045</v>
          </cell>
        </row>
        <row r="870">
          <cell r="AU870">
            <v>99.145590755635325</v>
          </cell>
        </row>
        <row r="871">
          <cell r="AU871">
            <v>97.414766781431112</v>
          </cell>
        </row>
        <row r="872">
          <cell r="AU872">
            <v>98.168689841970789</v>
          </cell>
        </row>
        <row r="873">
          <cell r="AU873">
            <v>94.708468285483022</v>
          </cell>
        </row>
        <row r="874">
          <cell r="AU874">
            <v>98.19572334957715</v>
          </cell>
        </row>
        <row r="875">
          <cell r="AU875">
            <v>98.090148410725448</v>
          </cell>
        </row>
        <row r="876">
          <cell r="AU876">
            <v>95.118761951292143</v>
          </cell>
        </row>
        <row r="877">
          <cell r="AU877">
            <v>100.60583188656503</v>
          </cell>
        </row>
        <row r="878">
          <cell r="AU878">
            <v>97.290406760145842</v>
          </cell>
        </row>
        <row r="879">
          <cell r="AU879">
            <v>104.72566854096057</v>
          </cell>
        </row>
        <row r="880">
          <cell r="AU880">
            <v>103.17490716902564</v>
          </cell>
        </row>
        <row r="881">
          <cell r="AU881">
            <v>97.832871362942271</v>
          </cell>
        </row>
        <row r="882">
          <cell r="AU882">
            <v>98.196537042622353</v>
          </cell>
        </row>
        <row r="883">
          <cell r="AU883">
            <v>92.067139526743475</v>
          </cell>
        </row>
        <row r="884">
          <cell r="AU884">
            <v>98.407062059761429</v>
          </cell>
        </row>
        <row r="885">
          <cell r="AU885">
            <v>99.192747185987045</v>
          </cell>
        </row>
        <row r="886">
          <cell r="AU886">
            <v>97.51961651056078</v>
          </cell>
        </row>
        <row r="887">
          <cell r="AU887">
            <v>95.491313123678665</v>
          </cell>
        </row>
        <row r="888">
          <cell r="AU888">
            <v>100.23142048831002</v>
          </cell>
        </row>
        <row r="889">
          <cell r="AU889">
            <v>98.187310276793937</v>
          </cell>
        </row>
        <row r="890">
          <cell r="AU890">
            <v>101.25839273474642</v>
          </cell>
        </row>
        <row r="891">
          <cell r="AU891">
            <v>95.290840272543946</v>
          </cell>
        </row>
        <row r="892">
          <cell r="AU892">
            <v>102.08768838931368</v>
          </cell>
        </row>
        <row r="893">
          <cell r="AU893">
            <v>97.360408780157954</v>
          </cell>
        </row>
        <row r="894">
          <cell r="AU894">
            <v>99.045402987088693</v>
          </cell>
        </row>
        <row r="895">
          <cell r="AU895">
            <v>98.034529195153198</v>
          </cell>
        </row>
        <row r="896">
          <cell r="AU896">
            <v>99.66368637303772</v>
          </cell>
        </row>
        <row r="897">
          <cell r="AU897">
            <v>96.39159653002244</v>
          </cell>
        </row>
        <row r="898">
          <cell r="AU898">
            <v>99.215504360195723</v>
          </cell>
        </row>
        <row r="899">
          <cell r="AU899">
            <v>100.22728441960062</v>
          </cell>
        </row>
        <row r="900">
          <cell r="AU900">
            <v>98.989483943049265</v>
          </cell>
        </row>
        <row r="901">
          <cell r="AU901">
            <v>96.280432251303537</v>
          </cell>
        </row>
        <row r="902">
          <cell r="AU902">
            <v>99.202811624094949</v>
          </cell>
        </row>
        <row r="903">
          <cell r="AU903">
            <v>98.506489670004697</v>
          </cell>
        </row>
        <row r="904">
          <cell r="AU904">
            <v>99.769040261812833</v>
          </cell>
        </row>
        <row r="905">
          <cell r="AU905">
            <v>98.326320918982461</v>
          </cell>
        </row>
        <row r="906">
          <cell r="AU906">
            <v>98.719626202658404</v>
          </cell>
        </row>
        <row r="907">
          <cell r="AU907">
            <v>99.117823502588735</v>
          </cell>
        </row>
        <row r="908">
          <cell r="AU908">
            <v>98.631008731909759</v>
          </cell>
        </row>
        <row r="909">
          <cell r="AU909">
            <v>93.901686844433655</v>
          </cell>
        </row>
        <row r="910">
          <cell r="AU910">
            <v>98.42963897912486</v>
          </cell>
        </row>
        <row r="911">
          <cell r="AU911">
            <v>99.240374252811307</v>
          </cell>
        </row>
        <row r="912">
          <cell r="AU912">
            <v>99.893905017469535</v>
          </cell>
        </row>
        <row r="913">
          <cell r="AU913">
            <v>99.245314300729845</v>
          </cell>
        </row>
        <row r="914">
          <cell r="AU914">
            <v>98.818173928722587</v>
          </cell>
        </row>
        <row r="915">
          <cell r="AU915">
            <v>98.331257677886271</v>
          </cell>
        </row>
        <row r="916">
          <cell r="AU916">
            <v>98.612545635425107</v>
          </cell>
        </row>
        <row r="917">
          <cell r="AU917">
            <v>98.631417127445459</v>
          </cell>
        </row>
        <row r="918">
          <cell r="AU918">
            <v>98.07782155982369</v>
          </cell>
        </row>
        <row r="919">
          <cell r="AU919">
            <v>98.33388042408815</v>
          </cell>
        </row>
        <row r="920">
          <cell r="AU920">
            <v>95.468071678126762</v>
          </cell>
        </row>
        <row r="921">
          <cell r="AU921">
            <v>101.41851984313148</v>
          </cell>
        </row>
        <row r="922">
          <cell r="AU922">
            <v>98.594095369450585</v>
          </cell>
        </row>
        <row r="923">
          <cell r="AU923">
            <v>101.0306887695094</v>
          </cell>
        </row>
        <row r="924">
          <cell r="AU924">
            <v>97.117338355034519</v>
          </cell>
        </row>
        <row r="926">
          <cell r="AU926">
            <v>93.014529112498508</v>
          </cell>
        </row>
        <row r="927">
          <cell r="AU927">
            <v>94.905180294691831</v>
          </cell>
        </row>
        <row r="928">
          <cell r="AU928">
            <v>98.612734606795939</v>
          </cell>
        </row>
        <row r="929">
          <cell r="AU929">
            <v>98.193089516568449</v>
          </cell>
        </row>
        <row r="930">
          <cell r="AU930">
            <v>99.166902562351495</v>
          </cell>
        </row>
        <row r="931">
          <cell r="AU931">
            <v>98.545871344503041</v>
          </cell>
        </row>
        <row r="932">
          <cell r="AU932">
            <v>96.633045006550262</v>
          </cell>
        </row>
        <row r="933">
          <cell r="AU933">
            <v>97.21114174432509</v>
          </cell>
        </row>
        <row r="934">
          <cell r="AU934">
            <v>99.369101617770809</v>
          </cell>
        </row>
        <row r="935">
          <cell r="AU935">
            <v>98.036954958046238</v>
          </cell>
        </row>
        <row r="936">
          <cell r="AU936">
            <v>91.207086008373878</v>
          </cell>
        </row>
        <row r="937">
          <cell r="AU937">
            <v>95.860786445249929</v>
          </cell>
        </row>
        <row r="938">
          <cell r="AU938">
            <v>97.986863363409327</v>
          </cell>
        </row>
        <row r="939">
          <cell r="AU939">
            <v>95.87755710705413</v>
          </cell>
        </row>
        <row r="940">
          <cell r="AU940">
            <v>96.069312221268248</v>
          </cell>
        </row>
        <row r="941">
          <cell r="AU941">
            <v>94.699654196675027</v>
          </cell>
        </row>
        <row r="942">
          <cell r="AU942">
            <v>101.67252999852943</v>
          </cell>
        </row>
        <row r="943">
          <cell r="AU943">
            <v>101.17913775574701</v>
          </cell>
        </row>
        <row r="944">
          <cell r="AU944">
            <v>100.86273713130642</v>
          </cell>
        </row>
        <row r="945">
          <cell r="AU945">
            <v>100.10873722587988</v>
          </cell>
        </row>
        <row r="946">
          <cell r="AU946">
            <v>95.50082306179263</v>
          </cell>
        </row>
        <row r="947">
          <cell r="AU947">
            <v>98.277382858959044</v>
          </cell>
        </row>
        <row r="948">
          <cell r="AU948">
            <v>93.3808876329188</v>
          </cell>
        </row>
        <row r="949">
          <cell r="AU949">
            <v>96.175569134464126</v>
          </cell>
        </row>
        <row r="950">
          <cell r="AU950">
            <v>97.078303486097681</v>
          </cell>
        </row>
        <row r="951">
          <cell r="AU951">
            <v>101.56030805211434</v>
          </cell>
        </row>
        <row r="952">
          <cell r="AU952">
            <v>91.935041652671885</v>
          </cell>
        </row>
        <row r="953">
          <cell r="AU953">
            <v>97.123997414216163</v>
          </cell>
        </row>
        <row r="954">
          <cell r="AU954">
            <v>95.617584994183886</v>
          </cell>
        </row>
        <row r="955">
          <cell r="AU955">
            <v>96.610674074757526</v>
          </cell>
        </row>
        <row r="956">
          <cell r="AU956">
            <v>97.487635532948119</v>
          </cell>
        </row>
        <row r="957">
          <cell r="AU957">
            <v>97.412227635198136</v>
          </cell>
        </row>
        <row r="958">
          <cell r="AU958">
            <v>97.20950210143495</v>
          </cell>
        </row>
        <row r="959">
          <cell r="AU959">
            <v>99.297987498145474</v>
          </cell>
        </row>
        <row r="960">
          <cell r="AU960">
            <v>97.024782991571257</v>
          </cell>
        </row>
        <row r="961">
          <cell r="AU961">
            <v>97.243298870014883</v>
          </cell>
        </row>
        <row r="962">
          <cell r="AU962">
            <v>97.023260123118732</v>
          </cell>
        </row>
        <row r="963">
          <cell r="AU963">
            <v>100.22026650558166</v>
          </cell>
        </row>
        <row r="964">
          <cell r="AU964">
            <v>100.00923853982306</v>
          </cell>
        </row>
        <row r="965">
          <cell r="AU965">
            <v>99.906331130627905</v>
          </cell>
        </row>
        <row r="966">
          <cell r="AU966">
            <v>98.850227095727348</v>
          </cell>
        </row>
        <row r="967">
          <cell r="AU967">
            <v>99.441114455440584</v>
          </cell>
        </row>
        <row r="968">
          <cell r="AU968">
            <v>98.304977340690357</v>
          </cell>
        </row>
        <row r="969">
          <cell r="AU969">
            <v>98.86983616014237</v>
          </cell>
        </row>
        <row r="970">
          <cell r="AU970">
            <v>98.488143394733228</v>
          </cell>
        </row>
        <row r="971">
          <cell r="AU971">
            <v>99.471038525077589</v>
          </cell>
        </row>
        <row r="973">
          <cell r="AU973">
            <v>95.888708244918675</v>
          </cell>
        </row>
        <row r="974">
          <cell r="AU974">
            <v>96.395259825577298</v>
          </cell>
        </row>
        <row r="975">
          <cell r="AU975">
            <v>99.192144221194894</v>
          </cell>
        </row>
        <row r="976">
          <cell r="AU976">
            <v>100.49472440540761</v>
          </cell>
        </row>
        <row r="977">
          <cell r="AU977">
            <v>99.145148742060812</v>
          </cell>
        </row>
        <row r="978">
          <cell r="AU978">
            <v>98.313224898090724</v>
          </cell>
        </row>
        <row r="979">
          <cell r="AU979">
            <v>98.891816600796247</v>
          </cell>
        </row>
        <row r="980">
          <cell r="AU980">
            <v>97.007802280437417</v>
          </cell>
        </row>
        <row r="981">
          <cell r="AU981">
            <v>100.03609063865832</v>
          </cell>
        </row>
        <row r="982">
          <cell r="AU982">
            <v>99.262117016695768</v>
          </cell>
        </row>
        <row r="983">
          <cell r="AU983">
            <v>98.760316095676714</v>
          </cell>
        </row>
        <row r="984">
          <cell r="AU984">
            <v>99.083839545652168</v>
          </cell>
        </row>
        <row r="985">
          <cell r="AU985">
            <v>98.648533109164021</v>
          </cell>
        </row>
        <row r="986">
          <cell r="AU986">
            <v>98.395181345142205</v>
          </cell>
        </row>
        <row r="987">
          <cell r="AU987">
            <v>99.66128871437337</v>
          </cell>
        </row>
        <row r="988">
          <cell r="AU988">
            <v>98.814121830608798</v>
          </cell>
        </row>
        <row r="989">
          <cell r="AU989">
            <v>98.703252611359233</v>
          </cell>
        </row>
        <row r="990">
          <cell r="AU990">
            <v>101.08312040923842</v>
          </cell>
        </row>
        <row r="991">
          <cell r="AU991">
            <v>96.089556432038236</v>
          </cell>
        </row>
        <row r="992">
          <cell r="AU992">
            <v>96.950696980249873</v>
          </cell>
        </row>
        <row r="993">
          <cell r="AU993">
            <v>98.421661720388187</v>
          </cell>
        </row>
        <row r="994">
          <cell r="AU994">
            <v>97.938417583872493</v>
          </cell>
        </row>
        <row r="995">
          <cell r="AU995">
            <v>97.650858846700444</v>
          </cell>
        </row>
        <row r="996">
          <cell r="AU996">
            <v>98.704675821172387</v>
          </cell>
        </row>
        <row r="997">
          <cell r="AU997">
            <v>98.77401974110343</v>
          </cell>
        </row>
        <row r="998">
          <cell r="AU998">
            <v>100.39222978751012</v>
          </cell>
        </row>
        <row r="999">
          <cell r="AU999">
            <v>97.59336349013391</v>
          </cell>
        </row>
        <row r="1000">
          <cell r="AU1000">
            <v>101.5239334145885</v>
          </cell>
        </row>
        <row r="1001">
          <cell r="AU1001">
            <v>98.465315588133734</v>
          </cell>
        </row>
        <row r="1002">
          <cell r="AU1002">
            <v>96.186092769917465</v>
          </cell>
        </row>
        <row r="1003">
          <cell r="AU1003">
            <v>94.13399521979872</v>
          </cell>
        </row>
        <row r="1004">
          <cell r="AU1004">
            <v>97.393648773101731</v>
          </cell>
        </row>
        <row r="1005">
          <cell r="AU1005">
            <v>100.84475180839827</v>
          </cell>
        </row>
        <row r="1006">
          <cell r="AU1006">
            <v>96.923784228632613</v>
          </cell>
        </row>
        <row r="1007">
          <cell r="AU1007">
            <v>98.943374580547371</v>
          </cell>
        </row>
        <row r="1008">
          <cell r="AU1008">
            <v>97.616244018038586</v>
          </cell>
        </row>
        <row r="1009">
          <cell r="AU1009">
            <v>97.200120753042128</v>
          </cell>
        </row>
        <row r="1010">
          <cell r="AU1010">
            <v>98.309661023974598</v>
          </cell>
        </row>
        <row r="1011">
          <cell r="AU1011">
            <v>98.11180818418508</v>
          </cell>
        </row>
        <row r="1012">
          <cell r="AU1012">
            <v>95.802126010985702</v>
          </cell>
        </row>
        <row r="1013">
          <cell r="AU1013">
            <v>97.933739877262411</v>
          </cell>
        </row>
        <row r="1014">
          <cell r="AU1014">
            <v>98.390432949172776</v>
          </cell>
        </row>
        <row r="1015">
          <cell r="AU1015">
            <v>97.811665696530596</v>
          </cell>
        </row>
        <row r="1016">
          <cell r="AU1016">
            <v>95.923441158121605</v>
          </cell>
        </row>
        <row r="1017">
          <cell r="AU1017">
            <v>100.63802460760101</v>
          </cell>
        </row>
        <row r="1018">
          <cell r="AU1018">
            <v>97.734702345258398</v>
          </cell>
        </row>
        <row r="1019">
          <cell r="AU1019">
            <v>93.252429030364738</v>
          </cell>
        </row>
        <row r="1020">
          <cell r="AU1020">
            <v>99.384746343388471</v>
          </cell>
        </row>
        <row r="1021">
          <cell r="AU1021">
            <v>98.117256569111035</v>
          </cell>
        </row>
        <row r="1022">
          <cell r="AU1022">
            <v>98.116637806062727</v>
          </cell>
        </row>
        <row r="1023">
          <cell r="AU1023">
            <v>97.657860016366371</v>
          </cell>
        </row>
        <row r="1024">
          <cell r="AU1024">
            <v>97.972529900423893</v>
          </cell>
        </row>
        <row r="1025">
          <cell r="AU1025">
            <v>98.310667164973324</v>
          </cell>
        </row>
        <row r="1026">
          <cell r="AU1026">
            <v>99.134259503986243</v>
          </cell>
        </row>
        <row r="1027">
          <cell r="AU1027">
            <v>97.265959206532798</v>
          </cell>
        </row>
        <row r="1028">
          <cell r="AU1028">
            <v>98.760591325256911</v>
          </cell>
        </row>
        <row r="1029">
          <cell r="AU1029">
            <v>98.74404787856021</v>
          </cell>
        </row>
        <row r="1030">
          <cell r="AU1030">
            <v>98.23571717622653</v>
          </cell>
        </row>
        <row r="1031">
          <cell r="AU1031">
            <v>95.983832685957111</v>
          </cell>
        </row>
        <row r="1032">
          <cell r="AU1032">
            <v>96.780419003256441</v>
          </cell>
        </row>
        <row r="1033">
          <cell r="AU1033">
            <v>98.118278383828581</v>
          </cell>
        </row>
        <row r="1034">
          <cell r="AU1034">
            <v>98.40572115021881</v>
          </cell>
        </row>
        <row r="1035">
          <cell r="AU1035">
            <v>98.528391993821813</v>
          </cell>
        </row>
        <row r="1036">
          <cell r="AU1036">
            <v>97.465240963079651</v>
          </cell>
        </row>
        <row r="1037">
          <cell r="AU1037">
            <v>97.173958918165667</v>
          </cell>
        </row>
        <row r="1038">
          <cell r="AU1038">
            <v>98.211277757924051</v>
          </cell>
        </row>
        <row r="1039">
          <cell r="AU1039">
            <v>94.563206145249396</v>
          </cell>
        </row>
        <row r="1040">
          <cell r="AU1040">
            <v>95.635088600851034</v>
          </cell>
        </row>
        <row r="1041">
          <cell r="AU1041">
            <v>98.498414606864543</v>
          </cell>
        </row>
        <row r="1042">
          <cell r="AU1042">
            <v>91.938484218600379</v>
          </cell>
        </row>
        <row r="1043">
          <cell r="AU1043">
            <v>91.492245116111022</v>
          </cell>
        </row>
        <row r="1044">
          <cell r="AU1044">
            <v>101.15378252437304</v>
          </cell>
        </row>
        <row r="1045">
          <cell r="AU1045">
            <v>101.1444879830546</v>
          </cell>
        </row>
        <row r="1046">
          <cell r="AU1046">
            <v>101.75764547610389</v>
          </cell>
        </row>
        <row r="1047">
          <cell r="AU1047">
            <v>102.02807739161611</v>
          </cell>
        </row>
        <row r="1048">
          <cell r="AU1048">
            <v>102.33822588732673</v>
          </cell>
        </row>
        <row r="1049">
          <cell r="AU1049">
            <v>98.392068701489933</v>
          </cell>
        </row>
        <row r="1050">
          <cell r="AU1050">
            <v>102.06536408817584</v>
          </cell>
        </row>
        <row r="1051">
          <cell r="AU1051">
            <v>101.99297305280595</v>
          </cell>
        </row>
        <row r="1052">
          <cell r="AU1052">
            <v>102.04523247984621</v>
          </cell>
        </row>
        <row r="1053">
          <cell r="AU1053">
            <v>102.06637748595027</v>
          </cell>
        </row>
        <row r="1054">
          <cell r="AU1054">
            <v>100.85142188790077</v>
          </cell>
        </row>
        <row r="1055">
          <cell r="AU1055">
            <v>98.583226688478646</v>
          </cell>
        </row>
        <row r="1056">
          <cell r="AU1056">
            <v>101.06682882622262</v>
          </cell>
        </row>
        <row r="1057">
          <cell r="AU1057">
            <v>102.15521087119062</v>
          </cell>
        </row>
        <row r="1058">
          <cell r="AU1058">
            <v>99.285782200097586</v>
          </cell>
        </row>
        <row r="1059">
          <cell r="AU1059">
            <v>105.62916732880055</v>
          </cell>
        </row>
        <row r="1060">
          <cell r="AU1060">
            <v>101.36255994882586</v>
          </cell>
        </row>
        <row r="1061">
          <cell r="AU1061">
            <v>102.6647233531194</v>
          </cell>
        </row>
        <row r="1062">
          <cell r="AU1062">
            <v>101.83246684789979</v>
          </cell>
        </row>
        <row r="1063">
          <cell r="AU1063">
            <v>101.53192838019653</v>
          </cell>
        </row>
        <row r="1064">
          <cell r="AU1064">
            <v>102.44706710711155</v>
          </cell>
        </row>
        <row r="1065">
          <cell r="AU1065">
            <v>101.93933661160513</v>
          </cell>
        </row>
        <row r="1066">
          <cell r="AU1066">
            <v>105.97819225470263</v>
          </cell>
        </row>
        <row r="1068">
          <cell r="AU1068">
            <v>98.849674543469746</v>
          </cell>
        </row>
        <row r="1069">
          <cell r="AU1069">
            <v>100.1446862302372</v>
          </cell>
        </row>
        <row r="1070">
          <cell r="AU1070">
            <v>101.6362578559</v>
          </cell>
        </row>
        <row r="1071">
          <cell r="AU1071">
            <v>99.778769949625442</v>
          </cell>
        </row>
        <row r="1072">
          <cell r="AU1072">
            <v>103.16967203867529</v>
          </cell>
        </row>
        <row r="1073">
          <cell r="AU1073">
            <v>102.73418524015567</v>
          </cell>
        </row>
        <row r="1074">
          <cell r="AU1074">
            <v>101.54191229732984</v>
          </cell>
        </row>
        <row r="1075">
          <cell r="AU1075">
            <v>102.73418524015567</v>
          </cell>
        </row>
        <row r="1076">
          <cell r="AU1076">
            <v>101.80414267915592</v>
          </cell>
        </row>
        <row r="1077">
          <cell r="AU1077">
            <v>101.43225651769654</v>
          </cell>
        </row>
        <row r="1078">
          <cell r="AU1078">
            <v>97.320280453397089</v>
          </cell>
        </row>
        <row r="1079">
          <cell r="AU1079">
            <v>97.857959507039951</v>
          </cell>
        </row>
        <row r="1080">
          <cell r="AU1080">
            <v>95.535610244737128</v>
          </cell>
        </row>
        <row r="1081">
          <cell r="AU1081">
            <v>100.5392960523547</v>
          </cell>
        </row>
        <row r="1082">
          <cell r="AU1082">
            <v>99.599362260640163</v>
          </cell>
        </row>
        <row r="1083">
          <cell r="AU1083">
            <v>99.529676899631809</v>
          </cell>
        </row>
        <row r="1084">
          <cell r="AU1084">
            <v>98.65805869904662</v>
          </cell>
        </row>
        <row r="1085">
          <cell r="AU1085">
            <v>97.900683336699984</v>
          </cell>
        </row>
        <row r="1086">
          <cell r="AU1086">
            <v>96.022081664943912</v>
          </cell>
        </row>
        <row r="1087">
          <cell r="AU1087">
            <v>97.304624413158848</v>
          </cell>
        </row>
        <row r="1088">
          <cell r="AU1088">
            <v>95.35734626639821</v>
          </cell>
        </row>
        <row r="1089">
          <cell r="AU1089">
            <v>97.495031010465411</v>
          </cell>
        </row>
        <row r="1090">
          <cell r="AU1090">
            <v>99.297715486103399</v>
          </cell>
        </row>
        <row r="1091">
          <cell r="AU1091">
            <v>105.06246935933015</v>
          </cell>
        </row>
        <row r="1092">
          <cell r="AU1092">
            <v>97.34355913227499</v>
          </cell>
        </row>
        <row r="1093">
          <cell r="AU1093">
            <v>97.997395733282133</v>
          </cell>
        </row>
        <row r="1094">
          <cell r="AU1094">
            <v>96.614488908385596</v>
          </cell>
        </row>
        <row r="1095">
          <cell r="AU1095">
            <v>99.082583941163421</v>
          </cell>
        </row>
        <row r="1096">
          <cell r="AU1096">
            <v>98.29841509955078</v>
          </cell>
        </row>
        <row r="1097">
          <cell r="AU1097">
            <v>96.453761885803175</v>
          </cell>
        </row>
        <row r="1098">
          <cell r="AU1098">
            <v>98.75856341553218</v>
          </cell>
        </row>
        <row r="1099">
          <cell r="AU1099">
            <v>97.435426934039398</v>
          </cell>
        </row>
        <row r="1100">
          <cell r="AU1100">
            <v>97.927954392332211</v>
          </cell>
        </row>
        <row r="1101">
          <cell r="AU1101">
            <v>96.858355595507177</v>
          </cell>
        </row>
        <row r="1102">
          <cell r="AU1102">
            <v>98.313322709326911</v>
          </cell>
        </row>
        <row r="1103">
          <cell r="AU1103">
            <v>96.213262583906172</v>
          </cell>
        </row>
        <row r="1104">
          <cell r="AU1104">
            <v>99.205057766702964</v>
          </cell>
        </row>
        <row r="1105">
          <cell r="AU1105">
            <v>98.616510565062583</v>
          </cell>
        </row>
        <row r="1106">
          <cell r="AU1106">
            <v>99.62335715244869</v>
          </cell>
        </row>
        <row r="1107">
          <cell r="AU1107">
            <v>98.353854199762637</v>
          </cell>
        </row>
        <row r="1108">
          <cell r="AU1108">
            <v>97.851876301229794</v>
          </cell>
        </row>
        <row r="1109">
          <cell r="AU1109">
            <v>96.784826520048185</v>
          </cell>
        </row>
        <row r="1110">
          <cell r="AU1110">
            <v>99.306008905273842</v>
          </cell>
        </row>
        <row r="1111">
          <cell r="AU1111">
            <v>103.8755853825819</v>
          </cell>
        </row>
        <row r="1113">
          <cell r="AU1113">
            <v>94.594411695767121</v>
          </cell>
        </row>
        <row r="1114">
          <cell r="AU1114">
            <v>95.442259414411609</v>
          </cell>
        </row>
        <row r="1115">
          <cell r="AU1115">
            <v>97.799087255527326</v>
          </cell>
        </row>
        <row r="1116">
          <cell r="AU1116">
            <v>99.719532753381543</v>
          </cell>
        </row>
        <row r="1117">
          <cell r="AU1117">
            <v>97.267166338056526</v>
          </cell>
        </row>
        <row r="1118">
          <cell r="AU1118">
            <v>100.44764077118069</v>
          </cell>
        </row>
        <row r="1119">
          <cell r="AU1119">
            <v>93.827567421687206</v>
          </cell>
        </row>
        <row r="1120">
          <cell r="AU1120">
            <v>96.394036031473647</v>
          </cell>
        </row>
        <row r="1121">
          <cell r="AU1121">
            <v>97.578305165931454</v>
          </cell>
        </row>
        <row r="1122">
          <cell r="AU1122">
            <v>96.932364975155807</v>
          </cell>
        </row>
        <row r="1123">
          <cell r="AU1123">
            <v>97.997104085958256</v>
          </cell>
        </row>
        <row r="1124">
          <cell r="AU1124">
            <v>97.759544843715418</v>
          </cell>
        </row>
        <row r="1125">
          <cell r="AU1125">
            <v>94.633810861424649</v>
          </cell>
        </row>
        <row r="1126">
          <cell r="AU1126">
            <v>96.862779824852581</v>
          </cell>
        </row>
        <row r="1127">
          <cell r="AU1127">
            <v>97.346818027874249</v>
          </cell>
        </row>
        <row r="1128">
          <cell r="AU1128">
            <v>97.629135536293958</v>
          </cell>
        </row>
        <row r="1129">
          <cell r="AU1129">
            <v>96.246567851915756</v>
          </cell>
        </row>
        <row r="1130">
          <cell r="AU1130">
            <v>99.254098267973902</v>
          </cell>
        </row>
        <row r="1131">
          <cell r="AU1131">
            <v>99.144169147157214</v>
          </cell>
        </row>
        <row r="1132">
          <cell r="AU1132">
            <v>99.23496199785825</v>
          </cell>
        </row>
        <row r="1134">
          <cell r="AU1134">
            <v>99.19314463412546</v>
          </cell>
        </row>
        <row r="1135">
          <cell r="AU1135">
            <v>102.92280154888711</v>
          </cell>
        </row>
        <row r="1136">
          <cell r="AU1136">
            <v>99.829359344619434</v>
          </cell>
        </row>
        <row r="1137">
          <cell r="AU1137">
            <v>99.761609789296614</v>
          </cell>
        </row>
        <row r="1138">
          <cell r="AU1138">
            <v>99.596399217459179</v>
          </cell>
        </row>
        <row r="1139">
          <cell r="AU1139">
            <v>100.37908211897162</v>
          </cell>
        </row>
        <row r="1140">
          <cell r="AU1140">
            <v>97.418312766765041</v>
          </cell>
        </row>
        <row r="1141">
          <cell r="AU1141">
            <v>97.968907607982743</v>
          </cell>
        </row>
        <row r="1142">
          <cell r="AU1142">
            <v>100.17029027008138</v>
          </cell>
        </row>
        <row r="1143">
          <cell r="AU1143">
            <v>99.993228708722555</v>
          </cell>
        </row>
        <row r="1144">
          <cell r="AU1144">
            <v>97.765751264487974</v>
          </cell>
        </row>
        <row r="1145">
          <cell r="AU1145">
            <v>100.62180093955595</v>
          </cell>
        </row>
        <row r="1146">
          <cell r="AU1146">
            <v>99.629475486503139</v>
          </cell>
        </row>
        <row r="1147">
          <cell r="AU1147">
            <v>102.31969069772103</v>
          </cell>
        </row>
        <row r="1148">
          <cell r="AU1148">
            <v>99.701418936924441</v>
          </cell>
        </row>
        <row r="1149">
          <cell r="AU1149">
            <v>102.89444634839793</v>
          </cell>
        </row>
        <row r="1150">
          <cell r="AU1150">
            <v>98.3471950616252</v>
          </cell>
        </row>
        <row r="1151">
          <cell r="AU1151">
            <v>105.60928359110704</v>
          </cell>
        </row>
        <row r="1152">
          <cell r="AU1152">
            <v>99.212780781016363</v>
          </cell>
        </row>
        <row r="1153">
          <cell r="AU1153">
            <v>100.63709509811707</v>
          </cell>
        </row>
        <row r="1154">
          <cell r="AU1154">
            <v>103.96526783220462</v>
          </cell>
        </row>
        <row r="1155">
          <cell r="AU1155">
            <v>102.33610142522622</v>
          </cell>
        </row>
        <row r="1156">
          <cell r="AU1156">
            <v>99.64102382490708</v>
          </cell>
        </row>
        <row r="1157">
          <cell r="AU1157">
            <v>97.359035191556657</v>
          </cell>
        </row>
        <row r="1158">
          <cell r="AU1158">
            <v>97.039812457212648</v>
          </cell>
        </row>
        <row r="1159">
          <cell r="AU1159">
            <v>99.191907080373852</v>
          </cell>
        </row>
        <row r="1160">
          <cell r="AU1160">
            <v>97.085988871154981</v>
          </cell>
        </row>
        <row r="1161">
          <cell r="AU1161">
            <v>98.839848274994736</v>
          </cell>
        </row>
        <row r="1162">
          <cell r="AU1162">
            <v>97.093900728710452</v>
          </cell>
        </row>
        <row r="1163">
          <cell r="AU1163">
            <v>98.663229460189456</v>
          </cell>
        </row>
        <row r="1164">
          <cell r="AU1164">
            <v>98.007580302489345</v>
          </cell>
        </row>
        <row r="1165">
          <cell r="AU1165">
            <v>96.82899132340151</v>
          </cell>
        </row>
        <row r="1166">
          <cell r="AU1166">
            <v>98.296064945454376</v>
          </cell>
        </row>
        <row r="1167">
          <cell r="AU1167">
            <v>101.25530046681963</v>
          </cell>
        </row>
        <row r="1169">
          <cell r="AU1169">
            <v>98.660529574241494</v>
          </cell>
        </row>
        <row r="1170">
          <cell r="AU1170">
            <v>98.683683341984477</v>
          </cell>
        </row>
        <row r="1171">
          <cell r="AU1171">
            <v>96.46565272128187</v>
          </cell>
        </row>
        <row r="1172">
          <cell r="AU1172">
            <v>98.213482405754576</v>
          </cell>
        </row>
        <row r="1173">
          <cell r="AU1173">
            <v>98.248215187248647</v>
          </cell>
        </row>
        <row r="1174">
          <cell r="AU1174">
            <v>99.347419892330862</v>
          </cell>
        </row>
        <row r="1175">
          <cell r="AU1175">
            <v>95.129579928527363</v>
          </cell>
        </row>
        <row r="1176">
          <cell r="AU1176">
            <v>97.379668362256893</v>
          </cell>
        </row>
        <row r="1177">
          <cell r="AU1177">
            <v>99.069063562092396</v>
          </cell>
        </row>
        <row r="1178">
          <cell r="AU1178">
            <v>98.284977928895344</v>
          </cell>
        </row>
        <row r="1179">
          <cell r="AU1179">
            <v>97.697220967368324</v>
          </cell>
        </row>
        <row r="1180">
          <cell r="AU1180">
            <v>101.77283360791213</v>
          </cell>
        </row>
        <row r="1181">
          <cell r="AU1181">
            <v>100.11664075277199</v>
          </cell>
        </row>
        <row r="1182">
          <cell r="AU1182">
            <v>98.96717887047059</v>
          </cell>
        </row>
        <row r="1183">
          <cell r="AU1183">
            <v>101.63639408836093</v>
          </cell>
        </row>
        <row r="1184">
          <cell r="AU1184">
            <v>98.708712830779419</v>
          </cell>
        </row>
        <row r="1185">
          <cell r="AU1185">
            <v>101.97508681628864</v>
          </cell>
        </row>
        <row r="1186">
          <cell r="AU1186">
            <v>100.72072842071967</v>
          </cell>
        </row>
        <row r="1187">
          <cell r="AU1187">
            <v>97.365017903467503</v>
          </cell>
        </row>
        <row r="1188">
          <cell r="AU1188">
            <v>101.01311282542125</v>
          </cell>
        </row>
        <row r="1189">
          <cell r="AU1189">
            <v>100.53358360397915</v>
          </cell>
        </row>
        <row r="1190">
          <cell r="AU1190">
            <v>100.26027269838312</v>
          </cell>
        </row>
        <row r="1191">
          <cell r="AU1191">
            <v>100.63192255012645</v>
          </cell>
        </row>
        <row r="1192">
          <cell r="AU1192">
            <v>99.244367423501714</v>
          </cell>
        </row>
        <row r="1193">
          <cell r="AU1193">
            <v>100.38350189359957</v>
          </cell>
        </row>
        <row r="1194">
          <cell r="AU1194">
            <v>99.785915212785909</v>
          </cell>
        </row>
        <row r="1195">
          <cell r="AU1195">
            <v>97.50865977837762</v>
          </cell>
        </row>
        <row r="1196">
          <cell r="AU1196">
            <v>100.0636839283863</v>
          </cell>
        </row>
        <row r="1197">
          <cell r="AU1197">
            <v>99.399695194472216</v>
          </cell>
        </row>
        <row r="1198">
          <cell r="AU1198">
            <v>100.80828631126168</v>
          </cell>
        </row>
        <row r="1199">
          <cell r="AU1199">
            <v>104.29383532084293</v>
          </cell>
        </row>
        <row r="1200">
          <cell r="AU1200">
            <v>102.06806155794258</v>
          </cell>
        </row>
        <row r="1201">
          <cell r="AU1201">
            <v>98.068435070509224</v>
          </cell>
        </row>
        <row r="1202">
          <cell r="AU1202">
            <v>99.818028096023355</v>
          </cell>
        </row>
        <row r="1203">
          <cell r="AU1203">
            <v>105.43737145342024</v>
          </cell>
        </row>
        <row r="1204">
          <cell r="AU1204">
            <v>97.871405694667857</v>
          </cell>
        </row>
        <row r="1205">
          <cell r="AU1205">
            <v>96.721541095846874</v>
          </cell>
        </row>
        <row r="1206">
          <cell r="AU1206">
            <v>102.17987166054657</v>
          </cell>
        </row>
        <row r="1207">
          <cell r="AU1207">
            <v>96.176672749058383</v>
          </cell>
        </row>
        <row r="1208">
          <cell r="AU1208">
            <v>99.766559934627637</v>
          </cell>
        </row>
        <row r="1209">
          <cell r="AU1209">
            <v>100.49829989218999</v>
          </cell>
        </row>
        <row r="1210">
          <cell r="AU1210">
            <v>99.790091501759747</v>
          </cell>
        </row>
        <row r="1211">
          <cell r="AU1211">
            <v>100.55981487206185</v>
          </cell>
        </row>
        <row r="1212">
          <cell r="AU1212">
            <v>97.788116609006309</v>
          </cell>
        </row>
        <row r="1213">
          <cell r="AU1213">
            <v>101.98103091751247</v>
          </cell>
        </row>
        <row r="1214">
          <cell r="AU1214">
            <v>99.012001119679738</v>
          </cell>
        </row>
        <row r="1215">
          <cell r="AU1215">
            <v>91.261489968985217</v>
          </cell>
        </row>
        <row r="1216">
          <cell r="AU1216">
            <v>99.707698219426462</v>
          </cell>
        </row>
        <row r="1217">
          <cell r="AU1217">
            <v>99.614769231653739</v>
          </cell>
        </row>
        <row r="1218">
          <cell r="AU1218">
            <v>99.614769231653739</v>
          </cell>
        </row>
        <row r="1219">
          <cell r="AU1219">
            <v>97.686659012038731</v>
          </cell>
        </row>
        <row r="1220">
          <cell r="AU1220">
            <v>99.41593735693985</v>
          </cell>
        </row>
        <row r="1221">
          <cell r="AU1221">
            <v>100.33556993750601</v>
          </cell>
        </row>
        <row r="1222">
          <cell r="AU1222">
            <v>100.36284236973283</v>
          </cell>
        </row>
        <row r="1223">
          <cell r="AU1223">
            <v>96.707064243265734</v>
          </cell>
        </row>
        <row r="1224">
          <cell r="AU1224">
            <v>98.684983751011956</v>
          </cell>
        </row>
        <row r="1225">
          <cell r="AU1225">
            <v>100.32666613792978</v>
          </cell>
        </row>
        <row r="1226">
          <cell r="AU1226">
            <v>99.075472038593162</v>
          </cell>
        </row>
        <row r="1227">
          <cell r="AU1227">
            <v>100.36025727184756</v>
          </cell>
        </row>
        <row r="1228">
          <cell r="AU1228">
            <v>98.501847436225248</v>
          </cell>
        </row>
        <row r="1229">
          <cell r="AU1229">
            <v>98.135747551553138</v>
          </cell>
        </row>
        <row r="1230">
          <cell r="AU1230">
            <v>96.024350814782196</v>
          </cell>
        </row>
        <row r="1232">
          <cell r="AU1232">
            <v>98.179789785028689</v>
          </cell>
        </row>
        <row r="1233">
          <cell r="AU1233">
            <v>98.291928859171279</v>
          </cell>
        </row>
        <row r="1234">
          <cell r="AU1234">
            <v>97.797767256682306</v>
          </cell>
        </row>
        <row r="1235">
          <cell r="AU1235">
            <v>100.58641598521527</v>
          </cell>
        </row>
        <row r="1236">
          <cell r="AU1236">
            <v>96.111582389487964</v>
          </cell>
        </row>
        <row r="1237">
          <cell r="AU1237">
            <v>98.073236826407097</v>
          </cell>
        </row>
        <row r="1238">
          <cell r="AU1238">
            <v>97.333813603818271</v>
          </cell>
        </row>
        <row r="1239">
          <cell r="AU1239">
            <v>97.488035418419599</v>
          </cell>
        </row>
        <row r="1240">
          <cell r="AU1240">
            <v>96.443069000306991</v>
          </cell>
        </row>
        <row r="1241">
          <cell r="AU1241">
            <v>97.660098295963977</v>
          </cell>
        </row>
        <row r="1242">
          <cell r="AU1242">
            <v>100.1925094291288</v>
          </cell>
        </row>
        <row r="1243">
          <cell r="AU1243">
            <v>102.02975819555886</v>
          </cell>
        </row>
        <row r="1244">
          <cell r="AU1244">
            <v>99.251334851868066</v>
          </cell>
        </row>
        <row r="1245">
          <cell r="AU1245">
            <v>98.988031079610636</v>
          </cell>
        </row>
        <row r="1246">
          <cell r="AU1246">
            <v>93.84492272914629</v>
          </cell>
        </row>
        <row r="1247">
          <cell r="AU1247">
            <v>97.675973893190388</v>
          </cell>
        </row>
        <row r="1248">
          <cell r="AU1248">
            <v>96.128859563942299</v>
          </cell>
        </row>
        <row r="1249">
          <cell r="AU1249">
            <v>96.23019957287525</v>
          </cell>
        </row>
        <row r="1250">
          <cell r="AU1250">
            <v>95.554648042025462</v>
          </cell>
        </row>
        <row r="1251">
          <cell r="AU1251">
            <v>98.040839419924865</v>
          </cell>
        </row>
        <row r="1252">
          <cell r="AU1252">
            <v>96.199420039592823</v>
          </cell>
        </row>
        <row r="1253">
          <cell r="AU1253">
            <v>97.234243270288488</v>
          </cell>
        </row>
        <row r="1254">
          <cell r="AU1254">
            <v>98.44605815756691</v>
          </cell>
        </row>
        <row r="1255">
          <cell r="AU1255">
            <v>97.382459789895933</v>
          </cell>
        </row>
        <row r="1256">
          <cell r="AU1256">
            <v>98.328884904956453</v>
          </cell>
        </row>
        <row r="1257">
          <cell r="AU1257">
            <v>99.176349471390083</v>
          </cell>
        </row>
        <row r="1258">
          <cell r="AU1258">
            <v>99.725213620870562</v>
          </cell>
        </row>
        <row r="1259">
          <cell r="AU1259">
            <v>100.48066422868867</v>
          </cell>
        </row>
        <row r="1260">
          <cell r="AU1260">
            <v>101.04881107834257</v>
          </cell>
        </row>
        <row r="1261">
          <cell r="AU1261">
            <v>96.684054663353407</v>
          </cell>
        </row>
        <row r="1262">
          <cell r="AU1262">
            <v>100.11748114942228</v>
          </cell>
        </row>
        <row r="1263">
          <cell r="AU1263">
            <v>100.51795107401998</v>
          </cell>
        </row>
        <row r="1264">
          <cell r="AU1264">
            <v>99.207896402187785</v>
          </cell>
        </row>
        <row r="1265">
          <cell r="AU1265">
            <v>100.95368553039596</v>
          </cell>
        </row>
        <row r="1266">
          <cell r="AU1266">
            <v>97.17675724343205</v>
          </cell>
        </row>
        <row r="1267">
          <cell r="AU1267">
            <v>100.27568850272728</v>
          </cell>
        </row>
        <row r="1268">
          <cell r="AU1268">
            <v>95.840653755436676</v>
          </cell>
        </row>
        <row r="1269">
          <cell r="AU1269">
            <v>97.856182069825209</v>
          </cell>
        </row>
        <row r="1270">
          <cell r="AU1270">
            <v>96.19901229369458</v>
          </cell>
        </row>
        <row r="1271">
          <cell r="AU1271">
            <v>99.768698757120475</v>
          </cell>
        </row>
        <row r="1272">
          <cell r="AU1272">
            <v>96.963110760980143</v>
          </cell>
        </row>
        <row r="1273">
          <cell r="AU1273">
            <v>95.387189095245446</v>
          </cell>
        </row>
        <row r="1274">
          <cell r="AU1274">
            <v>97.66276675900059</v>
          </cell>
        </row>
        <row r="1275">
          <cell r="AU1275">
            <v>96.722609742578882</v>
          </cell>
        </row>
        <row r="1276">
          <cell r="AU1276">
            <v>95.21341030938089</v>
          </cell>
        </row>
        <row r="1277">
          <cell r="AU1277">
            <v>100.58641598521527</v>
          </cell>
        </row>
        <row r="1278">
          <cell r="AU1278">
            <v>98.728481909993832</v>
          </cell>
        </row>
        <row r="1279">
          <cell r="AU1279">
            <v>97.363389883580609</v>
          </cell>
        </row>
        <row r="1280">
          <cell r="AU1280">
            <v>96.368222565528768</v>
          </cell>
        </row>
        <row r="1281">
          <cell r="AU1281">
            <v>99.403685713959135</v>
          </cell>
        </row>
        <row r="1282">
          <cell r="AU1282">
            <v>99.376781450914166</v>
          </cell>
        </row>
        <row r="1283">
          <cell r="AU1283">
            <v>100.1873369871003</v>
          </cell>
        </row>
        <row r="1284">
          <cell r="AU1284">
            <v>99.697907762622791</v>
          </cell>
        </row>
        <row r="1285">
          <cell r="AU1285">
            <v>100.26548026974599</v>
          </cell>
        </row>
        <row r="1286">
          <cell r="AU1286">
            <v>102.4523707111142</v>
          </cell>
        </row>
        <row r="1287">
          <cell r="AU1287">
            <v>100.73490880151181</v>
          </cell>
        </row>
        <row r="1288">
          <cell r="AU1288">
            <v>99.528027585112525</v>
          </cell>
        </row>
        <row r="1289">
          <cell r="AU1289">
            <v>100.40167185692117</v>
          </cell>
        </row>
        <row r="1290">
          <cell r="AU1290">
            <v>95.757943444168916</v>
          </cell>
        </row>
        <row r="1291">
          <cell r="AU1291">
            <v>100.64852804849632</v>
          </cell>
        </row>
        <row r="1292">
          <cell r="AU1292">
            <v>98.923494874166224</v>
          </cell>
        </row>
        <row r="1293">
          <cell r="AU1293">
            <v>100.60809464584524</v>
          </cell>
        </row>
        <row r="1294">
          <cell r="AU1294">
            <v>101.56245729868796</v>
          </cell>
        </row>
        <row r="1295">
          <cell r="AU1295">
            <v>100.73265147899326</v>
          </cell>
        </row>
        <row r="1296">
          <cell r="AU1296">
            <v>96.496722132654568</v>
          </cell>
        </row>
        <row r="1297">
          <cell r="AU1297">
            <v>104.73769347324765</v>
          </cell>
        </row>
        <row r="1298">
          <cell r="AU1298">
            <v>106.35297340389174</v>
          </cell>
        </row>
        <row r="1299">
          <cell r="AU1299">
            <v>97.675981598068034</v>
          </cell>
        </row>
        <row r="1301">
          <cell r="AU1301">
            <v>100.69636349625802</v>
          </cell>
        </row>
        <row r="1302">
          <cell r="AU1302">
            <v>98.184391941531558</v>
          </cell>
        </row>
        <row r="1303">
          <cell r="AU1303">
            <v>100.28460594143462</v>
          </cell>
        </row>
        <row r="1304">
          <cell r="AU1304">
            <v>99.054172804783235</v>
          </cell>
        </row>
        <row r="1305">
          <cell r="AU1305">
            <v>97.279357172003117</v>
          </cell>
        </row>
        <row r="1306">
          <cell r="AU1306">
            <v>99.364064980818199</v>
          </cell>
        </row>
        <row r="1307">
          <cell r="AU1307">
            <v>96.124556479651858</v>
          </cell>
        </row>
        <row r="1308">
          <cell r="AU1308">
            <v>94.991504047027817</v>
          </cell>
        </row>
        <row r="1309">
          <cell r="AU1309">
            <v>99.356858720757813</v>
          </cell>
        </row>
        <row r="1310">
          <cell r="AU1310">
            <v>99.85019705163522</v>
          </cell>
        </row>
        <row r="1311">
          <cell r="AU1311">
            <v>99.172910782795725</v>
          </cell>
        </row>
        <row r="1312">
          <cell r="AU1312">
            <v>96.169426096286429</v>
          </cell>
        </row>
        <row r="1313">
          <cell r="AU1313">
            <v>98.505525515629415</v>
          </cell>
        </row>
        <row r="1314">
          <cell r="AU1314">
            <v>96.258588846991714</v>
          </cell>
        </row>
        <row r="1315">
          <cell r="AU1315">
            <v>94.232141766092681</v>
          </cell>
        </row>
        <row r="1316">
          <cell r="AU1316">
            <v>95.570750074834052</v>
          </cell>
        </row>
        <row r="1317">
          <cell r="AU1317">
            <v>96.288795653844687</v>
          </cell>
        </row>
        <row r="1318">
          <cell r="AU1318">
            <v>95.645642237820567</v>
          </cell>
        </row>
        <row r="1319">
          <cell r="AU1319">
            <v>96.403544949878381</v>
          </cell>
        </row>
        <row r="1320">
          <cell r="AU1320">
            <v>97.131757704740778</v>
          </cell>
        </row>
        <row r="1321">
          <cell r="AU1321">
            <v>99.958438788996091</v>
          </cell>
        </row>
        <row r="1322">
          <cell r="AU1322">
            <v>97.297010458054217</v>
          </cell>
        </row>
        <row r="1323">
          <cell r="AU1323">
            <v>98.657901147288669</v>
          </cell>
        </row>
        <row r="1324">
          <cell r="AU1324">
            <v>99.981282874675273</v>
          </cell>
        </row>
        <row r="1325">
          <cell r="AU1325">
            <v>99.580050341134651</v>
          </cell>
        </row>
        <row r="1326">
          <cell r="AU1326">
            <v>96.929558501285911</v>
          </cell>
        </row>
        <row r="1327">
          <cell r="AU1327">
            <v>100.30553206082334</v>
          </cell>
        </row>
        <row r="1328">
          <cell r="AU1328">
            <v>99.722360362795285</v>
          </cell>
        </row>
        <row r="1329">
          <cell r="AU1329">
            <v>98.944798098757886</v>
          </cell>
        </row>
        <row r="1330">
          <cell r="AU1330">
            <v>95.580638204051326</v>
          </cell>
        </row>
        <row r="1331">
          <cell r="AU1331">
            <v>98.735458005641846</v>
          </cell>
        </row>
        <row r="1332">
          <cell r="AU1332">
            <v>99.650000628755876</v>
          </cell>
        </row>
        <row r="1333">
          <cell r="AU1333">
            <v>101.84109606479639</v>
          </cell>
        </row>
        <row r="1334">
          <cell r="AU1334">
            <v>96.796751766607542</v>
          </cell>
        </row>
        <row r="1335">
          <cell r="AU1335">
            <v>98.193610604613141</v>
          </cell>
        </row>
        <row r="1336">
          <cell r="AU1336">
            <v>98.093894811424491</v>
          </cell>
        </row>
        <row r="1337">
          <cell r="AU1337">
            <v>99.544408891882213</v>
          </cell>
        </row>
        <row r="1338">
          <cell r="AU1338">
            <v>95.943650597628519</v>
          </cell>
        </row>
        <row r="1339">
          <cell r="AU1339">
            <v>98.489487551374054</v>
          </cell>
        </row>
        <row r="1340">
          <cell r="AU1340">
            <v>99.461015338477637</v>
          </cell>
        </row>
        <row r="1341">
          <cell r="AU1341">
            <v>98.205094303313913</v>
          </cell>
        </row>
        <row r="1342">
          <cell r="AU1342">
            <v>96.57736653253302</v>
          </cell>
        </row>
        <row r="1343">
          <cell r="AU1343">
            <v>99.162258965139586</v>
          </cell>
        </row>
        <row r="1344">
          <cell r="AU1344">
            <v>97.752006327292591</v>
          </cell>
        </row>
        <row r="1345">
          <cell r="AU1345">
            <v>98.25226189331751</v>
          </cell>
        </row>
        <row r="1346">
          <cell r="AU1346">
            <v>92.330641979085215</v>
          </cell>
        </row>
        <row r="1347">
          <cell r="AU1347">
            <v>96.92616235214588</v>
          </cell>
        </row>
        <row r="1348">
          <cell r="AU1348">
            <v>98.250904314108695</v>
          </cell>
        </row>
        <row r="1349">
          <cell r="AU1349">
            <v>97.226742284610296</v>
          </cell>
        </row>
        <row r="1350">
          <cell r="AU1350">
            <v>97.131846766978995</v>
          </cell>
        </row>
        <row r="1351">
          <cell r="AU1351">
            <v>96.993217019795154</v>
          </cell>
        </row>
        <row r="1352">
          <cell r="AU1352">
            <v>98.417594218830985</v>
          </cell>
        </row>
        <row r="1353">
          <cell r="AU1353">
            <v>102.82252082705443</v>
          </cell>
        </row>
        <row r="1354">
          <cell r="AU1354">
            <v>98.816203939292336</v>
          </cell>
        </row>
        <row r="1355">
          <cell r="AU1355">
            <v>96.798324627985608</v>
          </cell>
        </row>
        <row r="1356">
          <cell r="AU1356">
            <v>94.452452072698932</v>
          </cell>
        </row>
        <row r="1357">
          <cell r="AU1357">
            <v>97.56033572665082</v>
          </cell>
        </row>
        <row r="1358">
          <cell r="AU1358">
            <v>98.27460163662704</v>
          </cell>
        </row>
        <row r="1359">
          <cell r="AU1359">
            <v>97.762952703699071</v>
          </cell>
        </row>
        <row r="1360">
          <cell r="AU1360">
            <v>98.536776457125086</v>
          </cell>
        </row>
        <row r="1361">
          <cell r="AU1361">
            <v>98.239874351747247</v>
          </cell>
        </row>
        <row r="1362">
          <cell r="AU1362">
            <v>98.540391691402434</v>
          </cell>
        </row>
        <row r="1363">
          <cell r="AU1363">
            <v>98.858098536373518</v>
          </cell>
        </row>
        <row r="1365">
          <cell r="AU1365">
            <v>100.41719648574204</v>
          </cell>
        </row>
        <row r="1366">
          <cell r="AU1366">
            <v>99.322262234372474</v>
          </cell>
        </row>
        <row r="1367">
          <cell r="AU1367">
            <v>101.39091759147669</v>
          </cell>
        </row>
        <row r="1368">
          <cell r="AU1368">
            <v>97.734817712523011</v>
          </cell>
        </row>
        <row r="1369">
          <cell r="AU1369">
            <v>99.071270960746133</v>
          </cell>
        </row>
        <row r="1370">
          <cell r="AU1370">
            <v>99.447784717664206</v>
          </cell>
        </row>
        <row r="1371">
          <cell r="AU1371">
            <v>93.59468551560397</v>
          </cell>
        </row>
        <row r="1372">
          <cell r="AU1372">
            <v>94.563283703778581</v>
          </cell>
        </row>
        <row r="1373">
          <cell r="AU1373">
            <v>98.67921311815266</v>
          </cell>
        </row>
        <row r="1374">
          <cell r="AU1374">
            <v>96.36809033051874</v>
          </cell>
        </row>
        <row r="1375">
          <cell r="AU1375">
            <v>96.920303781973502</v>
          </cell>
        </row>
        <row r="1376">
          <cell r="AU1376">
            <v>102.56831615190862</v>
          </cell>
        </row>
        <row r="1377">
          <cell r="AU1377">
            <v>98.929739255873997</v>
          </cell>
        </row>
        <row r="1378">
          <cell r="AU1378">
            <v>99.322262234372474</v>
          </cell>
        </row>
        <row r="1379">
          <cell r="AU1379">
            <v>95.465966670266354</v>
          </cell>
        </row>
        <row r="1380">
          <cell r="AU1380">
            <v>97.114144389537444</v>
          </cell>
        </row>
        <row r="1381">
          <cell r="AU1381">
            <v>97.159907020096412</v>
          </cell>
        </row>
        <row r="1382">
          <cell r="AU1382">
            <v>98.101341699400351</v>
          </cell>
        </row>
        <row r="1383">
          <cell r="AU1383">
            <v>97.478202149506544</v>
          </cell>
        </row>
        <row r="1384">
          <cell r="AU1384">
            <v>98.929739255873997</v>
          </cell>
        </row>
        <row r="1385">
          <cell r="AU1385">
            <v>98.623493119770274</v>
          </cell>
        </row>
        <row r="1386">
          <cell r="AU1386">
            <v>98.431618619537275</v>
          </cell>
        </row>
        <row r="1387">
          <cell r="AU1387">
            <v>99.671010145829698</v>
          </cell>
        </row>
        <row r="1388">
          <cell r="AU1388">
            <v>101.88601915572946</v>
          </cell>
        </row>
        <row r="1389">
          <cell r="AU1389">
            <v>94.965720341288431</v>
          </cell>
        </row>
        <row r="1390">
          <cell r="AU1390">
            <v>96.435091480311513</v>
          </cell>
        </row>
        <row r="1391">
          <cell r="AU1391">
            <v>97.482674355194135</v>
          </cell>
        </row>
        <row r="1392">
          <cell r="AU1392">
            <v>98.364442828340316</v>
          </cell>
        </row>
        <row r="1393">
          <cell r="AU1393">
            <v>98.267944863963734</v>
          </cell>
        </row>
        <row r="1394">
          <cell r="AU1394">
            <v>97.750930172236252</v>
          </cell>
        </row>
        <row r="1395">
          <cell r="AU1395">
            <v>97.737910056068699</v>
          </cell>
        </row>
        <row r="1396">
          <cell r="AU1396">
            <v>96.540559150897863</v>
          </cell>
        </row>
        <row r="1397">
          <cell r="AU1397">
            <v>97.822972408587717</v>
          </cell>
        </row>
        <row r="1398">
          <cell r="AU1398">
            <v>98.261703641432518</v>
          </cell>
        </row>
        <row r="1399">
          <cell r="AU1399">
            <v>95.461164108361956</v>
          </cell>
        </row>
        <row r="1400">
          <cell r="AU1400">
            <v>96.415086891174909</v>
          </cell>
        </row>
        <row r="1401">
          <cell r="AU1401">
            <v>99.640125910776376</v>
          </cell>
        </row>
        <row r="1402">
          <cell r="AU1402">
            <v>96.114626501610672</v>
          </cell>
        </row>
        <row r="1403">
          <cell r="AU1403">
            <v>97.097205687046483</v>
          </cell>
        </row>
        <row r="1404">
          <cell r="AU1404">
            <v>97.933176072044361</v>
          </cell>
        </row>
        <row r="1405">
          <cell r="AU1405">
            <v>97.359348868497207</v>
          </cell>
        </row>
        <row r="1406">
          <cell r="AU1406">
            <v>95.274933067771656</v>
          </cell>
        </row>
        <row r="1407">
          <cell r="AU1407">
            <v>96.905759405529636</v>
          </cell>
        </row>
        <row r="1408">
          <cell r="AU1408">
            <v>98.743467786078526</v>
          </cell>
        </row>
        <row r="1409">
          <cell r="AU1409">
            <v>98.336500376686118</v>
          </cell>
        </row>
        <row r="1410">
          <cell r="AU1410">
            <v>97.914891452662474</v>
          </cell>
        </row>
        <row r="1411">
          <cell r="AU1411">
            <v>99.253173965491797</v>
          </cell>
        </row>
        <row r="1412">
          <cell r="AU1412">
            <v>99.409086961911157</v>
          </cell>
        </row>
        <row r="1413">
          <cell r="AU1413">
            <v>95.652853192916908</v>
          </cell>
        </row>
        <row r="1414">
          <cell r="AU1414">
            <v>98.479270074922681</v>
          </cell>
        </row>
        <row r="1415">
          <cell r="AU1415">
            <v>98.176669890806309</v>
          </cell>
        </row>
        <row r="1416">
          <cell r="AU1416">
            <v>96.714179234632098</v>
          </cell>
        </row>
        <row r="1417">
          <cell r="AU1417">
            <v>99.115564785646797</v>
          </cell>
        </row>
        <row r="1418">
          <cell r="AU1418">
            <v>98.541044413027265</v>
          </cell>
        </row>
        <row r="1419">
          <cell r="AU1419">
            <v>97.452215171322351</v>
          </cell>
        </row>
        <row r="1420">
          <cell r="AU1420">
            <v>98.648885620396499</v>
          </cell>
        </row>
        <row r="1421">
          <cell r="AU1421">
            <v>98.936703535170665</v>
          </cell>
        </row>
        <row r="1422">
          <cell r="AU1422">
            <v>99.623676980281815</v>
          </cell>
        </row>
        <row r="1423">
          <cell r="AU1423">
            <v>98.120445907560153</v>
          </cell>
        </row>
        <row r="1424">
          <cell r="AU1424">
            <v>98.572209097474968</v>
          </cell>
        </row>
        <row r="1425">
          <cell r="AU1425">
            <v>95.646266460157364</v>
          </cell>
        </row>
        <row r="1426">
          <cell r="AU1426">
            <v>97.742482894211975</v>
          </cell>
        </row>
        <row r="1427">
          <cell r="AU1427">
            <v>98.330113051892596</v>
          </cell>
        </row>
        <row r="1428">
          <cell r="AU1428">
            <v>97.169799152857877</v>
          </cell>
        </row>
        <row r="1429">
          <cell r="AU1429">
            <v>99.208647670497314</v>
          </cell>
        </row>
        <row r="1430">
          <cell r="AU1430">
            <v>98.525989771119455</v>
          </cell>
        </row>
        <row r="1431">
          <cell r="AU1431">
            <v>98.461659837743611</v>
          </cell>
        </row>
        <row r="1432">
          <cell r="AU1432">
            <v>98.62620942585643</v>
          </cell>
        </row>
        <row r="1433">
          <cell r="AU1433">
            <v>100.21609106830478</v>
          </cell>
        </row>
        <row r="1434">
          <cell r="AU1434">
            <v>89.640220918832952</v>
          </cell>
        </row>
        <row r="1435">
          <cell r="AU1435">
            <v>93.282679447096996</v>
          </cell>
        </row>
        <row r="1436">
          <cell r="AU1436">
            <v>107.10597490816951</v>
          </cell>
        </row>
        <row r="1437">
          <cell r="AU1437">
            <v>96.299726205571716</v>
          </cell>
        </row>
        <row r="1438">
          <cell r="AU1438">
            <v>98.309867057290148</v>
          </cell>
        </row>
        <row r="1439">
          <cell r="AU1439">
            <v>99.629209558382172</v>
          </cell>
        </row>
        <row r="1440">
          <cell r="AU1440">
            <v>98.060245628328929</v>
          </cell>
        </row>
        <row r="1441">
          <cell r="AU1441">
            <v>98.94333918173038</v>
          </cell>
        </row>
        <row r="1442">
          <cell r="AU1442">
            <v>98.871999428059297</v>
          </cell>
        </row>
        <row r="1443">
          <cell r="AU1443">
            <v>98.554563782195103</v>
          </cell>
        </row>
        <row r="1444">
          <cell r="AU1444">
            <v>98.69767718374888</v>
          </cell>
        </row>
        <row r="1446">
          <cell r="AU1446">
            <v>98.403676881234972</v>
          </cell>
        </row>
        <row r="1447">
          <cell r="AU1447">
            <v>98.208043328787198</v>
          </cell>
        </row>
        <row r="1448">
          <cell r="AU1448">
            <v>97.971400682892167</v>
          </cell>
        </row>
        <row r="1449">
          <cell r="AU1449">
            <v>97.602470858445898</v>
          </cell>
        </row>
        <row r="1450">
          <cell r="AU1450">
            <v>94.959570970106483</v>
          </cell>
        </row>
        <row r="1451">
          <cell r="AU1451">
            <v>95.939132123377576</v>
          </cell>
        </row>
        <row r="1452">
          <cell r="AU1452">
            <v>97.349907896919447</v>
          </cell>
        </row>
        <row r="1453">
          <cell r="AU1453">
            <v>102.89636630362016</v>
          </cell>
        </row>
        <row r="1454">
          <cell r="AU1454">
            <v>95.461604124855526</v>
          </cell>
        </row>
        <row r="1455">
          <cell r="AU1455">
            <v>97.647870047840527</v>
          </cell>
        </row>
        <row r="1456">
          <cell r="AU1456">
            <v>98.432063344309483</v>
          </cell>
        </row>
        <row r="1457">
          <cell r="AU1457">
            <v>96.068380428080829</v>
          </cell>
        </row>
        <row r="1458">
          <cell r="AU1458">
            <v>99.788621268905345</v>
          </cell>
        </row>
        <row r="1459">
          <cell r="AU1459">
            <v>99.171782801163587</v>
          </cell>
        </row>
        <row r="1460">
          <cell r="AU1460">
            <v>97.849625099668586</v>
          </cell>
        </row>
        <row r="1461">
          <cell r="AU1461">
            <v>98.820355507403406</v>
          </cell>
        </row>
        <row r="1462">
          <cell r="AU1462">
            <v>98.013249025769767</v>
          </cell>
        </row>
        <row r="1463">
          <cell r="AU1463">
            <v>97.816776223891637</v>
          </cell>
        </row>
        <row r="1464">
          <cell r="AU1464">
            <v>95.104846006797871</v>
          </cell>
        </row>
        <row r="1465">
          <cell r="AU1465">
            <v>97.801074685859348</v>
          </cell>
        </row>
        <row r="1466">
          <cell r="AU1466">
            <v>96.232788591939283</v>
          </cell>
        </row>
        <row r="1467">
          <cell r="AU1467">
            <v>98.97820607044973</v>
          </cell>
        </row>
        <row r="1468">
          <cell r="AU1468">
            <v>97.713592048259329</v>
          </cell>
        </row>
        <row r="1469">
          <cell r="AU1469">
            <v>98.768967717547937</v>
          </cell>
        </row>
        <row r="1470">
          <cell r="AU1470">
            <v>97.849625099668586</v>
          </cell>
        </row>
        <row r="1471">
          <cell r="AU1471">
            <v>94.116046142772348</v>
          </cell>
        </row>
        <row r="1472">
          <cell r="AU1472">
            <v>98.888478397355001</v>
          </cell>
        </row>
        <row r="1473">
          <cell r="AU1473">
            <v>96.988435329123845</v>
          </cell>
        </row>
        <row r="1474">
          <cell r="AU1474">
            <v>95.732299004591454</v>
          </cell>
        </row>
        <row r="1475">
          <cell r="AU1475">
            <v>98.377484500921341</v>
          </cell>
        </row>
        <row r="1476">
          <cell r="AU1476">
            <v>100.05551202869533</v>
          </cell>
        </row>
        <row r="1477">
          <cell r="AU1477">
            <v>98.424375293096418</v>
          </cell>
        </row>
        <row r="1478">
          <cell r="AU1478">
            <v>97.811296698949192</v>
          </cell>
        </row>
        <row r="1479">
          <cell r="AU1479">
            <v>98.634699122165827</v>
          </cell>
        </row>
        <row r="1480">
          <cell r="AU1480">
            <v>98.235349044445485</v>
          </cell>
        </row>
        <row r="1481">
          <cell r="AU1481">
            <v>98.200208415446014</v>
          </cell>
        </row>
        <row r="1482">
          <cell r="AU1482">
            <v>98.22247134082383</v>
          </cell>
        </row>
        <row r="1483">
          <cell r="AU1483">
            <v>98.022782936884127</v>
          </cell>
        </row>
        <row r="1484">
          <cell r="AU1484">
            <v>107.52183094840358</v>
          </cell>
        </row>
        <row r="1485">
          <cell r="AU1485">
            <v>98.538852324222177</v>
          </cell>
        </row>
        <row r="1486">
          <cell r="AU1486">
            <v>98.214233684807724</v>
          </cell>
        </row>
        <row r="1487">
          <cell r="AU1487">
            <v>98.825308599286103</v>
          </cell>
        </row>
        <row r="1488">
          <cell r="AU1488">
            <v>97.839545060236915</v>
          </cell>
        </row>
        <row r="1489">
          <cell r="AU1489">
            <v>97.92367945623333</v>
          </cell>
        </row>
        <row r="1490">
          <cell r="AU1490">
            <v>96.732530464388148</v>
          </cell>
        </row>
        <row r="1491">
          <cell r="AU1491">
            <v>98.003054578841031</v>
          </cell>
        </row>
        <row r="1492">
          <cell r="AU1492">
            <v>99.071222574861054</v>
          </cell>
        </row>
        <row r="1493">
          <cell r="AU1493">
            <v>99.190386905250023</v>
          </cell>
        </row>
        <row r="1494">
          <cell r="AU1494">
            <v>94.679848778277758</v>
          </cell>
        </row>
        <row r="1495">
          <cell r="AU1495">
            <v>97.590582017147952</v>
          </cell>
        </row>
        <row r="1496">
          <cell r="AU1496">
            <v>99.140905281436531</v>
          </cell>
        </row>
        <row r="1497">
          <cell r="AU1497">
            <v>102.13728013602423</v>
          </cell>
        </row>
        <row r="1498">
          <cell r="AU1498">
            <v>95.017154952630335</v>
          </cell>
        </row>
        <row r="1499">
          <cell r="AU1499">
            <v>99.494185297436474</v>
          </cell>
        </row>
        <row r="1500">
          <cell r="AU1500">
            <v>98.303188897575154</v>
          </cell>
        </row>
        <row r="1501">
          <cell r="AU1501">
            <v>97.497104151681953</v>
          </cell>
        </row>
        <row r="1502">
          <cell r="AU1502">
            <v>98.154558638154512</v>
          </cell>
        </row>
        <row r="1503">
          <cell r="AU1503">
            <v>97.859878257858369</v>
          </cell>
        </row>
        <row r="1504">
          <cell r="AU1504">
            <v>98.978031848439642</v>
          </cell>
        </row>
        <row r="1505">
          <cell r="AU1505">
            <v>97.469998264799159</v>
          </cell>
        </row>
        <row r="1506">
          <cell r="AU1506">
            <v>93.791761347926894</v>
          </cell>
        </row>
        <row r="1507">
          <cell r="AU1507">
            <v>95.268532624941997</v>
          </cell>
        </row>
        <row r="1508">
          <cell r="AU1508">
            <v>96.513617944475655</v>
          </cell>
        </row>
        <row r="1509">
          <cell r="AU1509">
            <v>97.248358280048336</v>
          </cell>
        </row>
        <row r="1510">
          <cell r="AU1510">
            <v>93.198485438419098</v>
          </cell>
        </row>
        <row r="1511">
          <cell r="AU1511">
            <v>96.777213485441976</v>
          </cell>
        </row>
        <row r="1512">
          <cell r="AU1512">
            <v>97.664938261328771</v>
          </cell>
        </row>
        <row r="1513">
          <cell r="AU1513">
            <v>98.18014861875028</v>
          </cell>
        </row>
        <row r="1514">
          <cell r="AU1514">
            <v>96.846983069370367</v>
          </cell>
        </row>
        <row r="1515">
          <cell r="AU1515">
            <v>101.76554486222224</v>
          </cell>
        </row>
        <row r="1516">
          <cell r="AU1516">
            <v>96.733120964420081</v>
          </cell>
        </row>
        <row r="1517">
          <cell r="AU1517">
            <v>96.375325079354994</v>
          </cell>
        </row>
        <row r="1518">
          <cell r="AU1518">
            <v>93.164094726996794</v>
          </cell>
        </row>
        <row r="1519">
          <cell r="AU1519">
            <v>98.762583234484524</v>
          </cell>
        </row>
        <row r="1520">
          <cell r="AU1520">
            <v>96.244744743561299</v>
          </cell>
        </row>
        <row r="1521">
          <cell r="AU1521">
            <v>97.139838277575777</v>
          </cell>
        </row>
        <row r="1522">
          <cell r="AU1522">
            <v>96.354517751252075</v>
          </cell>
        </row>
        <row r="1523">
          <cell r="AU1523">
            <v>95.509845236065445</v>
          </cell>
        </row>
        <row r="1524">
          <cell r="AU1524">
            <v>97.067635434515111</v>
          </cell>
        </row>
        <row r="1525">
          <cell r="AU1525">
            <v>95.891884617009708</v>
          </cell>
        </row>
        <row r="1526">
          <cell r="AU1526">
            <v>96.657398300051142</v>
          </cell>
        </row>
        <row r="1527">
          <cell r="AU1527">
            <v>96.623887599326139</v>
          </cell>
        </row>
        <row r="1529">
          <cell r="AU1529">
            <v>95.888750997466246</v>
          </cell>
        </row>
        <row r="1531">
          <cell r="AU1531">
            <v>97.358845453483937</v>
          </cell>
        </row>
        <row r="1532">
          <cell r="AU1532">
            <v>97.787993076807993</v>
          </cell>
        </row>
        <row r="1533">
          <cell r="AU1533">
            <v>100.77221550889792</v>
          </cell>
        </row>
        <row r="1534">
          <cell r="AU1534">
            <v>100.09537521022919</v>
          </cell>
        </row>
        <row r="1535">
          <cell r="AU1535">
            <v>98.57435184706199</v>
          </cell>
        </row>
        <row r="1536">
          <cell r="AU1536">
            <v>99.846927004097182</v>
          </cell>
        </row>
        <row r="1537">
          <cell r="AU1537">
            <v>96.692192927553478</v>
          </cell>
        </row>
        <row r="1538">
          <cell r="AU1538">
            <v>99.379452386908071</v>
          </cell>
        </row>
        <row r="1539">
          <cell r="AU1539">
            <v>96.468737875235774</v>
          </cell>
        </row>
        <row r="1540">
          <cell r="AU1540">
            <v>98.530094641761735</v>
          </cell>
        </row>
        <row r="1541">
          <cell r="AU1541">
            <v>99.945184755444359</v>
          </cell>
        </row>
        <row r="1542">
          <cell r="AU1542">
            <v>98.272858173411109</v>
          </cell>
        </row>
        <row r="1543">
          <cell r="AU1543">
            <v>98.746806466395398</v>
          </cell>
        </row>
        <row r="1544">
          <cell r="AU1544">
            <v>96.892528769528354</v>
          </cell>
        </row>
        <row r="1545">
          <cell r="AU1545">
            <v>99.329779569836703</v>
          </cell>
        </row>
        <row r="1546">
          <cell r="AU1546">
            <v>99.358891682499532</v>
          </cell>
        </row>
        <row r="1547">
          <cell r="AU1547">
            <v>98.070660675032357</v>
          </cell>
        </row>
        <row r="1548">
          <cell r="AU1548">
            <v>88.286344931162546</v>
          </cell>
        </row>
        <row r="1549">
          <cell r="AU1549">
            <v>98.933858232911817</v>
          </cell>
        </row>
        <row r="1550">
          <cell r="AU1550">
            <v>98.78625201233416</v>
          </cell>
        </row>
        <row r="1551">
          <cell r="AU1551">
            <v>99.187212042641292</v>
          </cell>
        </row>
        <row r="1552">
          <cell r="AU1552">
            <v>99.413670162626218</v>
          </cell>
        </row>
        <row r="1553">
          <cell r="AU1553">
            <v>99.773815293205345</v>
          </cell>
        </row>
        <row r="1554">
          <cell r="AU1554">
            <v>98.936394304213565</v>
          </cell>
        </row>
        <row r="1555">
          <cell r="AU1555">
            <v>97.793709002359662</v>
          </cell>
        </row>
        <row r="1556">
          <cell r="AU1556">
            <v>99.385581117917994</v>
          </cell>
        </row>
        <row r="1557">
          <cell r="AU1557">
            <v>99.648210827388539</v>
          </cell>
        </row>
        <row r="1558">
          <cell r="AU1558">
            <v>99.453053524791059</v>
          </cell>
        </row>
        <row r="1559">
          <cell r="AU1559">
            <v>99.231986204607509</v>
          </cell>
        </row>
        <row r="1560">
          <cell r="AU1560">
            <v>96.222035971414087</v>
          </cell>
        </row>
        <row r="1561">
          <cell r="AU1561">
            <v>94.663130443127486</v>
          </cell>
        </row>
        <row r="1562">
          <cell r="AU1562">
            <v>96.516010017933652</v>
          </cell>
        </row>
        <row r="1563">
          <cell r="AU1563">
            <v>102.73678009446101</v>
          </cell>
        </row>
        <row r="1564">
          <cell r="AU1564">
            <v>95.090687552741997</v>
          </cell>
        </row>
        <row r="1565">
          <cell r="AU1565">
            <v>100.06817952322191</v>
          </cell>
        </row>
        <row r="1566">
          <cell r="AU1566">
            <v>98.700115637317481</v>
          </cell>
        </row>
        <row r="1567">
          <cell r="AU1567">
            <v>93.610559392957626</v>
          </cell>
        </row>
        <row r="1568">
          <cell r="AU1568">
            <v>95.294477877540658</v>
          </cell>
        </row>
        <row r="1569">
          <cell r="AU1569">
            <v>97.613203013475982</v>
          </cell>
        </row>
        <row r="1570">
          <cell r="AU1570">
            <v>99.916594677284749</v>
          </cell>
        </row>
        <row r="1571">
          <cell r="AU1571">
            <v>91.390694141109606</v>
          </cell>
        </row>
        <row r="1572">
          <cell r="AU1572">
            <v>101.32228077167503</v>
          </cell>
        </row>
        <row r="1573">
          <cell r="AU1573">
            <v>90.434272634553253</v>
          </cell>
        </row>
        <row r="1574">
          <cell r="AU1574">
            <v>97.259954723457597</v>
          </cell>
        </row>
        <row r="1575">
          <cell r="AU1575">
            <v>98.9853434339648</v>
          </cell>
        </row>
        <row r="1576">
          <cell r="AU1576">
            <v>98.86278199656256</v>
          </cell>
        </row>
        <row r="1577">
          <cell r="AU1577">
            <v>98.499331655873206</v>
          </cell>
        </row>
        <row r="1578">
          <cell r="AU1578">
            <v>98.499331655873206</v>
          </cell>
        </row>
        <row r="1579">
          <cell r="AU1579">
            <v>98.312959470172288</v>
          </cell>
        </row>
        <row r="1580">
          <cell r="AU1580">
            <v>99.490286512588028</v>
          </cell>
        </row>
        <row r="1581">
          <cell r="AU1581">
            <v>99.391995087405974</v>
          </cell>
        </row>
        <row r="1582">
          <cell r="AU1582">
            <v>99.223765625776068</v>
          </cell>
        </row>
        <row r="1583">
          <cell r="AU1583">
            <v>99.509173515320853</v>
          </cell>
        </row>
        <row r="1584">
          <cell r="AU1584">
            <v>98.814760108037234</v>
          </cell>
        </row>
        <row r="1585">
          <cell r="AU1585">
            <v>95.512404307838978</v>
          </cell>
        </row>
        <row r="1586">
          <cell r="AU1586">
            <v>99.394444364848241</v>
          </cell>
        </row>
        <row r="1587">
          <cell r="AU1587">
            <v>95.108679119700511</v>
          </cell>
        </row>
        <row r="1588">
          <cell r="AU1588">
            <v>99.050098791613507</v>
          </cell>
        </row>
        <row r="1589">
          <cell r="AU1589">
            <v>99.897881224365065</v>
          </cell>
        </row>
        <row r="1590">
          <cell r="AU1590">
            <v>100.71733673028096</v>
          </cell>
        </row>
        <row r="1591">
          <cell r="AU1591">
            <v>97.993617253854779</v>
          </cell>
        </row>
        <row r="1592">
          <cell r="AU1592">
            <v>99.123599290834477</v>
          </cell>
        </row>
        <row r="1593">
          <cell r="AU1593">
            <v>100.91355866471055</v>
          </cell>
        </row>
        <row r="1594">
          <cell r="AU1594">
            <v>98.239258499914229</v>
          </cell>
        </row>
        <row r="1596">
          <cell r="A1596" t="str">
            <v>CA737</v>
          </cell>
          <cell r="AU1596">
            <v>96.140007674122913</v>
          </cell>
        </row>
        <row r="1597">
          <cell r="A1597" t="str">
            <v>CA738</v>
          </cell>
          <cell r="AU1597">
            <v>98.862127909667777</v>
          </cell>
        </row>
        <row r="1598">
          <cell r="A1598" t="str">
            <v>CA739</v>
          </cell>
          <cell r="AU1598">
            <v>99.196916635814219</v>
          </cell>
        </row>
        <row r="1599">
          <cell r="A1599" t="str">
            <v>CA740</v>
          </cell>
          <cell r="AU1599">
            <v>102.87694546953874</v>
          </cell>
        </row>
        <row r="1600">
          <cell r="A1600" t="str">
            <v>CA741</v>
          </cell>
          <cell r="AU1600">
            <v>96.591695445097898</v>
          </cell>
        </row>
        <row r="1601">
          <cell r="A1601" t="str">
            <v>CA742</v>
          </cell>
          <cell r="AU1601">
            <v>97.778380143088455</v>
          </cell>
        </row>
        <row r="1602">
          <cell r="A1602" t="str">
            <v>CA743</v>
          </cell>
          <cell r="AU1602">
            <v>98.483754072592433</v>
          </cell>
        </row>
        <row r="1603">
          <cell r="A1603" t="str">
            <v>CA744</v>
          </cell>
          <cell r="AU1603">
            <v>102.64449836329833</v>
          </cell>
        </row>
        <row r="1604">
          <cell r="A1604" t="str">
            <v>CA745</v>
          </cell>
          <cell r="AU1604">
            <v>97.459769969122391</v>
          </cell>
        </row>
        <row r="1605">
          <cell r="A1605" t="str">
            <v>CA746</v>
          </cell>
          <cell r="AU1605">
            <v>98.47106395112759</v>
          </cell>
        </row>
        <row r="1606">
          <cell r="A1606" t="str">
            <v>CA747</v>
          </cell>
          <cell r="AU1606">
            <v>98.368893630377599</v>
          </cell>
        </row>
        <row r="1607">
          <cell r="A1607" t="str">
            <v>CA748</v>
          </cell>
          <cell r="AU1607">
            <v>98.0656739447262</v>
          </cell>
        </row>
        <row r="1608">
          <cell r="A1608" t="str">
            <v>CA749</v>
          </cell>
          <cell r="AU1608">
            <v>98.328536151991386</v>
          </cell>
        </row>
        <row r="1609">
          <cell r="A1609" t="str">
            <v>CA750</v>
          </cell>
          <cell r="AU1609">
            <v>98.610869614426989</v>
          </cell>
        </row>
        <row r="1610">
          <cell r="A1610" t="str">
            <v>CA751</v>
          </cell>
          <cell r="AU1610">
            <v>98.181504213358579</v>
          </cell>
        </row>
        <row r="1611">
          <cell r="A1611" t="str">
            <v>CA752</v>
          </cell>
          <cell r="AU1611">
            <v>97.771873602277154</v>
          </cell>
        </row>
        <row r="1612">
          <cell r="A1612" t="str">
            <v>CA753</v>
          </cell>
          <cell r="AU1612">
            <v>98.518334591745614</v>
          </cell>
        </row>
        <row r="1613">
          <cell r="A1613" t="str">
            <v>CA754</v>
          </cell>
          <cell r="AU1613">
            <v>98.060255244619768</v>
          </cell>
        </row>
        <row r="1614">
          <cell r="A1614" t="str">
            <v>CA755</v>
          </cell>
          <cell r="AU1614">
            <v>98.789089698523057</v>
          </cell>
        </row>
        <row r="1615">
          <cell r="A1615" t="str">
            <v>CA756</v>
          </cell>
          <cell r="AU1615">
            <v>98.004244968244933</v>
          </cell>
        </row>
        <row r="1616">
          <cell r="A1616" t="str">
            <v>CA757</v>
          </cell>
          <cell r="AU1616">
            <v>95.930243309637774</v>
          </cell>
        </row>
        <row r="1617">
          <cell r="A1617" t="str">
            <v>CA758</v>
          </cell>
          <cell r="AU1617">
            <v>98.685384517162291</v>
          </cell>
        </row>
        <row r="1618">
          <cell r="A1618" t="str">
            <v>CA759</v>
          </cell>
          <cell r="AU1618">
            <v>98.743419762147283</v>
          </cell>
        </row>
        <row r="1619">
          <cell r="A1619" t="str">
            <v>CA760</v>
          </cell>
          <cell r="AU1619">
            <v>98.527956697616446</v>
          </cell>
        </row>
      </sheetData>
      <sheetData sheetId="6">
        <row r="6">
          <cell r="D6">
            <v>11.6</v>
          </cell>
        </row>
      </sheetData>
      <sheetData sheetId="7"/>
      <sheetData sheetId="8"/>
      <sheetData sheetId="9">
        <row r="6">
          <cell r="H6">
            <v>2008.7500000000005</v>
          </cell>
        </row>
      </sheetData>
      <sheetData sheetId="10">
        <row r="6">
          <cell r="P6"/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 "/>
      <sheetName val="Summary September '23 "/>
      <sheetName val="Summary August '23"/>
      <sheetName val="Summary July '23"/>
      <sheetName val="Summary June '23 "/>
      <sheetName val="Summary May '23"/>
      <sheetName val="Summary April '23   "/>
      <sheetName val="Summary March '23  "/>
      <sheetName val="Summary February '23 "/>
      <sheetName val="Summary January '23"/>
      <sheetName val="Summary December '22   "/>
      <sheetName val="Summary November '22  "/>
      <sheetName val="Summary October '22 "/>
      <sheetName val="Summary September '22 "/>
      <sheetName val="Summary August '22 "/>
      <sheetName val="Summary July '22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"/>
    </sheetNames>
    <sheetDataSet>
      <sheetData sheetId="0"/>
      <sheetData sheetId="1"/>
      <sheetData sheetId="2"/>
      <sheetData sheetId="3"/>
      <sheetData sheetId="4" refreshError="1"/>
      <sheetData sheetId="5"/>
      <sheetData sheetId="6">
        <row r="76">
          <cell r="AS76">
            <v>93.401228986840337</v>
          </cell>
        </row>
        <row r="577">
          <cell r="AS577">
            <v>96.252483291748931</v>
          </cell>
        </row>
        <row r="578">
          <cell r="AS578">
            <v>96.763055268385216</v>
          </cell>
        </row>
        <row r="579">
          <cell r="AS579">
            <v>99.07159368104702</v>
          </cell>
        </row>
        <row r="580">
          <cell r="AS580">
            <v>99.474323736661034</v>
          </cell>
        </row>
        <row r="581">
          <cell r="AS581">
            <v>99.055509044316352</v>
          </cell>
        </row>
        <row r="582">
          <cell r="AS582">
            <v>93.192210426599971</v>
          </cell>
        </row>
        <row r="583">
          <cell r="AS583">
            <v>99.214524668093944</v>
          </cell>
        </row>
        <row r="584">
          <cell r="AS584">
            <v>100.47597500168524</v>
          </cell>
        </row>
        <row r="585">
          <cell r="AS585">
            <v>99.267847045753157</v>
          </cell>
        </row>
        <row r="586">
          <cell r="AS586">
            <v>99.258908446871416</v>
          </cell>
        </row>
        <row r="587">
          <cell r="AS587">
            <v>97.107849520154573</v>
          </cell>
        </row>
        <row r="588">
          <cell r="AS588">
            <v>98.668863625433005</v>
          </cell>
        </row>
        <row r="589">
          <cell r="AS589">
            <v>98.142973914193277</v>
          </cell>
        </row>
        <row r="590">
          <cell r="AS590">
            <v>98.888083030736681</v>
          </cell>
        </row>
        <row r="591">
          <cell r="AS591">
            <v>98.795858839752356</v>
          </cell>
        </row>
        <row r="592">
          <cell r="AS592">
            <v>91.889557472352934</v>
          </cell>
        </row>
        <row r="593">
          <cell r="AS593">
            <v>98.277925070817602</v>
          </cell>
        </row>
        <row r="594">
          <cell r="AS594">
            <v>107.23727799236048</v>
          </cell>
        </row>
        <row r="595">
          <cell r="AS595">
            <v>96.947059611002658</v>
          </cell>
        </row>
        <row r="596">
          <cell r="AS596">
            <v>99.069170741587214</v>
          </cell>
        </row>
        <row r="597">
          <cell r="AS597">
            <v>98.950757400048701</v>
          </cell>
        </row>
        <row r="598">
          <cell r="AS598">
            <v>98.750452223125535</v>
          </cell>
        </row>
        <row r="599">
          <cell r="AS599">
            <v>98.797669427914244</v>
          </cell>
        </row>
        <row r="600">
          <cell r="AS600">
            <v>98.951450980542759</v>
          </cell>
        </row>
        <row r="601">
          <cell r="AS601">
            <v>98.358927321976608</v>
          </cell>
        </row>
        <row r="602">
          <cell r="AS602">
            <v>99.324019004612524</v>
          </cell>
        </row>
        <row r="603">
          <cell r="AS603">
            <v>95.711826504698735</v>
          </cell>
        </row>
        <row r="604">
          <cell r="AS604">
            <v>97.25483690737326</v>
          </cell>
        </row>
        <row r="605">
          <cell r="AS605">
            <v>99.197396562770763</v>
          </cell>
        </row>
        <row r="606">
          <cell r="AS606">
            <v>98.964857855624871</v>
          </cell>
        </row>
        <row r="607">
          <cell r="AS607">
            <v>98.670900841589486</v>
          </cell>
        </row>
        <row r="608">
          <cell r="AS608">
            <v>99.087053728189062</v>
          </cell>
        </row>
        <row r="609">
          <cell r="AS609">
            <v>98.611632976203893</v>
          </cell>
        </row>
        <row r="610">
          <cell r="AS610">
            <v>99.407921699666332</v>
          </cell>
        </row>
        <row r="611">
          <cell r="AS611">
            <v>94.124926180840106</v>
          </cell>
        </row>
        <row r="612">
          <cell r="AS612">
            <v>98.397610268960591</v>
          </cell>
        </row>
        <row r="613">
          <cell r="AS613">
            <v>98.595593388214027</v>
          </cell>
        </row>
        <row r="614">
          <cell r="AS614">
            <v>99.479970950945599</v>
          </cell>
        </row>
        <row r="615">
          <cell r="AS615">
            <v>99.087084140183208</v>
          </cell>
        </row>
        <row r="616">
          <cell r="AS616">
            <v>98.153313875331278</v>
          </cell>
        </row>
        <row r="617">
          <cell r="AS617">
            <v>99.059044031723758</v>
          </cell>
        </row>
        <row r="618">
          <cell r="AS618">
            <v>101.95499860919848</v>
          </cell>
        </row>
        <row r="620">
          <cell r="AS620">
            <v>96.869096710983925</v>
          </cell>
        </row>
        <row r="621">
          <cell r="AS621">
            <v>99.547292209557895</v>
          </cell>
        </row>
        <row r="622">
          <cell r="AS622">
            <v>99.147503887431171</v>
          </cell>
        </row>
        <row r="623">
          <cell r="AS623">
            <v>99.620723106468503</v>
          </cell>
        </row>
        <row r="624">
          <cell r="AS624">
            <v>98.668324843238935</v>
          </cell>
        </row>
        <row r="625">
          <cell r="AS625">
            <v>98.878395024922369</v>
          </cell>
        </row>
        <row r="626">
          <cell r="AS626">
            <v>98.954136148816616</v>
          </cell>
        </row>
        <row r="627">
          <cell r="AS627">
            <v>99.271695094228932</v>
          </cell>
        </row>
        <row r="628">
          <cell r="AS628">
            <v>101.89668600638116</v>
          </cell>
        </row>
        <row r="629">
          <cell r="AS629">
            <v>95.119246955670206</v>
          </cell>
        </row>
        <row r="630">
          <cell r="AS630">
            <v>98.490589508289219</v>
          </cell>
        </row>
        <row r="631">
          <cell r="AS631">
            <v>96.628314379016032</v>
          </cell>
        </row>
        <row r="632">
          <cell r="AS632">
            <v>94.847826299850496</v>
          </cell>
        </row>
        <row r="633">
          <cell r="AS633">
            <v>96.093928131654877</v>
          </cell>
        </row>
        <row r="634">
          <cell r="AS634">
            <v>99.093782747396475</v>
          </cell>
        </row>
        <row r="635">
          <cell r="AS635">
            <v>96.829566042226901</v>
          </cell>
        </row>
        <row r="636">
          <cell r="AS636">
            <v>92.651350322380281</v>
          </cell>
        </row>
        <row r="637">
          <cell r="AS637">
            <v>97.966465095398789</v>
          </cell>
        </row>
        <row r="638">
          <cell r="AS638">
            <v>96.902732836089029</v>
          </cell>
        </row>
        <row r="639">
          <cell r="AS639">
            <v>98.199317114722348</v>
          </cell>
        </row>
        <row r="640">
          <cell r="AS640">
            <v>97.961385739540034</v>
          </cell>
        </row>
        <row r="641">
          <cell r="AS641">
            <v>98.446315281893988</v>
          </cell>
        </row>
        <row r="642">
          <cell r="AS642">
            <v>97.257828578289633</v>
          </cell>
        </row>
        <row r="643">
          <cell r="AS643">
            <v>96.848003938337612</v>
          </cell>
        </row>
        <row r="644">
          <cell r="AS644">
            <v>94.268489640003139</v>
          </cell>
        </row>
        <row r="645">
          <cell r="AS645">
            <v>95.831746861950919</v>
          </cell>
        </row>
        <row r="646">
          <cell r="AS646">
            <v>94.58421149597136</v>
          </cell>
        </row>
        <row r="647">
          <cell r="AS647">
            <v>94.58421149597136</v>
          </cell>
        </row>
        <row r="648">
          <cell r="AS648">
            <v>96.15161614729854</v>
          </cell>
        </row>
        <row r="649">
          <cell r="AS649">
            <v>96.847824985200191</v>
          </cell>
        </row>
        <row r="650">
          <cell r="AS650">
            <v>99.045523542150946</v>
          </cell>
        </row>
        <row r="651">
          <cell r="AS651">
            <v>98.806499870618765</v>
          </cell>
        </row>
        <row r="653">
          <cell r="AS653">
            <v>94.97910754548144</v>
          </cell>
        </row>
        <row r="654">
          <cell r="AS654">
            <v>100.24919512912089</v>
          </cell>
        </row>
        <row r="655">
          <cell r="AS655">
            <v>99.670803955960778</v>
          </cell>
        </row>
        <row r="656">
          <cell r="AS656">
            <v>98.879686910798952</v>
          </cell>
        </row>
        <row r="657">
          <cell r="AS657">
            <v>99.590889443663684</v>
          </cell>
        </row>
        <row r="658">
          <cell r="AS658">
            <v>100.09856640654033</v>
          </cell>
        </row>
        <row r="659">
          <cell r="AS659">
            <v>99.619880103820094</v>
          </cell>
        </row>
        <row r="660">
          <cell r="AS660">
            <v>97.647209210675157</v>
          </cell>
        </row>
        <row r="661">
          <cell r="AS661">
            <v>99.625318640384748</v>
          </cell>
        </row>
        <row r="662">
          <cell r="AS662">
            <v>99.822596499078585</v>
          </cell>
        </row>
        <row r="663">
          <cell r="AS663">
            <v>96.66615075997727</v>
          </cell>
        </row>
        <row r="664">
          <cell r="AS664">
            <v>99.42804078169091</v>
          </cell>
        </row>
        <row r="665">
          <cell r="AS665">
            <v>98.619884998487549</v>
          </cell>
        </row>
        <row r="666">
          <cell r="AS666">
            <v>99.696020271350051</v>
          </cell>
        </row>
        <row r="667">
          <cell r="AS667">
            <v>99.401032602435976</v>
          </cell>
        </row>
        <row r="668">
          <cell r="AS668">
            <v>100.09007568744232</v>
          </cell>
        </row>
        <row r="669">
          <cell r="AS669">
            <v>99.596319503423089</v>
          </cell>
        </row>
        <row r="670">
          <cell r="AS670">
            <v>99.401032602435976</v>
          </cell>
        </row>
        <row r="671">
          <cell r="AS671">
            <v>97.07287270411102</v>
          </cell>
        </row>
        <row r="672">
          <cell r="AS672">
            <v>97.985891681833053</v>
          </cell>
        </row>
        <row r="673">
          <cell r="AS673">
            <v>98.776100485718814</v>
          </cell>
        </row>
        <row r="674">
          <cell r="AS674">
            <v>98.973652686690244</v>
          </cell>
        </row>
        <row r="675">
          <cell r="AS675">
            <v>99.278502850194101</v>
          </cell>
        </row>
        <row r="676">
          <cell r="AS676">
            <v>98.561912949528178</v>
          </cell>
        </row>
        <row r="677">
          <cell r="AS677">
            <v>99.861447517561885</v>
          </cell>
        </row>
        <row r="678">
          <cell r="AS678">
            <v>99.861447517561885</v>
          </cell>
        </row>
        <row r="679">
          <cell r="AS679">
            <v>101.21133303492269</v>
          </cell>
        </row>
        <row r="680">
          <cell r="AS680">
            <v>96.698904908769507</v>
          </cell>
        </row>
        <row r="681">
          <cell r="AS681">
            <v>102.00606382936222</v>
          </cell>
        </row>
        <row r="682">
          <cell r="AS682">
            <v>97.427677408967256</v>
          </cell>
        </row>
        <row r="683">
          <cell r="AS683">
            <v>98.108921308356997</v>
          </cell>
        </row>
        <row r="684">
          <cell r="AS684">
            <v>98.694063980176225</v>
          </cell>
        </row>
        <row r="685">
          <cell r="AS685">
            <v>100.2652450226567</v>
          </cell>
        </row>
        <row r="686">
          <cell r="AS686">
            <v>100.74539413116692</v>
          </cell>
        </row>
        <row r="687">
          <cell r="AS687">
            <v>101.27598337973996</v>
          </cell>
        </row>
        <row r="688">
          <cell r="AS688">
            <v>102.20244053927394</v>
          </cell>
        </row>
        <row r="689">
          <cell r="AS689">
            <v>99.163481197267728</v>
          </cell>
        </row>
        <row r="690">
          <cell r="AS690">
            <v>101.59733613737035</v>
          </cell>
        </row>
        <row r="691">
          <cell r="AS691">
            <v>102.18443014405814</v>
          </cell>
        </row>
        <row r="692">
          <cell r="AS692">
            <v>99.719071879528798</v>
          </cell>
        </row>
        <row r="693">
          <cell r="AS693">
            <v>100.84603073482505</v>
          </cell>
        </row>
        <row r="694">
          <cell r="AS694">
            <v>103.38659991045883</v>
          </cell>
        </row>
        <row r="695">
          <cell r="AS695">
            <v>103.24183379000793</v>
          </cell>
        </row>
        <row r="696">
          <cell r="AS696">
            <v>102.1830837779485</v>
          </cell>
        </row>
        <row r="698">
          <cell r="AS698">
            <v>96.429908671540403</v>
          </cell>
        </row>
        <row r="699">
          <cell r="AS699">
            <v>95.810688139372886</v>
          </cell>
        </row>
        <row r="700">
          <cell r="AS700">
            <v>96.451517171751576</v>
          </cell>
        </row>
        <row r="701">
          <cell r="AS701">
            <v>98.91585168536264</v>
          </cell>
        </row>
        <row r="702">
          <cell r="AS702">
            <v>98.741297270858453</v>
          </cell>
        </row>
        <row r="703">
          <cell r="AS703">
            <v>98.639026691655275</v>
          </cell>
        </row>
        <row r="704">
          <cell r="AS704">
            <v>99.708764324123052</v>
          </cell>
        </row>
        <row r="705">
          <cell r="AS705">
            <v>96.393313724689648</v>
          </cell>
        </row>
        <row r="706">
          <cell r="AS706">
            <v>99.872119258602709</v>
          </cell>
        </row>
        <row r="707">
          <cell r="AS707">
            <v>95.475287240863395</v>
          </cell>
        </row>
        <row r="708">
          <cell r="AS708">
            <v>100.07702758723762</v>
          </cell>
        </row>
        <row r="710">
          <cell r="AS710">
            <v>98.599223019705548</v>
          </cell>
        </row>
        <row r="711">
          <cell r="AS711">
            <v>95.550338344212662</v>
          </cell>
        </row>
        <row r="712">
          <cell r="AS712">
            <v>101.78290005234547</v>
          </cell>
        </row>
        <row r="713">
          <cell r="AS713">
            <v>99.28115997304883</v>
          </cell>
        </row>
        <row r="714">
          <cell r="AS714">
            <v>99.405266910839558</v>
          </cell>
        </row>
        <row r="715">
          <cell r="AS715">
            <v>100.88361338521632</v>
          </cell>
        </row>
        <row r="716">
          <cell r="AS716">
            <v>97.505342034239277</v>
          </cell>
        </row>
        <row r="717">
          <cell r="AS717">
            <v>99.114393178251547</v>
          </cell>
        </row>
        <row r="718">
          <cell r="AS718">
            <v>100.25044099616535</v>
          </cell>
        </row>
        <row r="719">
          <cell r="AS719">
            <v>98.090470150181261</v>
          </cell>
        </row>
        <row r="720">
          <cell r="AS720">
            <v>100.10522064350327</v>
          </cell>
        </row>
        <row r="721">
          <cell r="AS721">
            <v>99.700868877531136</v>
          </cell>
        </row>
        <row r="722">
          <cell r="AS722">
            <v>99.158966709289359</v>
          </cell>
        </row>
        <row r="723">
          <cell r="AS723">
            <v>101.64126027501119</v>
          </cell>
        </row>
        <row r="724">
          <cell r="AS724">
            <v>98.030709113713215</v>
          </cell>
        </row>
        <row r="725">
          <cell r="AS725">
            <v>103.30273119645332</v>
          </cell>
        </row>
        <row r="726">
          <cell r="AS726">
            <v>101.15019753270298</v>
          </cell>
        </row>
        <row r="727">
          <cell r="AS727">
            <v>105.78508118562733</v>
          </cell>
        </row>
        <row r="728">
          <cell r="AS728">
            <v>104.23720728533692</v>
          </cell>
        </row>
        <row r="729">
          <cell r="AS729">
            <v>103.57495308095812</v>
          </cell>
        </row>
        <row r="730">
          <cell r="AS730">
            <v>96.457778749263497</v>
          </cell>
        </row>
        <row r="731">
          <cell r="AS731">
            <v>98.26394823520674</v>
          </cell>
        </row>
        <row r="732">
          <cell r="AS732">
            <v>96.781019314036527</v>
          </cell>
        </row>
        <row r="733">
          <cell r="AS733">
            <v>98.535206939635856</v>
          </cell>
        </row>
        <row r="735">
          <cell r="AS735">
            <v>98.95536987190583</v>
          </cell>
        </row>
        <row r="736">
          <cell r="AS736">
            <v>100.69991425551854</v>
          </cell>
        </row>
        <row r="737">
          <cell r="AS737">
            <v>97.491795209253013</v>
          </cell>
        </row>
        <row r="738">
          <cell r="AS738">
            <v>99.907901362483045</v>
          </cell>
        </row>
        <row r="739">
          <cell r="AS739">
            <v>95.681008986054323</v>
          </cell>
        </row>
        <row r="740">
          <cell r="AS740">
            <v>101.34178018250964</v>
          </cell>
        </row>
        <row r="741">
          <cell r="AS741">
            <v>97.155168767938704</v>
          </cell>
        </row>
        <row r="742">
          <cell r="AS742">
            <v>98.829691341458499</v>
          </cell>
        </row>
        <row r="743">
          <cell r="AS743">
            <v>97.46378758207527</v>
          </cell>
        </row>
        <row r="744">
          <cell r="AS744">
            <v>95.215943842430946</v>
          </cell>
        </row>
        <row r="745">
          <cell r="AS745">
            <v>97.760584286850658</v>
          </cell>
        </row>
        <row r="746">
          <cell r="AS746">
            <v>100.17576788642711</v>
          </cell>
        </row>
        <row r="747">
          <cell r="AS747">
            <v>99.164002830183804</v>
          </cell>
        </row>
        <row r="748">
          <cell r="AS748">
            <v>98.282647159217547</v>
          </cell>
        </row>
        <row r="749">
          <cell r="AS749">
            <v>0</v>
          </cell>
        </row>
        <row r="750">
          <cell r="AS750">
            <v>98.310617012597305</v>
          </cell>
        </row>
        <row r="751">
          <cell r="AS751">
            <v>102.08679626615999</v>
          </cell>
        </row>
        <row r="752">
          <cell r="AS752">
            <v>100.5755863884288</v>
          </cell>
        </row>
        <row r="753">
          <cell r="AS753">
            <v>100.22177492564568</v>
          </cell>
        </row>
        <row r="754">
          <cell r="AS754">
            <v>101.02676910175529</v>
          </cell>
        </row>
        <row r="755">
          <cell r="AS755">
            <v>97.404295309262068</v>
          </cell>
        </row>
        <row r="756">
          <cell r="AS756">
            <v>96.82326614378033</v>
          </cell>
        </row>
        <row r="757">
          <cell r="AS757">
            <v>99.687040472011219</v>
          </cell>
        </row>
        <row r="758">
          <cell r="AS758">
            <v>98.111807696210434</v>
          </cell>
        </row>
        <row r="759">
          <cell r="AS759">
            <v>100.85106845139266</v>
          </cell>
        </row>
        <row r="760">
          <cell r="AS760">
            <v>100.21828140142605</v>
          </cell>
        </row>
        <row r="761">
          <cell r="AS761">
            <v>100.80172659044324</v>
          </cell>
        </row>
        <row r="762">
          <cell r="AS762">
            <v>101.5570974757542</v>
          </cell>
        </row>
        <row r="763">
          <cell r="AS763">
            <v>100.90521204600731</v>
          </cell>
        </row>
        <row r="764">
          <cell r="AS764">
            <v>100.54979181092753</v>
          </cell>
        </row>
        <row r="765">
          <cell r="AS765">
            <v>100.16529365581646</v>
          </cell>
        </row>
        <row r="766">
          <cell r="AS766">
            <v>98.790466396560987</v>
          </cell>
        </row>
        <row r="767">
          <cell r="AS767">
            <v>99.598542228550073</v>
          </cell>
        </row>
        <row r="768">
          <cell r="AS768">
            <v>97.527184757292375</v>
          </cell>
        </row>
        <row r="769">
          <cell r="AS769">
            <v>98.373863755008472</v>
          </cell>
        </row>
        <row r="770">
          <cell r="AS770">
            <v>99.931009421690447</v>
          </cell>
        </row>
        <row r="771">
          <cell r="AS771">
            <v>95.744176615880463</v>
          </cell>
        </row>
        <row r="772">
          <cell r="AS772">
            <v>101.39705127935868</v>
          </cell>
        </row>
        <row r="773">
          <cell r="AS773">
            <v>99.847915705494756</v>
          </cell>
        </row>
        <row r="774">
          <cell r="AS774">
            <v>93.951214784385911</v>
          </cell>
        </row>
        <row r="775">
          <cell r="AS775">
            <v>104.00634438574011</v>
          </cell>
        </row>
        <row r="776">
          <cell r="AS776">
            <v>96.391641700304547</v>
          </cell>
        </row>
        <row r="777">
          <cell r="AS777">
            <v>99.213409957842245</v>
          </cell>
        </row>
        <row r="779">
          <cell r="AS779">
            <v>97.077069258769328</v>
          </cell>
        </row>
        <row r="780">
          <cell r="AS780">
            <v>98.5575805155583</v>
          </cell>
        </row>
        <row r="781">
          <cell r="AS781">
            <v>97.286594404390684</v>
          </cell>
        </row>
        <row r="782">
          <cell r="AS782">
            <v>98.856766711971432</v>
          </cell>
        </row>
        <row r="783">
          <cell r="AS783">
            <v>101.26297533851098</v>
          </cell>
        </row>
        <row r="784">
          <cell r="AS784">
            <v>101.14713620940017</v>
          </cell>
        </row>
        <row r="785">
          <cell r="AS785">
            <v>97.0937677333973</v>
          </cell>
        </row>
        <row r="786">
          <cell r="AS786">
            <v>100.28174495732387</v>
          </cell>
        </row>
        <row r="787">
          <cell r="AS787">
            <v>95.812766380910489</v>
          </cell>
        </row>
        <row r="788">
          <cell r="AS788">
            <v>101.65546749098584</v>
          </cell>
        </row>
        <row r="789">
          <cell r="AS789">
            <v>97.853490599541431</v>
          </cell>
        </row>
        <row r="790">
          <cell r="AS790">
            <v>98.55010674540874</v>
          </cell>
        </row>
        <row r="791">
          <cell r="AS791">
            <v>97.613412018070761</v>
          </cell>
        </row>
        <row r="792">
          <cell r="AS792">
            <v>99.561158181986798</v>
          </cell>
        </row>
        <row r="793">
          <cell r="AS793">
            <v>100.24613889822621</v>
          </cell>
        </row>
        <row r="794">
          <cell r="AS794">
            <v>100.37170454522671</v>
          </cell>
        </row>
        <row r="795">
          <cell r="AS795">
            <v>100.70061057164963</v>
          </cell>
        </row>
        <row r="796">
          <cell r="AS796">
            <v>100.47480022325537</v>
          </cell>
        </row>
        <row r="797">
          <cell r="AS797">
            <v>99.841103993586884</v>
          </cell>
        </row>
        <row r="798">
          <cell r="AS798">
            <v>100.27740375916254</v>
          </cell>
        </row>
        <row r="799">
          <cell r="AS799">
            <v>97.48002702939435</v>
          </cell>
        </row>
        <row r="800">
          <cell r="AS800">
            <v>98.598067999045995</v>
          </cell>
        </row>
        <row r="801">
          <cell r="AS801">
            <v>100.85369125518513</v>
          </cell>
        </row>
        <row r="802">
          <cell r="AS802">
            <v>100.51892746653148</v>
          </cell>
        </row>
        <row r="803">
          <cell r="AS803">
            <v>101.64201292749718</v>
          </cell>
        </row>
        <row r="804">
          <cell r="AS804">
            <v>98.677122821490286</v>
          </cell>
        </row>
        <row r="805">
          <cell r="AS805">
            <v>94.602663444886986</v>
          </cell>
        </row>
        <row r="806">
          <cell r="AS806">
            <v>98.947982015755926</v>
          </cell>
        </row>
        <row r="807">
          <cell r="AS807">
            <v>99.1420270769014</v>
          </cell>
        </row>
        <row r="808">
          <cell r="AS808">
            <v>97.516997840525605</v>
          </cell>
        </row>
        <row r="809">
          <cell r="AS809">
            <v>99.751255694747158</v>
          </cell>
        </row>
        <row r="810">
          <cell r="AS810">
            <v>96.891431370869441</v>
          </cell>
        </row>
        <row r="811">
          <cell r="AS811">
            <v>100.18085577032127</v>
          </cell>
        </row>
        <row r="812">
          <cell r="AS812">
            <v>99.659757981465702</v>
          </cell>
        </row>
        <row r="813">
          <cell r="AS813">
            <v>107.34365755487836</v>
          </cell>
        </row>
        <row r="814">
          <cell r="AS814">
            <v>99.968736134069019</v>
          </cell>
        </row>
        <row r="815">
          <cell r="AS815">
            <v>99.217726998153125</v>
          </cell>
        </row>
        <row r="816">
          <cell r="AS816">
            <v>99.27225455813722</v>
          </cell>
        </row>
        <row r="817">
          <cell r="AS817">
            <v>97.215757839186651</v>
          </cell>
        </row>
        <row r="818">
          <cell r="AS818">
            <v>97.999909522417397</v>
          </cell>
        </row>
        <row r="819">
          <cell r="AS819">
            <v>99.644096363428588</v>
          </cell>
        </row>
        <row r="820">
          <cell r="AS820">
            <v>100.2807941835346</v>
          </cell>
        </row>
        <row r="821">
          <cell r="AS821">
            <v>98.168564653147371</v>
          </cell>
        </row>
        <row r="822">
          <cell r="AS822">
            <v>99.822806736202935</v>
          </cell>
        </row>
        <row r="824">
          <cell r="AS824">
            <v>99.414978940495374</v>
          </cell>
        </row>
        <row r="825">
          <cell r="AS825">
            <v>94.676492860195467</v>
          </cell>
        </row>
        <row r="826">
          <cell r="AS826">
            <v>101.52790626522442</v>
          </cell>
        </row>
        <row r="827">
          <cell r="AS827">
            <v>98.660106268344649</v>
          </cell>
        </row>
        <row r="828">
          <cell r="AS828">
            <v>97.981976311886754</v>
          </cell>
        </row>
        <row r="829">
          <cell r="AS829">
            <v>100.54504817750203</v>
          </cell>
        </row>
        <row r="830">
          <cell r="AS830">
            <v>99.549781561862332</v>
          </cell>
        </row>
        <row r="831">
          <cell r="AS831">
            <v>97.870128246333465</v>
          </cell>
        </row>
        <row r="832">
          <cell r="AS832">
            <v>98.918044513526468</v>
          </cell>
        </row>
        <row r="833">
          <cell r="AS833">
            <v>100.23810470072885</v>
          </cell>
        </row>
        <row r="834">
          <cell r="AS834">
            <v>98.141058126939669</v>
          </cell>
        </row>
        <row r="835">
          <cell r="AS835">
            <v>99.464351820346025</v>
          </cell>
        </row>
        <row r="836">
          <cell r="AS836">
            <v>99.891260601944538</v>
          </cell>
        </row>
        <row r="837">
          <cell r="AS837">
            <v>98.825303504106472</v>
          </cell>
        </row>
        <row r="838">
          <cell r="AS838">
            <v>99.811583978199351</v>
          </cell>
        </row>
        <row r="839">
          <cell r="AS839">
            <v>100.14229891746602</v>
          </cell>
        </row>
        <row r="840">
          <cell r="AS840">
            <v>96.508807516019175</v>
          </cell>
        </row>
        <row r="841">
          <cell r="AS841">
            <v>101.43378785819282</v>
          </cell>
        </row>
        <row r="842">
          <cell r="AS842">
            <v>97.423134038373789</v>
          </cell>
        </row>
        <row r="843">
          <cell r="AS843">
            <v>98.971240412158565</v>
          </cell>
        </row>
        <row r="844">
          <cell r="AS844">
            <v>99.48938955321573</v>
          </cell>
        </row>
        <row r="845">
          <cell r="AS845">
            <v>102.57854383778138</v>
          </cell>
        </row>
        <row r="846">
          <cell r="AS846">
            <v>98.992760119033306</v>
          </cell>
        </row>
        <row r="847">
          <cell r="AS847">
            <v>98.504346092292792</v>
          </cell>
        </row>
        <row r="848">
          <cell r="AS848">
            <v>96.413335590373151</v>
          </cell>
        </row>
        <row r="849">
          <cell r="AS849">
            <v>98.159547445229293</v>
          </cell>
        </row>
        <row r="850">
          <cell r="AS850">
            <v>99.986663333079832</v>
          </cell>
        </row>
        <row r="851">
          <cell r="AS851">
            <v>99.625287378566313</v>
          </cell>
        </row>
        <row r="852">
          <cell r="AS852">
            <v>95.365817891823511</v>
          </cell>
        </row>
        <row r="853">
          <cell r="AS853">
            <v>98.859846723026621</v>
          </cell>
        </row>
        <row r="854">
          <cell r="AS854">
            <v>98.241036026878831</v>
          </cell>
        </row>
        <row r="855">
          <cell r="AS855">
            <v>99.825568866022024</v>
          </cell>
        </row>
        <row r="856">
          <cell r="AS856">
            <v>98.645282808431347</v>
          </cell>
        </row>
        <row r="857">
          <cell r="AS857">
            <v>98.914939752442152</v>
          </cell>
        </row>
        <row r="858">
          <cell r="AS858">
            <v>97.758039872296649</v>
          </cell>
        </row>
        <row r="859">
          <cell r="AS859">
            <v>99.744802672280059</v>
          </cell>
        </row>
        <row r="860">
          <cell r="AS860">
            <v>94.213153736760106</v>
          </cell>
        </row>
        <row r="861">
          <cell r="AS861">
            <v>97.33408636572112</v>
          </cell>
        </row>
        <row r="862">
          <cell r="AS862">
            <v>98.687851500360367</v>
          </cell>
        </row>
        <row r="863">
          <cell r="AS863">
            <v>98.15830941278702</v>
          </cell>
        </row>
        <row r="865">
          <cell r="AS865">
            <v>95.322225589235501</v>
          </cell>
        </row>
        <row r="866">
          <cell r="AS866">
            <v>98.967121553081768</v>
          </cell>
        </row>
        <row r="867">
          <cell r="AS867">
            <v>99.238723942766654</v>
          </cell>
        </row>
        <row r="868">
          <cell r="AS868">
            <v>98.002274187869418</v>
          </cell>
        </row>
        <row r="869">
          <cell r="AS869">
            <v>99.648174106091631</v>
          </cell>
        </row>
        <row r="870">
          <cell r="AS870">
            <v>98.585621058035315</v>
          </cell>
        </row>
        <row r="871">
          <cell r="AS871">
            <v>98.936161390139659</v>
          </cell>
        </row>
        <row r="872">
          <cell r="AS872">
            <v>99.298623297788069</v>
          </cell>
        </row>
        <row r="873">
          <cell r="AS873">
            <v>95.78908667395234</v>
          </cell>
        </row>
        <row r="874">
          <cell r="AS874">
            <v>97.043689776083454</v>
          </cell>
        </row>
        <row r="875">
          <cell r="AS875">
            <v>99.899219809669859</v>
          </cell>
        </row>
        <row r="876">
          <cell r="AS876">
            <v>99.613745193751541</v>
          </cell>
        </row>
        <row r="877">
          <cell r="AS877">
            <v>97.024100682701572</v>
          </cell>
        </row>
        <row r="878">
          <cell r="AS878">
            <v>99.401026369834483</v>
          </cell>
        </row>
        <row r="879">
          <cell r="AS879">
            <v>99.42119726743698</v>
          </cell>
        </row>
        <row r="880">
          <cell r="AS880">
            <v>99.42119726743698</v>
          </cell>
        </row>
        <row r="881">
          <cell r="AS881">
            <v>99.934567640109535</v>
          </cell>
        </row>
        <row r="882">
          <cell r="AS882">
            <v>98.222358072958968</v>
          </cell>
        </row>
        <row r="883">
          <cell r="AS883">
            <v>99.47232737989826</v>
          </cell>
        </row>
        <row r="884">
          <cell r="AS884">
            <v>100.16108688972618</v>
          </cell>
        </row>
        <row r="885">
          <cell r="AS885">
            <v>97.436742232158792</v>
          </cell>
        </row>
        <row r="886">
          <cell r="AS886">
            <v>97.469417997799923</v>
          </cell>
        </row>
        <row r="887">
          <cell r="AS887">
            <v>100.01653377802042</v>
          </cell>
        </row>
        <row r="888">
          <cell r="AS888">
            <v>97.541487691308987</v>
          </cell>
        </row>
        <row r="889">
          <cell r="AS889">
            <v>99.793915802126293</v>
          </cell>
        </row>
        <row r="890">
          <cell r="AS890">
            <v>99.544198235265355</v>
          </cell>
        </row>
        <row r="891">
          <cell r="AS891">
            <v>99.434422211804062</v>
          </cell>
        </row>
        <row r="892">
          <cell r="AS892">
            <v>99.320165825298616</v>
          </cell>
        </row>
        <row r="893">
          <cell r="AS893">
            <v>96.667344780276736</v>
          </cell>
        </row>
        <row r="894">
          <cell r="AS894">
            <v>97.898322636248054</v>
          </cell>
        </row>
        <row r="895">
          <cell r="AS895">
            <v>98.729354665356169</v>
          </cell>
        </row>
        <row r="896">
          <cell r="AS896">
            <v>96.885068018319615</v>
          </cell>
        </row>
        <row r="897">
          <cell r="AS897">
            <v>99.160395090357554</v>
          </cell>
        </row>
        <row r="898">
          <cell r="AS898">
            <v>98.888094805680922</v>
          </cell>
        </row>
        <row r="899">
          <cell r="AS899">
            <v>99.712714771584814</v>
          </cell>
        </row>
        <row r="900">
          <cell r="AS900">
            <v>99.287176443605802</v>
          </cell>
        </row>
        <row r="901">
          <cell r="AS901">
            <v>97.739565481027867</v>
          </cell>
        </row>
        <row r="902">
          <cell r="AS902">
            <v>98.776041662093803</v>
          </cell>
        </row>
        <row r="903">
          <cell r="AS903">
            <v>100.04976276206206</v>
          </cell>
        </row>
        <row r="904">
          <cell r="AS904">
            <v>98.960447208711898</v>
          </cell>
        </row>
        <row r="905">
          <cell r="AS905">
            <v>91.188634381833737</v>
          </cell>
        </row>
        <row r="906">
          <cell r="AS906">
            <v>97.51764886680489</v>
          </cell>
        </row>
        <row r="907">
          <cell r="AS907">
            <v>93.374743432540484</v>
          </cell>
        </row>
        <row r="908">
          <cell r="AS908">
            <v>96.532622110574522</v>
          </cell>
        </row>
        <row r="909">
          <cell r="AS909">
            <v>98.302894296350672</v>
          </cell>
        </row>
        <row r="910">
          <cell r="AS910">
            <v>95.819139923451573</v>
          </cell>
        </row>
        <row r="911">
          <cell r="AS911">
            <v>98.815899469497609</v>
          </cell>
        </row>
        <row r="912">
          <cell r="AS912">
            <v>98.646048448871909</v>
          </cell>
        </row>
        <row r="913">
          <cell r="AS913">
            <v>99.820406168501322</v>
          </cell>
        </row>
        <row r="914">
          <cell r="AS914">
            <v>98.912440266800218</v>
          </cell>
        </row>
        <row r="915">
          <cell r="AS915">
            <v>99.698457329259341</v>
          </cell>
        </row>
        <row r="916">
          <cell r="AS916">
            <v>98.111238801725193</v>
          </cell>
        </row>
        <row r="917">
          <cell r="AS917">
            <v>99.424312497735059</v>
          </cell>
        </row>
        <row r="918">
          <cell r="AS918">
            <v>97.398766236179426</v>
          </cell>
        </row>
        <row r="919">
          <cell r="AS919">
            <v>99.073036673111616</v>
          </cell>
        </row>
        <row r="920">
          <cell r="AS920">
            <v>96.99725046263336</v>
          </cell>
        </row>
        <row r="921">
          <cell r="AS921">
            <v>99.014735311838592</v>
          </cell>
        </row>
        <row r="922">
          <cell r="AS922">
            <v>99.905301205894347</v>
          </cell>
        </row>
        <row r="923">
          <cell r="AS923">
            <v>99.584353447659552</v>
          </cell>
        </row>
        <row r="924">
          <cell r="AS924">
            <v>99.150286529956631</v>
          </cell>
        </row>
        <row r="925">
          <cell r="AS925">
            <v>94.442580550045619</v>
          </cell>
        </row>
        <row r="926">
          <cell r="AS926">
            <v>98.425890832697604</v>
          </cell>
        </row>
        <row r="927">
          <cell r="AS927">
            <v>96.309744781187845</v>
          </cell>
        </row>
        <row r="928">
          <cell r="AS928">
            <v>98.046206145005172</v>
          </cell>
        </row>
        <row r="929">
          <cell r="AS929">
            <v>98.295512714820589</v>
          </cell>
        </row>
        <row r="930">
          <cell r="AS930">
            <v>98.418510288190774</v>
          </cell>
        </row>
        <row r="931">
          <cell r="AS931">
            <v>98.353066766503787</v>
          </cell>
        </row>
        <row r="932">
          <cell r="AS932">
            <v>99.738823521857796</v>
          </cell>
        </row>
        <row r="933">
          <cell r="AS933">
            <v>95.285092230611866</v>
          </cell>
        </row>
        <row r="934">
          <cell r="AS934">
            <v>93.46325576838143</v>
          </cell>
        </row>
        <row r="935">
          <cell r="AS935">
            <v>97.692294560648392</v>
          </cell>
        </row>
        <row r="936">
          <cell r="AS936">
            <v>99.372075719358918</v>
          </cell>
        </row>
        <row r="937">
          <cell r="AS937">
            <v>98.77103493879828</v>
          </cell>
        </row>
        <row r="938">
          <cell r="AS938">
            <v>98.026774266751971</v>
          </cell>
        </row>
        <row r="939">
          <cell r="AS939">
            <v>99.321626062749729</v>
          </cell>
        </row>
        <row r="940">
          <cell r="AS940">
            <v>99.884127061726787</v>
          </cell>
        </row>
        <row r="941">
          <cell r="AS941">
            <v>94.752766498544304</v>
          </cell>
        </row>
        <row r="942">
          <cell r="AS942">
            <v>98.508753446513779</v>
          </cell>
        </row>
        <row r="943">
          <cell r="AS943">
            <v>101.68061311991168</v>
          </cell>
        </row>
        <row r="944">
          <cell r="AS944">
            <v>98.570688011944725</v>
          </cell>
        </row>
        <row r="945">
          <cell r="AS945">
            <v>99.162557027956495</v>
          </cell>
        </row>
        <row r="946">
          <cell r="AS946">
            <v>99.897543560915992</v>
          </cell>
        </row>
        <row r="947">
          <cell r="AS947">
            <v>97.786032279928818</v>
          </cell>
        </row>
        <row r="948">
          <cell r="AS948">
            <v>99.458598669556125</v>
          </cell>
        </row>
        <row r="949">
          <cell r="AS949">
            <v>98.98951864826472</v>
          </cell>
        </row>
        <row r="950">
          <cell r="AS950">
            <v>99.795950572079505</v>
          </cell>
        </row>
        <row r="951">
          <cell r="AS951">
            <v>100.03354018722838</v>
          </cell>
        </row>
        <row r="952">
          <cell r="AS952">
            <v>95.509530117217736</v>
          </cell>
        </row>
        <row r="953">
          <cell r="AS953">
            <v>98.628019884552387</v>
          </cell>
        </row>
        <row r="954">
          <cell r="AS954">
            <v>99.50828870315982</v>
          </cell>
        </row>
        <row r="955">
          <cell r="AS955">
            <v>97.44554981572918</v>
          </cell>
        </row>
        <row r="956">
          <cell r="AS956">
            <v>99.235165302311827</v>
          </cell>
        </row>
        <row r="957">
          <cell r="AS957">
            <v>99.345922764916011</v>
          </cell>
        </row>
        <row r="958">
          <cell r="AS958">
            <v>99.812648191819761</v>
          </cell>
        </row>
        <row r="959">
          <cell r="AS959">
            <v>99.110255548347155</v>
          </cell>
        </row>
        <row r="960">
          <cell r="AS960">
            <v>99.313907853259352</v>
          </cell>
        </row>
        <row r="961">
          <cell r="AS961">
            <v>99.459186839916782</v>
          </cell>
        </row>
        <row r="962">
          <cell r="AS962">
            <v>100.26127705636773</v>
          </cell>
        </row>
        <row r="963">
          <cell r="AS963">
            <v>95.275709637646131</v>
          </cell>
        </row>
        <row r="964">
          <cell r="AS964">
            <v>97.991827926819525</v>
          </cell>
        </row>
        <row r="965">
          <cell r="AS965">
            <v>99.059893854825532</v>
          </cell>
        </row>
        <row r="966">
          <cell r="AS966">
            <v>99.584378575324806</v>
          </cell>
        </row>
        <row r="967">
          <cell r="AS967">
            <v>98.761833735786624</v>
          </cell>
        </row>
        <row r="968">
          <cell r="AS968">
            <v>97.606431269436612</v>
          </cell>
        </row>
        <row r="969">
          <cell r="AS969">
            <v>96.421062953071228</v>
          </cell>
        </row>
        <row r="970">
          <cell r="AS970">
            <v>94.252076084576643</v>
          </cell>
        </row>
        <row r="971">
          <cell r="AS971">
            <v>97.076888940242085</v>
          </cell>
        </row>
        <row r="972">
          <cell r="AS972">
            <v>99.141534843347159</v>
          </cell>
        </row>
        <row r="973">
          <cell r="AS973">
            <v>99.634376452290198</v>
          </cell>
        </row>
        <row r="974">
          <cell r="AS974">
            <v>100.5587546462191</v>
          </cell>
        </row>
        <row r="976">
          <cell r="A976" t="str">
            <v>ST389</v>
          </cell>
          <cell r="AS976">
            <v>95.84769954565148</v>
          </cell>
        </row>
        <row r="977">
          <cell r="A977" t="str">
            <v>ST390</v>
          </cell>
          <cell r="AS977">
            <v>100.26238441701008</v>
          </cell>
        </row>
        <row r="978">
          <cell r="A978" t="str">
            <v>ST391</v>
          </cell>
          <cell r="AS978">
            <v>98.835712833337951</v>
          </cell>
        </row>
        <row r="979">
          <cell r="A979" t="str">
            <v>ST392</v>
          </cell>
          <cell r="AS979">
            <v>99.563123412098136</v>
          </cell>
        </row>
        <row r="980">
          <cell r="A980" t="str">
            <v>ST393</v>
          </cell>
        </row>
        <row r="981">
          <cell r="A981" t="str">
            <v>ST394</v>
          </cell>
          <cell r="AS981">
            <v>99.438369618907075</v>
          </cell>
        </row>
        <row r="982">
          <cell r="A982" t="str">
            <v>ST395</v>
          </cell>
          <cell r="AS982">
            <v>98.642275622859415</v>
          </cell>
        </row>
        <row r="983">
          <cell r="A983" t="str">
            <v>ST396</v>
          </cell>
          <cell r="AS983">
            <v>99.614073029250193</v>
          </cell>
        </row>
        <row r="984">
          <cell r="A984" t="str">
            <v>ST397</v>
          </cell>
          <cell r="AS984">
            <v>99.740392122501049</v>
          </cell>
        </row>
        <row r="985">
          <cell r="A985" t="str">
            <v>ST398</v>
          </cell>
          <cell r="AS985">
            <v>100.69666248352205</v>
          </cell>
        </row>
        <row r="986">
          <cell r="A986" t="str">
            <v>ST399</v>
          </cell>
          <cell r="AS986">
            <v>100.31792758418116</v>
          </cell>
        </row>
        <row r="987">
          <cell r="A987" t="str">
            <v>ST400</v>
          </cell>
          <cell r="AS987">
            <v>100.84109483792494</v>
          </cell>
        </row>
        <row r="988">
          <cell r="A988" t="str">
            <v>ST401</v>
          </cell>
          <cell r="AS988">
            <v>95.905620939078773</v>
          </cell>
        </row>
        <row r="989">
          <cell r="A989" t="str">
            <v>ST402</v>
          </cell>
          <cell r="AS989">
            <v>96.760533281323376</v>
          </cell>
        </row>
        <row r="990">
          <cell r="A990" t="str">
            <v>ST403</v>
          </cell>
          <cell r="AS990">
            <v>99.090851111924238</v>
          </cell>
        </row>
        <row r="991">
          <cell r="A991" t="str">
            <v>ST404</v>
          </cell>
          <cell r="AS991">
            <v>100.28953076247171</v>
          </cell>
        </row>
        <row r="992">
          <cell r="A992" t="str">
            <v>ST405</v>
          </cell>
          <cell r="AS992">
            <v>98.68100870163795</v>
          </cell>
        </row>
        <row r="993">
          <cell r="A993" t="str">
            <v>ST406</v>
          </cell>
          <cell r="AS993">
            <v>98.657011703724478</v>
          </cell>
        </row>
        <row r="994">
          <cell r="A994" t="str">
            <v>ST407</v>
          </cell>
          <cell r="AS994">
            <v>98.539725565001788</v>
          </cell>
        </row>
        <row r="995">
          <cell r="A995" t="str">
            <v>ST408</v>
          </cell>
          <cell r="AS995">
            <v>98.853539615484877</v>
          </cell>
        </row>
        <row r="996">
          <cell r="A996" t="str">
            <v>ST409</v>
          </cell>
          <cell r="AS996">
            <v>97.026739234878065</v>
          </cell>
        </row>
        <row r="997">
          <cell r="A997" t="str">
            <v>ST410</v>
          </cell>
          <cell r="AS997">
            <v>99.348173755912001</v>
          </cell>
        </row>
        <row r="998">
          <cell r="A998" t="str">
            <v>ST411</v>
          </cell>
          <cell r="AS998">
            <v>97.865007404547399</v>
          </cell>
        </row>
        <row r="999">
          <cell r="A999" t="str">
            <v>ST412</v>
          </cell>
          <cell r="AS999">
            <v>99.015667179643799</v>
          </cell>
        </row>
        <row r="1000">
          <cell r="A1000" t="str">
            <v>ST413</v>
          </cell>
          <cell r="AS1000">
            <v>92.840729271609433</v>
          </cell>
        </row>
        <row r="1001">
          <cell r="A1001" t="str">
            <v>ST414</v>
          </cell>
          <cell r="AS1001">
            <v>96.937453604595234</v>
          </cell>
        </row>
        <row r="1002">
          <cell r="A1002" t="str">
            <v>ST415</v>
          </cell>
          <cell r="AS1002">
            <v>96.267168950908413</v>
          </cell>
        </row>
        <row r="1003">
          <cell r="A1003" t="str">
            <v>ST416</v>
          </cell>
          <cell r="AS1003">
            <v>102.55783677768659</v>
          </cell>
        </row>
        <row r="1004">
          <cell r="A1004" t="str">
            <v>ST417</v>
          </cell>
          <cell r="AS1004">
            <v>101.12268847023552</v>
          </cell>
        </row>
        <row r="1005">
          <cell r="A1005" t="str">
            <v>ST418</v>
          </cell>
          <cell r="AS1005">
            <v>98.872876183901013</v>
          </cell>
        </row>
        <row r="1006">
          <cell r="A1006" t="str">
            <v>ST419</v>
          </cell>
          <cell r="AS1006">
            <v>97.893936815743572</v>
          </cell>
        </row>
        <row r="1007">
          <cell r="A1007" t="str">
            <v>ST420</v>
          </cell>
          <cell r="AS1007">
            <v>94.369755090376813</v>
          </cell>
        </row>
      </sheetData>
      <sheetData sheetId="7">
        <row r="16">
          <cell r="D16">
            <v>11.8</v>
          </cell>
        </row>
      </sheetData>
      <sheetData sheetId="8"/>
      <sheetData sheetId="9"/>
      <sheetData sheetId="10">
        <row r="6">
          <cell r="H6">
            <v>1387.6999999999996</v>
          </cell>
        </row>
      </sheetData>
      <sheetData sheetId="11">
        <row r="18">
          <cell r="E18">
            <v>26275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rewMaterials"/>
      <sheetName val="Brewhouse"/>
      <sheetName val="Process"/>
      <sheetName val="Guinnbottling"/>
      <sheetName val="Summary December '23"/>
      <sheetName val="Summary November '23"/>
      <sheetName val="Summary October '23"/>
      <sheetName val="Summary August '23"/>
      <sheetName val="Summary July '23  "/>
      <sheetName val="Summary June '23 "/>
      <sheetName val="Summary May '23 "/>
      <sheetName val="Summary April '23"/>
      <sheetName val="Summary March '23 "/>
      <sheetName val="Summary February '23 "/>
      <sheetName val="Summary January '23"/>
      <sheetName val="Summary December '22  "/>
      <sheetName val="Summary November '22 "/>
      <sheetName val="Summary October '22  "/>
      <sheetName val="Summary September '22 "/>
      <sheetName val="Summary August '22"/>
      <sheetName val="Summary July '22"/>
      <sheetName val="Summary June '22 "/>
      <sheetName val="Summary May '22"/>
      <sheetName val="Summary April '22"/>
      <sheetName val="Summary March '22 "/>
      <sheetName val="Summary February '22"/>
      <sheetName val="Summary January '22  "/>
      <sheetName val="Summary December '21  "/>
      <sheetName val="Brew Time"/>
    </sheetNames>
    <sheetDataSet>
      <sheetData sheetId="0"/>
      <sheetData sheetId="1">
        <row r="15">
          <cell r="A15" t="str">
            <v>GU001</v>
          </cell>
        </row>
        <row r="161">
          <cell r="AU161">
            <v>93.965368107965062</v>
          </cell>
        </row>
        <row r="162">
          <cell r="AU162">
            <v>96.592804250515826</v>
          </cell>
        </row>
        <row r="163">
          <cell r="AU163">
            <v>96.855226146869683</v>
          </cell>
        </row>
        <row r="164">
          <cell r="AU164">
            <v>99.719563433141545</v>
          </cell>
        </row>
        <row r="165">
          <cell r="AU165">
            <v>93.977747984844711</v>
          </cell>
        </row>
        <row r="166">
          <cell r="AU166">
            <v>96.800755402267797</v>
          </cell>
        </row>
        <row r="167">
          <cell r="AU167">
            <v>99.262577009986543</v>
          </cell>
        </row>
        <row r="168">
          <cell r="AU168">
            <v>97.617284872705341</v>
          </cell>
        </row>
        <row r="169">
          <cell r="AU169">
            <v>93.882081223571518</v>
          </cell>
        </row>
        <row r="170">
          <cell r="AU170">
            <v>96.880311362448069</v>
          </cell>
        </row>
        <row r="171">
          <cell r="AU171">
            <v>96.195289997407556</v>
          </cell>
        </row>
        <row r="172">
          <cell r="AU172">
            <v>94.522516586223233</v>
          </cell>
        </row>
        <row r="173">
          <cell r="AU173">
            <v>96.272098390562704</v>
          </cell>
        </row>
        <row r="174">
          <cell r="AU174">
            <v>97.145205727107424</v>
          </cell>
        </row>
        <row r="175">
          <cell r="AU175">
            <v>96.638158603901061</v>
          </cell>
        </row>
        <row r="176">
          <cell r="AU176">
            <v>97.558522019176309</v>
          </cell>
        </row>
        <row r="178">
          <cell r="AU178">
            <v>95.219650212398349</v>
          </cell>
        </row>
        <row r="179">
          <cell r="AU179">
            <v>96.915732176693737</v>
          </cell>
        </row>
        <row r="180">
          <cell r="AU180">
            <v>97.113229437227318</v>
          </cell>
        </row>
        <row r="181">
          <cell r="AU181">
            <v>96.11289270970039</v>
          </cell>
        </row>
        <row r="182">
          <cell r="AU182">
            <v>97.124856870387418</v>
          </cell>
        </row>
        <row r="183">
          <cell r="AU183">
            <v>95.95234352237965</v>
          </cell>
        </row>
        <row r="184">
          <cell r="AU184">
            <v>96.235994895137281</v>
          </cell>
        </row>
        <row r="185">
          <cell r="AU185">
            <v>96.793019114599005</v>
          </cell>
        </row>
        <row r="186">
          <cell r="AU186">
            <v>92.695309482159786</v>
          </cell>
        </row>
        <row r="187">
          <cell r="AU187">
            <v>97.112578466227518</v>
          </cell>
        </row>
        <row r="188">
          <cell r="AU188">
            <v>95.415425829106212</v>
          </cell>
        </row>
        <row r="189">
          <cell r="AU189">
            <v>94.650398073167125</v>
          </cell>
        </row>
        <row r="190">
          <cell r="AU190">
            <v>94.570799056132827</v>
          </cell>
        </row>
        <row r="191">
          <cell r="AU191">
            <v>94.719124067077729</v>
          </cell>
        </row>
        <row r="192">
          <cell r="AU192">
            <v>98.306178948356205</v>
          </cell>
        </row>
        <row r="193">
          <cell r="AU193">
            <v>97.925390388444455</v>
          </cell>
        </row>
        <row r="194">
          <cell r="AU194">
            <v>97.460735039452615</v>
          </cell>
        </row>
        <row r="195">
          <cell r="AU195">
            <v>98.199690790562769</v>
          </cell>
        </row>
        <row r="197">
          <cell r="AU197">
            <v>94.088744814062039</v>
          </cell>
        </row>
        <row r="198">
          <cell r="AU198">
            <v>96.46704124616916</v>
          </cell>
        </row>
        <row r="199">
          <cell r="AU199">
            <v>98.170890958243888</v>
          </cell>
        </row>
        <row r="200">
          <cell r="AU200">
            <v>94.209226425483408</v>
          </cell>
        </row>
        <row r="201">
          <cell r="AU201">
            <v>96.562972599320716</v>
          </cell>
        </row>
        <row r="202">
          <cell r="AU202">
            <v>97.230417534132712</v>
          </cell>
        </row>
        <row r="203">
          <cell r="AU203">
            <v>96.409854967197631</v>
          </cell>
        </row>
        <row r="204">
          <cell r="AU204">
            <v>96.223735556064042</v>
          </cell>
        </row>
        <row r="205">
          <cell r="AU205">
            <v>92.795938408997429</v>
          </cell>
        </row>
        <row r="206">
          <cell r="AU206">
            <v>98.244249996615551</v>
          </cell>
        </row>
        <row r="207">
          <cell r="AU207">
            <v>95.836438954768568</v>
          </cell>
        </row>
        <row r="208">
          <cell r="AU208">
            <v>95.89152658101861</v>
          </cell>
        </row>
        <row r="210">
          <cell r="AU210">
            <v>98.635700007401397</v>
          </cell>
        </row>
        <row r="211">
          <cell r="AU211">
            <v>99.515247118434473</v>
          </cell>
        </row>
        <row r="212">
          <cell r="AU212">
            <v>100.24798044319473</v>
          </cell>
        </row>
        <row r="213">
          <cell r="AU213">
            <v>98.642482588617568</v>
          </cell>
        </row>
        <row r="214">
          <cell r="AU214">
            <v>96.251461303435718</v>
          </cell>
        </row>
        <row r="215">
          <cell r="AU215">
            <v>98.419763453677945</v>
          </cell>
        </row>
        <row r="216">
          <cell r="AU216">
            <v>99.357094534189159</v>
          </cell>
        </row>
        <row r="217">
          <cell r="AU217">
            <v>99.078260666012184</v>
          </cell>
        </row>
        <row r="218">
          <cell r="AU218">
            <v>98.607229669780182</v>
          </cell>
        </row>
        <row r="219">
          <cell r="AU219">
            <v>100.06017468228244</v>
          </cell>
        </row>
        <row r="220">
          <cell r="AU220">
            <v>98.260147384785725</v>
          </cell>
        </row>
        <row r="221">
          <cell r="AU221">
            <v>99.115469296800924</v>
          </cell>
        </row>
        <row r="223">
          <cell r="AU223">
            <v>94.742021388622192</v>
          </cell>
        </row>
        <row r="224">
          <cell r="AU224">
            <v>95.167484764134443</v>
          </cell>
        </row>
        <row r="225">
          <cell r="AU225">
            <v>94.895677912202714</v>
          </cell>
        </row>
        <row r="226">
          <cell r="AU226">
            <v>96.401077155647016</v>
          </cell>
        </row>
        <row r="227">
          <cell r="AU227">
            <v>97.302930067568894</v>
          </cell>
        </row>
        <row r="228">
          <cell r="AU228">
            <v>96.314203603781138</v>
          </cell>
        </row>
        <row r="229">
          <cell r="AU229">
            <v>95.483762066712103</v>
          </cell>
        </row>
        <row r="230">
          <cell r="AU230">
            <v>96.625516268419005</v>
          </cell>
        </row>
        <row r="231">
          <cell r="AU231">
            <v>98.898456815142168</v>
          </cell>
        </row>
        <row r="232">
          <cell r="AU232">
            <v>98.225452926077566</v>
          </cell>
        </row>
        <row r="234">
          <cell r="AU234">
            <v>95.896677174536023</v>
          </cell>
        </row>
        <row r="235">
          <cell r="AU235">
            <v>97.936062938846518</v>
          </cell>
        </row>
        <row r="236">
          <cell r="AU236">
            <v>97.583693826153464</v>
          </cell>
        </row>
        <row r="237">
          <cell r="AU237">
            <v>98.994098566320872</v>
          </cell>
        </row>
        <row r="238">
          <cell r="AU238">
            <v>95.502837408186139</v>
          </cell>
        </row>
        <row r="239">
          <cell r="AU239">
            <v>98.869439166620126</v>
          </cell>
        </row>
        <row r="240">
          <cell r="AU240">
            <v>88.436653657881806</v>
          </cell>
        </row>
        <row r="241">
          <cell r="AU241">
            <v>102.62330939701198</v>
          </cell>
        </row>
        <row r="242">
          <cell r="AU242">
            <v>96.980346516944635</v>
          </cell>
        </row>
        <row r="243">
          <cell r="AU243">
            <v>94.08944508824446</v>
          </cell>
        </row>
        <row r="244">
          <cell r="AU244">
            <v>96.737333077403832</v>
          </cell>
        </row>
        <row r="245">
          <cell r="AU245">
            <v>94.446876631568699</v>
          </cell>
        </row>
        <row r="246">
          <cell r="AU246">
            <v>97.049787257774071</v>
          </cell>
        </row>
        <row r="247">
          <cell r="AU247">
            <v>97.142174485894344</v>
          </cell>
        </row>
        <row r="248">
          <cell r="AU248">
            <v>95.941599519115414</v>
          </cell>
        </row>
        <row r="249">
          <cell r="AU249">
            <v>96.627463359556657</v>
          </cell>
        </row>
        <row r="250">
          <cell r="AU250">
            <v>97.242672763693818</v>
          </cell>
        </row>
        <row r="251">
          <cell r="AU251">
            <v>98.084098750403911</v>
          </cell>
        </row>
        <row r="252">
          <cell r="AU252">
            <v>97.275212826418226</v>
          </cell>
        </row>
        <row r="253">
          <cell r="AU253">
            <v>96.463666376007339</v>
          </cell>
        </row>
        <row r="254">
          <cell r="AU254">
            <v>94.809860277644958</v>
          </cell>
        </row>
        <row r="255">
          <cell r="AU255">
            <v>95.372531830954301</v>
          </cell>
        </row>
        <row r="256">
          <cell r="AU256">
            <v>97.104793218026899</v>
          </cell>
        </row>
        <row r="257">
          <cell r="AU257">
            <v>101.15481250823689</v>
          </cell>
        </row>
        <row r="258">
          <cell r="AU258">
            <v>97.136421299139741</v>
          </cell>
        </row>
        <row r="259">
          <cell r="AU259">
            <v>97.470434535510464</v>
          </cell>
        </row>
        <row r="260">
          <cell r="AU260">
            <v>93.220228527399556</v>
          </cell>
        </row>
        <row r="261">
          <cell r="AU261">
            <v>97.417353739920216</v>
          </cell>
        </row>
        <row r="262">
          <cell r="AU262">
            <v>102.56453826919012</v>
          </cell>
        </row>
        <row r="263">
          <cell r="AU263">
            <v>94.2191347002763</v>
          </cell>
        </row>
        <row r="264">
          <cell r="AU264">
            <v>97.225537612550042</v>
          </cell>
        </row>
        <row r="265">
          <cell r="AU265">
            <v>95.46204926037683</v>
          </cell>
        </row>
        <row r="266">
          <cell r="AU266">
            <v>96.295198372398715</v>
          </cell>
        </row>
        <row r="267">
          <cell r="AU267">
            <v>94.766322071054688</v>
          </cell>
        </row>
        <row r="268">
          <cell r="AU268">
            <v>96.729944015905701</v>
          </cell>
        </row>
        <row r="269">
          <cell r="AU269">
            <v>93.515968326362071</v>
          </cell>
        </row>
        <row r="270">
          <cell r="AU270">
            <v>95.326405402124465</v>
          </cell>
        </row>
        <row r="271">
          <cell r="AU271">
            <v>96.578493608349746</v>
          </cell>
        </row>
        <row r="272">
          <cell r="AU272">
            <v>96.612052964288281</v>
          </cell>
        </row>
        <row r="273">
          <cell r="AU273">
            <v>95.101201382387686</v>
          </cell>
        </row>
        <row r="274">
          <cell r="AU274">
            <v>97.42245815143751</v>
          </cell>
        </row>
        <row r="275">
          <cell r="AU275">
            <v>96.319562398779738</v>
          </cell>
        </row>
        <row r="276">
          <cell r="AU276">
            <v>96.224117927496195</v>
          </cell>
        </row>
        <row r="277">
          <cell r="AU277">
            <v>94.401983484097656</v>
          </cell>
        </row>
        <row r="278">
          <cell r="AU278">
            <v>99.387627351361019</v>
          </cell>
        </row>
        <row r="279">
          <cell r="AU279">
            <v>96.627570521050842</v>
          </cell>
        </row>
        <row r="282">
          <cell r="A282" t="str">
            <v>GU113</v>
          </cell>
          <cell r="AU282">
            <v>93.663100829572898</v>
          </cell>
        </row>
        <row r="283">
          <cell r="A283" t="str">
            <v>GU114</v>
          </cell>
          <cell r="AU283">
            <v>97.254070900973858</v>
          </cell>
        </row>
        <row r="284">
          <cell r="A284" t="str">
            <v>GU115</v>
          </cell>
          <cell r="AU284">
            <v>99.149861756743334</v>
          </cell>
        </row>
        <row r="285">
          <cell r="A285" t="str">
            <v>GU116</v>
          </cell>
          <cell r="AU285">
            <v>94.471130452224315</v>
          </cell>
        </row>
        <row r="286">
          <cell r="A286" t="str">
            <v>GU117</v>
          </cell>
          <cell r="AU286">
            <v>97.247994648231</v>
          </cell>
        </row>
        <row r="287">
          <cell r="A287" t="str">
            <v>GU118</v>
          </cell>
          <cell r="AU287">
            <v>94.48140281101675</v>
          </cell>
        </row>
        <row r="288">
          <cell r="A288" t="str">
            <v>GU119</v>
          </cell>
          <cell r="AU288">
            <v>97.045557790227846</v>
          </cell>
        </row>
        <row r="289">
          <cell r="A289" t="str">
            <v>GU120</v>
          </cell>
          <cell r="AU289">
            <v>96.706799632100712</v>
          </cell>
        </row>
      </sheetData>
      <sheetData sheetId="2">
        <row r="5">
          <cell r="D5">
            <v>17.2</v>
          </cell>
        </row>
      </sheetData>
      <sheetData sheetId="3"/>
      <sheetData sheetId="4"/>
      <sheetData sheetId="5">
        <row r="7">
          <cell r="H7">
            <v>313.3</v>
          </cell>
        </row>
      </sheetData>
      <sheetData sheetId="6">
        <row r="19">
          <cell r="E19">
            <v>4299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9">
          <cell r="E19">
            <v>5839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1"/>
      <sheetName val="VitaMalt - Operator Performance"/>
      <sheetName val="BrewMaterials"/>
      <sheetName val="Brewhouse"/>
      <sheetName val="Process"/>
      <sheetName val="Packaging"/>
      <sheetName val="Summary December '23"/>
      <sheetName val="Summary September '23"/>
      <sheetName val="Summary August '23"/>
      <sheetName val="Summary July '23"/>
      <sheetName val="Summary June '23 "/>
      <sheetName val="Summary May '23 "/>
      <sheetName val="Summary April '23"/>
      <sheetName val="Summary March '23"/>
      <sheetName val="Summary August '22"/>
      <sheetName val="Summary July '22 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 "/>
      <sheetName val="Summary January '22 "/>
      <sheetName val="Summary December '21  "/>
    </sheetNames>
    <sheetDataSet>
      <sheetData sheetId="0" refreshError="1"/>
      <sheetData sheetId="1"/>
      <sheetData sheetId="2"/>
      <sheetData sheetId="3">
        <row r="5">
          <cell r="B5">
            <v>44558</v>
          </cell>
        </row>
        <row r="92">
          <cell r="AU92">
            <v>92.976230173617424</v>
          </cell>
        </row>
        <row r="93">
          <cell r="AU93">
            <v>97.891128934292908</v>
          </cell>
        </row>
        <row r="94">
          <cell r="AU94">
            <v>97.973301157018028</v>
          </cell>
        </row>
        <row r="95">
          <cell r="AU95">
            <v>98.096408180762808</v>
          </cell>
        </row>
        <row r="96">
          <cell r="AU96">
            <v>96.60797006312923</v>
          </cell>
        </row>
        <row r="97">
          <cell r="AU97">
            <v>95.944323197552052</v>
          </cell>
        </row>
        <row r="98">
          <cell r="AU98">
            <v>97.96934029451829</v>
          </cell>
        </row>
        <row r="99">
          <cell r="AU99">
            <v>97.61931982421288</v>
          </cell>
        </row>
        <row r="100">
          <cell r="AU100">
            <v>96.832510902681079</v>
          </cell>
        </row>
        <row r="101">
          <cell r="AU101">
            <v>97.477315897621679</v>
          </cell>
        </row>
        <row r="103">
          <cell r="AU103">
            <v>97.93333635326627</v>
          </cell>
        </row>
        <row r="104">
          <cell r="AU104">
            <v>97.891046918081088</v>
          </cell>
        </row>
        <row r="105">
          <cell r="AU105">
            <v>99.033412354868091</v>
          </cell>
        </row>
        <row r="106">
          <cell r="AU106">
            <v>97.512358148572076</v>
          </cell>
        </row>
        <row r="107">
          <cell r="AU107">
            <v>95.87273211620672</v>
          </cell>
        </row>
        <row r="108">
          <cell r="AU108">
            <v>98.818321955908743</v>
          </cell>
        </row>
        <row r="109">
          <cell r="AU109">
            <v>98.005339225475495</v>
          </cell>
        </row>
        <row r="110">
          <cell r="AU110">
            <v>97.743136116212952</v>
          </cell>
        </row>
        <row r="111">
          <cell r="AU111">
            <v>96.815316848596865</v>
          </cell>
        </row>
        <row r="112">
          <cell r="AU112">
            <v>95.263079291761272</v>
          </cell>
        </row>
        <row r="114">
          <cell r="AU114">
            <v>98.814785799478145</v>
          </cell>
        </row>
        <row r="115">
          <cell r="AU115">
            <v>95.902564497676096</v>
          </cell>
        </row>
        <row r="116">
          <cell r="AU116">
            <v>98.175518315541183</v>
          </cell>
        </row>
        <row r="117">
          <cell r="AU117">
            <v>96.874026079753961</v>
          </cell>
        </row>
        <row r="118">
          <cell r="AU118">
            <v>96.210568758972599</v>
          </cell>
        </row>
        <row r="119">
          <cell r="AU119">
            <v>98.185551655182479</v>
          </cell>
        </row>
        <row r="120">
          <cell r="AU120">
            <v>98.090666634651427</v>
          </cell>
        </row>
        <row r="121">
          <cell r="AU121">
            <v>97.545012872669332</v>
          </cell>
        </row>
        <row r="122">
          <cell r="AU122">
            <v>95.071812655510129</v>
          </cell>
        </row>
        <row r="123">
          <cell r="AU123">
            <v>99.43552908729977</v>
          </cell>
        </row>
        <row r="125">
          <cell r="AU125">
            <v>89.924292290392472</v>
          </cell>
        </row>
        <row r="126">
          <cell r="AU126">
            <v>94.537695289743212</v>
          </cell>
        </row>
        <row r="127">
          <cell r="AU127">
            <v>98.000013979580487</v>
          </cell>
        </row>
        <row r="128">
          <cell r="AU128">
            <v>95.186842986970504</v>
          </cell>
        </row>
        <row r="129">
          <cell r="AU129">
            <v>96.696641173491798</v>
          </cell>
        </row>
        <row r="130">
          <cell r="AU130">
            <v>95.944138129340132</v>
          </cell>
        </row>
        <row r="131">
          <cell r="AU131">
            <v>93.413051544866548</v>
          </cell>
        </row>
        <row r="132">
          <cell r="AU132">
            <v>96.069102087559131</v>
          </cell>
        </row>
        <row r="133">
          <cell r="AU133">
            <v>98.137125811557496</v>
          </cell>
        </row>
        <row r="134">
          <cell r="AU134">
            <v>97.168379942866267</v>
          </cell>
        </row>
        <row r="136">
          <cell r="AU136">
            <v>94.124868174530278</v>
          </cell>
        </row>
        <row r="137">
          <cell r="AU137">
            <v>95.154601054457146</v>
          </cell>
        </row>
        <row r="138">
          <cell r="AU138">
            <v>96.220811022939529</v>
          </cell>
        </row>
        <row r="139">
          <cell r="AU139">
            <v>97.517216436709603</v>
          </cell>
        </row>
        <row r="140">
          <cell r="AU140">
            <v>96.281980045545069</v>
          </cell>
        </row>
        <row r="141">
          <cell r="AU141">
            <v>95.840387117370994</v>
          </cell>
        </row>
        <row r="142">
          <cell r="AU142">
            <v>95.62272817509934</v>
          </cell>
        </row>
        <row r="143">
          <cell r="AU143">
            <v>97.419625508620229</v>
          </cell>
        </row>
        <row r="144">
          <cell r="AU144">
            <v>96.095204819099521</v>
          </cell>
        </row>
        <row r="145">
          <cell r="AU145">
            <v>95.427155830154973</v>
          </cell>
        </row>
        <row r="147">
          <cell r="AU147">
            <v>91.160130162104309</v>
          </cell>
        </row>
        <row r="148">
          <cell r="AU148">
            <v>96.404323693454927</v>
          </cell>
        </row>
        <row r="149">
          <cell r="AU149">
            <v>95.683417143594824</v>
          </cell>
        </row>
        <row r="150">
          <cell r="AU150">
            <v>95.809489237012428</v>
          </cell>
        </row>
        <row r="151">
          <cell r="AU151">
            <v>97.090758279891048</v>
          </cell>
        </row>
        <row r="152">
          <cell r="AU152">
            <v>94.091899893433379</v>
          </cell>
        </row>
        <row r="153">
          <cell r="AU153">
            <v>96.193480056158236</v>
          </cell>
        </row>
        <row r="154">
          <cell r="AU154">
            <v>94.865416286743525</v>
          </cell>
        </row>
        <row r="155">
          <cell r="AU155">
            <v>94.951993001600584</v>
          </cell>
        </row>
        <row r="156">
          <cell r="AU156">
            <v>94.607872565715482</v>
          </cell>
        </row>
        <row r="158">
          <cell r="A158" t="str">
            <v>VM061</v>
          </cell>
          <cell r="AU158">
            <v>93.00523973792491</v>
          </cell>
        </row>
        <row r="159">
          <cell r="A159" t="str">
            <v>VM062</v>
          </cell>
          <cell r="AU159">
            <v>95.154968494234055</v>
          </cell>
        </row>
        <row r="160">
          <cell r="A160" t="str">
            <v>VM063</v>
          </cell>
          <cell r="AU160">
            <v>97.138427856424443</v>
          </cell>
        </row>
        <row r="161">
          <cell r="A161" t="str">
            <v>VM064</v>
          </cell>
          <cell r="AU161">
            <v>95.267023489278699</v>
          </cell>
        </row>
        <row r="162">
          <cell r="A162" t="str">
            <v>VM065</v>
          </cell>
          <cell r="AU162">
            <v>98.162235648460509</v>
          </cell>
        </row>
        <row r="163">
          <cell r="A163" t="str">
            <v>VM066</v>
          </cell>
          <cell r="AU163">
            <v>88.890405461826575</v>
          </cell>
        </row>
      </sheetData>
      <sheetData sheetId="4">
        <row r="5">
          <cell r="C5" t="str">
            <v>DPV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8">
          <cell r="H8">
            <v>403.40000000000003</v>
          </cell>
        </row>
      </sheetData>
      <sheetData sheetId="23" refreshError="1"/>
      <sheetData sheetId="2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September '23 "/>
      <sheetName val="Summary August '23 "/>
      <sheetName val="Summary July '23"/>
      <sheetName val="Summary January '23"/>
      <sheetName val="Summary December '22  "/>
      <sheetName val="Summary November '22  "/>
      <sheetName val="Summary October '22 "/>
      <sheetName val="Summary September '22 "/>
      <sheetName val="Summary August '22 "/>
      <sheetName val="Summary July '22 "/>
      <sheetName val="Summary June '22 "/>
      <sheetName val="Summary May '22 "/>
      <sheetName val="Summary April '22 "/>
      <sheetName val="Summary March '22 "/>
      <sheetName val="Summary February '22 "/>
      <sheetName val="Summary January '22 "/>
      <sheetName val="Summary December '21 "/>
      <sheetName val="Summary November '21 "/>
      <sheetName val="Summary September '21 "/>
      <sheetName val="Summary August '21"/>
      <sheetName val="Summary July'21"/>
      <sheetName val="Summary June '21 "/>
      <sheetName val="Summary May '21"/>
      <sheetName val="Summary April '21 "/>
      <sheetName val="Summary March '21"/>
      <sheetName val="Summary February '21"/>
      <sheetName val="Summary January '21"/>
      <sheetName val="Summary December '20 "/>
      <sheetName val="Summary November '20  "/>
      <sheetName val="Summary October '20 "/>
      <sheetName val="Summary September '20 "/>
      <sheetName val="Summary August '20  "/>
      <sheetName val="Summary July'20  "/>
      <sheetName val="Summary June'20 "/>
      <sheetName val="Summary May'20 "/>
      <sheetName val="Summary March'20 "/>
      <sheetName val="Summary February'20"/>
      <sheetName val="Summary January'20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">
          <cell r="AT11">
            <v>90.812413514896079</v>
          </cell>
        </row>
        <row r="74">
          <cell r="AT74">
            <v>97.150248014703294</v>
          </cell>
        </row>
        <row r="75">
          <cell r="AT75">
            <v>95.674742958147831</v>
          </cell>
        </row>
        <row r="76">
          <cell r="AT76">
            <v>100.84803557336481</v>
          </cell>
        </row>
        <row r="77">
          <cell r="AT77">
            <v>88.652151049519262</v>
          </cell>
        </row>
        <row r="78">
          <cell r="AT78">
            <v>91.164092280279334</v>
          </cell>
        </row>
        <row r="79">
          <cell r="AT79">
            <v>90.269749115607993</v>
          </cell>
        </row>
      </sheetData>
      <sheetData sheetId="8">
        <row r="4">
          <cell r="D4">
            <v>13.5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 Apr'14"/>
      <sheetName val="Summary May'14"/>
      <sheetName val="BrewMaterials"/>
      <sheetName val="Brewhouse"/>
      <sheetName val="Process"/>
      <sheetName val="Packaging"/>
      <sheetName val="Summary December ' 23 "/>
      <sheetName val="Summary November ' 23 "/>
      <sheetName val="Summary October ' 23  "/>
      <sheetName val="Summary September ' 23  "/>
      <sheetName val="Summary August ' 23 "/>
      <sheetName val="Summary July ' 23 "/>
      <sheetName val="Summary June ' 23"/>
      <sheetName val="Summary May ' 23 "/>
      <sheetName val="Summary April ' 23"/>
      <sheetName val="Summary March ' 23 "/>
      <sheetName val="Summary February ' 23 "/>
      <sheetName val="Summary January ' 23"/>
      <sheetName val="Summary December ' 22"/>
      <sheetName val="Summary November ' 22"/>
      <sheetName val="Summary October ' 22"/>
      <sheetName val="Summary September ' 22"/>
      <sheetName val="Summary August' 22"/>
      <sheetName val="Summary July' 22"/>
      <sheetName val="Summary June' 22"/>
      <sheetName val="Summary May' 22 "/>
      <sheetName val="Summary April' 22 "/>
      <sheetName val="Summary March' 22"/>
      <sheetName val="Summary February' 22"/>
      <sheetName val="Summary January' 22"/>
      <sheetName val="Summary December' 21 "/>
      <sheetName val="Summary November' 21"/>
      <sheetName val="Summary October' 21  "/>
      <sheetName val="Summary August' 21 "/>
      <sheetName val="Summary July' 21"/>
      <sheetName val="Summary April' 21"/>
      <sheetName val="Summary March' 21  "/>
      <sheetName val="Summary February' 21 "/>
      <sheetName val="Summary January' 21  "/>
      <sheetName val="Summary December' 20  "/>
      <sheetName val="Summary November' 20  "/>
      <sheetName val="Summary September' 20  "/>
      <sheetName val="Summary August' 20  "/>
      <sheetName val="Summary July' 20 "/>
      <sheetName val="Summary June' 20 "/>
      <sheetName val="Summary May' 20 "/>
      <sheetName val="Summary March' 20 "/>
      <sheetName val="Summary February' 20"/>
      <sheetName val="Summary January' 20   "/>
    </sheetNames>
    <sheetDataSet>
      <sheetData sheetId="0"/>
      <sheetData sheetId="1"/>
      <sheetData sheetId="2"/>
      <sheetData sheetId="3">
        <row r="11">
          <cell r="A11">
            <v>6</v>
          </cell>
        </row>
        <row r="138">
          <cell r="AY138">
            <v>96.857330707129194</v>
          </cell>
        </row>
        <row r="139">
          <cell r="AY139">
            <v>98.558634236722384</v>
          </cell>
        </row>
        <row r="140">
          <cell r="AY140">
            <v>99.06939404796357</v>
          </cell>
        </row>
        <row r="141">
          <cell r="AY141">
            <v>97.738542500229343</v>
          </cell>
        </row>
        <row r="142">
          <cell r="AY142">
            <v>98.88256763553963</v>
          </cell>
        </row>
        <row r="143">
          <cell r="AY143">
            <v>97.355423733832453</v>
          </cell>
        </row>
        <row r="145">
          <cell r="AY145">
            <v>93.537197811356393</v>
          </cell>
        </row>
        <row r="146">
          <cell r="AY146">
            <v>97.637568539650758</v>
          </cell>
        </row>
        <row r="147">
          <cell r="AY147">
            <v>97.44649697695084</v>
          </cell>
        </row>
        <row r="148">
          <cell r="AY148">
            <v>98.773382829033523</v>
          </cell>
        </row>
        <row r="149">
          <cell r="AY149">
            <v>98.071154008854393</v>
          </cell>
        </row>
        <row r="150">
          <cell r="AY150">
            <v>97.063843510838709</v>
          </cell>
        </row>
        <row r="151">
          <cell r="AY151">
            <v>97.828640102350647</v>
          </cell>
        </row>
        <row r="152">
          <cell r="AY152">
            <v>98.087689047934177</v>
          </cell>
        </row>
        <row r="153">
          <cell r="AY153">
            <v>97.828640102350647</v>
          </cell>
        </row>
        <row r="155">
          <cell r="AY155">
            <v>99.698842686065035</v>
          </cell>
        </row>
        <row r="156">
          <cell r="AY156">
            <v>97.271717302321889</v>
          </cell>
        </row>
        <row r="157">
          <cell r="AY157">
            <v>98.289192483980855</v>
          </cell>
        </row>
        <row r="158">
          <cell r="AY158">
            <v>99.439999141619637</v>
          </cell>
        </row>
        <row r="159">
          <cell r="AY159">
            <v>96.974002051291038</v>
          </cell>
        </row>
        <row r="160">
          <cell r="AY160">
            <v>98.975628221718509</v>
          </cell>
        </row>
        <row r="161">
          <cell r="AY161">
            <v>101.59530290991161</v>
          </cell>
        </row>
        <row r="162">
          <cell r="AY162">
            <v>100.37351945912778</v>
          </cell>
        </row>
        <row r="163">
          <cell r="AY163">
            <v>99.626623297989596</v>
          </cell>
        </row>
        <row r="164">
          <cell r="AY164">
            <v>99.801046914684065</v>
          </cell>
        </row>
        <row r="165">
          <cell r="AY165">
            <v>100.42261588043316</v>
          </cell>
        </row>
        <row r="166">
          <cell r="AY166">
            <v>100.59254189240451</v>
          </cell>
        </row>
        <row r="167">
          <cell r="AY167">
            <v>102.82818274430574</v>
          </cell>
        </row>
        <row r="168">
          <cell r="AY168">
            <v>100.73932467067223</v>
          </cell>
        </row>
        <row r="169">
          <cell r="AY169">
            <v>102.03003131939195</v>
          </cell>
        </row>
        <row r="170">
          <cell r="AY170">
            <v>100.72183263222499</v>
          </cell>
        </row>
        <row r="171">
          <cell r="AY171">
            <v>99.794955739547987</v>
          </cell>
        </row>
        <row r="172">
          <cell r="AY172">
            <v>99.174713278737329</v>
          </cell>
        </row>
        <row r="173">
          <cell r="AY173">
            <v>99.745776886868242</v>
          </cell>
        </row>
        <row r="174">
          <cell r="AY174">
            <v>101.45896771126101</v>
          </cell>
        </row>
        <row r="176">
          <cell r="AY176">
            <v>98.50164878062526</v>
          </cell>
        </row>
        <row r="177">
          <cell r="AY177">
            <v>97.864376229539815</v>
          </cell>
        </row>
        <row r="178">
          <cell r="AY178">
            <v>96.213174293907031</v>
          </cell>
        </row>
        <row r="179">
          <cell r="AY179">
            <v>96.737733426605146</v>
          </cell>
        </row>
        <row r="180">
          <cell r="AY180">
            <v>98.671919625154061</v>
          </cell>
        </row>
        <row r="181">
          <cell r="AY181">
            <v>98.678382046481531</v>
          </cell>
        </row>
        <row r="182">
          <cell r="AY182">
            <v>97.166069677953075</v>
          </cell>
        </row>
        <row r="183">
          <cell r="AY183">
            <v>98.512845152088531</v>
          </cell>
        </row>
        <row r="184">
          <cell r="AY184">
            <v>98.221762980912644</v>
          </cell>
        </row>
        <row r="185">
          <cell r="AY185">
            <v>96.458672125242785</v>
          </cell>
        </row>
        <row r="187">
          <cell r="AY187">
            <v>99.38661333018382</v>
          </cell>
        </row>
        <row r="188">
          <cell r="AY188">
            <v>99.646849535565863</v>
          </cell>
        </row>
        <row r="189">
          <cell r="AY189">
            <v>96.44315275935341</v>
          </cell>
        </row>
        <row r="190">
          <cell r="AY190">
            <v>95.740088181090002</v>
          </cell>
        </row>
        <row r="191">
          <cell r="AY191">
            <v>101.96087155142641</v>
          </cell>
        </row>
        <row r="192">
          <cell r="AY192">
            <v>100.87431145241574</v>
          </cell>
        </row>
        <row r="193">
          <cell r="AY193">
            <v>100.77276941900652</v>
          </cell>
        </row>
        <row r="194">
          <cell r="AY194">
            <v>99.308077161646651</v>
          </cell>
        </row>
        <row r="195">
          <cell r="AY195">
            <v>97.966049625236295</v>
          </cell>
        </row>
        <row r="196">
          <cell r="AY196">
            <v>99.036532823513113</v>
          </cell>
        </row>
        <row r="197">
          <cell r="AY197">
            <v>99.829910580594287</v>
          </cell>
        </row>
        <row r="198">
          <cell r="AY198">
            <v>101.34551268586694</v>
          </cell>
        </row>
        <row r="200">
          <cell r="AY200">
            <v>95.787719035267713</v>
          </cell>
        </row>
        <row r="201">
          <cell r="AY201">
            <v>98.6328988085925</v>
          </cell>
        </row>
        <row r="202">
          <cell r="AY202">
            <v>94.459968474382819</v>
          </cell>
        </row>
        <row r="203">
          <cell r="AY203">
            <v>106.3879873741687</v>
          </cell>
        </row>
        <row r="204">
          <cell r="AY204">
            <v>98.690694600233016</v>
          </cell>
        </row>
        <row r="205">
          <cell r="AY205">
            <v>98.776855194864339</v>
          </cell>
        </row>
        <row r="206">
          <cell r="AY206">
            <v>97.717380143030724</v>
          </cell>
        </row>
        <row r="207">
          <cell r="AY207">
            <v>98.298402403340631</v>
          </cell>
        </row>
        <row r="208">
          <cell r="AY208">
            <v>99.150475857619696</v>
          </cell>
        </row>
        <row r="209">
          <cell r="AY209">
            <v>98.480851582747462</v>
          </cell>
        </row>
        <row r="210">
          <cell r="AY210">
            <v>98.900294442784613</v>
          </cell>
        </row>
        <row r="211">
          <cell r="AY211">
            <v>99.774000543159772</v>
          </cell>
        </row>
        <row r="212">
          <cell r="AY212">
            <v>100.01290942200356</v>
          </cell>
        </row>
        <row r="213">
          <cell r="AY213">
            <v>98.851572144784257</v>
          </cell>
        </row>
        <row r="214">
          <cell r="AY214">
            <v>95.961586054602336</v>
          </cell>
        </row>
        <row r="215">
          <cell r="AY215">
            <v>97.742034692393759</v>
          </cell>
        </row>
        <row r="216">
          <cell r="AY216">
            <v>98.204218222146736</v>
          </cell>
        </row>
        <row r="217">
          <cell r="AY217">
            <v>97.636227486705479</v>
          </cell>
        </row>
        <row r="218">
          <cell r="AY218">
            <v>97.478600605828163</v>
          </cell>
        </row>
        <row r="219">
          <cell r="AY219">
            <v>98.717661711315671</v>
          </cell>
        </row>
        <row r="220">
          <cell r="AY220">
            <v>98.398499623008561</v>
          </cell>
        </row>
        <row r="221">
          <cell r="AY221">
            <v>98.42316068921798</v>
          </cell>
        </row>
        <row r="222">
          <cell r="AY222">
            <v>95.64281835332649</v>
          </cell>
        </row>
        <row r="223">
          <cell r="AY223">
            <v>100.30596808204508</v>
          </cell>
        </row>
        <row r="224">
          <cell r="AY224">
            <v>97.851077552059024</v>
          </cell>
        </row>
        <row r="225">
          <cell r="AY225">
            <v>96.158768386089662</v>
          </cell>
        </row>
        <row r="226">
          <cell r="AY226">
            <v>102.14052505286946</v>
          </cell>
        </row>
        <row r="227">
          <cell r="AY227">
            <v>97.431150141503139</v>
          </cell>
        </row>
        <row r="228">
          <cell r="AY228">
            <v>100.92420324719012</v>
          </cell>
        </row>
        <row r="229">
          <cell r="AY229">
            <v>99.872915840059974</v>
          </cell>
        </row>
        <row r="230">
          <cell r="AY230">
            <v>98.084502197854505</v>
          </cell>
        </row>
        <row r="231">
          <cell r="AY231">
            <v>93.702421135620355</v>
          </cell>
        </row>
        <row r="232">
          <cell r="AY232">
            <v>98.855100098271564</v>
          </cell>
        </row>
        <row r="233">
          <cell r="AY233">
            <v>98.396198262432364</v>
          </cell>
        </row>
        <row r="234">
          <cell r="AY234">
            <v>97.777907843168137</v>
          </cell>
        </row>
        <row r="235">
          <cell r="AY235">
            <v>99.308677437581736</v>
          </cell>
        </row>
        <row r="236">
          <cell r="AY236">
            <v>98.038546530836541</v>
          </cell>
        </row>
        <row r="237">
          <cell r="AY237">
            <v>99.401997081305353</v>
          </cell>
        </row>
        <row r="238">
          <cell r="AY238">
            <v>97.48935368165435</v>
          </cell>
        </row>
        <row r="239">
          <cell r="AY239">
            <v>99.898950116799284</v>
          </cell>
        </row>
        <row r="240">
          <cell r="AY240">
            <v>99.398999137874881</v>
          </cell>
        </row>
        <row r="241">
          <cell r="AY241">
            <v>100.7519165779202</v>
          </cell>
        </row>
        <row r="242">
          <cell r="AY242">
            <v>93.544301682511559</v>
          </cell>
        </row>
        <row r="243">
          <cell r="AY243">
            <v>101.0188654292426</v>
          </cell>
        </row>
        <row r="244">
          <cell r="AY244">
            <v>99.528763203902798</v>
          </cell>
        </row>
        <row r="245">
          <cell r="AY245">
            <v>100.66092013193017</v>
          </cell>
        </row>
        <row r="246">
          <cell r="AY246">
            <v>100.08424635979156</v>
          </cell>
        </row>
        <row r="247">
          <cell r="AY247">
            <v>99.518279181903651</v>
          </cell>
        </row>
        <row r="249">
          <cell r="A249" t="str">
            <v>SM103</v>
          </cell>
          <cell r="AY249">
            <v>99.163679317628919</v>
          </cell>
        </row>
        <row r="250">
          <cell r="A250" t="str">
            <v>SM104</v>
          </cell>
          <cell r="AY250">
            <v>100.11534610570595</v>
          </cell>
        </row>
        <row r="251">
          <cell r="A251" t="str">
            <v>SM105</v>
          </cell>
          <cell r="AY251">
            <v>100.73961911513112</v>
          </cell>
        </row>
        <row r="252">
          <cell r="A252" t="str">
            <v>SM106</v>
          </cell>
          <cell r="AY252">
            <v>99.354012675244334</v>
          </cell>
        </row>
        <row r="253">
          <cell r="A253" t="str">
            <v>SM107</v>
          </cell>
          <cell r="AY253">
            <v>99.145167583223554</v>
          </cell>
        </row>
        <row r="254">
          <cell r="A254" t="str">
            <v>SM108</v>
          </cell>
          <cell r="AY254">
            <v>99.57415406203171</v>
          </cell>
        </row>
      </sheetData>
      <sheetData sheetId="4">
        <row r="5">
          <cell r="D5">
            <v>17.260000000000002</v>
          </cell>
        </row>
      </sheetData>
      <sheetData sheetId="5"/>
      <sheetData sheetId="6"/>
      <sheetData sheetId="7">
        <row r="10">
          <cell r="H10">
            <v>306.60000000000002</v>
          </cell>
        </row>
      </sheetData>
      <sheetData sheetId="8">
        <row r="22">
          <cell r="E22">
            <v>5897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2">
          <cell r="E22">
            <v>7513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1"/>
      <sheetName val="Operator Performance '18"/>
      <sheetName val="BrewMaterials"/>
      <sheetName val="Brewhouse"/>
      <sheetName val="Process"/>
      <sheetName val="Packaging"/>
      <sheetName val="Summary July '23"/>
      <sheetName val="Summary March '23"/>
      <sheetName val="Summary February '23"/>
      <sheetName val="Summary November '22 "/>
      <sheetName val="Summary October '22 "/>
      <sheetName val="Summary March '22"/>
      <sheetName val="Summary February '22 "/>
      <sheetName val="Summary August '21 "/>
      <sheetName val="Summary July '21"/>
      <sheetName val="Summary October '20 "/>
      <sheetName val="Summary September '20  "/>
      <sheetName val="Summary August '20 "/>
      <sheetName val="Summary July '20"/>
      <sheetName val="Summary June '20 "/>
    </sheetNames>
    <sheetDataSet>
      <sheetData sheetId="0"/>
      <sheetData sheetId="1"/>
      <sheetData sheetId="2"/>
      <sheetData sheetId="3">
        <row r="5">
          <cell r="A5" t="str">
            <v>HR001</v>
          </cell>
        </row>
        <row r="13">
          <cell r="AW13">
            <v>84.648574567528044</v>
          </cell>
        </row>
        <row r="14">
          <cell r="AW14">
            <v>92.105311967909813</v>
          </cell>
        </row>
        <row r="16">
          <cell r="AW16">
            <v>95.019583228533136</v>
          </cell>
        </row>
        <row r="17">
          <cell r="AW17">
            <v>96.397043172756128</v>
          </cell>
        </row>
      </sheetData>
      <sheetData sheetId="4">
        <row r="4">
          <cell r="C4" t="str">
            <v>FV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. 3rd  "/>
      <sheetName val="Jan. 4th"/>
      <sheetName val="Jan.5th"/>
      <sheetName val="Jan.6th"/>
      <sheetName val="Jan.7th "/>
      <sheetName val="Jan.8th "/>
      <sheetName val="Jan.9th  "/>
      <sheetName val="Jan.10th  "/>
      <sheetName val="Jan.11th "/>
      <sheetName val="Jan.12th "/>
      <sheetName val="Jan.13th "/>
      <sheetName val="Jan.14th  "/>
      <sheetName val="Jan.16th &amp;17th  "/>
      <sheetName val="Closing- January 2023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2">
          <cell r="L42">
            <v>98.191435797113996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eb. 6th"/>
      <sheetName val="Feb. 8th"/>
      <sheetName val="Feb Summ. to 24th"/>
      <sheetName val="Feb. 27th"/>
      <sheetName val="Feb.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>
        <row r="42">
          <cell r="L42">
            <v>97.281713730188258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rch 1st"/>
      <sheetName val="March 2nd"/>
      <sheetName val="March 3rd"/>
      <sheetName val="March 6th"/>
      <sheetName val="March 7th "/>
      <sheetName val="March 8th"/>
      <sheetName val="March 9th"/>
      <sheetName val="March10th "/>
      <sheetName val="March11th  "/>
      <sheetName val="March13th"/>
      <sheetName val="March14th "/>
      <sheetName val="March15th"/>
      <sheetName val="March 16th &amp;18th "/>
      <sheetName val="March 20th"/>
      <sheetName val="March 21st"/>
      <sheetName val="March 22nd"/>
      <sheetName val="March 23"/>
      <sheetName val="March 24 &amp; 25th &amp; 26th"/>
      <sheetName val="March 27th"/>
      <sheetName val="March 28th "/>
      <sheetName val="March 29th "/>
      <sheetName val="March 30th "/>
      <sheetName val="March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75">
          <cell r="L75">
            <v>98.782352819681904</v>
          </cell>
        </row>
        <row r="80">
          <cell r="L80">
            <v>7.04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1  "/>
      <sheetName val="April 3th "/>
      <sheetName val="April 4th "/>
      <sheetName val="April 5th "/>
      <sheetName val="April 6th"/>
      <sheetName val="Apri 8th"/>
      <sheetName val="Apri 11th"/>
      <sheetName val="Apri 12th "/>
      <sheetName val="Apri 13th "/>
      <sheetName val="Apri 14th  "/>
      <sheetName val="Apri 15th"/>
      <sheetName val="Apri 16th "/>
      <sheetName val="Apri 17th  "/>
      <sheetName val="Apri 18th "/>
      <sheetName val="Apri 19th"/>
      <sheetName val="Apri 20th &amp; 24th "/>
      <sheetName val="Apri 26th - 27th"/>
      <sheetName val="Apri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1">
          <cell r="L51">
            <v>98.125375133213936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une 1st"/>
      <sheetName val="June 6th"/>
      <sheetName val="June 12th"/>
      <sheetName val="June 13th "/>
      <sheetName val="June 14th "/>
      <sheetName val="June 15th"/>
      <sheetName val="June 16th"/>
      <sheetName val="June 19th"/>
      <sheetName val="June 20th"/>
      <sheetName val="June 21st"/>
      <sheetName val="June 22nd"/>
      <sheetName val="June 23rd"/>
      <sheetName val="June 26th"/>
      <sheetName val="June 27th "/>
      <sheetName val="June 28th "/>
      <sheetName val="June 29th  "/>
      <sheetName val="June 30th  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5">
          <cell r="L65">
            <v>98.889709416663237</v>
          </cell>
        </row>
        <row r="71">
          <cell r="L71">
            <v>7.3888888888888893</v>
          </cell>
        </row>
      </sheetData>
      <sheetData sheetId="17"/>
      <sheetData sheetId="18"/>
      <sheetData sheetId="19"/>
      <sheetData sheetId="20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uly 3rd  "/>
      <sheetName val="July 5th"/>
      <sheetName val="July 6th"/>
      <sheetName val="July 7 &amp; 8th"/>
      <sheetName val="July 10th"/>
      <sheetName val="July 11th"/>
      <sheetName val="July 12th"/>
      <sheetName val="July 13th "/>
      <sheetName val="July 14th &amp; 15th  "/>
      <sheetName val="July 17th"/>
      <sheetName val="July 18th "/>
      <sheetName val="July 19th "/>
      <sheetName val="July 20th "/>
      <sheetName val="July 21st &amp;22nd"/>
      <sheetName val="July 24th"/>
      <sheetName val="July 25th"/>
      <sheetName val="July 26th "/>
      <sheetName val="July 27th"/>
      <sheetName val="July 28th "/>
      <sheetName val="Jul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2">
          <cell r="L102">
            <v>98.494349010083567</v>
          </cell>
        </row>
        <row r="108">
          <cell r="L108">
            <v>6.5909090909090908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ug 1st"/>
      <sheetName val="Aug 2nd"/>
      <sheetName val="Aug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>
        <row r="118">
          <cell r="L118">
            <v>97.795315149035787</v>
          </cell>
        </row>
        <row r="124">
          <cell r="L124">
            <v>4.5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ct.2nd "/>
      <sheetName val="Oct.3rd"/>
      <sheetName val="Oct. 4th"/>
      <sheetName val="Oct. 5th "/>
      <sheetName val="Oct. 6th &amp;7th"/>
      <sheetName val="Oct. 9th"/>
      <sheetName val="Oct. 10th"/>
      <sheetName val="Oct. 11th"/>
      <sheetName val="Oct. 12th"/>
      <sheetName val="Oct. 13th &amp; 14th"/>
      <sheetName val="Oct. 16th"/>
      <sheetName val="Oct. 17th"/>
      <sheetName val="Oct. 18th"/>
      <sheetName val="Oct. 20th"/>
      <sheetName val="Oct. 23th"/>
      <sheetName val="Oct. 24th "/>
      <sheetName val="Oct. 26th  "/>
      <sheetName val="Oct. 27th &amp; 28th "/>
      <sheetName val="Oct.30th"/>
      <sheetName val="Oct.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5">
          <cell r="L45">
            <v>97.702105534902586</v>
          </cell>
        </row>
        <row r="51">
          <cell r="L51">
            <v>5.291666666666667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18  (2)"/>
      <sheetName val="August_2023"/>
      <sheetName val="September_2023"/>
      <sheetName val="October_2023"/>
      <sheetName val="November_2023"/>
      <sheetName val="December_2023"/>
      <sheetName val="Average"/>
      <sheetName val="October_2022"/>
      <sheetName val="November_2022"/>
      <sheetName val="December_2022"/>
      <sheetName val="September_2022"/>
      <sheetName val="August_2022"/>
    </sheetNames>
    <sheetDataSet>
      <sheetData sheetId="0"/>
      <sheetData sheetId="1"/>
      <sheetData sheetId="2">
        <row r="7">
          <cell r="J7">
            <v>283.29999999999995</v>
          </cell>
        </row>
      </sheetData>
      <sheetData sheetId="3">
        <row r="7">
          <cell r="G7">
            <v>369.9</v>
          </cell>
        </row>
      </sheetData>
      <sheetData sheetId="4">
        <row r="7">
          <cell r="AA7">
            <v>264.39999999999998</v>
          </cell>
        </row>
      </sheetData>
      <sheetData sheetId="5">
        <row r="3">
          <cell r="O3">
            <v>317.7</v>
          </cell>
        </row>
      </sheetData>
      <sheetData sheetId="6">
        <row r="3">
          <cell r="F3">
            <v>406</v>
          </cell>
        </row>
      </sheetData>
      <sheetData sheetId="7"/>
      <sheetData sheetId="8">
        <row r="3">
          <cell r="D3">
            <v>208.10000000000002</v>
          </cell>
        </row>
      </sheetData>
      <sheetData sheetId="9">
        <row r="7">
          <cell r="I7">
            <v>278.8</v>
          </cell>
        </row>
      </sheetData>
      <sheetData sheetId="10">
        <row r="3">
          <cell r="G3">
            <v>304.60000000000002</v>
          </cell>
        </row>
      </sheetData>
      <sheetData sheetId="11">
        <row r="3">
          <cell r="D3">
            <v>212.5</v>
          </cell>
        </row>
      </sheetData>
      <sheetData sheetId="12">
        <row r="3">
          <cell r="I3">
            <v>305.05</v>
          </cell>
        </row>
        <row r="13">
          <cell r="U13">
            <v>150.4</v>
          </cell>
        </row>
        <row r="17">
          <cell r="U17">
            <v>120.8</v>
          </cell>
        </row>
        <row r="21">
          <cell r="U21">
            <v>19.680851063829799</v>
          </cell>
        </row>
      </sheetData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23"/>
      <sheetName val="August_2018 (2)"/>
      <sheetName val="September_2023"/>
      <sheetName val="October_2023"/>
      <sheetName val="November_2023"/>
      <sheetName val="December_2023"/>
      <sheetName val="October_2022"/>
      <sheetName val="November_2022"/>
      <sheetName val="December_2022"/>
      <sheetName val="September_2022"/>
      <sheetName val="August_20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3">
          <cell r="AN13">
            <v>0.67939571150097466</v>
          </cell>
        </row>
        <row r="25">
          <cell r="U25">
            <v>0.42385964912280699</v>
          </cell>
        </row>
      </sheetData>
      <sheetData sheetId="13"/>
      <sheetData sheetId="14"/>
      <sheetData sheetId="15"/>
      <sheetData sheetId="16" refreshError="1"/>
      <sheetData sheetId="17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AG"/>
      <sheetName val="GUINNESS"/>
      <sheetName val="CARIB"/>
      <sheetName val="VITAMALT"/>
      <sheetName val="STARMALT"/>
      <sheetName val="MACKESON"/>
      <sheetName val="HR Pilsener"/>
      <sheetName val="IPA"/>
      <sheetName val="APA"/>
      <sheetName val="CARIBE"/>
      <sheetName val="MTD"/>
      <sheetName val="YTD 2026"/>
    </sheetNames>
    <sheetDataSet>
      <sheetData sheetId="0">
        <row r="6">
          <cell r="L6">
            <v>86.1</v>
          </cell>
        </row>
        <row r="7">
          <cell r="L7">
            <v>0</v>
          </cell>
        </row>
        <row r="14">
          <cell r="L14">
            <v>90.34</v>
          </cell>
        </row>
        <row r="15">
          <cell r="L15">
            <v>0</v>
          </cell>
        </row>
        <row r="16">
          <cell r="L16">
            <v>100</v>
          </cell>
        </row>
        <row r="17">
          <cell r="L17">
            <v>0</v>
          </cell>
        </row>
        <row r="18">
          <cell r="L18">
            <v>93.7</v>
          </cell>
        </row>
        <row r="19">
          <cell r="L19">
            <v>0</v>
          </cell>
        </row>
      </sheetData>
      <sheetData sheetId="1">
        <row r="6">
          <cell r="L6">
            <v>102</v>
          </cell>
          <cell r="S6">
            <v>9.4</v>
          </cell>
        </row>
        <row r="7">
          <cell r="L7">
            <v>0</v>
          </cell>
        </row>
        <row r="8">
          <cell r="L8">
            <v>102</v>
          </cell>
        </row>
        <row r="9">
          <cell r="L9">
            <v>0</v>
          </cell>
        </row>
        <row r="10">
          <cell r="L10">
            <v>100</v>
          </cell>
        </row>
        <row r="11">
          <cell r="L11">
            <v>0</v>
          </cell>
        </row>
        <row r="12">
          <cell r="L12">
            <v>98</v>
          </cell>
        </row>
        <row r="13">
          <cell r="L13">
            <v>0</v>
          </cell>
        </row>
      </sheetData>
      <sheetData sheetId="2">
        <row r="8">
          <cell r="L8">
            <v>100</v>
          </cell>
        </row>
        <row r="9">
          <cell r="L9">
            <v>0</v>
          </cell>
        </row>
        <row r="10">
          <cell r="L10">
            <v>93.9</v>
          </cell>
        </row>
        <row r="11">
          <cell r="L11">
            <v>0</v>
          </cell>
        </row>
        <row r="12">
          <cell r="L12">
            <v>100</v>
          </cell>
        </row>
        <row r="13">
          <cell r="L13">
            <v>0</v>
          </cell>
        </row>
        <row r="14">
          <cell r="L14">
            <v>100</v>
          </cell>
        </row>
        <row r="15">
          <cell r="L15">
            <v>0</v>
          </cell>
        </row>
        <row r="34">
          <cell r="L34">
            <v>95.2</v>
          </cell>
        </row>
        <row r="35">
          <cell r="L35">
            <v>0</v>
          </cell>
        </row>
        <row r="36">
          <cell r="L36">
            <v>93.5</v>
          </cell>
        </row>
        <row r="37">
          <cell r="L37">
            <v>0</v>
          </cell>
        </row>
        <row r="38">
          <cell r="L38">
            <v>100.5</v>
          </cell>
        </row>
        <row r="39">
          <cell r="L39">
            <v>0</v>
          </cell>
        </row>
        <row r="62">
          <cell r="L62">
            <v>94.7</v>
          </cell>
        </row>
        <row r="63">
          <cell r="L63">
            <v>0</v>
          </cell>
        </row>
        <row r="64">
          <cell r="L64">
            <v>100</v>
          </cell>
        </row>
        <row r="65">
          <cell r="L65">
            <v>0</v>
          </cell>
        </row>
        <row r="66">
          <cell r="L66">
            <v>99.2</v>
          </cell>
        </row>
        <row r="67">
          <cell r="L67">
            <v>0</v>
          </cell>
        </row>
        <row r="68">
          <cell r="L68">
            <v>101.8</v>
          </cell>
        </row>
        <row r="69">
          <cell r="L69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E5">
            <v>6.1995693428930156</v>
          </cell>
        </row>
        <row r="6">
          <cell r="E6">
            <v>5.4205694148196484</v>
          </cell>
        </row>
        <row r="7">
          <cell r="E7">
            <v>10.917759237187118</v>
          </cell>
        </row>
        <row r="8">
          <cell r="E8" t="e">
            <v>#DIV/0!</v>
          </cell>
        </row>
        <row r="9">
          <cell r="E9" t="e">
            <v>#DIV/0!</v>
          </cell>
        </row>
        <row r="10">
          <cell r="E10" t="e">
            <v>#DIV/0!</v>
          </cell>
        </row>
        <row r="11">
          <cell r="E11">
            <v>2.744050509956292</v>
          </cell>
        </row>
        <row r="12">
          <cell r="E12" t="e">
            <v>#DIV/0!</v>
          </cell>
        </row>
        <row r="13">
          <cell r="E13" t="e">
            <v>#DIV/0!</v>
          </cell>
        </row>
        <row r="14">
          <cell r="E14">
            <v>6.0438037149986501</v>
          </cell>
        </row>
      </sheetData>
      <sheetData sheetId="11">
        <row r="5">
          <cell r="E5">
            <v>6.6688605778438586</v>
          </cell>
        </row>
        <row r="6">
          <cell r="E6">
            <v>6.0838074055063762</v>
          </cell>
        </row>
        <row r="7">
          <cell r="E7">
            <v>12.019739161085637</v>
          </cell>
        </row>
        <row r="8">
          <cell r="E8">
            <v>4.601418358346991</v>
          </cell>
        </row>
        <row r="9">
          <cell r="E9" t="e">
            <v>#DIV/0!</v>
          </cell>
        </row>
        <row r="10">
          <cell r="E10">
            <v>5.1105651105651271</v>
          </cell>
        </row>
        <row r="11">
          <cell r="E11">
            <v>3.7431500795474548</v>
          </cell>
        </row>
        <row r="12">
          <cell r="E12" t="e">
            <v>#DIV/0!</v>
          </cell>
        </row>
        <row r="13">
          <cell r="E13" t="e">
            <v>#DIV/0!</v>
          </cell>
        </row>
        <row r="14">
          <cell r="E14">
            <v>6.4730616420162699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anuary'18"/>
      <sheetName val="Summary December'17"/>
      <sheetName val="Summary November'17"/>
      <sheetName val="Summary October'17"/>
      <sheetName val="Summary September'17"/>
      <sheetName val="Summary August'17"/>
      <sheetName val="Summary July'17 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%EFF."/>
      <sheetName val="Sheet1"/>
    </sheetNames>
    <sheetDataSet>
      <sheetData sheetId="0"/>
      <sheetData sheetId="1"/>
      <sheetData sheetId="2"/>
      <sheetData sheetId="3"/>
      <sheetData sheetId="4">
        <row r="7681">
          <cell r="A7681" t="str">
            <v>CA044</v>
          </cell>
        </row>
      </sheetData>
      <sheetData sheetId="5">
        <row r="5311">
          <cell r="AS5311">
            <v>85.152851511661666</v>
          </cell>
        </row>
        <row r="5347">
          <cell r="AS5347">
            <v>96.242731384136675</v>
          </cell>
        </row>
        <row r="5348">
          <cell r="AS5348">
            <v>96.696346841973863</v>
          </cell>
        </row>
        <row r="5349">
          <cell r="AS5349">
            <v>95.126289890925335</v>
          </cell>
        </row>
        <row r="5350">
          <cell r="AS5350">
            <v>99.660489230254768</v>
          </cell>
        </row>
        <row r="5351">
          <cell r="AS5351">
            <v>98.281898080887714</v>
          </cell>
        </row>
        <row r="5352">
          <cell r="AS5352">
            <v>96.026108173442964</v>
          </cell>
        </row>
        <row r="5353">
          <cell r="AS5353">
            <v>96.743154793507031</v>
          </cell>
        </row>
        <row r="5354">
          <cell r="AS5354">
            <v>97.324543944910317</v>
          </cell>
        </row>
        <row r="5355">
          <cell r="AS5355">
            <v>94.904027111234612</v>
          </cell>
        </row>
        <row r="5356">
          <cell r="AS5356">
            <v>95.53313194763814</v>
          </cell>
        </row>
        <row r="5357">
          <cell r="AS5357">
            <v>95.421463455983542</v>
          </cell>
        </row>
        <row r="5358">
          <cell r="AS5358">
            <v>97.128454670344638</v>
          </cell>
        </row>
        <row r="5359">
          <cell r="A5359" t="str">
            <v>CA236</v>
          </cell>
          <cell r="B5359">
            <v>41437</v>
          </cell>
          <cell r="I5359">
            <v>19.79</v>
          </cell>
          <cell r="N5359">
            <v>60</v>
          </cell>
          <cell r="R5359">
            <v>0.51041666666666663</v>
          </cell>
          <cell r="S5359">
            <v>0.61736111111111114</v>
          </cell>
          <cell r="T5359">
            <v>60</v>
          </cell>
          <cell r="AG5359">
            <v>49.011000000000003</v>
          </cell>
          <cell r="AS5359">
            <v>94.981545664755075</v>
          </cell>
          <cell r="AT5359">
            <v>97.074072469002047</v>
          </cell>
        </row>
        <row r="5360">
          <cell r="A5360" t="str">
            <v>CA237</v>
          </cell>
          <cell r="B5360">
            <v>41437</v>
          </cell>
          <cell r="I5360">
            <v>17.7</v>
          </cell>
          <cell r="N5360">
            <v>60</v>
          </cell>
          <cell r="R5360">
            <v>0.58680555555555558</v>
          </cell>
          <cell r="S5360">
            <v>0.69652777777777775</v>
          </cell>
          <cell r="T5360">
            <v>68</v>
          </cell>
          <cell r="AG5360">
            <v>48.531999999999996</v>
          </cell>
          <cell r="AS5360">
            <v>94.053260986347809</v>
          </cell>
          <cell r="AT5360">
            <v>96.1253368644918</v>
          </cell>
        </row>
        <row r="5361">
          <cell r="A5361" t="str">
            <v>CA238</v>
          </cell>
          <cell r="B5361">
            <v>41437</v>
          </cell>
          <cell r="I5361">
            <v>19.7</v>
          </cell>
          <cell r="N5361">
            <v>60</v>
          </cell>
          <cell r="R5361">
            <v>0.65972222222222221</v>
          </cell>
          <cell r="S5361">
            <v>0.76180555555555562</v>
          </cell>
          <cell r="T5361">
            <v>61</v>
          </cell>
          <cell r="AG5361">
            <v>50.466999999999999</v>
          </cell>
          <cell r="AS5361">
            <v>96.931393272913695</v>
          </cell>
          <cell r="AT5361">
            <v>99.066876931102286</v>
          </cell>
        </row>
        <row r="5362">
          <cell r="A5362" t="str">
            <v>CA239</v>
          </cell>
          <cell r="B5362">
            <v>41437</v>
          </cell>
          <cell r="I5362">
            <v>19</v>
          </cell>
          <cell r="N5362">
            <v>60</v>
          </cell>
          <cell r="R5362">
            <v>0.73263888888888884</v>
          </cell>
          <cell r="S5362">
            <v>0.83680555555555547</v>
          </cell>
          <cell r="T5362">
            <v>62</v>
          </cell>
          <cell r="AG5362">
            <v>49.374000000000002</v>
          </cell>
          <cell r="AS5362">
            <v>95.68502653795305</v>
          </cell>
          <cell r="AT5362">
            <v>97.793051643192499</v>
          </cell>
        </row>
      </sheetData>
      <sheetData sheetId="6">
        <row r="7086">
          <cell r="AD7086">
            <v>49.378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May '18 "/>
      <sheetName val="Summary April '18"/>
      <sheetName val="Summary March '18"/>
      <sheetName val="Summary February '18"/>
      <sheetName val="Summary January '18"/>
      <sheetName val="Summary December '17"/>
      <sheetName val="Summary November '17"/>
      <sheetName val="Summary October '17"/>
      <sheetName val="Summary September '17"/>
      <sheetName val="Summary August '17"/>
      <sheetName val="Summary July '17 "/>
      <sheetName val="Summary June '17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Summary May '14"/>
      <sheetName val="Summary Apr '14"/>
      <sheetName val="ProcessMaterials"/>
      <sheetName val="PackMaterials"/>
      <sheetName val="%EFF."/>
    </sheetNames>
    <sheetDataSet>
      <sheetData sheetId="0"/>
      <sheetData sheetId="1"/>
      <sheetData sheetId="2"/>
      <sheetData sheetId="3">
        <row r="2408">
          <cell r="A2408" t="str">
            <v>ST051</v>
          </cell>
        </row>
      </sheetData>
      <sheetData sheetId="4">
        <row r="620">
          <cell r="AQ620">
            <v>94.769044771084623</v>
          </cell>
        </row>
        <row r="641">
          <cell r="AQ641">
            <v>93.076170468981061</v>
          </cell>
        </row>
        <row r="642">
          <cell r="AQ642">
            <v>95.149436694787028</v>
          </cell>
        </row>
        <row r="643">
          <cell r="AQ643">
            <v>95.833974927594824</v>
          </cell>
        </row>
        <row r="644">
          <cell r="AQ644">
            <v>93.377483332023004</v>
          </cell>
        </row>
      </sheetData>
      <sheetData sheetId="5">
        <row r="1851">
          <cell r="Z1851">
            <v>49.381999999999998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1"/>
      <sheetName val="VitaMalt - Operator Performance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December '19"/>
      <sheetName val="Summary November '19 "/>
      <sheetName val="Summary October '19  "/>
      <sheetName val="Summary September '19  "/>
      <sheetName val="Summary August '19 "/>
      <sheetName val="Summary July '19 "/>
      <sheetName val="Summary June '19  "/>
      <sheetName val="Summary May '19 "/>
      <sheetName val="Summary April '19 "/>
      <sheetName val="Summary March '19"/>
      <sheetName val="Summary February '19"/>
      <sheetName val="Summary January '19"/>
      <sheetName val="Summary December'18 "/>
      <sheetName val="Summary November'18 "/>
      <sheetName val="Summary October'18"/>
      <sheetName val="Summary September'18 "/>
      <sheetName val="Summary August'18   "/>
      <sheetName val="Summary July'18  "/>
      <sheetName val="Summary June'18 "/>
      <sheetName val="Summary May'18"/>
      <sheetName val="Summary April'18"/>
      <sheetName val="Summary March'18"/>
      <sheetName val="Summary February'18"/>
      <sheetName val="Summary December '17"/>
      <sheetName val="Summary November '17"/>
      <sheetName val="Summary October '17 "/>
      <sheetName val="Summary September '17"/>
      <sheetName val="Summary August '17"/>
      <sheetName val="Summary July '17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 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PackMaterials"/>
      <sheetName val="ProcessMaterials"/>
      <sheetName val="Sheet1"/>
      <sheetName val="Summary May '14"/>
      <sheetName val="Summary July '14)"/>
      <sheetName val="Summary Feb '14"/>
      <sheetName val="Summary Mar '14"/>
      <sheetName val="Summary Apr '14"/>
      <sheetName val="Summary Jan '14"/>
      <sheetName val="Summary Dec '13"/>
      <sheetName val="Summary Nov '1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>
        <row r="154">
          <cell r="AH154">
            <v>15.308000000000002</v>
          </cell>
        </row>
        <row r="708">
          <cell r="AU708">
            <v>93.632484874867401</v>
          </cell>
        </row>
        <row r="709">
          <cell r="AU709">
            <v>94.048293616380349</v>
          </cell>
        </row>
        <row r="710">
          <cell r="AU710">
            <v>96.982003109046275</v>
          </cell>
        </row>
        <row r="711">
          <cell r="AU711">
            <v>95.536254931189035</v>
          </cell>
        </row>
      </sheetData>
      <sheetData sheetId="8">
        <row r="917">
          <cell r="D917">
            <v>14.3</v>
          </cell>
        </row>
      </sheetData>
      <sheetData sheetId="9">
        <row r="769">
          <cell r="I769">
            <v>183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ackMaterials"/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uly '17"/>
      <sheetName val="Summary May '17"/>
      <sheetName val="Summary January '17"/>
      <sheetName val="Summary December '16"/>
      <sheetName val="Summary November '16"/>
      <sheetName val="Summary October '16"/>
      <sheetName val="Summary August '16"/>
      <sheetName val="Summary May '16"/>
      <sheetName val="Summary March '16"/>
      <sheetName val="Summary February '16"/>
      <sheetName val="Summary Jaunary '16"/>
      <sheetName val="Summary November '15"/>
      <sheetName val="Summary August'15"/>
      <sheetName val="Summary June'15"/>
      <sheetName val="Summary May'15"/>
      <sheetName val="Summary April'15"/>
      <sheetName val="Summary March'15"/>
      <sheetName val="Summary February'15"/>
      <sheetName val="Summary Janaury'15"/>
      <sheetName val="Summary December'14"/>
      <sheetName val="Summary November'14"/>
      <sheetName val="Summary September'14"/>
      <sheetName val="Summary August'14"/>
      <sheetName val="Summary July'14"/>
      <sheetName val="Sheet1"/>
      <sheetName val="Summary Feb'14"/>
      <sheetName val="Summary Mar'14"/>
      <sheetName val="Summary Apr'14"/>
      <sheetName val="Summary Sept '12"/>
      <sheetName val="Summary Oct '12"/>
      <sheetName val="Summary Nov '12"/>
      <sheetName val="Summary Dec '12"/>
      <sheetName val="Summary May'14"/>
      <sheetName val="Summary Jan'14"/>
      <sheetName val="NewMMaltLog"/>
      <sheetName val="Summary Dec'13"/>
      <sheetName val="Summary Oct'13"/>
      <sheetName val="Summary Aug '13"/>
      <sheetName val="Summary Sept'13"/>
    </sheetNames>
    <sheetDataSet>
      <sheetData sheetId="0"/>
      <sheetData sheetId="1"/>
      <sheetData sheetId="2"/>
      <sheetData sheetId="3"/>
      <sheetData sheetId="4"/>
      <sheetData sheetId="5"/>
      <sheetData sheetId="6">
        <row r="938">
          <cell r="AY938">
            <v>97.175540388161437</v>
          </cell>
        </row>
        <row r="943">
          <cell r="AY943">
            <v>96.228364837670995</v>
          </cell>
        </row>
        <row r="944">
          <cell r="AY944">
            <v>96.553980410505062</v>
          </cell>
        </row>
        <row r="945">
          <cell r="AY945">
            <v>93.079827038319294</v>
          </cell>
        </row>
        <row r="946">
          <cell r="AY946">
            <v>95.367156437373168</v>
          </cell>
        </row>
      </sheetData>
      <sheetData sheetId="7">
        <row r="1029">
          <cell r="D1029">
            <v>17.3</v>
          </cell>
        </row>
      </sheetData>
      <sheetData sheetId="8">
        <row r="1001">
          <cell r="I1001">
            <v>100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. 3rd "/>
      <sheetName val="Jan. 4th"/>
      <sheetName val="Jan. 5th"/>
      <sheetName val="Jan. 6th"/>
      <sheetName val="Jan. 7th"/>
      <sheetName val="Jan. 8th "/>
      <sheetName val="Jan. 9th"/>
      <sheetName val="Jan. 10th"/>
      <sheetName val="Jan. 11th"/>
      <sheetName val="Jan. 12nd"/>
      <sheetName val="Jan. 13th"/>
      <sheetName val="Jan. 14th"/>
      <sheetName val="Jan. 17th"/>
      <sheetName val="Jan. 18th"/>
      <sheetName val="Jan. 19th "/>
      <sheetName val="Jan. 20th "/>
      <sheetName val="Jan. 21st "/>
      <sheetName val="Jan. 22nd "/>
      <sheetName val="Jan. 23rd"/>
      <sheetName val="Jan. 24th"/>
      <sheetName val="Jan. 25th "/>
      <sheetName val="Jan. 26th "/>
      <sheetName val="Jan. 27th"/>
      <sheetName val="Jan. 28th"/>
      <sheetName val="Jan. 29th"/>
      <sheetName val="Jan.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6">
          <cell r="M26"/>
        </row>
      </sheetData>
      <sheetData sheetId="26"/>
      <sheetData sheetId="27"/>
      <sheetData sheetId="28"/>
      <sheetData sheetId="29">
        <row r="40">
          <cell r="D40">
            <v>96.507822129582451</v>
          </cell>
        </row>
        <row r="41">
          <cell r="D41">
            <v>97.99738587335284</v>
          </cell>
        </row>
        <row r="43">
          <cell r="D43">
            <v>98.304611060419475</v>
          </cell>
        </row>
        <row r="44">
          <cell r="D44">
            <v>98.673584433402866</v>
          </cell>
        </row>
        <row r="45">
          <cell r="D45">
            <v>97.870850874189415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eb. 1"/>
      <sheetName val="Feb. 2"/>
      <sheetName val="Feb.3"/>
      <sheetName val="Feb.4"/>
      <sheetName val="Feb.5"/>
      <sheetName val="Feb.6"/>
      <sheetName val="Feb.8"/>
      <sheetName val="Feb.9"/>
      <sheetName val="Feb10"/>
      <sheetName val="Feb11"/>
      <sheetName val="Feb14"/>
      <sheetName val="Feb16"/>
      <sheetName val="Feb17"/>
      <sheetName val="Feb18"/>
      <sheetName val="Feb19"/>
      <sheetName val="Feb 20"/>
      <sheetName val="Feb 21"/>
      <sheetName val="Feb 22"/>
      <sheetName val="Feb 23"/>
      <sheetName val="Feb 24"/>
      <sheetName val="Feb 25"/>
      <sheetName val="Feb 28"/>
      <sheetName val="MTD_Links"/>
      <sheetName val="YTD_Links"/>
      <sheetName val="KPIs"/>
      <sheetName val="Brewer Performance"/>
    </sheetNames>
    <sheetDataSet>
      <sheetData sheetId="0">
        <row r="10">
          <cell r="I10">
            <v>98.123184148666738</v>
          </cell>
        </row>
        <row r="11">
          <cell r="I11">
            <v>98.683467559299089</v>
          </cell>
        </row>
        <row r="12">
          <cell r="I12">
            <v>98.314511323292791</v>
          </cell>
        </row>
        <row r="13">
          <cell r="I13">
            <v>97.922547536667238</v>
          </cell>
        </row>
      </sheetData>
      <sheetData sheetId="1">
        <row r="10">
          <cell r="I10">
            <v>96.654039768784585</v>
          </cell>
        </row>
        <row r="11">
          <cell r="I11">
            <v>97.626897597506286</v>
          </cell>
        </row>
        <row r="12">
          <cell r="I12">
            <v>96.897954070494137</v>
          </cell>
        </row>
        <row r="13">
          <cell r="I13">
            <v>97.197790342769324</v>
          </cell>
        </row>
        <row r="14">
          <cell r="I14">
            <v>126.64369016344237</v>
          </cell>
        </row>
        <row r="15">
          <cell r="I15">
            <v>96.838505772060998</v>
          </cell>
        </row>
      </sheetData>
      <sheetData sheetId="2">
        <row r="10">
          <cell r="I10">
            <v>93.401228986840337</v>
          </cell>
        </row>
        <row r="11">
          <cell r="I11">
            <v>98.002281531234885</v>
          </cell>
        </row>
        <row r="12">
          <cell r="I12">
            <v>98.835486091836955</v>
          </cell>
        </row>
        <row r="13">
          <cell r="I13">
            <v>98.759890407896819</v>
          </cell>
        </row>
      </sheetData>
      <sheetData sheetId="3">
        <row r="10">
          <cell r="I10">
            <v>99.702074763387657</v>
          </cell>
        </row>
        <row r="11">
          <cell r="I11">
            <v>100.90814824842866</v>
          </cell>
        </row>
        <row r="12">
          <cell r="I12">
            <v>99.144516581875834</v>
          </cell>
        </row>
        <row r="13">
          <cell r="I13">
            <v>98.812178600360937</v>
          </cell>
        </row>
        <row r="16">
          <cell r="I16">
            <v>93.753343561859964</v>
          </cell>
        </row>
        <row r="17">
          <cell r="I17">
            <v>97.360391272612617</v>
          </cell>
        </row>
      </sheetData>
      <sheetData sheetId="4"/>
      <sheetData sheetId="5"/>
      <sheetData sheetId="6">
        <row r="10">
          <cell r="I10">
            <v>94.68833319503716</v>
          </cell>
        </row>
        <row r="13">
          <cell r="I13">
            <v>98.850612416982429</v>
          </cell>
        </row>
        <row r="14">
          <cell r="I14">
            <v>98.168169114883824</v>
          </cell>
        </row>
        <row r="15">
          <cell r="I15">
            <v>98.688171350132521</v>
          </cell>
        </row>
        <row r="16">
          <cell r="I16">
            <v>100.71464055677211</v>
          </cell>
        </row>
        <row r="19">
          <cell r="I19">
            <v>96.029058348682</v>
          </cell>
        </row>
        <row r="20">
          <cell r="I20">
            <v>98.795135429785148</v>
          </cell>
        </row>
        <row r="21">
          <cell r="I21">
            <v>98.899033336355927</v>
          </cell>
        </row>
      </sheetData>
      <sheetData sheetId="7">
        <row r="10">
          <cell r="I10">
            <v>99.276637163611909</v>
          </cell>
        </row>
        <row r="11">
          <cell r="I11">
            <v>97.944376518529467</v>
          </cell>
        </row>
        <row r="12">
          <cell r="I12">
            <v>99.66217750211139</v>
          </cell>
        </row>
        <row r="13">
          <cell r="I13">
            <v>97.944376518529467</v>
          </cell>
        </row>
        <row r="14">
          <cell r="I14">
            <v>98.891096825112442</v>
          </cell>
        </row>
        <row r="17">
          <cell r="I17">
            <v>96.699606498403327</v>
          </cell>
        </row>
        <row r="18">
          <cell r="I18">
            <v>98.974669332616003</v>
          </cell>
        </row>
        <row r="19">
          <cell r="I19">
            <v>98.813320450261855</v>
          </cell>
        </row>
        <row r="20">
          <cell r="I20">
            <v>98.773909354253703</v>
          </cell>
        </row>
      </sheetData>
      <sheetData sheetId="8">
        <row r="10">
          <cell r="I10">
            <v>96.114465070299261</v>
          </cell>
        </row>
        <row r="11">
          <cell r="I11">
            <v>98.703671213689944</v>
          </cell>
        </row>
        <row r="12">
          <cell r="I12">
            <v>100.02066383926034</v>
          </cell>
        </row>
        <row r="13">
          <cell r="I13">
            <v>98.477044369894685</v>
          </cell>
        </row>
        <row r="14">
          <cell r="I14">
            <v>98.898737757590524</v>
          </cell>
        </row>
        <row r="15">
          <cell r="I15">
            <v>98.824177713880189</v>
          </cell>
        </row>
        <row r="16">
          <cell r="I16">
            <v>98.590372337038914</v>
          </cell>
        </row>
        <row r="17">
          <cell r="I17">
            <v>98.637973628130041</v>
          </cell>
        </row>
        <row r="18">
          <cell r="I18">
            <v>98.892528564617351</v>
          </cell>
        </row>
      </sheetData>
      <sheetData sheetId="9">
        <row r="10">
          <cell r="I10">
            <v>95.033114450535422</v>
          </cell>
        </row>
        <row r="11">
          <cell r="I11">
            <v>95.97632563766723</v>
          </cell>
        </row>
        <row r="12">
          <cell r="I12">
            <v>95.15577872519269</v>
          </cell>
        </row>
        <row r="13">
          <cell r="I13">
            <v>94.716849623972706</v>
          </cell>
        </row>
      </sheetData>
      <sheetData sheetId="10">
        <row r="10">
          <cell r="I10">
            <v>93.262012146617025</v>
          </cell>
        </row>
        <row r="11">
          <cell r="I11">
            <v>96.51966443717626</v>
          </cell>
        </row>
        <row r="12">
          <cell r="I12">
            <v>96.420162775074274</v>
          </cell>
        </row>
        <row r="13">
          <cell r="I13">
            <v>94.850777050345258</v>
          </cell>
        </row>
        <row r="14">
          <cell r="I14">
            <v>93.11184471354899</v>
          </cell>
        </row>
        <row r="15">
          <cell r="I15">
            <v>95.233332316878489</v>
          </cell>
        </row>
        <row r="16">
          <cell r="I16">
            <v>96.557005255666269</v>
          </cell>
        </row>
        <row r="17">
          <cell r="I17">
            <v>90.296683351916798</v>
          </cell>
        </row>
      </sheetData>
      <sheetData sheetId="11"/>
      <sheetData sheetId="12">
        <row r="10">
          <cell r="I10">
            <v>96.248353016017901</v>
          </cell>
        </row>
        <row r="11">
          <cell r="I11">
            <v>97.064511461322596</v>
          </cell>
        </row>
        <row r="12">
          <cell r="I12">
            <v>97.960588310011829</v>
          </cell>
        </row>
        <row r="13">
          <cell r="I13">
            <v>101.64563062243221</v>
          </cell>
        </row>
        <row r="16">
          <cell r="I16">
            <v>97.148656534767667</v>
          </cell>
        </row>
        <row r="17">
          <cell r="I17">
            <v>101.13282706862702</v>
          </cell>
        </row>
        <row r="18">
          <cell r="I18">
            <v>98.859340325604236</v>
          </cell>
        </row>
        <row r="19">
          <cell r="I19">
            <v>97.671892686767549</v>
          </cell>
        </row>
        <row r="20">
          <cell r="I20">
            <v>97.795650965100123</v>
          </cell>
        </row>
        <row r="21">
          <cell r="I21">
            <v>97.549177275509706</v>
          </cell>
        </row>
      </sheetData>
      <sheetData sheetId="13">
        <row r="10">
          <cell r="I10">
            <v>90.812413514896079</v>
          </cell>
        </row>
        <row r="11">
          <cell r="I11">
            <v>94.886065993628819</v>
          </cell>
        </row>
        <row r="12">
          <cell r="I12">
            <v>94.665038526850267</v>
          </cell>
        </row>
        <row r="13">
          <cell r="I13">
            <v>95.386395261799493</v>
          </cell>
        </row>
        <row r="14">
          <cell r="I14">
            <v>95.746555809018503</v>
          </cell>
        </row>
        <row r="15">
          <cell r="I15">
            <v>96.458811263569714</v>
          </cell>
        </row>
      </sheetData>
      <sheetData sheetId="14"/>
      <sheetData sheetId="15"/>
      <sheetData sheetId="16">
        <row r="10">
          <cell r="I10">
            <v>92.244154059965609</v>
          </cell>
        </row>
        <row r="11">
          <cell r="I11">
            <v>94.954580288699233</v>
          </cell>
        </row>
        <row r="12">
          <cell r="I12">
            <v>94.753648792324014</v>
          </cell>
        </row>
        <row r="13">
          <cell r="I13">
            <v>95.469672057516448</v>
          </cell>
        </row>
        <row r="16">
          <cell r="I16">
            <v>95.037629150459026</v>
          </cell>
        </row>
        <row r="17">
          <cell r="I17">
            <v>98.344635577363221</v>
          </cell>
        </row>
        <row r="18">
          <cell r="I18">
            <v>96.201930897199915</v>
          </cell>
        </row>
        <row r="19">
          <cell r="I19">
            <v>97.455737205534618</v>
          </cell>
        </row>
      </sheetData>
      <sheetData sheetId="17">
        <row r="10">
          <cell r="I10">
            <v>95.737170130083328</v>
          </cell>
        </row>
        <row r="11">
          <cell r="I11">
            <v>97.204145011682172</v>
          </cell>
        </row>
        <row r="12">
          <cell r="I12">
            <v>97.795650965100123</v>
          </cell>
        </row>
        <row r="13">
          <cell r="I13">
            <v>92.179060669436268</v>
          </cell>
        </row>
        <row r="16">
          <cell r="I16">
            <v>100.56180946337685</v>
          </cell>
        </row>
        <row r="17">
          <cell r="I17">
            <v>98.418170009595116</v>
          </cell>
        </row>
        <row r="18">
          <cell r="I18">
            <v>101.75209232957572</v>
          </cell>
        </row>
        <row r="19">
          <cell r="I19">
            <v>101.90982815614709</v>
          </cell>
        </row>
        <row r="20">
          <cell r="I20">
            <v>98.645399167542877</v>
          </cell>
        </row>
        <row r="21">
          <cell r="I21">
            <v>98.019248385454901</v>
          </cell>
        </row>
        <row r="22">
          <cell r="I22">
            <v>97.631897441591931</v>
          </cell>
        </row>
      </sheetData>
      <sheetData sheetId="18">
        <row r="10">
          <cell r="I10">
            <v>96.330365427788195</v>
          </cell>
        </row>
        <row r="11">
          <cell r="I11">
            <v>96.377132884428931</v>
          </cell>
        </row>
        <row r="14">
          <cell r="I14">
            <v>93.488258370937686</v>
          </cell>
        </row>
        <row r="15">
          <cell r="I15">
            <v>100.81408999243216</v>
          </cell>
        </row>
        <row r="16">
          <cell r="I16">
            <v>98.251697811855152</v>
          </cell>
        </row>
        <row r="17">
          <cell r="I17">
            <v>98.260907082704051</v>
          </cell>
        </row>
        <row r="18">
          <cell r="I18">
            <v>97.874813145247458</v>
          </cell>
        </row>
        <row r="19">
          <cell r="I19">
            <v>96.443322942180714</v>
          </cell>
        </row>
        <row r="20">
          <cell r="I20">
            <v>95.376782036144007</v>
          </cell>
        </row>
        <row r="21">
          <cell r="I21">
            <v>97.722861589047369</v>
          </cell>
        </row>
      </sheetData>
      <sheetData sheetId="19">
        <row r="10">
          <cell r="I10">
            <v>97.344774780858927</v>
          </cell>
        </row>
        <row r="11">
          <cell r="I11">
            <v>99.938000539259747</v>
          </cell>
        </row>
        <row r="12">
          <cell r="I12">
            <v>99.148955916989195</v>
          </cell>
        </row>
        <row r="15">
          <cell r="I15">
            <v>92.353930064406839</v>
          </cell>
        </row>
        <row r="16">
          <cell r="I16">
            <v>97.682055444668023</v>
          </cell>
        </row>
        <row r="17">
          <cell r="I17">
            <v>97.162594227257927</v>
          </cell>
        </row>
        <row r="18">
          <cell r="I18">
            <v>97.082444613255419</v>
          </cell>
        </row>
      </sheetData>
      <sheetData sheetId="20">
        <row r="10">
          <cell r="I10">
            <v>97.743444227837671</v>
          </cell>
        </row>
        <row r="11">
          <cell r="I11">
            <v>100.62303370508012</v>
          </cell>
        </row>
        <row r="12">
          <cell r="I12">
            <v>100.32085756447438</v>
          </cell>
        </row>
        <row r="13">
          <cell r="I13">
            <v>102.21334912318227</v>
          </cell>
        </row>
        <row r="14">
          <cell r="I14">
            <v>102.22340004631398</v>
          </cell>
        </row>
        <row r="15">
          <cell r="I15">
            <v>100.71268145494867</v>
          </cell>
        </row>
        <row r="16">
          <cell r="I16">
            <v>101.60819946880315</v>
          </cell>
        </row>
        <row r="17">
          <cell r="I17">
            <v>99.513054708255964</v>
          </cell>
        </row>
      </sheetData>
      <sheetData sheetId="21">
        <row r="10">
          <cell r="I10">
            <v>95.66367132027942</v>
          </cell>
        </row>
        <row r="11">
          <cell r="I11">
            <v>102.17092463684476</v>
          </cell>
        </row>
        <row r="12">
          <cell r="I12">
            <v>99.720751788720221</v>
          </cell>
        </row>
        <row r="13">
          <cell r="I13">
            <v>99.964453799637965</v>
          </cell>
        </row>
        <row r="14">
          <cell r="I14">
            <v>100.66118230226407</v>
          </cell>
        </row>
        <row r="15">
          <cell r="I15">
            <v>99.195496462717671</v>
          </cell>
        </row>
        <row r="16">
          <cell r="I16">
            <v>100.31967295635533</v>
          </cell>
        </row>
        <row r="17">
          <cell r="I17">
            <v>99.988679850652673</v>
          </cell>
        </row>
        <row r="18">
          <cell r="I18">
            <v>99.769922769334443</v>
          </cell>
        </row>
        <row r="19">
          <cell r="I19">
            <v>100.72177330021805</v>
          </cell>
        </row>
        <row r="20">
          <cell r="I20">
            <v>100.21013716886533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y 3rd"/>
      <sheetName val="May 4th"/>
      <sheetName val="May 5th "/>
      <sheetName val="May 6th"/>
      <sheetName val="May 9th"/>
      <sheetName val="May 10th"/>
      <sheetName val="May 11th"/>
      <sheetName val="May 12th"/>
      <sheetName val="May 13th "/>
      <sheetName val="May 16th"/>
      <sheetName val="May 17th "/>
      <sheetName val="May 18th "/>
      <sheetName val="May 19th  "/>
      <sheetName val="May 20th  "/>
      <sheetName val="May 21st"/>
      <sheetName val="May 23rd"/>
      <sheetName val="May 24th"/>
      <sheetName val="May 25th "/>
      <sheetName val="May 26th  "/>
      <sheetName val="May 27th "/>
      <sheetName val="May 30th "/>
      <sheetName val="Ma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0">
          <cell r="L40">
            <v>98.589991376020791</v>
          </cell>
        </row>
      </sheetData>
      <sheetData sheetId="22"/>
      <sheetData sheetId="23"/>
      <sheetData sheetId="24"/>
      <sheetData sheetId="25">
        <row r="40">
          <cell r="H40">
            <v>98.517352497406634</v>
          </cell>
        </row>
        <row r="41">
          <cell r="H41">
            <v>98.442574874312371</v>
          </cell>
        </row>
        <row r="43">
          <cell r="H43">
            <v>98.685415156420575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B8A64-1E4B-4795-93AF-1113C3B47C6F}">
  <sheetPr codeName="Sheet1">
    <pageSetUpPr fitToPage="1"/>
  </sheetPr>
  <dimension ref="A1:BF110"/>
  <sheetViews>
    <sheetView zoomScale="80" zoomScaleNormal="80" workbookViewId="0">
      <selection activeCell="G90" sqref="G90"/>
    </sheetView>
  </sheetViews>
  <sheetFormatPr defaultColWidth="9.42578125" defaultRowHeight="14.25"/>
  <cols>
    <col min="1" max="1" width="3.42578125" style="275" customWidth="1"/>
    <col min="2" max="2" width="20.7109375" style="275" customWidth="1"/>
    <col min="3" max="3" width="13.42578125" style="275" customWidth="1"/>
    <col min="4" max="4" width="11.5703125" style="275" customWidth="1"/>
    <col min="5" max="5" width="12.42578125" style="275" customWidth="1"/>
    <col min="6" max="6" width="11.42578125" style="275" customWidth="1"/>
    <col min="7" max="7" width="13.42578125" style="275" customWidth="1"/>
    <col min="8" max="8" width="12.42578125" style="275" customWidth="1"/>
    <col min="9" max="9" width="17.5703125" style="275" customWidth="1"/>
    <col min="10" max="10" width="25.28515625" style="275" customWidth="1"/>
    <col min="11" max="11" width="18.5703125" style="275" customWidth="1"/>
    <col min="12" max="12" width="15.7109375" style="275" customWidth="1"/>
    <col min="13" max="13" width="27.5703125" style="275" customWidth="1"/>
    <col min="14" max="14" width="13.28515625" style="275" customWidth="1"/>
    <col min="15" max="15" width="19.42578125" style="275" customWidth="1"/>
    <col min="16" max="16" width="36.5703125" style="6" customWidth="1"/>
    <col min="17" max="17" width="14" style="275" hidden="1" customWidth="1"/>
    <col min="18" max="18" width="16.5703125" style="275" customWidth="1"/>
    <col min="19" max="19" width="15.7109375" style="275" bestFit="1" customWidth="1"/>
    <col min="20" max="20" width="12.42578125" style="275" customWidth="1"/>
    <col min="21" max="21" width="15" style="275" customWidth="1"/>
    <col min="22" max="22" width="12" style="275" customWidth="1"/>
    <col min="23" max="23" width="10.42578125" style="275" customWidth="1"/>
    <col min="24" max="24" width="11.42578125" style="275" customWidth="1"/>
    <col min="25" max="25" width="10.42578125" style="275" customWidth="1"/>
    <col min="26" max="26" width="8.42578125" style="275" customWidth="1"/>
    <col min="27" max="27" width="9.5703125" style="275" customWidth="1"/>
    <col min="28" max="28" width="8.42578125" style="275" customWidth="1"/>
    <col min="29" max="30" width="7.5703125" style="275" customWidth="1"/>
    <col min="31" max="52" width="9.42578125" style="275"/>
    <col min="53" max="53" width="1.5703125" style="275" customWidth="1"/>
    <col min="54" max="55" width="9.42578125" style="275"/>
    <col min="56" max="57" width="15.42578125" style="275" customWidth="1"/>
    <col min="58" max="16384" width="9.42578125" style="275"/>
  </cols>
  <sheetData>
    <row r="1" spans="2:30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577" t="s">
        <v>0</v>
      </c>
      <c r="U1" s="577"/>
      <c r="V1" s="577" t="s">
        <v>1</v>
      </c>
      <c r="W1" s="577"/>
      <c r="X1" s="577" t="s">
        <v>2</v>
      </c>
      <c r="Y1" s="577"/>
      <c r="Z1" s="577" t="s">
        <v>124</v>
      </c>
      <c r="AA1" s="577"/>
    </row>
    <row r="2" spans="2:30" ht="15">
      <c r="B2" s="556" t="s">
        <v>3</v>
      </c>
      <c r="C2" s="556"/>
      <c r="D2" s="556"/>
      <c r="E2" s="556"/>
      <c r="F2" s="556"/>
      <c r="G2" s="556"/>
      <c r="H2" s="556"/>
      <c r="I2" s="556"/>
      <c r="J2" s="556"/>
      <c r="K2" s="556"/>
      <c r="L2" s="556"/>
      <c r="M2" s="556"/>
      <c r="N2" s="556"/>
      <c r="O2" s="556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0.17361111111111113</v>
      </c>
      <c r="Y3" s="10">
        <v>0.21180555555555555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542">
        <v>45278</v>
      </c>
      <c r="D4" s="542"/>
      <c r="J4" s="583" t="s">
        <v>153</v>
      </c>
      <c r="K4" s="583"/>
      <c r="L4" s="11"/>
      <c r="M4" s="553" t="s">
        <v>8</v>
      </c>
      <c r="N4" s="554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0.17361111111111113</v>
      </c>
      <c r="Y4" s="10">
        <v>0.21180555555555555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584"/>
      <c r="K5" s="584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0.19444444444444445</v>
      </c>
      <c r="Y5" s="10">
        <v>0.23263888888888887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578" t="s">
        <v>151</v>
      </c>
      <c r="K6" s="579"/>
      <c r="L6" s="311" t="s">
        <v>14</v>
      </c>
      <c r="M6" s="340"/>
      <c r="N6" s="340"/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0.22222222222222221</v>
      </c>
      <c r="Y6" s="10">
        <v>0.25347222222222221</v>
      </c>
      <c r="Z6" s="273">
        <v>0</v>
      </c>
      <c r="AA6" s="274"/>
      <c r="AB6" s="13"/>
      <c r="AC6" s="13"/>
      <c r="AD6" s="13"/>
    </row>
    <row r="7" spans="2:30" ht="13.35" customHeight="1" thickBot="1">
      <c r="J7" s="580"/>
      <c r="K7" s="581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0.20833333333333334</v>
      </c>
      <c r="Y7" s="10">
        <v>0.24305555555555555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506" t="s">
        <v>17</v>
      </c>
      <c r="C8" s="517" t="s">
        <v>18</v>
      </c>
      <c r="D8" s="517" t="s">
        <v>19</v>
      </c>
      <c r="E8" s="356" t="s">
        <v>20</v>
      </c>
      <c r="F8" s="356" t="s">
        <v>21</v>
      </c>
      <c r="G8" s="517" t="s">
        <v>22</v>
      </c>
      <c r="H8" s="544" t="s">
        <v>144</v>
      </c>
      <c r="I8" s="517" t="s">
        <v>152</v>
      </c>
      <c r="J8" s="546" t="s">
        <v>23</v>
      </c>
      <c r="K8" s="548" t="s">
        <v>142</v>
      </c>
      <c r="L8" s="550" t="s">
        <v>24</v>
      </c>
      <c r="M8" s="359" t="s">
        <v>25</v>
      </c>
      <c r="N8" s="17" t="s">
        <v>26</v>
      </c>
      <c r="O8" s="517"/>
      <c r="P8" s="508" t="s">
        <v>28</v>
      </c>
      <c r="Q8" s="570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0.22222222222222221</v>
      </c>
      <c r="Y8" s="10">
        <v>0.25347222222222221</v>
      </c>
      <c r="Z8" s="273">
        <v>0</v>
      </c>
      <c r="AA8" s="274"/>
      <c r="AB8" s="19"/>
    </row>
    <row r="9" spans="2:30" ht="34.5" customHeight="1">
      <c r="B9" s="543"/>
      <c r="C9" s="541"/>
      <c r="D9" s="541"/>
      <c r="E9" s="357" t="s">
        <v>30</v>
      </c>
      <c r="F9" s="357" t="s">
        <v>31</v>
      </c>
      <c r="G9" s="541"/>
      <c r="H9" s="545"/>
      <c r="I9" s="541"/>
      <c r="J9" s="547"/>
      <c r="K9" s="549"/>
      <c r="L9" s="551"/>
      <c r="M9" s="20" t="s">
        <v>32</v>
      </c>
      <c r="N9" s="21" t="s">
        <v>41</v>
      </c>
      <c r="O9" s="541"/>
      <c r="P9" s="582"/>
      <c r="Q9" s="571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0.19097222222222221</v>
      </c>
      <c r="Y9" s="10">
        <v>0.22569444444444445</v>
      </c>
      <c r="Z9" s="273">
        <v>0</v>
      </c>
      <c r="AA9" s="274">
        <v>75</v>
      </c>
      <c r="AB9" s="19"/>
    </row>
    <row r="10" spans="2:30" ht="15.75" hidden="1" customHeight="1">
      <c r="B10" s="34"/>
      <c r="C10" s="366"/>
      <c r="D10" s="279"/>
      <c r="E10" s="279"/>
      <c r="F10" s="278"/>
      <c r="G10" s="279"/>
      <c r="H10" s="394"/>
      <c r="I10" s="368"/>
      <c r="J10" s="368"/>
      <c r="K10" s="281"/>
      <c r="L10" s="276"/>
      <c r="M10" s="395"/>
      <c r="N10" s="370"/>
      <c r="O10" s="371"/>
      <c r="P10" s="375"/>
      <c r="Q10" s="347"/>
      <c r="S10" s="277">
        <f t="shared" ref="S10:S47" si="0">B10</f>
        <v>0</v>
      </c>
      <c r="T10" s="296" t="e">
        <f t="shared" ref="T10:T47" si="1">VLOOKUP($B10,$S$3:$Y$9,2,FALSE)</f>
        <v>#N/A</v>
      </c>
      <c r="U10" s="296" t="e">
        <f t="shared" ref="U10:U47" si="2">VLOOKUP($B10,$S$3:$Y$9,3,FALSE)</f>
        <v>#N/A</v>
      </c>
      <c r="V10" s="297" t="e">
        <f t="shared" ref="V10:V47" si="3">VLOOKUP($B10,$S$3:$Y$9,4,FALSE)</f>
        <v>#N/A</v>
      </c>
      <c r="W10" s="297" t="e">
        <f t="shared" ref="W10:W47" si="4">VLOOKUP($B10,$S$3:$Y$9,5,FALSE)</f>
        <v>#N/A</v>
      </c>
      <c r="X10" s="297" t="e">
        <f t="shared" ref="X10:X47" si="5">VLOOKUP($B10,$S$3:$Y$9,6,FALSE)</f>
        <v>#N/A</v>
      </c>
      <c r="Y10" s="297" t="e">
        <f t="shared" ref="Y10:Y47" si="6">VLOOKUP($B10,$S$3:$Y$9,7,FALSE)</f>
        <v>#N/A</v>
      </c>
      <c r="Z10" s="297" t="e">
        <f t="shared" ref="Z10:Z47" si="7">VLOOKUP($B10,$S$3:$AA$9,8,FALSE)</f>
        <v>#N/A</v>
      </c>
      <c r="AA10" s="296" t="e">
        <f t="shared" ref="AA10:AA47" si="8">VLOOKUP($B10,$S$3:$AA$9,9,FALSE)</f>
        <v>#N/A</v>
      </c>
    </row>
    <row r="11" spans="2:30" ht="15" hidden="1">
      <c r="B11" s="34"/>
      <c r="C11" s="366"/>
      <c r="D11" s="279"/>
      <c r="E11" s="279"/>
      <c r="F11" s="278"/>
      <c r="G11" s="279"/>
      <c r="H11" s="394"/>
      <c r="I11" s="368"/>
      <c r="J11" s="368"/>
      <c r="K11" s="281"/>
      <c r="L11" s="276"/>
      <c r="M11" s="395"/>
      <c r="N11" s="370"/>
      <c r="O11" s="371"/>
      <c r="P11" s="369"/>
      <c r="Q11" s="347"/>
      <c r="S11" s="277">
        <f t="shared" si="0"/>
        <v>0</v>
      </c>
      <c r="T11" s="296" t="e">
        <f t="shared" si="1"/>
        <v>#N/A</v>
      </c>
      <c r="U11" s="296" t="e">
        <f t="shared" si="2"/>
        <v>#N/A</v>
      </c>
      <c r="V11" s="297" t="e">
        <f t="shared" si="3"/>
        <v>#N/A</v>
      </c>
      <c r="W11" s="297" t="e">
        <f t="shared" si="4"/>
        <v>#N/A</v>
      </c>
      <c r="X11" s="297" t="e">
        <f t="shared" si="5"/>
        <v>#N/A</v>
      </c>
      <c r="Y11" s="297" t="e">
        <f t="shared" si="6"/>
        <v>#N/A</v>
      </c>
      <c r="Z11" s="297" t="e">
        <f t="shared" si="7"/>
        <v>#N/A</v>
      </c>
      <c r="AA11" s="296" t="e">
        <f t="shared" si="8"/>
        <v>#N/A</v>
      </c>
    </row>
    <row r="12" spans="2:30" ht="15" hidden="1">
      <c r="B12" s="34"/>
      <c r="C12" s="366"/>
      <c r="D12" s="279"/>
      <c r="E12" s="279"/>
      <c r="F12" s="278"/>
      <c r="G12" s="279"/>
      <c r="H12" s="394"/>
      <c r="I12" s="368"/>
      <c r="J12" s="368"/>
      <c r="K12" s="281"/>
      <c r="L12" s="276"/>
      <c r="M12" s="395"/>
      <c r="N12" s="370"/>
      <c r="O12" s="371"/>
      <c r="P12" s="369"/>
      <c r="Q12" s="347"/>
      <c r="S12" s="277">
        <f t="shared" si="0"/>
        <v>0</v>
      </c>
      <c r="T12" s="296" t="e">
        <f t="shared" si="1"/>
        <v>#N/A</v>
      </c>
      <c r="U12" s="296" t="e">
        <f t="shared" si="2"/>
        <v>#N/A</v>
      </c>
      <c r="V12" s="297" t="e">
        <f t="shared" si="3"/>
        <v>#N/A</v>
      </c>
      <c r="W12" s="297" t="e">
        <f t="shared" si="4"/>
        <v>#N/A</v>
      </c>
      <c r="X12" s="297" t="e">
        <f t="shared" si="5"/>
        <v>#N/A</v>
      </c>
      <c r="Y12" s="297" t="e">
        <f t="shared" si="6"/>
        <v>#N/A</v>
      </c>
      <c r="Z12" s="297" t="e">
        <f t="shared" si="7"/>
        <v>#N/A</v>
      </c>
      <c r="AA12" s="296" t="e">
        <f t="shared" si="8"/>
        <v>#N/A</v>
      </c>
    </row>
    <row r="13" spans="2:30" ht="15.75" hidden="1" customHeight="1">
      <c r="B13" s="393"/>
      <c r="C13" s="366"/>
      <c r="D13" s="279"/>
      <c r="E13" s="279"/>
      <c r="F13" s="278"/>
      <c r="G13" s="279"/>
      <c r="H13" s="394"/>
      <c r="I13" s="368"/>
      <c r="J13" s="368"/>
      <c r="K13" s="281"/>
      <c r="L13" s="276"/>
      <c r="M13" s="395"/>
      <c r="N13" s="370"/>
      <c r="O13" s="371"/>
      <c r="P13" s="375"/>
      <c r="Q13" s="347"/>
      <c r="S13" s="277">
        <f t="shared" si="0"/>
        <v>0</v>
      </c>
      <c r="T13" s="296" t="e">
        <f t="shared" si="1"/>
        <v>#N/A</v>
      </c>
      <c r="U13" s="296" t="e">
        <f t="shared" si="2"/>
        <v>#N/A</v>
      </c>
      <c r="V13" s="297" t="e">
        <f t="shared" si="3"/>
        <v>#N/A</v>
      </c>
      <c r="W13" s="297" t="e">
        <f t="shared" si="4"/>
        <v>#N/A</v>
      </c>
      <c r="X13" s="297" t="e">
        <f t="shared" si="5"/>
        <v>#N/A</v>
      </c>
      <c r="Y13" s="297" t="e">
        <f t="shared" si="6"/>
        <v>#N/A</v>
      </c>
      <c r="Z13" s="297" t="e">
        <f t="shared" si="7"/>
        <v>#N/A</v>
      </c>
      <c r="AA13" s="296" t="e">
        <f t="shared" si="8"/>
        <v>#N/A</v>
      </c>
    </row>
    <row r="14" spans="2:30" ht="15.75" hidden="1" customHeight="1">
      <c r="B14" s="34"/>
      <c r="C14" s="366"/>
      <c r="D14" s="279"/>
      <c r="E14" s="279"/>
      <c r="F14" s="278"/>
      <c r="G14" s="279"/>
      <c r="H14" s="394"/>
      <c r="I14" s="368"/>
      <c r="J14" s="368"/>
      <c r="K14" s="281"/>
      <c r="L14" s="276"/>
      <c r="M14" s="395"/>
      <c r="N14" s="370"/>
      <c r="O14" s="371"/>
      <c r="P14" s="375"/>
      <c r="Q14" s="347"/>
      <c r="S14" s="277">
        <f t="shared" si="0"/>
        <v>0</v>
      </c>
      <c r="T14" s="296" t="e">
        <f t="shared" si="1"/>
        <v>#N/A</v>
      </c>
      <c r="U14" s="296" t="e">
        <f t="shared" si="2"/>
        <v>#N/A</v>
      </c>
      <c r="V14" s="297" t="e">
        <f t="shared" si="3"/>
        <v>#N/A</v>
      </c>
      <c r="W14" s="297" t="e">
        <f t="shared" si="4"/>
        <v>#N/A</v>
      </c>
      <c r="X14" s="297" t="e">
        <f t="shared" si="5"/>
        <v>#N/A</v>
      </c>
      <c r="Y14" s="297" t="e">
        <f t="shared" si="6"/>
        <v>#N/A</v>
      </c>
      <c r="Z14" s="297" t="e">
        <f t="shared" si="7"/>
        <v>#N/A</v>
      </c>
      <c r="AA14" s="296" t="e">
        <f t="shared" si="8"/>
        <v>#N/A</v>
      </c>
    </row>
    <row r="15" spans="2:30" ht="15.75" hidden="1" customHeight="1">
      <c r="B15" s="373"/>
      <c r="C15" s="366"/>
      <c r="D15" s="279"/>
      <c r="E15" s="279"/>
      <c r="F15" s="278"/>
      <c r="G15" s="383"/>
      <c r="H15" s="367"/>
      <c r="I15" s="368"/>
      <c r="J15" s="368"/>
      <c r="K15" s="281"/>
      <c r="L15" s="276"/>
      <c r="M15" s="374"/>
      <c r="N15" s="370"/>
      <c r="O15" s="371"/>
      <c r="P15" s="375"/>
      <c r="Q15" s="347"/>
      <c r="S15" s="277">
        <f t="shared" si="0"/>
        <v>0</v>
      </c>
      <c r="T15" s="296" t="e">
        <f t="shared" si="1"/>
        <v>#N/A</v>
      </c>
      <c r="U15" s="296" t="e">
        <f t="shared" si="2"/>
        <v>#N/A</v>
      </c>
      <c r="V15" s="297" t="e">
        <f t="shared" si="3"/>
        <v>#N/A</v>
      </c>
      <c r="W15" s="297" t="e">
        <f t="shared" si="4"/>
        <v>#N/A</v>
      </c>
      <c r="X15" s="297" t="e">
        <f t="shared" si="5"/>
        <v>#N/A</v>
      </c>
      <c r="Y15" s="297" t="e">
        <f t="shared" si="6"/>
        <v>#N/A</v>
      </c>
      <c r="Z15" s="297" t="e">
        <f t="shared" si="7"/>
        <v>#N/A</v>
      </c>
      <c r="AA15" s="296" t="e">
        <f t="shared" si="8"/>
        <v>#N/A</v>
      </c>
    </row>
    <row r="16" spans="2:30" ht="15.75" hidden="1" customHeight="1">
      <c r="B16" s="373"/>
      <c r="C16" s="366"/>
      <c r="D16" s="279"/>
      <c r="E16" s="279"/>
      <c r="F16" s="278"/>
      <c r="G16" s="383"/>
      <c r="H16" s="367"/>
      <c r="I16" s="368"/>
      <c r="J16" s="368"/>
      <c r="K16" s="281"/>
      <c r="L16" s="276"/>
      <c r="M16" s="374"/>
      <c r="N16" s="370"/>
      <c r="O16" s="371"/>
      <c r="P16" s="375"/>
      <c r="Q16" s="347"/>
      <c r="S16" s="277">
        <f t="shared" si="0"/>
        <v>0</v>
      </c>
      <c r="T16" s="296" t="e">
        <f t="shared" si="1"/>
        <v>#N/A</v>
      </c>
      <c r="U16" s="296" t="e">
        <f t="shared" si="2"/>
        <v>#N/A</v>
      </c>
      <c r="V16" s="297" t="e">
        <f t="shared" si="3"/>
        <v>#N/A</v>
      </c>
      <c r="W16" s="297" t="e">
        <f t="shared" si="4"/>
        <v>#N/A</v>
      </c>
      <c r="X16" s="297" t="e">
        <f t="shared" si="5"/>
        <v>#N/A</v>
      </c>
      <c r="Y16" s="297" t="e">
        <f t="shared" si="6"/>
        <v>#N/A</v>
      </c>
      <c r="Z16" s="297" t="e">
        <f t="shared" si="7"/>
        <v>#N/A</v>
      </c>
      <c r="AA16" s="296" t="e">
        <f t="shared" si="8"/>
        <v>#N/A</v>
      </c>
    </row>
    <row r="17" spans="2:27" ht="15.75" hidden="1" customHeight="1">
      <c r="B17" s="373"/>
      <c r="C17" s="366"/>
      <c r="D17" s="279"/>
      <c r="E17" s="279"/>
      <c r="F17" s="278"/>
      <c r="G17" s="383"/>
      <c r="H17" s="367"/>
      <c r="I17" s="368"/>
      <c r="J17" s="368"/>
      <c r="K17" s="281"/>
      <c r="L17" s="276"/>
      <c r="M17" s="374"/>
      <c r="N17" s="370"/>
      <c r="O17" s="371"/>
      <c r="P17" s="375"/>
      <c r="Q17" s="347"/>
      <c r="S17" s="277">
        <f t="shared" si="0"/>
        <v>0</v>
      </c>
      <c r="T17" s="296" t="e">
        <f t="shared" si="1"/>
        <v>#N/A</v>
      </c>
      <c r="U17" s="296" t="e">
        <f t="shared" si="2"/>
        <v>#N/A</v>
      </c>
      <c r="V17" s="297" t="e">
        <f t="shared" si="3"/>
        <v>#N/A</v>
      </c>
      <c r="W17" s="297" t="e">
        <f t="shared" si="4"/>
        <v>#N/A</v>
      </c>
      <c r="X17" s="297" t="e">
        <f t="shared" si="5"/>
        <v>#N/A</v>
      </c>
      <c r="Y17" s="297" t="e">
        <f t="shared" si="6"/>
        <v>#N/A</v>
      </c>
      <c r="Z17" s="297" t="e">
        <f t="shared" si="7"/>
        <v>#N/A</v>
      </c>
      <c r="AA17" s="296" t="e">
        <f t="shared" si="8"/>
        <v>#N/A</v>
      </c>
    </row>
    <row r="18" spans="2:27" ht="15.75" hidden="1" customHeight="1">
      <c r="B18" s="373"/>
      <c r="C18" s="366"/>
      <c r="D18" s="279"/>
      <c r="E18" s="279"/>
      <c r="F18" s="278"/>
      <c r="G18" s="383"/>
      <c r="H18" s="367"/>
      <c r="I18" s="368"/>
      <c r="J18" s="368"/>
      <c r="K18" s="281"/>
      <c r="L18" s="276"/>
      <c r="M18" s="374"/>
      <c r="N18" s="370"/>
      <c r="O18" s="371"/>
      <c r="P18" s="375"/>
      <c r="Q18" s="347"/>
      <c r="S18" s="277">
        <f t="shared" si="0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2:27" ht="15.75" hidden="1" customHeight="1">
      <c r="B19" s="373"/>
      <c r="C19" s="366"/>
      <c r="D19" s="279"/>
      <c r="E19" s="279"/>
      <c r="F19" s="278"/>
      <c r="G19" s="383"/>
      <c r="H19" s="367"/>
      <c r="I19" s="368"/>
      <c r="J19" s="368"/>
      <c r="K19" s="281"/>
      <c r="L19" s="276"/>
      <c r="M19" s="374"/>
      <c r="N19" s="370"/>
      <c r="O19" s="371"/>
      <c r="P19" s="375"/>
      <c r="Q19" s="347"/>
      <c r="S19" s="277">
        <f t="shared" si="0"/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2:27" ht="15.75" hidden="1" customHeight="1">
      <c r="B20" s="373"/>
      <c r="C20" s="366"/>
      <c r="D20" s="279"/>
      <c r="E20" s="279"/>
      <c r="F20" s="278"/>
      <c r="G20" s="383"/>
      <c r="H20" s="367"/>
      <c r="I20" s="368"/>
      <c r="J20" s="368"/>
      <c r="K20" s="281"/>
      <c r="L20" s="276"/>
      <c r="M20" s="374"/>
      <c r="N20" s="370"/>
      <c r="O20" s="371"/>
      <c r="P20" s="375"/>
      <c r="Q20" s="347"/>
      <c r="S20" s="277">
        <f t="shared" si="0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2:27" ht="15.75" hidden="1" customHeight="1">
      <c r="B21" s="373"/>
      <c r="C21" s="366"/>
      <c r="D21" s="279"/>
      <c r="E21" s="279"/>
      <c r="F21" s="278"/>
      <c r="G21" s="383"/>
      <c r="H21" s="367"/>
      <c r="I21" s="368"/>
      <c r="J21" s="368"/>
      <c r="K21" s="281"/>
      <c r="L21" s="276"/>
      <c r="M21" s="374"/>
      <c r="N21" s="370"/>
      <c r="O21" s="371"/>
      <c r="P21" s="375"/>
      <c r="Q21" s="347"/>
      <c r="S21" s="277">
        <f t="shared" si="0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2:27" ht="15.75" hidden="1" customHeight="1">
      <c r="B22" s="373"/>
      <c r="C22" s="366"/>
      <c r="D22" s="279"/>
      <c r="E22" s="279"/>
      <c r="F22" s="278"/>
      <c r="G22" s="383"/>
      <c r="H22" s="367"/>
      <c r="I22" s="368"/>
      <c r="J22" s="368"/>
      <c r="K22" s="281"/>
      <c r="L22" s="276"/>
      <c r="M22" s="374"/>
      <c r="N22" s="370"/>
      <c r="O22" s="371"/>
      <c r="P22" s="375"/>
      <c r="Q22" s="347"/>
      <c r="S22" s="277">
        <f t="shared" si="0"/>
        <v>0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2:27" ht="15.75" hidden="1" customHeight="1">
      <c r="B23" s="373"/>
      <c r="C23" s="366"/>
      <c r="D23" s="279"/>
      <c r="E23" s="279"/>
      <c r="F23" s="278"/>
      <c r="G23" s="383"/>
      <c r="H23" s="367"/>
      <c r="I23" s="368"/>
      <c r="J23" s="368"/>
      <c r="K23" s="281"/>
      <c r="L23" s="276"/>
      <c r="M23" s="374"/>
      <c r="N23" s="370"/>
      <c r="O23" s="371"/>
      <c r="P23" s="375"/>
      <c r="Q23" s="347"/>
      <c r="S23" s="277">
        <f t="shared" si="0"/>
        <v>0</v>
      </c>
      <c r="T23" s="296" t="e">
        <f t="shared" si="1"/>
        <v>#N/A</v>
      </c>
      <c r="U23" s="296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7" t="e">
        <f t="shared" si="7"/>
        <v>#N/A</v>
      </c>
      <c r="AA23" s="296" t="e">
        <f t="shared" si="8"/>
        <v>#N/A</v>
      </c>
    </row>
    <row r="24" spans="2:27" ht="15.75" hidden="1" customHeight="1">
      <c r="B24" s="373"/>
      <c r="C24" s="366"/>
      <c r="D24" s="279"/>
      <c r="E24" s="279"/>
      <c r="F24" s="278"/>
      <c r="G24" s="383"/>
      <c r="H24" s="367"/>
      <c r="I24" s="368"/>
      <c r="J24" s="368"/>
      <c r="K24" s="281"/>
      <c r="L24" s="276"/>
      <c r="M24" s="374"/>
      <c r="N24" s="370"/>
      <c r="O24" s="371"/>
      <c r="P24" s="375"/>
      <c r="Q24" s="347"/>
      <c r="S24" s="277">
        <f t="shared" si="0"/>
        <v>0</v>
      </c>
      <c r="T24" s="296" t="e">
        <f t="shared" si="1"/>
        <v>#N/A</v>
      </c>
      <c r="U24" s="296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7" t="e">
        <f t="shared" si="7"/>
        <v>#N/A</v>
      </c>
      <c r="AA24" s="296" t="e">
        <f t="shared" si="8"/>
        <v>#N/A</v>
      </c>
    </row>
    <row r="25" spans="2:27" ht="15.75" hidden="1" customHeight="1">
      <c r="B25" s="373"/>
      <c r="C25" s="366"/>
      <c r="D25" s="279"/>
      <c r="E25" s="279"/>
      <c r="F25" s="278"/>
      <c r="G25" s="383"/>
      <c r="H25" s="367"/>
      <c r="I25" s="368"/>
      <c r="J25" s="368"/>
      <c r="K25" s="281"/>
      <c r="L25" s="276"/>
      <c r="M25" s="374"/>
      <c r="N25" s="370"/>
      <c r="O25" s="371"/>
      <c r="P25" s="375"/>
      <c r="Q25" s="347"/>
      <c r="S25" s="277">
        <f t="shared" si="0"/>
        <v>0</v>
      </c>
      <c r="T25" s="296" t="e">
        <f t="shared" si="1"/>
        <v>#N/A</v>
      </c>
      <c r="U25" s="296" t="e">
        <f t="shared" si="2"/>
        <v>#N/A</v>
      </c>
      <c r="V25" s="297" t="e">
        <f t="shared" si="3"/>
        <v>#N/A</v>
      </c>
      <c r="W25" s="297" t="e">
        <f t="shared" si="4"/>
        <v>#N/A</v>
      </c>
      <c r="X25" s="297" t="e">
        <f t="shared" si="5"/>
        <v>#N/A</v>
      </c>
      <c r="Y25" s="297" t="e">
        <f t="shared" si="6"/>
        <v>#N/A</v>
      </c>
      <c r="Z25" s="297" t="e">
        <f t="shared" si="7"/>
        <v>#N/A</v>
      </c>
      <c r="AA25" s="296" t="e">
        <f t="shared" si="8"/>
        <v>#N/A</v>
      </c>
    </row>
    <row r="26" spans="2:27" ht="15.75" hidden="1" customHeight="1">
      <c r="B26" s="373"/>
      <c r="C26" s="366"/>
      <c r="D26" s="279"/>
      <c r="E26" s="279"/>
      <c r="F26" s="278"/>
      <c r="G26" s="383"/>
      <c r="H26" s="367"/>
      <c r="I26" s="368"/>
      <c r="J26" s="368"/>
      <c r="K26" s="281"/>
      <c r="L26" s="276"/>
      <c r="M26" s="374"/>
      <c r="N26" s="370"/>
      <c r="O26" s="371"/>
      <c r="P26" s="375"/>
      <c r="Q26" s="347"/>
      <c r="S26" s="277">
        <f t="shared" si="0"/>
        <v>0</v>
      </c>
      <c r="T26" s="296" t="e">
        <f t="shared" si="1"/>
        <v>#N/A</v>
      </c>
      <c r="U26" s="296" t="e">
        <f t="shared" si="2"/>
        <v>#N/A</v>
      </c>
      <c r="V26" s="297" t="e">
        <f t="shared" si="3"/>
        <v>#N/A</v>
      </c>
      <c r="W26" s="297" t="e">
        <f t="shared" si="4"/>
        <v>#N/A</v>
      </c>
      <c r="X26" s="297" t="e">
        <f t="shared" si="5"/>
        <v>#N/A</v>
      </c>
      <c r="Y26" s="297" t="e">
        <f t="shared" si="6"/>
        <v>#N/A</v>
      </c>
      <c r="Z26" s="297" t="e">
        <f t="shared" si="7"/>
        <v>#N/A</v>
      </c>
      <c r="AA26" s="296" t="e">
        <f t="shared" si="8"/>
        <v>#N/A</v>
      </c>
    </row>
    <row r="27" spans="2:27" ht="15" hidden="1">
      <c r="B27" s="373"/>
      <c r="C27" s="366"/>
      <c r="D27" s="279"/>
      <c r="E27" s="279"/>
      <c r="F27" s="278"/>
      <c r="G27" s="383"/>
      <c r="H27" s="367"/>
      <c r="I27" s="368"/>
      <c r="J27" s="368"/>
      <c r="K27" s="281"/>
      <c r="L27" s="276"/>
      <c r="M27" s="374"/>
      <c r="N27" s="370"/>
      <c r="O27" s="371"/>
      <c r="P27" s="369"/>
      <c r="Q27" s="347"/>
      <c r="S27" s="277">
        <f t="shared" si="0"/>
        <v>0</v>
      </c>
      <c r="T27" s="296" t="e">
        <f t="shared" si="1"/>
        <v>#N/A</v>
      </c>
      <c r="U27" s="296" t="e">
        <f t="shared" si="2"/>
        <v>#N/A</v>
      </c>
      <c r="V27" s="297" t="e">
        <f t="shared" si="3"/>
        <v>#N/A</v>
      </c>
      <c r="W27" s="297" t="e">
        <f t="shared" si="4"/>
        <v>#N/A</v>
      </c>
      <c r="X27" s="297" t="e">
        <f t="shared" si="5"/>
        <v>#N/A</v>
      </c>
      <c r="Y27" s="297" t="e">
        <f t="shared" si="6"/>
        <v>#N/A</v>
      </c>
      <c r="Z27" s="297" t="e">
        <f t="shared" si="7"/>
        <v>#N/A</v>
      </c>
      <c r="AA27" s="296" t="e">
        <f t="shared" si="8"/>
        <v>#N/A</v>
      </c>
    </row>
    <row r="28" spans="2:27" ht="15" hidden="1">
      <c r="B28" s="373"/>
      <c r="C28" s="366"/>
      <c r="D28" s="279"/>
      <c r="E28" s="279"/>
      <c r="F28" s="278"/>
      <c r="G28" s="383"/>
      <c r="H28" s="367"/>
      <c r="I28" s="368"/>
      <c r="J28" s="368"/>
      <c r="K28" s="281"/>
      <c r="L28" s="276"/>
      <c r="M28" s="374"/>
      <c r="N28" s="370"/>
      <c r="O28" s="371"/>
      <c r="P28" s="369"/>
      <c r="Q28" s="347"/>
      <c r="S28" s="277">
        <f t="shared" si="0"/>
        <v>0</v>
      </c>
      <c r="T28" s="296" t="e">
        <f t="shared" si="1"/>
        <v>#N/A</v>
      </c>
      <c r="U28" s="296" t="e">
        <f t="shared" si="2"/>
        <v>#N/A</v>
      </c>
      <c r="V28" s="297" t="e">
        <f t="shared" si="3"/>
        <v>#N/A</v>
      </c>
      <c r="W28" s="297" t="e">
        <f t="shared" si="4"/>
        <v>#N/A</v>
      </c>
      <c r="X28" s="297" t="e">
        <f t="shared" si="5"/>
        <v>#N/A</v>
      </c>
      <c r="Y28" s="297" t="e">
        <f t="shared" si="6"/>
        <v>#N/A</v>
      </c>
      <c r="Z28" s="297" t="e">
        <f t="shared" si="7"/>
        <v>#N/A</v>
      </c>
      <c r="AA28" s="296" t="e">
        <f t="shared" si="8"/>
        <v>#N/A</v>
      </c>
    </row>
    <row r="29" spans="2:27" ht="15" hidden="1">
      <c r="B29" s="373"/>
      <c r="C29" s="366"/>
      <c r="D29" s="279"/>
      <c r="E29" s="279"/>
      <c r="F29" s="278"/>
      <c r="G29" s="383"/>
      <c r="H29" s="367"/>
      <c r="I29" s="368"/>
      <c r="J29" s="368"/>
      <c r="K29" s="392"/>
      <c r="L29" s="276"/>
      <c r="M29" s="374"/>
      <c r="N29" s="370"/>
      <c r="O29" s="371"/>
      <c r="P29" s="369"/>
      <c r="Q29" s="347"/>
      <c r="S29" s="277">
        <f t="shared" si="0"/>
        <v>0</v>
      </c>
      <c r="T29" s="296" t="e">
        <f t="shared" si="1"/>
        <v>#N/A</v>
      </c>
      <c r="U29" s="296" t="e">
        <f t="shared" si="2"/>
        <v>#N/A</v>
      </c>
      <c r="V29" s="297" t="e">
        <f t="shared" si="3"/>
        <v>#N/A</v>
      </c>
      <c r="W29" s="297" t="e">
        <f t="shared" si="4"/>
        <v>#N/A</v>
      </c>
      <c r="X29" s="297" t="e">
        <f t="shared" si="5"/>
        <v>#N/A</v>
      </c>
      <c r="Y29" s="297" t="e">
        <f t="shared" si="6"/>
        <v>#N/A</v>
      </c>
      <c r="Z29" s="297" t="e">
        <f t="shared" si="7"/>
        <v>#N/A</v>
      </c>
      <c r="AA29" s="296" t="e">
        <f t="shared" si="8"/>
        <v>#N/A</v>
      </c>
    </row>
    <row r="30" spans="2:27" ht="15" hidden="1">
      <c r="B30" s="373"/>
      <c r="C30" s="366"/>
      <c r="D30" s="279"/>
      <c r="E30" s="279"/>
      <c r="F30" s="278"/>
      <c r="G30" s="383"/>
      <c r="H30" s="367"/>
      <c r="I30" s="368"/>
      <c r="J30" s="368"/>
      <c r="K30" s="281"/>
      <c r="L30" s="276"/>
      <c r="M30" s="374"/>
      <c r="N30" s="370"/>
      <c r="O30" s="371"/>
      <c r="P30" s="369"/>
      <c r="Q30" s="347"/>
      <c r="S30" s="277">
        <f t="shared" si="0"/>
        <v>0</v>
      </c>
      <c r="T30" s="296" t="e">
        <f t="shared" si="1"/>
        <v>#N/A</v>
      </c>
      <c r="U30" s="296" t="e">
        <f t="shared" si="2"/>
        <v>#N/A</v>
      </c>
      <c r="V30" s="297" t="e">
        <f t="shared" si="3"/>
        <v>#N/A</v>
      </c>
      <c r="W30" s="297" t="e">
        <f t="shared" si="4"/>
        <v>#N/A</v>
      </c>
      <c r="X30" s="297" t="e">
        <f t="shared" si="5"/>
        <v>#N/A</v>
      </c>
      <c r="Y30" s="297" t="e">
        <f t="shared" si="6"/>
        <v>#N/A</v>
      </c>
      <c r="Z30" s="297" t="e">
        <f t="shared" si="7"/>
        <v>#N/A</v>
      </c>
      <c r="AA30" s="296" t="e">
        <f t="shared" si="8"/>
        <v>#N/A</v>
      </c>
    </row>
    <row r="31" spans="2:27" ht="15" hidden="1">
      <c r="B31" s="373"/>
      <c r="C31" s="366"/>
      <c r="D31" s="279"/>
      <c r="E31" s="279"/>
      <c r="F31" s="278"/>
      <c r="G31" s="383"/>
      <c r="H31" s="367"/>
      <c r="I31" s="368"/>
      <c r="J31" s="368"/>
      <c r="K31" s="281"/>
      <c r="L31" s="276"/>
      <c r="M31" s="374"/>
      <c r="N31" s="370"/>
      <c r="O31" s="371"/>
      <c r="P31" s="369"/>
      <c r="Q31" s="347"/>
      <c r="S31" s="277">
        <f t="shared" si="0"/>
        <v>0</v>
      </c>
      <c r="T31" s="296" t="e">
        <f t="shared" si="1"/>
        <v>#N/A</v>
      </c>
      <c r="U31" s="296" t="e">
        <f t="shared" si="2"/>
        <v>#N/A</v>
      </c>
      <c r="V31" s="297" t="e">
        <f t="shared" si="3"/>
        <v>#N/A</v>
      </c>
      <c r="W31" s="297" t="e">
        <f t="shared" si="4"/>
        <v>#N/A</v>
      </c>
      <c r="X31" s="297" t="e">
        <f t="shared" si="5"/>
        <v>#N/A</v>
      </c>
      <c r="Y31" s="297" t="e">
        <f t="shared" si="6"/>
        <v>#N/A</v>
      </c>
      <c r="Z31" s="297" t="e">
        <f t="shared" si="7"/>
        <v>#N/A</v>
      </c>
      <c r="AA31" s="296" t="e">
        <f t="shared" si="8"/>
        <v>#N/A</v>
      </c>
    </row>
    <row r="32" spans="2:27" ht="15" hidden="1">
      <c r="B32" s="373"/>
      <c r="C32" s="366"/>
      <c r="D32" s="279"/>
      <c r="E32" s="279"/>
      <c r="F32" s="278"/>
      <c r="G32" s="383"/>
      <c r="H32" s="367"/>
      <c r="I32" s="368"/>
      <c r="J32" s="368"/>
      <c r="K32" s="281"/>
      <c r="L32" s="276"/>
      <c r="M32" s="374"/>
      <c r="N32" s="370"/>
      <c r="O32" s="371"/>
      <c r="P32" s="369"/>
      <c r="Q32" s="347"/>
      <c r="S32" s="277">
        <f t="shared" si="0"/>
        <v>0</v>
      </c>
      <c r="T32" s="296" t="e">
        <f t="shared" si="1"/>
        <v>#N/A</v>
      </c>
      <c r="U32" s="296" t="e">
        <f t="shared" si="2"/>
        <v>#N/A</v>
      </c>
      <c r="V32" s="297" t="e">
        <f t="shared" si="3"/>
        <v>#N/A</v>
      </c>
      <c r="W32" s="297" t="e">
        <f t="shared" si="4"/>
        <v>#N/A</v>
      </c>
      <c r="X32" s="297" t="e">
        <f t="shared" si="5"/>
        <v>#N/A</v>
      </c>
      <c r="Y32" s="297" t="e">
        <f t="shared" si="6"/>
        <v>#N/A</v>
      </c>
      <c r="Z32" s="297" t="e">
        <f t="shared" si="7"/>
        <v>#N/A</v>
      </c>
      <c r="AA32" s="296" t="e">
        <f t="shared" si="8"/>
        <v>#N/A</v>
      </c>
    </row>
    <row r="33" spans="2:27" ht="15" hidden="1">
      <c r="B33" s="393"/>
      <c r="C33" s="366"/>
      <c r="D33" s="279"/>
      <c r="E33" s="279"/>
      <c r="F33" s="278"/>
      <c r="G33" s="279"/>
      <c r="H33" s="394"/>
      <c r="I33" s="368"/>
      <c r="J33" s="368"/>
      <c r="K33" s="281"/>
      <c r="L33" s="276"/>
      <c r="M33" s="395"/>
      <c r="N33" s="370"/>
      <c r="O33" s="371"/>
      <c r="P33" s="369"/>
      <c r="Q33" s="347"/>
      <c r="S33" s="277">
        <f t="shared" si="0"/>
        <v>0</v>
      </c>
      <c r="T33" s="296" t="e">
        <f t="shared" si="1"/>
        <v>#N/A</v>
      </c>
      <c r="U33" s="296" t="e">
        <f t="shared" si="2"/>
        <v>#N/A</v>
      </c>
      <c r="V33" s="297" t="e">
        <f t="shared" si="3"/>
        <v>#N/A</v>
      </c>
      <c r="W33" s="297" t="e">
        <f t="shared" si="4"/>
        <v>#N/A</v>
      </c>
      <c r="X33" s="297" t="e">
        <f t="shared" si="5"/>
        <v>#N/A</v>
      </c>
      <c r="Y33" s="297" t="e">
        <f t="shared" si="6"/>
        <v>#N/A</v>
      </c>
      <c r="Z33" s="297" t="e">
        <f t="shared" si="7"/>
        <v>#N/A</v>
      </c>
      <c r="AA33" s="296" t="e">
        <f t="shared" si="8"/>
        <v>#N/A</v>
      </c>
    </row>
    <row r="34" spans="2:27" ht="15" hidden="1">
      <c r="B34" s="393"/>
      <c r="C34" s="366"/>
      <c r="D34" s="279"/>
      <c r="E34" s="279"/>
      <c r="F34" s="278"/>
      <c r="G34" s="279"/>
      <c r="H34" s="394"/>
      <c r="I34" s="368"/>
      <c r="J34" s="368"/>
      <c r="K34" s="281"/>
      <c r="L34" s="276"/>
      <c r="M34" s="395"/>
      <c r="N34" s="370"/>
      <c r="O34" s="371"/>
      <c r="P34" s="369"/>
      <c r="Q34" s="347"/>
      <c r="S34" s="277">
        <f t="shared" si="0"/>
        <v>0</v>
      </c>
      <c r="T34" s="296" t="e">
        <f t="shared" si="1"/>
        <v>#N/A</v>
      </c>
      <c r="U34" s="296" t="e">
        <f t="shared" si="2"/>
        <v>#N/A</v>
      </c>
      <c r="V34" s="297" t="e">
        <f t="shared" si="3"/>
        <v>#N/A</v>
      </c>
      <c r="W34" s="297" t="e">
        <f t="shared" si="4"/>
        <v>#N/A</v>
      </c>
      <c r="X34" s="297" t="e">
        <f t="shared" si="5"/>
        <v>#N/A</v>
      </c>
      <c r="Y34" s="297" t="e">
        <f t="shared" si="6"/>
        <v>#N/A</v>
      </c>
      <c r="Z34" s="297" t="e">
        <f t="shared" si="7"/>
        <v>#N/A</v>
      </c>
      <c r="AA34" s="296" t="e">
        <f t="shared" si="8"/>
        <v>#N/A</v>
      </c>
    </row>
    <row r="35" spans="2:27" ht="15" hidden="1">
      <c r="B35" s="393"/>
      <c r="C35" s="366"/>
      <c r="D35" s="279"/>
      <c r="E35" s="279"/>
      <c r="F35" s="278"/>
      <c r="G35" s="279"/>
      <c r="H35" s="394"/>
      <c r="I35" s="368"/>
      <c r="J35" s="368"/>
      <c r="K35" s="281"/>
      <c r="L35" s="276"/>
      <c r="M35" s="395"/>
      <c r="N35" s="370"/>
      <c r="O35" s="371"/>
      <c r="P35" s="369"/>
      <c r="Q35" s="347"/>
      <c r="S35" s="277">
        <f t="shared" si="0"/>
        <v>0</v>
      </c>
      <c r="T35" s="296" t="e">
        <f t="shared" si="1"/>
        <v>#N/A</v>
      </c>
      <c r="U35" s="296" t="e">
        <f t="shared" si="2"/>
        <v>#N/A</v>
      </c>
      <c r="V35" s="297" t="e">
        <f t="shared" si="3"/>
        <v>#N/A</v>
      </c>
      <c r="W35" s="297" t="e">
        <f t="shared" si="4"/>
        <v>#N/A</v>
      </c>
      <c r="X35" s="297" t="e">
        <f t="shared" si="5"/>
        <v>#N/A</v>
      </c>
      <c r="Y35" s="297" t="e">
        <f t="shared" si="6"/>
        <v>#N/A</v>
      </c>
      <c r="Z35" s="297" t="e">
        <f t="shared" si="7"/>
        <v>#N/A</v>
      </c>
      <c r="AA35" s="296" t="e">
        <f t="shared" si="8"/>
        <v>#N/A</v>
      </c>
    </row>
    <row r="36" spans="2:27" ht="15" hidden="1">
      <c r="B36" s="393"/>
      <c r="C36" s="366"/>
      <c r="D36" s="279"/>
      <c r="E36" s="279"/>
      <c r="F36" s="278"/>
      <c r="G36" s="279"/>
      <c r="H36" s="394"/>
      <c r="I36" s="368"/>
      <c r="J36" s="368"/>
      <c r="K36" s="281"/>
      <c r="L36" s="276"/>
      <c r="M36" s="395"/>
      <c r="N36" s="370"/>
      <c r="O36" s="371"/>
      <c r="P36" s="369"/>
      <c r="Q36" s="347"/>
      <c r="S36" s="277">
        <f t="shared" si="0"/>
        <v>0</v>
      </c>
      <c r="T36" s="296" t="e">
        <f t="shared" si="1"/>
        <v>#N/A</v>
      </c>
      <c r="U36" s="296" t="e">
        <f t="shared" si="2"/>
        <v>#N/A</v>
      </c>
      <c r="V36" s="297" t="e">
        <f t="shared" si="3"/>
        <v>#N/A</v>
      </c>
      <c r="W36" s="297" t="e">
        <f t="shared" si="4"/>
        <v>#N/A</v>
      </c>
      <c r="X36" s="297" t="e">
        <f t="shared" si="5"/>
        <v>#N/A</v>
      </c>
      <c r="Y36" s="297" t="e">
        <f t="shared" si="6"/>
        <v>#N/A</v>
      </c>
      <c r="Z36" s="297" t="e">
        <f t="shared" si="7"/>
        <v>#N/A</v>
      </c>
      <c r="AA36" s="296" t="e">
        <f t="shared" si="8"/>
        <v>#N/A</v>
      </c>
    </row>
    <row r="37" spans="2:27" ht="15" hidden="1">
      <c r="B37" s="393"/>
      <c r="C37" s="366"/>
      <c r="D37" s="279"/>
      <c r="E37" s="279"/>
      <c r="F37" s="278"/>
      <c r="G37" s="279"/>
      <c r="H37" s="394"/>
      <c r="I37" s="368"/>
      <c r="J37" s="368"/>
      <c r="K37" s="281"/>
      <c r="L37" s="276"/>
      <c r="M37" s="395"/>
      <c r="N37" s="370"/>
      <c r="O37" s="371"/>
      <c r="P37" s="369"/>
      <c r="Q37" s="347"/>
      <c r="S37" s="277">
        <f t="shared" si="0"/>
        <v>0</v>
      </c>
      <c r="T37" s="296" t="e">
        <f t="shared" si="1"/>
        <v>#N/A</v>
      </c>
      <c r="U37" s="296" t="e">
        <f t="shared" si="2"/>
        <v>#N/A</v>
      </c>
      <c r="V37" s="297" t="e">
        <f t="shared" si="3"/>
        <v>#N/A</v>
      </c>
      <c r="W37" s="297" t="e">
        <f t="shared" si="4"/>
        <v>#N/A</v>
      </c>
      <c r="X37" s="297" t="e">
        <f t="shared" si="5"/>
        <v>#N/A</v>
      </c>
      <c r="Y37" s="297" t="e">
        <f t="shared" si="6"/>
        <v>#N/A</v>
      </c>
      <c r="Z37" s="297" t="e">
        <f t="shared" si="7"/>
        <v>#N/A</v>
      </c>
      <c r="AA37" s="296" t="e">
        <f t="shared" si="8"/>
        <v>#N/A</v>
      </c>
    </row>
    <row r="38" spans="2:27" ht="15" hidden="1">
      <c r="B38" s="393"/>
      <c r="C38" s="366"/>
      <c r="D38" s="279"/>
      <c r="E38" s="279"/>
      <c r="F38" s="278"/>
      <c r="G38" s="279"/>
      <c r="H38" s="394"/>
      <c r="I38" s="368"/>
      <c r="J38" s="368"/>
      <c r="K38" s="281"/>
      <c r="L38" s="276"/>
      <c r="M38" s="395"/>
      <c r="N38" s="370"/>
      <c r="O38" s="371"/>
      <c r="P38" s="369"/>
      <c r="Q38" s="347"/>
      <c r="S38" s="277">
        <f t="shared" si="0"/>
        <v>0</v>
      </c>
      <c r="T38" s="296" t="e">
        <f t="shared" si="1"/>
        <v>#N/A</v>
      </c>
      <c r="U38" s="296" t="e">
        <f t="shared" si="2"/>
        <v>#N/A</v>
      </c>
      <c r="V38" s="297" t="e">
        <f t="shared" si="3"/>
        <v>#N/A</v>
      </c>
      <c r="W38" s="297" t="e">
        <f t="shared" si="4"/>
        <v>#N/A</v>
      </c>
      <c r="X38" s="297" t="e">
        <f t="shared" si="5"/>
        <v>#N/A</v>
      </c>
      <c r="Y38" s="297" t="e">
        <f t="shared" si="6"/>
        <v>#N/A</v>
      </c>
      <c r="Z38" s="297" t="e">
        <f t="shared" si="7"/>
        <v>#N/A</v>
      </c>
      <c r="AA38" s="296" t="e">
        <f t="shared" si="8"/>
        <v>#N/A</v>
      </c>
    </row>
    <row r="39" spans="2:27" ht="15">
      <c r="B39" s="393"/>
      <c r="C39" s="366"/>
      <c r="D39" s="279"/>
      <c r="E39" s="279"/>
      <c r="F39" s="278"/>
      <c r="G39" s="279"/>
      <c r="H39" s="394"/>
      <c r="I39" s="368"/>
      <c r="J39" s="368"/>
      <c r="K39" s="281"/>
      <c r="L39" s="276"/>
      <c r="M39" s="395"/>
      <c r="N39" s="370"/>
      <c r="O39" s="371"/>
      <c r="P39" s="369"/>
      <c r="Q39" s="347"/>
      <c r="S39" s="277">
        <f t="shared" si="0"/>
        <v>0</v>
      </c>
      <c r="T39" s="296" t="e">
        <f t="shared" si="1"/>
        <v>#N/A</v>
      </c>
      <c r="U39" s="296" t="e">
        <f t="shared" si="2"/>
        <v>#N/A</v>
      </c>
      <c r="V39" s="297" t="e">
        <f t="shared" si="3"/>
        <v>#N/A</v>
      </c>
      <c r="W39" s="297" t="e">
        <f t="shared" si="4"/>
        <v>#N/A</v>
      </c>
      <c r="X39" s="297" t="e">
        <f t="shared" si="5"/>
        <v>#N/A</v>
      </c>
      <c r="Y39" s="297" t="e">
        <f t="shared" si="6"/>
        <v>#N/A</v>
      </c>
      <c r="Z39" s="297" t="e">
        <f t="shared" si="7"/>
        <v>#N/A</v>
      </c>
      <c r="AA39" s="296" t="e">
        <f t="shared" si="8"/>
        <v>#N/A</v>
      </c>
    </row>
    <row r="40" spans="2:27" ht="15">
      <c r="B40" s="393"/>
      <c r="C40" s="366"/>
      <c r="D40" s="279"/>
      <c r="E40" s="279"/>
      <c r="F40" s="278"/>
      <c r="G40" s="279"/>
      <c r="H40" s="394"/>
      <c r="I40" s="368"/>
      <c r="J40" s="368"/>
      <c r="K40" s="281"/>
      <c r="L40" s="276"/>
      <c r="M40" s="395"/>
      <c r="N40" s="370"/>
      <c r="O40" s="371"/>
      <c r="P40" s="369"/>
      <c r="Q40" s="347"/>
      <c r="S40" s="277">
        <f t="shared" si="0"/>
        <v>0</v>
      </c>
      <c r="T40" s="296" t="e">
        <f t="shared" si="1"/>
        <v>#N/A</v>
      </c>
      <c r="U40" s="296" t="e">
        <f t="shared" si="2"/>
        <v>#N/A</v>
      </c>
      <c r="V40" s="297" t="e">
        <f t="shared" si="3"/>
        <v>#N/A</v>
      </c>
      <c r="W40" s="297" t="e">
        <f t="shared" si="4"/>
        <v>#N/A</v>
      </c>
      <c r="X40" s="297" t="e">
        <f t="shared" si="5"/>
        <v>#N/A</v>
      </c>
      <c r="Y40" s="297" t="e">
        <f t="shared" si="6"/>
        <v>#N/A</v>
      </c>
      <c r="Z40" s="297" t="e">
        <f t="shared" si="7"/>
        <v>#N/A</v>
      </c>
      <c r="AA40" s="296" t="e">
        <f t="shared" si="8"/>
        <v>#N/A</v>
      </c>
    </row>
    <row r="41" spans="2:27" ht="15">
      <c r="B41" s="393"/>
      <c r="C41" s="366"/>
      <c r="D41" s="279"/>
      <c r="E41" s="279"/>
      <c r="F41" s="278"/>
      <c r="G41" s="279"/>
      <c r="H41" s="394"/>
      <c r="I41" s="368"/>
      <c r="J41" s="368"/>
      <c r="K41" s="281"/>
      <c r="L41" s="276"/>
      <c r="M41" s="395"/>
      <c r="N41" s="370"/>
      <c r="O41" s="371"/>
      <c r="P41" s="369"/>
      <c r="Q41" s="347"/>
      <c r="S41" s="277">
        <f t="shared" si="0"/>
        <v>0</v>
      </c>
      <c r="T41" s="296" t="e">
        <f t="shared" si="1"/>
        <v>#N/A</v>
      </c>
      <c r="U41" s="296" t="e">
        <f t="shared" si="2"/>
        <v>#N/A</v>
      </c>
      <c r="V41" s="297" t="e">
        <f t="shared" si="3"/>
        <v>#N/A</v>
      </c>
      <c r="W41" s="297" t="e">
        <f t="shared" si="4"/>
        <v>#N/A</v>
      </c>
      <c r="X41" s="297" t="e">
        <f t="shared" si="5"/>
        <v>#N/A</v>
      </c>
      <c r="Y41" s="297" t="e">
        <f t="shared" si="6"/>
        <v>#N/A</v>
      </c>
      <c r="Z41" s="297" t="e">
        <f t="shared" si="7"/>
        <v>#N/A</v>
      </c>
      <c r="AA41" s="296" t="e">
        <f t="shared" si="8"/>
        <v>#N/A</v>
      </c>
    </row>
    <row r="42" spans="2:27" ht="15">
      <c r="B42" s="393"/>
      <c r="C42" s="366"/>
      <c r="D42" s="279"/>
      <c r="E42" s="279"/>
      <c r="F42" s="278"/>
      <c r="G42" s="279"/>
      <c r="H42" s="394"/>
      <c r="I42" s="368"/>
      <c r="J42" s="368"/>
      <c r="K42" s="281"/>
      <c r="L42" s="276"/>
      <c r="M42" s="395"/>
      <c r="N42" s="370"/>
      <c r="O42" s="371"/>
      <c r="P42" s="369"/>
      <c r="Q42" s="347"/>
      <c r="S42" s="277">
        <f t="shared" si="0"/>
        <v>0</v>
      </c>
      <c r="T42" s="296" t="e">
        <f t="shared" si="1"/>
        <v>#N/A</v>
      </c>
      <c r="U42" s="296" t="e">
        <f t="shared" si="2"/>
        <v>#N/A</v>
      </c>
      <c r="V42" s="297" t="e">
        <f t="shared" si="3"/>
        <v>#N/A</v>
      </c>
      <c r="W42" s="297" t="e">
        <f t="shared" si="4"/>
        <v>#N/A</v>
      </c>
      <c r="X42" s="297" t="e">
        <f t="shared" si="5"/>
        <v>#N/A</v>
      </c>
      <c r="Y42" s="297" t="e">
        <f t="shared" si="6"/>
        <v>#N/A</v>
      </c>
      <c r="Z42" s="297" t="e">
        <f t="shared" si="7"/>
        <v>#N/A</v>
      </c>
      <c r="AA42" s="296" t="e">
        <f t="shared" si="8"/>
        <v>#N/A</v>
      </c>
    </row>
    <row r="43" spans="2:27" ht="15">
      <c r="B43" s="393"/>
      <c r="C43" s="366"/>
      <c r="D43" s="279"/>
      <c r="E43" s="279"/>
      <c r="F43" s="278"/>
      <c r="G43" s="279"/>
      <c r="H43" s="394"/>
      <c r="I43" s="368"/>
      <c r="J43" s="368"/>
      <c r="K43" s="281"/>
      <c r="L43" s="276"/>
      <c r="M43" s="395"/>
      <c r="N43" s="370"/>
      <c r="O43" s="371"/>
      <c r="P43" s="369"/>
      <c r="Q43" s="347"/>
      <c r="S43" s="277">
        <f t="shared" si="0"/>
        <v>0</v>
      </c>
      <c r="T43" s="296" t="e">
        <f t="shared" si="1"/>
        <v>#N/A</v>
      </c>
      <c r="U43" s="296" t="e">
        <f t="shared" si="2"/>
        <v>#N/A</v>
      </c>
      <c r="V43" s="297" t="e">
        <f t="shared" si="3"/>
        <v>#N/A</v>
      </c>
      <c r="W43" s="297" t="e">
        <f t="shared" si="4"/>
        <v>#N/A</v>
      </c>
      <c r="X43" s="297" t="e">
        <f t="shared" si="5"/>
        <v>#N/A</v>
      </c>
      <c r="Y43" s="297" t="e">
        <f t="shared" si="6"/>
        <v>#N/A</v>
      </c>
      <c r="Z43" s="297" t="e">
        <f t="shared" si="7"/>
        <v>#N/A</v>
      </c>
      <c r="AA43" s="296" t="e">
        <f t="shared" si="8"/>
        <v>#N/A</v>
      </c>
    </row>
    <row r="44" spans="2:27" ht="15" hidden="1">
      <c r="B44" s="393"/>
      <c r="C44" s="366"/>
      <c r="D44" s="279"/>
      <c r="E44" s="279"/>
      <c r="F44" s="278"/>
      <c r="G44" s="279"/>
      <c r="H44" s="394"/>
      <c r="I44" s="368"/>
      <c r="J44" s="368"/>
      <c r="K44" s="281"/>
      <c r="L44" s="276"/>
      <c r="M44" s="395"/>
      <c r="N44" s="370"/>
      <c r="O44" s="371"/>
      <c r="P44" s="369"/>
      <c r="Q44" s="347"/>
      <c r="S44" s="277">
        <f t="shared" si="0"/>
        <v>0</v>
      </c>
      <c r="T44" s="296" t="e">
        <f t="shared" si="1"/>
        <v>#N/A</v>
      </c>
      <c r="U44" s="296" t="e">
        <f t="shared" si="2"/>
        <v>#N/A</v>
      </c>
      <c r="V44" s="297" t="e">
        <f t="shared" si="3"/>
        <v>#N/A</v>
      </c>
      <c r="W44" s="297" t="e">
        <f t="shared" si="4"/>
        <v>#N/A</v>
      </c>
      <c r="X44" s="297" t="e">
        <f t="shared" si="5"/>
        <v>#N/A</v>
      </c>
      <c r="Y44" s="297" t="e">
        <f t="shared" si="6"/>
        <v>#N/A</v>
      </c>
      <c r="Z44" s="297" t="e">
        <f t="shared" si="7"/>
        <v>#N/A</v>
      </c>
      <c r="AA44" s="296" t="e">
        <f t="shared" si="8"/>
        <v>#N/A</v>
      </c>
    </row>
    <row r="45" spans="2:27" ht="15" hidden="1">
      <c r="B45" s="393"/>
      <c r="C45" s="366"/>
      <c r="D45" s="279"/>
      <c r="E45" s="279"/>
      <c r="F45" s="278"/>
      <c r="G45" s="279"/>
      <c r="H45" s="394"/>
      <c r="I45" s="368"/>
      <c r="J45" s="368"/>
      <c r="K45" s="281"/>
      <c r="L45" s="276"/>
      <c r="M45" s="395"/>
      <c r="N45" s="370"/>
      <c r="O45" s="371"/>
      <c r="P45" s="369"/>
      <c r="Q45" s="347"/>
      <c r="S45" s="277">
        <f t="shared" si="0"/>
        <v>0</v>
      </c>
      <c r="T45" s="296" t="e">
        <f t="shared" si="1"/>
        <v>#N/A</v>
      </c>
      <c r="U45" s="296" t="e">
        <f t="shared" si="2"/>
        <v>#N/A</v>
      </c>
      <c r="V45" s="297" t="e">
        <f t="shared" si="3"/>
        <v>#N/A</v>
      </c>
      <c r="W45" s="297" t="e">
        <f t="shared" si="4"/>
        <v>#N/A</v>
      </c>
      <c r="X45" s="297" t="e">
        <f t="shared" si="5"/>
        <v>#N/A</v>
      </c>
      <c r="Y45" s="297" t="e">
        <f t="shared" si="6"/>
        <v>#N/A</v>
      </c>
      <c r="Z45" s="297" t="e">
        <f t="shared" si="7"/>
        <v>#N/A</v>
      </c>
      <c r="AA45" s="296" t="e">
        <f t="shared" si="8"/>
        <v>#N/A</v>
      </c>
    </row>
    <row r="46" spans="2:27" ht="15" hidden="1">
      <c r="B46" s="393"/>
      <c r="C46" s="366"/>
      <c r="D46" s="279"/>
      <c r="E46" s="279"/>
      <c r="F46" s="278"/>
      <c r="G46" s="279"/>
      <c r="H46" s="394"/>
      <c r="I46" s="368"/>
      <c r="J46" s="368"/>
      <c r="K46" s="281"/>
      <c r="L46" s="276"/>
      <c r="M46" s="395"/>
      <c r="N46" s="370"/>
      <c r="O46" s="371"/>
      <c r="P46" s="369"/>
      <c r="Q46" s="347"/>
      <c r="S46" s="277">
        <f t="shared" si="0"/>
        <v>0</v>
      </c>
      <c r="T46" s="296" t="e">
        <f t="shared" si="1"/>
        <v>#N/A</v>
      </c>
      <c r="U46" s="296" t="e">
        <f t="shared" si="2"/>
        <v>#N/A</v>
      </c>
      <c r="V46" s="297" t="e">
        <f t="shared" si="3"/>
        <v>#N/A</v>
      </c>
      <c r="W46" s="297" t="e">
        <f t="shared" si="4"/>
        <v>#N/A</v>
      </c>
      <c r="X46" s="297" t="e">
        <f t="shared" si="5"/>
        <v>#N/A</v>
      </c>
      <c r="Y46" s="297" t="e">
        <f t="shared" si="6"/>
        <v>#N/A</v>
      </c>
      <c r="Z46" s="297" t="e">
        <f t="shared" si="7"/>
        <v>#N/A</v>
      </c>
      <c r="AA46" s="296" t="e">
        <f t="shared" si="8"/>
        <v>#N/A</v>
      </c>
    </row>
    <row r="47" spans="2:27" ht="15" hidden="1">
      <c r="B47" s="373"/>
      <c r="C47" s="366"/>
      <c r="D47" s="279"/>
      <c r="E47" s="279"/>
      <c r="F47" s="278"/>
      <c r="G47" s="383"/>
      <c r="H47" s="367"/>
      <c r="I47" s="368"/>
      <c r="J47" s="368"/>
      <c r="K47" s="281"/>
      <c r="L47" s="276"/>
      <c r="M47" s="374"/>
      <c r="N47" s="370"/>
      <c r="O47" s="371"/>
      <c r="P47" s="369"/>
      <c r="Q47" s="347"/>
      <c r="S47" s="277">
        <f t="shared" si="0"/>
        <v>0</v>
      </c>
      <c r="T47" s="296" t="e">
        <f t="shared" si="1"/>
        <v>#N/A</v>
      </c>
      <c r="U47" s="296" t="e">
        <f t="shared" si="2"/>
        <v>#N/A</v>
      </c>
      <c r="V47" s="297" t="e">
        <f t="shared" si="3"/>
        <v>#N/A</v>
      </c>
      <c r="W47" s="297" t="e">
        <f t="shared" si="4"/>
        <v>#N/A</v>
      </c>
      <c r="X47" s="297" t="e">
        <f t="shared" si="5"/>
        <v>#N/A</v>
      </c>
      <c r="Y47" s="297" t="e">
        <f t="shared" si="6"/>
        <v>#N/A</v>
      </c>
      <c r="Z47" s="297" t="e">
        <f t="shared" si="7"/>
        <v>#N/A</v>
      </c>
      <c r="AA47" s="296" t="e">
        <f t="shared" si="8"/>
        <v>#N/A</v>
      </c>
    </row>
    <row r="48" spans="2:27" ht="15.75" customHeight="1" thickBot="1">
      <c r="B48" s="358"/>
      <c r="C48" s="358"/>
      <c r="D48" s="358"/>
      <c r="E48" s="358"/>
      <c r="F48" s="294"/>
      <c r="G48" s="294"/>
      <c r="H48" s="348"/>
      <c r="I48" s="533" t="s">
        <v>34</v>
      </c>
      <c r="J48" s="533"/>
      <c r="K48" s="533"/>
      <c r="L48" s="533"/>
      <c r="M48" s="533"/>
      <c r="N48" s="533"/>
      <c r="O48" s="1"/>
      <c r="P48" s="12"/>
      <c r="S48" s="277"/>
      <c r="T48" s="296"/>
      <c r="U48" s="296"/>
      <c r="V48" s="297"/>
      <c r="W48" s="297"/>
      <c r="X48" s="297"/>
      <c r="Y48" s="297"/>
      <c r="Z48" s="297"/>
      <c r="AA48" s="296"/>
    </row>
    <row r="49" spans="1:27" ht="30.75" thickBot="1">
      <c r="B49" s="388" t="s">
        <v>145</v>
      </c>
      <c r="C49" s="388"/>
      <c r="D49" s="534" t="s">
        <v>35</v>
      </c>
      <c r="E49" s="535"/>
      <c r="F49" s="294"/>
      <c r="G49" s="294"/>
      <c r="H49" s="23"/>
      <c r="I49" s="24" t="s">
        <v>17</v>
      </c>
      <c r="J49" s="25" t="s">
        <v>146</v>
      </c>
      <c r="K49" s="26" t="s">
        <v>138</v>
      </c>
      <c r="L49" s="25" t="s">
        <v>37</v>
      </c>
      <c r="M49" s="25" t="s">
        <v>38</v>
      </c>
      <c r="N49" s="27" t="s">
        <v>39</v>
      </c>
      <c r="O49" s="294"/>
      <c r="P49" s="12"/>
      <c r="S49" s="277"/>
      <c r="T49" s="296"/>
      <c r="U49" s="296"/>
      <c r="V49" s="297"/>
      <c r="W49" s="297"/>
      <c r="X49" s="297"/>
      <c r="Y49" s="297"/>
      <c r="Z49" s="297"/>
      <c r="AA49" s="296"/>
    </row>
    <row r="50" spans="1:27" ht="15" customHeight="1">
      <c r="A50" s="28"/>
      <c r="B50" s="519" t="s">
        <v>9</v>
      </c>
      <c r="C50" s="362">
        <v>11.8</v>
      </c>
      <c r="D50" s="537">
        <v>11.73</v>
      </c>
      <c r="E50" s="538"/>
      <c r="F50" s="294"/>
      <c r="G50" s="294"/>
      <c r="H50" s="294"/>
      <c r="I50" s="29" t="s">
        <v>6</v>
      </c>
      <c r="J50" s="323"/>
      <c r="K50" s="284">
        <f>COUNTA([16]Brewhouse!$A$1596:$A$1619)</f>
        <v>24</v>
      </c>
      <c r="L50" s="302">
        <f>AVERAGE([16]Brewhouse!$AU$1529,[16]Brewhouse!$AU$1531:$AU$1594,[16]Brewhouse!$AU$1596:$AU$1619)</f>
        <v>98.205761326291494</v>
      </c>
      <c r="M50" s="302">
        <f>AVERAGE([16]Brewhouse!$AU$849:$AU$924,[16]Brewhouse!$AU$926:$AU$971,[16]Brewhouse!$AU$973:$AU$1066,[16]Brewhouse!$AU$1068:$AU$1111,[16]Brewhouse!$AU$1113:$AU$1132,[16]Brewhouse!$AU$1134:$AU$1167,[16]Brewhouse!$AU$1169:$AU$1230,[16]Brewhouse!$AU$1232:$AU$1299,[16]Brewhouse!$AU$1301:$AU$1363,[16]Brewhouse!$AU$1365:$AU$1444,[16]Brewhouse!$AU$1446:$AU$1527,[16]Brewhouse!$AU$1529,[16]Brewhouse!$AU$1531:$AU$1594,[16]Brewhouse!$AU$1596:$AU$1619)</f>
        <v>98.38180565872257</v>
      </c>
      <c r="N50" s="30">
        <v>98</v>
      </c>
      <c r="O50" s="11"/>
      <c r="P50" s="31"/>
      <c r="S50" s="277"/>
      <c r="T50" s="296"/>
      <c r="U50" s="296"/>
      <c r="V50" s="297"/>
      <c r="W50" s="297"/>
      <c r="X50" s="297"/>
      <c r="Y50" s="297"/>
      <c r="Z50" s="297"/>
      <c r="AA50" s="296"/>
    </row>
    <row r="51" spans="1:27" ht="15" customHeight="1">
      <c r="A51" s="28"/>
      <c r="B51" s="520"/>
      <c r="C51" s="349">
        <v>11.9</v>
      </c>
      <c r="D51" s="539"/>
      <c r="E51" s="525"/>
      <c r="F51" s="294"/>
      <c r="G51" s="294"/>
      <c r="H51" s="32"/>
      <c r="I51" s="33" t="s">
        <v>9</v>
      </c>
      <c r="J51" s="323"/>
      <c r="K51" s="284">
        <f>COUNTA([17]Brewhouse!$A$976:$A$1007)</f>
        <v>32</v>
      </c>
      <c r="L51" s="302">
        <f>AVERAGE([17]Brewhouse!$AS$976:$AS$979,[17]Brewhouse!$AS$981:$AS$1007)</f>
        <v>98.538566771868645</v>
      </c>
      <c r="M51" s="302">
        <f>AVERAGE([17]Brewhouse!$AS$577:$AS$618,[17]Brewhouse!$AS$620:$AS$651,[17]Brewhouse!$AS$653:$AS$696,[17]Brewhouse!$AS$698:$AS$708,[17]Brewhouse!$AS$710:$AS$733,[17]Brewhouse!$AS$735:$AS$777,[17]Brewhouse!$AS$779:$AS$822,[17]Brewhouse!$AS$824:$AS$863,[17]Brewhouse!$AS$865:$AS$974,[17]Brewhouse!$AS$976:$AS$979,[17]Brewhouse!$AS$981:$AS$1007)</f>
        <v>98.489670500712904</v>
      </c>
      <c r="N51" s="30">
        <v>98</v>
      </c>
      <c r="O51" s="11"/>
      <c r="P51" s="31"/>
      <c r="S51" s="277"/>
      <c r="T51" s="296"/>
      <c r="U51" s="296"/>
      <c r="V51" s="297"/>
      <c r="W51" s="297"/>
      <c r="X51" s="297"/>
      <c r="Y51" s="297"/>
      <c r="Z51" s="297"/>
      <c r="AA51" s="296"/>
    </row>
    <row r="52" spans="1:27" ht="14.65" customHeight="1">
      <c r="A52" s="28"/>
      <c r="B52" s="520"/>
      <c r="C52" s="349"/>
      <c r="D52" s="537"/>
      <c r="E52" s="538"/>
      <c r="F52" s="294"/>
      <c r="G52" s="294"/>
      <c r="H52" s="32"/>
      <c r="I52" s="34" t="s">
        <v>12</v>
      </c>
      <c r="J52" s="280"/>
      <c r="K52" s="284">
        <f>COUNTA([18]Brewhouse!$A$282:$A$289)</f>
        <v>8</v>
      </c>
      <c r="L52" s="302">
        <f>AVERAGE([18]Brewhouse!$AU$269:$AU$279,[18]Brewhouse!$AU$282:$AU$289)</f>
        <v>96.1861768599382</v>
      </c>
      <c r="M52" s="302">
        <f>AVERAGE([18]Brewhouse!$AU$161:$AU$176,[18]Brewhouse!$AU$178:$AU$195,[18]Brewhouse!$AU$197:$AU$208,[18]Brewhouse!$AU$210:$AU$221,[18]Brewhouse!$AU$223:$AU$232,[18]Brewhouse!$AU$234:$AU$279,[18]Brewhouse!$AU$282:$AU$289)</f>
        <v>96.649159522318769</v>
      </c>
      <c r="N52" s="30">
        <v>98</v>
      </c>
      <c r="O52" s="11"/>
      <c r="P52" s="31"/>
      <c r="S52" s="23"/>
      <c r="T52" s="1"/>
      <c r="U52" s="1"/>
      <c r="AA52" s="285"/>
    </row>
    <row r="53" spans="1:27" ht="14.65" customHeight="1">
      <c r="A53" s="28"/>
      <c r="B53" s="520"/>
      <c r="C53" s="349"/>
      <c r="D53" s="539"/>
      <c r="E53" s="525"/>
      <c r="F53" s="294"/>
      <c r="G53" s="294"/>
      <c r="H53" s="32"/>
      <c r="I53" s="22" t="s">
        <v>33</v>
      </c>
      <c r="J53" s="280"/>
      <c r="K53" s="284">
        <f>COUNTA([19]Brewhouse!$A$158:$A$163)</f>
        <v>6</v>
      </c>
      <c r="L53" s="302">
        <f>AVERAGE([19]Brewhouse!$AU$158:$AU$163)</f>
        <v>94.603050114691541</v>
      </c>
      <c r="M53" s="302">
        <f>AVERAGE([19]Brewhouse!$AU$91:$AU$101,[19]Brewhouse!$AU$103:$AU$112,[19]Brewhouse!$AU$114:$AU$123,[19]Brewhouse!$AU$125:$AU$134,[19]Brewhouse!$AU$136:$AU$145,[19]Brewhouse!$AU$147:$AU$156,[19]Brewhouse!$AU$158:$AU$163)</f>
        <v>96.240013738482446</v>
      </c>
      <c r="N53" s="30">
        <v>98</v>
      </c>
      <c r="O53" s="11"/>
      <c r="P53" s="31"/>
      <c r="S53" s="23"/>
      <c r="T53" s="1"/>
      <c r="U53" s="1"/>
      <c r="AA53" s="285"/>
    </row>
    <row r="54" spans="1:27" ht="14.65" customHeight="1">
      <c r="A54" s="28"/>
      <c r="B54" s="520"/>
      <c r="C54" s="349"/>
      <c r="D54" s="537"/>
      <c r="E54" s="538"/>
      <c r="F54" s="294"/>
      <c r="G54" s="294"/>
      <c r="H54" s="32"/>
      <c r="I54" s="35" t="s">
        <v>29</v>
      </c>
      <c r="J54" s="280"/>
      <c r="K54" s="284"/>
      <c r="L54" s="302"/>
      <c r="M54" s="302"/>
      <c r="N54" s="30">
        <v>98</v>
      </c>
      <c r="O54" s="11"/>
      <c r="P54" s="31"/>
      <c r="S54" s="23"/>
    </row>
    <row r="55" spans="1:27" ht="14.65" customHeight="1">
      <c r="A55" s="28"/>
      <c r="B55" s="520"/>
      <c r="C55" s="349"/>
      <c r="D55" s="539"/>
      <c r="E55" s="525"/>
      <c r="F55" s="294"/>
      <c r="G55" s="294"/>
      <c r="H55" s="32"/>
      <c r="I55" s="36" t="s">
        <v>15</v>
      </c>
      <c r="J55" s="323"/>
      <c r="K55" s="284"/>
      <c r="L55" s="302"/>
      <c r="M55" s="302">
        <f>AVERAGE([20]Brewhouse!$AT$74:$AT$79)</f>
        <v>93.95983649860375</v>
      </c>
      <c r="N55" s="30">
        <v>98</v>
      </c>
      <c r="O55" s="11"/>
      <c r="P55" s="31"/>
      <c r="S55" s="23"/>
    </row>
    <row r="56" spans="1:27" ht="14.65" customHeight="1">
      <c r="A56" s="28"/>
      <c r="B56" s="520"/>
      <c r="C56" s="349"/>
      <c r="D56" s="537"/>
      <c r="E56" s="538"/>
      <c r="F56" s="294"/>
      <c r="G56" s="294"/>
      <c r="H56" s="32"/>
      <c r="I56" s="37" t="s">
        <v>16</v>
      </c>
      <c r="J56" s="323"/>
      <c r="K56" s="284">
        <f>COUNTA([21]Brewhouse!$A$249:$A$254)</f>
        <v>6</v>
      </c>
      <c r="L56" s="302">
        <f>AVERAGE([21]Brewhouse!$AY$249:$AY$254)</f>
        <v>99.681996476494263</v>
      </c>
      <c r="M56" s="302">
        <f>AVERAGE([21]Brewhouse!$AY$138:$AY$143,[21]Brewhouse!$AY$145:$AY$153,[21]Brewhouse!$AY$155,[21]Brewhouse!$AY$156:$AY$174,[21]Brewhouse!$AY$176:$AY$185,[21]Brewhouse!$AY$187:$AY$198,[21]Brewhouse!$AY$200:$AY$247,[21]Brewhouse!$AY$249:$AY$254)</f>
        <v>98.774702677266788</v>
      </c>
      <c r="N56" s="30">
        <v>98</v>
      </c>
      <c r="O56" s="11"/>
      <c r="P56" s="31" t="s">
        <v>41</v>
      </c>
      <c r="S56" s="23"/>
      <c r="X56" s="275" t="s">
        <v>41</v>
      </c>
    </row>
    <row r="57" spans="1:27" ht="14.65" customHeight="1">
      <c r="A57" s="28"/>
      <c r="B57" s="520"/>
      <c r="C57" s="349"/>
      <c r="D57" s="539"/>
      <c r="E57" s="525"/>
      <c r="F57" s="294"/>
      <c r="G57" s="294"/>
      <c r="H57" s="32"/>
      <c r="I57" s="306" t="s">
        <v>137</v>
      </c>
      <c r="J57" s="326"/>
      <c r="K57" s="284"/>
      <c r="L57" s="305"/>
      <c r="M57" s="305">
        <f>AVERAGE([22]Brewhouse!$AW$13:$AW$14,[22]Brewhouse!$AW$16:$AW$17)</f>
        <v>92.042628234181777</v>
      </c>
      <c r="N57" s="30">
        <v>98</v>
      </c>
      <c r="O57" s="11"/>
      <c r="P57" s="31"/>
      <c r="S57" s="23"/>
    </row>
    <row r="58" spans="1:27" ht="15" customHeight="1" thickBot="1">
      <c r="A58" s="28"/>
      <c r="B58" s="520"/>
      <c r="C58" s="349"/>
      <c r="D58" s="572"/>
      <c r="E58" s="567"/>
      <c r="F58" s="294"/>
      <c r="G58" s="294"/>
      <c r="H58" s="32"/>
      <c r="I58" s="38" t="s">
        <v>125</v>
      </c>
      <c r="J58" s="327"/>
      <c r="K58" s="284"/>
      <c r="L58" s="328"/>
      <c r="M58" s="328">
        <f>AVERAGE([22]Brewhouse!$AW$13:$AW$14)</f>
        <v>88.376943267718929</v>
      </c>
      <c r="N58" s="30">
        <v>98</v>
      </c>
      <c r="O58" s="11"/>
      <c r="P58" s="31"/>
      <c r="S58" s="23"/>
    </row>
    <row r="59" spans="1:27" ht="15" customHeight="1" thickTop="1" thickBot="1">
      <c r="A59" s="28"/>
      <c r="B59" s="520"/>
      <c r="C59" s="349"/>
      <c r="D59" s="573"/>
      <c r="E59" s="574"/>
      <c r="F59" s="294"/>
      <c r="G59" s="294"/>
      <c r="H59" s="32"/>
      <c r="I59" s="1"/>
      <c r="J59" s="39"/>
      <c r="K59" s="330">
        <f>SUM(K50:K58)</f>
        <v>76</v>
      </c>
      <c r="L59" s="329">
        <f>((L50*K50)+(L51*K51)+(L52*K52)+(L53*K53)+(L54*K54)+(K57*L57)+(L55*K55)+(L56*K56)+(L58*K58))/(K59)</f>
        <v>97.965422407334373</v>
      </c>
      <c r="M59" s="329">
        <f>AVERAGE('[23]Closing- January 2023'!$L$42,'[24]Feb. 28th'!$L$42,'[25]March 31st'!$L$75,'[26]Apri 28th'!$L$51,L59)</f>
        <v>98.069259977506491</v>
      </c>
      <c r="N59" s="40">
        <v>98</v>
      </c>
      <c r="O59" s="11"/>
      <c r="P59" s="31"/>
      <c r="S59" s="23"/>
    </row>
    <row r="60" spans="1:27" ht="15" customHeight="1">
      <c r="A60" s="28"/>
      <c r="B60" s="520"/>
      <c r="C60" s="349"/>
      <c r="D60" s="572"/>
      <c r="E60" s="567"/>
      <c r="F60" s="294"/>
      <c r="G60" s="294"/>
      <c r="H60" s="32"/>
      <c r="I60" s="1"/>
      <c r="J60" s="39"/>
      <c r="O60" s="11"/>
      <c r="P60" s="31"/>
      <c r="S60" s="23"/>
    </row>
    <row r="61" spans="1:27" ht="21.6" customHeight="1" thickBot="1">
      <c r="B61" s="521"/>
      <c r="C61" s="350"/>
      <c r="D61" s="575"/>
      <c r="E61" s="576"/>
      <c r="F61" s="294"/>
      <c r="G61" s="42"/>
      <c r="H61" s="41"/>
      <c r="I61" s="42"/>
      <c r="J61" s="42"/>
      <c r="K61" s="351"/>
      <c r="L61" s="348"/>
      <c r="M61" s="348"/>
      <c r="N61" s="11"/>
      <c r="O61" s="294"/>
      <c r="P61" s="12"/>
      <c r="S61" s="23"/>
    </row>
    <row r="62" spans="1:27" ht="15.75" thickBot="1">
      <c r="B62" s="561"/>
      <c r="C62" s="362"/>
      <c r="D62" s="522"/>
      <c r="E62" s="523"/>
      <c r="F62" s="43"/>
      <c r="G62" s="41"/>
      <c r="H62" s="41"/>
      <c r="I62" s="42"/>
      <c r="J62" s="564" t="s">
        <v>129</v>
      </c>
      <c r="K62" s="564"/>
      <c r="L62" s="294"/>
      <c r="M62" s="294"/>
      <c r="N62" s="294"/>
      <c r="O62" s="294"/>
      <c r="P62" s="12"/>
      <c r="S62" s="23" t="s">
        <v>41</v>
      </c>
    </row>
    <row r="63" spans="1:27" ht="13.5" customHeight="1" thickBot="1">
      <c r="B63" s="562"/>
      <c r="C63" s="349"/>
      <c r="D63" s="524"/>
      <c r="E63" s="525"/>
      <c r="F63" s="43"/>
      <c r="G63" s="41"/>
      <c r="H63" s="41"/>
      <c r="I63" s="42"/>
      <c r="J63" s="292" t="s">
        <v>17</v>
      </c>
      <c r="K63" s="293" t="s">
        <v>147</v>
      </c>
      <c r="L63" s="527" t="s">
        <v>136</v>
      </c>
      <c r="M63" s="527"/>
      <c r="N63" s="528"/>
      <c r="O63" s="294"/>
      <c r="P63" s="12"/>
      <c r="S63" s="23"/>
    </row>
    <row r="64" spans="1:27" ht="15" customHeight="1" thickBot="1">
      <c r="B64" s="562"/>
      <c r="C64" s="349"/>
      <c r="D64" s="565"/>
      <c r="E64" s="538"/>
      <c r="F64" s="43"/>
      <c r="G64" s="41"/>
      <c r="H64" s="41"/>
      <c r="I64" s="42"/>
      <c r="J64" s="287" t="s">
        <v>6</v>
      </c>
      <c r="K64" s="324"/>
      <c r="L64" s="343" t="s">
        <v>37</v>
      </c>
      <c r="M64" s="307" t="s">
        <v>38</v>
      </c>
      <c r="N64" s="307" t="s">
        <v>84</v>
      </c>
      <c r="O64" s="294"/>
      <c r="P64" s="12"/>
      <c r="S64" s="23"/>
    </row>
    <row r="65" spans="2:58" ht="15.75" customHeight="1" thickBot="1">
      <c r="B65" s="562"/>
      <c r="C65" s="349"/>
      <c r="D65" s="524"/>
      <c r="E65" s="525"/>
      <c r="F65" s="43"/>
      <c r="G65" s="41"/>
      <c r="H65" s="41"/>
      <c r="I65" s="42"/>
      <c r="J65" s="345" t="s">
        <v>9</v>
      </c>
      <c r="K65" s="324">
        <v>5</v>
      </c>
      <c r="L65" s="344" t="e">
        <f>AVERAGE(#REF!,#REF!,K74,#REF!,#REF!,#REF!,#REF!,#REF!,#REF!,#REF!,#REF!)</f>
        <v>#REF!</v>
      </c>
      <c r="M65" s="325" t="e">
        <f>AVERAGE(6,6,'[25]March 31st'!$L$80,'[27]June 30th  '!$L$71,6,L65,'[28]July 31st'!$L$108,'[29]Aug 30th'!$L$124,7,[30]Oct.31st!$L$51)</f>
        <v>#REF!</v>
      </c>
      <c r="N65" s="308">
        <v>9</v>
      </c>
      <c r="O65" s="294"/>
      <c r="P65" s="12"/>
      <c r="S65" s="23"/>
    </row>
    <row r="66" spans="2:58" ht="15" customHeight="1">
      <c r="B66" s="562"/>
      <c r="C66" s="349"/>
      <c r="D66" s="565"/>
      <c r="E66" s="538"/>
      <c r="F66" s="43"/>
      <c r="G66" s="41"/>
      <c r="H66" s="41"/>
      <c r="I66" s="42"/>
      <c r="J66" s="288" t="s">
        <v>40</v>
      </c>
      <c r="K66" s="324"/>
      <c r="L66" s="294"/>
      <c r="M66" s="294"/>
      <c r="N66" s="294"/>
      <c r="O66" s="294"/>
      <c r="P66" s="12"/>
      <c r="S66" s="23"/>
    </row>
    <row r="67" spans="2:58" ht="15" customHeight="1">
      <c r="B67" s="562"/>
      <c r="C67" s="349"/>
      <c r="D67" s="524"/>
      <c r="E67" s="525"/>
      <c r="F67" s="43"/>
      <c r="G67" s="41"/>
      <c r="H67" s="41"/>
      <c r="I67" s="42"/>
      <c r="J67" s="289" t="s">
        <v>33</v>
      </c>
      <c r="K67" s="324"/>
      <c r="L67" s="294"/>
      <c r="M67" s="294"/>
      <c r="N67" s="294"/>
      <c r="O67" s="294"/>
      <c r="P67" s="12"/>
      <c r="S67" s="23"/>
    </row>
    <row r="68" spans="2:58" ht="15">
      <c r="B68" s="562"/>
      <c r="C68" s="349"/>
      <c r="D68" s="565"/>
      <c r="E68" s="538"/>
      <c r="F68" s="43"/>
      <c r="G68" s="41"/>
      <c r="H68" s="41"/>
      <c r="I68" s="42"/>
      <c r="J68" s="290" t="s">
        <v>16</v>
      </c>
      <c r="K68" s="324"/>
      <c r="L68" s="294"/>
      <c r="M68" s="294"/>
      <c r="N68" s="294"/>
      <c r="O68" s="294"/>
      <c r="P68" s="12"/>
      <c r="S68" s="23"/>
      <c r="BD68" s="44"/>
      <c r="BE68" s="44"/>
    </row>
    <row r="69" spans="2:58" ht="15">
      <c r="B69" s="562"/>
      <c r="C69" s="349"/>
      <c r="D69" s="524"/>
      <c r="E69" s="525"/>
      <c r="F69" s="43"/>
      <c r="G69" s="41"/>
      <c r="H69" s="41"/>
      <c r="I69" s="42"/>
      <c r="J69" s="291" t="s">
        <v>15</v>
      </c>
      <c r="K69" s="324"/>
      <c r="L69" s="294"/>
      <c r="M69" s="294"/>
      <c r="N69" s="294"/>
      <c r="O69" s="294"/>
      <c r="P69" s="12"/>
      <c r="S69" s="23"/>
      <c r="BD69" s="44"/>
      <c r="BE69" s="44"/>
    </row>
    <row r="70" spans="2:58" ht="15">
      <c r="B70" s="562"/>
      <c r="C70" s="349"/>
      <c r="D70" s="566"/>
      <c r="E70" s="567"/>
      <c r="F70" s="43"/>
      <c r="G70" s="41"/>
      <c r="H70" s="41"/>
      <c r="I70" s="42"/>
      <c r="J70" s="291" t="s">
        <v>149</v>
      </c>
      <c r="K70" s="324"/>
      <c r="L70" s="294"/>
      <c r="M70" s="294"/>
      <c r="N70" s="294"/>
      <c r="O70" s="294"/>
      <c r="P70" s="12"/>
      <c r="S70" s="23"/>
      <c r="BD70" s="44"/>
      <c r="BE70" s="44"/>
    </row>
    <row r="71" spans="2:58" ht="15.75" thickBot="1">
      <c r="B71" s="563"/>
      <c r="C71" s="350"/>
      <c r="D71" s="568"/>
      <c r="E71" s="569"/>
      <c r="F71" s="43"/>
      <c r="G71" s="41"/>
      <c r="H71" s="41"/>
      <c r="I71" s="42"/>
      <c r="J71" s="291" t="s">
        <v>148</v>
      </c>
      <c r="K71" s="324"/>
      <c r="L71" s="294"/>
      <c r="M71" s="294"/>
      <c r="N71" s="294"/>
      <c r="O71" s="294"/>
      <c r="P71" s="12"/>
      <c r="S71" s="23"/>
      <c r="BD71" s="44"/>
      <c r="BE71" s="44"/>
    </row>
    <row r="72" spans="2:58" ht="17.649999999999999" customHeight="1" thickBot="1">
      <c r="B72" s="312" t="s">
        <v>139</v>
      </c>
      <c r="C72" s="313"/>
      <c r="D72" s="559">
        <f>AVERAGE(D50:E71)</f>
        <v>11.73</v>
      </c>
      <c r="E72" s="560"/>
      <c r="F72" s="43"/>
      <c r="G72" s="41"/>
      <c r="H72" s="41"/>
      <c r="I72" s="42"/>
      <c r="J72" s="295" t="s">
        <v>134</v>
      </c>
      <c r="K72" s="324"/>
      <c r="L72" s="294"/>
      <c r="M72" s="294"/>
      <c r="N72" s="294"/>
      <c r="O72" s="294"/>
      <c r="P72" s="12"/>
      <c r="S72" s="23"/>
      <c r="BD72" s="44"/>
      <c r="BE72" s="44"/>
    </row>
    <row r="73" spans="2:58" ht="17.649999999999999" customHeight="1">
      <c r="B73" s="363"/>
      <c r="C73" s="364"/>
      <c r="D73" s="365"/>
      <c r="E73" s="365"/>
      <c r="F73" s="43"/>
      <c r="G73" s="41"/>
      <c r="H73" s="41"/>
      <c r="I73" s="42"/>
      <c r="J73" s="295" t="s">
        <v>131</v>
      </c>
      <c r="K73" s="324"/>
      <c r="L73" s="294"/>
      <c r="M73" s="294"/>
      <c r="N73" s="294"/>
      <c r="O73" s="294"/>
      <c r="P73" s="12"/>
      <c r="S73" s="23"/>
      <c r="BD73" s="44"/>
      <c r="BE73" s="44"/>
    </row>
    <row r="74" spans="2:58" ht="15.75" customHeight="1">
      <c r="B74" s="45"/>
      <c r="C74" s="11"/>
      <c r="D74" s="11"/>
      <c r="E74" s="46"/>
      <c r="F74" s="23"/>
      <c r="G74" s="11"/>
      <c r="H74" s="41"/>
      <c r="I74" s="42"/>
      <c r="J74" s="346" t="s">
        <v>130</v>
      </c>
      <c r="K74" s="324">
        <f>SUM(K64:K73)</f>
        <v>5</v>
      </c>
      <c r="L74" s="294"/>
      <c r="M74" s="294"/>
      <c r="N74" s="294"/>
      <c r="O74" s="294"/>
      <c r="P74" s="12"/>
    </row>
    <row r="75" spans="2:58" ht="20.25" customHeight="1">
      <c r="B75" s="15" t="s">
        <v>42</v>
      </c>
      <c r="C75" s="1" t="s">
        <v>43</v>
      </c>
      <c r="D75" s="1"/>
      <c r="E75" s="1"/>
      <c r="I75" s="42"/>
      <c r="L75" s="294"/>
      <c r="P75" s="334"/>
    </row>
    <row r="76" spans="2:58" ht="15" customHeight="1" thickBot="1"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8"/>
      <c r="O76" s="48"/>
      <c r="P76" s="49"/>
      <c r="X76" s="275" t="s">
        <v>41</v>
      </c>
    </row>
    <row r="77" spans="2:58" ht="15" customHeight="1" thickBot="1">
      <c r="B77" s="504" t="s">
        <v>17</v>
      </c>
      <c r="C77" s="504" t="s">
        <v>44</v>
      </c>
      <c r="D77" s="515" t="s">
        <v>45</v>
      </c>
      <c r="E77" s="517" t="s">
        <v>46</v>
      </c>
      <c r="F77" s="510" t="s">
        <v>47</v>
      </c>
      <c r="G77" s="502" t="s">
        <v>48</v>
      </c>
      <c r="H77" s="504" t="s">
        <v>49</v>
      </c>
      <c r="I77" s="557" t="s">
        <v>50</v>
      </c>
      <c r="J77" s="496" t="s">
        <v>28</v>
      </c>
      <c r="K77" s="506" t="s">
        <v>51</v>
      </c>
      <c r="L77" s="508" t="s">
        <v>52</v>
      </c>
      <c r="M77" s="496" t="s">
        <v>53</v>
      </c>
      <c r="N77" s="77"/>
      <c r="O77" s="13"/>
      <c r="P77" s="50"/>
    </row>
    <row r="78" spans="2:58" ht="28.5" customHeight="1" thickTop="1" thickBot="1">
      <c r="B78" s="514"/>
      <c r="C78" s="514"/>
      <c r="D78" s="516"/>
      <c r="E78" s="518"/>
      <c r="F78" s="511"/>
      <c r="G78" s="503"/>
      <c r="H78" s="514"/>
      <c r="I78" s="558"/>
      <c r="J78" s="497"/>
      <c r="K78" s="507"/>
      <c r="L78" s="509"/>
      <c r="M78" s="497"/>
      <c r="N78" s="77"/>
      <c r="O78" s="13"/>
      <c r="P78" s="50"/>
      <c r="Q78" s="355"/>
      <c r="R78" s="355"/>
      <c r="S78" s="355"/>
      <c r="T78" s="355"/>
      <c r="U78" s="51">
        <v>43466</v>
      </c>
      <c r="V78" s="51">
        <v>43467</v>
      </c>
      <c r="W78" s="51">
        <v>43468</v>
      </c>
      <c r="X78" s="51">
        <v>43469</v>
      </c>
      <c r="Y78" s="51">
        <v>43470</v>
      </c>
      <c r="Z78" s="51">
        <v>43471</v>
      </c>
      <c r="AA78" s="51">
        <v>43472</v>
      </c>
      <c r="AB78" s="51">
        <v>43473</v>
      </c>
      <c r="AC78" s="51">
        <v>43474</v>
      </c>
      <c r="AD78" s="51">
        <v>43475</v>
      </c>
      <c r="AE78" s="51">
        <v>43476</v>
      </c>
      <c r="AF78" s="51">
        <v>43477</v>
      </c>
      <c r="AG78" s="51">
        <v>43478</v>
      </c>
      <c r="AH78" s="51">
        <v>43479</v>
      </c>
      <c r="AI78" s="51">
        <v>43480</v>
      </c>
      <c r="AJ78" s="51">
        <v>43481</v>
      </c>
      <c r="AK78" s="51">
        <v>43482</v>
      </c>
      <c r="AL78" s="51">
        <v>43483</v>
      </c>
      <c r="AM78" s="51">
        <v>43484</v>
      </c>
      <c r="AN78" s="51">
        <v>43485</v>
      </c>
      <c r="AO78" s="51">
        <v>43486</v>
      </c>
      <c r="AP78" s="51">
        <v>43487</v>
      </c>
      <c r="AQ78" s="51">
        <v>43488</v>
      </c>
      <c r="AR78" s="51">
        <v>43489</v>
      </c>
      <c r="AS78" s="51">
        <v>43490</v>
      </c>
      <c r="AT78" s="51">
        <v>43491</v>
      </c>
      <c r="AU78" s="51">
        <v>43492</v>
      </c>
      <c r="AV78" s="51">
        <v>43493</v>
      </c>
      <c r="AW78" s="51">
        <v>43494</v>
      </c>
      <c r="AX78" s="51">
        <v>43495</v>
      </c>
      <c r="AY78" s="51">
        <v>43496</v>
      </c>
    </row>
    <row r="79" spans="2:58" s="54" customFormat="1" ht="41.25" customHeight="1">
      <c r="B79" s="385" t="s">
        <v>9</v>
      </c>
      <c r="C79" s="283">
        <v>45278</v>
      </c>
      <c r="D79" s="377">
        <f>[31]December_2023!$U$13</f>
        <v>150.4</v>
      </c>
      <c r="E79" s="378"/>
      <c r="F79" s="379"/>
      <c r="G79" s="303">
        <f>[31]December_2023!$U$17</f>
        <v>120.8</v>
      </c>
      <c r="H79" s="381"/>
      <c r="I79" s="382"/>
      <c r="J79" s="360" t="s">
        <v>150</v>
      </c>
      <c r="K79" s="380">
        <f>[32]December_2023!$U$25</f>
        <v>0.42385964912280699</v>
      </c>
      <c r="L79" s="391">
        <f>(((D79+E79)-G79)/(D79+E79))*100</f>
        <v>19.680851063829792</v>
      </c>
      <c r="M79" s="357" t="s">
        <v>154</v>
      </c>
      <c r="N79" s="13"/>
      <c r="O79" s="13"/>
      <c r="P79" s="50"/>
      <c r="T79" s="272" t="s">
        <v>54</v>
      </c>
      <c r="U79" s="279"/>
      <c r="V79" s="279"/>
      <c r="W79" s="279"/>
      <c r="X79" s="279"/>
      <c r="Y79" s="279"/>
      <c r="Z79" s="279"/>
      <c r="AA79" s="279"/>
      <c r="AB79" s="279"/>
      <c r="AC79" s="279"/>
      <c r="AD79" s="279"/>
      <c r="AE79" s="279"/>
      <c r="AF79" s="279"/>
      <c r="AG79" s="279"/>
      <c r="AH79" s="279"/>
      <c r="AI79" s="279"/>
      <c r="AJ79" s="279"/>
      <c r="AK79" s="279"/>
      <c r="AL79" s="279"/>
      <c r="AM79" s="279"/>
      <c r="AN79" s="279"/>
      <c r="AO79" s="279"/>
      <c r="AP79" s="279"/>
      <c r="AQ79" s="279"/>
      <c r="AR79" s="279"/>
      <c r="AS79" s="279"/>
      <c r="AT79" s="279"/>
      <c r="AU79" s="279"/>
      <c r="AV79" s="279"/>
      <c r="AW79" s="279"/>
      <c r="AX79" s="279"/>
    </row>
    <row r="80" spans="2:58" s="54" customFormat="1" ht="18.75" customHeight="1" thickBot="1">
      <c r="B80" s="387"/>
      <c r="C80" s="283"/>
      <c r="D80" s="279"/>
      <c r="E80" s="279"/>
      <c r="F80" s="279"/>
      <c r="G80" s="279"/>
      <c r="H80" s="320"/>
      <c r="I80" s="321"/>
      <c r="J80" s="281" t="s">
        <v>41</v>
      </c>
      <c r="K80" s="376"/>
      <c r="L80" s="314"/>
      <c r="M80" s="384"/>
      <c r="N80" s="13"/>
      <c r="O80" s="13"/>
      <c r="P80" s="50"/>
      <c r="T80" s="272" t="s">
        <v>51</v>
      </c>
      <c r="U80" s="57" t="e">
        <f>[14]January_2019!D8</f>
        <v>#DIV/0!</v>
      </c>
      <c r="V80" s="57">
        <f>[14]January_2019!E8</f>
        <v>1.0319298245614037</v>
      </c>
      <c r="W80" s="57">
        <f>[14]January_2019!F8</f>
        <v>1.7789473684210526</v>
      </c>
      <c r="X80" s="57">
        <f>[14]January_2019!G8</f>
        <v>0.51929824561403504</v>
      </c>
      <c r="Y80" s="57" t="e">
        <f>[14]January_2019!H8</f>
        <v>#DIV/0!</v>
      </c>
      <c r="Z80" s="57" t="e">
        <f>[14]January_2019!I8</f>
        <v>#DIV/0!</v>
      </c>
      <c r="AA80" s="57">
        <f>[14]January_2019!J8</f>
        <v>1.365263157894737</v>
      </c>
      <c r="AB80" s="57" t="e">
        <f>[14]January_2019!K8</f>
        <v>#DIV/0!</v>
      </c>
      <c r="AC80" s="57">
        <f>[14]January_2019!L8</f>
        <v>1.0028070175438597</v>
      </c>
      <c r="AD80" s="57">
        <f>[14]January_2019!M8</f>
        <v>1.7828070175438597</v>
      </c>
      <c r="AE80" s="57" t="e">
        <f>[14]January_2019!N8</f>
        <v>#DIV/0!</v>
      </c>
      <c r="AF80" s="57" t="e">
        <f>[14]January_2019!O8</f>
        <v>#DIV/0!</v>
      </c>
      <c r="AG80" s="57">
        <f>[14]January_2019!P8</f>
        <v>0.19222222222222221</v>
      </c>
      <c r="AH80" s="57">
        <f>[14]January_2019!Q8</f>
        <v>0.52219298245614032</v>
      </c>
      <c r="AI80" s="57">
        <f>[14]January_2019!R8</f>
        <v>0.42912280701754385</v>
      </c>
      <c r="AJ80" s="57" t="e">
        <f>[14]January_2019!S8</f>
        <v>#DIV/0!</v>
      </c>
      <c r="AK80" s="57">
        <f>[14]January_2019!T8</f>
        <v>1.0340350877192983</v>
      </c>
      <c r="AL80" s="57">
        <f>[14]January_2019!U8</f>
        <v>0.98421052631578942</v>
      </c>
      <c r="AM80" s="57" t="e">
        <f>[14]January_2019!V8</f>
        <v>#DIV/0!</v>
      </c>
      <c r="AN80" s="57" t="e">
        <f>[14]January_2019!W8</f>
        <v>#DIV/0!</v>
      </c>
      <c r="AO80" s="57">
        <f>[14]January_2019!X8</f>
        <v>0.66052631578947374</v>
      </c>
      <c r="AP80" s="57">
        <f>[14]January_2019!Y8</f>
        <v>1.0375438596491227</v>
      </c>
      <c r="AQ80" s="57">
        <f>[14]January_2019!Z8</f>
        <v>0.90456140350877201</v>
      </c>
      <c r="AR80" s="57">
        <f>[14]January_2019!AA8</f>
        <v>1.0217543859649123</v>
      </c>
      <c r="AS80" s="57">
        <f>[14]January_2019!AB8</f>
        <v>0.65614035087719302</v>
      </c>
      <c r="AT80" s="57" t="e">
        <f>[14]January_2019!AC8</f>
        <v>#DIV/0!</v>
      </c>
      <c r="AU80" s="57" t="e">
        <f>[14]January_2019!AD8</f>
        <v>#DIV/0!</v>
      </c>
      <c r="AV80" s="57">
        <f>[14]January_2019!AE8</f>
        <v>1.7021052631578948</v>
      </c>
      <c r="AW80" s="57">
        <f>[14]January_2019!AF8</f>
        <v>0.60192982456140354</v>
      </c>
      <c r="AX80" s="57">
        <f>[14]January_2019!AG8</f>
        <v>1.4870175438596491</v>
      </c>
      <c r="AY80" s="277" t="e">
        <f>[14]January_2019!AH8</f>
        <v>#DIV/0!</v>
      </c>
      <c r="AZ80" s="277"/>
      <c r="BA80" s="277"/>
      <c r="BB80" s="277"/>
      <c r="BC80" s="277"/>
      <c r="BD80" s="277"/>
      <c r="BE80" s="277"/>
      <c r="BF80" s="277"/>
    </row>
    <row r="81" spans="2:58" s="54" customFormat="1" ht="45.75" hidden="1" customHeight="1" thickBot="1">
      <c r="B81" s="29"/>
      <c r="C81" s="283"/>
      <c r="D81" s="279"/>
      <c r="E81" s="279"/>
      <c r="F81" s="279"/>
      <c r="G81" s="279"/>
      <c r="H81" s="381"/>
      <c r="I81" s="382"/>
      <c r="J81" s="390"/>
      <c r="K81" s="372"/>
      <c r="L81" s="391"/>
      <c r="M81" s="357"/>
      <c r="N81" s="13"/>
      <c r="O81" s="13"/>
      <c r="P81" s="50"/>
      <c r="T81" s="272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277"/>
      <c r="AZ81" s="277"/>
      <c r="BA81" s="277"/>
      <c r="BB81" s="277"/>
      <c r="BC81" s="277"/>
      <c r="BD81" s="277"/>
      <c r="BE81" s="277"/>
      <c r="BF81" s="277"/>
    </row>
    <row r="82" spans="2:58" s="54" customFormat="1" ht="28.5" hidden="1" customHeight="1" thickBot="1">
      <c r="B82" s="361"/>
      <c r="C82" s="283"/>
      <c r="D82" s="304"/>
      <c r="E82" s="279"/>
      <c r="F82" s="279"/>
      <c r="G82" s="279"/>
      <c r="H82" s="320"/>
      <c r="I82" s="321"/>
      <c r="J82" s="389"/>
      <c r="K82" s="376"/>
      <c r="L82" s="314"/>
      <c r="M82" s="354"/>
      <c r="N82" s="13"/>
      <c r="O82" s="13"/>
      <c r="P82" s="50"/>
      <c r="T82" s="272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277"/>
      <c r="AZ82" s="277"/>
      <c r="BA82" s="277"/>
      <c r="BB82" s="277"/>
      <c r="BC82" s="277"/>
      <c r="BD82" s="277"/>
      <c r="BE82" s="277"/>
      <c r="BF82" s="277"/>
    </row>
    <row r="83" spans="2:58" s="54" customFormat="1" ht="45.75" hidden="1" customHeight="1">
      <c r="B83" s="385"/>
      <c r="C83" s="283"/>
      <c r="D83" s="279"/>
      <c r="E83" s="279"/>
      <c r="F83" s="279"/>
      <c r="G83" s="279"/>
      <c r="H83" s="320"/>
      <c r="I83" s="322"/>
      <c r="J83" s="360"/>
      <c r="K83" s="286"/>
      <c r="L83" s="314"/>
      <c r="M83" s="384"/>
      <c r="N83" s="13"/>
      <c r="O83" s="13"/>
      <c r="P83" s="50"/>
      <c r="T83" s="272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277"/>
      <c r="AZ83" s="277"/>
      <c r="BA83" s="277"/>
      <c r="BB83" s="277"/>
      <c r="BC83" s="277"/>
      <c r="BD83" s="277"/>
      <c r="BE83" s="277"/>
      <c r="BF83" s="277"/>
    </row>
    <row r="84" spans="2:58" s="54" customFormat="1" ht="45.75" hidden="1" customHeight="1">
      <c r="B84" s="361"/>
      <c r="C84" s="283"/>
      <c r="D84" s="279"/>
      <c r="E84" s="279"/>
      <c r="F84" s="279"/>
      <c r="G84" s="279"/>
      <c r="H84" s="320"/>
      <c r="I84" s="322"/>
      <c r="J84" s="281"/>
      <c r="K84" s="286"/>
      <c r="L84" s="314"/>
      <c r="M84" s="339"/>
      <c r="N84" s="13"/>
      <c r="O84" s="13"/>
      <c r="P84" s="50"/>
      <c r="T84" s="272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277"/>
      <c r="AZ84" s="277"/>
      <c r="BA84" s="277"/>
      <c r="BB84" s="277"/>
      <c r="BC84" s="277"/>
      <c r="BD84" s="277"/>
      <c r="BE84" s="277"/>
      <c r="BF84" s="277"/>
    </row>
    <row r="85" spans="2:58" ht="15.75" hidden="1" thickBot="1">
      <c r="B85" s="33"/>
      <c r="C85" s="310"/>
      <c r="D85" s="279"/>
      <c r="E85" s="279"/>
      <c r="F85" s="279"/>
      <c r="G85" s="279"/>
      <c r="H85" s="352"/>
      <c r="I85" s="353"/>
      <c r="J85" s="52"/>
      <c r="K85" s="52"/>
      <c r="L85" s="53"/>
      <c r="M85" s="55"/>
      <c r="N85" s="77"/>
      <c r="O85" s="13"/>
      <c r="P85" s="56"/>
    </row>
    <row r="86" spans="2:58" ht="15.75" thickBot="1">
      <c r="B86" s="58"/>
      <c r="C86" s="309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9"/>
      <c r="O86" s="56"/>
      <c r="P86" s="60"/>
    </row>
    <row r="87" spans="2:58" ht="15.75" thickBot="1">
      <c r="B87" s="498" t="s">
        <v>55</v>
      </c>
      <c r="C87" s="499"/>
      <c r="D87" s="499"/>
      <c r="E87" s="499"/>
      <c r="F87" s="500"/>
      <c r="G87" s="498" t="s">
        <v>56</v>
      </c>
      <c r="H87" s="499"/>
      <c r="I87" s="499"/>
      <c r="J87" s="500"/>
      <c r="K87" s="498" t="s">
        <v>51</v>
      </c>
      <c r="L87" s="499"/>
      <c r="M87" s="499"/>
      <c r="N87" s="501"/>
      <c r="O87" s="56"/>
      <c r="P87" s="50"/>
    </row>
    <row r="88" spans="2:58" ht="15">
      <c r="B88" s="61" t="s">
        <v>17</v>
      </c>
      <c r="C88" s="62" t="s">
        <v>36</v>
      </c>
      <c r="D88" s="62" t="s">
        <v>37</v>
      </c>
      <c r="E88" s="62" t="s">
        <v>38</v>
      </c>
      <c r="F88" s="63" t="s">
        <v>39</v>
      </c>
      <c r="G88" s="62" t="s">
        <v>36</v>
      </c>
      <c r="H88" s="62" t="s">
        <v>37</v>
      </c>
      <c r="I88" s="62" t="s">
        <v>38</v>
      </c>
      <c r="J88" s="63" t="s">
        <v>39</v>
      </c>
      <c r="K88" s="62" t="s">
        <v>36</v>
      </c>
      <c r="L88" s="62" t="s">
        <v>37</v>
      </c>
      <c r="M88" s="62" t="s">
        <v>38</v>
      </c>
      <c r="N88" s="63" t="s">
        <v>39</v>
      </c>
      <c r="O88" s="56"/>
      <c r="P88" s="64"/>
    </row>
    <row r="89" spans="2:58" ht="15">
      <c r="B89" s="29" t="s">
        <v>6</v>
      </c>
      <c r="D89" s="76">
        <v>5.181332008533289</v>
      </c>
      <c r="E89" s="76">
        <v>6.6038502743493472</v>
      </c>
      <c r="F89" s="66">
        <v>4.8</v>
      </c>
      <c r="H89" s="76">
        <v>5.2502762338962023</v>
      </c>
      <c r="I89" s="76">
        <v>6.9665257793219286</v>
      </c>
      <c r="J89" s="66">
        <v>4.8</v>
      </c>
      <c r="L89" s="194">
        <v>0.70807017543859652</v>
      </c>
      <c r="M89" s="194">
        <v>0.77999467121139654</v>
      </c>
      <c r="N89" s="68">
        <v>1</v>
      </c>
      <c r="O89" s="56"/>
      <c r="P89" s="69"/>
    </row>
    <row r="90" spans="2:58" ht="15">
      <c r="B90" s="33" t="s">
        <v>9</v>
      </c>
      <c r="C90" s="65">
        <f>AVERAGE(L79,L81)</f>
        <v>19.680851063829792</v>
      </c>
      <c r="D90" s="76">
        <v>6.5498914589415387</v>
      </c>
      <c r="E90" s="76">
        <v>6.1662321034923213</v>
      </c>
      <c r="F90" s="66">
        <v>4.8</v>
      </c>
      <c r="G90" s="65">
        <f>[31]December_2023!$U$21</f>
        <v>19.680851063829799</v>
      </c>
      <c r="H90" s="76">
        <v>6.3458281571920923</v>
      </c>
      <c r="I90" s="76">
        <v>5.9138833775175614</v>
      </c>
      <c r="J90" s="66">
        <v>4.8</v>
      </c>
      <c r="K90" s="67">
        <f>AVERAGE(K79,K81)</f>
        <v>0.42385964912280699</v>
      </c>
      <c r="L90" s="194">
        <v>0.66137426900584784</v>
      </c>
      <c r="M90" s="194">
        <v>0.71942943874066057</v>
      </c>
      <c r="N90" s="68">
        <v>1</v>
      </c>
      <c r="P90" s="69"/>
    </row>
    <row r="91" spans="2:58" ht="15">
      <c r="B91" s="34" t="s">
        <v>40</v>
      </c>
      <c r="C91" s="65"/>
      <c r="D91" s="76">
        <v>8.4423676012461133</v>
      </c>
      <c r="E91" s="76">
        <v>8.9890454879433594</v>
      </c>
      <c r="F91" s="66">
        <v>5.5</v>
      </c>
      <c r="G91" s="65"/>
      <c r="H91" s="76">
        <v>5.9624998430282856</v>
      </c>
      <c r="I91" s="76">
        <v>8.6652309201910018</v>
      </c>
      <c r="J91" s="66">
        <v>5.5</v>
      </c>
      <c r="K91" s="67"/>
      <c r="L91" s="194">
        <v>0.5156140350877193</v>
      </c>
      <c r="M91" s="194">
        <v>0.65035607537361928</v>
      </c>
      <c r="N91" s="68">
        <v>1</v>
      </c>
      <c r="P91" s="69"/>
    </row>
    <row r="92" spans="2:58" ht="15">
      <c r="B92" s="22" t="s">
        <v>33</v>
      </c>
      <c r="C92" s="65"/>
      <c r="D92" s="76">
        <v>3.5978480161398938</v>
      </c>
      <c r="E92" s="76">
        <v>2.9936806546492249</v>
      </c>
      <c r="F92" s="66">
        <v>3.3</v>
      </c>
      <c r="G92" s="65"/>
      <c r="H92" s="76">
        <v>6.0982020044620322</v>
      </c>
      <c r="I92" s="76">
        <v>3.3134542932705222</v>
      </c>
      <c r="J92" s="66">
        <v>3.3</v>
      </c>
      <c r="K92" s="67"/>
      <c r="L92" s="194">
        <v>0.50298245614035086</v>
      </c>
      <c r="M92" s="194">
        <v>1.0625518341307816</v>
      </c>
      <c r="N92" s="68">
        <v>1</v>
      </c>
      <c r="P92" s="69"/>
    </row>
    <row r="93" spans="2:58" ht="15">
      <c r="B93" s="35" t="s">
        <v>29</v>
      </c>
      <c r="C93" s="65"/>
      <c r="D93" s="76"/>
      <c r="E93" s="76"/>
      <c r="F93" s="66">
        <v>3.3</v>
      </c>
      <c r="G93" s="282"/>
      <c r="H93" s="76"/>
      <c r="I93" s="76"/>
      <c r="J93" s="66">
        <v>3</v>
      </c>
      <c r="K93" s="67"/>
      <c r="L93" s="194"/>
      <c r="M93" s="194"/>
      <c r="N93" s="68">
        <v>1</v>
      </c>
      <c r="P93" s="69"/>
    </row>
    <row r="94" spans="2:58" ht="15">
      <c r="B94" s="36" t="s">
        <v>15</v>
      </c>
      <c r="C94" s="282"/>
      <c r="D94" s="76"/>
      <c r="E94" s="76">
        <v>6.4174306465055304</v>
      </c>
      <c r="F94" s="70">
        <f>[15]May_2022!$M$43</f>
        <v>3.4878406700073312</v>
      </c>
      <c r="G94" s="282"/>
      <c r="H94" s="76"/>
      <c r="I94" s="76">
        <v>7.0730654939490236</v>
      </c>
      <c r="J94" s="70">
        <v>5.5</v>
      </c>
      <c r="K94" s="67"/>
      <c r="L94" s="194"/>
      <c r="M94" s="194">
        <v>1.0342105263157895</v>
      </c>
      <c r="N94" s="68">
        <v>1</v>
      </c>
      <c r="P94" s="69"/>
    </row>
    <row r="95" spans="2:58" ht="15">
      <c r="B95" s="37" t="s">
        <v>16</v>
      </c>
      <c r="C95" s="65"/>
      <c r="D95" s="76">
        <v>2.7692803091289537</v>
      </c>
      <c r="E95" s="76">
        <v>3.0589057857018314</v>
      </c>
      <c r="F95" s="70">
        <v>3.3</v>
      </c>
      <c r="G95" s="282"/>
      <c r="H95" s="76">
        <v>4.2179953480824466</v>
      </c>
      <c r="I95" s="76">
        <v>4.9470952635574701</v>
      </c>
      <c r="J95" s="70">
        <v>3.3</v>
      </c>
      <c r="K95" s="67"/>
      <c r="L95" s="194">
        <v>1.0594736842105266</v>
      </c>
      <c r="M95" s="194">
        <v>1.0223839009287927</v>
      </c>
      <c r="N95" s="71">
        <v>1</v>
      </c>
      <c r="P95" s="69"/>
    </row>
    <row r="96" spans="2:58" ht="15.75" thickBot="1">
      <c r="B96" s="38" t="s">
        <v>127</v>
      </c>
      <c r="C96" s="65"/>
      <c r="D96" s="76"/>
      <c r="E96" s="76">
        <v>11.178247734138981</v>
      </c>
      <c r="F96" s="72">
        <v>7.5</v>
      </c>
      <c r="G96" s="73"/>
      <c r="H96" s="76"/>
      <c r="I96" s="76">
        <v>14.598510156332937</v>
      </c>
      <c r="J96" s="72">
        <v>7.5</v>
      </c>
      <c r="K96" s="67"/>
      <c r="L96" s="194"/>
      <c r="M96" s="194">
        <v>0.30947368421052629</v>
      </c>
      <c r="N96" s="71">
        <v>1</v>
      </c>
      <c r="P96" s="69"/>
    </row>
    <row r="97" spans="3:30" ht="15">
      <c r="C97" s="65"/>
      <c r="D97" s="76">
        <v>5.3927000828210607</v>
      </c>
      <c r="E97" s="76">
        <v>6.2517133375322747</v>
      </c>
      <c r="F97" s="341">
        <v>4.5</v>
      </c>
      <c r="G97" s="74"/>
      <c r="H97" s="76">
        <v>5.4965257407735688</v>
      </c>
      <c r="I97" s="76">
        <v>6.5279580392540781</v>
      </c>
      <c r="J97" s="342">
        <v>4.5</v>
      </c>
      <c r="K97" s="67"/>
      <c r="L97" s="194">
        <v>0.69682017543859642</v>
      </c>
      <c r="M97" s="194">
        <v>0.78265037728044273</v>
      </c>
      <c r="N97" s="386">
        <v>1</v>
      </c>
      <c r="O97" s="74"/>
      <c r="P97" s="75"/>
    </row>
    <row r="102" spans="3:30">
      <c r="F102" s="315"/>
    </row>
    <row r="110" spans="3:30">
      <c r="AD110" s="275" t="s">
        <v>57</v>
      </c>
    </row>
  </sheetData>
  <mergeCells count="54">
    <mergeCell ref="C4:D4"/>
    <mergeCell ref="J4:K5"/>
    <mergeCell ref="M4:N4"/>
    <mergeCell ref="T1:U1"/>
    <mergeCell ref="V1:W1"/>
    <mergeCell ref="X1:Y1"/>
    <mergeCell ref="Z1:AA1"/>
    <mergeCell ref="B2:O2"/>
    <mergeCell ref="D49:E49"/>
    <mergeCell ref="J6:K7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Q8:Q9"/>
    <mergeCell ref="I48:N48"/>
    <mergeCell ref="B50:B61"/>
    <mergeCell ref="D50:E51"/>
    <mergeCell ref="D52:E53"/>
    <mergeCell ref="D54:E55"/>
    <mergeCell ref="D56:E57"/>
    <mergeCell ref="D58:E59"/>
    <mergeCell ref="D60:E61"/>
    <mergeCell ref="B62:B71"/>
    <mergeCell ref="D62:E63"/>
    <mergeCell ref="J62:K62"/>
    <mergeCell ref="L63:N63"/>
    <mergeCell ref="D64:E65"/>
    <mergeCell ref="D66:E67"/>
    <mergeCell ref="D68:E69"/>
    <mergeCell ref="D70:E71"/>
    <mergeCell ref="D72:E72"/>
    <mergeCell ref="B77:B78"/>
    <mergeCell ref="C77:C78"/>
    <mergeCell ref="D77:D78"/>
    <mergeCell ref="E77:E78"/>
    <mergeCell ref="M77:M78"/>
    <mergeCell ref="B87:F87"/>
    <mergeCell ref="G87:J87"/>
    <mergeCell ref="K87:N87"/>
    <mergeCell ref="G77:G78"/>
    <mergeCell ref="H77:H78"/>
    <mergeCell ref="I77:I78"/>
    <mergeCell ref="J77:J78"/>
    <mergeCell ref="K77:K78"/>
    <mergeCell ref="L77:L78"/>
    <mergeCell ref="F77:F78"/>
  </mergeCells>
  <conditionalFormatting sqref="B72:B73">
    <cfRule type="cellIs" dxfId="3494" priority="157" operator="notBetween">
      <formula>#REF!</formula>
      <formula>#REF!</formula>
    </cfRule>
  </conditionalFormatting>
  <conditionalFormatting sqref="C76">
    <cfRule type="cellIs" dxfId="3493" priority="190" stopIfTrue="1" operator="greaterThan">
      <formula>100</formula>
    </cfRule>
    <cfRule type="cellIs" dxfId="3492" priority="189" stopIfTrue="1" operator="lessThan">
      <formula>96</formula>
    </cfRule>
  </conditionalFormatting>
  <conditionalFormatting sqref="C90">
    <cfRule type="cellIs" dxfId="3491" priority="212" stopIfTrue="1" operator="greaterThan">
      <formula>$F89</formula>
    </cfRule>
    <cfRule type="cellIs" dxfId="3490" priority="106" stopIfTrue="1" operator="lessThanOrEqual">
      <formula>0</formula>
    </cfRule>
  </conditionalFormatting>
  <conditionalFormatting sqref="C91:C93">
    <cfRule type="cellIs" dxfId="3489" priority="105" stopIfTrue="1" operator="greaterThan">
      <formula>$F91</formula>
    </cfRule>
  </conditionalFormatting>
  <conditionalFormatting sqref="C91:C94">
    <cfRule type="cellIs" dxfId="3488" priority="129" stopIfTrue="1" operator="lessThanOrEqual">
      <formula>0</formula>
    </cfRule>
  </conditionalFormatting>
  <conditionalFormatting sqref="C94">
    <cfRule type="cellIs" dxfId="3487" priority="128" stopIfTrue="1" operator="greaterThan">
      <formula>$J94</formula>
    </cfRule>
  </conditionalFormatting>
  <conditionalFormatting sqref="C95:C97">
    <cfRule type="cellIs" dxfId="3486" priority="145" stopIfTrue="1" operator="greaterThan">
      <formula>$F95</formula>
    </cfRule>
    <cfRule type="cellIs" dxfId="3485" priority="146" stopIfTrue="1" operator="lessThanOrEqual">
      <formula>0</formula>
    </cfRule>
  </conditionalFormatting>
  <conditionalFormatting sqref="C100:C104">
    <cfRule type="cellIs" dxfId="3484" priority="181" stopIfTrue="1" operator="lessThanOrEqual">
      <formula>0</formula>
    </cfRule>
  </conditionalFormatting>
  <conditionalFormatting sqref="C101:C104">
    <cfRule type="cellIs" dxfId="3483" priority="180" stopIfTrue="1" operator="greaterThan">
      <formula>$F$100</formula>
    </cfRule>
  </conditionalFormatting>
  <conditionalFormatting sqref="C106">
    <cfRule type="cellIs" dxfId="3482" priority="183" stopIfTrue="1" operator="lessThanOrEqual">
      <formula>0</formula>
    </cfRule>
    <cfRule type="cellIs" dxfId="3481" priority="182" stopIfTrue="1" operator="greaterThan">
      <formula>$F$100</formula>
    </cfRule>
  </conditionalFormatting>
  <conditionalFormatting sqref="C100:D100 D102:D108">
    <cfRule type="cellIs" dxfId="3480" priority="175" stopIfTrue="1" operator="greaterThan">
      <formula>4.5</formula>
    </cfRule>
  </conditionalFormatting>
  <conditionalFormatting sqref="D72:D73">
    <cfRule type="cellIs" dxfId="3479" priority="158" operator="notBetween">
      <formula>#REF!</formula>
      <formula>#REF!</formula>
    </cfRule>
  </conditionalFormatting>
  <conditionalFormatting sqref="D89:D96">
    <cfRule type="cellIs" dxfId="3478" priority="144" stopIfTrue="1" operator="lessThanOrEqual">
      <formula>0</formula>
    </cfRule>
  </conditionalFormatting>
  <conditionalFormatting sqref="D97">
    <cfRule type="cellIs" dxfId="3477" priority="143" stopIfTrue="1" operator="lessThanOrEqual">
      <formula>0</formula>
    </cfRule>
  </conditionalFormatting>
  <conditionalFormatting sqref="D100 D102:D108">
    <cfRule type="cellIs" dxfId="3476" priority="176" stopIfTrue="1" operator="lessThanOrEqual">
      <formula>0</formula>
    </cfRule>
  </conditionalFormatting>
  <conditionalFormatting sqref="D101">
    <cfRule type="cellIs" dxfId="3475" priority="167" stopIfTrue="1" operator="greaterThan">
      <formula>$F$100</formula>
    </cfRule>
    <cfRule type="cellIs" dxfId="3474" priority="168" stopIfTrue="1" operator="lessThanOrEqual">
      <formula>0</formula>
    </cfRule>
  </conditionalFormatting>
  <conditionalFormatting sqref="D89:E97">
    <cfRule type="cellIs" dxfId="3473" priority="135" stopIfTrue="1" operator="greaterThan">
      <formula>$F89</formula>
    </cfRule>
  </conditionalFormatting>
  <conditionalFormatting sqref="E10:E14">
    <cfRule type="cellIs" dxfId="3472" priority="52" operator="lessThan">
      <formula>48</formula>
    </cfRule>
  </conditionalFormatting>
  <conditionalFormatting sqref="E33:E46">
    <cfRule type="cellIs" dxfId="3471" priority="25" operator="lessThan">
      <formula>48</formula>
    </cfRule>
  </conditionalFormatting>
  <conditionalFormatting sqref="E76">
    <cfRule type="cellIs" dxfId="3470" priority="169" stopIfTrue="1" operator="lessThan">
      <formula>96.8</formula>
    </cfRule>
    <cfRule type="cellIs" dxfId="3469" priority="170" stopIfTrue="1" operator="greaterThan">
      <formula>100</formula>
    </cfRule>
  </conditionalFormatting>
  <conditionalFormatting sqref="E89:E97">
    <cfRule type="cellIs" dxfId="3468" priority="136" stopIfTrue="1" operator="lessThanOrEqual">
      <formula>0</formula>
    </cfRule>
  </conditionalFormatting>
  <conditionalFormatting sqref="E100:E108">
    <cfRule type="cellIs" dxfId="3467" priority="161" stopIfTrue="1" operator="greaterThan">
      <formula>4.5</formula>
    </cfRule>
    <cfRule type="cellIs" dxfId="3466" priority="162" stopIfTrue="1" operator="lessThanOrEqual">
      <formula>0</formula>
    </cfRule>
  </conditionalFormatting>
  <conditionalFormatting sqref="E75:F76">
    <cfRule type="cellIs" dxfId="3465" priority="171" stopIfTrue="1" operator="lessThan">
      <formula>96.5</formula>
    </cfRule>
    <cfRule type="cellIs" dxfId="3464" priority="172" stopIfTrue="1" operator="greaterThan">
      <formula>100</formula>
    </cfRule>
  </conditionalFormatting>
  <conditionalFormatting sqref="F10:F12">
    <cfRule type="cellIs" dxfId="3463" priority="62" operator="greaterThan">
      <formula>#REF!</formula>
    </cfRule>
  </conditionalFormatting>
  <conditionalFormatting sqref="F10:F47">
    <cfRule type="cellIs" dxfId="3462" priority="15" operator="greaterThan">
      <formula>$AA10</formula>
    </cfRule>
  </conditionalFormatting>
  <conditionalFormatting sqref="F13">
    <cfRule type="cellIs" dxfId="3461" priority="53" operator="greaterThan">
      <formula>$AA47</formula>
    </cfRule>
  </conditionalFormatting>
  <conditionalFormatting sqref="F14">
    <cfRule type="cellIs" dxfId="3460" priority="196" operator="greaterThan">
      <formula>#REF!</formula>
    </cfRule>
  </conditionalFormatting>
  <conditionalFormatting sqref="F33:F46">
    <cfRule type="cellIs" dxfId="3459" priority="26" operator="greaterThan">
      <formula>$AA48</formula>
    </cfRule>
  </conditionalFormatting>
  <conditionalFormatting sqref="F76">
    <cfRule type="cellIs" dxfId="3458" priority="188" stopIfTrue="1" operator="greaterThan">
      <formula>100</formula>
    </cfRule>
    <cfRule type="cellIs" dxfId="3457" priority="187" stopIfTrue="1" operator="lessThan">
      <formula>96.8</formula>
    </cfRule>
  </conditionalFormatting>
  <conditionalFormatting sqref="F97">
    <cfRule type="cellIs" dxfId="3456" priority="137" stopIfTrue="1" operator="greaterThan">
      <formula>$F97</formula>
    </cfRule>
    <cfRule type="cellIs" dxfId="3455" priority="138" stopIfTrue="1" operator="lessThanOrEqual">
      <formula>0</formula>
    </cfRule>
  </conditionalFormatting>
  <conditionalFormatting sqref="G10:G14">
    <cfRule type="expression" dxfId="3454" priority="54">
      <formula>IF(+(IF(G10&lt;#REF!,0,IF(G10&gt;#REF!,0,1)))=0,1)</formula>
    </cfRule>
  </conditionalFormatting>
  <conditionalFormatting sqref="G33:G46">
    <cfRule type="expression" dxfId="3453" priority="27">
      <formula>IF(+(IF(G33&lt;#REF!,0,IF(G33&gt;#REF!,0,1)))=0,1)</formula>
    </cfRule>
  </conditionalFormatting>
  <conditionalFormatting sqref="G90">
    <cfRule type="cellIs" dxfId="3452" priority="71" stopIfTrue="1" operator="lessThanOrEqual">
      <formula>0</formula>
    </cfRule>
    <cfRule type="cellIs" dxfId="3451" priority="70" stopIfTrue="1" operator="greaterThan">
      <formula>$F89</formula>
    </cfRule>
  </conditionalFormatting>
  <conditionalFormatting sqref="G90:G91">
    <cfRule type="cellIs" dxfId="3450" priority="192" stopIfTrue="1" operator="lessThanOrEqual">
      <formula>0</formula>
    </cfRule>
    <cfRule type="cellIs" dxfId="3449" priority="191" stopIfTrue="1" operator="greaterThan">
      <formula>$F89</formula>
    </cfRule>
  </conditionalFormatting>
  <conditionalFormatting sqref="G92">
    <cfRule type="cellIs" dxfId="3448" priority="140" stopIfTrue="1" operator="lessThanOrEqual">
      <formula>0</formula>
    </cfRule>
    <cfRule type="cellIs" dxfId="3447" priority="139" stopIfTrue="1" operator="greaterThan">
      <formula>$F92</formula>
    </cfRule>
  </conditionalFormatting>
  <conditionalFormatting sqref="G93:G96">
    <cfRule type="cellIs" dxfId="3446" priority="149" stopIfTrue="1" operator="lessThanOrEqual">
      <formula>0</formula>
    </cfRule>
    <cfRule type="cellIs" dxfId="3445" priority="148" stopIfTrue="1" operator="greaterThan">
      <formula>$J93</formula>
    </cfRule>
  </conditionalFormatting>
  <conditionalFormatting sqref="G97">
    <cfRule type="cellIs" dxfId="3444" priority="147" operator="greaterThan">
      <formula>4.5</formula>
    </cfRule>
  </conditionalFormatting>
  <conditionalFormatting sqref="G102:G107 C105 C107">
    <cfRule type="cellIs" dxfId="3443" priority="184" stopIfTrue="1" operator="greaterThan">
      <formula>4.5</formula>
    </cfRule>
    <cfRule type="cellIs" dxfId="3442" priority="185" stopIfTrue="1" operator="lessThanOrEqual">
      <formula>0</formula>
    </cfRule>
  </conditionalFormatting>
  <conditionalFormatting sqref="G62:H62 G63:G73 H63:H74">
    <cfRule type="cellIs" dxfId="3441" priority="163" stopIfTrue="1" operator="greaterThan">
      <formula>0</formula>
    </cfRule>
  </conditionalFormatting>
  <conditionalFormatting sqref="G101:H101">
    <cfRule type="cellIs" dxfId="3440" priority="166" stopIfTrue="1" operator="lessThanOrEqual">
      <formula>0</formula>
    </cfRule>
    <cfRule type="cellIs" dxfId="3439" priority="165" stopIfTrue="1" operator="greaterThan">
      <formula>$F$100</formula>
    </cfRule>
  </conditionalFormatting>
  <conditionalFormatting sqref="H10">
    <cfRule type="expression" dxfId="3438" priority="63">
      <formula>IF(+(IF(H10&lt;T27,0,IF(H10&gt;U27,0,1)))=0,1)</formula>
    </cfRule>
  </conditionalFormatting>
  <conditionalFormatting sqref="H10:H12">
    <cfRule type="expression" dxfId="3437" priority="64">
      <formula>IF(+(IF(H10&lt;#REF!,0,IF(H10&gt;#REF!,0,1)))=0,1)</formula>
    </cfRule>
  </conditionalFormatting>
  <conditionalFormatting sqref="H11:H12">
    <cfRule type="expression" dxfId="3436" priority="207">
      <formula>IF(+(IF(H11&lt;T47,0,IF(H11&gt;U47,0,1)))=0,1)</formula>
    </cfRule>
  </conditionalFormatting>
  <conditionalFormatting sqref="H13">
    <cfRule type="expression" dxfId="3435" priority="55">
      <formula>IF(+(IF(H13&lt;T56,0,IF(H13&gt;U56,0,1)))=0,1)</formula>
    </cfRule>
    <cfRule type="expression" dxfId="3434" priority="56">
      <formula>IF(+(IF(H13&lt;T47,0,IF(H13&gt;U47,0,1)))=0,1)</formula>
    </cfRule>
  </conditionalFormatting>
  <conditionalFormatting sqref="H14">
    <cfRule type="expression" dxfId="3433" priority="197">
      <formula>IF(+(IF(H14&lt;T50,0,IF(H14&gt;U50,0,1)))=0,1)</formula>
    </cfRule>
    <cfRule type="expression" dxfId="3432" priority="198">
      <formula>IF(+(IF(H14&lt;#REF!,0,IF(H14&gt;#REF!,0,1)))=0,1)</formula>
    </cfRule>
  </conditionalFormatting>
  <conditionalFormatting sqref="H15:H32">
    <cfRule type="expression" dxfId="3431" priority="209">
      <formula>IF(+(IF(H15&lt;T66,0,IF(H15&gt;U66,0,1)))=0,1)</formula>
    </cfRule>
  </conditionalFormatting>
  <conditionalFormatting sqref="H33:H46">
    <cfRule type="expression" dxfId="3430" priority="29">
      <formula>IF(+(IF(H33&lt;T48,0,IF(H33&gt;U48,0,1)))=0,1)</formula>
    </cfRule>
    <cfRule type="expression" dxfId="3429" priority="28">
      <formula>IF(+(IF(H33&lt;T57,0,IF(H33&gt;U57,0,1)))=0,1)</formula>
    </cfRule>
  </conditionalFormatting>
  <conditionalFormatting sqref="H47">
    <cfRule type="expression" dxfId="3428" priority="193">
      <formula>IF(+(IF(H47&lt;#REF!,0,IF(H47&gt;#REF!,0,1)))=0,1)</formula>
    </cfRule>
  </conditionalFormatting>
  <conditionalFormatting sqref="H51:H61">
    <cfRule type="cellIs" dxfId="3427" priority="159" stopIfTrue="1" operator="greaterThan">
      <formula>0</formula>
    </cfRule>
  </conditionalFormatting>
  <conditionalFormatting sqref="H79">
    <cfRule type="cellIs" dxfId="3426" priority="12" stopIfTrue="1" operator="lessThanOrEqual">
      <formula>0</formula>
    </cfRule>
    <cfRule type="cellIs" dxfId="3425" priority="14" stopIfTrue="1" operator="lessThanOrEqual">
      <formula>0</formula>
    </cfRule>
    <cfRule type="cellIs" dxfId="3424" priority="13" stopIfTrue="1" operator="greaterThan">
      <formula>$F$54</formula>
    </cfRule>
    <cfRule type="cellIs" dxfId="3423" priority="11" stopIfTrue="1" operator="greaterThan">
      <formula>$F$56</formula>
    </cfRule>
    <cfRule type="cellIs" dxfId="3422" priority="2" stopIfTrue="1" operator="lessThanOrEqual">
      <formula>0</formula>
    </cfRule>
    <cfRule type="cellIs" dxfId="3421" priority="3" stopIfTrue="1" operator="greaterThan">
      <formula>$F$53</formula>
    </cfRule>
  </conditionalFormatting>
  <conditionalFormatting sqref="H80">
    <cfRule type="cellIs" dxfId="3420" priority="92" stopIfTrue="1" operator="lessThanOrEqual">
      <formula>0</formula>
    </cfRule>
    <cfRule type="cellIs" dxfId="3419" priority="93" stopIfTrue="1" operator="greaterThan">
      <formula>$F$88</formula>
    </cfRule>
    <cfRule type="cellIs" dxfId="3418" priority="104" stopIfTrue="1" operator="lessThanOrEqual">
      <formula>0</formula>
    </cfRule>
    <cfRule type="cellIs" dxfId="3417" priority="101" stopIfTrue="1" operator="greaterThan">
      <formula>$F$91</formula>
    </cfRule>
    <cfRule type="cellIs" dxfId="3416" priority="102" stopIfTrue="1" operator="lessThanOrEqual">
      <formula>0</formula>
    </cfRule>
    <cfRule type="cellIs" dxfId="3415" priority="103" stopIfTrue="1" operator="greaterThan">
      <formula>$F$89</formula>
    </cfRule>
  </conditionalFormatting>
  <conditionalFormatting sqref="H81">
    <cfRule type="cellIs" dxfId="3414" priority="45" stopIfTrue="1" operator="lessThanOrEqual">
      <formula>0</formula>
    </cfRule>
    <cfRule type="cellIs" dxfId="3413" priority="36" stopIfTrue="1" operator="greaterThan">
      <formula>$F$72</formula>
    </cfRule>
    <cfRule type="cellIs" dxfId="3412" priority="35" stopIfTrue="1" operator="lessThanOrEqual">
      <formula>0</formula>
    </cfRule>
    <cfRule type="cellIs" dxfId="3411" priority="44" stopIfTrue="1" operator="greaterThan">
      <formula>$F$75</formula>
    </cfRule>
    <cfRule type="cellIs" dxfId="3410" priority="47" stopIfTrue="1" operator="lessThanOrEqual">
      <formula>0</formula>
    </cfRule>
    <cfRule type="cellIs" dxfId="3409" priority="46" stopIfTrue="1" operator="greaterThan">
      <formula>$F$73</formula>
    </cfRule>
  </conditionalFormatting>
  <conditionalFormatting sqref="H82">
    <cfRule type="cellIs" dxfId="3408" priority="84" stopIfTrue="1" operator="greaterThan">
      <formula>#REF!</formula>
    </cfRule>
    <cfRule type="cellIs" dxfId="3407" priority="75" stopIfTrue="1" operator="lessThanOrEqual">
      <formula>0</formula>
    </cfRule>
    <cfRule type="cellIs" dxfId="3406" priority="76" stopIfTrue="1" operator="greaterThan">
      <formula>#REF!</formula>
    </cfRule>
  </conditionalFormatting>
  <conditionalFormatting sqref="H82:H84">
    <cfRule type="cellIs" dxfId="3405" priority="85" stopIfTrue="1" operator="lessThanOrEqual">
      <formula>0</formula>
    </cfRule>
  </conditionalFormatting>
  <conditionalFormatting sqref="H83:H84">
    <cfRule type="cellIs" dxfId="3404" priority="125" stopIfTrue="1" operator="lessThanOrEqual">
      <formula>0</formula>
    </cfRule>
    <cfRule type="cellIs" dxfId="3403" priority="124" stopIfTrue="1" operator="greaterThan">
      <formula>$F$90</formula>
    </cfRule>
    <cfRule type="cellIs" dxfId="3402" priority="122" stopIfTrue="1" operator="greaterThan">
      <formula>$F$92</formula>
    </cfRule>
    <cfRule type="cellIs" dxfId="3401" priority="114" stopIfTrue="1" operator="greaterThan">
      <formula>$F$89</formula>
    </cfRule>
    <cfRule type="cellIs" dxfId="3400" priority="123" stopIfTrue="1" operator="lessThanOrEqual">
      <formula>0</formula>
    </cfRule>
  </conditionalFormatting>
  <conditionalFormatting sqref="H85">
    <cfRule type="cellIs" dxfId="3399" priority="155" stopIfTrue="1" operator="greaterThan">
      <formula>$F$82</formula>
    </cfRule>
    <cfRule type="cellIs" dxfId="3398" priority="156" stopIfTrue="1" operator="lessThanOrEqual">
      <formula>0</formula>
    </cfRule>
    <cfRule type="cellIs" dxfId="3397" priority="153" stopIfTrue="1" operator="greaterThan">
      <formula>$F$86</formula>
    </cfRule>
    <cfRule type="cellIs" dxfId="3396" priority="154" stopIfTrue="1" operator="lessThanOrEqual">
      <formula>0</formula>
    </cfRule>
  </conditionalFormatting>
  <conditionalFormatting sqref="H89:H96">
    <cfRule type="cellIs" dxfId="3395" priority="127" stopIfTrue="1" operator="lessThanOrEqual">
      <formula>0</formula>
    </cfRule>
    <cfRule type="cellIs" dxfId="3394" priority="126" stopIfTrue="1" operator="greaterThan">
      <formula>$J89</formula>
    </cfRule>
  </conditionalFormatting>
  <conditionalFormatting sqref="H97">
    <cfRule type="cellIs" dxfId="3393" priority="132" operator="greaterThan">
      <formula>5.3</formula>
    </cfRule>
  </conditionalFormatting>
  <conditionalFormatting sqref="H100 H102:H108">
    <cfRule type="cellIs" dxfId="3392" priority="177" stopIfTrue="1" operator="greaterThan">
      <formula>4.5</formula>
    </cfRule>
    <cfRule type="cellIs" dxfId="3391" priority="178" stopIfTrue="1" operator="lessThanOrEqual">
      <formula>0</formula>
    </cfRule>
  </conditionalFormatting>
  <conditionalFormatting sqref="H79:I79">
    <cfRule type="cellIs" dxfId="3390" priority="4" stopIfTrue="1" operator="lessThanOrEqual">
      <formula>0</formula>
    </cfRule>
    <cfRule type="cellIs" dxfId="3389" priority="1" stopIfTrue="1" operator="greaterThan">
      <formula>$F$55</formula>
    </cfRule>
  </conditionalFormatting>
  <conditionalFormatting sqref="H80:I80">
    <cfRule type="cellIs" dxfId="3388" priority="94" stopIfTrue="1" operator="lessThanOrEqual">
      <formula>0</formula>
    </cfRule>
    <cfRule type="cellIs" dxfId="3387" priority="91" stopIfTrue="1" operator="greaterThan">
      <formula>$F$90</formula>
    </cfRule>
  </conditionalFormatting>
  <conditionalFormatting sqref="H81:I81">
    <cfRule type="cellIs" dxfId="3386" priority="37" stopIfTrue="1" operator="lessThanOrEqual">
      <formula>0</formula>
    </cfRule>
    <cfRule type="cellIs" dxfId="3385" priority="34" stopIfTrue="1" operator="greaterThan">
      <formula>$F$74</formula>
    </cfRule>
  </conditionalFormatting>
  <conditionalFormatting sqref="H82:I82">
    <cfRule type="cellIs" dxfId="3384" priority="83" stopIfTrue="1" operator="lessThanOrEqual">
      <formula>0</formula>
    </cfRule>
    <cfRule type="cellIs" dxfId="3383" priority="82" stopIfTrue="1" operator="greaterThan">
      <formula>#REF!</formula>
    </cfRule>
    <cfRule type="cellIs" dxfId="3382" priority="74" stopIfTrue="1" operator="greaterThan">
      <formula>#REF!</formula>
    </cfRule>
    <cfRule type="cellIs" dxfId="3381" priority="77" stopIfTrue="1" operator="lessThanOrEqual">
      <formula>0</formula>
    </cfRule>
  </conditionalFormatting>
  <conditionalFormatting sqref="H83:I83">
    <cfRule type="cellIs" dxfId="3380" priority="115" stopIfTrue="1" operator="lessThanOrEqual">
      <formula>0</formula>
    </cfRule>
  </conditionalFormatting>
  <conditionalFormatting sqref="H83:I84">
    <cfRule type="cellIs" dxfId="3379" priority="72" stopIfTrue="1" operator="greaterThan">
      <formula>$F$91</formula>
    </cfRule>
  </conditionalFormatting>
  <conditionalFormatting sqref="H84:I84">
    <cfRule type="cellIs" dxfId="3378" priority="73" stopIfTrue="1" operator="lessThanOrEqual">
      <formula>0</formula>
    </cfRule>
  </conditionalFormatting>
  <conditionalFormatting sqref="I10:I14">
    <cfRule type="cellIs" dxfId="3377" priority="49" operator="lessThan">
      <formula>97.8</formula>
    </cfRule>
  </conditionalFormatting>
  <conditionalFormatting sqref="I10:I47">
    <cfRule type="cellIs" dxfId="3376" priority="21" operator="lessThan">
      <formula>98</formula>
    </cfRule>
  </conditionalFormatting>
  <conditionalFormatting sqref="I33:I46">
    <cfRule type="cellIs" dxfId="3375" priority="22" operator="lessThan">
      <formula>97.8</formula>
    </cfRule>
  </conditionalFormatting>
  <conditionalFormatting sqref="I79">
    <cfRule type="cellIs" dxfId="3374" priority="5" stopIfTrue="1" operator="greaterThan">
      <formula>$F$53</formula>
    </cfRule>
    <cfRule type="cellIs" dxfId="3373" priority="6" stopIfTrue="1" operator="lessThanOrEqual">
      <formula>0</formula>
    </cfRule>
    <cfRule type="cellIs" dxfId="3372" priority="7" stopIfTrue="1" operator="greaterThan">
      <formula>$F$55</formula>
    </cfRule>
    <cfRule type="cellIs" dxfId="3371" priority="8" stopIfTrue="1" operator="lessThanOrEqual">
      <formula>0</formula>
    </cfRule>
    <cfRule type="cellIs" dxfId="3370" priority="9" stopIfTrue="1" operator="greaterThan">
      <formula>$F$53</formula>
    </cfRule>
    <cfRule type="cellIs" dxfId="3369" priority="10" stopIfTrue="1" operator="lessThanOrEqual">
      <formula>0</formula>
    </cfRule>
  </conditionalFormatting>
  <conditionalFormatting sqref="I80">
    <cfRule type="cellIs" dxfId="3368" priority="99" stopIfTrue="1" operator="greaterThan">
      <formula>$F$88</formula>
    </cfRule>
    <cfRule type="cellIs" dxfId="3367" priority="97" stopIfTrue="1" operator="greaterThan">
      <formula>$F$90</formula>
    </cfRule>
    <cfRule type="cellIs" dxfId="3366" priority="96" stopIfTrue="1" operator="lessThanOrEqual">
      <formula>0</formula>
    </cfRule>
    <cfRule type="cellIs" dxfId="3365" priority="95" stopIfTrue="1" operator="greaterThan">
      <formula>$F$88</formula>
    </cfRule>
    <cfRule type="cellIs" dxfId="3364" priority="100" stopIfTrue="1" operator="lessThanOrEqual">
      <formula>0</formula>
    </cfRule>
    <cfRule type="cellIs" dxfId="3363" priority="98" stopIfTrue="1" operator="lessThanOrEqual">
      <formula>0</formula>
    </cfRule>
  </conditionalFormatting>
  <conditionalFormatting sqref="I81">
    <cfRule type="cellIs" dxfId="3362" priority="43" stopIfTrue="1" operator="lessThanOrEqual">
      <formula>0</formula>
    </cfRule>
    <cfRule type="cellIs" dxfId="3361" priority="42" stopIfTrue="1" operator="greaterThan">
      <formula>$F$72</formula>
    </cfRule>
    <cfRule type="cellIs" dxfId="3360" priority="41" stopIfTrue="1" operator="lessThanOrEqual">
      <formula>0</formula>
    </cfRule>
    <cfRule type="cellIs" dxfId="3359" priority="40" stopIfTrue="1" operator="greaterThan">
      <formula>$F$74</formula>
    </cfRule>
    <cfRule type="cellIs" dxfId="3358" priority="39" stopIfTrue="1" operator="lessThanOrEqual">
      <formula>0</formula>
    </cfRule>
    <cfRule type="cellIs" dxfId="3357" priority="38" stopIfTrue="1" operator="greaterThan">
      <formula>$F$72</formula>
    </cfRule>
  </conditionalFormatting>
  <conditionalFormatting sqref="I82">
    <cfRule type="cellIs" dxfId="3356" priority="80" stopIfTrue="1" operator="greaterThan">
      <formula>#REF!</formula>
    </cfRule>
    <cfRule type="cellIs" dxfId="3355" priority="79" stopIfTrue="1" operator="lessThanOrEqual">
      <formula>0</formula>
    </cfRule>
    <cfRule type="cellIs" dxfId="3354" priority="78" stopIfTrue="1" operator="greaterThan">
      <formula>#REF!</formula>
    </cfRule>
    <cfRule type="cellIs" dxfId="3353" priority="81" stopIfTrue="1" operator="lessThanOrEqual">
      <formula>0</formula>
    </cfRule>
  </conditionalFormatting>
  <conditionalFormatting sqref="I83:I84">
    <cfRule type="cellIs" dxfId="3352" priority="118" stopIfTrue="1" operator="greaterThan">
      <formula>$F$91</formula>
    </cfRule>
    <cfRule type="cellIs" dxfId="3351" priority="116" stopIfTrue="1" operator="greaterThan">
      <formula>$F$89</formula>
    </cfRule>
    <cfRule type="cellIs" dxfId="3350" priority="117" stopIfTrue="1" operator="lessThanOrEqual">
      <formula>0</formula>
    </cfRule>
    <cfRule type="cellIs" dxfId="3349" priority="119" stopIfTrue="1" operator="lessThanOrEqual">
      <formula>0</formula>
    </cfRule>
    <cfRule type="cellIs" dxfId="3348" priority="120" stopIfTrue="1" operator="greaterThan">
      <formula>$F$89</formula>
    </cfRule>
    <cfRule type="cellIs" dxfId="3347" priority="121" stopIfTrue="1" operator="lessThanOrEqual">
      <formula>0</formula>
    </cfRule>
  </conditionalFormatting>
  <conditionalFormatting sqref="I89:I97">
    <cfRule type="cellIs" dxfId="3346" priority="133" stopIfTrue="1" operator="greaterThan">
      <formula>$J89</formula>
    </cfRule>
    <cfRule type="cellIs" dxfId="3345" priority="134" stopIfTrue="1" operator="lessThanOrEqual">
      <formula>0</formula>
    </cfRule>
  </conditionalFormatting>
  <conditionalFormatting sqref="I100:I108">
    <cfRule type="cellIs" dxfId="3344" priority="173" stopIfTrue="1" operator="greaterThan">
      <formula>4.5</formula>
    </cfRule>
    <cfRule type="cellIs" dxfId="3343" priority="174" stopIfTrue="1" operator="lessThanOrEqual">
      <formula>0</formula>
    </cfRule>
  </conditionalFormatting>
  <conditionalFormatting sqref="J10:J14">
    <cfRule type="cellIs" dxfId="3342" priority="51" operator="notBetween">
      <formula>98</formula>
      <formula>99.9</formula>
    </cfRule>
  </conditionalFormatting>
  <conditionalFormatting sqref="J10:J47">
    <cfRule type="cellIs" dxfId="3341" priority="20" operator="lessThan">
      <formula>97.4</formula>
    </cfRule>
  </conditionalFormatting>
  <conditionalFormatting sqref="J33:J46">
    <cfRule type="cellIs" dxfId="3340" priority="24" operator="notBetween">
      <formula>98</formula>
      <formula>99.9</formula>
    </cfRule>
  </conditionalFormatting>
  <conditionalFormatting sqref="J50:J52">
    <cfRule type="cellIs" dxfId="3339" priority="108" stopIfTrue="1" operator="greaterThan">
      <formula>100</formula>
    </cfRule>
    <cfRule type="cellIs" dxfId="3338" priority="109" operator="lessThan">
      <formula>98</formula>
    </cfRule>
    <cfRule type="cellIs" dxfId="3337" priority="107" stopIfTrue="1" operator="lessThan">
      <formula>96.8</formula>
    </cfRule>
  </conditionalFormatting>
  <conditionalFormatting sqref="J50:J54">
    <cfRule type="cellIs" dxfId="3336" priority="48" operator="lessThan">
      <formula>97.4</formula>
    </cfRule>
  </conditionalFormatting>
  <conditionalFormatting sqref="J55 L59:M59 L61:M61">
    <cfRule type="cellIs" dxfId="3335" priority="110" operator="lessThan">
      <formula>98</formula>
    </cfRule>
  </conditionalFormatting>
  <conditionalFormatting sqref="J56:J57">
    <cfRule type="cellIs" dxfId="3334" priority="111" stopIfTrue="1" operator="lessThan">
      <formula>96.8</formula>
    </cfRule>
    <cfRule type="cellIs" dxfId="3333" priority="112" stopIfTrue="1" operator="greaterThan">
      <formula>100</formula>
    </cfRule>
  </conditionalFormatting>
  <conditionalFormatting sqref="J56:J58">
    <cfRule type="cellIs" dxfId="3332" priority="113" operator="lessThan">
      <formula>98</formula>
    </cfRule>
  </conditionalFormatting>
  <conditionalFormatting sqref="K10:K14">
    <cfRule type="cellIs" dxfId="3331" priority="50" operator="greaterThan">
      <formula>6.4</formula>
    </cfRule>
  </conditionalFormatting>
  <conditionalFormatting sqref="K10:K47">
    <cfRule type="cellIs" dxfId="3330" priority="17" operator="lessThan">
      <formula>4</formula>
    </cfRule>
    <cfRule type="cellIs" dxfId="3329" priority="16" operator="greaterThan">
      <formula>6</formula>
    </cfRule>
  </conditionalFormatting>
  <conditionalFormatting sqref="K33:K46">
    <cfRule type="cellIs" dxfId="3328" priority="23" operator="greaterThan">
      <formula>6.4</formula>
    </cfRule>
  </conditionalFormatting>
  <conditionalFormatting sqref="K64:K73">
    <cfRule type="cellIs" dxfId="3327" priority="141" operator="notEqual">
      <formula>#REF!</formula>
    </cfRule>
  </conditionalFormatting>
  <conditionalFormatting sqref="K79:K84 J85:K85 L89:N89 K90:N97">
    <cfRule type="cellIs" dxfId="3326" priority="152" stopIfTrue="1" operator="lessThan">
      <formula>100%</formula>
    </cfRule>
  </conditionalFormatting>
  <conditionalFormatting sqref="K100:K105">
    <cfRule type="cellIs" dxfId="3325" priority="179" stopIfTrue="1" operator="lessThan">
      <formula>100%</formula>
    </cfRule>
  </conditionalFormatting>
  <conditionalFormatting sqref="K107:K108">
    <cfRule type="cellIs" dxfId="3324" priority="186" stopIfTrue="1" operator="lessThan">
      <formula>100%</formula>
    </cfRule>
  </conditionalFormatting>
  <conditionalFormatting sqref="L10:L47">
    <cfRule type="cellIs" dxfId="3323" priority="19" operator="greaterThan">
      <formula>65</formula>
    </cfRule>
    <cfRule type="cellIs" dxfId="3322" priority="18" operator="between">
      <formula>61</formula>
      <formula>65</formula>
    </cfRule>
  </conditionalFormatting>
  <conditionalFormatting sqref="L52:L58">
    <cfRule type="cellIs" dxfId="3321" priority="88" operator="lessThan">
      <formula>98</formula>
    </cfRule>
  </conditionalFormatting>
  <conditionalFormatting sqref="L65:N65">
    <cfRule type="cellIs" dxfId="3320" priority="87" operator="notEqual">
      <formula>#REF!</formula>
    </cfRule>
  </conditionalFormatting>
  <conditionalFormatting sqref="L100:N108">
    <cfRule type="cellIs" dxfId="3319" priority="164" stopIfTrue="1" operator="lessThan">
      <formula>100%</formula>
    </cfRule>
  </conditionalFormatting>
  <conditionalFormatting sqref="M10:M11">
    <cfRule type="expression" dxfId="3318" priority="65">
      <formula>IF(+(IF(M10&lt;V23,0,IF(M10&gt;W23,0,1)))=0,1)</formula>
    </cfRule>
  </conditionalFormatting>
  <conditionalFormatting sqref="M13">
    <cfRule type="expression" dxfId="3317" priority="58">
      <formula>IF(+(IF(M13&lt;V47,0,IF(M13&gt;W47,0,1)))=0,1)</formula>
    </cfRule>
    <cfRule type="expression" dxfId="3316" priority="57">
      <formula>IF(+(IF(M13&lt;V52,0,IF(M13&gt;W52,0,1)))=0,1)</formula>
    </cfRule>
  </conditionalFormatting>
  <conditionalFormatting sqref="M14">
    <cfRule type="expression" dxfId="3315" priority="199">
      <formula>IF(+(IF(M14&lt;V27,0,IF(M14&gt;W27,0,1)))=0,1)</formula>
    </cfRule>
  </conditionalFormatting>
  <conditionalFormatting sqref="M15:M32">
    <cfRule type="expression" dxfId="3314" priority="210">
      <formula>IF(+(IF(M15&lt;V62,0,IF(M15&gt;W62,0,1)))=0,1)</formula>
    </cfRule>
  </conditionalFormatting>
  <conditionalFormatting sqref="M33:M46">
    <cfRule type="expression" dxfId="3313" priority="31">
      <formula>IF(+(IF(M33&lt;V48,0,IF(M33&gt;W48,0,1)))=0,1)</formula>
    </cfRule>
    <cfRule type="expression" dxfId="3312" priority="30">
      <formula>IF(+(IF(M33&lt;V53,0,IF(M33&gt;W53,0,1)))=0,1)</formula>
    </cfRule>
  </conditionalFormatting>
  <conditionalFormatting sqref="M50:M58">
    <cfRule type="cellIs" dxfId="3311" priority="86" operator="lessThan">
      <formula>98</formula>
    </cfRule>
  </conditionalFormatting>
  <conditionalFormatting sqref="M10:N12">
    <cfRule type="expression" dxfId="3310" priority="66">
      <formula>IF(+(IF(M10&lt;#REF!,0,IF(M10&gt;#REF!,0,1)))=0,1)</formula>
    </cfRule>
  </conditionalFormatting>
  <conditionalFormatting sqref="M14:N14">
    <cfRule type="expression" dxfId="3309" priority="200">
      <formula>IF(+(IF(M14&lt;#REF!,0,IF(M14&gt;#REF!,0,1)))=0,1)</formula>
    </cfRule>
  </conditionalFormatting>
  <conditionalFormatting sqref="M47:N47">
    <cfRule type="expression" dxfId="3308" priority="194">
      <formula>IF(+(IF(M47&lt;#REF!,0,IF(M47&gt;#REF!,0,1)))=0,1)</formula>
    </cfRule>
  </conditionalFormatting>
  <conditionalFormatting sqref="N10:N11">
    <cfRule type="expression" dxfId="3307" priority="67">
      <formula>IF(+(IF(N10&lt;X23,0,IF(N10&gt;Y23,0,1)))=0,1)</formula>
    </cfRule>
  </conditionalFormatting>
  <conditionalFormatting sqref="N13">
    <cfRule type="expression" dxfId="3306" priority="60">
      <formula>IF(+(IF(N13&lt;X47,0,IF(N13&gt;Y47,0,1)))=0,1)</formula>
    </cfRule>
    <cfRule type="expression" dxfId="3305" priority="59">
      <formula>IF(+(IF(N13&lt;X52,0,IF(N13&gt;Y52,0,1)))=0,1)</formula>
    </cfRule>
  </conditionalFormatting>
  <conditionalFormatting sqref="N14">
    <cfRule type="expression" dxfId="3304" priority="203">
      <formula>IF(+(IF(N14&lt;X27,0,IF(N14&gt;Y27,0,1)))=0,1)</formula>
    </cfRule>
  </conditionalFormatting>
  <conditionalFormatting sqref="N15:N32">
    <cfRule type="expression" dxfId="3303" priority="211">
      <formula>IF(+(IF(N15&lt;X62,0,IF(N15&gt;Y62,0,1)))=0,1)</formula>
    </cfRule>
  </conditionalFormatting>
  <conditionalFormatting sqref="N33:N46">
    <cfRule type="expression" dxfId="3302" priority="33">
      <formula>IF(+(IF(N33&lt;X48,0,IF(N33&gt;Y48,0,1)))=0,1)</formula>
    </cfRule>
    <cfRule type="expression" dxfId="3301" priority="32">
      <formula>IF(+(IF(N33&lt;X53,0,IF(N33&gt;Y53,0,1)))=0,1)</formula>
    </cfRule>
  </conditionalFormatting>
  <conditionalFormatting sqref="P6">
    <cfRule type="cellIs" dxfId="3300" priority="160" operator="greaterThanOrEqual">
      <formula>19</formula>
    </cfRule>
  </conditionalFormatting>
  <dataValidations count="1">
    <dataValidation type="list" allowBlank="1" showInputMessage="1" showErrorMessage="1" sqref="S8 B13 B15:B47" xr:uid="{0829AB47-947B-4730-ADDD-DF3E14D3F471}">
      <formula1>ProductList</formula1>
    </dataValidation>
  </dataValidations>
  <pageMargins left="0.7" right="0.7" top="0.75" bottom="0.75" header="0.3" footer="0.3"/>
  <pageSetup scale="46" fitToWidth="0" orientation="landscape" r:id="rId1"/>
  <rowBreaks count="1" manualBreakCount="1">
    <brk id="102" max="16383" man="1"/>
  </rowBreaks>
  <colBreaks count="1" manualBreakCount="1">
    <brk id="15" max="89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C72A1-1EC9-403D-A44D-FA4C769ADCD6}">
  <sheetPr>
    <pageSetUpPr fitToPage="1"/>
  </sheetPr>
  <dimension ref="A1:BE77"/>
  <sheetViews>
    <sheetView topLeftCell="A8" zoomScale="70" zoomScaleNormal="70" workbookViewId="0">
      <selection activeCell="L16" sqref="L16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9.42578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5" t="s">
        <v>0</v>
      </c>
      <c r="T1" s="555"/>
      <c r="U1" s="555" t="s">
        <v>1</v>
      </c>
      <c r="V1" s="555"/>
      <c r="W1" s="555" t="s">
        <v>2</v>
      </c>
      <c r="X1" s="555"/>
      <c r="Y1" s="555" t="s">
        <v>124</v>
      </c>
      <c r="Z1" s="555"/>
    </row>
    <row r="2" spans="2:29" ht="15">
      <c r="B2" s="556" t="s">
        <v>3</v>
      </c>
      <c r="C2" s="556"/>
      <c r="D2" s="556"/>
      <c r="E2" s="556"/>
      <c r="F2" s="556"/>
      <c r="G2" s="556"/>
      <c r="H2" s="556"/>
      <c r="I2" s="556"/>
      <c r="J2" s="556"/>
      <c r="K2" s="556"/>
      <c r="L2" s="556"/>
      <c r="M2" s="556"/>
      <c r="N2" s="556"/>
      <c r="O2" s="556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46114</v>
      </c>
      <c r="J4" s="398" t="s">
        <v>167</v>
      </c>
      <c r="K4" s="398"/>
      <c r="L4" s="11"/>
      <c r="M4" s="553" t="s">
        <v>8</v>
      </c>
      <c r="N4" s="554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2"/>
      <c r="D5" s="542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6" t="s">
        <v>17</v>
      </c>
      <c r="C8" s="517" t="s">
        <v>18</v>
      </c>
      <c r="D8" s="517" t="s">
        <v>19</v>
      </c>
      <c r="E8" s="356" t="s">
        <v>20</v>
      </c>
      <c r="F8" s="356" t="s">
        <v>21</v>
      </c>
      <c r="G8" s="517" t="s">
        <v>22</v>
      </c>
      <c r="H8" s="544" t="s">
        <v>144</v>
      </c>
      <c r="I8" s="517" t="s">
        <v>165</v>
      </c>
      <c r="J8" s="546" t="s">
        <v>23</v>
      </c>
      <c r="K8" s="548" t="s">
        <v>142</v>
      </c>
      <c r="L8" s="550" t="s">
        <v>24</v>
      </c>
      <c r="M8" s="359" t="s">
        <v>25</v>
      </c>
      <c r="N8" s="17" t="s">
        <v>169</v>
      </c>
      <c r="O8" s="510" t="s">
        <v>155</v>
      </c>
      <c r="P8" s="540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43"/>
      <c r="C9" s="541"/>
      <c r="D9" s="541"/>
      <c r="E9" s="357" t="s">
        <v>30</v>
      </c>
      <c r="F9" s="357" t="s">
        <v>31</v>
      </c>
      <c r="G9" s="541"/>
      <c r="H9" s="545"/>
      <c r="I9" s="541"/>
      <c r="J9" s="547"/>
      <c r="K9" s="549"/>
      <c r="L9" s="551"/>
      <c r="M9" s="20" t="s">
        <v>32</v>
      </c>
      <c r="N9" s="21" t="s">
        <v>41</v>
      </c>
      <c r="O9" s="552"/>
      <c r="P9" s="541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6.5" customHeight="1">
      <c r="B10" s="29" t="s">
        <v>6</v>
      </c>
      <c r="C10" s="366" t="str">
        <f>[4]Brewhouse!$A292</f>
        <v>CA248</v>
      </c>
      <c r="D10" s="279">
        <f>[4]Brewhouse!$AF292</f>
        <v>50.6</v>
      </c>
      <c r="E10" s="279">
        <f>[4]Brewhouse!$AI292</f>
        <v>50.6</v>
      </c>
      <c r="F10" s="278">
        <f>[4]Brewhouse!$V292</f>
        <v>52</v>
      </c>
      <c r="G10" s="279">
        <f>[4]Brewhouse!AG292</f>
        <v>11.7</v>
      </c>
      <c r="H10" s="396"/>
      <c r="I10" s="368">
        <f>[4]Brewhouse!$AU292</f>
        <v>97.704199504233429</v>
      </c>
      <c r="J10" s="368">
        <f>[4]Brewhouse!$AV292</f>
        <v>98.62296750513481</v>
      </c>
      <c r="K10" s="281">
        <f>[4]Brewhouse!$Q292</f>
        <v>11.333333333333329</v>
      </c>
      <c r="L10" s="276">
        <f>[4]Brewhouse!$P292</f>
        <v>64</v>
      </c>
      <c r="M10" s="397">
        <f>[4]Brewhouse!$U292-[4]Brewhouse!$T292</f>
        <v>0.10902777777777772</v>
      </c>
      <c r="N10" s="370">
        <f>[4]Brewhouse!$Z292</f>
        <v>0.27222222222222214</v>
      </c>
      <c r="O10" s="420" t="str">
        <f>[4]Brewhouse!$AX292</f>
        <v>K. Benjamin</v>
      </c>
      <c r="P10" s="418"/>
      <c r="R10" s="277" t="str">
        <f t="shared" ref="R10:R37" si="0">B10</f>
        <v>CARIB</v>
      </c>
      <c r="S10" s="472">
        <f t="shared" ref="S10:S37" si="1">VLOOKUP($B10,$R$3:$X$9,2,FALSE)</f>
        <v>11.6</v>
      </c>
      <c r="T10" s="472">
        <f t="shared" ref="T10:T37" si="2">VLOOKUP($B10,$R$3:$X$9,3,FALSE)</f>
        <v>12</v>
      </c>
      <c r="U10" s="297">
        <f t="shared" ref="U10:U37" si="3">VLOOKUP($B10,$R$3:$X$9,4,FALSE)</f>
        <v>0</v>
      </c>
      <c r="V10" s="297">
        <f t="shared" ref="V10:V37" si="4">VLOOKUP($B10,$R$3:$X$9,5,FALSE)</f>
        <v>0.118055555555556</v>
      </c>
      <c r="W10" s="297">
        <f t="shared" ref="W10:W37" si="5">VLOOKUP($B10,$R$3:$X$9,6,FALSE)</f>
        <v>0.22569444444444445</v>
      </c>
      <c r="X10" s="297">
        <f t="shared" ref="X10:X37" si="6">VLOOKUP($B10,$R$3:$X$9,7,FALSE)</f>
        <v>0.2638888888888889</v>
      </c>
      <c r="Y10" s="297">
        <f t="shared" ref="Y10:Y37" si="7">VLOOKUP($B10,$R$3:$Z$9,8,FALSE)</f>
        <v>0</v>
      </c>
      <c r="Z10" s="472">
        <f t="shared" ref="Z10:Z37" si="8">VLOOKUP($B10,$R$3:$Z$9,9,FALSE)</f>
        <v>60</v>
      </c>
    </row>
    <row r="11" spans="2:29" ht="16.5" customHeight="1">
      <c r="B11" s="29" t="s">
        <v>6</v>
      </c>
      <c r="C11" s="366" t="str">
        <f>[4]Brewhouse!$A293</f>
        <v>CA249</v>
      </c>
      <c r="D11" s="279">
        <f>[4]Brewhouse!$AF293</f>
        <v>51.7</v>
      </c>
      <c r="E11" s="279">
        <f>[4]Brewhouse!$AI293</f>
        <v>51.8</v>
      </c>
      <c r="F11" s="278">
        <f>[4]Brewhouse!$V293</f>
        <v>68</v>
      </c>
      <c r="G11" s="279">
        <f>[4]Brewhouse!AG293</f>
        <v>11.5</v>
      </c>
      <c r="H11" s="396"/>
      <c r="I11" s="368">
        <f>[4]Brewhouse!$AU293</f>
        <v>97.979907272741045</v>
      </c>
      <c r="J11" s="368">
        <f>[4]Brewhouse!$AV293</f>
        <v>98.90138792166556</v>
      </c>
      <c r="K11" s="281">
        <f>[4]Brewhouse!$Q293</f>
        <v>8</v>
      </c>
      <c r="L11" s="276">
        <f>[4]Brewhouse!$P293</f>
        <v>60</v>
      </c>
      <c r="M11" s="397">
        <f>[4]Brewhouse!$U293-[4]Brewhouse!$T293</f>
        <v>0.11875000000000002</v>
      </c>
      <c r="N11" s="370">
        <f>[4]Brewhouse!$Z293</f>
        <v>0.25972222222222224</v>
      </c>
      <c r="O11" s="420" t="str">
        <f>[4]Brewhouse!$AX293</f>
        <v>K. Benjamin</v>
      </c>
      <c r="P11" s="418"/>
      <c r="R11" s="277" t="str">
        <f t="shared" ref="R11:R24" si="9">B11</f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6.5" customHeight="1">
      <c r="B12" s="29" t="s">
        <v>6</v>
      </c>
      <c r="C12" s="366" t="str">
        <f>[4]Brewhouse!$A294</f>
        <v>CA250</v>
      </c>
      <c r="D12" s="279">
        <f>[4]Brewhouse!$AF294</f>
        <v>51.3</v>
      </c>
      <c r="E12" s="279">
        <f>[4]Brewhouse!$AI294</f>
        <v>50.5</v>
      </c>
      <c r="F12" s="278">
        <f>[4]Brewhouse!$V294</f>
        <v>66</v>
      </c>
      <c r="G12" s="279">
        <f>[4]Brewhouse!AG294</f>
        <v>12</v>
      </c>
      <c r="H12" s="396"/>
      <c r="I12" s="368">
        <f>[4]Brewhouse!$AU294</f>
        <v>99.895350375578587</v>
      </c>
      <c r="J12" s="368">
        <f>[4]Brewhouse!$AV294</f>
        <v>100.83484536848964</v>
      </c>
      <c r="K12" s="281">
        <f>[4]Brewhouse!$Q294</f>
        <v>7.985212569316082</v>
      </c>
      <c r="L12" s="276">
        <f>[4]Brewhouse!$P294</f>
        <v>61</v>
      </c>
      <c r="M12" s="397">
        <f>[4]Brewhouse!$U294-[4]Brewhouse!$T294</f>
        <v>0.11319444444444449</v>
      </c>
      <c r="N12" s="370">
        <f>[4]Brewhouse!$Z294</f>
        <v>0.25</v>
      </c>
      <c r="O12" s="420" t="str">
        <f>[4]Brewhouse!$AX294</f>
        <v>R. Regis</v>
      </c>
      <c r="P12" s="418"/>
      <c r="R12" s="277" t="str">
        <f t="shared" si="9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6.5" customHeight="1">
      <c r="B13" s="29" t="s">
        <v>6</v>
      </c>
      <c r="C13" s="366" t="str">
        <f>[4]Brewhouse!$A295</f>
        <v>CA251</v>
      </c>
      <c r="D13" s="279">
        <f>[4]Brewhouse!$AF295</f>
        <v>50.3</v>
      </c>
      <c r="E13" s="279">
        <f>[4]Brewhouse!$AI295</f>
        <v>49.4</v>
      </c>
      <c r="F13" s="278">
        <f>[4]Brewhouse!$V295</f>
        <v>59</v>
      </c>
      <c r="G13" s="279">
        <f>[4]Brewhouse!AG295</f>
        <v>11.8</v>
      </c>
      <c r="H13" s="396"/>
      <c r="I13" s="368">
        <f>[4]Brewhouse!$AU295</f>
        <v>95.889566709390451</v>
      </c>
      <c r="J13" s="368">
        <f>[4]Brewhouse!$AV295</f>
        <v>96.791446648865033</v>
      </c>
      <c r="K13" s="281">
        <f>[4]Brewhouse!$Q295</f>
        <v>8.3548983364140526</v>
      </c>
      <c r="L13" s="276">
        <f>[4]Brewhouse!$P295</f>
        <v>57</v>
      </c>
      <c r="M13" s="397">
        <f>[4]Brewhouse!$U295-[4]Brewhouse!$T295</f>
        <v>0.10138888888888886</v>
      </c>
      <c r="N13" s="370">
        <f>[4]Brewhouse!$Z295</f>
        <v>0.23750000000000004</v>
      </c>
      <c r="O13" s="420" t="str">
        <f>[4]Brewhouse!$AX295</f>
        <v>R.Sookram</v>
      </c>
      <c r="P13" s="418"/>
      <c r="R13" s="277" t="str">
        <f t="shared" si="9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6.5" customHeight="1">
      <c r="B14" s="29" t="s">
        <v>6</v>
      </c>
      <c r="C14" s="366" t="str">
        <f>[4]Brewhouse!$A296</f>
        <v>CA252</v>
      </c>
      <c r="D14" s="279">
        <f>[4]Brewhouse!$AF296</f>
        <v>51.1</v>
      </c>
      <c r="E14" s="279">
        <f>[4]Brewhouse!$AI296</f>
        <v>50.4</v>
      </c>
      <c r="F14" s="278">
        <f>[4]Brewhouse!$V296</f>
        <v>53</v>
      </c>
      <c r="G14" s="279">
        <f>[4]Brewhouse!AG296</f>
        <v>11.9</v>
      </c>
      <c r="H14" s="396"/>
      <c r="I14" s="368">
        <f>[4]Brewhouse!$AU296</f>
        <v>99.06862717692897</v>
      </c>
      <c r="J14" s="368">
        <f>[4]Brewhouse!$AV296</f>
        <v>100.00022566507224</v>
      </c>
      <c r="K14" s="281">
        <f>[4]Brewhouse!$Q296</f>
        <v>8.3548983364140526</v>
      </c>
      <c r="L14" s="276">
        <f>[4]Brewhouse!$P296</f>
        <v>58</v>
      </c>
      <c r="M14" s="397">
        <f>[4]Brewhouse!$U296-[4]Brewhouse!$T296</f>
        <v>0.10000000000000009</v>
      </c>
      <c r="N14" s="370">
        <f>[4]Brewhouse!$Z296</f>
        <v>0.23611111111111116</v>
      </c>
      <c r="O14" s="420" t="str">
        <f>[4]Brewhouse!$AX296</f>
        <v>R.Sookram</v>
      </c>
      <c r="P14" s="418"/>
      <c r="R14" s="277" t="str">
        <f t="shared" si="9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6.5" customHeight="1">
      <c r="B15" s="29" t="s">
        <v>6</v>
      </c>
      <c r="C15" s="366" t="str">
        <f>[4]Brewhouse!$A297</f>
        <v>CA253</v>
      </c>
      <c r="D15" s="279">
        <f>[4]Brewhouse!$AF297</f>
        <v>49.2</v>
      </c>
      <c r="E15" s="279">
        <f>[4]Brewhouse!$AI297</f>
        <v>48.3</v>
      </c>
      <c r="F15" s="278">
        <f>[4]Brewhouse!$V297</f>
        <v>56</v>
      </c>
      <c r="G15" s="279">
        <f>[4]Brewhouse!AG297</f>
        <v>12</v>
      </c>
      <c r="H15" s="396"/>
      <c r="I15" s="368">
        <f>[4]Brewhouse!$AU297</f>
        <v>95.445431119922034</v>
      </c>
      <c r="J15" s="368">
        <f>[4]Brewhouse!$AV297</f>
        <v>96.561009033575203</v>
      </c>
      <c r="K15" s="281">
        <f>[4]Brewhouse!$Q297</f>
        <v>11.703703703703704</v>
      </c>
      <c r="L15" s="276">
        <f>[4]Brewhouse!$P297</f>
        <v>45</v>
      </c>
      <c r="M15" s="397">
        <f>[4]Brewhouse!$U297-[4]Brewhouse!$T297</f>
        <v>0.10902777777777772</v>
      </c>
      <c r="N15" s="370">
        <f>[4]Brewhouse!$Z297</f>
        <v>0.26180555555555551</v>
      </c>
      <c r="O15" s="420" t="str">
        <f>[4]Brewhouse!$AX297</f>
        <v>K. Benjamin</v>
      </c>
      <c r="P15" s="418"/>
      <c r="R15" s="277" t="str">
        <f t="shared" si="9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6.5" customHeight="1">
      <c r="B16" s="29" t="s">
        <v>6</v>
      </c>
      <c r="C16" s="366" t="str">
        <f>[4]Brewhouse!$A298</f>
        <v>CA254</v>
      </c>
      <c r="D16" s="279">
        <f>[4]Brewhouse!$AF298</f>
        <v>53.2</v>
      </c>
      <c r="E16" s="279">
        <f>[4]Brewhouse!$AI298</f>
        <v>53.3</v>
      </c>
      <c r="F16" s="278">
        <f>[4]Brewhouse!$V298</f>
        <v>58</v>
      </c>
      <c r="G16" s="279">
        <f>[4]Brewhouse!AG298</f>
        <v>11.9</v>
      </c>
      <c r="H16" s="396"/>
      <c r="I16" s="368">
        <f>[4]Brewhouse!$AU298</f>
        <v>104.42612750160676</v>
      </c>
      <c r="J16" s="368">
        <f>[4]Brewhouse!$AV298</f>
        <v>105.88498565216436</v>
      </c>
      <c r="K16" s="281">
        <f>[4]Brewhouse!$Q298</f>
        <v>9.6666666666666643</v>
      </c>
      <c r="L16" s="276">
        <f>[4]Brewhouse!$P298</f>
        <v>63</v>
      </c>
      <c r="M16" s="397">
        <f>[4]Brewhouse!$U298-[4]Brewhouse!$T298</f>
        <v>0.11527777777777781</v>
      </c>
      <c r="N16" s="370">
        <f>[4]Brewhouse!$Z298</f>
        <v>0.27777777777777768</v>
      </c>
      <c r="O16" s="420" t="str">
        <f>[4]Brewhouse!$AX298</f>
        <v>K. Benjamin</v>
      </c>
      <c r="P16" s="418"/>
      <c r="R16" s="277" t="str">
        <f t="shared" si="9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7" ht="16.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420"/>
      <c r="P17" s="418"/>
      <c r="R17" s="277">
        <f t="shared" si="9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6.5" customHeight="1">
      <c r="B18" s="33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6.5" hidden="1" customHeight="1">
      <c r="B19" s="33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6.5" hidden="1" customHeight="1">
      <c r="B20" s="22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5" hidden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371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8" hidden="1" customHeight="1">
      <c r="B22" s="29"/>
      <c r="C22" s="366"/>
      <c r="D22" s="279"/>
      <c r="E22" s="279"/>
      <c r="F22" s="278"/>
      <c r="G22" s="279"/>
      <c r="H22" s="482"/>
      <c r="I22" s="368"/>
      <c r="J22" s="368"/>
      <c r="K22" s="281"/>
      <c r="L22" s="276"/>
      <c r="M22" s="374"/>
      <c r="N22" s="370"/>
      <c r="O22" s="371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6.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8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5.75" customHeight="1" thickBot="1">
      <c r="B24" s="358"/>
      <c r="C24" s="358"/>
      <c r="D24" s="358"/>
      <c r="E24" s="358"/>
      <c r="F24" s="294"/>
      <c r="G24" s="294"/>
      <c r="H24" s="348"/>
      <c r="I24" s="533"/>
      <c r="J24" s="533"/>
      <c r="K24" s="533"/>
      <c r="L24" s="533"/>
      <c r="M24" s="533"/>
      <c r="N24" s="533"/>
      <c r="O24" s="1"/>
      <c r="P24" s="12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5.75" customHeight="1" thickBot="1">
      <c r="B25" s="388" t="s">
        <v>162</v>
      </c>
      <c r="C25" s="388"/>
      <c r="D25" s="534" t="s">
        <v>35</v>
      </c>
      <c r="E25" s="535"/>
      <c r="F25" s="294"/>
      <c r="G25" s="294"/>
      <c r="H25" s="348"/>
      <c r="I25" s="24" t="s">
        <v>17</v>
      </c>
      <c r="J25" s="25"/>
      <c r="K25" s="26" t="s">
        <v>138</v>
      </c>
      <c r="L25" s="25" t="s">
        <v>37</v>
      </c>
      <c r="M25" s="25" t="s">
        <v>38</v>
      </c>
      <c r="N25" s="27" t="s">
        <v>39</v>
      </c>
      <c r="O25" s="294"/>
      <c r="P25" s="12"/>
      <c r="R25" s="277" t="str">
        <f t="shared" si="0"/>
        <v xml:space="preserve">BRAND 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5" customHeight="1">
      <c r="A26" s="28"/>
      <c r="B26" s="585" t="str">
        <f>J49</f>
        <v>CARIBE</v>
      </c>
      <c r="C26" s="362"/>
      <c r="D26" s="537"/>
      <c r="E26" s="538"/>
      <c r="F26" s="294"/>
      <c r="G26" s="294"/>
      <c r="H26" s="348"/>
      <c r="I26" s="29" t="s">
        <v>6</v>
      </c>
      <c r="J26" s="323">
        <f>AVERAGE(I10:I16)</f>
        <v>98.629887094343047</v>
      </c>
      <c r="K26" s="284">
        <f>COUNTA([4]Brewhouse!$B$292:$B$298)</f>
        <v>7</v>
      </c>
      <c r="L26" s="305">
        <f>AVERAGE([4]Brewhouse!$AU$292:$AU$298)</f>
        <v>98.629887094343047</v>
      </c>
      <c r="M26" s="305">
        <f>AVERAGE([4]Brewhouse!$AU$42:$AU$123,[4]Brewhouse!$AU$125:$AU$188,[4]Brewhouse!$AU$198:$AU$290,[4]Brewhouse!$AU$292:$AU$298)</f>
        <v>97.897342258192438</v>
      </c>
      <c r="N26" s="30">
        <v>98</v>
      </c>
      <c r="O26" s="11"/>
      <c r="P26" s="31"/>
      <c r="R26" s="277" t="str">
        <f t="shared" si="0"/>
        <v>CARIBE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5" customHeight="1">
      <c r="A27" s="28"/>
      <c r="B27" s="586"/>
      <c r="C27" s="362"/>
      <c r="D27" s="539"/>
      <c r="E27" s="525"/>
      <c r="F27" s="294"/>
      <c r="G27" s="294"/>
      <c r="H27" s="348"/>
      <c r="I27" s="33" t="s">
        <v>9</v>
      </c>
      <c r="J27" s="280"/>
      <c r="K27" s="284"/>
      <c r="L27" s="302"/>
      <c r="M27" s="302">
        <f>AVERAGE([3]Brewhouse!$AS$52:$AS$81,[3]Brewhouse!$AS$83:$AS$124,[3]Brewhouse!$AS$134:$AS$177)</f>
        <v>98.431196212769251</v>
      </c>
      <c r="N27" s="30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65" customHeight="1">
      <c r="A28" s="28"/>
      <c r="B28" s="586"/>
      <c r="C28" s="362"/>
      <c r="D28" s="529"/>
      <c r="E28" s="530"/>
      <c r="F28" s="294"/>
      <c r="G28" s="294"/>
      <c r="H28" s="348"/>
      <c r="I28" s="34" t="s">
        <v>12</v>
      </c>
      <c r="J28" s="280"/>
      <c r="K28" s="284"/>
      <c r="L28" s="302"/>
      <c r="M28" s="302">
        <f>AVERAGE([5]Brewhouse!$AU$16:$AU$23,[5]Brewhouse!$AU$25:$AU$32,[5]Brewhouse!$AU$34:$AU$41)</f>
        <v>97.131453825415363</v>
      </c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65" customHeight="1">
      <c r="A29" s="28"/>
      <c r="B29" s="586"/>
      <c r="C29" s="362"/>
      <c r="D29" s="524"/>
      <c r="E29" s="525"/>
      <c r="F29" s="294"/>
      <c r="G29" s="294"/>
      <c r="H29" s="348"/>
      <c r="I29" s="22" t="s">
        <v>33</v>
      </c>
      <c r="J29" s="280"/>
      <c r="K29" s="284"/>
      <c r="L29" s="302"/>
      <c r="M29" s="302">
        <f>AVERAGE([6]Brewhouse!$AV$23:$AV$34,[6]Brewhouse!$AV$36,[6]Brewhouse!$AV$38:$AV$52)</f>
        <v>97.639832259312456</v>
      </c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7" ht="14.65" customHeight="1">
      <c r="A30" s="28"/>
      <c r="B30" s="586"/>
      <c r="C30" s="362"/>
      <c r="D30" s="529"/>
      <c r="E30" s="530"/>
      <c r="F30" s="417"/>
      <c r="G30" s="294"/>
      <c r="H30" s="348"/>
      <c r="I30" s="35" t="s">
        <v>29</v>
      </c>
      <c r="J30" s="280"/>
      <c r="K30" s="284"/>
      <c r="L30" s="302"/>
      <c r="M30" s="302"/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7" ht="14.65" customHeight="1">
      <c r="A31" s="28"/>
      <c r="B31" s="586"/>
      <c r="C31" s="362"/>
      <c r="D31" s="524"/>
      <c r="E31" s="525"/>
      <c r="F31" s="417"/>
      <c r="G31" s="294"/>
      <c r="H31" s="348"/>
      <c r="I31" s="36" t="s">
        <v>15</v>
      </c>
      <c r="J31" s="323"/>
      <c r="K31" s="284"/>
      <c r="L31" s="302"/>
      <c r="M31" s="302">
        <f>AVERAGE([7]Brewhouse!$AT$4:$AT$11)</f>
        <v>92.826224508052405</v>
      </c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  <c r="AA31" s="472"/>
    </row>
    <row r="32" spans="1:27" ht="14.65" customHeight="1">
      <c r="A32" s="28"/>
      <c r="B32" s="586"/>
      <c r="C32" s="362"/>
      <c r="D32" s="529"/>
      <c r="E32" s="530"/>
      <c r="F32" s="417"/>
      <c r="G32" s="294"/>
      <c r="H32" s="348"/>
      <c r="I32" s="37" t="s">
        <v>16</v>
      </c>
      <c r="J32" s="323"/>
      <c r="K32" s="284"/>
      <c r="L32" s="302"/>
      <c r="M32" s="302">
        <f>AVERAGE([8]Brewhouse!$AY$5:$AY$14,[8]Brewhouse!$AY$16:$AY$23,[8]Brewhouse!$AY$42)</f>
        <v>97.390503559857137</v>
      </c>
      <c r="N32" s="30">
        <v>98</v>
      </c>
      <c r="O32" s="11"/>
      <c r="P32" s="31" t="s">
        <v>41</v>
      </c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1:56" ht="14.65" customHeight="1">
      <c r="A33" s="28"/>
      <c r="B33" s="586"/>
      <c r="C33" s="362"/>
      <c r="D33" s="524"/>
      <c r="E33" s="525"/>
      <c r="F33" s="294"/>
      <c r="G33" s="294"/>
      <c r="H33" s="348"/>
      <c r="I33" s="411" t="s">
        <v>158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1:56" ht="14.65" customHeight="1">
      <c r="A34" s="28"/>
      <c r="B34" s="586"/>
      <c r="C34" s="349"/>
      <c r="D34" s="529"/>
      <c r="E34" s="530"/>
      <c r="F34" s="294"/>
      <c r="G34" s="294"/>
      <c r="H34" s="348"/>
      <c r="I34" s="410" t="s">
        <v>157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5" customHeight="1" thickBot="1">
      <c r="A35" s="28"/>
      <c r="B35" s="586"/>
      <c r="C35" s="349"/>
      <c r="D35" s="524"/>
      <c r="E35" s="525"/>
      <c r="F35" s="294"/>
      <c r="G35" s="294"/>
      <c r="H35" s="348"/>
      <c r="I35" s="406" t="s">
        <v>156</v>
      </c>
      <c r="J35" s="327"/>
      <c r="K35" s="407"/>
      <c r="L35" s="408"/>
      <c r="M35" s="408"/>
      <c r="N35" s="409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" customHeight="1" thickBot="1">
      <c r="A36" s="28"/>
      <c r="B36" s="586"/>
      <c r="C36" s="349"/>
      <c r="D36" s="537"/>
      <c r="E36" s="538"/>
      <c r="F36" s="294"/>
      <c r="G36" s="294"/>
      <c r="H36" s="348"/>
      <c r="I36" s="1"/>
      <c r="J36" s="39"/>
      <c r="K36" s="404">
        <f>SUM(K26:K35)</f>
        <v>7</v>
      </c>
      <c r="L36" s="405">
        <f>((L26*K26)+(L27*K27)+(L28*K28)+(L29*K29)+(L30*K30)+(K33*L33)+(L31*K31)+(L32*K32)+(L35*K35))/(K36)</f>
        <v>98.629887094343047</v>
      </c>
      <c r="M36" s="405">
        <f>AVERAGE('[9]Jan30th-31st'!$L$42,L36)</f>
        <v>98.228964415092264</v>
      </c>
      <c r="N36" s="4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5.75" thickBot="1">
      <c r="B37" s="587"/>
      <c r="C37" s="350"/>
      <c r="D37" s="539"/>
      <c r="E37" s="525"/>
      <c r="F37" s="294"/>
      <c r="G37" s="42"/>
      <c r="H37" s="41"/>
      <c r="I37" s="42"/>
      <c r="J37" s="42"/>
      <c r="K37" s="351"/>
      <c r="L37" s="348"/>
      <c r="M37" s="348"/>
      <c r="N37" s="11"/>
      <c r="O37" s="294"/>
      <c r="P37" s="12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56" ht="15.75" thickBot="1">
      <c r="B38" s="519"/>
      <c r="C38" s="362"/>
      <c r="D38" s="522"/>
      <c r="E38" s="523"/>
      <c r="F38" s="294"/>
      <c r="G38" s="42"/>
      <c r="H38" s="41"/>
      <c r="I38" s="42"/>
      <c r="J38" s="526" t="s">
        <v>129</v>
      </c>
      <c r="K38" s="526"/>
      <c r="L38" s="294"/>
      <c r="M38" s="294"/>
      <c r="N38" s="294"/>
      <c r="O38" s="294"/>
      <c r="P38" s="12"/>
    </row>
    <row r="39" spans="1:56" ht="15.75" thickBot="1">
      <c r="B39" s="520"/>
      <c r="C39" s="362"/>
      <c r="D39" s="524"/>
      <c r="E39" s="525"/>
      <c r="F39" s="294"/>
      <c r="G39" s="42"/>
      <c r="H39" s="42"/>
      <c r="I39" s="42"/>
      <c r="J39" s="292" t="s">
        <v>17</v>
      </c>
      <c r="K39" s="293" t="s">
        <v>172</v>
      </c>
      <c r="L39" s="527" t="s">
        <v>136</v>
      </c>
      <c r="M39" s="527"/>
      <c r="N39" s="528"/>
      <c r="O39" s="294"/>
      <c r="P39" s="12"/>
    </row>
    <row r="40" spans="1:56" ht="15" customHeight="1" thickBot="1">
      <c r="B40" s="520"/>
      <c r="C40" s="349"/>
      <c r="D40" s="529"/>
      <c r="E40" s="530"/>
      <c r="F40" s="294"/>
      <c r="G40" s="42"/>
      <c r="H40" s="42"/>
      <c r="I40" s="42"/>
      <c r="J40" s="287" t="s">
        <v>6</v>
      </c>
      <c r="K40" s="324">
        <v>7</v>
      </c>
      <c r="L40" s="473" t="s">
        <v>37</v>
      </c>
      <c r="M40" s="474" t="s">
        <v>38</v>
      </c>
      <c r="N40" s="474" t="s">
        <v>84</v>
      </c>
      <c r="O40" s="294"/>
      <c r="P40" s="12"/>
    </row>
    <row r="41" spans="1:56" ht="15.75" customHeight="1" thickBot="1">
      <c r="B41" s="520"/>
      <c r="C41" s="349"/>
      <c r="D41" s="524"/>
      <c r="E41" s="525"/>
      <c r="F41" s="294"/>
      <c r="G41" s="42"/>
      <c r="H41" s="42"/>
      <c r="I41" s="42"/>
      <c r="J41" s="345" t="s">
        <v>9</v>
      </c>
      <c r="K41" s="324"/>
      <c r="L41" s="344">
        <f>K50</f>
        <v>7</v>
      </c>
      <c r="M41" s="325">
        <f>AVERAGE('[9]Jan30th-31st'!$L$47,L41,'[10]Feb 26th '!$L$39,'[11]Mar 31st'!$L$47)</f>
        <v>6.5467391304347826</v>
      </c>
      <c r="N41" s="416">
        <v>9.1999999999999993</v>
      </c>
      <c r="O41" s="294"/>
      <c r="P41" s="12"/>
    </row>
    <row r="42" spans="1:56" ht="15" customHeight="1">
      <c r="B42" s="520"/>
      <c r="C42" s="349"/>
      <c r="D42" s="529"/>
      <c r="E42" s="530"/>
      <c r="F42" s="294"/>
      <c r="G42" s="42"/>
      <c r="H42" s="42"/>
      <c r="I42" s="42"/>
      <c r="J42" s="288" t="s">
        <v>40</v>
      </c>
      <c r="K42" s="324"/>
      <c r="L42" s="294"/>
      <c r="M42" s="294"/>
      <c r="N42" s="294"/>
      <c r="O42" s="294"/>
      <c r="P42" s="12"/>
    </row>
    <row r="43" spans="1:56" ht="15" customHeight="1">
      <c r="B43" s="520"/>
      <c r="C43" s="349"/>
      <c r="D43" s="524"/>
      <c r="E43" s="525"/>
      <c r="F43" s="294"/>
      <c r="G43" s="42"/>
      <c r="H43" s="42"/>
      <c r="I43" s="42"/>
      <c r="J43" s="289" t="s">
        <v>33</v>
      </c>
      <c r="K43" s="324"/>
      <c r="L43" s="294"/>
      <c r="M43" s="294"/>
      <c r="N43" s="294"/>
      <c r="O43" s="294"/>
      <c r="P43" s="12"/>
    </row>
    <row r="44" spans="1:56" ht="15">
      <c r="B44" s="520"/>
      <c r="C44" s="349"/>
      <c r="D44" s="529"/>
      <c r="E44" s="530"/>
      <c r="F44" s="294"/>
      <c r="G44" s="42"/>
      <c r="H44" s="42"/>
      <c r="I44" s="42"/>
      <c r="J44" s="290" t="s">
        <v>16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20"/>
      <c r="C45" s="349"/>
      <c r="D45" s="524"/>
      <c r="E45" s="525"/>
      <c r="F45" s="294"/>
      <c r="G45" s="42"/>
      <c r="H45" s="42"/>
      <c r="I45" s="42"/>
      <c r="J45" s="291" t="s">
        <v>15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20"/>
      <c r="C46" s="349"/>
      <c r="D46" s="529"/>
      <c r="E46" s="530"/>
      <c r="F46" s="294"/>
      <c r="G46" s="42"/>
      <c r="H46" s="42"/>
      <c r="I46" s="42"/>
      <c r="J46" s="291" t="s">
        <v>149</v>
      </c>
      <c r="K46" s="324"/>
      <c r="L46" s="294"/>
      <c r="M46" s="294"/>
      <c r="N46" s="294"/>
      <c r="O46" s="294"/>
      <c r="P46" s="12"/>
      <c r="BC46" s="44"/>
      <c r="BD46" s="44"/>
    </row>
    <row r="47" spans="1:56" ht="15.75" thickBot="1">
      <c r="B47" s="521"/>
      <c r="C47" s="350"/>
      <c r="D47" s="531"/>
      <c r="E47" s="532"/>
      <c r="F47" s="294" t="s">
        <v>166</v>
      </c>
      <c r="G47" s="42"/>
      <c r="H47" s="42"/>
      <c r="I47" s="42"/>
      <c r="J47" s="291" t="s">
        <v>148</v>
      </c>
      <c r="K47" s="324"/>
      <c r="L47" s="294"/>
      <c r="M47" s="294"/>
      <c r="N47" s="294" t="s">
        <v>41</v>
      </c>
      <c r="O47" s="294"/>
      <c r="P47" s="12"/>
      <c r="BC47" s="44"/>
      <c r="BD47" s="44"/>
    </row>
    <row r="48" spans="1:56" ht="17.649999999999999" customHeight="1" thickBot="1">
      <c r="B48" s="312" t="s">
        <v>139</v>
      </c>
      <c r="C48" s="313"/>
      <c r="D48" s="512"/>
      <c r="E48" s="513"/>
      <c r="F48" s="294"/>
      <c r="J48" s="295" t="s">
        <v>134</v>
      </c>
      <c r="K48" s="324"/>
      <c r="L48" s="294"/>
      <c r="M48" s="294"/>
      <c r="N48" s="294"/>
      <c r="O48" s="294"/>
      <c r="P48" s="12"/>
      <c r="BC48" s="44"/>
      <c r="BD48" s="44"/>
    </row>
    <row r="49" spans="1:57" ht="17.649999999999999" customHeight="1">
      <c r="B49" s="363"/>
      <c r="C49" s="364"/>
      <c r="D49" s="365"/>
      <c r="E49" s="365"/>
      <c r="F49" s="294"/>
      <c r="G49" s="42"/>
      <c r="H49" s="42"/>
      <c r="I49" s="42"/>
      <c r="J49" s="295" t="s">
        <v>131</v>
      </c>
      <c r="K49" s="324"/>
      <c r="L49" s="294"/>
      <c r="M49" s="294"/>
      <c r="N49" s="294"/>
      <c r="O49" s="294"/>
      <c r="P49" s="12"/>
      <c r="BC49" s="44"/>
      <c r="BD49" s="44"/>
    </row>
    <row r="50" spans="1:57" ht="15.6" customHeight="1">
      <c r="B50" s="45"/>
      <c r="C50" s="11"/>
      <c r="D50" s="11"/>
      <c r="E50" s="46"/>
      <c r="F50" s="294"/>
      <c r="G50" s="42"/>
      <c r="H50" s="42"/>
      <c r="I50" s="42"/>
      <c r="J50" s="346" t="s">
        <v>130</v>
      </c>
      <c r="K50" s="324">
        <f>SUM(K40:K49)</f>
        <v>7</v>
      </c>
      <c r="L50" s="294"/>
      <c r="M50" s="294"/>
      <c r="N50" s="294"/>
      <c r="O50" s="294"/>
      <c r="P50" s="12"/>
    </row>
    <row r="51" spans="1:57" ht="20.25" customHeight="1">
      <c r="B51" s="15" t="s">
        <v>42</v>
      </c>
      <c r="C51" s="1" t="s">
        <v>43</v>
      </c>
      <c r="D51" s="1"/>
      <c r="E51" s="1"/>
      <c r="F51" s="294"/>
      <c r="G51" s="42"/>
      <c r="H51" s="41"/>
      <c r="I51" s="42"/>
      <c r="L51" s="294"/>
      <c r="N51" s="315"/>
      <c r="P51" s="334"/>
    </row>
    <row r="52" spans="1:57" ht="15" customHeight="1" thickBot="1"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1"/>
      <c r="O52" s="48"/>
      <c r="P52" s="49"/>
    </row>
    <row r="53" spans="1:57" ht="15" customHeight="1" thickBot="1">
      <c r="B53" s="504" t="s">
        <v>17</v>
      </c>
      <c r="C53" s="504" t="s">
        <v>44</v>
      </c>
      <c r="D53" s="515" t="s">
        <v>45</v>
      </c>
      <c r="E53" s="517" t="s">
        <v>46</v>
      </c>
      <c r="F53" s="510" t="s">
        <v>47</v>
      </c>
      <c r="G53" s="502" t="s">
        <v>48</v>
      </c>
      <c r="H53" s="504" t="s">
        <v>49</v>
      </c>
      <c r="I53" s="504" t="s">
        <v>50</v>
      </c>
      <c r="J53" s="496" t="s">
        <v>28</v>
      </c>
      <c r="K53" s="506" t="s">
        <v>51</v>
      </c>
      <c r="L53" s="508" t="s">
        <v>52</v>
      </c>
      <c r="M53" s="496" t="s">
        <v>53</v>
      </c>
      <c r="N53" s="13"/>
      <c r="O53" s="13"/>
      <c r="P53" s="50"/>
    </row>
    <row r="54" spans="1:57" ht="28.5" customHeight="1" thickTop="1" thickBot="1">
      <c r="B54" s="505"/>
      <c r="C54" s="514"/>
      <c r="D54" s="516"/>
      <c r="E54" s="518"/>
      <c r="F54" s="511"/>
      <c r="G54" s="503"/>
      <c r="H54" s="505"/>
      <c r="I54" s="505"/>
      <c r="J54" s="497"/>
      <c r="K54" s="507"/>
      <c r="L54" s="509"/>
      <c r="M54" s="497"/>
      <c r="N54" s="13"/>
      <c r="O54" s="13"/>
      <c r="P54" s="50"/>
      <c r="Q54" s="355"/>
      <c r="AB54" s="475">
        <v>43474</v>
      </c>
      <c r="AC54" s="475">
        <v>43475</v>
      </c>
      <c r="AD54" s="475">
        <v>43476</v>
      </c>
      <c r="AE54" s="475">
        <v>43477</v>
      </c>
      <c r="AF54" s="475">
        <v>43478</v>
      </c>
      <c r="AG54" s="475">
        <v>43479</v>
      </c>
      <c r="AH54" s="475">
        <v>43480</v>
      </c>
      <c r="AI54" s="475">
        <v>43481</v>
      </c>
      <c r="AJ54" s="475">
        <v>43482</v>
      </c>
      <c r="AK54" s="475">
        <v>43483</v>
      </c>
      <c r="AL54" s="475">
        <v>43484</v>
      </c>
      <c r="AM54" s="475">
        <v>43485</v>
      </c>
      <c r="AN54" s="475">
        <v>43486</v>
      </c>
      <c r="AO54" s="475">
        <v>43487</v>
      </c>
      <c r="AP54" s="475">
        <v>43488</v>
      </c>
      <c r="AQ54" s="475">
        <v>43489</v>
      </c>
      <c r="AR54" s="475">
        <v>43490</v>
      </c>
      <c r="AS54" s="475">
        <v>43491</v>
      </c>
      <c r="AT54" s="475">
        <v>43492</v>
      </c>
      <c r="AU54" s="475">
        <v>43493</v>
      </c>
      <c r="AV54" s="475">
        <v>43494</v>
      </c>
      <c r="AW54" s="475">
        <v>43495</v>
      </c>
      <c r="AX54" s="475">
        <v>43496</v>
      </c>
    </row>
    <row r="55" spans="1:57" s="54" customFormat="1" ht="36.75" customHeight="1" thickBot="1">
      <c r="B55" s="481"/>
      <c r="C55" s="479"/>
      <c r="D55" s="442"/>
      <c r="E55" s="443"/>
      <c r="F55" s="444"/>
      <c r="G55" s="445"/>
      <c r="H55" s="458"/>
      <c r="I55" s="458"/>
      <c r="J55" s="448"/>
      <c r="K55" s="449"/>
      <c r="L55" s="457" t="e">
        <f>(((D55+E55)-G55)/(D55+E55))*100</f>
        <v>#DIV/0!</v>
      </c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[14]January_2019!L5</f>
        <v>0</v>
      </c>
      <c r="AC55" s="57">
        <f>[14]January_2019!M5</f>
        <v>0</v>
      </c>
      <c r="AD55" s="57">
        <f>[14]January_2019!N5</f>
        <v>0</v>
      </c>
      <c r="AE55" s="57">
        <f>[14]January_2019!O5</f>
        <v>0</v>
      </c>
      <c r="AF55" s="57">
        <f>[14]January_2019!P5</f>
        <v>0</v>
      </c>
      <c r="AG55" s="57">
        <f>[14]January_2019!Q5</f>
        <v>0</v>
      </c>
      <c r="AH55" s="57">
        <f>[14]January_2019!R5</f>
        <v>0</v>
      </c>
      <c r="AI55" s="57">
        <f>[14]January_2019!S5</f>
        <v>0</v>
      </c>
      <c r="AJ55" s="57">
        <f>[14]January_2019!T5</f>
        <v>0</v>
      </c>
      <c r="AK55" s="57">
        <f>[14]January_2019!U5</f>
        <v>0</v>
      </c>
      <c r="AL55" s="57">
        <f>[14]January_2019!V5</f>
        <v>0</v>
      </c>
      <c r="AM55" s="57">
        <f>[14]January_2019!W5</f>
        <v>0</v>
      </c>
      <c r="AN55" s="57">
        <f>[14]January_2019!X5</f>
        <v>0</v>
      </c>
      <c r="AO55" s="57">
        <f>[14]January_2019!Y5</f>
        <v>0</v>
      </c>
      <c r="AP55" s="57">
        <f>[14]January_2019!Z5</f>
        <v>0</v>
      </c>
      <c r="AQ55" s="57">
        <f>[14]January_2019!AA5</f>
        <v>0</v>
      </c>
      <c r="AR55" s="57">
        <f>[14]January_2019!AB5</f>
        <v>0</v>
      </c>
      <c r="AS55" s="57">
        <f>[14]January_2019!AC5</f>
        <v>0</v>
      </c>
      <c r="AT55" s="57">
        <f>[14]January_2019!AD5</f>
        <v>0</v>
      </c>
      <c r="AU55" s="57">
        <f>[14]January_2019!AE5</f>
        <v>0</v>
      </c>
      <c r="AV55" s="57">
        <f>[14]January_2019!AF5</f>
        <v>0</v>
      </c>
      <c r="AW55" s="57">
        <f>[14]January_2019!AG5</f>
        <v>0</v>
      </c>
      <c r="AX55" s="277">
        <f>[14]January_2019!AH5</f>
        <v>0</v>
      </c>
      <c r="AY55" s="277"/>
      <c r="AZ55" s="277"/>
      <c r="BA55" s="277"/>
      <c r="BB55" s="277"/>
      <c r="BC55" s="277"/>
      <c r="BD55" s="277"/>
      <c r="BE55" s="277"/>
    </row>
    <row r="56" spans="1:57" s="54" customFormat="1" ht="14.25" customHeight="1" thickBot="1">
      <c r="B56" s="480"/>
      <c r="C56" s="479"/>
      <c r="D56" s="442"/>
      <c r="E56" s="443"/>
      <c r="F56" s="444"/>
      <c r="G56" s="445"/>
      <c r="H56" s="458"/>
      <c r="I56" s="458"/>
      <c r="J56" s="476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[14]January_2019!L6</f>
        <v>0</v>
      </c>
      <c r="AC56" s="57">
        <f>[14]January_2019!M6</f>
        <v>0</v>
      </c>
      <c r="AD56" s="57">
        <f>[14]January_2019!N6</f>
        <v>0</v>
      </c>
      <c r="AE56" s="57">
        <f>[14]January_2019!O6</f>
        <v>0</v>
      </c>
      <c r="AF56" s="57">
        <f>[14]January_2019!P6</f>
        <v>0</v>
      </c>
      <c r="AG56" s="57">
        <f>[14]January_2019!Q6</f>
        <v>0</v>
      </c>
      <c r="AH56" s="57">
        <f>[14]January_2019!R6</f>
        <v>0</v>
      </c>
      <c r="AI56" s="57">
        <f>[14]January_2019!S6</f>
        <v>0</v>
      </c>
      <c r="AJ56" s="57">
        <f>[14]January_2019!T6</f>
        <v>0</v>
      </c>
      <c r="AK56" s="57">
        <f>[14]January_2019!U6</f>
        <v>0</v>
      </c>
      <c r="AL56" s="57">
        <f>[14]January_2019!V6</f>
        <v>0</v>
      </c>
      <c r="AM56" s="57">
        <f>[14]January_2019!W6</f>
        <v>0</v>
      </c>
      <c r="AN56" s="57">
        <f>[14]January_2019!X6</f>
        <v>0</v>
      </c>
      <c r="AO56" s="57">
        <f>[14]January_2019!Y6</f>
        <v>0</v>
      </c>
      <c r="AP56" s="57">
        <f>[14]January_2019!Z6</f>
        <v>0</v>
      </c>
      <c r="AQ56" s="57">
        <f>[14]January_2019!AA6</f>
        <v>0</v>
      </c>
      <c r="AR56" s="57">
        <f>[14]January_2019!AB6</f>
        <v>0</v>
      </c>
      <c r="AS56" s="57">
        <f>[14]January_2019!AC6</f>
        <v>0</v>
      </c>
      <c r="AT56" s="57">
        <f>[14]January_2019!AD6</f>
        <v>0</v>
      </c>
      <c r="AU56" s="57">
        <f>[14]January_2019!AE6</f>
        <v>0</v>
      </c>
      <c r="AV56" s="57">
        <f>[14]January_2019!AF6</f>
        <v>0</v>
      </c>
      <c r="AW56" s="57">
        <f>[14]January_2019!AG6</f>
        <v>0</v>
      </c>
      <c r="AX56" s="277">
        <f>[14]January_2019!AH6</f>
        <v>0</v>
      </c>
      <c r="AY56" s="277"/>
      <c r="AZ56" s="277"/>
      <c r="BA56" s="277"/>
      <c r="BB56" s="277"/>
      <c r="BC56" s="277"/>
      <c r="BD56" s="277"/>
      <c r="BE56" s="277"/>
    </row>
    <row r="57" spans="1:57" s="54" customFormat="1" ht="37.15" hidden="1" customHeight="1" thickBot="1">
      <c r="A57" s="54" t="s">
        <v>168</v>
      </c>
      <c r="B57" s="480"/>
      <c r="C57" s="479"/>
      <c r="D57" s="442"/>
      <c r="E57" s="443"/>
      <c r="F57" s="444"/>
      <c r="G57" s="445"/>
      <c r="H57" s="458"/>
      <c r="I57" s="458"/>
      <c r="J57" s="448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[14]January_2019!L7</f>
        <v>285.8</v>
      </c>
      <c r="AC57" s="57">
        <f>[14]January_2019!M7</f>
        <v>508.1</v>
      </c>
      <c r="AD57" s="57">
        <f>[14]January_2019!N7</f>
        <v>0</v>
      </c>
      <c r="AE57" s="57">
        <f>[14]January_2019!O7</f>
        <v>0</v>
      </c>
      <c r="AF57" s="57">
        <f>[14]January_2019!P7</f>
        <v>109.56666666666666</v>
      </c>
      <c r="AG57" s="57">
        <f>[14]January_2019!Q7</f>
        <v>297.64999999999998</v>
      </c>
      <c r="AH57" s="57">
        <f>[14]January_2019!R7</f>
        <v>122.3</v>
      </c>
      <c r="AI57" s="57">
        <f>[14]January_2019!S7</f>
        <v>0</v>
      </c>
      <c r="AJ57" s="57">
        <f>[14]January_2019!T7</f>
        <v>294.7</v>
      </c>
      <c r="AK57" s="57">
        <f>[14]January_2019!U7</f>
        <v>280.5</v>
      </c>
      <c r="AL57" s="57">
        <f>[14]January_2019!V7</f>
        <v>0</v>
      </c>
      <c r="AM57" s="57">
        <f>[14]January_2019!W7</f>
        <v>0</v>
      </c>
      <c r="AN57" s="57">
        <f>[14]January_2019!X7</f>
        <v>188.25</v>
      </c>
      <c r="AO57" s="57">
        <f>[14]January_2019!Y7</f>
        <v>295.7</v>
      </c>
      <c r="AP57" s="57">
        <f>[14]January_2019!Z7</f>
        <v>257.8</v>
      </c>
      <c r="AQ57" s="57">
        <f>[14]January_2019!AA7</f>
        <v>291.2</v>
      </c>
      <c r="AR57" s="57">
        <f>[14]January_2019!AB7</f>
        <v>187</v>
      </c>
      <c r="AS57" s="57">
        <f>[14]January_2019!AC7</f>
        <v>0</v>
      </c>
      <c r="AT57" s="57">
        <f>[14]January_2019!AD7</f>
        <v>0</v>
      </c>
      <c r="AU57" s="57">
        <f>[14]January_2019!AE7</f>
        <v>485.1</v>
      </c>
      <c r="AV57" s="57">
        <f>[14]January_2019!AF7</f>
        <v>171.55</v>
      </c>
      <c r="AW57" s="57">
        <f>[14]January_2019!AG7</f>
        <v>423.8</v>
      </c>
      <c r="AX57" s="277">
        <f>[14]January_2019!AH7</f>
        <v>0</v>
      </c>
      <c r="AY57" s="277"/>
      <c r="AZ57" s="277"/>
      <c r="BA57" s="277"/>
      <c r="BB57" s="277"/>
      <c r="BC57" s="277"/>
      <c r="BD57" s="277"/>
      <c r="BE57" s="277"/>
    </row>
    <row r="58" spans="1:57" s="54" customFormat="1" ht="19.5" hidden="1" customHeight="1" thickBot="1">
      <c r="B58" s="478"/>
      <c r="C58" s="430"/>
      <c r="D58" s="431"/>
      <c r="E58" s="432"/>
      <c r="F58" s="433"/>
      <c r="G58" s="434"/>
      <c r="H58" s="458"/>
      <c r="I58" s="458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1:57" s="54" customFormat="1" ht="38.450000000000003" hidden="1" customHeight="1" thickBot="1">
      <c r="B59" s="480"/>
      <c r="C59" s="479"/>
      <c r="D59" s="442"/>
      <c r="E59" s="443"/>
      <c r="F59" s="444"/>
      <c r="G59" s="445"/>
      <c r="H59" s="458"/>
      <c r="I59" s="458"/>
      <c r="J59" s="448" t="s">
        <v>171</v>
      </c>
      <c r="K59" s="459"/>
      <c r="L59" s="457" t="e">
        <f>(((D59+E59)-G59)/(D59+E59))*100</f>
        <v>#DIV/0!</v>
      </c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1:57" s="54" customFormat="1" ht="15" hidden="1">
      <c r="B60" s="453"/>
      <c r="C60" s="430"/>
      <c r="D60" s="431"/>
      <c r="E60" s="432"/>
      <c r="F60" s="433"/>
      <c r="G60" s="434"/>
      <c r="H60" s="435"/>
      <c r="I60" s="450"/>
      <c r="J60" s="451"/>
      <c r="K60" s="436"/>
      <c r="L60" s="452"/>
      <c r="M60" s="421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1:57" s="54" customFormat="1" ht="37.15" hidden="1" customHeight="1" thickBot="1">
      <c r="B61" s="480"/>
      <c r="C61" s="479"/>
      <c r="D61" s="442"/>
      <c r="E61" s="443"/>
      <c r="F61" s="444"/>
      <c r="G61" s="445"/>
      <c r="H61" s="446"/>
      <c r="I61" s="447"/>
      <c r="J61" s="448"/>
      <c r="K61" s="44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1:57" s="54" customFormat="1" ht="16.5" hidden="1" customHeight="1" thickBot="1">
      <c r="B62" s="437"/>
      <c r="C62" s="423"/>
      <c r="D62" s="424"/>
      <c r="E62" s="425"/>
      <c r="F62" s="426"/>
      <c r="G62" s="427"/>
      <c r="H62" s="428"/>
      <c r="I62" s="438"/>
      <c r="J62" s="439"/>
      <c r="K62" s="429"/>
      <c r="L62" s="440"/>
      <c r="M62" s="422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415"/>
      <c r="AC62" s="415"/>
      <c r="AD62" s="415"/>
      <c r="AE62" s="415"/>
      <c r="AF62" s="415"/>
      <c r="AG62" s="415"/>
      <c r="AH62" s="415"/>
      <c r="AI62" s="415"/>
      <c r="AJ62" s="415"/>
      <c r="AK62" s="415"/>
      <c r="AL62" s="415"/>
      <c r="AM62" s="415"/>
      <c r="AN62" s="415"/>
      <c r="AO62" s="415"/>
      <c r="AP62" s="415"/>
      <c r="AQ62" s="415"/>
      <c r="AR62" s="415"/>
      <c r="AS62" s="415"/>
      <c r="AT62" s="415"/>
      <c r="AU62" s="415"/>
      <c r="AV62" s="415"/>
      <c r="AW62" s="415"/>
    </row>
    <row r="63" spans="1:57" s="54" customFormat="1" ht="37.15" hidden="1" customHeight="1" thickBot="1">
      <c r="B63" s="456"/>
      <c r="C63" s="441"/>
      <c r="D63" s="442"/>
      <c r="E63" s="443"/>
      <c r="F63" s="444"/>
      <c r="G63" s="445"/>
      <c r="H63" s="446"/>
      <c r="I63" s="447"/>
      <c r="J63" s="448"/>
      <c r="K63" s="449"/>
      <c r="L63" s="457"/>
      <c r="M63" s="454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1:57" s="54" customFormat="1" ht="37.15" customHeight="1">
      <c r="B64" s="466"/>
      <c r="C64" s="430"/>
      <c r="D64" s="460"/>
      <c r="E64" s="461"/>
      <c r="F64" s="462"/>
      <c r="G64" s="460"/>
      <c r="H64" s="463"/>
      <c r="I64" s="463"/>
      <c r="J64" s="463"/>
      <c r="K64" s="464"/>
      <c r="L64" s="465"/>
      <c r="M64" s="50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16" ht="18" customHeight="1" thickBot="1">
      <c r="B65" s="59"/>
      <c r="C65" s="30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 t="s">
        <v>41</v>
      </c>
      <c r="O65" s="56"/>
      <c r="P65" s="60"/>
    </row>
    <row r="66" spans="2:16" ht="15.75" thickBot="1">
      <c r="B66" s="498" t="s">
        <v>55</v>
      </c>
      <c r="C66" s="499"/>
      <c r="D66" s="499"/>
      <c r="E66" s="499"/>
      <c r="F66" s="500"/>
      <c r="G66" s="498" t="s">
        <v>56</v>
      </c>
      <c r="H66" s="499"/>
      <c r="I66" s="499"/>
      <c r="J66" s="500"/>
      <c r="K66" s="498" t="s">
        <v>51</v>
      </c>
      <c r="L66" s="499"/>
      <c r="M66" s="499"/>
      <c r="N66" s="501"/>
      <c r="O66" s="56"/>
      <c r="P66" s="50"/>
    </row>
    <row r="67" spans="2:16" ht="15">
      <c r="B67" s="61" t="s">
        <v>17</v>
      </c>
      <c r="C67" s="62" t="s">
        <v>36</v>
      </c>
      <c r="D67" s="62" t="s">
        <v>37</v>
      </c>
      <c r="E67" s="62" t="s">
        <v>38</v>
      </c>
      <c r="F67" s="63" t="s">
        <v>39</v>
      </c>
      <c r="G67" s="62" t="s">
        <v>36</v>
      </c>
      <c r="H67" s="62" t="s">
        <v>37</v>
      </c>
      <c r="I67" s="62" t="s">
        <v>38</v>
      </c>
      <c r="J67" s="63" t="s">
        <v>39</v>
      </c>
      <c r="K67" s="62"/>
      <c r="L67" s="62" t="s">
        <v>37</v>
      </c>
      <c r="M67" s="62" t="s">
        <v>38</v>
      </c>
      <c r="N67" s="63" t="s">
        <v>39</v>
      </c>
      <c r="O67" s="56"/>
      <c r="P67" s="64"/>
    </row>
    <row r="68" spans="2:16" ht="15">
      <c r="B68" s="29" t="s">
        <v>6</v>
      </c>
      <c r="C68" s="282"/>
      <c r="D68" s="76"/>
      <c r="E68" s="76"/>
      <c r="F68" s="66">
        <v>4.8</v>
      </c>
      <c r="G68" s="65"/>
      <c r="H68" s="477"/>
      <c r="I68" s="477"/>
      <c r="J68" s="66">
        <v>4.8</v>
      </c>
      <c r="K68" s="67"/>
      <c r="L68" s="194"/>
      <c r="M68" s="194"/>
      <c r="N68" s="68">
        <v>1</v>
      </c>
      <c r="O68" s="56"/>
      <c r="P68" s="69"/>
    </row>
    <row r="69" spans="2:16" ht="15">
      <c r="B69" s="33" t="s">
        <v>9</v>
      </c>
      <c r="C69" s="65"/>
      <c r="D69" s="76"/>
      <c r="E69" s="76"/>
      <c r="F69" s="66">
        <v>4.8</v>
      </c>
      <c r="G69" s="65"/>
      <c r="H69" s="76"/>
      <c r="I69" s="76"/>
      <c r="J69" s="66">
        <v>4.8</v>
      </c>
      <c r="K69" s="67"/>
      <c r="L69" s="194"/>
      <c r="M69" s="194"/>
      <c r="N69" s="68">
        <v>1</v>
      </c>
      <c r="P69" s="69"/>
    </row>
    <row r="70" spans="2:16" ht="15">
      <c r="B70" s="34" t="s">
        <v>40</v>
      </c>
      <c r="C70" s="65"/>
      <c r="D70" s="76"/>
      <c r="E70" s="76"/>
      <c r="F70" s="66">
        <v>5.5</v>
      </c>
      <c r="G70" s="483"/>
      <c r="H70" s="76"/>
      <c r="I70" s="76"/>
      <c r="J70" s="66">
        <v>5.5</v>
      </c>
      <c r="K70" s="67"/>
      <c r="L70" s="194"/>
      <c r="M70" s="194"/>
      <c r="N70" s="68">
        <v>1</v>
      </c>
      <c r="P70" s="69"/>
    </row>
    <row r="71" spans="2:16" ht="15">
      <c r="B71" s="22" t="s">
        <v>33</v>
      </c>
      <c r="C71" s="65"/>
      <c r="D71" s="76"/>
      <c r="E71" s="76"/>
      <c r="F71" s="66">
        <v>3.3</v>
      </c>
      <c r="G71" s="65"/>
      <c r="H71" s="76"/>
      <c r="I71" s="76"/>
      <c r="J71" s="66">
        <v>3.3</v>
      </c>
      <c r="K71" s="67"/>
      <c r="L71" s="194"/>
      <c r="M71" s="194"/>
      <c r="N71" s="68">
        <v>1</v>
      </c>
      <c r="P71" s="69"/>
    </row>
    <row r="72" spans="2:16" ht="15">
      <c r="B72" s="35" t="s">
        <v>164</v>
      </c>
      <c r="C72" s="65"/>
      <c r="D72" s="76"/>
      <c r="E72" s="76"/>
      <c r="F72" s="66">
        <v>3.3</v>
      </c>
      <c r="G72" s="282"/>
      <c r="H72" s="76"/>
      <c r="I72" s="76"/>
      <c r="J72" s="66">
        <v>3</v>
      </c>
      <c r="K72" s="67"/>
      <c r="L72" s="194"/>
      <c r="M72" s="194"/>
      <c r="N72" s="68">
        <v>1</v>
      </c>
      <c r="P72" s="69"/>
    </row>
    <row r="73" spans="2:16" ht="15">
      <c r="B73" s="36" t="s">
        <v>15</v>
      </c>
      <c r="C73" s="65"/>
      <c r="D73" s="76"/>
      <c r="E73" s="76"/>
      <c r="F73" s="70">
        <f>[15]May_2022!$M$43</f>
        <v>3.4878406700073312</v>
      </c>
      <c r="G73" s="282"/>
      <c r="H73" s="76"/>
      <c r="I73" s="76"/>
      <c r="J73" s="66">
        <v>5.5</v>
      </c>
      <c r="K73" s="67"/>
      <c r="L73" s="194"/>
      <c r="M73" s="194"/>
      <c r="N73" s="68">
        <v>1</v>
      </c>
      <c r="P73" s="69"/>
    </row>
    <row r="74" spans="2:16" ht="15">
      <c r="B74" s="37" t="s">
        <v>16</v>
      </c>
      <c r="C74" s="65"/>
      <c r="D74" s="76"/>
      <c r="E74" s="76"/>
      <c r="F74" s="66">
        <v>3.3</v>
      </c>
      <c r="G74" s="282"/>
      <c r="H74" s="76"/>
      <c r="I74" s="76"/>
      <c r="J74" s="66">
        <v>3.3</v>
      </c>
      <c r="K74" s="67"/>
      <c r="L74" s="194"/>
      <c r="M74" s="194"/>
      <c r="N74" s="71">
        <v>1</v>
      </c>
      <c r="P74" s="69"/>
    </row>
    <row r="75" spans="2:16" ht="15.75" thickBot="1">
      <c r="B75" s="38" t="s">
        <v>163</v>
      </c>
      <c r="C75" s="65"/>
      <c r="D75" s="76"/>
      <c r="E75" s="76"/>
      <c r="F75" s="66">
        <v>7.5</v>
      </c>
      <c r="G75" s="282"/>
      <c r="H75" s="76"/>
      <c r="I75" s="76"/>
      <c r="J75" s="66">
        <v>7.5</v>
      </c>
      <c r="K75" s="67"/>
      <c r="L75" s="194"/>
      <c r="M75" s="194"/>
      <c r="N75" s="71">
        <v>1</v>
      </c>
      <c r="P75" s="69"/>
    </row>
    <row r="76" spans="2:16" ht="15.75" thickBot="1">
      <c r="B76" s="414" t="s">
        <v>161</v>
      </c>
      <c r="C76" s="65"/>
      <c r="D76" s="76"/>
      <c r="E76" s="76"/>
      <c r="F76" s="66">
        <v>4.8</v>
      </c>
      <c r="G76" s="282"/>
      <c r="H76" s="76"/>
      <c r="I76" s="76"/>
      <c r="J76" s="66">
        <v>4.8</v>
      </c>
      <c r="K76" s="67"/>
      <c r="L76" s="194"/>
      <c r="M76" s="194"/>
      <c r="N76" s="71">
        <v>1</v>
      </c>
      <c r="O76" s="74"/>
      <c r="P76" s="75"/>
    </row>
    <row r="77" spans="2:16" ht="15">
      <c r="D77" s="76"/>
      <c r="E77" s="76"/>
      <c r="F77" s="341">
        <v>5.5</v>
      </c>
      <c r="H77" s="76"/>
      <c r="I77" s="76"/>
      <c r="J77" s="341">
        <v>5.5</v>
      </c>
      <c r="L77" s="194"/>
      <c r="M77" s="194"/>
      <c r="N77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4:N24"/>
    <mergeCell ref="D25:E25"/>
    <mergeCell ref="B26:B37"/>
    <mergeCell ref="D26:E27"/>
    <mergeCell ref="D28:E29"/>
    <mergeCell ref="D30:E31"/>
    <mergeCell ref="D32:E33"/>
    <mergeCell ref="D34:E35"/>
    <mergeCell ref="D36:E37"/>
    <mergeCell ref="B38:B47"/>
    <mergeCell ref="D38:E39"/>
    <mergeCell ref="J38:K38"/>
    <mergeCell ref="L39:N39"/>
    <mergeCell ref="D40:E41"/>
    <mergeCell ref="D42:E43"/>
    <mergeCell ref="D44:E45"/>
    <mergeCell ref="D46:E47"/>
    <mergeCell ref="D48:E48"/>
    <mergeCell ref="B53:B54"/>
    <mergeCell ref="C53:C54"/>
    <mergeCell ref="D53:D54"/>
    <mergeCell ref="E53:E54"/>
    <mergeCell ref="M53:M54"/>
    <mergeCell ref="B66:F66"/>
    <mergeCell ref="G66:J66"/>
    <mergeCell ref="K66:N66"/>
    <mergeCell ref="G53:G54"/>
    <mergeCell ref="H53:H54"/>
    <mergeCell ref="I53:I54"/>
    <mergeCell ref="J53:J54"/>
    <mergeCell ref="K53:K54"/>
    <mergeCell ref="L53:L54"/>
    <mergeCell ref="F53:F54"/>
  </mergeCells>
  <conditionalFormatting sqref="B48:B49">
    <cfRule type="cellIs" dxfId="3299" priority="69" operator="notBetween">
      <formula>#REF!</formula>
      <formula>#REF!</formula>
    </cfRule>
  </conditionalFormatting>
  <conditionalFormatting sqref="C52">
    <cfRule type="cellIs" dxfId="3298" priority="163" stopIfTrue="1" operator="lessThan">
      <formula>96</formula>
    </cfRule>
    <cfRule type="cellIs" dxfId="3297" priority="164" stopIfTrue="1" operator="greaterThan">
      <formula>100</formula>
    </cfRule>
  </conditionalFormatting>
  <conditionalFormatting sqref="C68:C72">
    <cfRule type="cellIs" dxfId="3296" priority="132" stopIfTrue="1" operator="lessThanOrEqual">
      <formula>0</formula>
    </cfRule>
  </conditionalFormatting>
  <conditionalFormatting sqref="C68:C76">
    <cfRule type="cellIs" dxfId="3295" priority="131" stopIfTrue="1" operator="greaterThan">
      <formula>$F68</formula>
    </cfRule>
  </conditionalFormatting>
  <conditionalFormatting sqref="C69">
    <cfRule type="cellIs" dxfId="3294" priority="165" stopIfTrue="1" operator="greaterThan">
      <formula>$F68</formula>
    </cfRule>
  </conditionalFormatting>
  <conditionalFormatting sqref="C73">
    <cfRule type="cellIs" dxfId="3293" priority="94" stopIfTrue="1" operator="greaterThan">
      <formula>$F72</formula>
    </cfRule>
    <cfRule type="cellIs" dxfId="3292" priority="93" stopIfTrue="1" operator="lessThanOrEqual">
      <formula>0</formula>
    </cfRule>
  </conditionalFormatting>
  <conditionalFormatting sqref="C74:C76">
    <cfRule type="cellIs" dxfId="3291" priority="133" stopIfTrue="1" operator="lessThanOrEqual">
      <formula>0</formula>
    </cfRule>
  </conditionalFormatting>
  <conditionalFormatting sqref="C79:C83">
    <cfRule type="cellIs" dxfId="3290" priority="155" stopIfTrue="1" operator="lessThanOrEqual">
      <formula>0</formula>
    </cfRule>
  </conditionalFormatting>
  <conditionalFormatting sqref="C80:C83">
    <cfRule type="cellIs" dxfId="3289" priority="154" stopIfTrue="1" operator="greaterThan">
      <formula>$F$79</formula>
    </cfRule>
  </conditionalFormatting>
  <conditionalFormatting sqref="C85">
    <cfRule type="cellIs" dxfId="3288" priority="157" stopIfTrue="1" operator="lessThanOrEqual">
      <formula>0</formula>
    </cfRule>
    <cfRule type="cellIs" dxfId="3287" priority="156" stopIfTrue="1" operator="greaterThan">
      <formula>$F$79</formula>
    </cfRule>
  </conditionalFormatting>
  <conditionalFormatting sqref="C79:D79 D81:D87">
    <cfRule type="cellIs" dxfId="3286" priority="149" stopIfTrue="1" operator="greaterThan">
      <formula>4.5</formula>
    </cfRule>
  </conditionalFormatting>
  <conditionalFormatting sqref="D48:D49">
    <cfRule type="cellIs" dxfId="3285" priority="70" operator="notBetween">
      <formula>#REF!</formula>
      <formula>#REF!</formula>
    </cfRule>
  </conditionalFormatting>
  <conditionalFormatting sqref="D68:D75">
    <cfRule type="cellIs" dxfId="3284" priority="44" stopIfTrue="1" operator="lessThanOrEqual">
      <formula>0</formula>
    </cfRule>
  </conditionalFormatting>
  <conditionalFormatting sqref="D68:D77">
    <cfRule type="cellIs" dxfId="3283" priority="23" stopIfTrue="1" operator="lessThanOrEqual">
      <formula>0</formula>
    </cfRule>
  </conditionalFormatting>
  <conditionalFormatting sqref="D76">
    <cfRule type="cellIs" dxfId="3282" priority="43" stopIfTrue="1" operator="lessThanOrEqual">
      <formula>0</formula>
    </cfRule>
  </conditionalFormatting>
  <conditionalFormatting sqref="D77">
    <cfRule type="cellIs" dxfId="3281" priority="38" stopIfTrue="1" operator="lessThanOrEqual">
      <formula>0</formula>
    </cfRule>
  </conditionalFormatting>
  <conditionalFormatting sqref="D79 D81:D87">
    <cfRule type="cellIs" dxfId="3280" priority="150" stopIfTrue="1" operator="lessThanOrEqual">
      <formula>0</formula>
    </cfRule>
  </conditionalFormatting>
  <conditionalFormatting sqref="D80">
    <cfRule type="cellIs" dxfId="3279" priority="142" stopIfTrue="1" operator="lessThanOrEqual">
      <formula>0</formula>
    </cfRule>
    <cfRule type="cellIs" dxfId="3278" priority="141" stopIfTrue="1" operator="greaterThan">
      <formula>$F$79</formula>
    </cfRule>
  </conditionalFormatting>
  <conditionalFormatting sqref="D68:E77">
    <cfRule type="cellIs" dxfId="3277" priority="25" stopIfTrue="1" operator="greaterThan">
      <formula>$F68</formula>
    </cfRule>
  </conditionalFormatting>
  <conditionalFormatting sqref="D77:E77">
    <cfRule type="cellIs" dxfId="3276" priority="27" stopIfTrue="1" operator="lessThanOrEqual">
      <formula>0</formula>
    </cfRule>
  </conditionalFormatting>
  <conditionalFormatting sqref="E10:E23">
    <cfRule type="cellIs" dxfId="3275" priority="7" operator="lessThan">
      <formula>48</formula>
    </cfRule>
  </conditionalFormatting>
  <conditionalFormatting sqref="E51 E52:F52">
    <cfRule type="cellIs" dxfId="3274" priority="146" stopIfTrue="1" operator="greaterThan">
      <formula>100</formula>
    </cfRule>
  </conditionalFormatting>
  <conditionalFormatting sqref="E52">
    <cfRule type="cellIs" dxfId="3273" priority="143" stopIfTrue="1" operator="lessThan">
      <formula>96.8</formula>
    </cfRule>
    <cfRule type="cellIs" dxfId="3272" priority="144" stopIfTrue="1" operator="greaterThan">
      <formula>100</formula>
    </cfRule>
  </conditionalFormatting>
  <conditionalFormatting sqref="E68:E76">
    <cfRule type="cellIs" dxfId="3271" priority="24" stopIfTrue="1" operator="lessThanOrEqual">
      <formula>0</formula>
    </cfRule>
  </conditionalFormatting>
  <conditionalFormatting sqref="E68:E77">
    <cfRule type="cellIs" dxfId="3270" priority="26" stopIfTrue="1" operator="lessThanOrEqual">
      <formula>0</formula>
    </cfRule>
  </conditionalFormatting>
  <conditionalFormatting sqref="E79:E87">
    <cfRule type="cellIs" dxfId="3269" priority="135" stopIfTrue="1" operator="greaterThan">
      <formula>4.5</formula>
    </cfRule>
    <cfRule type="cellIs" dxfId="3268" priority="136" stopIfTrue="1" operator="lessThanOrEqual">
      <formula>0</formula>
    </cfRule>
  </conditionalFormatting>
  <conditionalFormatting sqref="E52:F52 E51">
    <cfRule type="cellIs" dxfId="3267" priority="145" stopIfTrue="1" operator="lessThan">
      <formula>96.5</formula>
    </cfRule>
  </conditionalFormatting>
  <conditionalFormatting sqref="F10:F17">
    <cfRule type="cellIs" dxfId="3266" priority="12" operator="greaterThan">
      <formula>60</formula>
    </cfRule>
  </conditionalFormatting>
  <conditionalFormatting sqref="F20:F23">
    <cfRule type="cellIs" dxfId="3265" priority="19" operator="greaterThan">
      <formula>60</formula>
    </cfRule>
  </conditionalFormatting>
  <conditionalFormatting sqref="F52">
    <cfRule type="cellIs" dxfId="3264" priority="162" stopIfTrue="1" operator="greaterThan">
      <formula>100</formula>
    </cfRule>
    <cfRule type="cellIs" dxfId="3263" priority="161" stopIfTrue="1" operator="lessThan">
      <formula>96.8</formula>
    </cfRule>
  </conditionalFormatting>
  <conditionalFormatting sqref="F77">
    <cfRule type="cellIs" dxfId="3262" priority="41" stopIfTrue="1" operator="greaterThan">
      <formula>$F77</formula>
    </cfRule>
    <cfRule type="cellIs" dxfId="3261" priority="42" stopIfTrue="1" operator="lessThanOrEqual">
      <formula>0</formula>
    </cfRule>
  </conditionalFormatting>
  <conditionalFormatting sqref="G10:G17">
    <cfRule type="expression" dxfId="3260" priority="9">
      <formula>IF(+(IF(G10&lt;S10,0,IF(G10&gt;T10,0,1)))=0,1)</formula>
    </cfRule>
  </conditionalFormatting>
  <conditionalFormatting sqref="G20">
    <cfRule type="expression" dxfId="3259" priority="166">
      <formula>IF(+(IF(G20&lt;S19,0,IF(G20&gt;T19,0,1)))=0,1)</formula>
    </cfRule>
  </conditionalFormatting>
  <conditionalFormatting sqref="G21:G23">
    <cfRule type="expression" dxfId="3258" priority="16">
      <formula>IF(+(IF(G21&lt;S21,0,IF(G21&gt;T21,0,1)))=0,1)</formula>
    </cfRule>
  </conditionalFormatting>
  <conditionalFormatting sqref="G68:G69">
    <cfRule type="cellIs" dxfId="3257" priority="40" stopIfTrue="1" operator="lessThanOrEqual">
      <formula>0</formula>
    </cfRule>
    <cfRule type="cellIs" dxfId="3256" priority="46" stopIfTrue="1" operator="lessThanOrEqual">
      <formula>0</formula>
    </cfRule>
    <cfRule type="cellIs" dxfId="3255" priority="39" stopIfTrue="1" operator="greaterThan">
      <formula>$F68</formula>
    </cfRule>
    <cfRule type="cellIs" dxfId="3254" priority="45" stopIfTrue="1" operator="greaterThan">
      <formula>$F68</formula>
    </cfRule>
  </conditionalFormatting>
  <conditionalFormatting sqref="G70">
    <cfRule type="containsErrors" dxfId="3253" priority="14" stopIfTrue="1">
      <formula>ISERROR(G70)</formula>
    </cfRule>
  </conditionalFormatting>
  <conditionalFormatting sqref="G71">
    <cfRule type="cellIs" dxfId="3252" priority="31" stopIfTrue="1" operator="greaterThan">
      <formula>$F71</formula>
    </cfRule>
    <cfRule type="cellIs" dxfId="3251" priority="32" stopIfTrue="1" operator="lessThanOrEqual">
      <formula>0</formula>
    </cfRule>
    <cfRule type="cellIs" dxfId="3250" priority="33" stopIfTrue="1" operator="greaterThan">
      <formula>$F71</formula>
    </cfRule>
    <cfRule type="cellIs" dxfId="3249" priority="34" stopIfTrue="1" operator="lessThanOrEqual">
      <formula>0</formula>
    </cfRule>
  </conditionalFormatting>
  <conditionalFormatting sqref="G72:G76">
    <cfRule type="cellIs" dxfId="3248" priority="47" stopIfTrue="1" operator="greaterThan">
      <formula>$J72</formula>
    </cfRule>
    <cfRule type="cellIs" dxfId="3247" priority="48" stopIfTrue="1" operator="lessThanOrEqual">
      <formula>0</formula>
    </cfRule>
  </conditionalFormatting>
  <conditionalFormatting sqref="G81:G86 C84 C86">
    <cfRule type="cellIs" dxfId="3246" priority="159" stopIfTrue="1" operator="lessThanOrEqual">
      <formula>0</formula>
    </cfRule>
    <cfRule type="cellIs" dxfId="3245" priority="158" stopIfTrue="1" operator="greaterThan">
      <formula>4.5</formula>
    </cfRule>
  </conditionalFormatting>
  <conditionalFormatting sqref="G80:H80">
    <cfRule type="cellIs" dxfId="3244" priority="140" stopIfTrue="1" operator="lessThanOrEqual">
      <formula>0</formula>
    </cfRule>
    <cfRule type="cellIs" dxfId="3243" priority="139" stopIfTrue="1" operator="greaterThan">
      <formula>$F$79</formula>
    </cfRule>
  </conditionalFormatting>
  <conditionalFormatting sqref="H37:H38 H51">
    <cfRule type="cellIs" dxfId="3242" priority="137" stopIfTrue="1" operator="greaterThan">
      <formula>0</formula>
    </cfRule>
  </conditionalFormatting>
  <conditionalFormatting sqref="H55:H59">
    <cfRule type="cellIs" dxfId="3241" priority="62" stopIfTrue="1" operator="lessThanOrEqual">
      <formula>0</formula>
    </cfRule>
    <cfRule type="cellIs" dxfId="3240" priority="52" stopIfTrue="1" operator="lessThanOrEqual">
      <formula>0</formula>
    </cfRule>
    <cfRule type="cellIs" dxfId="3239" priority="61" stopIfTrue="1" operator="greaterThan">
      <formula>$F$71</formula>
    </cfRule>
    <cfRule type="cellIs" dxfId="3238" priority="63" stopIfTrue="1" operator="greaterThan">
      <formula>$F$69</formula>
    </cfRule>
    <cfRule type="cellIs" dxfId="3237" priority="64" stopIfTrue="1" operator="lessThanOrEqual">
      <formula>0</formula>
    </cfRule>
    <cfRule type="cellIs" dxfId="3236" priority="53" stopIfTrue="1" operator="greaterThan">
      <formula>$F$68</formula>
    </cfRule>
  </conditionalFormatting>
  <conditionalFormatting sqref="H60:H61">
    <cfRule type="cellIs" dxfId="3235" priority="96" stopIfTrue="1" operator="lessThanOrEqual">
      <formula>0</formula>
    </cfRule>
    <cfRule type="cellIs" dxfId="3234" priority="108" stopIfTrue="1" operator="lessThanOrEqual">
      <formula>0</formula>
    </cfRule>
    <cfRule type="cellIs" dxfId="3233" priority="107" stopIfTrue="1" operator="greaterThan">
      <formula>#REF!</formula>
    </cfRule>
    <cfRule type="cellIs" dxfId="3232" priority="105" stopIfTrue="1" operator="greaterThan">
      <formula>$F$23</formula>
    </cfRule>
    <cfRule type="cellIs" dxfId="3231" priority="106" stopIfTrue="1" operator="lessThanOrEqual">
      <formula>0</formula>
    </cfRule>
    <cfRule type="cellIs" dxfId="3230" priority="97" stopIfTrue="1" operator="greaterThan">
      <formula>#REF!</formula>
    </cfRule>
  </conditionalFormatting>
  <conditionalFormatting sqref="H62">
    <cfRule type="cellIs" dxfId="3229" priority="111" stopIfTrue="1" operator="greaterThan">
      <formula>$F$36</formula>
    </cfRule>
    <cfRule type="cellIs" dxfId="3228" priority="122" stopIfTrue="1" operator="lessThanOrEqual">
      <formula>0</formula>
    </cfRule>
    <cfRule type="cellIs" dxfId="3227" priority="110" stopIfTrue="1" operator="lessThanOrEqual">
      <formula>0</formula>
    </cfRule>
    <cfRule type="cellIs" dxfId="3226" priority="119" stopIfTrue="1" operator="greaterThan">
      <formula>$F$39</formula>
    </cfRule>
    <cfRule type="cellIs" dxfId="3225" priority="120" stopIfTrue="1" operator="lessThanOrEqual">
      <formula>0</formula>
    </cfRule>
    <cfRule type="cellIs" dxfId="3224" priority="121" stopIfTrue="1" operator="greaterThan">
      <formula>$F$37</formula>
    </cfRule>
  </conditionalFormatting>
  <conditionalFormatting sqref="H63:H64">
    <cfRule type="cellIs" dxfId="3223" priority="92" stopIfTrue="1" operator="lessThanOrEqual">
      <formula>0</formula>
    </cfRule>
    <cfRule type="cellIs" dxfId="3222" priority="81" stopIfTrue="1" operator="greaterThan">
      <formula>#REF!</formula>
    </cfRule>
    <cfRule type="cellIs" dxfId="3221" priority="80" stopIfTrue="1" operator="lessThanOrEqual">
      <formula>0</formula>
    </cfRule>
    <cfRule type="cellIs" dxfId="3220" priority="89" stopIfTrue="1" operator="greaterThan">
      <formula>$F$23</formula>
    </cfRule>
    <cfRule type="cellIs" dxfId="3219" priority="90" stopIfTrue="1" operator="lessThanOrEqual">
      <formula>0</formula>
    </cfRule>
    <cfRule type="cellIs" dxfId="3218" priority="91" stopIfTrue="1" operator="greaterThan">
      <formula>#REF!</formula>
    </cfRule>
  </conditionalFormatting>
  <conditionalFormatting sqref="H79 H81:H87">
    <cfRule type="cellIs" dxfId="3217" priority="151" stopIfTrue="1" operator="greaterThan">
      <formula>4.5</formula>
    </cfRule>
    <cfRule type="cellIs" dxfId="3216" priority="152" stopIfTrue="1" operator="lessThanOrEqual">
      <formula>0</formula>
    </cfRule>
  </conditionalFormatting>
  <conditionalFormatting sqref="H55:I59">
    <cfRule type="cellIs" dxfId="3215" priority="54" stopIfTrue="1" operator="lessThanOrEqual">
      <formula>0</formula>
    </cfRule>
    <cfRule type="cellIs" dxfId="3214" priority="51" stopIfTrue="1" operator="greaterThan">
      <formula>$F$70</formula>
    </cfRule>
  </conditionalFormatting>
  <conditionalFormatting sqref="H60:I61">
    <cfRule type="cellIs" dxfId="3213" priority="95" stopIfTrue="1" operator="greaterThan">
      <formula>#REF!</formula>
    </cfRule>
    <cfRule type="cellIs" dxfId="3212" priority="98" stopIfTrue="1" operator="lessThanOrEqual">
      <formula>0</formula>
    </cfRule>
  </conditionalFormatting>
  <conditionalFormatting sqref="H62:I62">
    <cfRule type="cellIs" dxfId="3211" priority="112" stopIfTrue="1" operator="lessThanOrEqual">
      <formula>0</formula>
    </cfRule>
    <cfRule type="cellIs" dxfId="3210" priority="109" stopIfTrue="1" operator="greaterThan">
      <formula>$F$38</formula>
    </cfRule>
  </conditionalFormatting>
  <conditionalFormatting sqref="H63:I64">
    <cfRule type="cellIs" dxfId="3209" priority="82" stopIfTrue="1" operator="lessThanOrEqual">
      <formula>0</formula>
    </cfRule>
    <cfRule type="cellIs" dxfId="3208" priority="79" stopIfTrue="1" operator="greaterThan">
      <formula>#REF!</formula>
    </cfRule>
  </conditionalFormatting>
  <conditionalFormatting sqref="H68:I75">
    <cfRule type="cellIs" dxfId="3207" priority="22" stopIfTrue="1" operator="lessThanOrEqual">
      <formula>0</formula>
    </cfRule>
    <cfRule type="cellIs" dxfId="3206" priority="21" stopIfTrue="1" operator="greaterThan">
      <formula>$J68</formula>
    </cfRule>
  </conditionalFormatting>
  <conditionalFormatting sqref="H76:I76">
    <cfRule type="cellIs" dxfId="3205" priority="30" operator="greaterThan">
      <formula>5.3</formula>
    </cfRule>
  </conditionalFormatting>
  <conditionalFormatting sqref="H77:I77">
    <cfRule type="cellIs" dxfId="3204" priority="29" stopIfTrue="1" operator="lessThanOrEqual">
      <formula>0</formula>
    </cfRule>
    <cfRule type="cellIs" dxfId="3203" priority="28" stopIfTrue="1" operator="greaterThan">
      <formula>$J77</formula>
    </cfRule>
  </conditionalFormatting>
  <conditionalFormatting sqref="I55:I59">
    <cfRule type="cellIs" dxfId="3202" priority="57" stopIfTrue="1" operator="greaterThan">
      <formula>$F$70</formula>
    </cfRule>
    <cfRule type="cellIs" dxfId="3201" priority="59" stopIfTrue="1" operator="greaterThan">
      <formula>$F$68</formula>
    </cfRule>
    <cfRule type="cellIs" dxfId="3200" priority="56" stopIfTrue="1" operator="lessThanOrEqual">
      <formula>0</formula>
    </cfRule>
    <cfRule type="cellIs" dxfId="3199" priority="55" stopIfTrue="1" operator="greaterThan">
      <formula>$F$68</formula>
    </cfRule>
    <cfRule type="cellIs" dxfId="3198" priority="58" stopIfTrue="1" operator="lessThanOrEqual">
      <formula>0</formula>
    </cfRule>
    <cfRule type="cellIs" dxfId="3197" priority="60" stopIfTrue="1" operator="lessThanOrEqual">
      <formula>0</formula>
    </cfRule>
  </conditionalFormatting>
  <conditionalFormatting sqref="I60:I61">
    <cfRule type="cellIs" dxfId="3196" priority="99" stopIfTrue="1" operator="greaterThan">
      <formula>#REF!</formula>
    </cfRule>
    <cfRule type="cellIs" dxfId="3195" priority="101" stopIfTrue="1" operator="greaterThan">
      <formula>#REF!</formula>
    </cfRule>
    <cfRule type="cellIs" dxfId="3194" priority="104" stopIfTrue="1" operator="lessThanOrEqual">
      <formula>0</formula>
    </cfRule>
    <cfRule type="cellIs" dxfId="3193" priority="103" stopIfTrue="1" operator="greaterThan">
      <formula>#REF!</formula>
    </cfRule>
    <cfRule type="cellIs" dxfId="3192" priority="102" stopIfTrue="1" operator="lessThanOrEqual">
      <formula>0</formula>
    </cfRule>
    <cfRule type="cellIs" dxfId="3191" priority="100" stopIfTrue="1" operator="lessThanOrEqual">
      <formula>0</formula>
    </cfRule>
  </conditionalFormatting>
  <conditionalFormatting sqref="I62">
    <cfRule type="cellIs" dxfId="3190" priority="116" stopIfTrue="1" operator="lessThanOrEqual">
      <formula>0</formula>
    </cfRule>
    <cfRule type="cellIs" dxfId="3189" priority="114" stopIfTrue="1" operator="lessThanOrEqual">
      <formula>0</formula>
    </cfRule>
    <cfRule type="cellIs" dxfId="3188" priority="113" stopIfTrue="1" operator="greaterThan">
      <formula>$F$36</formula>
    </cfRule>
    <cfRule type="cellIs" dxfId="3187" priority="115" stopIfTrue="1" operator="greaterThan">
      <formula>$F$38</formula>
    </cfRule>
    <cfRule type="cellIs" dxfId="3186" priority="118" stopIfTrue="1" operator="lessThanOrEqual">
      <formula>0</formula>
    </cfRule>
    <cfRule type="cellIs" dxfId="3185" priority="117" stopIfTrue="1" operator="greaterThan">
      <formula>$F$36</formula>
    </cfRule>
  </conditionalFormatting>
  <conditionalFormatting sqref="I63:I64">
    <cfRule type="cellIs" dxfId="3184" priority="87" stopIfTrue="1" operator="greaterThan">
      <formula>#REF!</formula>
    </cfRule>
    <cfRule type="cellIs" dxfId="3183" priority="88" stopIfTrue="1" operator="lessThanOrEqual">
      <formula>0</formula>
    </cfRule>
    <cfRule type="cellIs" dxfId="3182" priority="83" stopIfTrue="1" operator="greaterThan">
      <formula>#REF!</formula>
    </cfRule>
    <cfRule type="cellIs" dxfId="3181" priority="84" stopIfTrue="1" operator="lessThanOrEqual">
      <formula>0</formula>
    </cfRule>
    <cfRule type="cellIs" dxfId="3180" priority="85" stopIfTrue="1" operator="greaterThan">
      <formula>#REF!</formula>
    </cfRule>
    <cfRule type="cellIs" dxfId="3179" priority="86" stopIfTrue="1" operator="lessThanOrEqual">
      <formula>0</formula>
    </cfRule>
  </conditionalFormatting>
  <conditionalFormatting sqref="I79:I87">
    <cfRule type="cellIs" dxfId="3178" priority="148" stopIfTrue="1" operator="lessThanOrEqual">
      <formula>0</formula>
    </cfRule>
    <cfRule type="cellIs" dxfId="3177" priority="147" stopIfTrue="1" operator="greaterThan">
      <formula>4.5</formula>
    </cfRule>
  </conditionalFormatting>
  <conditionalFormatting sqref="I10:J23">
    <cfRule type="cellIs" dxfId="3176" priority="1" operator="lessThan">
      <formula>97.9</formula>
    </cfRule>
  </conditionalFormatting>
  <conditionalFormatting sqref="J26">
    <cfRule type="cellIs" dxfId="3175" priority="50" operator="lessThan">
      <formula>97.95</formula>
    </cfRule>
  </conditionalFormatting>
  <conditionalFormatting sqref="J28">
    <cfRule type="cellIs" dxfId="3174" priority="124" stopIfTrue="1" operator="lessThan">
      <formula>96.8</formula>
    </cfRule>
    <cfRule type="cellIs" dxfId="3173" priority="125" stopIfTrue="1" operator="greaterThan">
      <formula>100</formula>
    </cfRule>
    <cfRule type="cellIs" dxfId="3172" priority="126" operator="lessThan">
      <formula>98</formula>
    </cfRule>
  </conditionalFormatting>
  <conditionalFormatting sqref="J28:J30">
    <cfRule type="cellIs" dxfId="3171" priority="123" operator="lessThan">
      <formula>97.4</formula>
    </cfRule>
  </conditionalFormatting>
  <conditionalFormatting sqref="J31:J32">
    <cfRule type="cellIs" dxfId="3170" priority="127" operator="lessThan">
      <formula>98</formula>
    </cfRule>
  </conditionalFormatting>
  <conditionalFormatting sqref="J33:J34">
    <cfRule type="cellIs" dxfId="3169" priority="129" stopIfTrue="1" operator="greaterThan">
      <formula>100</formula>
    </cfRule>
    <cfRule type="cellIs" dxfId="3168" priority="128" stopIfTrue="1" operator="lessThan">
      <formula>96.8</formula>
    </cfRule>
  </conditionalFormatting>
  <conditionalFormatting sqref="J33:J35">
    <cfRule type="cellIs" dxfId="3167" priority="130" operator="lessThan">
      <formula>98</formula>
    </cfRule>
  </conditionalFormatting>
  <conditionalFormatting sqref="J64">
    <cfRule type="cellIs" dxfId="3166" priority="74" stopIfTrue="1" operator="lessThanOrEqual">
      <formula>0</formula>
    </cfRule>
    <cfRule type="cellIs" dxfId="3165" priority="73" stopIfTrue="1" operator="greaterThan">
      <formula>#REF!</formula>
    </cfRule>
    <cfRule type="cellIs" dxfId="3164" priority="72" stopIfTrue="1" operator="lessThanOrEqual">
      <formula>0</formula>
    </cfRule>
    <cfRule type="cellIs" dxfId="3163" priority="71" stopIfTrue="1" operator="greaterThan">
      <formula>#REF!</formula>
    </cfRule>
    <cfRule type="cellIs" dxfId="3162" priority="78" stopIfTrue="1" operator="lessThanOrEqual">
      <formula>0</formula>
    </cfRule>
    <cfRule type="cellIs" dxfId="3161" priority="77" stopIfTrue="1" operator="greaterThan">
      <formula>#REF!</formula>
    </cfRule>
    <cfRule type="cellIs" dxfId="3160" priority="76" stopIfTrue="1" operator="lessThanOrEqual">
      <formula>0</formula>
    </cfRule>
    <cfRule type="cellIs" dxfId="3159" priority="75" stopIfTrue="1" operator="greaterThan">
      <formula>#REF!</formula>
    </cfRule>
  </conditionalFormatting>
  <conditionalFormatting sqref="J77">
    <cfRule type="cellIs" dxfId="3158" priority="35" stopIfTrue="1" operator="greaterThan">
      <formula>$F77</formula>
    </cfRule>
    <cfRule type="cellIs" dxfId="3157" priority="36" stopIfTrue="1" operator="lessThanOrEqual">
      <formula>0</formula>
    </cfRule>
  </conditionalFormatting>
  <conditionalFormatting sqref="K10:K23">
    <cfRule type="cellIs" dxfId="3156" priority="4" operator="greaterThan">
      <formula>6.4</formula>
    </cfRule>
    <cfRule type="cellIs" dxfId="3155" priority="3" operator="lessThan">
      <formula>4</formula>
    </cfRule>
    <cfRule type="cellIs" dxfId="3154" priority="2" operator="greaterThan">
      <formula>6</formula>
    </cfRule>
  </conditionalFormatting>
  <conditionalFormatting sqref="K55:K64">
    <cfRule type="cellIs" dxfId="3153" priority="65" stopIfTrue="1" operator="lessThan">
      <formula>100%</formula>
    </cfRule>
  </conditionalFormatting>
  <conditionalFormatting sqref="K79:K84">
    <cfRule type="cellIs" dxfId="3152" priority="153" stopIfTrue="1" operator="lessThan">
      <formula>100%</formula>
    </cfRule>
  </conditionalFormatting>
  <conditionalFormatting sqref="K86:K87">
    <cfRule type="cellIs" dxfId="3151" priority="160" stopIfTrue="1" operator="lessThan">
      <formula>100%</formula>
    </cfRule>
  </conditionalFormatting>
  <conditionalFormatting sqref="K68:M76">
    <cfRule type="cellIs" dxfId="3150" priority="20" stopIfTrue="1" operator="lessThan">
      <formula>100%</formula>
    </cfRule>
  </conditionalFormatting>
  <conditionalFormatting sqref="L10:L23">
    <cfRule type="cellIs" dxfId="3149" priority="5" operator="between">
      <formula>61</formula>
      <formula>65</formula>
    </cfRule>
    <cfRule type="cellIs" dxfId="3148" priority="6" operator="greaterThan">
      <formula>65</formula>
    </cfRule>
  </conditionalFormatting>
  <conditionalFormatting sqref="L26:M37">
    <cfRule type="cellIs" dxfId="3147" priority="67" operator="lessThan">
      <formula>97.95</formula>
    </cfRule>
  </conditionalFormatting>
  <conditionalFormatting sqref="L77:M77">
    <cfRule type="cellIs" dxfId="3146" priority="37" stopIfTrue="1" operator="lessThan">
      <formula>100%</formula>
    </cfRule>
  </conditionalFormatting>
  <conditionalFormatting sqref="L41:N41">
    <cfRule type="cellIs" dxfId="3145" priority="68" operator="notEqual">
      <formula>#REF!</formula>
    </cfRule>
  </conditionalFormatting>
  <conditionalFormatting sqref="L79:N87">
    <cfRule type="cellIs" dxfId="3144" priority="138" stopIfTrue="1" operator="lessThan">
      <formula>100%</formula>
    </cfRule>
  </conditionalFormatting>
  <conditionalFormatting sqref="M10:M17">
    <cfRule type="expression" dxfId="3143" priority="11">
      <formula>IF(+(IF(M10&lt;U10,0,IF(M10&gt;V10,0,1)))=0,1)</formula>
    </cfRule>
  </conditionalFormatting>
  <conditionalFormatting sqref="M20">
    <cfRule type="expression" dxfId="3142" priority="167">
      <formula>IF(+(IF(M20&lt;U19,0,IF(M20&gt;V19,0,1)))=0,1)</formula>
    </cfRule>
  </conditionalFormatting>
  <conditionalFormatting sqref="M21">
    <cfRule type="expression" dxfId="3141" priority="18">
      <formula>IF(+(IF(M21&lt;U21,0,IF(M21&gt;V21,0,1)))=0,1)</formula>
    </cfRule>
  </conditionalFormatting>
  <conditionalFormatting sqref="M10:N19 H10:H23 G18:G19">
    <cfRule type="expression" dxfId="3140" priority="15">
      <formula>IF(+(IF(G10&lt;#REF!,0,IF(G10&gt;#REF!,0,1)))=0,1)</formula>
    </cfRule>
  </conditionalFormatting>
  <conditionalFormatting sqref="M22:N23">
    <cfRule type="expression" dxfId="3139" priority="66">
      <formula>IF(+(IF(M22&lt;#REF!,0,IF(M22&gt;#REF!,0,1)))=0,1)</formula>
    </cfRule>
  </conditionalFormatting>
  <conditionalFormatting sqref="N10:N18">
    <cfRule type="expression" dxfId="3138" priority="10">
      <formula>IF(+(IF(N10&lt;W10,0,IF(N10&gt;X10,0,1)))=0,1)</formula>
    </cfRule>
  </conditionalFormatting>
  <conditionalFormatting sqref="N18">
    <cfRule type="expression" dxfId="3137" priority="13">
      <formula>IF(+(IF(N18&lt;#REF!,0,IF(N18&gt;#REF!,0,1)))=0,1)</formula>
    </cfRule>
  </conditionalFormatting>
  <conditionalFormatting sqref="N20">
    <cfRule type="expression" dxfId="3136" priority="168">
      <formula>IF(+(IF(N20&lt;W19,0,IF(N20&gt;X19,0,1)))=0,1)</formula>
    </cfRule>
  </conditionalFormatting>
  <conditionalFormatting sqref="N21">
    <cfRule type="expression" dxfId="3135" priority="17">
      <formula>IF(+(IF(N21&lt;W21,0,IF(N21&gt;X21,0,1)))=0,1)</formula>
    </cfRule>
  </conditionalFormatting>
  <conditionalFormatting sqref="N68:N77">
    <cfRule type="cellIs" dxfId="3134" priority="49" stopIfTrue="1" operator="lessThan">
      <formula>100%</formula>
    </cfRule>
  </conditionalFormatting>
  <conditionalFormatting sqref="P6">
    <cfRule type="cellIs" dxfId="3133" priority="134" operator="greaterThanOrEqual">
      <formula>19</formula>
    </cfRule>
  </conditionalFormatting>
  <dataValidations count="1">
    <dataValidation type="list" allowBlank="1" showInputMessage="1" showErrorMessage="1" sqref="R8" xr:uid="{F636D8D8-19EF-4979-9232-5B6FF4FC9724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1" max="16383" man="1"/>
  </rowBreaks>
  <colBreaks count="1" manualBreakCount="1">
    <brk id="15" max="89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C8EC2-B7A5-4252-9B80-2173B47605DD}">
  <sheetPr>
    <pageSetUpPr fitToPage="1"/>
  </sheetPr>
  <dimension ref="A1:BE75"/>
  <sheetViews>
    <sheetView topLeftCell="A7" zoomScale="70" zoomScaleNormal="70" workbookViewId="0">
      <selection activeCell="B13" sqref="B13:O13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9.42578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5" t="s">
        <v>0</v>
      </c>
      <c r="T1" s="555"/>
      <c r="U1" s="555" t="s">
        <v>1</v>
      </c>
      <c r="V1" s="555"/>
      <c r="W1" s="555" t="s">
        <v>2</v>
      </c>
      <c r="X1" s="555"/>
      <c r="Y1" s="555" t="s">
        <v>124</v>
      </c>
      <c r="Z1" s="555"/>
    </row>
    <row r="2" spans="2:29" ht="15">
      <c r="B2" s="556" t="s">
        <v>3</v>
      </c>
      <c r="C2" s="556"/>
      <c r="D2" s="556"/>
      <c r="E2" s="556"/>
      <c r="F2" s="556"/>
      <c r="G2" s="556"/>
      <c r="H2" s="556"/>
      <c r="I2" s="556"/>
      <c r="J2" s="556"/>
      <c r="K2" s="556"/>
      <c r="L2" s="556"/>
      <c r="M2" s="556"/>
      <c r="N2" s="556"/>
      <c r="O2" s="556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46119</v>
      </c>
      <c r="J4" s="398" t="s">
        <v>167</v>
      </c>
      <c r="K4" s="398"/>
      <c r="L4" s="11"/>
      <c r="M4" s="553" t="s">
        <v>8</v>
      </c>
      <c r="N4" s="554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2"/>
      <c r="D5" s="542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6" t="s">
        <v>17</v>
      </c>
      <c r="C8" s="517" t="s">
        <v>18</v>
      </c>
      <c r="D8" s="517" t="s">
        <v>19</v>
      </c>
      <c r="E8" s="356" t="s">
        <v>20</v>
      </c>
      <c r="F8" s="356" t="s">
        <v>21</v>
      </c>
      <c r="G8" s="517" t="s">
        <v>22</v>
      </c>
      <c r="H8" s="544" t="s">
        <v>144</v>
      </c>
      <c r="I8" s="517" t="s">
        <v>165</v>
      </c>
      <c r="J8" s="546" t="s">
        <v>23</v>
      </c>
      <c r="K8" s="548" t="s">
        <v>142</v>
      </c>
      <c r="L8" s="550" t="s">
        <v>24</v>
      </c>
      <c r="M8" s="359" t="s">
        <v>25</v>
      </c>
      <c r="N8" s="17" t="s">
        <v>169</v>
      </c>
      <c r="O8" s="510" t="s">
        <v>155</v>
      </c>
      <c r="P8" s="540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43"/>
      <c r="C9" s="541"/>
      <c r="D9" s="541"/>
      <c r="E9" s="357" t="s">
        <v>30</v>
      </c>
      <c r="F9" s="357" t="s">
        <v>31</v>
      </c>
      <c r="G9" s="541"/>
      <c r="H9" s="545"/>
      <c r="I9" s="541"/>
      <c r="J9" s="547"/>
      <c r="K9" s="549"/>
      <c r="L9" s="551"/>
      <c r="M9" s="20" t="s">
        <v>32</v>
      </c>
      <c r="N9" s="21" t="s">
        <v>41</v>
      </c>
      <c r="O9" s="552"/>
      <c r="P9" s="541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6.5" customHeight="1">
      <c r="B10" s="29" t="s">
        <v>6</v>
      </c>
      <c r="C10" s="366" t="str">
        <f>[4]Brewhouse!$A299</f>
        <v>CA255</v>
      </c>
      <c r="D10" s="279">
        <f>[4]Brewhouse!$AF299</f>
        <v>51.8</v>
      </c>
      <c r="E10" s="279">
        <f>[4]Brewhouse!$AI299</f>
        <v>51.1</v>
      </c>
      <c r="F10" s="278">
        <f>[4]Brewhouse!$V299</f>
        <v>62</v>
      </c>
      <c r="G10" s="279">
        <f>[4]Brewhouse!AG299</f>
        <v>11.6</v>
      </c>
      <c r="H10" s="396">
        <v>11.7</v>
      </c>
      <c r="I10" s="368">
        <f>[4]Brewhouse!$AU299</f>
        <v>97.341719131975395</v>
      </c>
      <c r="J10" s="368">
        <f>[4]Brewhouse!$AV299</f>
        <v>98.701695291643603</v>
      </c>
      <c r="K10" s="281">
        <f>[4]Brewhouse!$Q299</f>
        <v>7.0740740740740744</v>
      </c>
      <c r="L10" s="276">
        <f>[4]Brewhouse!$P299</f>
        <v>61</v>
      </c>
      <c r="M10" s="397">
        <f>[4]Brewhouse!$U299-[4]Brewhouse!$T299</f>
        <v>0.10972222222222225</v>
      </c>
      <c r="N10" s="370">
        <f>[4]Brewhouse!$Z299</f>
        <v>0.25347222222222221</v>
      </c>
      <c r="O10" s="420" t="str">
        <f>[4]Brewhouse!$AX299</f>
        <v>K. Benjamin</v>
      </c>
      <c r="P10" s="418"/>
      <c r="R10" s="277" t="str">
        <f t="shared" ref="R10:R35" si="0">B10</f>
        <v>CARIB</v>
      </c>
      <c r="S10" s="472">
        <f t="shared" ref="S10:S35" si="1">VLOOKUP($B10,$R$3:$X$9,2,FALSE)</f>
        <v>11.6</v>
      </c>
      <c r="T10" s="472">
        <f t="shared" ref="T10:T35" si="2">VLOOKUP($B10,$R$3:$X$9,3,FALSE)</f>
        <v>12</v>
      </c>
      <c r="U10" s="297">
        <f t="shared" ref="U10:U35" si="3">VLOOKUP($B10,$R$3:$X$9,4,FALSE)</f>
        <v>0</v>
      </c>
      <c r="V10" s="297">
        <f t="shared" ref="V10:V35" si="4">VLOOKUP($B10,$R$3:$X$9,5,FALSE)</f>
        <v>0.118055555555556</v>
      </c>
      <c r="W10" s="297">
        <f t="shared" ref="W10:W35" si="5">VLOOKUP($B10,$R$3:$X$9,6,FALSE)</f>
        <v>0.22569444444444445</v>
      </c>
      <c r="X10" s="297">
        <f t="shared" ref="X10:X35" si="6">VLOOKUP($B10,$R$3:$X$9,7,FALSE)</f>
        <v>0.2638888888888889</v>
      </c>
      <c r="Y10" s="297">
        <f t="shared" ref="Y10:Y35" si="7">VLOOKUP($B10,$R$3:$Z$9,8,FALSE)</f>
        <v>0</v>
      </c>
      <c r="Z10" s="472">
        <f t="shared" ref="Z10:Z35" si="8">VLOOKUP($B10,$R$3:$Z$9,9,FALSE)</f>
        <v>60</v>
      </c>
    </row>
    <row r="11" spans="2:29" ht="16.5" customHeight="1">
      <c r="B11" s="29" t="s">
        <v>6</v>
      </c>
      <c r="C11" s="366" t="str">
        <f>[4]Brewhouse!$A300</f>
        <v>CA256</v>
      </c>
      <c r="D11" s="279">
        <f>[4]Brewhouse!$AF300</f>
        <v>51.1</v>
      </c>
      <c r="E11" s="279">
        <f>[4]Brewhouse!$AI300</f>
        <v>50.3</v>
      </c>
      <c r="F11" s="278">
        <f>[4]Brewhouse!$V300</f>
        <v>58</v>
      </c>
      <c r="G11" s="279">
        <f>[4]Brewhouse!AG300</f>
        <v>12</v>
      </c>
      <c r="H11" s="396">
        <v>12</v>
      </c>
      <c r="I11" s="368">
        <f>[4]Brewhouse!$AU300</f>
        <v>99.419193802504751</v>
      </c>
      <c r="J11" s="368">
        <f>[4]Brewhouse!$AV300</f>
        <v>100.80810388344609</v>
      </c>
      <c r="K11" s="281">
        <f>[4]Brewhouse!$Q300</f>
        <v>7.6155268022181106</v>
      </c>
      <c r="L11" s="276">
        <f>[4]Brewhouse!$P300</f>
        <v>61</v>
      </c>
      <c r="M11" s="397">
        <f>[4]Brewhouse!$U300-[4]Brewhouse!$T300</f>
        <v>0.10625000000000001</v>
      </c>
      <c r="N11" s="370">
        <f>[4]Brewhouse!$Z300</f>
        <v>0.23611111111111113</v>
      </c>
      <c r="O11" s="420" t="str">
        <f>[4]Brewhouse!$AX300</f>
        <v>R. Regis</v>
      </c>
      <c r="P11" s="418"/>
      <c r="R11" s="277" t="str">
        <f t="shared" ref="R11:R20" si="9">B11</f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6.5" customHeight="1">
      <c r="B12" s="29" t="s">
        <v>6</v>
      </c>
      <c r="C12" s="366" t="str">
        <f>[4]Brewhouse!$A301</f>
        <v>CA257</v>
      </c>
      <c r="D12" s="279">
        <f>[4]Brewhouse!$AF301</f>
        <v>51.3</v>
      </c>
      <c r="E12" s="279">
        <f>[4]Brewhouse!$AI301</f>
        <v>50.5</v>
      </c>
      <c r="F12" s="278">
        <f>[4]Brewhouse!$V301</f>
        <v>65</v>
      </c>
      <c r="G12" s="279">
        <f>[4]Brewhouse!AG301</f>
        <v>11.7</v>
      </c>
      <c r="H12" s="396">
        <v>11.7</v>
      </c>
      <c r="I12" s="368">
        <f>[4]Brewhouse!$AU301</f>
        <v>97.071854613833906</v>
      </c>
      <c r="J12" s="368">
        <f>[4]Brewhouse!$AV301</f>
        <v>98.42806045472939</v>
      </c>
      <c r="K12" s="281">
        <f>[4]Brewhouse!$Q301</f>
        <v>7.985212569316082</v>
      </c>
      <c r="L12" s="276">
        <f>[4]Brewhouse!$P301</f>
        <v>60</v>
      </c>
      <c r="M12" s="397">
        <f>[4]Brewhouse!$U301-[4]Brewhouse!$T301</f>
        <v>0.10833333333333334</v>
      </c>
      <c r="N12" s="370">
        <f>[4]Brewhouse!$Z301</f>
        <v>0.25416666666666665</v>
      </c>
      <c r="O12" s="420" t="str">
        <f>[4]Brewhouse!$AX301</f>
        <v>P. Calliste</v>
      </c>
      <c r="P12" s="418"/>
      <c r="R12" s="277" t="str">
        <f t="shared" si="9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6.5" customHeight="1">
      <c r="B13" s="29" t="s">
        <v>6</v>
      </c>
      <c r="C13" s="366" t="str">
        <f>[4]Brewhouse!$A302</f>
        <v>CA258</v>
      </c>
      <c r="D13" s="279">
        <f>[4]Brewhouse!$AF302</f>
        <v>52.1</v>
      </c>
      <c r="E13" s="279">
        <f>[4]Brewhouse!$AI302</f>
        <v>51.8</v>
      </c>
      <c r="F13" s="278">
        <f>[4]Brewhouse!$V302</f>
        <v>69</v>
      </c>
      <c r="G13" s="279">
        <f>[4]Brewhouse!AG302</f>
        <v>11.7</v>
      </c>
      <c r="H13" s="396">
        <v>11.8</v>
      </c>
      <c r="I13" s="368">
        <f>[4]Brewhouse!$AU302</f>
        <v>99.570734039536561</v>
      </c>
      <c r="J13" s="368">
        <f>[4]Brewhouse!$AV302</f>
        <v>100.96185210999965</v>
      </c>
      <c r="K13" s="281">
        <f>[4]Brewhouse!$Q302</f>
        <v>7.4306839186691374</v>
      </c>
      <c r="L13" s="276">
        <f>[4]Brewhouse!$P302</f>
        <v>60</v>
      </c>
      <c r="M13" s="397">
        <f>[4]Brewhouse!$U302-[4]Brewhouse!$T302</f>
        <v>0.1152777777777777</v>
      </c>
      <c r="N13" s="370">
        <f>[4]Brewhouse!$Z302</f>
        <v>0.25416666666666665</v>
      </c>
      <c r="O13" s="420" t="str">
        <f>[4]Brewhouse!$AX302</f>
        <v>P. Calliste</v>
      </c>
      <c r="P13" s="418"/>
      <c r="R13" s="277" t="str">
        <f t="shared" si="9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6.5" customHeight="1">
      <c r="B14" s="29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97"/>
      <c r="N14" s="370"/>
      <c r="O14" s="420"/>
      <c r="P14" s="418"/>
      <c r="R14" s="277">
        <f t="shared" si="9"/>
        <v>0</v>
      </c>
      <c r="S14" s="472" t="e">
        <f t="shared" si="1"/>
        <v>#N/A</v>
      </c>
      <c r="T14" s="472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2" t="e">
        <f t="shared" si="8"/>
        <v>#N/A</v>
      </c>
    </row>
    <row r="15" spans="2:29" ht="16.5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420"/>
      <c r="P15" s="418"/>
      <c r="R15" s="277">
        <f t="shared" si="9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6.5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371"/>
      <c r="P16" s="418"/>
      <c r="R16" s="277">
        <f t="shared" si="9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7" ht="16.5" hidden="1" customHeight="1">
      <c r="B17" s="33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371"/>
      <c r="P17" s="418"/>
      <c r="R17" s="277">
        <f t="shared" si="9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6.5" hidden="1" customHeight="1">
      <c r="B18" s="22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5" hidden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8" hidden="1" customHeight="1">
      <c r="B20" s="29"/>
      <c r="C20" s="366"/>
      <c r="D20" s="279"/>
      <c r="E20" s="279"/>
      <c r="F20" s="278"/>
      <c r="G20" s="279"/>
      <c r="H20" s="482"/>
      <c r="I20" s="368"/>
      <c r="J20" s="368"/>
      <c r="K20" s="281"/>
      <c r="L20" s="276"/>
      <c r="M20" s="374"/>
      <c r="N20" s="370"/>
      <c r="O20" s="371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6.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18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5.75" customHeight="1" thickBot="1">
      <c r="B22" s="358"/>
      <c r="C22" s="358"/>
      <c r="D22" s="358"/>
      <c r="E22" s="358"/>
      <c r="F22" s="294"/>
      <c r="G22" s="294"/>
      <c r="H22" s="348"/>
      <c r="I22" s="533"/>
      <c r="J22" s="533"/>
      <c r="K22" s="533"/>
      <c r="L22" s="533"/>
      <c r="M22" s="533"/>
      <c r="N22" s="533"/>
      <c r="O22" s="1"/>
      <c r="P22" s="12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5.75" customHeight="1" thickBot="1">
      <c r="B23" s="388" t="s">
        <v>162</v>
      </c>
      <c r="C23" s="388"/>
      <c r="D23" s="534" t="s">
        <v>35</v>
      </c>
      <c r="E23" s="535"/>
      <c r="F23" s="294"/>
      <c r="G23" s="294"/>
      <c r="H23" s="348"/>
      <c r="I23" s="24" t="s">
        <v>17</v>
      </c>
      <c r="J23" s="25"/>
      <c r="K23" s="26" t="s">
        <v>138</v>
      </c>
      <c r="L23" s="25" t="s">
        <v>37</v>
      </c>
      <c r="M23" s="25" t="s">
        <v>38</v>
      </c>
      <c r="N23" s="27" t="s">
        <v>39</v>
      </c>
      <c r="O23" s="294"/>
      <c r="P23" s="12"/>
      <c r="R23" s="277" t="str">
        <f t="shared" si="0"/>
        <v xml:space="preserve">BRAND 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5" customHeight="1">
      <c r="A24" s="28"/>
      <c r="B24" s="588" t="str">
        <f>I24</f>
        <v>CARIB</v>
      </c>
      <c r="C24" s="362" cm="1">
        <f t="array" ref="C24:C31">[4]Process!$D$223:$D$230</f>
        <v>11.9</v>
      </c>
      <c r="D24" s="537">
        <v>11.81</v>
      </c>
      <c r="E24" s="538"/>
      <c r="F24" s="294"/>
      <c r="G24" s="294"/>
      <c r="H24" s="348"/>
      <c r="I24" s="29" t="s">
        <v>6</v>
      </c>
      <c r="J24" s="323">
        <f>AVERAGE(I10:I13)</f>
        <v>98.35087539696265</v>
      </c>
      <c r="K24" s="284">
        <f>COUNTA([4]Brewhouse!$B$292:$B$302)</f>
        <v>11</v>
      </c>
      <c r="L24" s="305">
        <f>AVERAGE([4]Brewhouse!$AU$292:$AU$302)</f>
        <v>98.52842829529564</v>
      </c>
      <c r="M24" s="305">
        <f>AVERAGE([4]Brewhouse!$AU$42:$AU$123,[4]Brewhouse!$AU$125:$AU$188,[4]Brewhouse!$AU$198:$AU$290,[4]Brewhouse!$AU$292:$AU$302)</f>
        <v>97.90459878841277</v>
      </c>
      <c r="N24" s="30">
        <v>98</v>
      </c>
      <c r="O24" s="11"/>
      <c r="P24" s="31"/>
      <c r="R24" s="277" t="str">
        <f t="shared" si="0"/>
        <v>CARIB</v>
      </c>
      <c r="S24" s="472">
        <f t="shared" si="1"/>
        <v>11.6</v>
      </c>
      <c r="T24" s="472">
        <f t="shared" si="2"/>
        <v>12</v>
      </c>
      <c r="U24" s="297">
        <f t="shared" si="3"/>
        <v>0</v>
      </c>
      <c r="V24" s="297">
        <f t="shared" si="4"/>
        <v>0.118055555555556</v>
      </c>
      <c r="W24" s="297">
        <f t="shared" si="5"/>
        <v>0.22569444444444445</v>
      </c>
      <c r="X24" s="297">
        <f t="shared" si="6"/>
        <v>0.2638888888888889</v>
      </c>
      <c r="Y24" s="297">
        <f t="shared" si="7"/>
        <v>0</v>
      </c>
      <c r="Z24" s="472">
        <f t="shared" si="8"/>
        <v>60</v>
      </c>
    </row>
    <row r="25" spans="1:27" ht="15" customHeight="1">
      <c r="A25" s="28"/>
      <c r="B25" s="589"/>
      <c r="C25" s="362">
        <v>11.8</v>
      </c>
      <c r="D25" s="539"/>
      <c r="E25" s="525"/>
      <c r="F25" s="294"/>
      <c r="G25" s="294"/>
      <c r="H25" s="348"/>
      <c r="I25" s="33" t="s">
        <v>9</v>
      </c>
      <c r="J25" s="280"/>
      <c r="K25" s="284"/>
      <c r="L25" s="302"/>
      <c r="M25" s="302">
        <f>AVERAGE([3]Brewhouse!$AS$52:$AS$81,[3]Brewhouse!$AS$83:$AS$124,[3]Brewhouse!$AS$134:$AS$177)</f>
        <v>98.431196212769251</v>
      </c>
      <c r="N25" s="30">
        <v>98</v>
      </c>
      <c r="O25" s="11"/>
      <c r="P25" s="31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65" customHeight="1">
      <c r="A26" s="28"/>
      <c r="B26" s="589"/>
      <c r="C26" s="362">
        <v>11.7</v>
      </c>
      <c r="D26" s="529">
        <v>11.92</v>
      </c>
      <c r="E26" s="530"/>
      <c r="F26" s="294"/>
      <c r="G26" s="294"/>
      <c r="H26" s="348"/>
      <c r="I26" s="34" t="s">
        <v>12</v>
      </c>
      <c r="J26" s="280"/>
      <c r="K26" s="284"/>
      <c r="L26" s="302"/>
      <c r="M26" s="302">
        <f>AVERAGE([5]Brewhouse!$AU$16:$AU$23,[5]Brewhouse!$AU$25:$AU$32,[5]Brewhouse!$AU$34:$AU$41)</f>
        <v>97.131453825415363</v>
      </c>
      <c r="N26" s="30">
        <v>98</v>
      </c>
      <c r="O26" s="11"/>
      <c r="P26" s="31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65" customHeight="1">
      <c r="A27" s="28"/>
      <c r="B27" s="589"/>
      <c r="C27" s="362">
        <v>11.9</v>
      </c>
      <c r="D27" s="524"/>
      <c r="E27" s="525"/>
      <c r="F27" s="294"/>
      <c r="G27" s="294"/>
      <c r="H27" s="348"/>
      <c r="I27" s="22" t="s">
        <v>33</v>
      </c>
      <c r="J27" s="280"/>
      <c r="K27" s="284"/>
      <c r="L27" s="302"/>
      <c r="M27" s="302">
        <f>AVERAGE([6]Brewhouse!$AV$23:$AV$34,[6]Brewhouse!$AV$36,[6]Brewhouse!$AV$38:$AV$52)</f>
        <v>97.639832259312456</v>
      </c>
      <c r="N27" s="30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65" customHeight="1">
      <c r="A28" s="28"/>
      <c r="B28" s="589"/>
      <c r="C28" s="362">
        <v>12.2</v>
      </c>
      <c r="D28" s="529">
        <v>11.61</v>
      </c>
      <c r="E28" s="530"/>
      <c r="F28" s="417"/>
      <c r="G28" s="294"/>
      <c r="H28" s="348"/>
      <c r="I28" s="35" t="s">
        <v>29</v>
      </c>
      <c r="J28" s="280"/>
      <c r="K28" s="284"/>
      <c r="L28" s="302"/>
      <c r="M28" s="302"/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65" customHeight="1">
      <c r="A29" s="28"/>
      <c r="B29" s="589"/>
      <c r="C29" s="362">
        <v>11.8</v>
      </c>
      <c r="D29" s="524"/>
      <c r="E29" s="525"/>
      <c r="F29" s="417"/>
      <c r="G29" s="294"/>
      <c r="H29" s="348"/>
      <c r="I29" s="36" t="s">
        <v>15</v>
      </c>
      <c r="J29" s="323"/>
      <c r="K29" s="284"/>
      <c r="L29" s="302"/>
      <c r="M29" s="302">
        <f>AVERAGE([7]Brewhouse!$AT$4:$AT$11)</f>
        <v>92.826224508052405</v>
      </c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  <c r="AA29" s="472"/>
    </row>
    <row r="30" spans="1:27" ht="14.65" customHeight="1">
      <c r="A30" s="28"/>
      <c r="B30" s="589"/>
      <c r="C30" s="362">
        <v>11.7</v>
      </c>
      <c r="D30" s="529">
        <v>11.93</v>
      </c>
      <c r="E30" s="530"/>
      <c r="F30" s="417"/>
      <c r="G30" s="294"/>
      <c r="H30" s="348"/>
      <c r="I30" s="37" t="s">
        <v>16</v>
      </c>
      <c r="J30" s="323"/>
      <c r="K30" s="284"/>
      <c r="L30" s="302"/>
      <c r="M30" s="302">
        <f>AVERAGE([8]Brewhouse!$AY$5:$AY$14,[8]Brewhouse!$AY$16:$AY$23,[8]Brewhouse!$AY$42)</f>
        <v>97.390503559857137</v>
      </c>
      <c r="N30" s="30">
        <v>98</v>
      </c>
      <c r="O30" s="11"/>
      <c r="P30" s="31" t="s">
        <v>41</v>
      </c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  <c r="AA30" s="472"/>
    </row>
    <row r="31" spans="1:27" ht="14.65" customHeight="1">
      <c r="A31" s="28"/>
      <c r="B31" s="589"/>
      <c r="C31" s="362">
        <v>11.9</v>
      </c>
      <c r="D31" s="524"/>
      <c r="E31" s="525"/>
      <c r="F31" s="294"/>
      <c r="G31" s="294"/>
      <c r="H31" s="348"/>
      <c r="I31" s="411" t="s">
        <v>158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  <c r="AA31" s="472"/>
    </row>
    <row r="32" spans="1:27" ht="14.65" customHeight="1">
      <c r="A32" s="28"/>
      <c r="B32" s="589"/>
      <c r="C32" s="349"/>
      <c r="D32" s="529"/>
      <c r="E32" s="530"/>
      <c r="F32" s="294"/>
      <c r="G32" s="294"/>
      <c r="H32" s="348"/>
      <c r="I32" s="410" t="s">
        <v>157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1:56" ht="15" customHeight="1" thickBot="1">
      <c r="A33" s="28"/>
      <c r="B33" s="589"/>
      <c r="C33" s="349"/>
      <c r="D33" s="524"/>
      <c r="E33" s="525"/>
      <c r="F33" s="294"/>
      <c r="G33" s="294"/>
      <c r="H33" s="348"/>
      <c r="I33" s="406" t="s">
        <v>156</v>
      </c>
      <c r="J33" s="327"/>
      <c r="K33" s="407"/>
      <c r="L33" s="408"/>
      <c r="M33" s="408"/>
      <c r="N33" s="409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1:56" ht="15" customHeight="1" thickBot="1">
      <c r="A34" s="28"/>
      <c r="B34" s="589"/>
      <c r="C34" s="349"/>
      <c r="D34" s="537"/>
      <c r="E34" s="538"/>
      <c r="F34" s="294"/>
      <c r="G34" s="294"/>
      <c r="H34" s="348"/>
      <c r="I34" s="1"/>
      <c r="J34" s="39"/>
      <c r="K34" s="404">
        <f>SUM(K24:K33)</f>
        <v>11</v>
      </c>
      <c r="L34" s="405">
        <f>((L24*K24)+(L25*K25)+(L26*K26)+(L27*K27)+(L28*K28)+(K31*L31)+(L29*K29)+(L30*K30)+(L33*K33))/(K34)</f>
        <v>98.52842829529564</v>
      </c>
      <c r="M34" s="405">
        <f>AVERAGE('[9]Jan30th-31st'!$L$42,L34)</f>
        <v>98.178235015568561</v>
      </c>
      <c r="N34" s="4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5.75" thickBot="1">
      <c r="B35" s="590"/>
      <c r="C35" s="350"/>
      <c r="D35" s="539"/>
      <c r="E35" s="525"/>
      <c r="F35" s="294"/>
      <c r="G35" s="42"/>
      <c r="H35" s="41"/>
      <c r="I35" s="42"/>
      <c r="J35" s="42"/>
      <c r="K35" s="351"/>
      <c r="L35" s="348"/>
      <c r="M35" s="348"/>
      <c r="N35" s="11"/>
      <c r="O35" s="294"/>
      <c r="P35" s="12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.75" thickBot="1">
      <c r="B36" s="519"/>
      <c r="C36" s="362"/>
      <c r="D36" s="522"/>
      <c r="E36" s="523"/>
      <c r="F36" s="294"/>
      <c r="G36" s="42"/>
      <c r="H36" s="41"/>
      <c r="I36" s="42"/>
      <c r="J36" s="526" t="s">
        <v>129</v>
      </c>
      <c r="K36" s="526"/>
      <c r="L36" s="294"/>
      <c r="M36" s="294"/>
      <c r="N36" s="294"/>
      <c r="O36" s="294"/>
      <c r="P36" s="12"/>
    </row>
    <row r="37" spans="1:56" ht="15.75" thickBot="1">
      <c r="B37" s="520"/>
      <c r="C37" s="362"/>
      <c r="D37" s="524"/>
      <c r="E37" s="525"/>
      <c r="F37" s="294"/>
      <c r="G37" s="42"/>
      <c r="H37" s="42"/>
      <c r="I37" s="42"/>
      <c r="J37" s="292" t="s">
        <v>17</v>
      </c>
      <c r="K37" s="293" t="s">
        <v>172</v>
      </c>
      <c r="L37" s="527" t="s">
        <v>136</v>
      </c>
      <c r="M37" s="527"/>
      <c r="N37" s="528"/>
      <c r="O37" s="294"/>
      <c r="P37" s="12"/>
    </row>
    <row r="38" spans="1:56" ht="15" customHeight="1" thickBot="1">
      <c r="B38" s="520"/>
      <c r="C38" s="349"/>
      <c r="D38" s="529"/>
      <c r="E38" s="530"/>
      <c r="F38" s="294"/>
      <c r="G38" s="42"/>
      <c r="H38" s="42"/>
      <c r="I38" s="42"/>
      <c r="J38" s="287" t="s">
        <v>6</v>
      </c>
      <c r="K38" s="324">
        <v>4</v>
      </c>
      <c r="L38" s="473" t="s">
        <v>37</v>
      </c>
      <c r="M38" s="474" t="s">
        <v>38</v>
      </c>
      <c r="N38" s="474" t="s">
        <v>84</v>
      </c>
      <c r="O38" s="294"/>
      <c r="P38" s="12"/>
    </row>
    <row r="39" spans="1:56" ht="15.75" customHeight="1" thickBot="1">
      <c r="B39" s="520"/>
      <c r="C39" s="349"/>
      <c r="D39" s="524"/>
      <c r="E39" s="525"/>
      <c r="F39" s="294"/>
      <c r="G39" s="42"/>
      <c r="H39" s="42"/>
      <c r="I39" s="42"/>
      <c r="J39" s="345" t="s">
        <v>9</v>
      </c>
      <c r="K39" s="324"/>
      <c r="L39" s="344">
        <f>AVERAGE('Apr 1st'!K50,K48)</f>
        <v>5.5</v>
      </c>
      <c r="M39" s="325">
        <f>AVERAGE('[9]Jan30th-31st'!$L$47,L39,'[10]Feb 26th '!$L$39,'[11]Mar 31st'!$L$47)</f>
        <v>6.1717391304347826</v>
      </c>
      <c r="N39" s="416">
        <v>9.1999999999999993</v>
      </c>
      <c r="O39" s="294"/>
      <c r="P39" s="12"/>
    </row>
    <row r="40" spans="1:56" ht="15" customHeight="1">
      <c r="B40" s="520"/>
      <c r="C40" s="349"/>
      <c r="D40" s="529"/>
      <c r="E40" s="530"/>
      <c r="F40" s="294"/>
      <c r="G40" s="42"/>
      <c r="H40" s="42"/>
      <c r="I40" s="42"/>
      <c r="J40" s="288" t="s">
        <v>40</v>
      </c>
      <c r="K40" s="324"/>
      <c r="L40" s="294"/>
      <c r="M40" s="294"/>
      <c r="N40" s="294"/>
      <c r="O40" s="294"/>
      <c r="P40" s="12"/>
    </row>
    <row r="41" spans="1:56" ht="15" customHeight="1">
      <c r="B41" s="520"/>
      <c r="C41" s="349"/>
      <c r="D41" s="524"/>
      <c r="E41" s="525"/>
      <c r="F41" s="294"/>
      <c r="G41" s="42"/>
      <c r="H41" s="42"/>
      <c r="I41" s="42"/>
      <c r="J41" s="289" t="s">
        <v>33</v>
      </c>
      <c r="K41" s="324"/>
      <c r="L41" s="294"/>
      <c r="M41" s="294"/>
      <c r="N41" s="294"/>
      <c r="O41" s="294"/>
      <c r="P41" s="12"/>
    </row>
    <row r="42" spans="1:56" ht="15">
      <c r="B42" s="520"/>
      <c r="C42" s="349"/>
      <c r="D42" s="529"/>
      <c r="E42" s="530"/>
      <c r="F42" s="294"/>
      <c r="G42" s="42"/>
      <c r="H42" s="42"/>
      <c r="I42" s="42"/>
      <c r="J42" s="290" t="s">
        <v>16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20"/>
      <c r="C43" s="349"/>
      <c r="D43" s="524"/>
      <c r="E43" s="525"/>
      <c r="F43" s="294"/>
      <c r="G43" s="42"/>
      <c r="H43" s="42"/>
      <c r="I43" s="42"/>
      <c r="J43" s="291" t="s">
        <v>15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20"/>
      <c r="C44" s="349"/>
      <c r="D44" s="529"/>
      <c r="E44" s="530"/>
      <c r="F44" s="294"/>
      <c r="G44" s="42"/>
      <c r="H44" s="42"/>
      <c r="I44" s="42"/>
      <c r="J44" s="291" t="s">
        <v>149</v>
      </c>
      <c r="K44" s="324"/>
      <c r="L44" s="294"/>
      <c r="M44" s="294"/>
      <c r="N44" s="294"/>
      <c r="O44" s="294"/>
      <c r="P44" s="12"/>
      <c r="BC44" s="44"/>
      <c r="BD44" s="44"/>
    </row>
    <row r="45" spans="1:56" ht="15.75" thickBot="1">
      <c r="B45" s="521"/>
      <c r="C45" s="350"/>
      <c r="D45" s="531"/>
      <c r="E45" s="532"/>
      <c r="F45" s="294" t="s">
        <v>166</v>
      </c>
      <c r="G45" s="42"/>
      <c r="H45" s="42"/>
      <c r="I45" s="42"/>
      <c r="J45" s="291" t="s">
        <v>148</v>
      </c>
      <c r="K45" s="324"/>
      <c r="L45" s="294"/>
      <c r="M45" s="294"/>
      <c r="N45" s="294" t="s">
        <v>41</v>
      </c>
      <c r="O45" s="294"/>
      <c r="P45" s="12"/>
      <c r="BC45" s="44"/>
      <c r="BD45" s="44"/>
    </row>
    <row r="46" spans="1:56" ht="17.649999999999999" customHeight="1" thickBot="1">
      <c r="B46" s="312" t="s">
        <v>139</v>
      </c>
      <c r="C46" s="313"/>
      <c r="D46" s="512"/>
      <c r="E46" s="513"/>
      <c r="F46" s="294"/>
      <c r="J46" s="295" t="s">
        <v>134</v>
      </c>
      <c r="K46" s="324"/>
      <c r="L46" s="294"/>
      <c r="M46" s="294"/>
      <c r="N46" s="294"/>
      <c r="O46" s="294"/>
      <c r="P46" s="12"/>
      <c r="BC46" s="44"/>
      <c r="BD46" s="44"/>
    </row>
    <row r="47" spans="1:56" ht="17.649999999999999" customHeight="1">
      <c r="B47" s="363"/>
      <c r="C47" s="364"/>
      <c r="D47" s="365"/>
      <c r="E47" s="365"/>
      <c r="F47" s="294"/>
      <c r="G47" s="42"/>
      <c r="H47" s="42"/>
      <c r="I47" s="42"/>
      <c r="J47" s="295" t="s">
        <v>131</v>
      </c>
      <c r="K47" s="324"/>
      <c r="L47" s="294"/>
      <c r="M47" s="294"/>
      <c r="N47" s="294"/>
      <c r="O47" s="294"/>
      <c r="P47" s="12"/>
      <c r="BC47" s="44"/>
      <c r="BD47" s="44"/>
    </row>
    <row r="48" spans="1:56" ht="15.6" customHeight="1">
      <c r="B48" s="45"/>
      <c r="C48" s="11"/>
      <c r="D48" s="11"/>
      <c r="E48" s="46"/>
      <c r="F48" s="294"/>
      <c r="G48" s="42"/>
      <c r="H48" s="42"/>
      <c r="I48" s="42"/>
      <c r="J48" s="346" t="s">
        <v>130</v>
      </c>
      <c r="K48" s="324">
        <f>SUM(K38:K47)</f>
        <v>4</v>
      </c>
      <c r="L48" s="294"/>
      <c r="M48" s="294"/>
      <c r="N48" s="294"/>
      <c r="O48" s="294"/>
      <c r="P48" s="12"/>
    </row>
    <row r="49" spans="1:57" ht="20.25" customHeight="1">
      <c r="B49" s="15" t="s">
        <v>42</v>
      </c>
      <c r="C49" s="1" t="s">
        <v>43</v>
      </c>
      <c r="D49" s="1"/>
      <c r="E49" s="1"/>
      <c r="F49" s="294"/>
      <c r="G49" s="42"/>
      <c r="H49" s="41"/>
      <c r="I49" s="42"/>
      <c r="L49" s="294"/>
      <c r="N49" s="315"/>
      <c r="P49" s="334"/>
    </row>
    <row r="50" spans="1:57" ht="15" customHeight="1" thickBot="1"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1"/>
      <c r="O50" s="48"/>
      <c r="P50" s="49"/>
    </row>
    <row r="51" spans="1:57" ht="15" customHeight="1" thickBot="1">
      <c r="B51" s="504" t="s">
        <v>17</v>
      </c>
      <c r="C51" s="504" t="s">
        <v>44</v>
      </c>
      <c r="D51" s="515" t="s">
        <v>45</v>
      </c>
      <c r="E51" s="517" t="s">
        <v>46</v>
      </c>
      <c r="F51" s="510" t="s">
        <v>47</v>
      </c>
      <c r="G51" s="502" t="s">
        <v>48</v>
      </c>
      <c r="H51" s="504" t="s">
        <v>49</v>
      </c>
      <c r="I51" s="504" t="s">
        <v>50</v>
      </c>
      <c r="J51" s="496" t="s">
        <v>28</v>
      </c>
      <c r="K51" s="506" t="s">
        <v>51</v>
      </c>
      <c r="L51" s="508" t="s">
        <v>52</v>
      </c>
      <c r="M51" s="496" t="s">
        <v>53</v>
      </c>
      <c r="N51" s="13"/>
      <c r="O51" s="13"/>
      <c r="P51" s="50"/>
    </row>
    <row r="52" spans="1:57" ht="28.5" customHeight="1" thickTop="1" thickBot="1">
      <c r="B52" s="505"/>
      <c r="C52" s="514"/>
      <c r="D52" s="516"/>
      <c r="E52" s="518"/>
      <c r="F52" s="511"/>
      <c r="G52" s="503"/>
      <c r="H52" s="505"/>
      <c r="I52" s="505"/>
      <c r="J52" s="497"/>
      <c r="K52" s="507"/>
      <c r="L52" s="509"/>
      <c r="M52" s="497"/>
      <c r="N52" s="13"/>
      <c r="O52" s="13"/>
      <c r="P52" s="50"/>
      <c r="Q52" s="355"/>
      <c r="AB52" s="475">
        <v>43474</v>
      </c>
      <c r="AC52" s="475">
        <v>43475</v>
      </c>
      <c r="AD52" s="475">
        <v>43476</v>
      </c>
      <c r="AE52" s="475">
        <v>43477</v>
      </c>
      <c r="AF52" s="475">
        <v>43478</v>
      </c>
      <c r="AG52" s="475">
        <v>43479</v>
      </c>
      <c r="AH52" s="475">
        <v>43480</v>
      </c>
      <c r="AI52" s="475">
        <v>43481</v>
      </c>
      <c r="AJ52" s="475">
        <v>43482</v>
      </c>
      <c r="AK52" s="475">
        <v>43483</v>
      </c>
      <c r="AL52" s="475">
        <v>43484</v>
      </c>
      <c r="AM52" s="475">
        <v>43485</v>
      </c>
      <c r="AN52" s="475">
        <v>43486</v>
      </c>
      <c r="AO52" s="475">
        <v>43487</v>
      </c>
      <c r="AP52" s="475">
        <v>43488</v>
      </c>
      <c r="AQ52" s="475">
        <v>43489</v>
      </c>
      <c r="AR52" s="475">
        <v>43490</v>
      </c>
      <c r="AS52" s="475">
        <v>43491</v>
      </c>
      <c r="AT52" s="475">
        <v>43492</v>
      </c>
      <c r="AU52" s="475">
        <v>43493</v>
      </c>
      <c r="AV52" s="475">
        <v>43494</v>
      </c>
      <c r="AW52" s="475">
        <v>43495</v>
      </c>
      <c r="AX52" s="475">
        <v>43496</v>
      </c>
    </row>
    <row r="53" spans="1:57" s="54" customFormat="1" ht="36.75" customHeight="1" thickBot="1">
      <c r="B53" s="480" t="str">
        <f>I24</f>
        <v>CARIB</v>
      </c>
      <c r="C53" s="479">
        <v>46114</v>
      </c>
      <c r="D53" s="442">
        <f>[12]April_2026!$E$3</f>
        <v>396.4</v>
      </c>
      <c r="E53" s="443"/>
      <c r="F53" s="444">
        <f>SUM([33]CARIB!$L$8:$L$15)</f>
        <v>393.9</v>
      </c>
      <c r="G53" s="445">
        <f>[12]April_2026!$E$7</f>
        <v>372.4</v>
      </c>
      <c r="H53" s="458">
        <f>(D53-F53)/D53*100</f>
        <v>0.63067608476286585</v>
      </c>
      <c r="I53" s="458">
        <f>((F53+E53)-G53)/(F53+E53)*100</f>
        <v>5.4582381315054587</v>
      </c>
      <c r="J53" s="448" t="s">
        <v>173</v>
      </c>
      <c r="K53" s="449">
        <f>[13]April_2026!$E$18</f>
        <v>0.32666666666666666</v>
      </c>
      <c r="L53" s="457">
        <f>(((D53+E53)-G53)/(D53+E53))*100</f>
        <v>6.0544904137235118</v>
      </c>
      <c r="M53" s="455" t="s">
        <v>174</v>
      </c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[14]January_2019!L5</f>
        <v>0</v>
      </c>
      <c r="AC53" s="57">
        <f>[14]January_2019!M5</f>
        <v>0</v>
      </c>
      <c r="AD53" s="57">
        <f>[14]January_2019!N5</f>
        <v>0</v>
      </c>
      <c r="AE53" s="57">
        <f>[14]January_2019!O5</f>
        <v>0</v>
      </c>
      <c r="AF53" s="57">
        <f>[14]January_2019!P5</f>
        <v>0</v>
      </c>
      <c r="AG53" s="57">
        <f>[14]January_2019!Q5</f>
        <v>0</v>
      </c>
      <c r="AH53" s="57">
        <f>[14]January_2019!R5</f>
        <v>0</v>
      </c>
      <c r="AI53" s="57">
        <f>[14]January_2019!S5</f>
        <v>0</v>
      </c>
      <c r="AJ53" s="57">
        <f>[14]January_2019!T5</f>
        <v>0</v>
      </c>
      <c r="AK53" s="57">
        <f>[14]January_2019!U5</f>
        <v>0</v>
      </c>
      <c r="AL53" s="57">
        <f>[14]January_2019!V5</f>
        <v>0</v>
      </c>
      <c r="AM53" s="57">
        <f>[14]January_2019!W5</f>
        <v>0</v>
      </c>
      <c r="AN53" s="57">
        <f>[14]January_2019!X5</f>
        <v>0</v>
      </c>
      <c r="AO53" s="57">
        <f>[14]January_2019!Y5</f>
        <v>0</v>
      </c>
      <c r="AP53" s="57">
        <f>[14]January_2019!Z5</f>
        <v>0</v>
      </c>
      <c r="AQ53" s="57">
        <f>[14]January_2019!AA5</f>
        <v>0</v>
      </c>
      <c r="AR53" s="57">
        <f>[14]January_2019!AB5</f>
        <v>0</v>
      </c>
      <c r="AS53" s="57">
        <f>[14]January_2019!AC5</f>
        <v>0</v>
      </c>
      <c r="AT53" s="57">
        <f>[14]January_2019!AD5</f>
        <v>0</v>
      </c>
      <c r="AU53" s="57">
        <f>[14]January_2019!AE5</f>
        <v>0</v>
      </c>
      <c r="AV53" s="57">
        <f>[14]January_2019!AF5</f>
        <v>0</v>
      </c>
      <c r="AW53" s="57">
        <f>[14]January_2019!AG5</f>
        <v>0</v>
      </c>
      <c r="AX53" s="277">
        <f>[14]January_2019!AH5</f>
        <v>0</v>
      </c>
      <c r="AY53" s="277"/>
      <c r="AZ53" s="277"/>
      <c r="BA53" s="277"/>
      <c r="BB53" s="277"/>
      <c r="BC53" s="277"/>
      <c r="BD53" s="277"/>
      <c r="BE53" s="277"/>
    </row>
    <row r="54" spans="1:57" s="54" customFormat="1" ht="14.25" customHeight="1" thickBot="1">
      <c r="B54" s="480"/>
      <c r="C54" s="479"/>
      <c r="D54" s="442"/>
      <c r="E54" s="443"/>
      <c r="F54" s="444"/>
      <c r="G54" s="445"/>
      <c r="H54" s="458"/>
      <c r="I54" s="458"/>
      <c r="J54" s="476"/>
      <c r="K54" s="44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[14]January_2019!L6</f>
        <v>0</v>
      </c>
      <c r="AC54" s="57">
        <f>[14]January_2019!M6</f>
        <v>0</v>
      </c>
      <c r="AD54" s="57">
        <f>[14]January_2019!N6</f>
        <v>0</v>
      </c>
      <c r="AE54" s="57">
        <f>[14]January_2019!O6</f>
        <v>0</v>
      </c>
      <c r="AF54" s="57">
        <f>[14]January_2019!P6</f>
        <v>0</v>
      </c>
      <c r="AG54" s="57">
        <f>[14]January_2019!Q6</f>
        <v>0</v>
      </c>
      <c r="AH54" s="57">
        <f>[14]January_2019!R6</f>
        <v>0</v>
      </c>
      <c r="AI54" s="57">
        <f>[14]January_2019!S6</f>
        <v>0</v>
      </c>
      <c r="AJ54" s="57">
        <f>[14]January_2019!T6</f>
        <v>0</v>
      </c>
      <c r="AK54" s="57">
        <f>[14]January_2019!U6</f>
        <v>0</v>
      </c>
      <c r="AL54" s="57">
        <f>[14]January_2019!V6</f>
        <v>0</v>
      </c>
      <c r="AM54" s="57">
        <f>[14]January_2019!W6</f>
        <v>0</v>
      </c>
      <c r="AN54" s="57">
        <f>[14]January_2019!X6</f>
        <v>0</v>
      </c>
      <c r="AO54" s="57">
        <f>[14]January_2019!Y6</f>
        <v>0</v>
      </c>
      <c r="AP54" s="57">
        <f>[14]January_2019!Z6</f>
        <v>0</v>
      </c>
      <c r="AQ54" s="57">
        <f>[14]January_2019!AA6</f>
        <v>0</v>
      </c>
      <c r="AR54" s="57">
        <f>[14]January_2019!AB6</f>
        <v>0</v>
      </c>
      <c r="AS54" s="57">
        <f>[14]January_2019!AC6</f>
        <v>0</v>
      </c>
      <c r="AT54" s="57">
        <f>[14]January_2019!AD6</f>
        <v>0</v>
      </c>
      <c r="AU54" s="57">
        <f>[14]January_2019!AE6</f>
        <v>0</v>
      </c>
      <c r="AV54" s="57">
        <f>[14]January_2019!AF6</f>
        <v>0</v>
      </c>
      <c r="AW54" s="57">
        <f>[14]January_2019!AG6</f>
        <v>0</v>
      </c>
      <c r="AX54" s="277">
        <f>[14]January_2019!AH6</f>
        <v>0</v>
      </c>
      <c r="AY54" s="277"/>
      <c r="AZ54" s="277"/>
      <c r="BA54" s="277"/>
      <c r="BB54" s="277"/>
      <c r="BC54" s="277"/>
      <c r="BD54" s="277"/>
      <c r="BE54" s="277"/>
    </row>
    <row r="55" spans="1:57" s="54" customFormat="1" ht="37.15" hidden="1" customHeight="1" thickBot="1">
      <c r="A55" s="54" t="s">
        <v>168</v>
      </c>
      <c r="B55" s="480"/>
      <c r="C55" s="479"/>
      <c r="D55" s="442"/>
      <c r="E55" s="443"/>
      <c r="F55" s="444"/>
      <c r="G55" s="445"/>
      <c r="H55" s="458"/>
      <c r="I55" s="458"/>
      <c r="J55" s="448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[14]January_2019!L7</f>
        <v>285.8</v>
      </c>
      <c r="AC55" s="57">
        <f>[14]January_2019!M7</f>
        <v>508.1</v>
      </c>
      <c r="AD55" s="57">
        <f>[14]January_2019!N7</f>
        <v>0</v>
      </c>
      <c r="AE55" s="57">
        <f>[14]January_2019!O7</f>
        <v>0</v>
      </c>
      <c r="AF55" s="57">
        <f>[14]January_2019!P7</f>
        <v>109.56666666666666</v>
      </c>
      <c r="AG55" s="57">
        <f>[14]January_2019!Q7</f>
        <v>297.64999999999998</v>
      </c>
      <c r="AH55" s="57">
        <f>[14]January_2019!R7</f>
        <v>122.3</v>
      </c>
      <c r="AI55" s="57">
        <f>[14]January_2019!S7</f>
        <v>0</v>
      </c>
      <c r="AJ55" s="57">
        <f>[14]January_2019!T7</f>
        <v>294.7</v>
      </c>
      <c r="AK55" s="57">
        <f>[14]January_2019!U7</f>
        <v>280.5</v>
      </c>
      <c r="AL55" s="57">
        <f>[14]January_2019!V7</f>
        <v>0</v>
      </c>
      <c r="AM55" s="57">
        <f>[14]January_2019!W7</f>
        <v>0</v>
      </c>
      <c r="AN55" s="57">
        <f>[14]January_2019!X7</f>
        <v>188.25</v>
      </c>
      <c r="AO55" s="57">
        <f>[14]January_2019!Y7</f>
        <v>295.7</v>
      </c>
      <c r="AP55" s="57">
        <f>[14]January_2019!Z7</f>
        <v>257.8</v>
      </c>
      <c r="AQ55" s="57">
        <f>[14]January_2019!AA7</f>
        <v>291.2</v>
      </c>
      <c r="AR55" s="57">
        <f>[14]January_2019!AB7</f>
        <v>187</v>
      </c>
      <c r="AS55" s="57">
        <f>[14]January_2019!AC7</f>
        <v>0</v>
      </c>
      <c r="AT55" s="57">
        <f>[14]January_2019!AD7</f>
        <v>0</v>
      </c>
      <c r="AU55" s="57">
        <f>[14]January_2019!AE7</f>
        <v>485.1</v>
      </c>
      <c r="AV55" s="57">
        <f>[14]January_2019!AF7</f>
        <v>171.55</v>
      </c>
      <c r="AW55" s="57">
        <f>[14]January_2019!AG7</f>
        <v>423.8</v>
      </c>
      <c r="AX55" s="277">
        <f>[14]January_2019!AH7</f>
        <v>0</v>
      </c>
      <c r="AY55" s="277"/>
      <c r="AZ55" s="277"/>
      <c r="BA55" s="277"/>
      <c r="BB55" s="277"/>
      <c r="BC55" s="277"/>
      <c r="BD55" s="277"/>
      <c r="BE55" s="277"/>
    </row>
    <row r="56" spans="1:57" s="54" customFormat="1" ht="19.5" hidden="1" customHeight="1" thickBot="1">
      <c r="B56" s="478"/>
      <c r="C56" s="430"/>
      <c r="D56" s="431"/>
      <c r="E56" s="432"/>
      <c r="F56" s="433"/>
      <c r="G56" s="434"/>
      <c r="H56" s="458"/>
      <c r="I56" s="458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1:57" s="54" customFormat="1" ht="38.450000000000003" hidden="1" customHeight="1" thickBot="1">
      <c r="B57" s="480"/>
      <c r="C57" s="479"/>
      <c r="D57" s="442"/>
      <c r="E57" s="443"/>
      <c r="F57" s="444"/>
      <c r="G57" s="445"/>
      <c r="H57" s="458"/>
      <c r="I57" s="458"/>
      <c r="J57" s="448" t="s">
        <v>171</v>
      </c>
      <c r="K57" s="459"/>
      <c r="L57" s="457" t="e">
        <f>(((D57+E57)-G57)/(D57+E57))*100</f>
        <v>#DIV/0!</v>
      </c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1:57" s="54" customFormat="1" ht="15" hidden="1">
      <c r="B58" s="453"/>
      <c r="C58" s="430"/>
      <c r="D58" s="431"/>
      <c r="E58" s="432"/>
      <c r="F58" s="433"/>
      <c r="G58" s="434"/>
      <c r="H58" s="435"/>
      <c r="I58" s="450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1:57" s="54" customFormat="1" ht="37.15" hidden="1" customHeight="1" thickBot="1">
      <c r="B59" s="480"/>
      <c r="C59" s="479"/>
      <c r="D59" s="442"/>
      <c r="E59" s="443"/>
      <c r="F59" s="444"/>
      <c r="G59" s="445"/>
      <c r="H59" s="446"/>
      <c r="I59" s="447"/>
      <c r="J59" s="448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1:57" s="54" customFormat="1" ht="16.5" hidden="1" customHeight="1" thickBot="1">
      <c r="B60" s="437"/>
      <c r="C60" s="423"/>
      <c r="D60" s="424"/>
      <c r="E60" s="425"/>
      <c r="F60" s="426"/>
      <c r="G60" s="427"/>
      <c r="H60" s="428"/>
      <c r="I60" s="438"/>
      <c r="J60" s="439"/>
      <c r="K60" s="429"/>
      <c r="L60" s="440"/>
      <c r="M60" s="422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415"/>
      <c r="AC60" s="415"/>
      <c r="AD60" s="415"/>
      <c r="AE60" s="415"/>
      <c r="AF60" s="415"/>
      <c r="AG60" s="415"/>
      <c r="AH60" s="415"/>
      <c r="AI60" s="415"/>
      <c r="AJ60" s="415"/>
      <c r="AK60" s="415"/>
      <c r="AL60" s="415"/>
      <c r="AM60" s="415"/>
      <c r="AN60" s="415"/>
      <c r="AO60" s="415"/>
      <c r="AP60" s="415"/>
      <c r="AQ60" s="415"/>
      <c r="AR60" s="415"/>
      <c r="AS60" s="415"/>
      <c r="AT60" s="415"/>
      <c r="AU60" s="415"/>
      <c r="AV60" s="415"/>
      <c r="AW60" s="415"/>
    </row>
    <row r="61" spans="1:57" s="54" customFormat="1" ht="37.15" hidden="1" customHeight="1" thickBot="1">
      <c r="B61" s="456"/>
      <c r="C61" s="441"/>
      <c r="D61" s="442"/>
      <c r="E61" s="443"/>
      <c r="F61" s="444"/>
      <c r="G61" s="445"/>
      <c r="H61" s="446"/>
      <c r="I61" s="447"/>
      <c r="J61" s="448"/>
      <c r="K61" s="449"/>
      <c r="L61" s="457"/>
      <c r="M61" s="454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1:57" s="54" customFormat="1" ht="37.15" customHeight="1">
      <c r="B62" s="466"/>
      <c r="C62" s="430"/>
      <c r="D62" s="460"/>
      <c r="E62" s="461"/>
      <c r="F62" s="462"/>
      <c r="G62" s="460"/>
      <c r="H62" s="463"/>
      <c r="I62" s="463"/>
      <c r="J62" s="463"/>
      <c r="K62" s="464"/>
      <c r="L62" s="465"/>
      <c r="M62" s="50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1:57" ht="18" customHeight="1" thickBot="1">
      <c r="B63" s="59"/>
      <c r="C63" s="30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 t="s">
        <v>41</v>
      </c>
      <c r="O63" s="56"/>
      <c r="P63" s="60"/>
    </row>
    <row r="64" spans="1:57" ht="15.75" thickBot="1">
      <c r="B64" s="498" t="s">
        <v>55</v>
      </c>
      <c r="C64" s="499"/>
      <c r="D64" s="499"/>
      <c r="E64" s="499"/>
      <c r="F64" s="500"/>
      <c r="G64" s="498" t="s">
        <v>56</v>
      </c>
      <c r="H64" s="499"/>
      <c r="I64" s="499"/>
      <c r="J64" s="500"/>
      <c r="K64" s="498" t="s">
        <v>51</v>
      </c>
      <c r="L64" s="499"/>
      <c r="M64" s="499"/>
      <c r="N64" s="501"/>
      <c r="O64" s="56"/>
      <c r="P64" s="50"/>
    </row>
    <row r="65" spans="2:16" ht="15">
      <c r="B65" s="61" t="s">
        <v>17</v>
      </c>
      <c r="C65" s="62" t="s">
        <v>36</v>
      </c>
      <c r="D65" s="62" t="s">
        <v>37</v>
      </c>
      <c r="E65" s="62" t="s">
        <v>38</v>
      </c>
      <c r="F65" s="63" t="s">
        <v>39</v>
      </c>
      <c r="G65" s="62" t="s">
        <v>36</v>
      </c>
      <c r="H65" s="62" t="s">
        <v>37</v>
      </c>
      <c r="I65" s="62" t="s">
        <v>38</v>
      </c>
      <c r="J65" s="63" t="s">
        <v>39</v>
      </c>
      <c r="K65" s="62"/>
      <c r="L65" s="62" t="s">
        <v>37</v>
      </c>
      <c r="M65" s="62" t="s">
        <v>38</v>
      </c>
      <c r="N65" s="63" t="s">
        <v>39</v>
      </c>
      <c r="O65" s="56"/>
      <c r="P65" s="64"/>
    </row>
    <row r="66" spans="2:16" ht="15">
      <c r="B66" s="29" t="s">
        <v>6</v>
      </c>
      <c r="C66" s="282">
        <f>L53</f>
        <v>6.0544904137235118</v>
      </c>
      <c r="D66" s="76">
        <v>6.0544904137235118</v>
      </c>
      <c r="E66" s="76">
        <v>6.8270295530046834</v>
      </c>
      <c r="F66" s="66">
        <v>4.8</v>
      </c>
      <c r="G66" s="65">
        <f>[12]April_2026!$E$11</f>
        <v>6.7363529833013249</v>
      </c>
      <c r="H66" s="477">
        <v>6.7363529833013249</v>
      </c>
      <c r="I66" s="477">
        <v>6.7375833928032289</v>
      </c>
      <c r="J66" s="66">
        <v>4.8</v>
      </c>
      <c r="K66" s="67">
        <f>K53</f>
        <v>0.32666666666666666</v>
      </c>
      <c r="L66" s="194">
        <v>0.32666666666666666</v>
      </c>
      <c r="M66" s="194">
        <v>0.42526639213424444</v>
      </c>
      <c r="N66" s="68">
        <v>1</v>
      </c>
      <c r="O66" s="56"/>
      <c r="P66" s="69"/>
    </row>
    <row r="67" spans="2:16" ht="15">
      <c r="B67" s="33" t="s">
        <v>9</v>
      </c>
      <c r="C67" s="65"/>
      <c r="D67" s="76"/>
      <c r="E67" s="76">
        <v>6.3411334413966323</v>
      </c>
      <c r="F67" s="66">
        <v>4.8</v>
      </c>
      <c r="G67" s="65"/>
      <c r="H67" s="76"/>
      <c r="I67" s="76">
        <v>6.0615758973702238</v>
      </c>
      <c r="J67" s="66">
        <v>4.8</v>
      </c>
      <c r="K67" s="67"/>
      <c r="L67" s="194"/>
      <c r="M67" s="194">
        <v>0.66474567163482645</v>
      </c>
      <c r="N67" s="68">
        <v>1</v>
      </c>
      <c r="P67" s="69"/>
    </row>
    <row r="68" spans="2:16" ht="15">
      <c r="B68" s="34" t="s">
        <v>40</v>
      </c>
      <c r="C68" s="65"/>
      <c r="D68" s="76"/>
      <c r="E68" s="76">
        <v>12.380135651360392</v>
      </c>
      <c r="F68" s="66">
        <v>5.5</v>
      </c>
      <c r="G68" s="483"/>
      <c r="H68" s="76"/>
      <c r="I68" s="76">
        <v>13.955538676690328</v>
      </c>
      <c r="J68" s="66">
        <v>5.5</v>
      </c>
      <c r="K68" s="67"/>
      <c r="L68" s="194"/>
      <c r="M68" s="194">
        <v>0.29450526315789471</v>
      </c>
      <c r="N68" s="68">
        <v>1</v>
      </c>
      <c r="P68" s="69"/>
    </row>
    <row r="69" spans="2:16" ht="15">
      <c r="B69" s="22" t="s">
        <v>33</v>
      </c>
      <c r="C69" s="65"/>
      <c r="D69" s="76"/>
      <c r="E69" s="76">
        <v>4.601418358346991</v>
      </c>
      <c r="F69" s="66">
        <v>3.3</v>
      </c>
      <c r="G69" s="65"/>
      <c r="H69" s="76"/>
      <c r="I69" s="76">
        <v>4.3274739720788533</v>
      </c>
      <c r="J69" s="66">
        <v>3.3</v>
      </c>
      <c r="K69" s="67"/>
      <c r="L69" s="194"/>
      <c r="M69" s="194">
        <v>0.8292543859649123</v>
      </c>
      <c r="N69" s="68">
        <v>1</v>
      </c>
      <c r="P69" s="69"/>
    </row>
    <row r="70" spans="2:16" ht="15">
      <c r="B70" s="35" t="s">
        <v>164</v>
      </c>
      <c r="C70" s="65"/>
      <c r="D70" s="76"/>
      <c r="E70" s="76"/>
      <c r="F70" s="66">
        <v>3.3</v>
      </c>
      <c r="G70" s="282"/>
      <c r="H70" s="76"/>
      <c r="I70" s="76"/>
      <c r="J70" s="66">
        <v>3</v>
      </c>
      <c r="K70" s="67"/>
      <c r="L70" s="194"/>
      <c r="M70" s="194"/>
      <c r="N70" s="68">
        <v>1</v>
      </c>
      <c r="P70" s="69"/>
    </row>
    <row r="71" spans="2:16" ht="15">
      <c r="B71" s="36" t="s">
        <v>15</v>
      </c>
      <c r="C71" s="65"/>
      <c r="D71" s="76"/>
      <c r="E71" s="76">
        <v>5.1105651105651271</v>
      </c>
      <c r="F71" s="70">
        <f>[15]May_2022!$M$43</f>
        <v>3.4878406700073312</v>
      </c>
      <c r="G71" s="282"/>
      <c r="H71" s="76"/>
      <c r="I71" s="76">
        <v>7.9131369535794072</v>
      </c>
      <c r="J71" s="66">
        <v>5.5</v>
      </c>
      <c r="K71" s="67"/>
      <c r="L71" s="194"/>
      <c r="M71" s="194">
        <v>1.3550877192982456</v>
      </c>
      <c r="N71" s="68">
        <v>1</v>
      </c>
      <c r="P71" s="69"/>
    </row>
    <row r="72" spans="2:16" ht="15">
      <c r="B72" s="37" t="s">
        <v>16</v>
      </c>
      <c r="C72" s="65"/>
      <c r="D72" s="76"/>
      <c r="E72" s="76">
        <v>3.9654240950837312</v>
      </c>
      <c r="F72" s="66">
        <v>3.3</v>
      </c>
      <c r="G72" s="282"/>
      <c r="H72" s="76"/>
      <c r="I72" s="76">
        <v>5.0010391616318897</v>
      </c>
      <c r="J72" s="66">
        <v>3.3</v>
      </c>
      <c r="K72" s="67"/>
      <c r="L72" s="194"/>
      <c r="M72" s="194">
        <v>0.93295906432748543</v>
      </c>
      <c r="N72" s="71">
        <v>1</v>
      </c>
      <c r="P72" s="69"/>
    </row>
    <row r="73" spans="2:16" ht="15.75" thickBot="1">
      <c r="B73" s="38" t="s">
        <v>163</v>
      </c>
      <c r="C73" s="65"/>
      <c r="D73" s="76"/>
      <c r="E73" s="76"/>
      <c r="F73" s="66">
        <v>7.5</v>
      </c>
      <c r="G73" s="282"/>
      <c r="H73" s="76"/>
      <c r="I73" s="76"/>
      <c r="J73" s="66">
        <v>7.5</v>
      </c>
      <c r="K73" s="67"/>
      <c r="L73" s="194"/>
      <c r="M73" s="194"/>
      <c r="N73" s="71">
        <v>1</v>
      </c>
      <c r="P73" s="69"/>
    </row>
    <row r="74" spans="2:16" ht="15.75" thickBot="1">
      <c r="B74" s="414" t="s">
        <v>161</v>
      </c>
      <c r="C74" s="65"/>
      <c r="D74" s="76"/>
      <c r="E74" s="76"/>
      <c r="F74" s="66">
        <v>4.8</v>
      </c>
      <c r="G74" s="282"/>
      <c r="H74" s="76"/>
      <c r="I74" s="76"/>
      <c r="J74" s="66">
        <v>4.8</v>
      </c>
      <c r="K74" s="67"/>
      <c r="L74" s="194"/>
      <c r="M74" s="194"/>
      <c r="N74" s="71">
        <v>1</v>
      </c>
      <c r="O74" s="74"/>
      <c r="P74" s="75"/>
    </row>
    <row r="75" spans="2:16" ht="15">
      <c r="D75" s="76">
        <v>6.0544904137235118</v>
      </c>
      <c r="E75" s="76">
        <v>6.6094200147396993</v>
      </c>
      <c r="F75" s="341">
        <v>5.5</v>
      </c>
      <c r="H75" s="76">
        <v>6.7363529833013249</v>
      </c>
      <c r="I75" s="76">
        <v>6.8010649818599918</v>
      </c>
      <c r="J75" s="341">
        <v>5.5</v>
      </c>
      <c r="L75" s="194">
        <v>0.32666666666666666</v>
      </c>
      <c r="M75" s="194">
        <v>0.54006921149026421</v>
      </c>
      <c r="N75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2:N22"/>
    <mergeCell ref="D23:E23"/>
    <mergeCell ref="B24:B35"/>
    <mergeCell ref="D24:E25"/>
    <mergeCell ref="D26:E27"/>
    <mergeCell ref="D28:E29"/>
    <mergeCell ref="D30:E31"/>
    <mergeCell ref="D32:E33"/>
    <mergeCell ref="D34:E35"/>
    <mergeCell ref="B36:B45"/>
    <mergeCell ref="D36:E37"/>
    <mergeCell ref="J36:K36"/>
    <mergeCell ref="L37:N37"/>
    <mergeCell ref="D38:E39"/>
    <mergeCell ref="D40:E41"/>
    <mergeCell ref="D42:E43"/>
    <mergeCell ref="D44:E45"/>
    <mergeCell ref="D46:E46"/>
    <mergeCell ref="B51:B52"/>
    <mergeCell ref="C51:C52"/>
    <mergeCell ref="D51:D52"/>
    <mergeCell ref="E51:E52"/>
    <mergeCell ref="M51:M52"/>
    <mergeCell ref="B64:F64"/>
    <mergeCell ref="G64:J64"/>
    <mergeCell ref="K64:N64"/>
    <mergeCell ref="G51:G52"/>
    <mergeCell ref="H51:H52"/>
    <mergeCell ref="I51:I52"/>
    <mergeCell ref="J51:J52"/>
    <mergeCell ref="K51:K52"/>
    <mergeCell ref="L51:L52"/>
    <mergeCell ref="F51:F52"/>
  </mergeCells>
  <conditionalFormatting sqref="B46:B47">
    <cfRule type="cellIs" dxfId="3132" priority="82" operator="notBetween">
      <formula>#REF!</formula>
      <formula>#REF!</formula>
    </cfRule>
  </conditionalFormatting>
  <conditionalFormatting sqref="C50">
    <cfRule type="cellIs" dxfId="3131" priority="176" stopIfTrue="1" operator="lessThan">
      <formula>96</formula>
    </cfRule>
    <cfRule type="cellIs" dxfId="3130" priority="177" stopIfTrue="1" operator="greaterThan">
      <formula>100</formula>
    </cfRule>
  </conditionalFormatting>
  <conditionalFormatting sqref="C66:C70">
    <cfRule type="cellIs" dxfId="3129" priority="145" stopIfTrue="1" operator="lessThanOrEqual">
      <formula>0</formula>
    </cfRule>
  </conditionalFormatting>
  <conditionalFormatting sqref="C66:C74">
    <cfRule type="cellIs" dxfId="3128" priority="144" stopIfTrue="1" operator="greaterThan">
      <formula>$F66</formula>
    </cfRule>
  </conditionalFormatting>
  <conditionalFormatting sqref="C67">
    <cfRule type="cellIs" dxfId="3127" priority="178" stopIfTrue="1" operator="greaterThan">
      <formula>$F66</formula>
    </cfRule>
  </conditionalFormatting>
  <conditionalFormatting sqref="C71">
    <cfRule type="cellIs" dxfId="3126" priority="106" stopIfTrue="1" operator="lessThanOrEqual">
      <formula>0</formula>
    </cfRule>
    <cfRule type="cellIs" dxfId="3125" priority="107" stopIfTrue="1" operator="greaterThan">
      <formula>$F70</formula>
    </cfRule>
  </conditionalFormatting>
  <conditionalFormatting sqref="C72:C74">
    <cfRule type="cellIs" dxfId="3124" priority="146" stopIfTrue="1" operator="lessThanOrEqual">
      <formula>0</formula>
    </cfRule>
  </conditionalFormatting>
  <conditionalFormatting sqref="C77:C81">
    <cfRule type="cellIs" dxfId="3123" priority="168" stopIfTrue="1" operator="lessThanOrEqual">
      <formula>0</formula>
    </cfRule>
  </conditionalFormatting>
  <conditionalFormatting sqref="C78:C81">
    <cfRule type="cellIs" dxfId="3122" priority="167" stopIfTrue="1" operator="greaterThan">
      <formula>$F$77</formula>
    </cfRule>
  </conditionalFormatting>
  <conditionalFormatting sqref="C83">
    <cfRule type="cellIs" dxfId="3121" priority="169" stopIfTrue="1" operator="greaterThan">
      <formula>$F$77</formula>
    </cfRule>
    <cfRule type="cellIs" dxfId="3120" priority="170" stopIfTrue="1" operator="lessThanOrEqual">
      <formula>0</formula>
    </cfRule>
  </conditionalFormatting>
  <conditionalFormatting sqref="C77:D77 D79:D85">
    <cfRule type="cellIs" dxfId="3119" priority="162" stopIfTrue="1" operator="greaterThan">
      <formula>4.5</formula>
    </cfRule>
  </conditionalFormatting>
  <conditionalFormatting sqref="D46:D47">
    <cfRule type="cellIs" dxfId="3118" priority="83" operator="notBetween">
      <formula>#REF!</formula>
      <formula>#REF!</formula>
    </cfRule>
  </conditionalFormatting>
  <conditionalFormatting sqref="D66:D73">
    <cfRule type="cellIs" dxfId="3117" priority="57" stopIfTrue="1" operator="lessThanOrEqual">
      <formula>0</formula>
    </cfRule>
  </conditionalFormatting>
  <conditionalFormatting sqref="D66:D75">
    <cfRule type="cellIs" dxfId="3116" priority="36" stopIfTrue="1" operator="lessThanOrEqual">
      <formula>0</formula>
    </cfRule>
  </conditionalFormatting>
  <conditionalFormatting sqref="D74">
    <cfRule type="cellIs" dxfId="3115" priority="56" stopIfTrue="1" operator="lessThanOrEqual">
      <formula>0</formula>
    </cfRule>
  </conditionalFormatting>
  <conditionalFormatting sqref="D75">
    <cfRule type="cellIs" dxfId="3114" priority="51" stopIfTrue="1" operator="lessThanOrEqual">
      <formula>0</formula>
    </cfRule>
  </conditionalFormatting>
  <conditionalFormatting sqref="D77 D79:D85">
    <cfRule type="cellIs" dxfId="3113" priority="163" stopIfTrue="1" operator="lessThanOrEqual">
      <formula>0</formula>
    </cfRule>
  </conditionalFormatting>
  <conditionalFormatting sqref="D78">
    <cfRule type="cellIs" dxfId="3112" priority="155" stopIfTrue="1" operator="lessThanOrEqual">
      <formula>0</formula>
    </cfRule>
    <cfRule type="cellIs" dxfId="3111" priority="154" stopIfTrue="1" operator="greaterThan">
      <formula>$F$77</formula>
    </cfRule>
  </conditionalFormatting>
  <conditionalFormatting sqref="D66:E75">
    <cfRule type="cellIs" dxfId="3110" priority="38" stopIfTrue="1" operator="greaterThan">
      <formula>$F66</formula>
    </cfRule>
  </conditionalFormatting>
  <conditionalFormatting sqref="D75:E75">
    <cfRule type="cellIs" dxfId="3109" priority="40" stopIfTrue="1" operator="lessThanOrEqual">
      <formula>0</formula>
    </cfRule>
  </conditionalFormatting>
  <conditionalFormatting sqref="E10:E21">
    <cfRule type="cellIs" dxfId="3108" priority="21" operator="lessThan">
      <formula>48</formula>
    </cfRule>
  </conditionalFormatting>
  <conditionalFormatting sqref="E49 E50:F50">
    <cfRule type="cellIs" dxfId="3107" priority="159" stopIfTrue="1" operator="greaterThan">
      <formula>100</formula>
    </cfRule>
  </conditionalFormatting>
  <conditionalFormatting sqref="E50">
    <cfRule type="cellIs" dxfId="3106" priority="156" stopIfTrue="1" operator="lessThan">
      <formula>96.8</formula>
    </cfRule>
    <cfRule type="cellIs" dxfId="3105" priority="157" stopIfTrue="1" operator="greaterThan">
      <formula>100</formula>
    </cfRule>
  </conditionalFormatting>
  <conditionalFormatting sqref="E66:E74">
    <cfRule type="cellIs" dxfId="3104" priority="37" stopIfTrue="1" operator="lessThanOrEqual">
      <formula>0</formula>
    </cfRule>
  </conditionalFormatting>
  <conditionalFormatting sqref="E66:E75">
    <cfRule type="cellIs" dxfId="3103" priority="39" stopIfTrue="1" operator="lessThanOrEqual">
      <formula>0</formula>
    </cfRule>
  </conditionalFormatting>
  <conditionalFormatting sqref="E77:E85">
    <cfRule type="cellIs" dxfId="3102" priority="148" stopIfTrue="1" operator="greaterThan">
      <formula>4.5</formula>
    </cfRule>
    <cfRule type="cellIs" dxfId="3101" priority="149" stopIfTrue="1" operator="lessThanOrEqual">
      <formula>0</formula>
    </cfRule>
  </conditionalFormatting>
  <conditionalFormatting sqref="E50:F50 E49">
    <cfRule type="cellIs" dxfId="3100" priority="158" stopIfTrue="1" operator="lessThan">
      <formula>96.5</formula>
    </cfRule>
  </conditionalFormatting>
  <conditionalFormatting sqref="F10:F16">
    <cfRule type="cellIs" dxfId="3099" priority="25" operator="greaterThan">
      <formula>60</formula>
    </cfRule>
  </conditionalFormatting>
  <conditionalFormatting sqref="F18:F21">
    <cfRule type="cellIs" dxfId="3098" priority="32" operator="greaterThan">
      <formula>60</formula>
    </cfRule>
  </conditionalFormatting>
  <conditionalFormatting sqref="F50">
    <cfRule type="cellIs" dxfId="3097" priority="175" stopIfTrue="1" operator="greaterThan">
      <formula>100</formula>
    </cfRule>
    <cfRule type="cellIs" dxfId="3096" priority="174" stopIfTrue="1" operator="lessThan">
      <formula>96.8</formula>
    </cfRule>
  </conditionalFormatting>
  <conditionalFormatting sqref="F75">
    <cfRule type="cellIs" dxfId="3095" priority="54" stopIfTrue="1" operator="greaterThan">
      <formula>$F75</formula>
    </cfRule>
    <cfRule type="cellIs" dxfId="3094" priority="55" stopIfTrue="1" operator="lessThanOrEqual">
      <formula>0</formula>
    </cfRule>
  </conditionalFormatting>
  <conditionalFormatting sqref="G10:G16">
    <cfRule type="expression" dxfId="3093" priority="22">
      <formula>IF(+(IF(G10&lt;S10,0,IF(G10&gt;T10,0,1)))=0,1)</formula>
    </cfRule>
  </conditionalFormatting>
  <conditionalFormatting sqref="G18">
    <cfRule type="expression" dxfId="3092" priority="179">
      <formula>IF(+(IF(G18&lt;S17,0,IF(G18&gt;T17,0,1)))=0,1)</formula>
    </cfRule>
  </conditionalFormatting>
  <conditionalFormatting sqref="G19:G21">
    <cfRule type="expression" dxfId="3091" priority="29">
      <formula>IF(+(IF(G19&lt;S19,0,IF(G19&gt;T19,0,1)))=0,1)</formula>
    </cfRule>
  </conditionalFormatting>
  <conditionalFormatting sqref="G66:G67">
    <cfRule type="cellIs" dxfId="3090" priority="53" stopIfTrue="1" operator="lessThanOrEqual">
      <formula>0</formula>
    </cfRule>
    <cfRule type="cellIs" dxfId="3089" priority="52" stopIfTrue="1" operator="greaterThan">
      <formula>$F66</formula>
    </cfRule>
    <cfRule type="cellIs" dxfId="3088" priority="58" stopIfTrue="1" operator="greaterThan">
      <formula>$F66</formula>
    </cfRule>
    <cfRule type="cellIs" dxfId="3087" priority="59" stopIfTrue="1" operator="lessThanOrEqual">
      <formula>0</formula>
    </cfRule>
  </conditionalFormatting>
  <conditionalFormatting sqref="G68">
    <cfRule type="containsErrors" dxfId="3086" priority="27" stopIfTrue="1">
      <formula>ISERROR(G68)</formula>
    </cfRule>
  </conditionalFormatting>
  <conditionalFormatting sqref="G69">
    <cfRule type="cellIs" dxfId="3085" priority="46" stopIfTrue="1" operator="greaterThan">
      <formula>$F69</formula>
    </cfRule>
    <cfRule type="cellIs" dxfId="3084" priority="47" stopIfTrue="1" operator="lessThanOrEqual">
      <formula>0</formula>
    </cfRule>
    <cfRule type="cellIs" dxfId="3083" priority="45" stopIfTrue="1" operator="lessThanOrEqual">
      <formula>0</formula>
    </cfRule>
    <cfRule type="cellIs" dxfId="3082" priority="44" stopIfTrue="1" operator="greaterThan">
      <formula>$F69</formula>
    </cfRule>
  </conditionalFormatting>
  <conditionalFormatting sqref="G70:G74">
    <cfRule type="cellIs" dxfId="3081" priority="61" stopIfTrue="1" operator="lessThanOrEqual">
      <formula>0</formula>
    </cfRule>
    <cfRule type="cellIs" dxfId="3080" priority="60" stopIfTrue="1" operator="greaterThan">
      <formula>$J70</formula>
    </cfRule>
  </conditionalFormatting>
  <conditionalFormatting sqref="G79:G84 C82 C84">
    <cfRule type="cellIs" dxfId="3079" priority="172" stopIfTrue="1" operator="lessThanOrEqual">
      <formula>0</formula>
    </cfRule>
    <cfRule type="cellIs" dxfId="3078" priority="171" stopIfTrue="1" operator="greaterThan">
      <formula>4.5</formula>
    </cfRule>
  </conditionalFormatting>
  <conditionalFormatting sqref="G78:H78">
    <cfRule type="cellIs" dxfId="3077" priority="153" stopIfTrue="1" operator="lessThanOrEqual">
      <formula>0</formula>
    </cfRule>
    <cfRule type="cellIs" dxfId="3076" priority="152" stopIfTrue="1" operator="greaterThan">
      <formula>$F$77</formula>
    </cfRule>
  </conditionalFormatting>
  <conditionalFormatting sqref="H35:H36 H49">
    <cfRule type="cellIs" dxfId="3075" priority="150" stopIfTrue="1" operator="greaterThan">
      <formula>0</formula>
    </cfRule>
  </conditionalFormatting>
  <conditionalFormatting sqref="H53">
    <cfRule type="cellIs" dxfId="3074" priority="3" stopIfTrue="1" operator="greaterThan">
      <formula>$F$69</formula>
    </cfRule>
    <cfRule type="cellIs" dxfId="3073" priority="2" stopIfTrue="1" operator="lessThanOrEqual">
      <formula>0</formula>
    </cfRule>
    <cfRule type="cellIs" dxfId="3072" priority="12" stopIfTrue="1" operator="lessThanOrEqual">
      <formula>0</formula>
    </cfRule>
    <cfRule type="cellIs" dxfId="3071" priority="13" stopIfTrue="1" operator="greaterThan">
      <formula>$F$70</formula>
    </cfRule>
    <cfRule type="cellIs" dxfId="3070" priority="14" stopIfTrue="1" operator="lessThanOrEqual">
      <formula>0</formula>
    </cfRule>
    <cfRule type="cellIs" dxfId="3069" priority="11" stopIfTrue="1" operator="greaterThan">
      <formula>$F$72</formula>
    </cfRule>
  </conditionalFormatting>
  <conditionalFormatting sqref="H54:H57">
    <cfRule type="cellIs" dxfId="3068" priority="74" stopIfTrue="1" operator="greaterThan">
      <formula>$F$69</formula>
    </cfRule>
    <cfRule type="cellIs" dxfId="3067" priority="75" stopIfTrue="1" operator="lessThanOrEqual">
      <formula>0</formula>
    </cfRule>
    <cfRule type="cellIs" dxfId="3066" priority="76" stopIfTrue="1" operator="greaterThan">
      <formula>$F$67</formula>
    </cfRule>
    <cfRule type="cellIs" dxfId="3065" priority="77" stopIfTrue="1" operator="lessThanOrEqual">
      <formula>0</formula>
    </cfRule>
    <cfRule type="cellIs" dxfId="3064" priority="65" stopIfTrue="1" operator="lessThanOrEqual">
      <formula>0</formula>
    </cfRule>
    <cfRule type="cellIs" dxfId="3063" priority="66" stopIfTrue="1" operator="greaterThan">
      <formula>$F$66</formula>
    </cfRule>
  </conditionalFormatting>
  <conditionalFormatting sqref="H58:H59">
    <cfRule type="cellIs" dxfId="3062" priority="121" stopIfTrue="1" operator="lessThanOrEqual">
      <formula>0</formula>
    </cfRule>
    <cfRule type="cellIs" dxfId="3061" priority="110" stopIfTrue="1" operator="greaterThan">
      <formula>#REF!</formula>
    </cfRule>
    <cfRule type="cellIs" dxfId="3060" priority="109" stopIfTrue="1" operator="lessThanOrEqual">
      <formula>0</formula>
    </cfRule>
    <cfRule type="cellIs" dxfId="3059" priority="118" stopIfTrue="1" operator="greaterThan">
      <formula>$F$21</formula>
    </cfRule>
    <cfRule type="cellIs" dxfId="3058" priority="119" stopIfTrue="1" operator="lessThanOrEqual">
      <formula>0</formula>
    </cfRule>
    <cfRule type="cellIs" dxfId="3057" priority="120" stopIfTrue="1" operator="greaterThan">
      <formula>#REF!</formula>
    </cfRule>
  </conditionalFormatting>
  <conditionalFormatting sqref="H60">
    <cfRule type="cellIs" dxfId="3056" priority="123" stopIfTrue="1" operator="lessThanOrEqual">
      <formula>0</formula>
    </cfRule>
    <cfRule type="cellIs" dxfId="3055" priority="132" stopIfTrue="1" operator="greaterThan">
      <formula>$F$37</formula>
    </cfRule>
    <cfRule type="cellIs" dxfId="3054" priority="135" stopIfTrue="1" operator="lessThanOrEqual">
      <formula>0</formula>
    </cfRule>
    <cfRule type="cellIs" dxfId="3053" priority="124" stopIfTrue="1" operator="greaterThan">
      <formula>$F$34</formula>
    </cfRule>
    <cfRule type="cellIs" dxfId="3052" priority="134" stopIfTrue="1" operator="greaterThan">
      <formula>$F$35</formula>
    </cfRule>
    <cfRule type="cellIs" dxfId="3051" priority="133" stopIfTrue="1" operator="lessThanOrEqual">
      <formula>0</formula>
    </cfRule>
  </conditionalFormatting>
  <conditionalFormatting sqref="H61:H62">
    <cfRule type="cellIs" dxfId="3050" priority="93" stopIfTrue="1" operator="lessThanOrEqual">
      <formula>0</formula>
    </cfRule>
    <cfRule type="cellIs" dxfId="3049" priority="104" stopIfTrue="1" operator="greaterThan">
      <formula>#REF!</formula>
    </cfRule>
    <cfRule type="cellIs" dxfId="3048" priority="103" stopIfTrue="1" operator="lessThanOrEqual">
      <formula>0</formula>
    </cfRule>
    <cfRule type="cellIs" dxfId="3047" priority="102" stopIfTrue="1" operator="greaterThan">
      <formula>$F$21</formula>
    </cfRule>
    <cfRule type="cellIs" dxfId="3046" priority="94" stopIfTrue="1" operator="greaterThan">
      <formula>#REF!</formula>
    </cfRule>
    <cfRule type="cellIs" dxfId="3045" priority="105" stopIfTrue="1" operator="lessThanOrEqual">
      <formula>0</formula>
    </cfRule>
  </conditionalFormatting>
  <conditionalFormatting sqref="H77 H79:H85">
    <cfRule type="cellIs" dxfId="3044" priority="165" stopIfTrue="1" operator="lessThanOrEqual">
      <formula>0</formula>
    </cfRule>
    <cfRule type="cellIs" dxfId="3043" priority="164" stopIfTrue="1" operator="greaterThan">
      <formula>4.5</formula>
    </cfRule>
  </conditionalFormatting>
  <conditionalFormatting sqref="H53:I53">
    <cfRule type="cellIs" dxfId="3042" priority="4" stopIfTrue="1" operator="lessThanOrEqual">
      <formula>0</formula>
    </cfRule>
    <cfRule type="cellIs" dxfId="3041" priority="1" stopIfTrue="1" operator="greaterThan">
      <formula>$F$71</formula>
    </cfRule>
  </conditionalFormatting>
  <conditionalFormatting sqref="H54:I57">
    <cfRule type="cellIs" dxfId="3040" priority="67" stopIfTrue="1" operator="lessThanOrEqual">
      <formula>0</formula>
    </cfRule>
    <cfRule type="cellIs" dxfId="3039" priority="64" stopIfTrue="1" operator="greaterThan">
      <formula>$F$68</formula>
    </cfRule>
  </conditionalFormatting>
  <conditionalFormatting sqref="H58:I59">
    <cfRule type="cellIs" dxfId="3038" priority="108" stopIfTrue="1" operator="greaterThan">
      <formula>#REF!</formula>
    </cfRule>
    <cfRule type="cellIs" dxfId="3037" priority="111" stopIfTrue="1" operator="lessThanOrEqual">
      <formula>0</formula>
    </cfRule>
  </conditionalFormatting>
  <conditionalFormatting sqref="H60:I60">
    <cfRule type="cellIs" dxfId="3036" priority="122" stopIfTrue="1" operator="greaterThan">
      <formula>$F$36</formula>
    </cfRule>
    <cfRule type="cellIs" dxfId="3035" priority="125" stopIfTrue="1" operator="lessThanOrEqual">
      <formula>0</formula>
    </cfRule>
  </conditionalFormatting>
  <conditionalFormatting sqref="H61:I62">
    <cfRule type="cellIs" dxfId="3034" priority="92" stopIfTrue="1" operator="greaterThan">
      <formula>#REF!</formula>
    </cfRule>
    <cfRule type="cellIs" dxfId="3033" priority="95" stopIfTrue="1" operator="lessThanOrEqual">
      <formula>0</formula>
    </cfRule>
  </conditionalFormatting>
  <conditionalFormatting sqref="H66:I73">
    <cfRule type="cellIs" dxfId="3032" priority="35" stopIfTrue="1" operator="lessThanOrEqual">
      <formula>0</formula>
    </cfRule>
    <cfRule type="cellIs" dxfId="3031" priority="34" stopIfTrue="1" operator="greaterThan">
      <formula>$J66</formula>
    </cfRule>
  </conditionalFormatting>
  <conditionalFormatting sqref="H74:I74">
    <cfRule type="cellIs" dxfId="3030" priority="43" operator="greaterThan">
      <formula>5.3</formula>
    </cfRule>
  </conditionalFormatting>
  <conditionalFormatting sqref="H75:I75">
    <cfRule type="cellIs" dxfId="3029" priority="42" stopIfTrue="1" operator="lessThanOrEqual">
      <formula>0</formula>
    </cfRule>
    <cfRule type="cellIs" dxfId="3028" priority="41" stopIfTrue="1" operator="greaterThan">
      <formula>$J75</formula>
    </cfRule>
  </conditionalFormatting>
  <conditionalFormatting sqref="I53">
    <cfRule type="cellIs" dxfId="3027" priority="5" stopIfTrue="1" operator="greaterThan">
      <formula>$F$69</formula>
    </cfRule>
    <cfRule type="cellIs" dxfId="3026" priority="6" stopIfTrue="1" operator="lessThanOrEqual">
      <formula>0</formula>
    </cfRule>
    <cfRule type="cellIs" dxfId="3025" priority="7" stopIfTrue="1" operator="greaterThan">
      <formula>$F$71</formula>
    </cfRule>
    <cfRule type="cellIs" dxfId="3024" priority="8" stopIfTrue="1" operator="lessThanOrEqual">
      <formula>0</formula>
    </cfRule>
    <cfRule type="cellIs" dxfId="3023" priority="10" stopIfTrue="1" operator="lessThanOrEqual">
      <formula>0</formula>
    </cfRule>
    <cfRule type="cellIs" dxfId="3022" priority="9" stopIfTrue="1" operator="greaterThan">
      <formula>$F$69</formula>
    </cfRule>
  </conditionalFormatting>
  <conditionalFormatting sqref="I54:I57">
    <cfRule type="cellIs" dxfId="3021" priority="68" stopIfTrue="1" operator="greaterThan">
      <formula>$F$66</formula>
    </cfRule>
    <cfRule type="cellIs" dxfId="3020" priority="69" stopIfTrue="1" operator="lessThanOrEqual">
      <formula>0</formula>
    </cfRule>
    <cfRule type="cellIs" dxfId="3019" priority="70" stopIfTrue="1" operator="greaterThan">
      <formula>$F$68</formula>
    </cfRule>
    <cfRule type="cellIs" dxfId="3018" priority="72" stopIfTrue="1" operator="greaterThan">
      <formula>$F$66</formula>
    </cfRule>
    <cfRule type="cellIs" dxfId="3017" priority="73" stopIfTrue="1" operator="lessThanOrEqual">
      <formula>0</formula>
    </cfRule>
    <cfRule type="cellIs" dxfId="3016" priority="71" stopIfTrue="1" operator="lessThanOrEqual">
      <formula>0</formula>
    </cfRule>
  </conditionalFormatting>
  <conditionalFormatting sqref="I58:I59">
    <cfRule type="cellIs" dxfId="3015" priority="115" stopIfTrue="1" operator="lessThanOrEqual">
      <formula>0</formula>
    </cfRule>
    <cfRule type="cellIs" dxfId="3014" priority="116" stopIfTrue="1" operator="greaterThan">
      <formula>#REF!</formula>
    </cfRule>
    <cfRule type="cellIs" dxfId="3013" priority="117" stopIfTrue="1" operator="lessThanOrEqual">
      <formula>0</formula>
    </cfRule>
    <cfRule type="cellIs" dxfId="3012" priority="113" stopIfTrue="1" operator="lessThanOrEqual">
      <formula>0</formula>
    </cfRule>
    <cfRule type="cellIs" dxfId="3011" priority="112" stopIfTrue="1" operator="greaterThan">
      <formula>#REF!</formula>
    </cfRule>
    <cfRule type="cellIs" dxfId="3010" priority="114" stopIfTrue="1" operator="greaterThan">
      <formula>#REF!</formula>
    </cfRule>
  </conditionalFormatting>
  <conditionalFormatting sqref="I60">
    <cfRule type="cellIs" dxfId="3009" priority="131" stopIfTrue="1" operator="lessThanOrEqual">
      <formula>0</formula>
    </cfRule>
    <cfRule type="cellIs" dxfId="3008" priority="126" stopIfTrue="1" operator="greaterThan">
      <formula>$F$34</formula>
    </cfRule>
    <cfRule type="cellIs" dxfId="3007" priority="127" stopIfTrue="1" operator="lessThanOrEqual">
      <formula>0</formula>
    </cfRule>
    <cfRule type="cellIs" dxfId="3006" priority="128" stopIfTrue="1" operator="greaterThan">
      <formula>$F$36</formula>
    </cfRule>
    <cfRule type="cellIs" dxfId="3005" priority="129" stopIfTrue="1" operator="lessThanOrEqual">
      <formula>0</formula>
    </cfRule>
    <cfRule type="cellIs" dxfId="3004" priority="130" stopIfTrue="1" operator="greaterThan">
      <formula>$F$34</formula>
    </cfRule>
  </conditionalFormatting>
  <conditionalFormatting sqref="I61:I62">
    <cfRule type="cellIs" dxfId="3003" priority="99" stopIfTrue="1" operator="lessThanOrEqual">
      <formula>0</formula>
    </cfRule>
    <cfRule type="cellIs" dxfId="3002" priority="100" stopIfTrue="1" operator="greaterThan">
      <formula>#REF!</formula>
    </cfRule>
    <cfRule type="cellIs" dxfId="3001" priority="101" stopIfTrue="1" operator="lessThanOrEqual">
      <formula>0</formula>
    </cfRule>
    <cfRule type="cellIs" dxfId="3000" priority="96" stopIfTrue="1" operator="greaterThan">
      <formula>#REF!</formula>
    </cfRule>
    <cfRule type="cellIs" dxfId="2999" priority="97" stopIfTrue="1" operator="lessThanOrEqual">
      <formula>0</formula>
    </cfRule>
    <cfRule type="cellIs" dxfId="2998" priority="98" stopIfTrue="1" operator="greaterThan">
      <formula>#REF!</formula>
    </cfRule>
  </conditionalFormatting>
  <conditionalFormatting sqref="I77:I85">
    <cfRule type="cellIs" dxfId="2997" priority="160" stopIfTrue="1" operator="greaterThan">
      <formula>4.5</formula>
    </cfRule>
    <cfRule type="cellIs" dxfId="2996" priority="161" stopIfTrue="1" operator="lessThanOrEqual">
      <formula>0</formula>
    </cfRule>
  </conditionalFormatting>
  <conditionalFormatting sqref="I10:J21">
    <cfRule type="cellIs" dxfId="2995" priority="15" operator="lessThan">
      <formula>97.9</formula>
    </cfRule>
  </conditionalFormatting>
  <conditionalFormatting sqref="J24">
    <cfRule type="cellIs" dxfId="2994" priority="63" operator="lessThan">
      <formula>97.95</formula>
    </cfRule>
  </conditionalFormatting>
  <conditionalFormatting sqref="J26">
    <cfRule type="cellIs" dxfId="2993" priority="138" stopIfTrue="1" operator="greaterThan">
      <formula>100</formula>
    </cfRule>
    <cfRule type="cellIs" dxfId="2992" priority="137" stopIfTrue="1" operator="lessThan">
      <formula>96.8</formula>
    </cfRule>
    <cfRule type="cellIs" dxfId="2991" priority="139" operator="lessThan">
      <formula>98</formula>
    </cfRule>
  </conditionalFormatting>
  <conditionalFormatting sqref="J26:J28">
    <cfRule type="cellIs" dxfId="2990" priority="136" operator="lessThan">
      <formula>97.4</formula>
    </cfRule>
  </conditionalFormatting>
  <conditionalFormatting sqref="J29:J30">
    <cfRule type="cellIs" dxfId="2989" priority="140" operator="lessThan">
      <formula>98</formula>
    </cfRule>
  </conditionalFormatting>
  <conditionalFormatting sqref="J31:J32">
    <cfRule type="cellIs" dxfId="2988" priority="141" stopIfTrue="1" operator="lessThan">
      <formula>96.8</formula>
    </cfRule>
    <cfRule type="cellIs" dxfId="2987" priority="142" stopIfTrue="1" operator="greaterThan">
      <formula>100</formula>
    </cfRule>
  </conditionalFormatting>
  <conditionalFormatting sqref="J31:J33">
    <cfRule type="cellIs" dxfId="2986" priority="143" operator="lessThan">
      <formula>98</formula>
    </cfRule>
  </conditionalFormatting>
  <conditionalFormatting sqref="J62">
    <cfRule type="cellIs" dxfId="2985" priority="86" stopIfTrue="1" operator="greaterThan">
      <formula>#REF!</formula>
    </cfRule>
    <cfRule type="cellIs" dxfId="2984" priority="87" stopIfTrue="1" operator="lessThanOrEqual">
      <formula>0</formula>
    </cfRule>
    <cfRule type="cellIs" dxfId="2983" priority="88" stopIfTrue="1" operator="greaterThan">
      <formula>#REF!</formula>
    </cfRule>
    <cfRule type="cellIs" dxfId="2982" priority="84" stopIfTrue="1" operator="greaterThan">
      <formula>#REF!</formula>
    </cfRule>
    <cfRule type="cellIs" dxfId="2981" priority="89" stopIfTrue="1" operator="lessThanOrEqual">
      <formula>0</formula>
    </cfRule>
    <cfRule type="cellIs" dxfId="2980" priority="91" stopIfTrue="1" operator="lessThanOrEqual">
      <formula>0</formula>
    </cfRule>
    <cfRule type="cellIs" dxfId="2979" priority="90" stopIfTrue="1" operator="greaterThan">
      <formula>#REF!</formula>
    </cfRule>
    <cfRule type="cellIs" dxfId="2978" priority="85" stopIfTrue="1" operator="lessThanOrEqual">
      <formula>0</formula>
    </cfRule>
  </conditionalFormatting>
  <conditionalFormatting sqref="J75">
    <cfRule type="cellIs" dxfId="2977" priority="49" stopIfTrue="1" operator="lessThanOrEqual">
      <formula>0</formula>
    </cfRule>
    <cfRule type="cellIs" dxfId="2976" priority="48" stopIfTrue="1" operator="greaterThan">
      <formula>$F75</formula>
    </cfRule>
  </conditionalFormatting>
  <conditionalFormatting sqref="K10:K21">
    <cfRule type="cellIs" dxfId="2975" priority="16" operator="greaterThan">
      <formula>6</formula>
    </cfRule>
    <cfRule type="cellIs" dxfId="2974" priority="18" operator="greaterThan">
      <formula>6.4</formula>
    </cfRule>
    <cfRule type="cellIs" dxfId="2973" priority="17" operator="lessThan">
      <formula>4</formula>
    </cfRule>
  </conditionalFormatting>
  <conditionalFormatting sqref="K53:K62">
    <cfRule type="cellIs" dxfId="2972" priority="78" stopIfTrue="1" operator="lessThan">
      <formula>100%</formula>
    </cfRule>
  </conditionalFormatting>
  <conditionalFormatting sqref="K77:K82">
    <cfRule type="cellIs" dxfId="2971" priority="166" stopIfTrue="1" operator="lessThan">
      <formula>100%</formula>
    </cfRule>
  </conditionalFormatting>
  <conditionalFormatting sqref="K84:K85">
    <cfRule type="cellIs" dxfId="2970" priority="173" stopIfTrue="1" operator="lessThan">
      <formula>100%</formula>
    </cfRule>
  </conditionalFormatting>
  <conditionalFormatting sqref="K66:M74">
    <cfRule type="cellIs" dxfId="2969" priority="33" stopIfTrue="1" operator="lessThan">
      <formula>100%</formula>
    </cfRule>
  </conditionalFormatting>
  <conditionalFormatting sqref="L10:L21">
    <cfRule type="cellIs" dxfId="2968" priority="19" operator="between">
      <formula>61</formula>
      <formula>65</formula>
    </cfRule>
    <cfRule type="cellIs" dxfId="2967" priority="20" operator="greaterThan">
      <formula>65</formula>
    </cfRule>
  </conditionalFormatting>
  <conditionalFormatting sqref="L24:M35">
    <cfRule type="cellIs" dxfId="2966" priority="80" operator="lessThan">
      <formula>97.95</formula>
    </cfRule>
  </conditionalFormatting>
  <conditionalFormatting sqref="L75:M75">
    <cfRule type="cellIs" dxfId="2965" priority="50" stopIfTrue="1" operator="lessThan">
      <formula>100%</formula>
    </cfRule>
  </conditionalFormatting>
  <conditionalFormatting sqref="L39:N39">
    <cfRule type="cellIs" dxfId="2964" priority="81" operator="notEqual">
      <formula>#REF!</formula>
    </cfRule>
  </conditionalFormatting>
  <conditionalFormatting sqref="L77:N85">
    <cfRule type="cellIs" dxfId="2963" priority="151" stopIfTrue="1" operator="lessThan">
      <formula>100%</formula>
    </cfRule>
  </conditionalFormatting>
  <conditionalFormatting sqref="M10:M15">
    <cfRule type="expression" dxfId="2962" priority="24">
      <formula>IF(+(IF(M10&lt;U10,0,IF(M10&gt;V10,0,1)))=0,1)</formula>
    </cfRule>
  </conditionalFormatting>
  <conditionalFormatting sqref="M18">
    <cfRule type="expression" dxfId="2961" priority="180">
      <formula>IF(+(IF(M18&lt;U17,0,IF(M18&gt;V17,0,1)))=0,1)</formula>
    </cfRule>
  </conditionalFormatting>
  <conditionalFormatting sqref="M19">
    <cfRule type="expression" dxfId="2960" priority="31">
      <formula>IF(+(IF(M19&lt;U19,0,IF(M19&gt;V19,0,1)))=0,1)</formula>
    </cfRule>
  </conditionalFormatting>
  <conditionalFormatting sqref="M10:N17 H10:H21 G17">
    <cfRule type="expression" dxfId="2959" priority="28">
      <formula>IF(+(IF(G10&lt;#REF!,0,IF(G10&gt;#REF!,0,1)))=0,1)</formula>
    </cfRule>
  </conditionalFormatting>
  <conditionalFormatting sqref="M20:N21">
    <cfRule type="expression" dxfId="2958" priority="79">
      <formula>IF(+(IF(M20&lt;#REF!,0,IF(M20&gt;#REF!,0,1)))=0,1)</formula>
    </cfRule>
  </conditionalFormatting>
  <conditionalFormatting sqref="N10:N16">
    <cfRule type="expression" dxfId="2957" priority="23">
      <formula>IF(+(IF(N10&lt;W10,0,IF(N10&gt;X10,0,1)))=0,1)</formula>
    </cfRule>
  </conditionalFormatting>
  <conditionalFormatting sqref="N16">
    <cfRule type="expression" dxfId="2956" priority="26">
      <formula>IF(+(IF(N16&lt;#REF!,0,IF(N16&gt;#REF!,0,1)))=0,1)</formula>
    </cfRule>
  </conditionalFormatting>
  <conditionalFormatting sqref="N18">
    <cfRule type="expression" dxfId="2955" priority="181">
      <formula>IF(+(IF(N18&lt;W17,0,IF(N18&gt;X17,0,1)))=0,1)</formula>
    </cfRule>
  </conditionalFormatting>
  <conditionalFormatting sqref="N19">
    <cfRule type="expression" dxfId="2954" priority="30">
      <formula>IF(+(IF(N19&lt;W19,0,IF(N19&gt;X19,0,1)))=0,1)</formula>
    </cfRule>
  </conditionalFormatting>
  <conditionalFormatting sqref="N66:N75">
    <cfRule type="cellIs" dxfId="2953" priority="62" stopIfTrue="1" operator="lessThan">
      <formula>100%</formula>
    </cfRule>
  </conditionalFormatting>
  <conditionalFormatting sqref="P6">
    <cfRule type="cellIs" dxfId="2952" priority="147" operator="greaterThanOrEqual">
      <formula>19</formula>
    </cfRule>
  </conditionalFormatting>
  <dataValidations count="1">
    <dataValidation type="list" allowBlank="1" showInputMessage="1" showErrorMessage="1" sqref="R8" xr:uid="{C76AA64F-473D-4006-A14B-CDD499914D52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9" max="16383" man="1"/>
  </rowBreaks>
  <colBreaks count="1" manualBreakCount="1">
    <brk id="15" max="89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8CC76-8DCA-46ED-A150-D993FF6EEC5C}">
  <sheetPr>
    <pageSetUpPr fitToPage="1"/>
  </sheetPr>
  <dimension ref="A1:BE77"/>
  <sheetViews>
    <sheetView topLeftCell="A7" zoomScale="70" zoomScaleNormal="70" workbookViewId="0">
      <selection activeCell="B17" sqref="B17:O17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9.42578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5" t="s">
        <v>0</v>
      </c>
      <c r="T1" s="555"/>
      <c r="U1" s="555" t="s">
        <v>1</v>
      </c>
      <c r="V1" s="555"/>
      <c r="W1" s="555" t="s">
        <v>2</v>
      </c>
      <c r="X1" s="555"/>
      <c r="Y1" s="555" t="s">
        <v>124</v>
      </c>
      <c r="Z1" s="555"/>
    </row>
    <row r="2" spans="2:29" ht="15">
      <c r="B2" s="556" t="s">
        <v>3</v>
      </c>
      <c r="C2" s="556"/>
      <c r="D2" s="556"/>
      <c r="E2" s="556"/>
      <c r="F2" s="556"/>
      <c r="G2" s="556"/>
      <c r="H2" s="556"/>
      <c r="I2" s="556"/>
      <c r="J2" s="556"/>
      <c r="K2" s="556"/>
      <c r="L2" s="556"/>
      <c r="M2" s="556"/>
      <c r="N2" s="556"/>
      <c r="O2" s="556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46120</v>
      </c>
      <c r="J4" s="398" t="s">
        <v>167</v>
      </c>
      <c r="K4" s="398"/>
      <c r="L4" s="11"/>
      <c r="M4" s="553" t="s">
        <v>8</v>
      </c>
      <c r="N4" s="554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2"/>
      <c r="D5" s="542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6" t="s">
        <v>17</v>
      </c>
      <c r="C8" s="517" t="s">
        <v>18</v>
      </c>
      <c r="D8" s="517" t="s">
        <v>19</v>
      </c>
      <c r="E8" s="356" t="s">
        <v>20</v>
      </c>
      <c r="F8" s="356" t="s">
        <v>21</v>
      </c>
      <c r="G8" s="517" t="s">
        <v>22</v>
      </c>
      <c r="H8" s="544" t="s">
        <v>144</v>
      </c>
      <c r="I8" s="517" t="s">
        <v>165</v>
      </c>
      <c r="J8" s="546" t="s">
        <v>23</v>
      </c>
      <c r="K8" s="548" t="s">
        <v>142</v>
      </c>
      <c r="L8" s="550" t="s">
        <v>24</v>
      </c>
      <c r="M8" s="359" t="s">
        <v>25</v>
      </c>
      <c r="N8" s="17" t="s">
        <v>169</v>
      </c>
      <c r="O8" s="510" t="s">
        <v>155</v>
      </c>
      <c r="P8" s="540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43"/>
      <c r="C9" s="541"/>
      <c r="D9" s="541"/>
      <c r="E9" s="357" t="s">
        <v>30</v>
      </c>
      <c r="F9" s="357" t="s">
        <v>31</v>
      </c>
      <c r="G9" s="541"/>
      <c r="H9" s="545"/>
      <c r="I9" s="541"/>
      <c r="J9" s="547"/>
      <c r="K9" s="549"/>
      <c r="L9" s="551"/>
      <c r="M9" s="20" t="s">
        <v>32</v>
      </c>
      <c r="N9" s="21" t="s">
        <v>41</v>
      </c>
      <c r="O9" s="552"/>
      <c r="P9" s="541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6.5" customHeight="1">
      <c r="B10" s="34" t="s">
        <v>12</v>
      </c>
      <c r="C10" s="366" t="str">
        <f>[5]Brewhouse!$A43</f>
        <v>GU025</v>
      </c>
      <c r="D10" s="279">
        <f>[5]Brewhouse!$AF43</f>
        <v>50.9</v>
      </c>
      <c r="E10" s="279">
        <f>[5]Brewhouse!$AI43</f>
        <v>49.4</v>
      </c>
      <c r="F10" s="278">
        <f>[5]Brewhouse!$V43</f>
        <v>62</v>
      </c>
      <c r="G10" s="279">
        <f>[5]Brewhouse!$AG43</f>
        <v>17.100000000000001</v>
      </c>
      <c r="H10" s="396">
        <v>17.3</v>
      </c>
      <c r="I10" s="484">
        <f>[5]Brewhouse!$AU43</f>
        <v>91.8653198132276</v>
      </c>
      <c r="J10" s="484">
        <f>[5]Brewhouse!$AV43</f>
        <v>92.973268091681689</v>
      </c>
      <c r="K10" s="485">
        <f>[5]Brewhouse!$R43</f>
        <v>17.076648841354718</v>
      </c>
      <c r="L10" s="276">
        <f>[5]Brewhouse!$O43</f>
        <v>56</v>
      </c>
      <c r="M10" s="374">
        <f>[5]Brewhouse!$U43-[5]Brewhouse!$T43</f>
        <v>0.11319444444444443</v>
      </c>
      <c r="N10" s="370">
        <f>[5]Brewhouse!$Z43</f>
        <v>0.27638888888888885</v>
      </c>
      <c r="O10" s="420" t="str">
        <f>[5]Brewhouse!$AW43</f>
        <v>R. Sookram</v>
      </c>
      <c r="P10" s="418"/>
      <c r="R10" s="277" t="str">
        <f t="shared" ref="R10:R37" si="0">B10</f>
        <v>GUINNESS</v>
      </c>
      <c r="S10" s="472">
        <f t="shared" ref="S10:S37" si="1">VLOOKUP($B10,$R$3:$X$9,2,FALSE)</f>
        <v>17</v>
      </c>
      <c r="T10" s="472">
        <f t="shared" ref="T10:T37" si="2">VLOOKUP($B10,$R$3:$X$9,3,FALSE)</f>
        <v>17.5</v>
      </c>
      <c r="U10" s="297">
        <f t="shared" ref="U10:U37" si="3">VLOOKUP($B10,$R$3:$X$9,4,FALSE)</f>
        <v>0</v>
      </c>
      <c r="V10" s="297">
        <f t="shared" ref="V10:V37" si="4">VLOOKUP($B10,$R$3:$X$9,5,FALSE)</f>
        <v>0.1076388888888889</v>
      </c>
      <c r="W10" s="297">
        <f t="shared" ref="W10:W37" si="5">VLOOKUP($B10,$R$3:$X$9,6,FALSE)</f>
        <v>0.24652777777777779</v>
      </c>
      <c r="X10" s="297">
        <f t="shared" ref="X10:X37" si="6">VLOOKUP($B10,$R$3:$X$9,7,FALSE)</f>
        <v>0.28472222222222221</v>
      </c>
      <c r="Y10" s="297">
        <f t="shared" ref="Y10:Y37" si="7">VLOOKUP($B10,$R$3:$Z$9,8,FALSE)</f>
        <v>0</v>
      </c>
      <c r="Z10" s="472">
        <f t="shared" ref="Z10:Z37" si="8">VLOOKUP($B10,$R$3:$Z$9,9,FALSE)</f>
        <v>60</v>
      </c>
    </row>
    <row r="11" spans="2:29" ht="16.5" customHeight="1">
      <c r="B11" s="34" t="s">
        <v>12</v>
      </c>
      <c r="C11" s="366" t="str">
        <f>[5]Brewhouse!$A44</f>
        <v>GU026</v>
      </c>
      <c r="D11" s="279">
        <f>[5]Brewhouse!$AF44</f>
        <v>52.5</v>
      </c>
      <c r="E11" s="279">
        <f>[5]Brewhouse!$AI44</f>
        <v>51.1</v>
      </c>
      <c r="F11" s="278">
        <f>[5]Brewhouse!$V44</f>
        <v>63</v>
      </c>
      <c r="G11" s="279">
        <f>[5]Brewhouse!$AG44</f>
        <v>17.399999999999999</v>
      </c>
      <c r="H11" s="396">
        <v>17.399999999999999</v>
      </c>
      <c r="I11" s="484">
        <f>[5]Brewhouse!$AU44</f>
        <v>96.795098985422072</v>
      </c>
      <c r="J11" s="484">
        <f>[5]Brewhouse!$AV44</f>
        <v>97.962503219160453</v>
      </c>
      <c r="K11" s="485">
        <f>[5]Brewhouse!$R44</f>
        <v>13.51158645276292</v>
      </c>
      <c r="L11" s="276">
        <f>[5]Brewhouse!$O44</f>
        <v>59</v>
      </c>
      <c r="M11" s="374">
        <f>[5]Brewhouse!$U44-[5]Brewhouse!$T44</f>
        <v>0.1166666666666667</v>
      </c>
      <c r="N11" s="370">
        <f>[5]Brewhouse!$Z44</f>
        <v>0.28402777777777777</v>
      </c>
      <c r="O11" s="420" t="str">
        <f>[5]Brewhouse!$AW44</f>
        <v>R. Sookram</v>
      </c>
      <c r="P11" s="418"/>
      <c r="R11" s="277" t="str">
        <f t="shared" si="0"/>
        <v>GUINNESS</v>
      </c>
      <c r="S11" s="472">
        <f t="shared" si="1"/>
        <v>17</v>
      </c>
      <c r="T11" s="472">
        <f t="shared" si="2"/>
        <v>17.5</v>
      </c>
      <c r="U11" s="297">
        <f t="shared" si="3"/>
        <v>0</v>
      </c>
      <c r="V11" s="297">
        <f t="shared" si="4"/>
        <v>0.1076388888888889</v>
      </c>
      <c r="W11" s="297">
        <f t="shared" si="5"/>
        <v>0.24652777777777779</v>
      </c>
      <c r="X11" s="297">
        <f t="shared" si="6"/>
        <v>0.28472222222222221</v>
      </c>
      <c r="Y11" s="297">
        <f t="shared" si="7"/>
        <v>0</v>
      </c>
      <c r="Z11" s="472">
        <f t="shared" si="8"/>
        <v>60</v>
      </c>
    </row>
    <row r="12" spans="2:29" ht="16.5" customHeight="1">
      <c r="B12" s="34" t="s">
        <v>12</v>
      </c>
      <c r="C12" s="366" t="str">
        <f>[5]Brewhouse!$A45</f>
        <v>GU027</v>
      </c>
      <c r="D12" s="279">
        <f>[5]Brewhouse!$AF45</f>
        <v>53.6</v>
      </c>
      <c r="E12" s="279">
        <f>[5]Brewhouse!$AI45</f>
        <v>52.2</v>
      </c>
      <c r="F12" s="278">
        <f>[5]Brewhouse!$V45</f>
        <v>64</v>
      </c>
      <c r="G12" s="279">
        <f>[5]Brewhouse!$AG45</f>
        <v>17.399999999999999</v>
      </c>
      <c r="H12" s="396">
        <v>17.399999999999999</v>
      </c>
      <c r="I12" s="484">
        <f>[5]Brewhouse!$AU45</f>
        <v>98.720710514490094</v>
      </c>
      <c r="J12" s="484">
        <f>[5]Brewhouse!$AV45</f>
        <v>99.911755630978092</v>
      </c>
      <c r="K12" s="485">
        <f>[5]Brewhouse!$R45</f>
        <v>12.976827094474155</v>
      </c>
      <c r="L12" s="276">
        <f>[5]Brewhouse!$O45</f>
        <v>58</v>
      </c>
      <c r="M12" s="374">
        <f>[5]Brewhouse!$U45-[5]Brewhouse!$T45</f>
        <v>0.1159722222222222</v>
      </c>
      <c r="N12" s="370">
        <f>[5]Brewhouse!$Z45</f>
        <v>0.27291666666666664</v>
      </c>
      <c r="O12" s="420" t="str">
        <f>[5]Brewhouse!$AW45</f>
        <v>D. Gomaz</v>
      </c>
      <c r="P12" s="418"/>
      <c r="R12" s="277" t="str">
        <f t="shared" si="0"/>
        <v>GUINNESS</v>
      </c>
      <c r="S12" s="472">
        <f t="shared" si="1"/>
        <v>17</v>
      </c>
      <c r="T12" s="472">
        <f t="shared" si="2"/>
        <v>17.5</v>
      </c>
      <c r="U12" s="297">
        <f t="shared" si="3"/>
        <v>0</v>
      </c>
      <c r="V12" s="297">
        <f t="shared" si="4"/>
        <v>0.1076388888888889</v>
      </c>
      <c r="W12" s="297">
        <f t="shared" si="5"/>
        <v>0.24652777777777779</v>
      </c>
      <c r="X12" s="297">
        <f t="shared" si="6"/>
        <v>0.28472222222222221</v>
      </c>
      <c r="Y12" s="297">
        <f t="shared" si="7"/>
        <v>0</v>
      </c>
      <c r="Z12" s="472">
        <f t="shared" si="8"/>
        <v>60</v>
      </c>
    </row>
    <row r="13" spans="2:29" ht="15">
      <c r="B13" s="34" t="s">
        <v>12</v>
      </c>
      <c r="C13" s="366" t="str">
        <f>[5]Brewhouse!$A46</f>
        <v>GU028</v>
      </c>
      <c r="D13" s="279">
        <f>[5]Brewhouse!$AF46</f>
        <v>52.6</v>
      </c>
      <c r="E13" s="279">
        <f>[5]Brewhouse!$AI46</f>
        <v>51.1</v>
      </c>
      <c r="F13" s="278">
        <f>[5]Brewhouse!$V46</f>
        <v>62</v>
      </c>
      <c r="G13" s="279">
        <f>[5]Brewhouse!$AG46</f>
        <v>17.3</v>
      </c>
      <c r="H13" s="396">
        <v>17.3</v>
      </c>
      <c r="I13" s="484">
        <f>[5]Brewhouse!$AU46</f>
        <v>95.915862303234761</v>
      </c>
      <c r="J13" s="484">
        <f>[5]Brewhouse!$AV46</f>
        <v>97.073471273810142</v>
      </c>
      <c r="K13" s="485">
        <f>[5]Brewhouse!$R46</f>
        <v>13.51158645276292</v>
      </c>
      <c r="L13" s="276">
        <f>[5]Brewhouse!$O46</f>
        <v>59</v>
      </c>
      <c r="M13" s="374">
        <f>[5]Brewhouse!$U46-[5]Brewhouse!$T46</f>
        <v>0.11249999999999993</v>
      </c>
      <c r="N13" s="370">
        <f>[5]Brewhouse!$Z46</f>
        <v>0.26805555555555555</v>
      </c>
      <c r="O13" s="420" t="str">
        <f>[5]Brewhouse!$AW46</f>
        <v>D. Gomaz</v>
      </c>
      <c r="P13" s="418"/>
      <c r="R13" s="277" t="str">
        <f t="shared" ref="R13:R33" si="9">B13</f>
        <v>GUINNESS</v>
      </c>
      <c r="S13" s="472">
        <f t="shared" si="1"/>
        <v>17</v>
      </c>
      <c r="T13" s="472">
        <f t="shared" si="2"/>
        <v>17.5</v>
      </c>
      <c r="U13" s="297">
        <f t="shared" si="3"/>
        <v>0</v>
      </c>
      <c r="V13" s="297">
        <f t="shared" si="4"/>
        <v>0.1076388888888889</v>
      </c>
      <c r="W13" s="297">
        <f t="shared" si="5"/>
        <v>0.24652777777777779</v>
      </c>
      <c r="X13" s="297">
        <f t="shared" si="6"/>
        <v>0.28472222222222221</v>
      </c>
      <c r="Y13" s="297">
        <f t="shared" si="7"/>
        <v>0</v>
      </c>
      <c r="Z13" s="472">
        <f t="shared" si="8"/>
        <v>60</v>
      </c>
    </row>
    <row r="14" spans="2:29" ht="15">
      <c r="B14" s="34" t="s">
        <v>12</v>
      </c>
      <c r="C14" s="366" t="str">
        <f>[5]Brewhouse!$A47</f>
        <v>GU029</v>
      </c>
      <c r="D14" s="279">
        <f>[5]Brewhouse!$AF47</f>
        <v>53.6</v>
      </c>
      <c r="E14" s="279">
        <f>[5]Brewhouse!$AI47</f>
        <v>51.8</v>
      </c>
      <c r="F14" s="278">
        <f>[5]Brewhouse!$V47</f>
        <v>61</v>
      </c>
      <c r="G14" s="279">
        <f>[5]Brewhouse!$AG47</f>
        <v>17</v>
      </c>
      <c r="H14" s="396">
        <v>17</v>
      </c>
      <c r="I14" s="484">
        <f>[5]Brewhouse!$AU47</f>
        <v>95.695713342598523</v>
      </c>
      <c r="J14" s="484">
        <f>[5]Brewhouse!$AV47</f>
        <v>96.849858356940501</v>
      </c>
      <c r="K14" s="485">
        <f>[5]Brewhouse!$R47</f>
        <v>13.625218914185641</v>
      </c>
      <c r="L14" s="276">
        <f>[5]Brewhouse!$O47</f>
        <v>58</v>
      </c>
      <c r="M14" s="374">
        <f>[5]Brewhouse!$U47-[5]Brewhouse!$T47</f>
        <v>0.11388888888888893</v>
      </c>
      <c r="N14" s="370">
        <f>[5]Brewhouse!$Z47</f>
        <v>0.2729166666666667</v>
      </c>
      <c r="O14" s="420" t="str">
        <f>[5]Brewhouse!$AW47</f>
        <v>R. Regis</v>
      </c>
      <c r="P14" s="418"/>
      <c r="R14" s="277" t="str">
        <f t="shared" si="9"/>
        <v>GUINNESS</v>
      </c>
      <c r="S14" s="472">
        <f t="shared" si="1"/>
        <v>17</v>
      </c>
      <c r="T14" s="472">
        <f t="shared" si="2"/>
        <v>17.5</v>
      </c>
      <c r="U14" s="297">
        <f t="shared" si="3"/>
        <v>0</v>
      </c>
      <c r="V14" s="297">
        <f t="shared" si="4"/>
        <v>0.1076388888888889</v>
      </c>
      <c r="W14" s="297">
        <f t="shared" si="5"/>
        <v>0.24652777777777779</v>
      </c>
      <c r="X14" s="297">
        <f t="shared" si="6"/>
        <v>0.28472222222222221</v>
      </c>
      <c r="Y14" s="297">
        <f t="shared" si="7"/>
        <v>0</v>
      </c>
      <c r="Z14" s="472">
        <f t="shared" si="8"/>
        <v>60</v>
      </c>
    </row>
    <row r="15" spans="2:29" ht="15">
      <c r="B15" s="34" t="s">
        <v>12</v>
      </c>
      <c r="C15" s="366" t="str">
        <f>[5]Brewhouse!$A48</f>
        <v>GU030</v>
      </c>
      <c r="D15" s="279">
        <f>[5]Brewhouse!$AF48</f>
        <v>53.5</v>
      </c>
      <c r="E15" s="279">
        <f>[5]Brewhouse!$AI48</f>
        <v>51.5</v>
      </c>
      <c r="F15" s="278">
        <f>[5]Brewhouse!$V48</f>
        <v>59</v>
      </c>
      <c r="G15" s="279">
        <f>[5]Brewhouse!$AG48</f>
        <v>17.2</v>
      </c>
      <c r="H15" s="396">
        <v>17</v>
      </c>
      <c r="I15" s="484">
        <f>[5]Brewhouse!$AU48</f>
        <v>96.347140813579983</v>
      </c>
      <c r="J15" s="484">
        <f>[5]Brewhouse!$AV48</f>
        <v>97.50914241565799</v>
      </c>
      <c r="K15" s="485">
        <f>[5]Brewhouse!$R48</f>
        <v>12.358003442340792</v>
      </c>
      <c r="L15" s="276">
        <f>[5]Brewhouse!$O48</f>
        <v>58</v>
      </c>
      <c r="M15" s="374">
        <f>[5]Brewhouse!$U48-[5]Brewhouse!$T48</f>
        <v>0.11041666666666661</v>
      </c>
      <c r="N15" s="370">
        <f>[5]Brewhouse!$Z48</f>
        <v>0.28055555555555556</v>
      </c>
      <c r="O15" s="420" t="str">
        <f>[5]Brewhouse!$AW48</f>
        <v>R. Regis</v>
      </c>
      <c r="P15" s="418"/>
      <c r="R15" s="277" t="str">
        <f t="shared" si="9"/>
        <v>GUINNESS</v>
      </c>
      <c r="S15" s="472">
        <f t="shared" si="1"/>
        <v>17</v>
      </c>
      <c r="T15" s="472">
        <f t="shared" si="2"/>
        <v>17.5</v>
      </c>
      <c r="U15" s="297">
        <f t="shared" si="3"/>
        <v>0</v>
      </c>
      <c r="V15" s="297">
        <f t="shared" si="4"/>
        <v>0.1076388888888889</v>
      </c>
      <c r="W15" s="297">
        <f t="shared" si="5"/>
        <v>0.24652777777777779</v>
      </c>
      <c r="X15" s="297">
        <f t="shared" si="6"/>
        <v>0.28472222222222221</v>
      </c>
      <c r="Y15" s="297">
        <f t="shared" si="7"/>
        <v>0</v>
      </c>
      <c r="Z15" s="472">
        <f t="shared" si="8"/>
        <v>60</v>
      </c>
    </row>
    <row r="16" spans="2:29" ht="15">
      <c r="B16" s="34" t="s">
        <v>12</v>
      </c>
      <c r="C16" s="366" t="str">
        <f>[5]Brewhouse!$A49</f>
        <v>GU031</v>
      </c>
      <c r="D16" s="279">
        <f>[5]Brewhouse!$AF49</f>
        <v>53.3</v>
      </c>
      <c r="E16" s="279">
        <f>[5]Brewhouse!$AI49</f>
        <v>51</v>
      </c>
      <c r="F16" s="278">
        <f>[5]Brewhouse!$V49</f>
        <v>63</v>
      </c>
      <c r="G16" s="279">
        <f>[5]Brewhouse!$AG49</f>
        <v>17.399999999999999</v>
      </c>
      <c r="H16" s="396">
        <v>17.399999999999999</v>
      </c>
      <c r="I16" s="484">
        <f>[5]Brewhouse!$AU49</f>
        <v>96.451268893467329</v>
      </c>
      <c r="J16" s="484">
        <f>[5]Brewhouse!$AV49</f>
        <v>97.614933662449872</v>
      </c>
      <c r="K16" s="485">
        <f>[5]Brewhouse!$R49</f>
        <v>11.669535283993117</v>
      </c>
      <c r="L16" s="276">
        <f>[5]Brewhouse!$O49</f>
        <v>59</v>
      </c>
      <c r="M16" s="374">
        <f>[5]Brewhouse!$U49-[5]Brewhouse!$T49</f>
        <v>0.11388888888888882</v>
      </c>
      <c r="N16" s="370">
        <f>[5]Brewhouse!$Z49</f>
        <v>0.27916666666666656</v>
      </c>
      <c r="O16" s="420" t="str">
        <f>[5]Brewhouse!$AW49</f>
        <v>R. Regis</v>
      </c>
      <c r="P16" s="418"/>
      <c r="R16" s="277" t="str">
        <f t="shared" si="9"/>
        <v>GUINNESS</v>
      </c>
      <c r="S16" s="472">
        <f t="shared" si="1"/>
        <v>17</v>
      </c>
      <c r="T16" s="472">
        <f t="shared" si="2"/>
        <v>17.5</v>
      </c>
      <c r="U16" s="297">
        <f t="shared" si="3"/>
        <v>0</v>
      </c>
      <c r="V16" s="297">
        <f t="shared" si="4"/>
        <v>0.1076388888888889</v>
      </c>
      <c r="W16" s="297">
        <f t="shared" si="5"/>
        <v>0.24652777777777779</v>
      </c>
      <c r="X16" s="297">
        <f t="shared" si="6"/>
        <v>0.28472222222222221</v>
      </c>
      <c r="Y16" s="297">
        <f t="shared" si="7"/>
        <v>0</v>
      </c>
      <c r="Z16" s="472">
        <f t="shared" si="8"/>
        <v>60</v>
      </c>
    </row>
    <row r="17" spans="1:26" ht="15">
      <c r="B17" s="34" t="s">
        <v>12</v>
      </c>
      <c r="C17" s="366" t="str">
        <f>[5]Brewhouse!$A50</f>
        <v>GU032</v>
      </c>
      <c r="D17" s="279">
        <f>[5]Brewhouse!$AF50</f>
        <v>53.8</v>
      </c>
      <c r="E17" s="279">
        <f>[5]Brewhouse!$AI50</f>
        <v>52</v>
      </c>
      <c r="F17" s="278">
        <f>[5]Brewhouse!$V50</f>
        <v>67</v>
      </c>
      <c r="G17" s="279">
        <f>[5]Brewhouse!$AG50</f>
        <v>17.3</v>
      </c>
      <c r="H17" s="396">
        <v>17.2</v>
      </c>
      <c r="I17" s="484">
        <f>[5]Brewhouse!$AU50</f>
        <v>97.996131903201018</v>
      </c>
      <c r="J17" s="484">
        <f>[5]Brewhouse!$AV50</f>
        <v>99.177813861182003</v>
      </c>
      <c r="K17" s="485">
        <f>[5]Brewhouse!$R50</f>
        <v>12.551724137931036</v>
      </c>
      <c r="L17" s="276">
        <f>[5]Brewhouse!$O50</f>
        <v>57</v>
      </c>
      <c r="M17" s="374">
        <f>[5]Brewhouse!$U50-[5]Brewhouse!$T50</f>
        <v>0.11319444444444438</v>
      </c>
      <c r="N17" s="370">
        <f>[5]Brewhouse!$Z50</f>
        <v>0.26319444444444451</v>
      </c>
      <c r="O17" s="420" t="str">
        <f>[5]Brewhouse!$AW50</f>
        <v>R. Sookram</v>
      </c>
      <c r="P17" s="418"/>
      <c r="R17" s="277" t="str">
        <f t="shared" si="9"/>
        <v>GUINNESS</v>
      </c>
      <c r="S17" s="472">
        <f t="shared" si="1"/>
        <v>17</v>
      </c>
      <c r="T17" s="472">
        <f t="shared" si="2"/>
        <v>17.5</v>
      </c>
      <c r="U17" s="297">
        <f t="shared" si="3"/>
        <v>0</v>
      </c>
      <c r="V17" s="297">
        <f t="shared" si="4"/>
        <v>0.1076388888888889</v>
      </c>
      <c r="W17" s="297">
        <f t="shared" si="5"/>
        <v>0.24652777777777779</v>
      </c>
      <c r="X17" s="297">
        <f t="shared" si="6"/>
        <v>0.28472222222222221</v>
      </c>
      <c r="Y17" s="297">
        <f t="shared" si="7"/>
        <v>0</v>
      </c>
      <c r="Z17" s="472">
        <f t="shared" si="8"/>
        <v>60</v>
      </c>
    </row>
    <row r="18" spans="1:26" ht="15">
      <c r="B18" s="34"/>
      <c r="C18" s="366"/>
      <c r="D18" s="279"/>
      <c r="E18" s="279"/>
      <c r="F18" s="278"/>
      <c r="G18" s="279"/>
      <c r="H18" s="396"/>
      <c r="I18" s="484"/>
      <c r="J18" s="484"/>
      <c r="K18" s="485"/>
      <c r="L18" s="276"/>
      <c r="M18" s="374"/>
      <c r="N18" s="370"/>
      <c r="O18" s="420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5">
      <c r="B19" s="34"/>
      <c r="C19" s="366"/>
      <c r="D19" s="279"/>
      <c r="E19" s="279"/>
      <c r="F19" s="278"/>
      <c r="G19" s="279"/>
      <c r="H19" s="396"/>
      <c r="I19" s="484"/>
      <c r="J19" s="484"/>
      <c r="K19" s="485"/>
      <c r="L19" s="276"/>
      <c r="M19" s="374"/>
      <c r="N19" s="370"/>
      <c r="O19" s="420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5" hidden="1">
      <c r="B20" s="34"/>
      <c r="C20" s="366"/>
      <c r="D20" s="279"/>
      <c r="E20" s="279"/>
      <c r="F20" s="278"/>
      <c r="G20" s="279"/>
      <c r="H20" s="396"/>
      <c r="I20" s="484"/>
      <c r="J20" s="484"/>
      <c r="K20" s="485"/>
      <c r="L20" s="276"/>
      <c r="M20" s="374"/>
      <c r="N20" s="370"/>
      <c r="O20" s="420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5" hidden="1">
      <c r="B21" s="34"/>
      <c r="C21" s="366"/>
      <c r="D21" s="279"/>
      <c r="E21" s="279"/>
      <c r="F21" s="278"/>
      <c r="G21" s="279"/>
      <c r="H21" s="396"/>
      <c r="I21" s="484"/>
      <c r="J21" s="484"/>
      <c r="K21" s="485"/>
      <c r="L21" s="276"/>
      <c r="M21" s="374"/>
      <c r="N21" s="370"/>
      <c r="O21" s="420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8" hidden="1" customHeight="1">
      <c r="B22" s="29"/>
      <c r="C22" s="366"/>
      <c r="D22" s="279"/>
      <c r="E22" s="279"/>
      <c r="F22" s="278"/>
      <c r="G22" s="279"/>
      <c r="H22" s="482"/>
      <c r="I22" s="368"/>
      <c r="J22" s="368"/>
      <c r="K22" s="281"/>
      <c r="L22" s="276"/>
      <c r="M22" s="374"/>
      <c r="N22" s="370"/>
      <c r="O22" s="371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6.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8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5.75" customHeight="1" thickBot="1">
      <c r="B24" s="358"/>
      <c r="C24" s="358"/>
      <c r="D24" s="358"/>
      <c r="E24" s="358"/>
      <c r="F24" s="294"/>
      <c r="G24" s="294"/>
      <c r="H24" s="348"/>
      <c r="I24" s="533"/>
      <c r="J24" s="533"/>
      <c r="K24" s="533"/>
      <c r="L24" s="533"/>
      <c r="M24" s="533"/>
      <c r="N24" s="533"/>
      <c r="O24" s="1"/>
      <c r="P24" s="12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5.75" customHeight="1" thickBot="1">
      <c r="B25" s="388" t="s">
        <v>162</v>
      </c>
      <c r="C25" s="388"/>
      <c r="D25" s="534" t="s">
        <v>35</v>
      </c>
      <c r="E25" s="535"/>
      <c r="F25" s="294"/>
      <c r="G25" s="294"/>
      <c r="H25" s="348"/>
      <c r="I25" s="24" t="s">
        <v>17</v>
      </c>
      <c r="J25" s="25"/>
      <c r="K25" s="26" t="s">
        <v>138</v>
      </c>
      <c r="L25" s="25" t="s">
        <v>37</v>
      </c>
      <c r="M25" s="25" t="s">
        <v>38</v>
      </c>
      <c r="N25" s="27" t="s">
        <v>39</v>
      </c>
      <c r="O25" s="294"/>
      <c r="P25" s="12"/>
      <c r="R25" s="277" t="str">
        <f t="shared" si="9"/>
        <v xml:space="preserve">BRAND 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5" customHeight="1">
      <c r="A26" s="28"/>
      <c r="B26" s="588" t="str">
        <f>I26</f>
        <v>CARIB</v>
      </c>
      <c r="C26" s="362" cm="1">
        <f t="array" ref="C26:C27">[4]Process!$D$221:$D$222</f>
        <v>11.7</v>
      </c>
      <c r="D26" s="537">
        <v>11.9</v>
      </c>
      <c r="E26" s="538"/>
      <c r="F26" s="294"/>
      <c r="G26" s="294"/>
      <c r="H26" s="348"/>
      <c r="I26" s="29" t="s">
        <v>6</v>
      </c>
      <c r="J26" s="323"/>
      <c r="K26" s="284">
        <f>COUNTA([4]Brewhouse!$B$292:$B$302)</f>
        <v>11</v>
      </c>
      <c r="L26" s="305">
        <f>AVERAGE([4]Brewhouse!$AU$292:$AU$302)</f>
        <v>98.52842829529564</v>
      </c>
      <c r="M26" s="305">
        <f>AVERAGE([4]Brewhouse!$AU$42:$AU$123,[4]Brewhouse!$AU$125:$AU$188,[4]Brewhouse!$AU$198:$AU$290,[4]Brewhouse!$AU$292:$AU$302)</f>
        <v>97.90459878841277</v>
      </c>
      <c r="N26" s="30">
        <v>98</v>
      </c>
      <c r="O26" s="11"/>
      <c r="P26" s="31"/>
      <c r="R26" s="277" t="str">
        <f t="shared" si="9"/>
        <v>CARIB</v>
      </c>
      <c r="S26" s="472">
        <f t="shared" si="1"/>
        <v>11.6</v>
      </c>
      <c r="T26" s="472">
        <f t="shared" si="2"/>
        <v>12</v>
      </c>
      <c r="U26" s="297">
        <f t="shared" si="3"/>
        <v>0</v>
      </c>
      <c r="V26" s="297">
        <f t="shared" si="4"/>
        <v>0.118055555555556</v>
      </c>
      <c r="W26" s="297">
        <f t="shared" si="5"/>
        <v>0.22569444444444445</v>
      </c>
      <c r="X26" s="297">
        <f t="shared" si="6"/>
        <v>0.2638888888888889</v>
      </c>
      <c r="Y26" s="297">
        <f t="shared" si="7"/>
        <v>0</v>
      </c>
      <c r="Z26" s="472">
        <f t="shared" si="8"/>
        <v>60</v>
      </c>
    </row>
    <row r="27" spans="1:26" ht="15" customHeight="1">
      <c r="A27" s="28"/>
      <c r="B27" s="589"/>
      <c r="C27" s="362">
        <v>11.9</v>
      </c>
      <c r="D27" s="539"/>
      <c r="E27" s="525"/>
      <c r="F27" s="294"/>
      <c r="G27" s="294"/>
      <c r="H27" s="348"/>
      <c r="I27" s="33" t="s">
        <v>9</v>
      </c>
      <c r="J27" s="280"/>
      <c r="K27" s="284"/>
      <c r="L27" s="302"/>
      <c r="M27" s="302">
        <f>AVERAGE([3]Brewhouse!$AS$52:$AS$81,[3]Brewhouse!$AS$83:$AS$124,[3]Brewhouse!$AS$134:$AS$177)</f>
        <v>98.431196212769251</v>
      </c>
      <c r="N27" s="30">
        <v>98</v>
      </c>
      <c r="O27" s="11"/>
      <c r="P27" s="31"/>
      <c r="R27" s="277">
        <f t="shared" si="9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4.65" customHeight="1">
      <c r="A28" s="28"/>
      <c r="B28" s="589"/>
      <c r="C28" s="362" cm="1">
        <f t="array" ref="C28:C31">[4]Process!$D$231:$D$234</f>
        <v>11.7</v>
      </c>
      <c r="D28" s="529">
        <v>11.86</v>
      </c>
      <c r="E28" s="530"/>
      <c r="F28" s="294"/>
      <c r="G28" s="294"/>
      <c r="H28" s="348"/>
      <c r="I28" s="34" t="s">
        <v>12</v>
      </c>
      <c r="J28" s="280">
        <f>AVERAGE(I10:I17)</f>
        <v>96.223405821152667</v>
      </c>
      <c r="K28" s="284">
        <f>COUNTA([5]Brewhouse!$A$43:$A$50)</f>
        <v>8</v>
      </c>
      <c r="L28" s="302">
        <f>AVERAGE([5]Brewhouse!$AU$43:$AU$50)</f>
        <v>96.223405821152667</v>
      </c>
      <c r="M28" s="302">
        <f>AVERAGE([5]Brewhouse!$AU$16:$AU$23,[5]Brewhouse!$AU$25:$AU$32,[5]Brewhouse!$AU$34:$AU$41,[5]Brewhouse!$AU$43:$AU$50)</f>
        <v>96.904441824349703</v>
      </c>
      <c r="N28" s="30">
        <v>98</v>
      </c>
      <c r="O28" s="11"/>
      <c r="P28" s="31"/>
      <c r="R28" s="277">
        <f t="shared" si="9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4.65" customHeight="1">
      <c r="A29" s="28"/>
      <c r="B29" s="589"/>
      <c r="C29" s="362">
        <v>12.1</v>
      </c>
      <c r="D29" s="524"/>
      <c r="E29" s="525"/>
      <c r="F29" s="294"/>
      <c r="G29" s="294"/>
      <c r="H29" s="348"/>
      <c r="I29" s="22" t="s">
        <v>33</v>
      </c>
      <c r="J29" s="280"/>
      <c r="K29" s="284"/>
      <c r="L29" s="302"/>
      <c r="M29" s="302">
        <f>AVERAGE([6]Brewhouse!$AV$23:$AV$34,[6]Brewhouse!$AV$36,[6]Brewhouse!$AV$38:$AV$52)</f>
        <v>97.639832259312456</v>
      </c>
      <c r="N29" s="30">
        <v>98</v>
      </c>
      <c r="O29" s="11"/>
      <c r="P29" s="31"/>
      <c r="R29" s="277">
        <f t="shared" si="9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4.65" customHeight="1">
      <c r="A30" s="28"/>
      <c r="B30" s="589"/>
      <c r="C30" s="362">
        <v>11.9</v>
      </c>
      <c r="D30" s="529">
        <v>12.01</v>
      </c>
      <c r="E30" s="530"/>
      <c r="F30" s="417"/>
      <c r="G30" s="294"/>
      <c r="H30" s="348"/>
      <c r="I30" s="35" t="s">
        <v>29</v>
      </c>
      <c r="J30" s="280"/>
      <c r="K30" s="284"/>
      <c r="L30" s="302"/>
      <c r="M30" s="302"/>
      <c r="N30" s="30">
        <v>98</v>
      </c>
      <c r="O30" s="11"/>
      <c r="P30" s="31"/>
      <c r="R30" s="277">
        <f t="shared" si="9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4.65" customHeight="1">
      <c r="A31" s="28"/>
      <c r="B31" s="589"/>
      <c r="C31" s="362">
        <v>11.9</v>
      </c>
      <c r="D31" s="524"/>
      <c r="E31" s="525"/>
      <c r="F31" s="417"/>
      <c r="G31" s="294"/>
      <c r="H31" s="348"/>
      <c r="I31" s="36" t="s">
        <v>15</v>
      </c>
      <c r="J31" s="323"/>
      <c r="K31" s="284"/>
      <c r="L31" s="302"/>
      <c r="M31" s="302">
        <f>AVERAGE([7]Brewhouse!$AT$4:$AT$11)</f>
        <v>92.826224508052405</v>
      </c>
      <c r="N31" s="30">
        <v>98</v>
      </c>
      <c r="O31" s="11"/>
      <c r="P31" s="31"/>
      <c r="R31" s="277">
        <f t="shared" si="9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65" customHeight="1">
      <c r="A32" s="28"/>
      <c r="B32" s="589"/>
      <c r="C32" s="362" cm="1">
        <f t="array" ref="C32:C33">[4]Process!$D$247:$D$248</f>
        <v>11.9</v>
      </c>
      <c r="D32" s="529">
        <v>12.06</v>
      </c>
      <c r="E32" s="530"/>
      <c r="F32" s="417"/>
      <c r="G32" s="294"/>
      <c r="H32" s="348"/>
      <c r="I32" s="37" t="s">
        <v>16</v>
      </c>
      <c r="J32" s="323"/>
      <c r="K32" s="284"/>
      <c r="L32" s="302"/>
      <c r="M32" s="302">
        <f>AVERAGE([8]Brewhouse!$AY$5:$AY$14,[8]Brewhouse!$AY$16:$AY$23,[8]Brewhouse!$AY$42)</f>
        <v>97.390503559857137</v>
      </c>
      <c r="N32" s="30">
        <v>98</v>
      </c>
      <c r="O32" s="11"/>
      <c r="P32" s="31" t="s">
        <v>41</v>
      </c>
      <c r="R32" s="277">
        <f t="shared" si="9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65" customHeight="1">
      <c r="A33" s="28"/>
      <c r="B33" s="589"/>
      <c r="C33" s="362">
        <v>12</v>
      </c>
      <c r="D33" s="524"/>
      <c r="E33" s="525"/>
      <c r="F33" s="294"/>
      <c r="G33" s="294"/>
      <c r="H33" s="348"/>
      <c r="I33" s="411" t="s">
        <v>158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9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56" ht="14.65" customHeight="1">
      <c r="A34" s="28"/>
      <c r="B34" s="589"/>
      <c r="C34" s="349"/>
      <c r="D34" s="529"/>
      <c r="E34" s="530"/>
      <c r="F34" s="294"/>
      <c r="G34" s="294"/>
      <c r="H34" s="348"/>
      <c r="I34" s="410" t="s">
        <v>157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5" customHeight="1" thickBot="1">
      <c r="A35" s="28"/>
      <c r="B35" s="589"/>
      <c r="C35" s="349"/>
      <c r="D35" s="524"/>
      <c r="E35" s="525"/>
      <c r="F35" s="294"/>
      <c r="G35" s="294"/>
      <c r="H35" s="348"/>
      <c r="I35" s="406" t="s">
        <v>156</v>
      </c>
      <c r="J35" s="327"/>
      <c r="K35" s="407"/>
      <c r="L35" s="408"/>
      <c r="M35" s="408"/>
      <c r="N35" s="409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" customHeight="1" thickBot="1">
      <c r="A36" s="28"/>
      <c r="B36" s="589"/>
      <c r="C36" s="349"/>
      <c r="D36" s="537"/>
      <c r="E36" s="538"/>
      <c r="F36" s="294"/>
      <c r="G36" s="294"/>
      <c r="H36" s="348"/>
      <c r="I36" s="1"/>
      <c r="J36" s="39"/>
      <c r="K36" s="404">
        <f>SUM(K26:K35)</f>
        <v>19</v>
      </c>
      <c r="L36" s="405">
        <f>((L26*K26)+(L27*K27)+(L28*K28)+(L29*K29)+(L30*K30)+(K33*L33)+(L31*K31)+(L32*K32)+(L35*K35))/(K36)</f>
        <v>97.557892516709117</v>
      </c>
      <c r="M36" s="405">
        <f>AVERAGE('[9]Jan30th-31st'!$L$42,L36)</f>
        <v>97.692967126275292</v>
      </c>
      <c r="N36" s="4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5.75" thickBot="1">
      <c r="B37" s="590"/>
      <c r="C37" s="350"/>
      <c r="D37" s="539"/>
      <c r="E37" s="525"/>
      <c r="F37" s="294"/>
      <c r="G37" s="42"/>
      <c r="H37" s="41"/>
      <c r="I37" s="42"/>
      <c r="J37" s="42"/>
      <c r="K37" s="351"/>
      <c r="L37" s="348"/>
      <c r="M37" s="348"/>
      <c r="N37" s="11"/>
      <c r="O37" s="294"/>
      <c r="P37" s="12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56" ht="15.75" thickBot="1">
      <c r="B38" s="519"/>
      <c r="C38" s="362"/>
      <c r="D38" s="522"/>
      <c r="E38" s="523"/>
      <c r="F38" s="294"/>
      <c r="G38" s="42"/>
      <c r="H38" s="41"/>
      <c r="I38" s="42"/>
      <c r="J38" s="526" t="s">
        <v>129</v>
      </c>
      <c r="K38" s="526"/>
      <c r="L38" s="294"/>
      <c r="M38" s="294"/>
      <c r="N38" s="294"/>
      <c r="O38" s="294"/>
      <c r="P38" s="12"/>
    </row>
    <row r="39" spans="1:56" ht="15.75" thickBot="1">
      <c r="B39" s="520"/>
      <c r="C39" s="362"/>
      <c r="D39" s="524"/>
      <c r="E39" s="525"/>
      <c r="F39" s="294"/>
      <c r="G39" s="42"/>
      <c r="H39" s="42"/>
      <c r="I39" s="42"/>
      <c r="J39" s="292" t="s">
        <v>17</v>
      </c>
      <c r="K39" s="293" t="s">
        <v>172</v>
      </c>
      <c r="L39" s="527" t="s">
        <v>136</v>
      </c>
      <c r="M39" s="527"/>
      <c r="N39" s="528"/>
      <c r="O39" s="294"/>
      <c r="P39" s="12"/>
    </row>
    <row r="40" spans="1:56" ht="15" customHeight="1" thickBot="1">
      <c r="B40" s="520"/>
      <c r="C40" s="349"/>
      <c r="D40" s="529"/>
      <c r="E40" s="530"/>
      <c r="F40" s="294"/>
      <c r="G40" s="42"/>
      <c r="H40" s="42"/>
      <c r="I40" s="42"/>
      <c r="J40" s="287" t="s">
        <v>6</v>
      </c>
      <c r="K40" s="324"/>
      <c r="L40" s="473" t="s">
        <v>37</v>
      </c>
      <c r="M40" s="474" t="s">
        <v>38</v>
      </c>
      <c r="N40" s="474" t="s">
        <v>84</v>
      </c>
      <c r="O40" s="294"/>
      <c r="P40" s="12"/>
    </row>
    <row r="41" spans="1:56" ht="15.75" customHeight="1" thickBot="1">
      <c r="B41" s="520"/>
      <c r="C41" s="349"/>
      <c r="D41" s="524"/>
      <c r="E41" s="525"/>
      <c r="F41" s="294"/>
      <c r="G41" s="42"/>
      <c r="H41" s="42"/>
      <c r="I41" s="42"/>
      <c r="J41" s="345" t="s">
        <v>9</v>
      </c>
      <c r="K41" s="324"/>
      <c r="L41" s="344">
        <f>AVERAGE('Apr 1st'!K50,K50,'Apr 2nd'!K48)</f>
        <v>6.333333333333333</v>
      </c>
      <c r="M41" s="325">
        <f>AVERAGE('[9]Jan30th-31st'!$L$47,L41,'[10]Feb 26th '!$L$39,'[11]Mar 31st'!$L$47)</f>
        <v>6.3800724637681157</v>
      </c>
      <c r="N41" s="416">
        <v>9.1999999999999993</v>
      </c>
      <c r="O41" s="294"/>
      <c r="P41" s="12"/>
    </row>
    <row r="42" spans="1:56" ht="15" customHeight="1">
      <c r="B42" s="520"/>
      <c r="C42" s="349"/>
      <c r="D42" s="529"/>
      <c r="E42" s="530"/>
      <c r="F42" s="294"/>
      <c r="G42" s="42"/>
      <c r="H42" s="42"/>
      <c r="I42" s="42"/>
      <c r="J42" s="288" t="s">
        <v>40</v>
      </c>
      <c r="K42" s="324">
        <v>8</v>
      </c>
      <c r="L42" s="294"/>
      <c r="M42" s="294"/>
      <c r="N42" s="294"/>
      <c r="O42" s="294"/>
      <c r="P42" s="12"/>
    </row>
    <row r="43" spans="1:56" ht="15" customHeight="1">
      <c r="B43" s="520"/>
      <c r="C43" s="349"/>
      <c r="D43" s="524"/>
      <c r="E43" s="525"/>
      <c r="F43" s="294"/>
      <c r="G43" s="42"/>
      <c r="H43" s="42"/>
      <c r="I43" s="42"/>
      <c r="J43" s="289" t="s">
        <v>33</v>
      </c>
      <c r="K43" s="324"/>
      <c r="L43" s="294"/>
      <c r="M43" s="294"/>
      <c r="N43" s="294"/>
      <c r="O43" s="294"/>
      <c r="P43" s="12"/>
    </row>
    <row r="44" spans="1:56" ht="15">
      <c r="B44" s="520"/>
      <c r="C44" s="349"/>
      <c r="D44" s="529"/>
      <c r="E44" s="530"/>
      <c r="F44" s="294"/>
      <c r="G44" s="42"/>
      <c r="H44" s="42"/>
      <c r="I44" s="42"/>
      <c r="J44" s="290" t="s">
        <v>16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20"/>
      <c r="C45" s="349"/>
      <c r="D45" s="524"/>
      <c r="E45" s="525"/>
      <c r="F45" s="294"/>
      <c r="G45" s="42"/>
      <c r="H45" s="42"/>
      <c r="I45" s="42"/>
      <c r="J45" s="291" t="s">
        <v>15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20"/>
      <c r="C46" s="349"/>
      <c r="D46" s="529"/>
      <c r="E46" s="530"/>
      <c r="F46" s="294"/>
      <c r="G46" s="42"/>
      <c r="H46" s="42"/>
      <c r="I46" s="42"/>
      <c r="J46" s="291" t="s">
        <v>149</v>
      </c>
      <c r="K46" s="324"/>
      <c r="L46" s="294"/>
      <c r="M46" s="294"/>
      <c r="N46" s="294"/>
      <c r="O46" s="294"/>
      <c r="P46" s="12"/>
      <c r="BC46" s="44"/>
      <c r="BD46" s="44"/>
    </row>
    <row r="47" spans="1:56" ht="15.75" thickBot="1">
      <c r="B47" s="521"/>
      <c r="C47" s="350"/>
      <c r="D47" s="531"/>
      <c r="E47" s="532"/>
      <c r="F47" s="294" t="s">
        <v>166</v>
      </c>
      <c r="G47" s="42"/>
      <c r="H47" s="42"/>
      <c r="I47" s="42"/>
      <c r="J47" s="291" t="s">
        <v>148</v>
      </c>
      <c r="K47" s="324"/>
      <c r="L47" s="294"/>
      <c r="M47" s="294"/>
      <c r="N47" s="294" t="s">
        <v>41</v>
      </c>
      <c r="O47" s="294"/>
      <c r="P47" s="12"/>
      <c r="BC47" s="44"/>
      <c r="BD47" s="44"/>
    </row>
    <row r="48" spans="1:56" ht="17.649999999999999" customHeight="1" thickBot="1">
      <c r="B48" s="312" t="s">
        <v>139</v>
      </c>
      <c r="C48" s="313"/>
      <c r="D48" s="512"/>
      <c r="E48" s="513"/>
      <c r="F48" s="294"/>
      <c r="J48" s="295" t="s">
        <v>134</v>
      </c>
      <c r="K48" s="324"/>
      <c r="L48" s="294"/>
      <c r="M48" s="294"/>
      <c r="N48" s="294"/>
      <c r="O48" s="294"/>
      <c r="P48" s="12"/>
      <c r="BC48" s="44"/>
      <c r="BD48" s="44"/>
    </row>
    <row r="49" spans="1:57" ht="17.649999999999999" customHeight="1">
      <c r="B49" s="363"/>
      <c r="C49" s="364"/>
      <c r="D49" s="365"/>
      <c r="E49" s="365"/>
      <c r="F49" s="294"/>
      <c r="G49" s="42"/>
      <c r="H49" s="42"/>
      <c r="I49" s="42"/>
      <c r="J49" s="295" t="s">
        <v>131</v>
      </c>
      <c r="K49" s="324"/>
      <c r="L49" s="294"/>
      <c r="M49" s="294"/>
      <c r="N49" s="294"/>
      <c r="O49" s="294"/>
      <c r="P49" s="12"/>
      <c r="BC49" s="44"/>
      <c r="BD49" s="44"/>
    </row>
    <row r="50" spans="1:57" ht="15.6" customHeight="1">
      <c r="B50" s="45"/>
      <c r="C50" s="11"/>
      <c r="D50" s="11"/>
      <c r="E50" s="46"/>
      <c r="F50" s="294"/>
      <c r="G50" s="42"/>
      <c r="H50" s="42"/>
      <c r="I50" s="42"/>
      <c r="J50" s="346" t="s">
        <v>130</v>
      </c>
      <c r="K50" s="324">
        <f>SUM(K40:K49)</f>
        <v>8</v>
      </c>
      <c r="L50" s="294"/>
      <c r="M50" s="294"/>
      <c r="N50" s="294"/>
      <c r="O50" s="294"/>
      <c r="P50" s="12"/>
    </row>
    <row r="51" spans="1:57" ht="20.25" customHeight="1">
      <c r="B51" s="15" t="s">
        <v>42</v>
      </c>
      <c r="C51" s="1" t="s">
        <v>43</v>
      </c>
      <c r="D51" s="1"/>
      <c r="E51" s="1"/>
      <c r="F51" s="294"/>
      <c r="G51" s="42"/>
      <c r="H51" s="41"/>
      <c r="I51" s="42"/>
      <c r="L51" s="294"/>
      <c r="N51" s="315"/>
      <c r="P51" s="334"/>
    </row>
    <row r="52" spans="1:57" ht="15" customHeight="1" thickBot="1"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1"/>
      <c r="O52" s="48"/>
      <c r="P52" s="49"/>
    </row>
    <row r="53" spans="1:57" ht="15" customHeight="1" thickBot="1">
      <c r="B53" s="504" t="s">
        <v>17</v>
      </c>
      <c r="C53" s="504" t="s">
        <v>44</v>
      </c>
      <c r="D53" s="515" t="s">
        <v>45</v>
      </c>
      <c r="E53" s="517" t="s">
        <v>46</v>
      </c>
      <c r="F53" s="510" t="s">
        <v>47</v>
      </c>
      <c r="G53" s="502" t="s">
        <v>48</v>
      </c>
      <c r="H53" s="504" t="s">
        <v>49</v>
      </c>
      <c r="I53" s="504" t="s">
        <v>50</v>
      </c>
      <c r="J53" s="496" t="s">
        <v>28</v>
      </c>
      <c r="K53" s="506" t="s">
        <v>51</v>
      </c>
      <c r="L53" s="508" t="s">
        <v>52</v>
      </c>
      <c r="M53" s="496" t="s">
        <v>53</v>
      </c>
      <c r="N53" s="13"/>
      <c r="O53" s="13"/>
      <c r="P53" s="50"/>
    </row>
    <row r="54" spans="1:57" ht="28.5" customHeight="1" thickTop="1" thickBot="1">
      <c r="B54" s="505"/>
      <c r="C54" s="514"/>
      <c r="D54" s="516"/>
      <c r="E54" s="518"/>
      <c r="F54" s="511"/>
      <c r="G54" s="503"/>
      <c r="H54" s="505"/>
      <c r="I54" s="505"/>
      <c r="J54" s="497"/>
      <c r="K54" s="507"/>
      <c r="L54" s="509"/>
      <c r="M54" s="497"/>
      <c r="N54" s="13"/>
      <c r="O54" s="13"/>
      <c r="P54" s="50"/>
      <c r="Q54" s="355"/>
      <c r="AB54" s="475">
        <v>43474</v>
      </c>
      <c r="AC54" s="475">
        <v>43475</v>
      </c>
      <c r="AD54" s="475">
        <v>43476</v>
      </c>
      <c r="AE54" s="475">
        <v>43477</v>
      </c>
      <c r="AF54" s="475">
        <v>43478</v>
      </c>
      <c r="AG54" s="475">
        <v>43479</v>
      </c>
      <c r="AH54" s="475">
        <v>43480</v>
      </c>
      <c r="AI54" s="475">
        <v>43481</v>
      </c>
      <c r="AJ54" s="475">
        <v>43482</v>
      </c>
      <c r="AK54" s="475">
        <v>43483</v>
      </c>
      <c r="AL54" s="475">
        <v>43484</v>
      </c>
      <c r="AM54" s="475">
        <v>43485</v>
      </c>
      <c r="AN54" s="475">
        <v>43486</v>
      </c>
      <c r="AO54" s="475">
        <v>43487</v>
      </c>
      <c r="AP54" s="475">
        <v>43488</v>
      </c>
      <c r="AQ54" s="475">
        <v>43489</v>
      </c>
      <c r="AR54" s="475">
        <v>43490</v>
      </c>
      <c r="AS54" s="475">
        <v>43491</v>
      </c>
      <c r="AT54" s="475">
        <v>43492</v>
      </c>
      <c r="AU54" s="475">
        <v>43493</v>
      </c>
      <c r="AV54" s="475">
        <v>43494</v>
      </c>
      <c r="AW54" s="475">
        <v>43495</v>
      </c>
      <c r="AX54" s="475">
        <v>43496</v>
      </c>
    </row>
    <row r="55" spans="1:57" s="54" customFormat="1" ht="36.75" customHeight="1" thickBot="1">
      <c r="B55" s="480" t="str">
        <f>I26</f>
        <v>CARIB</v>
      </c>
      <c r="C55" s="479">
        <v>46119</v>
      </c>
      <c r="D55" s="442">
        <f>[12]April_2026!$J$3</f>
        <v>406.40000000000003</v>
      </c>
      <c r="E55" s="443"/>
      <c r="F55" s="444"/>
      <c r="G55" s="445">
        <f>[12]April_2026!$J$7</f>
        <v>382.9</v>
      </c>
      <c r="H55" s="458"/>
      <c r="I55" s="458"/>
      <c r="J55" s="448" t="s">
        <v>175</v>
      </c>
      <c r="K55" s="449">
        <f>[13]April_2026!$J$18</f>
        <v>1.3435087719298244</v>
      </c>
      <c r="L55" s="457">
        <f>(((D55+E55)-G55)/(D55+E55))*100</f>
        <v>5.782480314960643</v>
      </c>
      <c r="M55" s="455" t="s">
        <v>176</v>
      </c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[14]January_2019!L5</f>
        <v>0</v>
      </c>
      <c r="AC55" s="57">
        <f>[14]January_2019!M5</f>
        <v>0</v>
      </c>
      <c r="AD55" s="57">
        <f>[14]January_2019!N5</f>
        <v>0</v>
      </c>
      <c r="AE55" s="57">
        <f>[14]January_2019!O5</f>
        <v>0</v>
      </c>
      <c r="AF55" s="57">
        <f>[14]January_2019!P5</f>
        <v>0</v>
      </c>
      <c r="AG55" s="57">
        <f>[14]January_2019!Q5</f>
        <v>0</v>
      </c>
      <c r="AH55" s="57">
        <f>[14]January_2019!R5</f>
        <v>0</v>
      </c>
      <c r="AI55" s="57">
        <f>[14]January_2019!S5</f>
        <v>0</v>
      </c>
      <c r="AJ55" s="57">
        <f>[14]January_2019!T5</f>
        <v>0</v>
      </c>
      <c r="AK55" s="57">
        <f>[14]January_2019!U5</f>
        <v>0</v>
      </c>
      <c r="AL55" s="57">
        <f>[14]January_2019!V5</f>
        <v>0</v>
      </c>
      <c r="AM55" s="57">
        <f>[14]January_2019!W5</f>
        <v>0</v>
      </c>
      <c r="AN55" s="57">
        <f>[14]January_2019!X5</f>
        <v>0</v>
      </c>
      <c r="AO55" s="57">
        <f>[14]January_2019!Y5</f>
        <v>0</v>
      </c>
      <c r="AP55" s="57">
        <f>[14]January_2019!Z5</f>
        <v>0</v>
      </c>
      <c r="AQ55" s="57">
        <f>[14]January_2019!AA5</f>
        <v>0</v>
      </c>
      <c r="AR55" s="57">
        <f>[14]January_2019!AB5</f>
        <v>0</v>
      </c>
      <c r="AS55" s="57">
        <f>[14]January_2019!AC5</f>
        <v>0</v>
      </c>
      <c r="AT55" s="57">
        <f>[14]January_2019!AD5</f>
        <v>0</v>
      </c>
      <c r="AU55" s="57">
        <f>[14]January_2019!AE5</f>
        <v>0</v>
      </c>
      <c r="AV55" s="57">
        <f>[14]January_2019!AF5</f>
        <v>0</v>
      </c>
      <c r="AW55" s="57">
        <f>[14]January_2019!AG5</f>
        <v>0</v>
      </c>
      <c r="AX55" s="277">
        <f>[14]January_2019!AH5</f>
        <v>0</v>
      </c>
      <c r="AY55" s="277"/>
      <c r="AZ55" s="277"/>
      <c r="BA55" s="277"/>
      <c r="BB55" s="277"/>
      <c r="BC55" s="277"/>
      <c r="BD55" s="277"/>
      <c r="BE55" s="277"/>
    </row>
    <row r="56" spans="1:57" s="54" customFormat="1" ht="14.25" customHeight="1" thickBot="1">
      <c r="B56" s="480"/>
      <c r="C56" s="479"/>
      <c r="D56" s="442"/>
      <c r="E56" s="443"/>
      <c r="F56" s="444"/>
      <c r="G56" s="445"/>
      <c r="H56" s="458"/>
      <c r="I56" s="458"/>
      <c r="J56" s="476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[14]January_2019!L6</f>
        <v>0</v>
      </c>
      <c r="AC56" s="57">
        <f>[14]January_2019!M6</f>
        <v>0</v>
      </c>
      <c r="AD56" s="57">
        <f>[14]January_2019!N6</f>
        <v>0</v>
      </c>
      <c r="AE56" s="57">
        <f>[14]January_2019!O6</f>
        <v>0</v>
      </c>
      <c r="AF56" s="57">
        <f>[14]January_2019!P6</f>
        <v>0</v>
      </c>
      <c r="AG56" s="57">
        <f>[14]January_2019!Q6</f>
        <v>0</v>
      </c>
      <c r="AH56" s="57">
        <f>[14]January_2019!R6</f>
        <v>0</v>
      </c>
      <c r="AI56" s="57">
        <f>[14]January_2019!S6</f>
        <v>0</v>
      </c>
      <c r="AJ56" s="57">
        <f>[14]January_2019!T6</f>
        <v>0</v>
      </c>
      <c r="AK56" s="57">
        <f>[14]January_2019!U6</f>
        <v>0</v>
      </c>
      <c r="AL56" s="57">
        <f>[14]January_2019!V6</f>
        <v>0</v>
      </c>
      <c r="AM56" s="57">
        <f>[14]January_2019!W6</f>
        <v>0</v>
      </c>
      <c r="AN56" s="57">
        <f>[14]January_2019!X6</f>
        <v>0</v>
      </c>
      <c r="AO56" s="57">
        <f>[14]January_2019!Y6</f>
        <v>0</v>
      </c>
      <c r="AP56" s="57">
        <f>[14]January_2019!Z6</f>
        <v>0</v>
      </c>
      <c r="AQ56" s="57">
        <f>[14]January_2019!AA6</f>
        <v>0</v>
      </c>
      <c r="AR56" s="57">
        <f>[14]January_2019!AB6</f>
        <v>0</v>
      </c>
      <c r="AS56" s="57">
        <f>[14]January_2019!AC6</f>
        <v>0</v>
      </c>
      <c r="AT56" s="57">
        <f>[14]January_2019!AD6</f>
        <v>0</v>
      </c>
      <c r="AU56" s="57">
        <f>[14]January_2019!AE6</f>
        <v>0</v>
      </c>
      <c r="AV56" s="57">
        <f>[14]January_2019!AF6</f>
        <v>0</v>
      </c>
      <c r="AW56" s="57">
        <f>[14]January_2019!AG6</f>
        <v>0</v>
      </c>
      <c r="AX56" s="277">
        <f>[14]January_2019!AH6</f>
        <v>0</v>
      </c>
      <c r="AY56" s="277"/>
      <c r="AZ56" s="277"/>
      <c r="BA56" s="277"/>
      <c r="BB56" s="277"/>
      <c r="BC56" s="277"/>
      <c r="BD56" s="277"/>
      <c r="BE56" s="277"/>
    </row>
    <row r="57" spans="1:57" s="54" customFormat="1" ht="37.15" hidden="1" customHeight="1" thickBot="1">
      <c r="A57" s="54" t="s">
        <v>168</v>
      </c>
      <c r="B57" s="480"/>
      <c r="C57" s="479"/>
      <c r="D57" s="442"/>
      <c r="E57" s="443"/>
      <c r="F57" s="444"/>
      <c r="G57" s="445"/>
      <c r="H57" s="458"/>
      <c r="I57" s="458"/>
      <c r="J57" s="448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[14]January_2019!L7</f>
        <v>285.8</v>
      </c>
      <c r="AC57" s="57">
        <f>[14]January_2019!M7</f>
        <v>508.1</v>
      </c>
      <c r="AD57" s="57">
        <f>[14]January_2019!N7</f>
        <v>0</v>
      </c>
      <c r="AE57" s="57">
        <f>[14]January_2019!O7</f>
        <v>0</v>
      </c>
      <c r="AF57" s="57">
        <f>[14]January_2019!P7</f>
        <v>109.56666666666666</v>
      </c>
      <c r="AG57" s="57">
        <f>[14]January_2019!Q7</f>
        <v>297.64999999999998</v>
      </c>
      <c r="AH57" s="57">
        <f>[14]January_2019!R7</f>
        <v>122.3</v>
      </c>
      <c r="AI57" s="57">
        <f>[14]January_2019!S7</f>
        <v>0</v>
      </c>
      <c r="AJ57" s="57">
        <f>[14]January_2019!T7</f>
        <v>294.7</v>
      </c>
      <c r="AK57" s="57">
        <f>[14]January_2019!U7</f>
        <v>280.5</v>
      </c>
      <c r="AL57" s="57">
        <f>[14]January_2019!V7</f>
        <v>0</v>
      </c>
      <c r="AM57" s="57">
        <f>[14]January_2019!W7</f>
        <v>0</v>
      </c>
      <c r="AN57" s="57">
        <f>[14]January_2019!X7</f>
        <v>188.25</v>
      </c>
      <c r="AO57" s="57">
        <f>[14]January_2019!Y7</f>
        <v>295.7</v>
      </c>
      <c r="AP57" s="57">
        <f>[14]January_2019!Z7</f>
        <v>257.8</v>
      </c>
      <c r="AQ57" s="57">
        <f>[14]January_2019!AA7</f>
        <v>291.2</v>
      </c>
      <c r="AR57" s="57">
        <f>[14]January_2019!AB7</f>
        <v>187</v>
      </c>
      <c r="AS57" s="57">
        <f>[14]January_2019!AC7</f>
        <v>0</v>
      </c>
      <c r="AT57" s="57">
        <f>[14]January_2019!AD7</f>
        <v>0</v>
      </c>
      <c r="AU57" s="57">
        <f>[14]January_2019!AE7</f>
        <v>485.1</v>
      </c>
      <c r="AV57" s="57">
        <f>[14]January_2019!AF7</f>
        <v>171.55</v>
      </c>
      <c r="AW57" s="57">
        <f>[14]January_2019!AG7</f>
        <v>423.8</v>
      </c>
      <c r="AX57" s="277">
        <f>[14]January_2019!AH7</f>
        <v>0</v>
      </c>
      <c r="AY57" s="277"/>
      <c r="AZ57" s="277"/>
      <c r="BA57" s="277"/>
      <c r="BB57" s="277"/>
      <c r="BC57" s="277"/>
      <c r="BD57" s="277"/>
      <c r="BE57" s="277"/>
    </row>
    <row r="58" spans="1:57" s="54" customFormat="1" ht="19.5" hidden="1" customHeight="1" thickBot="1">
      <c r="B58" s="478"/>
      <c r="C58" s="430"/>
      <c r="D58" s="431"/>
      <c r="E58" s="432"/>
      <c r="F58" s="433"/>
      <c r="G58" s="434"/>
      <c r="H58" s="458"/>
      <c r="I58" s="458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1:57" s="54" customFormat="1" ht="38.450000000000003" hidden="1" customHeight="1" thickBot="1">
      <c r="B59" s="480"/>
      <c r="C59" s="479"/>
      <c r="D59" s="442"/>
      <c r="E59" s="443"/>
      <c r="F59" s="444"/>
      <c r="G59" s="445"/>
      <c r="H59" s="458"/>
      <c r="I59" s="458"/>
      <c r="J59" s="448" t="s">
        <v>171</v>
      </c>
      <c r="K59" s="459"/>
      <c r="L59" s="457" t="e">
        <f>(((D59+E59)-G59)/(D59+E59))*100</f>
        <v>#DIV/0!</v>
      </c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1:57" s="54" customFormat="1" ht="15" hidden="1">
      <c r="B60" s="453"/>
      <c r="C60" s="430"/>
      <c r="D60" s="431"/>
      <c r="E60" s="432"/>
      <c r="F60" s="433"/>
      <c r="G60" s="434"/>
      <c r="H60" s="435"/>
      <c r="I60" s="450"/>
      <c r="J60" s="451"/>
      <c r="K60" s="436"/>
      <c r="L60" s="452"/>
      <c r="M60" s="421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1:57" s="54" customFormat="1" ht="37.15" hidden="1" customHeight="1" thickBot="1">
      <c r="B61" s="480"/>
      <c r="C61" s="479"/>
      <c r="D61" s="442"/>
      <c r="E61" s="443"/>
      <c r="F61" s="444"/>
      <c r="G61" s="445"/>
      <c r="H61" s="446"/>
      <c r="I61" s="447"/>
      <c r="J61" s="448"/>
      <c r="K61" s="44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1:57" s="54" customFormat="1" ht="16.5" hidden="1" customHeight="1" thickBot="1">
      <c r="B62" s="437"/>
      <c r="C62" s="423"/>
      <c r="D62" s="424"/>
      <c r="E62" s="425"/>
      <c r="F62" s="426"/>
      <c r="G62" s="427"/>
      <c r="H62" s="428"/>
      <c r="I62" s="438"/>
      <c r="J62" s="439"/>
      <c r="K62" s="429"/>
      <c r="L62" s="440"/>
      <c r="M62" s="422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415"/>
      <c r="AC62" s="415"/>
      <c r="AD62" s="415"/>
      <c r="AE62" s="415"/>
      <c r="AF62" s="415"/>
      <c r="AG62" s="415"/>
      <c r="AH62" s="415"/>
      <c r="AI62" s="415"/>
      <c r="AJ62" s="415"/>
      <c r="AK62" s="415"/>
      <c r="AL62" s="415"/>
      <c r="AM62" s="415"/>
      <c r="AN62" s="415"/>
      <c r="AO62" s="415"/>
      <c r="AP62" s="415"/>
      <c r="AQ62" s="415"/>
      <c r="AR62" s="415"/>
      <c r="AS62" s="415"/>
      <c r="AT62" s="415"/>
      <c r="AU62" s="415"/>
      <c r="AV62" s="415"/>
      <c r="AW62" s="415"/>
    </row>
    <row r="63" spans="1:57" s="54" customFormat="1" ht="37.15" hidden="1" customHeight="1" thickBot="1">
      <c r="B63" s="456"/>
      <c r="C63" s="441"/>
      <c r="D63" s="442"/>
      <c r="E63" s="443"/>
      <c r="F63" s="444"/>
      <c r="G63" s="445"/>
      <c r="H63" s="446"/>
      <c r="I63" s="447"/>
      <c r="J63" s="448"/>
      <c r="K63" s="449"/>
      <c r="L63" s="457"/>
      <c r="M63" s="454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1:57" s="54" customFormat="1" ht="37.15" customHeight="1">
      <c r="B64" s="466"/>
      <c r="C64" s="430"/>
      <c r="D64" s="460"/>
      <c r="E64" s="461"/>
      <c r="F64" s="462"/>
      <c r="G64" s="460"/>
      <c r="H64" s="463"/>
      <c r="I64" s="463"/>
      <c r="J64" s="463"/>
      <c r="K64" s="464"/>
      <c r="L64" s="465"/>
      <c r="M64" s="50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16" ht="18" customHeight="1" thickBot="1">
      <c r="B65" s="59"/>
      <c r="C65" s="30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 t="s">
        <v>41</v>
      </c>
      <c r="O65" s="56"/>
      <c r="P65" s="60"/>
    </row>
    <row r="66" spans="2:16" ht="15.75" thickBot="1">
      <c r="B66" s="498" t="s">
        <v>55</v>
      </c>
      <c r="C66" s="499"/>
      <c r="D66" s="499"/>
      <c r="E66" s="499"/>
      <c r="F66" s="500"/>
      <c r="G66" s="498" t="s">
        <v>56</v>
      </c>
      <c r="H66" s="499"/>
      <c r="I66" s="499"/>
      <c r="J66" s="500"/>
      <c r="K66" s="498" t="s">
        <v>51</v>
      </c>
      <c r="L66" s="499"/>
      <c r="M66" s="499"/>
      <c r="N66" s="501"/>
      <c r="O66" s="56"/>
      <c r="P66" s="50"/>
    </row>
    <row r="67" spans="2:16" ht="15">
      <c r="B67" s="61" t="s">
        <v>17</v>
      </c>
      <c r="C67" s="62" t="s">
        <v>36</v>
      </c>
      <c r="D67" s="62" t="s">
        <v>37</v>
      </c>
      <c r="E67" s="62" t="s">
        <v>38</v>
      </c>
      <c r="F67" s="63" t="s">
        <v>39</v>
      </c>
      <c r="G67" s="62" t="s">
        <v>36</v>
      </c>
      <c r="H67" s="62" t="s">
        <v>37</v>
      </c>
      <c r="I67" s="62" t="s">
        <v>38</v>
      </c>
      <c r="J67" s="63" t="s">
        <v>39</v>
      </c>
      <c r="K67" s="62"/>
      <c r="L67" s="62" t="s">
        <v>37</v>
      </c>
      <c r="M67" s="62" t="s">
        <v>38</v>
      </c>
      <c r="N67" s="63" t="s">
        <v>39</v>
      </c>
      <c r="O67" s="56"/>
      <c r="P67" s="64"/>
    </row>
    <row r="68" spans="2:16" ht="15">
      <c r="B68" s="29" t="s">
        <v>6</v>
      </c>
      <c r="C68" s="282">
        <f>L55</f>
        <v>5.782480314960643</v>
      </c>
      <c r="D68" s="76">
        <v>5.9167912306925894</v>
      </c>
      <c r="E68" s="76">
        <v>6.7898106372121969</v>
      </c>
      <c r="F68" s="66">
        <v>4.8</v>
      </c>
      <c r="G68" s="65">
        <f>[12]April_2026!$J$11</f>
        <v>4.9486969549160484</v>
      </c>
      <c r="H68" s="477">
        <v>5.8303113341424178</v>
      </c>
      <c r="I68" s="477">
        <v>6.6736853038205659</v>
      </c>
      <c r="J68" s="66">
        <v>4.8</v>
      </c>
      <c r="K68" s="67">
        <f>K55</f>
        <v>1.3435087719298244</v>
      </c>
      <c r="L68" s="194">
        <v>0.83385964912280719</v>
      </c>
      <c r="M68" s="194">
        <v>0.44915216964967647</v>
      </c>
      <c r="N68" s="68">
        <v>1</v>
      </c>
      <c r="O68" s="56"/>
      <c r="P68" s="69"/>
    </row>
    <row r="69" spans="2:16" ht="15">
      <c r="B69" s="33" t="s">
        <v>9</v>
      </c>
      <c r="C69" s="65"/>
      <c r="D69" s="76"/>
      <c r="E69" s="76">
        <v>6.3411334413966323</v>
      </c>
      <c r="F69" s="66">
        <v>4.8</v>
      </c>
      <c r="G69" s="65"/>
      <c r="H69" s="76"/>
      <c r="I69" s="76">
        <v>6.0615758973702238</v>
      </c>
      <c r="J69" s="66">
        <v>4.8</v>
      </c>
      <c r="K69" s="67"/>
      <c r="L69" s="194"/>
      <c r="M69" s="194">
        <v>0.66474567163482645</v>
      </c>
      <c r="N69" s="68">
        <v>1</v>
      </c>
      <c r="P69" s="69"/>
    </row>
    <row r="70" spans="2:16" ht="15">
      <c r="B70" s="34" t="s">
        <v>40</v>
      </c>
      <c r="C70" s="65"/>
      <c r="D70" s="76"/>
      <c r="E70" s="76">
        <v>12.380135651360392</v>
      </c>
      <c r="F70" s="66">
        <v>5.5</v>
      </c>
      <c r="G70" s="483"/>
      <c r="H70" s="76"/>
      <c r="I70" s="76">
        <v>13.955538676690328</v>
      </c>
      <c r="J70" s="66">
        <v>5.5</v>
      </c>
      <c r="K70" s="67"/>
      <c r="L70" s="194"/>
      <c r="M70" s="194">
        <v>0.29450526315789471</v>
      </c>
      <c r="N70" s="68">
        <v>1</v>
      </c>
      <c r="P70" s="69"/>
    </row>
    <row r="71" spans="2:16" ht="15">
      <c r="B71" s="22" t="s">
        <v>33</v>
      </c>
      <c r="C71" s="65"/>
      <c r="D71" s="76"/>
      <c r="E71" s="76">
        <v>4.601418358346991</v>
      </c>
      <c r="F71" s="66">
        <v>3.3</v>
      </c>
      <c r="G71" s="65"/>
      <c r="H71" s="76"/>
      <c r="I71" s="76">
        <v>4.3274739720788533</v>
      </c>
      <c r="J71" s="66">
        <v>3.3</v>
      </c>
      <c r="K71" s="67"/>
      <c r="L71" s="194"/>
      <c r="M71" s="194">
        <v>0.8292543859649123</v>
      </c>
      <c r="N71" s="68">
        <v>1</v>
      </c>
      <c r="P71" s="69"/>
    </row>
    <row r="72" spans="2:16" ht="15">
      <c r="B72" s="35" t="s">
        <v>164</v>
      </c>
      <c r="C72" s="65"/>
      <c r="D72" s="76"/>
      <c r="E72" s="76"/>
      <c r="F72" s="66">
        <v>3.3</v>
      </c>
      <c r="G72" s="282"/>
      <c r="H72" s="76"/>
      <c r="I72" s="76"/>
      <c r="J72" s="66">
        <v>3</v>
      </c>
      <c r="K72" s="67"/>
      <c r="L72" s="194"/>
      <c r="M72" s="194"/>
      <c r="N72" s="68">
        <v>1</v>
      </c>
      <c r="P72" s="69"/>
    </row>
    <row r="73" spans="2:16" ht="15">
      <c r="B73" s="36" t="s">
        <v>15</v>
      </c>
      <c r="C73" s="65"/>
      <c r="D73" s="76"/>
      <c r="E73" s="76">
        <v>5.1105651105651271</v>
      </c>
      <c r="F73" s="70">
        <f>[15]May_2022!$M$43</f>
        <v>3.4878406700073312</v>
      </c>
      <c r="G73" s="282"/>
      <c r="H73" s="76"/>
      <c r="I73" s="76">
        <v>7.9131369535794072</v>
      </c>
      <c r="J73" s="66">
        <v>5.5</v>
      </c>
      <c r="K73" s="67"/>
      <c r="L73" s="194"/>
      <c r="M73" s="194">
        <v>1.3550877192982456</v>
      </c>
      <c r="N73" s="68">
        <v>1</v>
      </c>
      <c r="P73" s="69"/>
    </row>
    <row r="74" spans="2:16" ht="15">
      <c r="B74" s="37" t="s">
        <v>16</v>
      </c>
      <c r="C74" s="65"/>
      <c r="D74" s="76"/>
      <c r="E74" s="76">
        <v>3.9654240950837312</v>
      </c>
      <c r="F74" s="66">
        <v>3.3</v>
      </c>
      <c r="G74" s="282"/>
      <c r="H74" s="76"/>
      <c r="I74" s="76">
        <v>5.0010391616318897</v>
      </c>
      <c r="J74" s="66">
        <v>3.3</v>
      </c>
      <c r="K74" s="67"/>
      <c r="L74" s="194"/>
      <c r="M74" s="194">
        <v>0.93295906432748543</v>
      </c>
      <c r="N74" s="71">
        <v>1</v>
      </c>
      <c r="P74" s="69"/>
    </row>
    <row r="75" spans="2:16" ht="15.75" thickBot="1">
      <c r="B75" s="38" t="s">
        <v>163</v>
      </c>
      <c r="C75" s="65"/>
      <c r="D75" s="76"/>
      <c r="E75" s="76"/>
      <c r="F75" s="66">
        <v>7.5</v>
      </c>
      <c r="G75" s="282"/>
      <c r="H75" s="76"/>
      <c r="I75" s="76"/>
      <c r="J75" s="66">
        <v>7.5</v>
      </c>
      <c r="K75" s="67"/>
      <c r="L75" s="194"/>
      <c r="M75" s="194"/>
      <c r="N75" s="71">
        <v>1</v>
      </c>
      <c r="P75" s="69"/>
    </row>
    <row r="76" spans="2:16" ht="15.75" thickBot="1">
      <c r="B76" s="414" t="s">
        <v>161</v>
      </c>
      <c r="C76" s="65"/>
      <c r="D76" s="76"/>
      <c r="E76" s="76"/>
      <c r="F76" s="66">
        <v>4.8</v>
      </c>
      <c r="G76" s="282"/>
      <c r="H76" s="76"/>
      <c r="I76" s="76"/>
      <c r="J76" s="66">
        <v>4.8</v>
      </c>
      <c r="K76" s="67"/>
      <c r="L76" s="194"/>
      <c r="M76" s="194"/>
      <c r="N76" s="71">
        <v>1</v>
      </c>
      <c r="O76" s="74"/>
      <c r="P76" s="75"/>
    </row>
    <row r="77" spans="2:16" ht="15">
      <c r="D77" s="76">
        <v>5.9167912306925894</v>
      </c>
      <c r="E77" s="76">
        <v>6.5940739820707153</v>
      </c>
      <c r="F77" s="341">
        <v>5.5</v>
      </c>
      <c r="H77" s="76">
        <v>5.8303113341424178</v>
      </c>
      <c r="I77" s="76">
        <v>6.7698283114200768</v>
      </c>
      <c r="J77" s="341">
        <v>5.5</v>
      </c>
      <c r="L77" s="194">
        <v>0.83385964912280719</v>
      </c>
      <c r="M77" s="194">
        <v>0.55220532391585031</v>
      </c>
      <c r="N77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4:N24"/>
    <mergeCell ref="D25:E25"/>
    <mergeCell ref="B26:B37"/>
    <mergeCell ref="D26:E27"/>
    <mergeCell ref="D28:E29"/>
    <mergeCell ref="D30:E31"/>
    <mergeCell ref="D32:E33"/>
    <mergeCell ref="D34:E35"/>
    <mergeCell ref="D36:E37"/>
    <mergeCell ref="B38:B47"/>
    <mergeCell ref="D38:E39"/>
    <mergeCell ref="J38:K38"/>
    <mergeCell ref="L39:N39"/>
    <mergeCell ref="D40:E41"/>
    <mergeCell ref="D42:E43"/>
    <mergeCell ref="D44:E45"/>
    <mergeCell ref="D46:E47"/>
    <mergeCell ref="D48:E48"/>
    <mergeCell ref="B53:B54"/>
    <mergeCell ref="C53:C54"/>
    <mergeCell ref="D53:D54"/>
    <mergeCell ref="E53:E54"/>
    <mergeCell ref="M53:M54"/>
    <mergeCell ref="B66:F66"/>
    <mergeCell ref="G66:J66"/>
    <mergeCell ref="K66:N66"/>
    <mergeCell ref="G53:G54"/>
    <mergeCell ref="H53:H54"/>
    <mergeCell ref="I53:I54"/>
    <mergeCell ref="J53:J54"/>
    <mergeCell ref="K53:K54"/>
    <mergeCell ref="L53:L54"/>
    <mergeCell ref="F53:F54"/>
  </mergeCells>
  <conditionalFormatting sqref="B48:B49">
    <cfRule type="cellIs" dxfId="2951" priority="94" operator="notBetween">
      <formula>#REF!</formula>
      <formula>#REF!</formula>
    </cfRule>
  </conditionalFormatting>
  <conditionalFormatting sqref="C52">
    <cfRule type="cellIs" dxfId="2950" priority="189" stopIfTrue="1" operator="greaterThan">
      <formula>100</formula>
    </cfRule>
    <cfRule type="cellIs" dxfId="2949" priority="188" stopIfTrue="1" operator="lessThan">
      <formula>96</formula>
    </cfRule>
  </conditionalFormatting>
  <conditionalFormatting sqref="C68:C72">
    <cfRule type="cellIs" dxfId="2948" priority="157" stopIfTrue="1" operator="lessThanOrEqual">
      <formula>0</formula>
    </cfRule>
  </conditionalFormatting>
  <conditionalFormatting sqref="C68:C76">
    <cfRule type="cellIs" dxfId="2947" priority="156" stopIfTrue="1" operator="greaterThan">
      <formula>$F68</formula>
    </cfRule>
  </conditionalFormatting>
  <conditionalFormatting sqref="C69">
    <cfRule type="cellIs" dxfId="2946" priority="190" stopIfTrue="1" operator="greaterThan">
      <formula>$F68</formula>
    </cfRule>
  </conditionalFormatting>
  <conditionalFormatting sqref="C73">
    <cfRule type="cellIs" dxfId="2945" priority="118" stopIfTrue="1" operator="lessThanOrEqual">
      <formula>0</formula>
    </cfRule>
    <cfRule type="cellIs" dxfId="2944" priority="119" stopIfTrue="1" operator="greaterThan">
      <formula>$F72</formula>
    </cfRule>
  </conditionalFormatting>
  <conditionalFormatting sqref="C74:C76">
    <cfRule type="cellIs" dxfId="2943" priority="158" stopIfTrue="1" operator="lessThanOrEqual">
      <formula>0</formula>
    </cfRule>
  </conditionalFormatting>
  <conditionalFormatting sqref="C79:C83">
    <cfRule type="cellIs" dxfId="2942" priority="180" stopIfTrue="1" operator="lessThanOrEqual">
      <formula>0</formula>
    </cfRule>
  </conditionalFormatting>
  <conditionalFormatting sqref="C80:C83">
    <cfRule type="cellIs" dxfId="2941" priority="179" stopIfTrue="1" operator="greaterThan">
      <formula>$F$79</formula>
    </cfRule>
  </conditionalFormatting>
  <conditionalFormatting sqref="C85">
    <cfRule type="cellIs" dxfId="2940" priority="181" stopIfTrue="1" operator="greaterThan">
      <formula>$F$79</formula>
    </cfRule>
    <cfRule type="cellIs" dxfId="2939" priority="182" stopIfTrue="1" operator="lessThanOrEqual">
      <formula>0</formula>
    </cfRule>
  </conditionalFormatting>
  <conditionalFormatting sqref="C79:D79 D81:D87">
    <cfRule type="cellIs" dxfId="2938" priority="174" stopIfTrue="1" operator="greaterThan">
      <formula>4.5</formula>
    </cfRule>
  </conditionalFormatting>
  <conditionalFormatting sqref="D48:D49">
    <cfRule type="cellIs" dxfId="2937" priority="95" operator="notBetween">
      <formula>#REF!</formula>
      <formula>#REF!</formula>
    </cfRule>
  </conditionalFormatting>
  <conditionalFormatting sqref="D68:D75">
    <cfRule type="cellIs" dxfId="2936" priority="69" stopIfTrue="1" operator="lessThanOrEqual">
      <formula>0</formula>
    </cfRule>
  </conditionalFormatting>
  <conditionalFormatting sqref="D68:D77">
    <cfRule type="cellIs" dxfId="2935" priority="48" stopIfTrue="1" operator="lessThanOrEqual">
      <formula>0</formula>
    </cfRule>
  </conditionalFormatting>
  <conditionalFormatting sqref="D76">
    <cfRule type="cellIs" dxfId="2934" priority="68" stopIfTrue="1" operator="lessThanOrEqual">
      <formula>0</formula>
    </cfRule>
  </conditionalFormatting>
  <conditionalFormatting sqref="D77">
    <cfRule type="cellIs" dxfId="2933" priority="63" stopIfTrue="1" operator="lessThanOrEqual">
      <formula>0</formula>
    </cfRule>
  </conditionalFormatting>
  <conditionalFormatting sqref="D79 D81:D87">
    <cfRule type="cellIs" dxfId="2932" priority="175" stopIfTrue="1" operator="lessThanOrEqual">
      <formula>0</formula>
    </cfRule>
  </conditionalFormatting>
  <conditionalFormatting sqref="D80">
    <cfRule type="cellIs" dxfId="2931" priority="167" stopIfTrue="1" operator="lessThanOrEqual">
      <formula>0</formula>
    </cfRule>
    <cfRule type="cellIs" dxfId="2930" priority="166" stopIfTrue="1" operator="greaterThan">
      <formula>$F$79</formula>
    </cfRule>
  </conditionalFormatting>
  <conditionalFormatting sqref="D68:E77">
    <cfRule type="cellIs" dxfId="2929" priority="50" stopIfTrue="1" operator="greaterThan">
      <formula>$F68</formula>
    </cfRule>
  </conditionalFormatting>
  <conditionalFormatting sqref="D77:E77">
    <cfRule type="cellIs" dxfId="2928" priority="52" stopIfTrue="1" operator="lessThanOrEqual">
      <formula>0</formula>
    </cfRule>
  </conditionalFormatting>
  <conditionalFormatting sqref="E10:E23">
    <cfRule type="cellIs" dxfId="2927" priority="33" operator="lessThan">
      <formula>48</formula>
    </cfRule>
  </conditionalFormatting>
  <conditionalFormatting sqref="E51 E52:F52">
    <cfRule type="cellIs" dxfId="2926" priority="171" stopIfTrue="1" operator="greaterThan">
      <formula>100</formula>
    </cfRule>
  </conditionalFormatting>
  <conditionalFormatting sqref="E52">
    <cfRule type="cellIs" dxfId="2925" priority="168" stopIfTrue="1" operator="lessThan">
      <formula>96.8</formula>
    </cfRule>
    <cfRule type="cellIs" dxfId="2924" priority="169" stopIfTrue="1" operator="greaterThan">
      <formula>100</formula>
    </cfRule>
  </conditionalFormatting>
  <conditionalFormatting sqref="E68:E76">
    <cfRule type="cellIs" dxfId="2923" priority="49" stopIfTrue="1" operator="lessThanOrEqual">
      <formula>0</formula>
    </cfRule>
  </conditionalFormatting>
  <conditionalFormatting sqref="E68:E77">
    <cfRule type="cellIs" dxfId="2922" priority="51" stopIfTrue="1" operator="lessThanOrEqual">
      <formula>0</formula>
    </cfRule>
  </conditionalFormatting>
  <conditionalFormatting sqref="E79:E87">
    <cfRule type="cellIs" dxfId="2921" priority="161" stopIfTrue="1" operator="lessThanOrEqual">
      <formula>0</formula>
    </cfRule>
    <cfRule type="cellIs" dxfId="2920" priority="160" stopIfTrue="1" operator="greaterThan">
      <formula>4.5</formula>
    </cfRule>
  </conditionalFormatting>
  <conditionalFormatting sqref="E52:F52 E51">
    <cfRule type="cellIs" dxfId="2919" priority="170" stopIfTrue="1" operator="lessThan">
      <formula>96.5</formula>
    </cfRule>
  </conditionalFormatting>
  <conditionalFormatting sqref="F10:F23">
    <cfRule type="cellIs" dxfId="2918" priority="44" operator="greaterThan">
      <formula>60</formula>
    </cfRule>
  </conditionalFormatting>
  <conditionalFormatting sqref="F52">
    <cfRule type="cellIs" dxfId="2917" priority="186" stopIfTrue="1" operator="lessThan">
      <formula>96.8</formula>
    </cfRule>
    <cfRule type="cellIs" dxfId="2916" priority="187" stopIfTrue="1" operator="greaterThan">
      <formula>100</formula>
    </cfRule>
  </conditionalFormatting>
  <conditionalFormatting sqref="F77">
    <cfRule type="cellIs" dxfId="2915" priority="67" stopIfTrue="1" operator="lessThanOrEqual">
      <formula>0</formula>
    </cfRule>
    <cfRule type="cellIs" dxfId="2914" priority="66" stopIfTrue="1" operator="greaterThan">
      <formula>$F77</formula>
    </cfRule>
  </conditionalFormatting>
  <conditionalFormatting sqref="G10:G23">
    <cfRule type="expression" dxfId="2913" priority="41">
      <formula>IF(+(IF(G10&lt;S10,0,IF(G10&gt;T10,0,1)))=0,1)</formula>
    </cfRule>
  </conditionalFormatting>
  <conditionalFormatting sqref="G68:G69">
    <cfRule type="cellIs" dxfId="2912" priority="71" stopIfTrue="1" operator="lessThanOrEqual">
      <formula>0</formula>
    </cfRule>
    <cfRule type="cellIs" dxfId="2911" priority="65" stopIfTrue="1" operator="lessThanOrEqual">
      <formula>0</formula>
    </cfRule>
    <cfRule type="cellIs" dxfId="2910" priority="70" stopIfTrue="1" operator="greaterThan">
      <formula>$F68</formula>
    </cfRule>
    <cfRule type="cellIs" dxfId="2909" priority="64" stopIfTrue="1" operator="greaterThan">
      <formula>$F68</formula>
    </cfRule>
  </conditionalFormatting>
  <conditionalFormatting sqref="G70">
    <cfRule type="containsErrors" dxfId="2908" priority="39" stopIfTrue="1">
      <formula>ISERROR(G70)</formula>
    </cfRule>
  </conditionalFormatting>
  <conditionalFormatting sqref="G71">
    <cfRule type="cellIs" dxfId="2907" priority="56" stopIfTrue="1" operator="greaterThan">
      <formula>$F71</formula>
    </cfRule>
    <cfRule type="cellIs" dxfId="2906" priority="57" stopIfTrue="1" operator="lessThanOrEqual">
      <formula>0</formula>
    </cfRule>
    <cfRule type="cellIs" dxfId="2905" priority="58" stopIfTrue="1" operator="greaterThan">
      <formula>$F71</formula>
    </cfRule>
    <cfRule type="cellIs" dxfId="2904" priority="59" stopIfTrue="1" operator="lessThanOrEqual">
      <formula>0</formula>
    </cfRule>
  </conditionalFormatting>
  <conditionalFormatting sqref="G72:G76">
    <cfRule type="cellIs" dxfId="2903" priority="72" stopIfTrue="1" operator="greaterThan">
      <formula>$J72</formula>
    </cfRule>
    <cfRule type="cellIs" dxfId="2902" priority="73" stopIfTrue="1" operator="lessThanOrEqual">
      <formula>0</formula>
    </cfRule>
  </conditionalFormatting>
  <conditionalFormatting sqref="G81:G86 C84 C86">
    <cfRule type="cellIs" dxfId="2901" priority="184" stopIfTrue="1" operator="lessThanOrEqual">
      <formula>0</formula>
    </cfRule>
    <cfRule type="cellIs" dxfId="2900" priority="183" stopIfTrue="1" operator="greaterThan">
      <formula>4.5</formula>
    </cfRule>
  </conditionalFormatting>
  <conditionalFormatting sqref="G80:H80">
    <cfRule type="cellIs" dxfId="2899" priority="164" stopIfTrue="1" operator="greaterThan">
      <formula>$F$79</formula>
    </cfRule>
    <cfRule type="cellIs" dxfId="2898" priority="165" stopIfTrue="1" operator="lessThanOrEqual">
      <formula>0</formula>
    </cfRule>
  </conditionalFormatting>
  <conditionalFormatting sqref="H10:H23">
    <cfRule type="expression" dxfId="2897" priority="40">
      <formula>IF(+(IF(H10&lt;#REF!,0,IF(H10&gt;#REF!,0,1)))=0,1)</formula>
    </cfRule>
  </conditionalFormatting>
  <conditionalFormatting sqref="H37:H38 H51">
    <cfRule type="cellIs" dxfId="2896" priority="162" stopIfTrue="1" operator="greaterThan">
      <formula>0</formula>
    </cfRule>
  </conditionalFormatting>
  <conditionalFormatting sqref="H55">
    <cfRule type="cellIs" dxfId="2895" priority="14" stopIfTrue="1" operator="lessThanOrEqual">
      <formula>0</formula>
    </cfRule>
    <cfRule type="cellIs" dxfId="2894" priority="15" stopIfTrue="1" operator="greaterThan">
      <formula>$F$71</formula>
    </cfRule>
    <cfRule type="cellIs" dxfId="2893" priority="25" stopIfTrue="1" operator="greaterThan">
      <formula>$F$72</formula>
    </cfRule>
    <cfRule type="cellIs" dxfId="2892" priority="26" stopIfTrue="1" operator="lessThanOrEqual">
      <formula>0</formula>
    </cfRule>
    <cfRule type="cellIs" dxfId="2891" priority="24" stopIfTrue="1" operator="lessThanOrEqual">
      <formula>0</formula>
    </cfRule>
    <cfRule type="cellIs" dxfId="2890" priority="23" stopIfTrue="1" operator="greaterThan">
      <formula>$F$74</formula>
    </cfRule>
  </conditionalFormatting>
  <conditionalFormatting sqref="H56:H59">
    <cfRule type="cellIs" dxfId="2889" priority="77" stopIfTrue="1" operator="lessThanOrEqual">
      <formula>0</formula>
    </cfRule>
    <cfRule type="cellIs" dxfId="2888" priority="78" stopIfTrue="1" operator="greaterThan">
      <formula>$F$68</formula>
    </cfRule>
    <cfRule type="cellIs" dxfId="2887" priority="86" stopIfTrue="1" operator="greaterThan">
      <formula>$F$71</formula>
    </cfRule>
    <cfRule type="cellIs" dxfId="2886" priority="87" stopIfTrue="1" operator="lessThanOrEqual">
      <formula>0</formula>
    </cfRule>
    <cfRule type="cellIs" dxfId="2885" priority="88" stopIfTrue="1" operator="greaterThan">
      <formula>$F$69</formula>
    </cfRule>
    <cfRule type="cellIs" dxfId="2884" priority="89" stopIfTrue="1" operator="lessThanOrEqual">
      <formula>0</formula>
    </cfRule>
  </conditionalFormatting>
  <conditionalFormatting sqref="H60:H61">
    <cfRule type="cellIs" dxfId="2883" priority="131" stopIfTrue="1" operator="lessThanOrEqual">
      <formula>0</formula>
    </cfRule>
    <cfRule type="cellIs" dxfId="2882" priority="132" stopIfTrue="1" operator="greaterThan">
      <formula>#REF!</formula>
    </cfRule>
    <cfRule type="cellIs" dxfId="2881" priority="133" stopIfTrue="1" operator="lessThanOrEqual">
      <formula>0</formula>
    </cfRule>
    <cfRule type="cellIs" dxfId="2880" priority="130" stopIfTrue="1" operator="greaterThan">
      <formula>$F$23</formula>
    </cfRule>
    <cfRule type="cellIs" dxfId="2879" priority="122" stopIfTrue="1" operator="greaterThan">
      <formula>#REF!</formula>
    </cfRule>
    <cfRule type="cellIs" dxfId="2878" priority="121" stopIfTrue="1" operator="lessThanOrEqual">
      <formula>0</formula>
    </cfRule>
  </conditionalFormatting>
  <conditionalFormatting sqref="H62">
    <cfRule type="cellIs" dxfId="2877" priority="146" stopIfTrue="1" operator="greaterThan">
      <formula>$F$37</formula>
    </cfRule>
    <cfRule type="cellIs" dxfId="2876" priority="135" stopIfTrue="1" operator="lessThanOrEqual">
      <formula>0</formula>
    </cfRule>
    <cfRule type="cellIs" dxfId="2875" priority="136" stopIfTrue="1" operator="greaterThan">
      <formula>$F$36</formula>
    </cfRule>
    <cfRule type="cellIs" dxfId="2874" priority="145" stopIfTrue="1" operator="lessThanOrEqual">
      <formula>0</formula>
    </cfRule>
    <cfRule type="cellIs" dxfId="2873" priority="147" stopIfTrue="1" operator="lessThanOrEqual">
      <formula>0</formula>
    </cfRule>
    <cfRule type="cellIs" dxfId="2872" priority="144" stopIfTrue="1" operator="greaterThan">
      <formula>$F$39</formula>
    </cfRule>
  </conditionalFormatting>
  <conditionalFormatting sqref="H63:H64">
    <cfRule type="cellIs" dxfId="2871" priority="117" stopIfTrue="1" operator="lessThanOrEqual">
      <formula>0</formula>
    </cfRule>
    <cfRule type="cellIs" dxfId="2870" priority="105" stopIfTrue="1" operator="lessThanOrEqual">
      <formula>0</formula>
    </cfRule>
    <cfRule type="cellIs" dxfId="2869" priority="106" stopIfTrue="1" operator="greaterThan">
      <formula>#REF!</formula>
    </cfRule>
    <cfRule type="cellIs" dxfId="2868" priority="116" stopIfTrue="1" operator="greaterThan">
      <formula>#REF!</formula>
    </cfRule>
    <cfRule type="cellIs" dxfId="2867" priority="114" stopIfTrue="1" operator="greaterThan">
      <formula>$F$23</formula>
    </cfRule>
    <cfRule type="cellIs" dxfId="2866" priority="115" stopIfTrue="1" operator="lessThanOrEqual">
      <formula>0</formula>
    </cfRule>
  </conditionalFormatting>
  <conditionalFormatting sqref="H79 H81:H87">
    <cfRule type="cellIs" dxfId="2865" priority="176" stopIfTrue="1" operator="greaterThan">
      <formula>4.5</formula>
    </cfRule>
    <cfRule type="cellIs" dxfId="2864" priority="177" stopIfTrue="1" operator="lessThanOrEqual">
      <formula>0</formula>
    </cfRule>
  </conditionalFormatting>
  <conditionalFormatting sqref="H55:I55">
    <cfRule type="cellIs" dxfId="2863" priority="13" stopIfTrue="1" operator="greaterThan">
      <formula>$F$73</formula>
    </cfRule>
    <cfRule type="cellIs" dxfId="2862" priority="16" stopIfTrue="1" operator="lessThanOrEqual">
      <formula>0</formula>
    </cfRule>
  </conditionalFormatting>
  <conditionalFormatting sqref="H56:I59">
    <cfRule type="cellIs" dxfId="2861" priority="79" stopIfTrue="1" operator="lessThanOrEqual">
      <formula>0</formula>
    </cfRule>
    <cfRule type="cellIs" dxfId="2860" priority="76" stopIfTrue="1" operator="greaterThan">
      <formula>$F$70</formula>
    </cfRule>
  </conditionalFormatting>
  <conditionalFormatting sqref="H60:I61">
    <cfRule type="cellIs" dxfId="2859" priority="120" stopIfTrue="1" operator="greaterThan">
      <formula>#REF!</formula>
    </cfRule>
    <cfRule type="cellIs" dxfId="2858" priority="123" stopIfTrue="1" operator="lessThanOrEqual">
      <formula>0</formula>
    </cfRule>
  </conditionalFormatting>
  <conditionalFormatting sqref="H62:I62">
    <cfRule type="cellIs" dxfId="2857" priority="134" stopIfTrue="1" operator="greaterThan">
      <formula>$F$38</formula>
    </cfRule>
    <cfRule type="cellIs" dxfId="2856" priority="137" stopIfTrue="1" operator="lessThanOrEqual">
      <formula>0</formula>
    </cfRule>
  </conditionalFormatting>
  <conditionalFormatting sqref="H63:I64">
    <cfRule type="cellIs" dxfId="2855" priority="104" stopIfTrue="1" operator="greaterThan">
      <formula>#REF!</formula>
    </cfRule>
    <cfRule type="cellIs" dxfId="2854" priority="107" stopIfTrue="1" operator="lessThanOrEqual">
      <formula>0</formula>
    </cfRule>
  </conditionalFormatting>
  <conditionalFormatting sqref="H68:I75">
    <cfRule type="cellIs" dxfId="2853" priority="47" stopIfTrue="1" operator="lessThanOrEqual">
      <formula>0</formula>
    </cfRule>
    <cfRule type="cellIs" dxfId="2852" priority="46" stopIfTrue="1" operator="greaterThan">
      <formula>$J68</formula>
    </cfRule>
  </conditionalFormatting>
  <conditionalFormatting sqref="H76:I76">
    <cfRule type="cellIs" dxfId="2851" priority="55" operator="greaterThan">
      <formula>5.3</formula>
    </cfRule>
  </conditionalFormatting>
  <conditionalFormatting sqref="H77:I77">
    <cfRule type="cellIs" dxfId="2850" priority="54" stopIfTrue="1" operator="lessThanOrEqual">
      <formula>0</formula>
    </cfRule>
    <cfRule type="cellIs" dxfId="2849" priority="53" stopIfTrue="1" operator="greaterThan">
      <formula>$J77</formula>
    </cfRule>
  </conditionalFormatting>
  <conditionalFormatting sqref="I55">
    <cfRule type="cellIs" dxfId="2848" priority="17" stopIfTrue="1" operator="greaterThan">
      <formula>$F$71</formula>
    </cfRule>
    <cfRule type="cellIs" dxfId="2847" priority="22" stopIfTrue="1" operator="lessThanOrEqual">
      <formula>0</formula>
    </cfRule>
    <cfRule type="cellIs" dxfId="2846" priority="21" stopIfTrue="1" operator="greaterThan">
      <formula>$F$71</formula>
    </cfRule>
    <cfRule type="cellIs" dxfId="2845" priority="20" stopIfTrue="1" operator="lessThanOrEqual">
      <formula>0</formula>
    </cfRule>
    <cfRule type="cellIs" dxfId="2844" priority="19" stopIfTrue="1" operator="greaterThan">
      <formula>$F$73</formula>
    </cfRule>
    <cfRule type="cellIs" dxfId="2843" priority="18" stopIfTrue="1" operator="lessThanOrEqual">
      <formula>0</formula>
    </cfRule>
  </conditionalFormatting>
  <conditionalFormatting sqref="I56:I59">
    <cfRule type="cellIs" dxfId="2842" priority="85" stopIfTrue="1" operator="lessThanOrEqual">
      <formula>0</formula>
    </cfRule>
    <cfRule type="cellIs" dxfId="2841" priority="83" stopIfTrue="1" operator="lessThanOrEqual">
      <formula>0</formula>
    </cfRule>
    <cfRule type="cellIs" dxfId="2840" priority="80" stopIfTrue="1" operator="greaterThan">
      <formula>$F$68</formula>
    </cfRule>
    <cfRule type="cellIs" dxfId="2839" priority="81" stopIfTrue="1" operator="lessThanOrEqual">
      <formula>0</formula>
    </cfRule>
    <cfRule type="cellIs" dxfId="2838" priority="82" stopIfTrue="1" operator="greaterThan">
      <formula>$F$70</formula>
    </cfRule>
    <cfRule type="cellIs" dxfId="2837" priority="84" stopIfTrue="1" operator="greaterThan">
      <formula>$F$68</formula>
    </cfRule>
  </conditionalFormatting>
  <conditionalFormatting sqref="I60:I61">
    <cfRule type="cellIs" dxfId="2836" priority="129" stopIfTrue="1" operator="lessThanOrEqual">
      <formula>0</formula>
    </cfRule>
    <cfRule type="cellIs" dxfId="2835" priority="128" stopIfTrue="1" operator="greaterThan">
      <formula>#REF!</formula>
    </cfRule>
    <cfRule type="cellIs" dxfId="2834" priority="126" stopIfTrue="1" operator="greaterThan">
      <formula>#REF!</formula>
    </cfRule>
    <cfRule type="cellIs" dxfId="2833" priority="125" stopIfTrue="1" operator="lessThanOrEqual">
      <formula>0</formula>
    </cfRule>
    <cfRule type="cellIs" dxfId="2832" priority="124" stopIfTrue="1" operator="greaterThan">
      <formula>#REF!</formula>
    </cfRule>
    <cfRule type="cellIs" dxfId="2831" priority="127" stopIfTrue="1" operator="lessThanOrEqual">
      <formula>0</formula>
    </cfRule>
  </conditionalFormatting>
  <conditionalFormatting sqref="I62">
    <cfRule type="cellIs" dxfId="2830" priority="140" stopIfTrue="1" operator="greaterThan">
      <formula>$F$38</formula>
    </cfRule>
    <cfRule type="cellIs" dxfId="2829" priority="138" stopIfTrue="1" operator="greaterThan">
      <formula>$F$36</formula>
    </cfRule>
    <cfRule type="cellIs" dxfId="2828" priority="139" stopIfTrue="1" operator="lessThanOrEqual">
      <formula>0</formula>
    </cfRule>
    <cfRule type="cellIs" dxfId="2827" priority="141" stopIfTrue="1" operator="lessThanOrEqual">
      <formula>0</formula>
    </cfRule>
    <cfRule type="cellIs" dxfId="2826" priority="142" stopIfTrue="1" operator="greaterThan">
      <formula>$F$36</formula>
    </cfRule>
    <cfRule type="cellIs" dxfId="2825" priority="143" stopIfTrue="1" operator="lessThanOrEqual">
      <formula>0</formula>
    </cfRule>
  </conditionalFormatting>
  <conditionalFormatting sqref="I63:I64">
    <cfRule type="cellIs" dxfId="2824" priority="111" stopIfTrue="1" operator="lessThanOrEqual">
      <formula>0</formula>
    </cfRule>
    <cfRule type="cellIs" dxfId="2823" priority="113" stopIfTrue="1" operator="lessThanOrEqual">
      <formula>0</formula>
    </cfRule>
    <cfRule type="cellIs" dxfId="2822" priority="108" stopIfTrue="1" operator="greaterThan">
      <formula>#REF!</formula>
    </cfRule>
    <cfRule type="cellIs" dxfId="2821" priority="112" stopIfTrue="1" operator="greaterThan">
      <formula>#REF!</formula>
    </cfRule>
    <cfRule type="cellIs" dxfId="2820" priority="109" stopIfTrue="1" operator="lessThanOrEqual">
      <formula>0</formula>
    </cfRule>
    <cfRule type="cellIs" dxfId="2819" priority="110" stopIfTrue="1" operator="greaterThan">
      <formula>#REF!</formula>
    </cfRule>
  </conditionalFormatting>
  <conditionalFormatting sqref="I79:I87">
    <cfRule type="cellIs" dxfId="2818" priority="173" stopIfTrue="1" operator="lessThanOrEqual">
      <formula>0</formula>
    </cfRule>
    <cfRule type="cellIs" dxfId="2817" priority="172" stopIfTrue="1" operator="greaterThan">
      <formula>4.5</formula>
    </cfRule>
  </conditionalFormatting>
  <conditionalFormatting sqref="I10:J23">
    <cfRule type="cellIs" dxfId="2816" priority="27" operator="lessThan">
      <formula>97.9</formula>
    </cfRule>
  </conditionalFormatting>
  <conditionalFormatting sqref="J26">
    <cfRule type="cellIs" dxfId="2815" priority="75" operator="lessThan">
      <formula>97.95</formula>
    </cfRule>
  </conditionalFormatting>
  <conditionalFormatting sqref="J28">
    <cfRule type="cellIs" dxfId="2814" priority="149" stopIfTrue="1" operator="lessThan">
      <formula>96.8</formula>
    </cfRule>
    <cfRule type="cellIs" dxfId="2813" priority="150" stopIfTrue="1" operator="greaterThan">
      <formula>100</formula>
    </cfRule>
    <cfRule type="cellIs" dxfId="2812" priority="151" operator="lessThan">
      <formula>98</formula>
    </cfRule>
  </conditionalFormatting>
  <conditionalFormatting sqref="J28:J30">
    <cfRule type="cellIs" dxfId="2811" priority="148" operator="lessThan">
      <formula>97.4</formula>
    </cfRule>
  </conditionalFormatting>
  <conditionalFormatting sqref="J31:J32">
    <cfRule type="cellIs" dxfId="2810" priority="152" operator="lessThan">
      <formula>98</formula>
    </cfRule>
  </conditionalFormatting>
  <conditionalFormatting sqref="J33:J34">
    <cfRule type="cellIs" dxfId="2809" priority="153" stopIfTrue="1" operator="lessThan">
      <formula>96.8</formula>
    </cfRule>
    <cfRule type="cellIs" dxfId="2808" priority="154" stopIfTrue="1" operator="greaterThan">
      <formula>100</formula>
    </cfRule>
  </conditionalFormatting>
  <conditionalFormatting sqref="J33:J35">
    <cfRule type="cellIs" dxfId="2807" priority="155" operator="lessThan">
      <formula>98</formula>
    </cfRule>
  </conditionalFormatting>
  <conditionalFormatting sqref="J64">
    <cfRule type="cellIs" dxfId="2806" priority="101" stopIfTrue="1" operator="lessThanOrEqual">
      <formula>0</formula>
    </cfRule>
    <cfRule type="cellIs" dxfId="2805" priority="100" stopIfTrue="1" operator="greaterThan">
      <formula>#REF!</formula>
    </cfRule>
    <cfRule type="cellIs" dxfId="2804" priority="99" stopIfTrue="1" operator="lessThanOrEqual">
      <formula>0</formula>
    </cfRule>
    <cfRule type="cellIs" dxfId="2803" priority="98" stopIfTrue="1" operator="greaterThan">
      <formula>#REF!</formula>
    </cfRule>
    <cfRule type="cellIs" dxfId="2802" priority="97" stopIfTrue="1" operator="lessThanOrEqual">
      <formula>0</formula>
    </cfRule>
    <cfRule type="cellIs" dxfId="2801" priority="96" stopIfTrue="1" operator="greaterThan">
      <formula>#REF!</formula>
    </cfRule>
    <cfRule type="cellIs" dxfId="2800" priority="102" stopIfTrue="1" operator="greaterThan">
      <formula>#REF!</formula>
    </cfRule>
    <cfRule type="cellIs" dxfId="2799" priority="103" stopIfTrue="1" operator="lessThanOrEqual">
      <formula>0</formula>
    </cfRule>
  </conditionalFormatting>
  <conditionalFormatting sqref="J77">
    <cfRule type="cellIs" dxfId="2798" priority="60" stopIfTrue="1" operator="greaterThan">
      <formula>$F77</formula>
    </cfRule>
    <cfRule type="cellIs" dxfId="2797" priority="61" stopIfTrue="1" operator="lessThanOrEqual">
      <formula>0</formula>
    </cfRule>
  </conditionalFormatting>
  <conditionalFormatting sqref="K10:K23">
    <cfRule type="cellIs" dxfId="2796" priority="28" operator="greaterThan">
      <formula>6</formula>
    </cfRule>
    <cfRule type="cellIs" dxfId="2795" priority="29" operator="lessThan">
      <formula>4</formula>
    </cfRule>
    <cfRule type="cellIs" dxfId="2794" priority="30" operator="greaterThan">
      <formula>6.4</formula>
    </cfRule>
  </conditionalFormatting>
  <conditionalFormatting sqref="K55:K64">
    <cfRule type="cellIs" dxfId="2793" priority="90" stopIfTrue="1" operator="lessThan">
      <formula>100%</formula>
    </cfRule>
  </conditionalFormatting>
  <conditionalFormatting sqref="K79:K84">
    <cfRule type="cellIs" dxfId="2792" priority="178" stopIfTrue="1" operator="lessThan">
      <formula>100%</formula>
    </cfRule>
  </conditionalFormatting>
  <conditionalFormatting sqref="K86:K87">
    <cfRule type="cellIs" dxfId="2791" priority="185" stopIfTrue="1" operator="lessThan">
      <formula>100%</formula>
    </cfRule>
  </conditionalFormatting>
  <conditionalFormatting sqref="K68:M76">
    <cfRule type="cellIs" dxfId="2790" priority="45" stopIfTrue="1" operator="lessThan">
      <formula>100%</formula>
    </cfRule>
  </conditionalFormatting>
  <conditionalFormatting sqref="L10:L23">
    <cfRule type="cellIs" dxfId="2789" priority="32" operator="greaterThan">
      <formula>65</formula>
    </cfRule>
    <cfRule type="cellIs" dxfId="2788" priority="31" operator="between">
      <formula>61</formula>
      <formula>65</formula>
    </cfRule>
  </conditionalFormatting>
  <conditionalFormatting sqref="L26:M37">
    <cfRule type="cellIs" dxfId="2787" priority="92" operator="lessThan">
      <formula>97.95</formula>
    </cfRule>
  </conditionalFormatting>
  <conditionalFormatting sqref="L77:M77">
    <cfRule type="cellIs" dxfId="2786" priority="62" stopIfTrue="1" operator="lessThan">
      <formula>100%</formula>
    </cfRule>
  </conditionalFormatting>
  <conditionalFormatting sqref="L41:N41">
    <cfRule type="cellIs" dxfId="2785" priority="93" operator="notEqual">
      <formula>#REF!</formula>
    </cfRule>
  </conditionalFormatting>
  <conditionalFormatting sqref="L79:N87">
    <cfRule type="cellIs" dxfId="2784" priority="163" stopIfTrue="1" operator="lessThan">
      <formula>100%</formula>
    </cfRule>
  </conditionalFormatting>
  <conditionalFormatting sqref="M10:M21">
    <cfRule type="expression" dxfId="2783" priority="2">
      <formula>IF(+(IF(M10&lt;U10,0,IF(M10&gt;V10,0,1)))=0,1)</formula>
    </cfRule>
  </conditionalFormatting>
  <conditionalFormatting sqref="M22:N23">
    <cfRule type="expression" dxfId="2782" priority="91">
      <formula>IF(+(IF(M22&lt;#REF!,0,IF(M22&gt;#REF!,0,1)))=0,1)</formula>
    </cfRule>
  </conditionalFormatting>
  <conditionalFormatting sqref="N10:N21">
    <cfRule type="expression" dxfId="2781" priority="1">
      <formula>IF(+(IF(N10&lt;W10,0,IF(N10&gt;X10,0,1)))=0,1)</formula>
    </cfRule>
  </conditionalFormatting>
  <conditionalFormatting sqref="N68:N77">
    <cfRule type="cellIs" dxfId="2780" priority="74" stopIfTrue="1" operator="lessThan">
      <formula>100%</formula>
    </cfRule>
  </conditionalFormatting>
  <conditionalFormatting sqref="P6">
    <cfRule type="cellIs" dxfId="2779" priority="159" operator="greaterThanOrEqual">
      <formula>19</formula>
    </cfRule>
  </conditionalFormatting>
  <dataValidations count="1">
    <dataValidation type="list" allowBlank="1" showInputMessage="1" showErrorMessage="1" sqref="R8" xr:uid="{C213E6CD-5FF7-4B65-8595-98FEC5099EDE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1" max="16383" man="1"/>
  </rowBreaks>
  <colBreaks count="1" manualBreakCount="1">
    <brk id="15" max="89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FABD9-1A3E-4DB5-917B-70648D485DA2}">
  <sheetPr>
    <pageSetUpPr fitToPage="1"/>
  </sheetPr>
  <dimension ref="A1:BE77"/>
  <sheetViews>
    <sheetView topLeftCell="A14" zoomScale="70" zoomScaleNormal="70" workbookViewId="0">
      <selection activeCell="H55" sqref="H55:I55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9.42578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5" t="s">
        <v>0</v>
      </c>
      <c r="T1" s="555"/>
      <c r="U1" s="555" t="s">
        <v>1</v>
      </c>
      <c r="V1" s="555"/>
      <c r="W1" s="555" t="s">
        <v>2</v>
      </c>
      <c r="X1" s="555"/>
      <c r="Y1" s="555" t="s">
        <v>124</v>
      </c>
      <c r="Z1" s="555"/>
    </row>
    <row r="2" spans="2:29" ht="15">
      <c r="B2" s="556" t="s">
        <v>3</v>
      </c>
      <c r="C2" s="556"/>
      <c r="D2" s="556"/>
      <c r="E2" s="556"/>
      <c r="F2" s="556"/>
      <c r="G2" s="556"/>
      <c r="H2" s="556"/>
      <c r="I2" s="556"/>
      <c r="J2" s="556"/>
      <c r="K2" s="556"/>
      <c r="L2" s="556"/>
      <c r="M2" s="556"/>
      <c r="N2" s="556"/>
      <c r="O2" s="556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46121</v>
      </c>
      <c r="J4" s="398" t="s">
        <v>167</v>
      </c>
      <c r="K4" s="398"/>
      <c r="L4" s="11"/>
      <c r="M4" s="553" t="s">
        <v>8</v>
      </c>
      <c r="N4" s="554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2"/>
      <c r="D5" s="542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6" t="s">
        <v>17</v>
      </c>
      <c r="C8" s="517" t="s">
        <v>18</v>
      </c>
      <c r="D8" s="517" t="s">
        <v>19</v>
      </c>
      <c r="E8" s="356" t="s">
        <v>20</v>
      </c>
      <c r="F8" s="356" t="s">
        <v>21</v>
      </c>
      <c r="G8" s="517" t="s">
        <v>22</v>
      </c>
      <c r="H8" s="544" t="s">
        <v>144</v>
      </c>
      <c r="I8" s="517" t="s">
        <v>165</v>
      </c>
      <c r="J8" s="546" t="s">
        <v>23</v>
      </c>
      <c r="K8" s="548" t="s">
        <v>142</v>
      </c>
      <c r="L8" s="550" t="s">
        <v>24</v>
      </c>
      <c r="M8" s="359" t="s">
        <v>25</v>
      </c>
      <c r="N8" s="17" t="s">
        <v>169</v>
      </c>
      <c r="O8" s="510" t="s">
        <v>155</v>
      </c>
      <c r="P8" s="540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43"/>
      <c r="C9" s="541"/>
      <c r="D9" s="541"/>
      <c r="E9" s="357" t="s">
        <v>30</v>
      </c>
      <c r="F9" s="357" t="s">
        <v>31</v>
      </c>
      <c r="G9" s="541"/>
      <c r="H9" s="545"/>
      <c r="I9" s="541"/>
      <c r="J9" s="547"/>
      <c r="K9" s="549"/>
      <c r="L9" s="551"/>
      <c r="M9" s="20" t="s">
        <v>32</v>
      </c>
      <c r="N9" s="21" t="s">
        <v>41</v>
      </c>
      <c r="O9" s="552"/>
      <c r="P9" s="541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>
      <c r="B10" s="33" t="s">
        <v>9</v>
      </c>
      <c r="C10" s="366" t="str">
        <f>[3]Brewhouse!$A179</f>
        <v>ST126</v>
      </c>
      <c r="D10" s="279">
        <f>[3]Brewhouse!$AB179</f>
        <v>53.1</v>
      </c>
      <c r="E10" s="279">
        <f>[3]Brewhouse!$AG179</f>
        <v>48.3</v>
      </c>
      <c r="F10" s="278">
        <f>[3]Brewhouse!$V179</f>
        <v>60</v>
      </c>
      <c r="G10" s="279">
        <f>[3]Brewhouse!$AE179</f>
        <v>11.8</v>
      </c>
      <c r="H10" s="396">
        <v>11.7</v>
      </c>
      <c r="I10" s="368">
        <f>[3]Brewhouse!$AS179</f>
        <v>95.736023506245473</v>
      </c>
      <c r="J10" s="368">
        <f>[3]Brewhouse!$AT179</f>
        <v>96.849743624142206</v>
      </c>
      <c r="K10" s="281">
        <f>[3]Brewhouse!$Q179</f>
        <v>12.193973634651604</v>
      </c>
      <c r="L10" s="276">
        <f>[3]Brewhouse!$P179</f>
        <v>61</v>
      </c>
      <c r="M10" s="374">
        <f>[3]Brewhouse!$U179-[3]Brewhouse!$T179</f>
        <v>0.1118055555555556</v>
      </c>
      <c r="N10" s="370">
        <f>[3]Brewhouse!$AW179</f>
        <v>0.24652777777777779</v>
      </c>
      <c r="O10" s="371" t="str">
        <f>[3]Brewhouse!$AV179</f>
        <v>R. Regis</v>
      </c>
      <c r="P10" s="418"/>
      <c r="R10" s="277" t="str">
        <f t="shared" ref="R10:R37" si="0">B10</f>
        <v>STAG</v>
      </c>
      <c r="S10" s="472">
        <f t="shared" ref="S10:S37" si="1">VLOOKUP($B10,$R$3:$X$9,2,FALSE)</f>
        <v>11.6</v>
      </c>
      <c r="T10" s="472">
        <f t="shared" ref="T10:T37" si="2">VLOOKUP($B10,$R$3:$X$9,3,FALSE)</f>
        <v>12</v>
      </c>
      <c r="U10" s="297">
        <f t="shared" ref="U10:U37" si="3">VLOOKUP($B10,$R$3:$X$9,4,FALSE)</f>
        <v>0</v>
      </c>
      <c r="V10" s="297">
        <f t="shared" ref="V10:V37" si="4">VLOOKUP($B10,$R$3:$X$9,5,FALSE)</f>
        <v>0.118055555555556</v>
      </c>
      <c r="W10" s="297">
        <f t="shared" ref="W10:W37" si="5">VLOOKUP($B10,$R$3:$X$9,6,FALSE)</f>
        <v>0.22569444444444445</v>
      </c>
      <c r="X10" s="297">
        <f t="shared" ref="X10:X37" si="6">VLOOKUP($B10,$R$3:$X$9,7,FALSE)</f>
        <v>0.2638888888888889</v>
      </c>
      <c r="Y10" s="297">
        <f t="shared" ref="Y10:Y37" si="7">VLOOKUP($B10,$R$3:$Z$9,8,FALSE)</f>
        <v>0</v>
      </c>
      <c r="Z10" s="472">
        <f t="shared" ref="Z10:Z37" si="8">VLOOKUP($B10,$R$3:$Z$9,9,FALSE)</f>
        <v>60</v>
      </c>
    </row>
    <row r="11" spans="2:29" ht="15">
      <c r="B11" s="33" t="s">
        <v>9</v>
      </c>
      <c r="C11" s="366" t="str">
        <f>[3]Brewhouse!$A180</f>
        <v>ST127</v>
      </c>
      <c r="D11" s="279">
        <f>[3]Brewhouse!$AB180</f>
        <v>53.1</v>
      </c>
      <c r="E11" s="279">
        <f>[3]Brewhouse!$AG180</f>
        <v>49.6</v>
      </c>
      <c r="F11" s="278">
        <f>[3]Brewhouse!$V180</f>
        <v>59</v>
      </c>
      <c r="G11" s="279">
        <f>[3]Brewhouse!$AE180</f>
        <v>12</v>
      </c>
      <c r="H11" s="396">
        <v>12</v>
      </c>
      <c r="I11" s="368">
        <f>[3]Brewhouse!$AS180</f>
        <v>100.19206739033324</v>
      </c>
      <c r="J11" s="368">
        <f>[3]Brewhouse!$AT180</f>
        <v>101.35723707814648</v>
      </c>
      <c r="K11" s="281">
        <f>[3]Brewhouse!$Q180</f>
        <v>12.570621468926548</v>
      </c>
      <c r="L11" s="276">
        <f>[3]Brewhouse!$P180</f>
        <v>59</v>
      </c>
      <c r="M11" s="374">
        <f>[3]Brewhouse!$U180-[3]Brewhouse!$T180</f>
        <v>0.11111111111111116</v>
      </c>
      <c r="N11" s="370">
        <f>[3]Brewhouse!$AW180</f>
        <v>0.24444444444444435</v>
      </c>
      <c r="O11" s="371" t="str">
        <f>[3]Brewhouse!$AV180</f>
        <v>R.Sookram</v>
      </c>
      <c r="P11" s="418"/>
      <c r="R11" s="277" t="str">
        <f t="shared" si="0"/>
        <v>STAG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>
      <c r="B12" s="33" t="s">
        <v>9</v>
      </c>
      <c r="C12" s="366" t="str">
        <f>[3]Brewhouse!$A181</f>
        <v>ST128</v>
      </c>
      <c r="D12" s="279">
        <f>[3]Brewhouse!$AB181</f>
        <v>53.1</v>
      </c>
      <c r="E12" s="279">
        <f>[3]Brewhouse!$AG181</f>
        <v>49.3</v>
      </c>
      <c r="F12" s="278">
        <f>[3]Brewhouse!$V181</f>
        <v>61</v>
      </c>
      <c r="G12" s="279">
        <f>[3]Brewhouse!$AE181</f>
        <v>12</v>
      </c>
      <c r="H12" s="396">
        <v>11.9</v>
      </c>
      <c r="I12" s="368">
        <f>[3]Brewhouse!$AS181</f>
        <v>99.586066982730401</v>
      </c>
      <c r="J12" s="368">
        <f>[3]Brewhouse!$AT181</f>
        <v>100.74418927323833</v>
      </c>
      <c r="K12" s="281">
        <f>[3]Brewhouse!$Q181</f>
        <v>12.947269303201505</v>
      </c>
      <c r="L12" s="276">
        <f>[3]Brewhouse!$P181</f>
        <v>58</v>
      </c>
      <c r="M12" s="374">
        <f>[3]Brewhouse!$U181-[3]Brewhouse!$T181</f>
        <v>0.10763888888888884</v>
      </c>
      <c r="N12" s="370">
        <f>[3]Brewhouse!$AW181</f>
        <v>0.24791666666666667</v>
      </c>
      <c r="O12" s="371" t="str">
        <f>[3]Brewhouse!$AV181</f>
        <v>R.Sookram</v>
      </c>
      <c r="P12" s="418"/>
      <c r="R12" s="277" t="str">
        <f t="shared" ref="R12:R27" si="9">B12</f>
        <v>STAG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>
      <c r="B13" s="33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74"/>
      <c r="N13" s="370"/>
      <c r="O13" s="371"/>
      <c r="P13" s="418"/>
      <c r="R13" s="277">
        <f t="shared" si="9"/>
        <v>0</v>
      </c>
      <c r="S13" s="472" t="e">
        <f t="shared" si="1"/>
        <v>#N/A</v>
      </c>
      <c r="T13" s="472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472" t="e">
        <f t="shared" si="8"/>
        <v>#N/A</v>
      </c>
    </row>
    <row r="14" spans="2:29" ht="15">
      <c r="B14" s="33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74"/>
      <c r="N14" s="370"/>
      <c r="O14" s="371"/>
      <c r="P14" s="418"/>
      <c r="R14" s="277">
        <f t="shared" si="9"/>
        <v>0</v>
      </c>
      <c r="S14" s="472" t="e">
        <f t="shared" si="1"/>
        <v>#N/A</v>
      </c>
      <c r="T14" s="472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2" t="e">
        <f t="shared" si="8"/>
        <v>#N/A</v>
      </c>
    </row>
    <row r="15" spans="2:29" ht="15">
      <c r="B15" s="33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74"/>
      <c r="N15" s="370"/>
      <c r="O15" s="371"/>
      <c r="P15" s="418"/>
      <c r="R15" s="277">
        <f t="shared" si="9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5">
      <c r="B16" s="33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371"/>
      <c r="P16" s="418"/>
      <c r="R16" s="277">
        <f t="shared" si="9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6" ht="15" hidden="1">
      <c r="B17" s="33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371"/>
      <c r="P17" s="418"/>
      <c r="R17" s="277">
        <f t="shared" si="9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6" ht="15" hidden="1">
      <c r="B18" s="33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5" hidden="1">
      <c r="B19" s="33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5" hidden="1">
      <c r="B20" s="34"/>
      <c r="C20" s="366"/>
      <c r="D20" s="279"/>
      <c r="E20" s="279"/>
      <c r="F20" s="278"/>
      <c r="G20" s="279"/>
      <c r="H20" s="396"/>
      <c r="I20" s="484"/>
      <c r="J20" s="484"/>
      <c r="K20" s="485"/>
      <c r="L20" s="276"/>
      <c r="M20" s="374"/>
      <c r="N20" s="370"/>
      <c r="O20" s="420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5" hidden="1">
      <c r="B21" s="34"/>
      <c r="C21" s="366"/>
      <c r="D21" s="279"/>
      <c r="E21" s="279"/>
      <c r="F21" s="278"/>
      <c r="G21" s="279"/>
      <c r="H21" s="396"/>
      <c r="I21" s="484"/>
      <c r="J21" s="484"/>
      <c r="K21" s="485"/>
      <c r="L21" s="276"/>
      <c r="M21" s="374"/>
      <c r="N21" s="370"/>
      <c r="O21" s="420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8" hidden="1" customHeight="1">
      <c r="B22" s="29"/>
      <c r="C22" s="366"/>
      <c r="D22" s="279"/>
      <c r="E22" s="279"/>
      <c r="F22" s="278"/>
      <c r="G22" s="279"/>
      <c r="H22" s="482"/>
      <c r="I22" s="368"/>
      <c r="J22" s="368"/>
      <c r="K22" s="281"/>
      <c r="L22" s="276"/>
      <c r="M22" s="374"/>
      <c r="N22" s="370"/>
      <c r="O22" s="371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6.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8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5.75" customHeight="1" thickBot="1">
      <c r="B24" s="358"/>
      <c r="C24" s="358"/>
      <c r="D24" s="358"/>
      <c r="E24" s="358"/>
      <c r="F24" s="294"/>
      <c r="G24" s="294"/>
      <c r="H24" s="348"/>
      <c r="I24" s="533"/>
      <c r="J24" s="533"/>
      <c r="K24" s="533"/>
      <c r="L24" s="533"/>
      <c r="M24" s="533"/>
      <c r="N24" s="533"/>
      <c r="O24" s="1"/>
      <c r="P24" s="12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5.75" customHeight="1" thickBot="1">
      <c r="B25" s="388" t="s">
        <v>162</v>
      </c>
      <c r="C25" s="388"/>
      <c r="D25" s="534" t="s">
        <v>35</v>
      </c>
      <c r="E25" s="535"/>
      <c r="F25" s="294"/>
      <c r="G25" s="294"/>
      <c r="H25" s="348"/>
      <c r="I25" s="24" t="s">
        <v>17</v>
      </c>
      <c r="J25" s="25"/>
      <c r="K25" s="26" t="s">
        <v>138</v>
      </c>
      <c r="L25" s="25" t="s">
        <v>37</v>
      </c>
      <c r="M25" s="25" t="s">
        <v>38</v>
      </c>
      <c r="N25" s="27" t="s">
        <v>39</v>
      </c>
      <c r="O25" s="294"/>
      <c r="P25" s="12"/>
      <c r="R25" s="277" t="str">
        <f t="shared" si="9"/>
        <v xml:space="preserve">BRAND 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5" customHeight="1">
      <c r="A26" s="28"/>
      <c r="B26" s="519" t="str">
        <f>I27</f>
        <v>STAG</v>
      </c>
      <c r="C26" s="362" cm="1">
        <f t="array" ref="C26:C31">[3]Process!$D$144:$D$149</f>
        <v>11.8</v>
      </c>
      <c r="D26" s="537">
        <v>12</v>
      </c>
      <c r="E26" s="538"/>
      <c r="F26" s="294"/>
      <c r="G26" s="294"/>
      <c r="H26" s="348"/>
      <c r="I26" s="29" t="s">
        <v>6</v>
      </c>
      <c r="J26" s="323"/>
      <c r="K26" s="284">
        <f>COUNTA([4]Brewhouse!$B$292:$B$302)</f>
        <v>11</v>
      </c>
      <c r="L26" s="305">
        <f>AVERAGE([4]Brewhouse!$AU$292:$AU$302)</f>
        <v>98.52842829529564</v>
      </c>
      <c r="M26" s="305">
        <f>AVERAGE([4]Brewhouse!$AU$42:$AU$123,[4]Brewhouse!$AU$125:$AU$188,[4]Brewhouse!$AU$198:$AU$290,[4]Brewhouse!$AU$292:$AU$302)</f>
        <v>97.90459878841277</v>
      </c>
      <c r="N26" s="30">
        <v>98</v>
      </c>
      <c r="O26" s="11"/>
      <c r="P26" s="31"/>
      <c r="R26" s="277" t="str">
        <f t="shared" si="9"/>
        <v>STAG</v>
      </c>
      <c r="S26" s="472">
        <f t="shared" si="1"/>
        <v>11.6</v>
      </c>
      <c r="T26" s="472">
        <f t="shared" si="2"/>
        <v>12</v>
      </c>
      <c r="U26" s="297">
        <f t="shared" si="3"/>
        <v>0</v>
      </c>
      <c r="V26" s="297">
        <f t="shared" si="4"/>
        <v>0.118055555555556</v>
      </c>
      <c r="W26" s="297">
        <f t="shared" si="5"/>
        <v>0.22569444444444445</v>
      </c>
      <c r="X26" s="297">
        <f t="shared" si="6"/>
        <v>0.2638888888888889</v>
      </c>
      <c r="Y26" s="297">
        <f t="shared" si="7"/>
        <v>0</v>
      </c>
      <c r="Z26" s="472">
        <f t="shared" si="8"/>
        <v>60</v>
      </c>
    </row>
    <row r="27" spans="1:26" ht="15" customHeight="1">
      <c r="A27" s="28"/>
      <c r="B27" s="520"/>
      <c r="C27" s="362">
        <v>11.8</v>
      </c>
      <c r="D27" s="539"/>
      <c r="E27" s="525"/>
      <c r="F27" s="294"/>
      <c r="G27" s="294"/>
      <c r="H27" s="348"/>
      <c r="I27" s="33" t="s">
        <v>9</v>
      </c>
      <c r="J27" s="280">
        <f>AVERAGE(I10:I12)</f>
        <v>98.504719293103037</v>
      </c>
      <c r="K27" s="284">
        <f>COUNTA([3]Brewhouse!$A$179:$A$181)</f>
        <v>3</v>
      </c>
      <c r="L27" s="302">
        <f>AVERAGE([3]Brewhouse!$AS$179:$AS$181)</f>
        <v>98.504719293103037</v>
      </c>
      <c r="M27" s="302">
        <f>AVERAGE([3]Brewhouse!$AS$52:$AS$81,[3]Brewhouse!$AS$83:$AS$124,[3]Brewhouse!$AS$134:$AS$177,[3]Brewhouse!$AS$179:$AS$181)</f>
        <v>98.433049735802882</v>
      </c>
      <c r="N27" s="30">
        <v>98</v>
      </c>
      <c r="O27" s="11"/>
      <c r="P27" s="31"/>
      <c r="R27" s="277">
        <f t="shared" si="9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4.65" customHeight="1">
      <c r="A28" s="28"/>
      <c r="B28" s="520"/>
      <c r="C28" s="362">
        <v>12.1</v>
      </c>
      <c r="D28" s="529">
        <v>11.77</v>
      </c>
      <c r="E28" s="530"/>
      <c r="F28" s="294"/>
      <c r="G28" s="294"/>
      <c r="H28" s="348"/>
      <c r="I28" s="34" t="s">
        <v>12</v>
      </c>
      <c r="J28" s="280"/>
      <c r="K28" s="284">
        <f>COUNTA([5]Brewhouse!$A$43:$A$50)</f>
        <v>8</v>
      </c>
      <c r="L28" s="302">
        <f>AVERAGE([5]Brewhouse!$AU$43:$AU$50)</f>
        <v>96.223405821152667</v>
      </c>
      <c r="M28" s="302">
        <f>AVERAGE([5]Brewhouse!$AU$16:$AU$23,[5]Brewhouse!$AU$25:$AU$32,[5]Brewhouse!$AU$34:$AU$41,[5]Brewhouse!$AU$43:$AU$50)</f>
        <v>96.904441824349703</v>
      </c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4.65" customHeight="1">
      <c r="A29" s="28"/>
      <c r="B29" s="520"/>
      <c r="C29" s="362">
        <v>12.1</v>
      </c>
      <c r="D29" s="524"/>
      <c r="E29" s="525"/>
      <c r="F29" s="294"/>
      <c r="G29" s="294"/>
      <c r="H29" s="348"/>
      <c r="I29" s="22" t="s">
        <v>33</v>
      </c>
      <c r="J29" s="280"/>
      <c r="K29" s="284"/>
      <c r="L29" s="302"/>
      <c r="M29" s="302">
        <f>AVERAGE([6]Brewhouse!$AV$23:$AV$34,[6]Brewhouse!$AV$36,[6]Brewhouse!$AV$38:$AV$52)</f>
        <v>97.639832259312456</v>
      </c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4.65" customHeight="1">
      <c r="A30" s="28"/>
      <c r="B30" s="520"/>
      <c r="C30" s="362">
        <v>11.7</v>
      </c>
      <c r="D30" s="529">
        <v>12.01</v>
      </c>
      <c r="E30" s="530"/>
      <c r="F30" s="417"/>
      <c r="G30" s="294"/>
      <c r="H30" s="348"/>
      <c r="I30" s="35" t="s">
        <v>29</v>
      </c>
      <c r="J30" s="280"/>
      <c r="K30" s="284"/>
      <c r="L30" s="302"/>
      <c r="M30" s="302"/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4.65" customHeight="1">
      <c r="A31" s="28"/>
      <c r="B31" s="520"/>
      <c r="C31" s="362">
        <v>11.8</v>
      </c>
      <c r="D31" s="524"/>
      <c r="E31" s="525"/>
      <c r="F31" s="417"/>
      <c r="G31" s="294"/>
      <c r="H31" s="348"/>
      <c r="I31" s="36" t="s">
        <v>15</v>
      </c>
      <c r="J31" s="323"/>
      <c r="K31" s="284"/>
      <c r="L31" s="302"/>
      <c r="M31" s="302">
        <f>AVERAGE([7]Brewhouse!$AT$4:$AT$11)</f>
        <v>92.826224508052405</v>
      </c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65" customHeight="1">
      <c r="A32" s="28"/>
      <c r="B32" s="520"/>
      <c r="C32" s="362" cm="1">
        <f t="array" ref="C32:C33">[3]Process!$D$136:$D$137</f>
        <v>12</v>
      </c>
      <c r="D32" s="529">
        <v>12</v>
      </c>
      <c r="E32" s="530"/>
      <c r="F32" s="417"/>
      <c r="G32" s="294"/>
      <c r="H32" s="348"/>
      <c r="I32" s="37" t="s">
        <v>16</v>
      </c>
      <c r="J32" s="323"/>
      <c r="K32" s="284"/>
      <c r="L32" s="302"/>
      <c r="M32" s="302">
        <f>AVERAGE([8]Brewhouse!$AY$5:$AY$14,[8]Brewhouse!$AY$16:$AY$23,[8]Brewhouse!$AY$42)</f>
        <v>97.390503559857137</v>
      </c>
      <c r="N32" s="30">
        <v>98</v>
      </c>
      <c r="O32" s="11"/>
      <c r="P32" s="31" t="s">
        <v>41</v>
      </c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65" customHeight="1">
      <c r="A33" s="28"/>
      <c r="B33" s="520"/>
      <c r="C33" s="362">
        <v>12</v>
      </c>
      <c r="D33" s="524"/>
      <c r="E33" s="525"/>
      <c r="F33" s="294"/>
      <c r="G33" s="294"/>
      <c r="H33" s="348"/>
      <c r="I33" s="411" t="s">
        <v>158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56" ht="14.65" customHeight="1">
      <c r="A34" s="28"/>
      <c r="B34" s="520"/>
      <c r="C34" s="349"/>
      <c r="D34" s="529"/>
      <c r="E34" s="530"/>
      <c r="F34" s="294"/>
      <c r="G34" s="294"/>
      <c r="H34" s="348"/>
      <c r="I34" s="410" t="s">
        <v>157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5" customHeight="1" thickBot="1">
      <c r="A35" s="28"/>
      <c r="B35" s="520"/>
      <c r="C35" s="349"/>
      <c r="D35" s="524"/>
      <c r="E35" s="525"/>
      <c r="F35" s="294"/>
      <c r="G35" s="294"/>
      <c r="H35" s="348"/>
      <c r="I35" s="406" t="s">
        <v>156</v>
      </c>
      <c r="J35" s="327"/>
      <c r="K35" s="407"/>
      <c r="L35" s="408"/>
      <c r="M35" s="408"/>
      <c r="N35" s="409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" customHeight="1" thickBot="1">
      <c r="A36" s="28"/>
      <c r="B36" s="520"/>
      <c r="C36" s="349"/>
      <c r="D36" s="537"/>
      <c r="E36" s="538"/>
      <c r="F36" s="294"/>
      <c r="G36" s="294"/>
      <c r="H36" s="348"/>
      <c r="I36" s="1"/>
      <c r="J36" s="39"/>
      <c r="K36" s="404">
        <f>SUM(K26:K35)</f>
        <v>22</v>
      </c>
      <c r="L36" s="405">
        <f>((L26*K26)+(L27*K27)+(L28*K28)+(L29*K29)+(L30*K30)+(K33*L33)+(L31*K31)+(L32*K32)+(L35*K35))/(K36)</f>
        <v>97.687005258944652</v>
      </c>
      <c r="M36" s="405">
        <f>AVERAGE('[9]Jan30th-31st'!$L$42,L36)</f>
        <v>97.757523497393066</v>
      </c>
      <c r="N36" s="4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5.75" thickBot="1">
      <c r="B37" s="536"/>
      <c r="C37" s="350"/>
      <c r="D37" s="539"/>
      <c r="E37" s="525"/>
      <c r="F37" s="294"/>
      <c r="G37" s="42"/>
      <c r="H37" s="41"/>
      <c r="I37" s="42"/>
      <c r="J37" s="42"/>
      <c r="K37" s="351"/>
      <c r="L37" s="348"/>
      <c r="M37" s="348"/>
      <c r="N37" s="11"/>
      <c r="O37" s="294"/>
      <c r="P37" s="12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56" ht="15.75" thickBot="1">
      <c r="B38" s="519"/>
      <c r="C38" s="362"/>
      <c r="D38" s="522"/>
      <c r="E38" s="523"/>
      <c r="F38" s="294"/>
      <c r="G38" s="42"/>
      <c r="H38" s="41"/>
      <c r="I38" s="42"/>
      <c r="J38" s="526" t="s">
        <v>129</v>
      </c>
      <c r="K38" s="526"/>
      <c r="L38" s="294"/>
      <c r="M38" s="294"/>
      <c r="N38" s="294"/>
      <c r="O38" s="294"/>
      <c r="P38" s="12"/>
    </row>
    <row r="39" spans="1:56" ht="15.75" thickBot="1">
      <c r="B39" s="520"/>
      <c r="C39" s="362"/>
      <c r="D39" s="524"/>
      <c r="E39" s="525"/>
      <c r="F39" s="294"/>
      <c r="G39" s="42"/>
      <c r="H39" s="42"/>
      <c r="I39" s="42"/>
      <c r="J39" s="292" t="s">
        <v>17</v>
      </c>
      <c r="K39" s="293" t="s">
        <v>172</v>
      </c>
      <c r="L39" s="527" t="s">
        <v>136</v>
      </c>
      <c r="M39" s="527"/>
      <c r="N39" s="528"/>
      <c r="O39" s="294"/>
      <c r="P39" s="12"/>
    </row>
    <row r="40" spans="1:56" ht="15" customHeight="1" thickBot="1">
      <c r="B40" s="520"/>
      <c r="C40" s="349"/>
      <c r="D40" s="529"/>
      <c r="E40" s="530"/>
      <c r="F40" s="294"/>
      <c r="G40" s="42"/>
      <c r="H40" s="42"/>
      <c r="I40" s="42"/>
      <c r="J40" s="287" t="s">
        <v>6</v>
      </c>
      <c r="K40" s="324"/>
      <c r="L40" s="473" t="s">
        <v>37</v>
      </c>
      <c r="M40" s="474" t="s">
        <v>38</v>
      </c>
      <c r="N40" s="474" t="s">
        <v>84</v>
      </c>
      <c r="O40" s="294"/>
      <c r="P40" s="12"/>
    </row>
    <row r="41" spans="1:56" ht="15.75" customHeight="1" thickBot="1">
      <c r="B41" s="520"/>
      <c r="C41" s="349"/>
      <c r="D41" s="524"/>
      <c r="E41" s="525"/>
      <c r="F41" s="294"/>
      <c r="G41" s="42"/>
      <c r="H41" s="42"/>
      <c r="I41" s="42"/>
      <c r="J41" s="345" t="s">
        <v>9</v>
      </c>
      <c r="K41" s="324">
        <v>3</v>
      </c>
      <c r="L41" s="344">
        <f>AVERAGE('Apr 1st'!K50,K50,'Apr 2nd'!K48,'Apr 7th'!K50)</f>
        <v>5.5</v>
      </c>
      <c r="M41" s="325">
        <f>AVERAGE('[9]Jan30th-31st'!$L$47,L41,'[10]Feb 26th '!$L$39,'[11]Mar 31st'!$L$47)</f>
        <v>6.1717391304347826</v>
      </c>
      <c r="N41" s="416">
        <v>9.1999999999999993</v>
      </c>
      <c r="O41" s="294"/>
      <c r="P41" s="12"/>
    </row>
    <row r="42" spans="1:56" ht="15" customHeight="1">
      <c r="B42" s="520"/>
      <c r="C42" s="349"/>
      <c r="D42" s="529"/>
      <c r="E42" s="530"/>
      <c r="F42" s="294"/>
      <c r="G42" s="42"/>
      <c r="H42" s="42"/>
      <c r="I42" s="42"/>
      <c r="J42" s="288" t="s">
        <v>40</v>
      </c>
      <c r="K42" s="324"/>
      <c r="L42" s="294"/>
      <c r="M42" s="294"/>
      <c r="N42" s="294"/>
      <c r="O42" s="294"/>
      <c r="P42" s="12"/>
    </row>
    <row r="43" spans="1:56" ht="15" customHeight="1">
      <c r="B43" s="520"/>
      <c r="C43" s="349"/>
      <c r="D43" s="524"/>
      <c r="E43" s="525"/>
      <c r="F43" s="294"/>
      <c r="G43" s="42"/>
      <c r="H43" s="42"/>
      <c r="I43" s="42"/>
      <c r="J43" s="289" t="s">
        <v>33</v>
      </c>
      <c r="K43" s="324"/>
      <c r="L43" s="294"/>
      <c r="M43" s="294"/>
      <c r="N43" s="294"/>
      <c r="O43" s="294"/>
      <c r="P43" s="12"/>
    </row>
    <row r="44" spans="1:56" ht="15">
      <c r="B44" s="520"/>
      <c r="C44" s="349"/>
      <c r="D44" s="529"/>
      <c r="E44" s="530"/>
      <c r="F44" s="294"/>
      <c r="G44" s="42"/>
      <c r="H44" s="42"/>
      <c r="I44" s="42"/>
      <c r="J44" s="290" t="s">
        <v>16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20"/>
      <c r="C45" s="349"/>
      <c r="D45" s="524"/>
      <c r="E45" s="525"/>
      <c r="F45" s="294"/>
      <c r="G45" s="42"/>
      <c r="H45" s="42"/>
      <c r="I45" s="42"/>
      <c r="J45" s="291" t="s">
        <v>15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20"/>
      <c r="C46" s="349"/>
      <c r="D46" s="529"/>
      <c r="E46" s="530"/>
      <c r="F46" s="294"/>
      <c r="G46" s="42"/>
      <c r="H46" s="42"/>
      <c r="I46" s="42"/>
      <c r="J46" s="291" t="s">
        <v>149</v>
      </c>
      <c r="K46" s="324"/>
      <c r="L46" s="294"/>
      <c r="M46" s="294"/>
      <c r="N46" s="294"/>
      <c r="O46" s="294"/>
      <c r="P46" s="12"/>
      <c r="BC46" s="44"/>
      <c r="BD46" s="44"/>
    </row>
    <row r="47" spans="1:56" ht="15.75" thickBot="1">
      <c r="B47" s="521"/>
      <c r="C47" s="350"/>
      <c r="D47" s="531"/>
      <c r="E47" s="532"/>
      <c r="F47" s="294" t="s">
        <v>166</v>
      </c>
      <c r="G47" s="42"/>
      <c r="H47" s="42"/>
      <c r="I47" s="42"/>
      <c r="J47" s="291" t="s">
        <v>148</v>
      </c>
      <c r="K47" s="324"/>
      <c r="L47" s="294"/>
      <c r="M47" s="294"/>
      <c r="N47" s="294" t="s">
        <v>41</v>
      </c>
      <c r="O47" s="294"/>
      <c r="P47" s="12"/>
      <c r="BC47" s="44"/>
      <c r="BD47" s="44"/>
    </row>
    <row r="48" spans="1:56" ht="17.649999999999999" customHeight="1" thickBot="1">
      <c r="B48" s="312" t="s">
        <v>139</v>
      </c>
      <c r="C48" s="313"/>
      <c r="D48" s="512"/>
      <c r="E48" s="513"/>
      <c r="F48" s="294"/>
      <c r="J48" s="295" t="s">
        <v>134</v>
      </c>
      <c r="K48" s="324"/>
      <c r="L48" s="294"/>
      <c r="M48" s="294"/>
      <c r="N48" s="294"/>
      <c r="O48" s="294"/>
      <c r="P48" s="12"/>
      <c r="BC48" s="44"/>
      <c r="BD48" s="44"/>
    </row>
    <row r="49" spans="1:57" ht="17.649999999999999" customHeight="1">
      <c r="B49" s="363"/>
      <c r="C49" s="364"/>
      <c r="D49" s="365"/>
      <c r="E49" s="365"/>
      <c r="F49" s="294"/>
      <c r="G49" s="42"/>
      <c r="H49" s="42"/>
      <c r="I49" s="42"/>
      <c r="J49" s="295" t="s">
        <v>131</v>
      </c>
      <c r="K49" s="324"/>
      <c r="L49" s="294"/>
      <c r="M49" s="294"/>
      <c r="N49" s="294"/>
      <c r="O49" s="294"/>
      <c r="P49" s="12"/>
      <c r="BC49" s="44"/>
      <c r="BD49" s="44"/>
    </row>
    <row r="50" spans="1:57" ht="15.6" customHeight="1">
      <c r="B50" s="45"/>
      <c r="C50" s="11"/>
      <c r="D50" s="11"/>
      <c r="E50" s="46"/>
      <c r="F50" s="294"/>
      <c r="G50" s="42"/>
      <c r="H50" s="42"/>
      <c r="I50" s="42"/>
      <c r="J50" s="346" t="s">
        <v>130</v>
      </c>
      <c r="K50" s="324">
        <f>SUM(K40:K49)</f>
        <v>3</v>
      </c>
      <c r="L50" s="294"/>
      <c r="M50" s="294"/>
      <c r="N50" s="294"/>
      <c r="O50" s="294"/>
      <c r="P50" s="12"/>
    </row>
    <row r="51" spans="1:57" ht="20.25" customHeight="1">
      <c r="B51" s="15" t="s">
        <v>42</v>
      </c>
      <c r="C51" s="1" t="s">
        <v>43</v>
      </c>
      <c r="D51" s="1"/>
      <c r="E51" s="1"/>
      <c r="F51" s="294"/>
      <c r="G51" s="42"/>
      <c r="H51" s="41"/>
      <c r="I51" s="42"/>
      <c r="L51" s="294"/>
      <c r="N51" s="315"/>
      <c r="P51" s="334"/>
    </row>
    <row r="52" spans="1:57" ht="15" customHeight="1" thickBot="1"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1"/>
      <c r="O52" s="48"/>
      <c r="P52" s="49"/>
    </row>
    <row r="53" spans="1:57" ht="15" customHeight="1" thickBot="1">
      <c r="B53" s="504" t="s">
        <v>17</v>
      </c>
      <c r="C53" s="504" t="s">
        <v>44</v>
      </c>
      <c r="D53" s="515" t="s">
        <v>45</v>
      </c>
      <c r="E53" s="517" t="s">
        <v>46</v>
      </c>
      <c r="F53" s="510" t="s">
        <v>47</v>
      </c>
      <c r="G53" s="502" t="s">
        <v>48</v>
      </c>
      <c r="H53" s="504" t="s">
        <v>49</v>
      </c>
      <c r="I53" s="504" t="s">
        <v>50</v>
      </c>
      <c r="J53" s="496" t="s">
        <v>28</v>
      </c>
      <c r="K53" s="506" t="s">
        <v>51</v>
      </c>
      <c r="L53" s="508" t="s">
        <v>52</v>
      </c>
      <c r="M53" s="496" t="s">
        <v>53</v>
      </c>
      <c r="N53" s="13"/>
      <c r="O53" s="13"/>
      <c r="P53" s="50"/>
    </row>
    <row r="54" spans="1:57" ht="28.5" customHeight="1" thickTop="1" thickBot="1">
      <c r="B54" s="505"/>
      <c r="C54" s="514"/>
      <c r="D54" s="516"/>
      <c r="E54" s="518"/>
      <c r="F54" s="511"/>
      <c r="G54" s="503"/>
      <c r="H54" s="505"/>
      <c r="I54" s="505"/>
      <c r="J54" s="497"/>
      <c r="K54" s="507"/>
      <c r="L54" s="509"/>
      <c r="M54" s="497"/>
      <c r="N54" s="13"/>
      <c r="O54" s="13"/>
      <c r="P54" s="50"/>
      <c r="Q54" s="355"/>
      <c r="AB54" s="475">
        <v>43474</v>
      </c>
      <c r="AC54" s="475">
        <v>43475</v>
      </c>
      <c r="AD54" s="475">
        <v>43476</v>
      </c>
      <c r="AE54" s="475">
        <v>43477</v>
      </c>
      <c r="AF54" s="475">
        <v>43478</v>
      </c>
      <c r="AG54" s="475">
        <v>43479</v>
      </c>
      <c r="AH54" s="475">
        <v>43480</v>
      </c>
      <c r="AI54" s="475">
        <v>43481</v>
      </c>
      <c r="AJ54" s="475">
        <v>43482</v>
      </c>
      <c r="AK54" s="475">
        <v>43483</v>
      </c>
      <c r="AL54" s="475">
        <v>43484</v>
      </c>
      <c r="AM54" s="475">
        <v>43485</v>
      </c>
      <c r="AN54" s="475">
        <v>43486</v>
      </c>
      <c r="AO54" s="475">
        <v>43487</v>
      </c>
      <c r="AP54" s="475">
        <v>43488</v>
      </c>
      <c r="AQ54" s="475">
        <v>43489</v>
      </c>
      <c r="AR54" s="475">
        <v>43490</v>
      </c>
      <c r="AS54" s="475">
        <v>43491</v>
      </c>
      <c r="AT54" s="475">
        <v>43492</v>
      </c>
      <c r="AU54" s="475">
        <v>43493</v>
      </c>
      <c r="AV54" s="475">
        <v>43494</v>
      </c>
      <c r="AW54" s="475">
        <v>43495</v>
      </c>
      <c r="AX54" s="475">
        <v>43496</v>
      </c>
    </row>
    <row r="55" spans="1:57" s="54" customFormat="1" ht="36.75" customHeight="1" thickBot="1">
      <c r="B55" s="486" t="str">
        <f>J41</f>
        <v>STAG</v>
      </c>
      <c r="C55" s="479">
        <v>46120</v>
      </c>
      <c r="D55" s="442">
        <f>[12]April_2026!$J$13</f>
        <v>375.49999999999994</v>
      </c>
      <c r="E55" s="443"/>
      <c r="F55" s="444">
        <f>SUM([33]STAG!$L$6:$L$7,[33]STAG!$L$14:$L$19)</f>
        <v>370.14</v>
      </c>
      <c r="G55" s="445">
        <f>[12]April_2026!$J$17</f>
        <v>354.7</v>
      </c>
      <c r="H55" s="458">
        <f>(D55-F55)/D55*100</f>
        <v>1.4274300932090433</v>
      </c>
      <c r="I55" s="458">
        <f>((F55+E55)-G55)/(F55+E55)*100</f>
        <v>4.1713946074458308</v>
      </c>
      <c r="J55" s="448" t="s">
        <v>175</v>
      </c>
      <c r="K55" s="449">
        <f>[13]April_2026!$K$25</f>
        <v>1.244561403508772</v>
      </c>
      <c r="L55" s="457">
        <f>(((D55+E55)-G55)/(D55+E55))*100</f>
        <v>5.5392809587216929</v>
      </c>
      <c r="M55" s="455" t="s">
        <v>174</v>
      </c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[14]January_2019!L5</f>
        <v>0</v>
      </c>
      <c r="AC55" s="57">
        <f>[14]January_2019!M5</f>
        <v>0</v>
      </c>
      <c r="AD55" s="57">
        <f>[14]January_2019!N5</f>
        <v>0</v>
      </c>
      <c r="AE55" s="57">
        <f>[14]January_2019!O5</f>
        <v>0</v>
      </c>
      <c r="AF55" s="57">
        <f>[14]January_2019!P5</f>
        <v>0</v>
      </c>
      <c r="AG55" s="57">
        <f>[14]January_2019!Q5</f>
        <v>0</v>
      </c>
      <c r="AH55" s="57">
        <f>[14]January_2019!R5</f>
        <v>0</v>
      </c>
      <c r="AI55" s="57">
        <f>[14]January_2019!S5</f>
        <v>0</v>
      </c>
      <c r="AJ55" s="57">
        <f>[14]January_2019!T5</f>
        <v>0</v>
      </c>
      <c r="AK55" s="57">
        <f>[14]January_2019!U5</f>
        <v>0</v>
      </c>
      <c r="AL55" s="57">
        <f>[14]January_2019!V5</f>
        <v>0</v>
      </c>
      <c r="AM55" s="57">
        <f>[14]January_2019!W5</f>
        <v>0</v>
      </c>
      <c r="AN55" s="57">
        <f>[14]January_2019!X5</f>
        <v>0</v>
      </c>
      <c r="AO55" s="57">
        <f>[14]January_2019!Y5</f>
        <v>0</v>
      </c>
      <c r="AP55" s="57">
        <f>[14]January_2019!Z5</f>
        <v>0</v>
      </c>
      <c r="AQ55" s="57">
        <f>[14]January_2019!AA5</f>
        <v>0</v>
      </c>
      <c r="AR55" s="57">
        <f>[14]January_2019!AB5</f>
        <v>0</v>
      </c>
      <c r="AS55" s="57">
        <f>[14]January_2019!AC5</f>
        <v>0</v>
      </c>
      <c r="AT55" s="57">
        <f>[14]January_2019!AD5</f>
        <v>0</v>
      </c>
      <c r="AU55" s="57">
        <f>[14]January_2019!AE5</f>
        <v>0</v>
      </c>
      <c r="AV55" s="57">
        <f>[14]January_2019!AF5</f>
        <v>0</v>
      </c>
      <c r="AW55" s="57">
        <f>[14]January_2019!AG5</f>
        <v>0</v>
      </c>
      <c r="AX55" s="277">
        <f>[14]January_2019!AH5</f>
        <v>0</v>
      </c>
      <c r="AY55" s="277"/>
      <c r="AZ55" s="277"/>
      <c r="BA55" s="277"/>
      <c r="BB55" s="277"/>
      <c r="BC55" s="277"/>
      <c r="BD55" s="277"/>
      <c r="BE55" s="277"/>
    </row>
    <row r="56" spans="1:57" s="54" customFormat="1" ht="14.25" customHeight="1" thickBot="1">
      <c r="B56" s="480"/>
      <c r="C56" s="479"/>
      <c r="D56" s="442"/>
      <c r="E56" s="443"/>
      <c r="F56" s="444"/>
      <c r="G56" s="445"/>
      <c r="H56" s="458"/>
      <c r="I56" s="458"/>
      <c r="J56" s="476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[14]January_2019!L6</f>
        <v>0</v>
      </c>
      <c r="AC56" s="57">
        <f>[14]January_2019!M6</f>
        <v>0</v>
      </c>
      <c r="AD56" s="57">
        <f>[14]January_2019!N6</f>
        <v>0</v>
      </c>
      <c r="AE56" s="57">
        <f>[14]January_2019!O6</f>
        <v>0</v>
      </c>
      <c r="AF56" s="57">
        <f>[14]January_2019!P6</f>
        <v>0</v>
      </c>
      <c r="AG56" s="57">
        <f>[14]January_2019!Q6</f>
        <v>0</v>
      </c>
      <c r="AH56" s="57">
        <f>[14]January_2019!R6</f>
        <v>0</v>
      </c>
      <c r="AI56" s="57">
        <f>[14]January_2019!S6</f>
        <v>0</v>
      </c>
      <c r="AJ56" s="57">
        <f>[14]January_2019!T6</f>
        <v>0</v>
      </c>
      <c r="AK56" s="57">
        <f>[14]January_2019!U6</f>
        <v>0</v>
      </c>
      <c r="AL56" s="57">
        <f>[14]January_2019!V6</f>
        <v>0</v>
      </c>
      <c r="AM56" s="57">
        <f>[14]January_2019!W6</f>
        <v>0</v>
      </c>
      <c r="AN56" s="57">
        <f>[14]January_2019!X6</f>
        <v>0</v>
      </c>
      <c r="AO56" s="57">
        <f>[14]January_2019!Y6</f>
        <v>0</v>
      </c>
      <c r="AP56" s="57">
        <f>[14]January_2019!Z6</f>
        <v>0</v>
      </c>
      <c r="AQ56" s="57">
        <f>[14]January_2019!AA6</f>
        <v>0</v>
      </c>
      <c r="AR56" s="57">
        <f>[14]January_2019!AB6</f>
        <v>0</v>
      </c>
      <c r="AS56" s="57">
        <f>[14]January_2019!AC6</f>
        <v>0</v>
      </c>
      <c r="AT56" s="57">
        <f>[14]January_2019!AD6</f>
        <v>0</v>
      </c>
      <c r="AU56" s="57">
        <f>[14]January_2019!AE6</f>
        <v>0</v>
      </c>
      <c r="AV56" s="57">
        <f>[14]January_2019!AF6</f>
        <v>0</v>
      </c>
      <c r="AW56" s="57">
        <f>[14]January_2019!AG6</f>
        <v>0</v>
      </c>
      <c r="AX56" s="277">
        <f>[14]January_2019!AH6</f>
        <v>0</v>
      </c>
      <c r="AY56" s="277"/>
      <c r="AZ56" s="277"/>
      <c r="BA56" s="277"/>
      <c r="BB56" s="277"/>
      <c r="BC56" s="277"/>
      <c r="BD56" s="277"/>
      <c r="BE56" s="277"/>
    </row>
    <row r="57" spans="1:57" s="54" customFormat="1" ht="37.15" hidden="1" customHeight="1" thickBot="1">
      <c r="A57" s="54" t="s">
        <v>168</v>
      </c>
      <c r="B57" s="480"/>
      <c r="C57" s="479"/>
      <c r="D57" s="442"/>
      <c r="E57" s="443"/>
      <c r="F57" s="444"/>
      <c r="G57" s="445"/>
      <c r="H57" s="458"/>
      <c r="I57" s="458"/>
      <c r="J57" s="448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[14]January_2019!L7</f>
        <v>285.8</v>
      </c>
      <c r="AC57" s="57">
        <f>[14]January_2019!M7</f>
        <v>508.1</v>
      </c>
      <c r="AD57" s="57">
        <f>[14]January_2019!N7</f>
        <v>0</v>
      </c>
      <c r="AE57" s="57">
        <f>[14]January_2019!O7</f>
        <v>0</v>
      </c>
      <c r="AF57" s="57">
        <f>[14]January_2019!P7</f>
        <v>109.56666666666666</v>
      </c>
      <c r="AG57" s="57">
        <f>[14]January_2019!Q7</f>
        <v>297.64999999999998</v>
      </c>
      <c r="AH57" s="57">
        <f>[14]January_2019!R7</f>
        <v>122.3</v>
      </c>
      <c r="AI57" s="57">
        <f>[14]January_2019!S7</f>
        <v>0</v>
      </c>
      <c r="AJ57" s="57">
        <f>[14]January_2019!T7</f>
        <v>294.7</v>
      </c>
      <c r="AK57" s="57">
        <f>[14]January_2019!U7</f>
        <v>280.5</v>
      </c>
      <c r="AL57" s="57">
        <f>[14]January_2019!V7</f>
        <v>0</v>
      </c>
      <c r="AM57" s="57">
        <f>[14]January_2019!W7</f>
        <v>0</v>
      </c>
      <c r="AN57" s="57">
        <f>[14]January_2019!X7</f>
        <v>188.25</v>
      </c>
      <c r="AO57" s="57">
        <f>[14]January_2019!Y7</f>
        <v>295.7</v>
      </c>
      <c r="AP57" s="57">
        <f>[14]January_2019!Z7</f>
        <v>257.8</v>
      </c>
      <c r="AQ57" s="57">
        <f>[14]January_2019!AA7</f>
        <v>291.2</v>
      </c>
      <c r="AR57" s="57">
        <f>[14]January_2019!AB7</f>
        <v>187</v>
      </c>
      <c r="AS57" s="57">
        <f>[14]January_2019!AC7</f>
        <v>0</v>
      </c>
      <c r="AT57" s="57">
        <f>[14]January_2019!AD7</f>
        <v>0</v>
      </c>
      <c r="AU57" s="57">
        <f>[14]January_2019!AE7</f>
        <v>485.1</v>
      </c>
      <c r="AV57" s="57">
        <f>[14]January_2019!AF7</f>
        <v>171.55</v>
      </c>
      <c r="AW57" s="57">
        <f>[14]January_2019!AG7</f>
        <v>423.8</v>
      </c>
      <c r="AX57" s="277">
        <f>[14]January_2019!AH7</f>
        <v>0</v>
      </c>
      <c r="AY57" s="277"/>
      <c r="AZ57" s="277"/>
      <c r="BA57" s="277"/>
      <c r="BB57" s="277"/>
      <c r="BC57" s="277"/>
      <c r="BD57" s="277"/>
      <c r="BE57" s="277"/>
    </row>
    <row r="58" spans="1:57" s="54" customFormat="1" ht="19.5" hidden="1" customHeight="1" thickBot="1">
      <c r="B58" s="478"/>
      <c r="C58" s="430"/>
      <c r="D58" s="431"/>
      <c r="E58" s="432"/>
      <c r="F58" s="433"/>
      <c r="G58" s="434"/>
      <c r="H58" s="458"/>
      <c r="I58" s="458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1:57" s="54" customFormat="1" ht="38.450000000000003" hidden="1" customHeight="1" thickBot="1">
      <c r="B59" s="480"/>
      <c r="C59" s="479"/>
      <c r="D59" s="442"/>
      <c r="E59" s="443"/>
      <c r="F59" s="444"/>
      <c r="G59" s="445"/>
      <c r="H59" s="458"/>
      <c r="I59" s="458"/>
      <c r="J59" s="448" t="s">
        <v>171</v>
      </c>
      <c r="K59" s="459"/>
      <c r="L59" s="457" t="e">
        <f>(((D59+E59)-G59)/(D59+E59))*100</f>
        <v>#DIV/0!</v>
      </c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1:57" s="54" customFormat="1" ht="15" hidden="1">
      <c r="B60" s="453"/>
      <c r="C60" s="430"/>
      <c r="D60" s="431"/>
      <c r="E60" s="432"/>
      <c r="F60" s="433"/>
      <c r="G60" s="434"/>
      <c r="H60" s="435"/>
      <c r="I60" s="450"/>
      <c r="J60" s="451"/>
      <c r="K60" s="436"/>
      <c r="L60" s="452"/>
      <c r="M60" s="421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1:57" s="54" customFormat="1" ht="37.15" hidden="1" customHeight="1" thickBot="1">
      <c r="B61" s="480"/>
      <c r="C61" s="479"/>
      <c r="D61" s="442"/>
      <c r="E61" s="443"/>
      <c r="F61" s="444"/>
      <c r="G61" s="445"/>
      <c r="H61" s="446"/>
      <c r="I61" s="447"/>
      <c r="J61" s="448"/>
      <c r="K61" s="44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1:57" s="54" customFormat="1" ht="16.5" hidden="1" customHeight="1" thickBot="1">
      <c r="B62" s="437"/>
      <c r="C62" s="423"/>
      <c r="D62" s="424"/>
      <c r="E62" s="425"/>
      <c r="F62" s="426"/>
      <c r="G62" s="427"/>
      <c r="H62" s="428"/>
      <c r="I62" s="438"/>
      <c r="J62" s="439"/>
      <c r="K62" s="429"/>
      <c r="L62" s="440"/>
      <c r="M62" s="422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415"/>
      <c r="AC62" s="415"/>
      <c r="AD62" s="415"/>
      <c r="AE62" s="415"/>
      <c r="AF62" s="415"/>
      <c r="AG62" s="415"/>
      <c r="AH62" s="415"/>
      <c r="AI62" s="415"/>
      <c r="AJ62" s="415"/>
      <c r="AK62" s="415"/>
      <c r="AL62" s="415"/>
      <c r="AM62" s="415"/>
      <c r="AN62" s="415"/>
      <c r="AO62" s="415"/>
      <c r="AP62" s="415"/>
      <c r="AQ62" s="415"/>
      <c r="AR62" s="415"/>
      <c r="AS62" s="415"/>
      <c r="AT62" s="415"/>
      <c r="AU62" s="415"/>
      <c r="AV62" s="415"/>
      <c r="AW62" s="415"/>
    </row>
    <row r="63" spans="1:57" s="54" customFormat="1" ht="37.15" hidden="1" customHeight="1" thickBot="1">
      <c r="B63" s="456"/>
      <c r="C63" s="441"/>
      <c r="D63" s="442"/>
      <c r="E63" s="443"/>
      <c r="F63" s="444"/>
      <c r="G63" s="445"/>
      <c r="H63" s="446"/>
      <c r="I63" s="447"/>
      <c r="J63" s="448"/>
      <c r="K63" s="449"/>
      <c r="L63" s="457"/>
      <c r="M63" s="454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1:57" s="54" customFormat="1" ht="37.15" customHeight="1">
      <c r="B64" s="466"/>
      <c r="C64" s="430"/>
      <c r="D64" s="460"/>
      <c r="E64" s="461"/>
      <c r="F64" s="462"/>
      <c r="G64" s="460"/>
      <c r="H64" s="463"/>
      <c r="I64" s="463"/>
      <c r="J64" s="463"/>
      <c r="K64" s="464"/>
      <c r="L64" s="465"/>
      <c r="M64" s="50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16" ht="18" customHeight="1" thickBot="1">
      <c r="B65" s="59"/>
      <c r="C65" s="30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 t="s">
        <v>41</v>
      </c>
      <c r="O65" s="56"/>
      <c r="P65" s="60"/>
    </row>
    <row r="66" spans="2:16" ht="15.75" thickBot="1">
      <c r="B66" s="498" t="s">
        <v>55</v>
      </c>
      <c r="C66" s="499"/>
      <c r="D66" s="499"/>
      <c r="E66" s="499"/>
      <c r="F66" s="500"/>
      <c r="G66" s="498" t="s">
        <v>56</v>
      </c>
      <c r="H66" s="499"/>
      <c r="I66" s="499"/>
      <c r="J66" s="500"/>
      <c r="K66" s="498" t="s">
        <v>51</v>
      </c>
      <c r="L66" s="499"/>
      <c r="M66" s="499"/>
      <c r="N66" s="501"/>
      <c r="O66" s="56"/>
      <c r="P66" s="50"/>
    </row>
    <row r="67" spans="2:16" ht="15">
      <c r="B67" s="61" t="s">
        <v>17</v>
      </c>
      <c r="C67" s="62" t="s">
        <v>36</v>
      </c>
      <c r="D67" s="62" t="s">
        <v>37</v>
      </c>
      <c r="E67" s="62" t="s">
        <v>38</v>
      </c>
      <c r="F67" s="63" t="s">
        <v>39</v>
      </c>
      <c r="G67" s="62" t="s">
        <v>36</v>
      </c>
      <c r="H67" s="62" t="s">
        <v>37</v>
      </c>
      <c r="I67" s="62" t="s">
        <v>38</v>
      </c>
      <c r="J67" s="63" t="s">
        <v>39</v>
      </c>
      <c r="K67" s="62"/>
      <c r="L67" s="62" t="s">
        <v>37</v>
      </c>
      <c r="M67" s="62" t="s">
        <v>38</v>
      </c>
      <c r="N67" s="63" t="s">
        <v>39</v>
      </c>
      <c r="O67" s="56"/>
      <c r="P67" s="64"/>
    </row>
    <row r="68" spans="2:16" ht="15">
      <c r="B68" s="29" t="s">
        <v>6</v>
      </c>
      <c r="C68" s="282"/>
      <c r="D68" s="76">
        <v>5.9167912306925894</v>
      </c>
      <c r="E68" s="76">
        <v>6.7898106372121969</v>
      </c>
      <c r="F68" s="66">
        <v>4.8</v>
      </c>
      <c r="G68" s="65"/>
      <c r="H68" s="477">
        <v>5.8303113341424178</v>
      </c>
      <c r="I68" s="477">
        <v>6.6736853038205659</v>
      </c>
      <c r="J68" s="66">
        <v>4.8</v>
      </c>
      <c r="K68" s="67"/>
      <c r="L68" s="194">
        <v>0.83385964912280719</v>
      </c>
      <c r="M68" s="194">
        <v>0.44915216964967647</v>
      </c>
      <c r="N68" s="68">
        <v>1</v>
      </c>
      <c r="O68" s="56"/>
      <c r="P68" s="69"/>
    </row>
    <row r="69" spans="2:16" ht="15">
      <c r="B69" s="33" t="s">
        <v>9</v>
      </c>
      <c r="C69" s="65">
        <f>L55</f>
        <v>5.5392809587216929</v>
      </c>
      <c r="D69" s="76">
        <v>5.5392809587216929</v>
      </c>
      <c r="E69" s="76">
        <v>6.3411334413966323</v>
      </c>
      <c r="F69" s="66">
        <v>4.8</v>
      </c>
      <c r="G69" s="65">
        <f>[12]April_2026!$J$21</f>
        <v>5.2360362748010587</v>
      </c>
      <c r="H69" s="76"/>
      <c r="I69" s="76">
        <v>6.0615758973702238</v>
      </c>
      <c r="J69" s="66">
        <v>4.8</v>
      </c>
      <c r="K69" s="67">
        <f>K55</f>
        <v>1.244561403508772</v>
      </c>
      <c r="L69" s="194"/>
      <c r="M69" s="194">
        <v>0.66474567163482645</v>
      </c>
      <c r="N69" s="68">
        <v>1</v>
      </c>
      <c r="P69" s="69"/>
    </row>
    <row r="70" spans="2:16" ht="15">
      <c r="B70" s="34" t="s">
        <v>40</v>
      </c>
      <c r="C70" s="65"/>
      <c r="D70" s="76"/>
      <c r="E70" s="76">
        <v>12.380135651360392</v>
      </c>
      <c r="F70" s="66">
        <v>5.5</v>
      </c>
      <c r="G70" s="483"/>
      <c r="H70" s="76"/>
      <c r="I70" s="76">
        <v>13.955538676690328</v>
      </c>
      <c r="J70" s="66">
        <v>5.5</v>
      </c>
      <c r="K70" s="67"/>
      <c r="L70" s="194"/>
      <c r="M70" s="194">
        <v>0.29450526315789471</v>
      </c>
      <c r="N70" s="68">
        <v>1</v>
      </c>
      <c r="P70" s="69"/>
    </row>
    <row r="71" spans="2:16" ht="15">
      <c r="B71" s="22" t="s">
        <v>33</v>
      </c>
      <c r="C71" s="65"/>
      <c r="D71" s="76"/>
      <c r="E71" s="76">
        <v>4.601418358346991</v>
      </c>
      <c r="F71" s="66">
        <v>3.3</v>
      </c>
      <c r="G71" s="65"/>
      <c r="H71" s="76"/>
      <c r="I71" s="76">
        <v>4.3274739720788533</v>
      </c>
      <c r="J71" s="66">
        <v>3.3</v>
      </c>
      <c r="K71" s="67"/>
      <c r="L71" s="194"/>
      <c r="M71" s="194">
        <v>0.8292543859649123</v>
      </c>
      <c r="N71" s="68">
        <v>1</v>
      </c>
      <c r="P71" s="69"/>
    </row>
    <row r="72" spans="2:16" ht="15">
      <c r="B72" s="35" t="s">
        <v>164</v>
      </c>
      <c r="C72" s="65"/>
      <c r="D72" s="76"/>
      <c r="E72" s="76"/>
      <c r="F72" s="66">
        <v>3.3</v>
      </c>
      <c r="G72" s="282"/>
      <c r="H72" s="76"/>
      <c r="I72" s="76"/>
      <c r="J72" s="66">
        <v>3</v>
      </c>
      <c r="K72" s="67"/>
      <c r="L72" s="194"/>
      <c r="M72" s="194"/>
      <c r="N72" s="68">
        <v>1</v>
      </c>
      <c r="P72" s="69"/>
    </row>
    <row r="73" spans="2:16" ht="15">
      <c r="B73" s="36" t="s">
        <v>15</v>
      </c>
      <c r="C73" s="65"/>
      <c r="D73" s="76"/>
      <c r="E73" s="76">
        <v>5.1105651105651271</v>
      </c>
      <c r="F73" s="70">
        <f>[15]May_2022!$M$43</f>
        <v>3.4878406700073312</v>
      </c>
      <c r="G73" s="282"/>
      <c r="H73" s="76"/>
      <c r="I73" s="76">
        <v>7.9131369535794072</v>
      </c>
      <c r="J73" s="66">
        <v>5.5</v>
      </c>
      <c r="K73" s="67"/>
      <c r="L73" s="194"/>
      <c r="M73" s="194">
        <v>1.3550877192982456</v>
      </c>
      <c r="N73" s="68">
        <v>1</v>
      </c>
      <c r="P73" s="69"/>
    </row>
    <row r="74" spans="2:16" ht="15">
      <c r="B74" s="37" t="s">
        <v>16</v>
      </c>
      <c r="C74" s="65"/>
      <c r="D74" s="76"/>
      <c r="E74" s="76">
        <v>3.9654240950837312</v>
      </c>
      <c r="F74" s="66">
        <v>3.3</v>
      </c>
      <c r="G74" s="282"/>
      <c r="H74" s="76"/>
      <c r="I74" s="76">
        <v>5.0010391616318897</v>
      </c>
      <c r="J74" s="66">
        <v>3.3</v>
      </c>
      <c r="K74" s="67"/>
      <c r="L74" s="194"/>
      <c r="M74" s="194">
        <v>0.93295906432748543</v>
      </c>
      <c r="N74" s="71">
        <v>1</v>
      </c>
      <c r="P74" s="69"/>
    </row>
    <row r="75" spans="2:16" ht="15.75" thickBot="1">
      <c r="B75" s="38" t="s">
        <v>163</v>
      </c>
      <c r="C75" s="65"/>
      <c r="D75" s="76"/>
      <c r="E75" s="76"/>
      <c r="F75" s="66">
        <v>7.5</v>
      </c>
      <c r="G75" s="282"/>
      <c r="H75" s="76"/>
      <c r="I75" s="76"/>
      <c r="J75" s="66">
        <v>7.5</v>
      </c>
      <c r="K75" s="67"/>
      <c r="L75" s="194"/>
      <c r="M75" s="194"/>
      <c r="N75" s="71">
        <v>1</v>
      </c>
      <c r="P75" s="69"/>
    </row>
    <row r="76" spans="2:16" ht="15.75" thickBot="1">
      <c r="B76" s="414" t="s">
        <v>161</v>
      </c>
      <c r="C76" s="65"/>
      <c r="D76" s="76"/>
      <c r="E76" s="76"/>
      <c r="F76" s="66">
        <v>4.8</v>
      </c>
      <c r="G76" s="282"/>
      <c r="H76" s="76"/>
      <c r="I76" s="76"/>
      <c r="J76" s="66">
        <v>4.8</v>
      </c>
      <c r="K76" s="67"/>
      <c r="L76" s="194"/>
      <c r="M76" s="194"/>
      <c r="N76" s="71">
        <v>1</v>
      </c>
      <c r="O76" s="74"/>
      <c r="P76" s="75"/>
    </row>
    <row r="77" spans="2:16" ht="15">
      <c r="D77" s="76">
        <v>5.7964864635491775</v>
      </c>
      <c r="E77" s="76">
        <v>6.5940739820707153</v>
      </c>
      <c r="F77" s="341">
        <v>5.5</v>
      </c>
      <c r="H77" s="76">
        <v>5.8303113341424178</v>
      </c>
      <c r="I77" s="76">
        <v>6.7698283114200768</v>
      </c>
      <c r="J77" s="341">
        <v>5.5</v>
      </c>
      <c r="L77" s="194">
        <v>0.83385964912280719</v>
      </c>
      <c r="M77" s="194">
        <v>0.55220532391585031</v>
      </c>
      <c r="N77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4:N24"/>
    <mergeCell ref="D25:E25"/>
    <mergeCell ref="B26:B37"/>
    <mergeCell ref="D26:E27"/>
    <mergeCell ref="D28:E29"/>
    <mergeCell ref="D30:E31"/>
    <mergeCell ref="D32:E33"/>
    <mergeCell ref="D34:E35"/>
    <mergeCell ref="D36:E37"/>
    <mergeCell ref="B38:B47"/>
    <mergeCell ref="D38:E39"/>
    <mergeCell ref="J38:K38"/>
    <mergeCell ref="L39:N39"/>
    <mergeCell ref="D40:E41"/>
    <mergeCell ref="D42:E43"/>
    <mergeCell ref="D44:E45"/>
    <mergeCell ref="D46:E47"/>
    <mergeCell ref="D48:E48"/>
    <mergeCell ref="B53:B54"/>
    <mergeCell ref="C53:C54"/>
    <mergeCell ref="D53:D54"/>
    <mergeCell ref="E53:E54"/>
    <mergeCell ref="M53:M54"/>
    <mergeCell ref="B66:F66"/>
    <mergeCell ref="G66:J66"/>
    <mergeCell ref="K66:N66"/>
    <mergeCell ref="G53:G54"/>
    <mergeCell ref="H53:H54"/>
    <mergeCell ref="I53:I54"/>
    <mergeCell ref="J53:J54"/>
    <mergeCell ref="K53:K54"/>
    <mergeCell ref="L53:L54"/>
    <mergeCell ref="F53:F54"/>
  </mergeCells>
  <conditionalFormatting sqref="B48:B49">
    <cfRule type="cellIs" dxfId="2778" priority="101" operator="notBetween">
      <formula>#REF!</formula>
      <formula>#REF!</formula>
    </cfRule>
  </conditionalFormatting>
  <conditionalFormatting sqref="C52">
    <cfRule type="cellIs" dxfId="2777" priority="196" stopIfTrue="1" operator="greaterThan">
      <formula>100</formula>
    </cfRule>
    <cfRule type="cellIs" dxfId="2776" priority="195" stopIfTrue="1" operator="lessThan">
      <formula>96</formula>
    </cfRule>
  </conditionalFormatting>
  <conditionalFormatting sqref="C68:C72">
    <cfRule type="cellIs" dxfId="2775" priority="164" stopIfTrue="1" operator="lessThanOrEqual">
      <formula>0</formula>
    </cfRule>
  </conditionalFormatting>
  <conditionalFormatting sqref="C68:C76">
    <cfRule type="cellIs" dxfId="2774" priority="163" stopIfTrue="1" operator="greaterThan">
      <formula>$F68</formula>
    </cfRule>
  </conditionalFormatting>
  <conditionalFormatting sqref="C69">
    <cfRule type="cellIs" dxfId="2773" priority="197" stopIfTrue="1" operator="greaterThan">
      <formula>$F68</formula>
    </cfRule>
  </conditionalFormatting>
  <conditionalFormatting sqref="C73">
    <cfRule type="cellIs" dxfId="2772" priority="125" stopIfTrue="1" operator="lessThanOrEqual">
      <formula>0</formula>
    </cfRule>
    <cfRule type="cellIs" dxfId="2771" priority="126" stopIfTrue="1" operator="greaterThan">
      <formula>$F72</formula>
    </cfRule>
  </conditionalFormatting>
  <conditionalFormatting sqref="C74:C76">
    <cfRule type="cellIs" dxfId="2770" priority="165" stopIfTrue="1" operator="lessThanOrEqual">
      <formula>0</formula>
    </cfRule>
  </conditionalFormatting>
  <conditionalFormatting sqref="C79:C83">
    <cfRule type="cellIs" dxfId="2769" priority="187" stopIfTrue="1" operator="lessThanOrEqual">
      <formula>0</formula>
    </cfRule>
  </conditionalFormatting>
  <conditionalFormatting sqref="C80:C83">
    <cfRule type="cellIs" dxfId="2768" priority="186" stopIfTrue="1" operator="greaterThan">
      <formula>$F$79</formula>
    </cfRule>
  </conditionalFormatting>
  <conditionalFormatting sqref="C85">
    <cfRule type="cellIs" dxfId="2767" priority="188" stopIfTrue="1" operator="greaterThan">
      <formula>$F$79</formula>
    </cfRule>
    <cfRule type="cellIs" dxfId="2766" priority="189" stopIfTrue="1" operator="lessThanOrEqual">
      <formula>0</formula>
    </cfRule>
  </conditionalFormatting>
  <conditionalFormatting sqref="C79:D79 D81:D87">
    <cfRule type="cellIs" dxfId="2765" priority="181" stopIfTrue="1" operator="greaterThan">
      <formula>4.5</formula>
    </cfRule>
  </conditionalFormatting>
  <conditionalFormatting sqref="D48:D49">
    <cfRule type="cellIs" dxfId="2764" priority="102" operator="notBetween">
      <formula>#REF!</formula>
      <formula>#REF!</formula>
    </cfRule>
  </conditionalFormatting>
  <conditionalFormatting sqref="D68:D75">
    <cfRule type="cellIs" dxfId="2763" priority="76" stopIfTrue="1" operator="lessThanOrEqual">
      <formula>0</formula>
    </cfRule>
  </conditionalFormatting>
  <conditionalFormatting sqref="D68:D77">
    <cfRule type="cellIs" dxfId="2762" priority="55" stopIfTrue="1" operator="lessThanOrEqual">
      <formula>0</formula>
    </cfRule>
  </conditionalFormatting>
  <conditionalFormatting sqref="D76">
    <cfRule type="cellIs" dxfId="2761" priority="75" stopIfTrue="1" operator="lessThanOrEqual">
      <formula>0</formula>
    </cfRule>
  </conditionalFormatting>
  <conditionalFormatting sqref="D77">
    <cfRule type="cellIs" dxfId="2760" priority="70" stopIfTrue="1" operator="lessThanOrEqual">
      <formula>0</formula>
    </cfRule>
  </conditionalFormatting>
  <conditionalFormatting sqref="D79 D81:D87">
    <cfRule type="cellIs" dxfId="2759" priority="182" stopIfTrue="1" operator="lessThanOrEqual">
      <formula>0</formula>
    </cfRule>
  </conditionalFormatting>
  <conditionalFormatting sqref="D80">
    <cfRule type="cellIs" dxfId="2758" priority="174" stopIfTrue="1" operator="lessThanOrEqual">
      <formula>0</formula>
    </cfRule>
    <cfRule type="cellIs" dxfId="2757" priority="173" stopIfTrue="1" operator="greaterThan">
      <formula>$F$79</formula>
    </cfRule>
  </conditionalFormatting>
  <conditionalFormatting sqref="D68:E77">
    <cfRule type="cellIs" dxfId="2756" priority="57" stopIfTrue="1" operator="greaterThan">
      <formula>$F68</formula>
    </cfRule>
  </conditionalFormatting>
  <conditionalFormatting sqref="D77:E77">
    <cfRule type="cellIs" dxfId="2755" priority="59" stopIfTrue="1" operator="lessThanOrEqual">
      <formula>0</formula>
    </cfRule>
  </conditionalFormatting>
  <conditionalFormatting sqref="E10:E23">
    <cfRule type="cellIs" dxfId="2754" priority="47" operator="lessThan">
      <formula>48</formula>
    </cfRule>
  </conditionalFormatting>
  <conditionalFormatting sqref="E51 E52:F52">
    <cfRule type="cellIs" dxfId="2753" priority="178" stopIfTrue="1" operator="greaterThan">
      <formula>100</formula>
    </cfRule>
  </conditionalFormatting>
  <conditionalFormatting sqref="E52">
    <cfRule type="cellIs" dxfId="2752" priority="175" stopIfTrue="1" operator="lessThan">
      <formula>96.8</formula>
    </cfRule>
    <cfRule type="cellIs" dxfId="2751" priority="176" stopIfTrue="1" operator="greaterThan">
      <formula>100</formula>
    </cfRule>
  </conditionalFormatting>
  <conditionalFormatting sqref="E68:E76">
    <cfRule type="cellIs" dxfId="2750" priority="56" stopIfTrue="1" operator="lessThanOrEqual">
      <formula>0</formula>
    </cfRule>
  </conditionalFormatting>
  <conditionalFormatting sqref="E68:E77">
    <cfRule type="cellIs" dxfId="2749" priority="58" stopIfTrue="1" operator="lessThanOrEqual">
      <formula>0</formula>
    </cfRule>
  </conditionalFormatting>
  <conditionalFormatting sqref="E79:E87">
    <cfRule type="cellIs" dxfId="2748" priority="168" stopIfTrue="1" operator="lessThanOrEqual">
      <formula>0</formula>
    </cfRule>
    <cfRule type="cellIs" dxfId="2747" priority="167" stopIfTrue="1" operator="greaterThan">
      <formula>4.5</formula>
    </cfRule>
  </conditionalFormatting>
  <conditionalFormatting sqref="E52:F52 E51">
    <cfRule type="cellIs" dxfId="2746" priority="177" stopIfTrue="1" operator="lessThan">
      <formula>96.5</formula>
    </cfRule>
  </conditionalFormatting>
  <conditionalFormatting sqref="F20:F23">
    <cfRule type="cellIs" dxfId="2745" priority="51" operator="greaterThan">
      <formula>60</formula>
    </cfRule>
  </conditionalFormatting>
  <conditionalFormatting sqref="F52">
    <cfRule type="cellIs" dxfId="2744" priority="193" stopIfTrue="1" operator="lessThan">
      <formula>96.8</formula>
    </cfRule>
    <cfRule type="cellIs" dxfId="2743" priority="194" stopIfTrue="1" operator="greaterThan">
      <formula>100</formula>
    </cfRule>
  </conditionalFormatting>
  <conditionalFormatting sqref="F77">
    <cfRule type="cellIs" dxfId="2742" priority="74" stopIfTrue="1" operator="lessThanOrEqual">
      <formula>0</formula>
    </cfRule>
    <cfRule type="cellIs" dxfId="2741" priority="73" stopIfTrue="1" operator="greaterThan">
      <formula>$F77</formula>
    </cfRule>
  </conditionalFormatting>
  <conditionalFormatting sqref="G20:G23">
    <cfRule type="expression" dxfId="2740" priority="50">
      <formula>IF(+(IF(G20&lt;S20,0,IF(G20&gt;T20,0,1)))=0,1)</formula>
    </cfRule>
  </conditionalFormatting>
  <conditionalFormatting sqref="G68:G69">
    <cfRule type="cellIs" dxfId="2739" priority="78" stopIfTrue="1" operator="lessThanOrEqual">
      <formula>0</formula>
    </cfRule>
    <cfRule type="cellIs" dxfId="2738" priority="72" stopIfTrue="1" operator="lessThanOrEqual">
      <formula>0</formula>
    </cfRule>
    <cfRule type="cellIs" dxfId="2737" priority="77" stopIfTrue="1" operator="greaterThan">
      <formula>$F68</formula>
    </cfRule>
    <cfRule type="cellIs" dxfId="2736" priority="71" stopIfTrue="1" operator="greaterThan">
      <formula>$F68</formula>
    </cfRule>
  </conditionalFormatting>
  <conditionalFormatting sqref="G70">
    <cfRule type="containsErrors" dxfId="2735" priority="48" stopIfTrue="1">
      <formula>ISERROR(G70)</formula>
    </cfRule>
  </conditionalFormatting>
  <conditionalFormatting sqref="G71">
    <cfRule type="cellIs" dxfId="2734" priority="63" stopIfTrue="1" operator="greaterThan">
      <formula>$F71</formula>
    </cfRule>
    <cfRule type="cellIs" dxfId="2733" priority="64" stopIfTrue="1" operator="lessThanOrEqual">
      <formula>0</formula>
    </cfRule>
    <cfRule type="cellIs" dxfId="2732" priority="65" stopIfTrue="1" operator="greaterThan">
      <formula>$F71</formula>
    </cfRule>
    <cfRule type="cellIs" dxfId="2731" priority="66" stopIfTrue="1" operator="lessThanOrEqual">
      <formula>0</formula>
    </cfRule>
  </conditionalFormatting>
  <conditionalFormatting sqref="G72:G76">
    <cfRule type="cellIs" dxfId="2730" priority="79" stopIfTrue="1" operator="greaterThan">
      <formula>$J72</formula>
    </cfRule>
    <cfRule type="cellIs" dxfId="2729" priority="80" stopIfTrue="1" operator="lessThanOrEqual">
      <formula>0</formula>
    </cfRule>
  </conditionalFormatting>
  <conditionalFormatting sqref="G81:G86 C84 C86">
    <cfRule type="cellIs" dxfId="2728" priority="190" stopIfTrue="1" operator="greaterThan">
      <formula>4.5</formula>
    </cfRule>
    <cfRule type="cellIs" dxfId="2727" priority="191" stopIfTrue="1" operator="lessThanOrEqual">
      <formula>0</formula>
    </cfRule>
  </conditionalFormatting>
  <conditionalFormatting sqref="G10:H19 M10:N19 H20:H23">
    <cfRule type="expression" dxfId="2726" priority="49">
      <formula>IF(+(IF(G10&lt;#REF!,0,IF(G10&gt;#REF!,0,1)))=0,1)</formula>
    </cfRule>
  </conditionalFormatting>
  <conditionalFormatting sqref="G80:H80">
    <cfRule type="cellIs" dxfId="2725" priority="172" stopIfTrue="1" operator="lessThanOrEqual">
      <formula>0</formula>
    </cfRule>
    <cfRule type="cellIs" dxfId="2724" priority="171" stopIfTrue="1" operator="greaterThan">
      <formula>$F$79</formula>
    </cfRule>
  </conditionalFormatting>
  <conditionalFormatting sqref="H37:H38 H51">
    <cfRule type="cellIs" dxfId="2723" priority="169" stopIfTrue="1" operator="greaterThan">
      <formula>0</formula>
    </cfRule>
  </conditionalFormatting>
  <conditionalFormatting sqref="H55">
    <cfRule type="cellIs" dxfId="2722" priority="12" stopIfTrue="1" operator="lessThanOrEqual">
      <formula>0</formula>
    </cfRule>
    <cfRule type="cellIs" dxfId="2721" priority="13" stopIfTrue="1" operator="greaterThan">
      <formula>$F$69</formula>
    </cfRule>
    <cfRule type="cellIs" dxfId="2720" priority="24" stopIfTrue="1" operator="lessThanOrEqual">
      <formula>0</formula>
    </cfRule>
    <cfRule type="cellIs" dxfId="2719" priority="23" stopIfTrue="1" operator="greaterThan">
      <formula>$F$70</formula>
    </cfRule>
    <cfRule type="cellIs" dxfId="2718" priority="22" stopIfTrue="1" operator="lessThanOrEqual">
      <formula>0</formula>
    </cfRule>
    <cfRule type="cellIs" dxfId="2717" priority="21" stopIfTrue="1" operator="greaterThan">
      <formula>$F$72</formula>
    </cfRule>
  </conditionalFormatting>
  <conditionalFormatting sqref="H56:H59">
    <cfRule type="cellIs" dxfId="2716" priority="84" stopIfTrue="1" operator="lessThanOrEqual">
      <formula>0</formula>
    </cfRule>
    <cfRule type="cellIs" dxfId="2715" priority="85" stopIfTrue="1" operator="greaterThan">
      <formula>$F$68</formula>
    </cfRule>
    <cfRule type="cellIs" dxfId="2714" priority="93" stopIfTrue="1" operator="greaterThan">
      <formula>$F$71</formula>
    </cfRule>
    <cfRule type="cellIs" dxfId="2713" priority="94" stopIfTrue="1" operator="lessThanOrEqual">
      <formula>0</formula>
    </cfRule>
    <cfRule type="cellIs" dxfId="2712" priority="95" stopIfTrue="1" operator="greaterThan">
      <formula>$F$69</formula>
    </cfRule>
    <cfRule type="cellIs" dxfId="2711" priority="96" stopIfTrue="1" operator="lessThanOrEqual">
      <formula>0</formula>
    </cfRule>
  </conditionalFormatting>
  <conditionalFormatting sqref="H60:H61">
    <cfRule type="cellIs" dxfId="2710" priority="137" stopIfTrue="1" operator="greaterThan">
      <formula>$F$23</formula>
    </cfRule>
    <cfRule type="cellIs" dxfId="2709" priority="138" stopIfTrue="1" operator="lessThanOrEqual">
      <formula>0</formula>
    </cfRule>
    <cfRule type="cellIs" dxfId="2708" priority="139" stopIfTrue="1" operator="greaterThan">
      <formula>#REF!</formula>
    </cfRule>
    <cfRule type="cellIs" dxfId="2707" priority="140" stopIfTrue="1" operator="lessThanOrEqual">
      <formula>0</formula>
    </cfRule>
    <cfRule type="cellIs" dxfId="2706" priority="129" stopIfTrue="1" operator="greaterThan">
      <formula>#REF!</formula>
    </cfRule>
    <cfRule type="cellIs" dxfId="2705" priority="128" stopIfTrue="1" operator="lessThanOrEqual">
      <formula>0</formula>
    </cfRule>
  </conditionalFormatting>
  <conditionalFormatting sqref="H62">
    <cfRule type="cellIs" dxfId="2704" priority="153" stopIfTrue="1" operator="greaterThan">
      <formula>$F$37</formula>
    </cfRule>
    <cfRule type="cellIs" dxfId="2703" priority="152" stopIfTrue="1" operator="lessThanOrEqual">
      <formula>0</formula>
    </cfRule>
    <cfRule type="cellIs" dxfId="2702" priority="151" stopIfTrue="1" operator="greaterThan">
      <formula>$F$39</formula>
    </cfRule>
    <cfRule type="cellIs" dxfId="2701" priority="143" stopIfTrue="1" operator="greaterThan">
      <formula>$F$36</formula>
    </cfRule>
    <cfRule type="cellIs" dxfId="2700" priority="142" stopIfTrue="1" operator="lessThanOrEqual">
      <formula>0</formula>
    </cfRule>
    <cfRule type="cellIs" dxfId="2699" priority="154" stopIfTrue="1" operator="lessThanOrEqual">
      <formula>0</formula>
    </cfRule>
  </conditionalFormatting>
  <conditionalFormatting sqref="H63:H64">
    <cfRule type="cellIs" dxfId="2698" priority="123" stopIfTrue="1" operator="greaterThan">
      <formula>#REF!</formula>
    </cfRule>
    <cfRule type="cellIs" dxfId="2697" priority="122" stopIfTrue="1" operator="lessThanOrEqual">
      <formula>0</formula>
    </cfRule>
    <cfRule type="cellIs" dxfId="2696" priority="121" stopIfTrue="1" operator="greaterThan">
      <formula>$F$23</formula>
    </cfRule>
    <cfRule type="cellIs" dxfId="2695" priority="113" stopIfTrue="1" operator="greaterThan">
      <formula>#REF!</formula>
    </cfRule>
    <cfRule type="cellIs" dxfId="2694" priority="112" stopIfTrue="1" operator="lessThanOrEqual">
      <formula>0</formula>
    </cfRule>
    <cfRule type="cellIs" dxfId="2693" priority="124" stopIfTrue="1" operator="lessThanOrEqual">
      <formula>0</formula>
    </cfRule>
  </conditionalFormatting>
  <conditionalFormatting sqref="H79 H81:H87">
    <cfRule type="cellIs" dxfId="2692" priority="183" stopIfTrue="1" operator="greaterThan">
      <formula>4.5</formula>
    </cfRule>
    <cfRule type="cellIs" dxfId="2691" priority="184" stopIfTrue="1" operator="lessThanOrEqual">
      <formula>0</formula>
    </cfRule>
  </conditionalFormatting>
  <conditionalFormatting sqref="H55:I55">
    <cfRule type="cellIs" dxfId="2690" priority="11" stopIfTrue="1" operator="greaterThan">
      <formula>$F$71</formula>
    </cfRule>
    <cfRule type="cellIs" dxfId="2689" priority="14" stopIfTrue="1" operator="lessThanOrEqual">
      <formula>0</formula>
    </cfRule>
  </conditionalFormatting>
  <conditionalFormatting sqref="H56:I59">
    <cfRule type="cellIs" dxfId="2688" priority="86" stopIfTrue="1" operator="lessThanOrEqual">
      <formula>0</formula>
    </cfRule>
    <cfRule type="cellIs" dxfId="2687" priority="83" stopIfTrue="1" operator="greaterThan">
      <formula>$F$70</formula>
    </cfRule>
  </conditionalFormatting>
  <conditionalFormatting sqref="H60:I61">
    <cfRule type="cellIs" dxfId="2686" priority="127" stopIfTrue="1" operator="greaterThan">
      <formula>#REF!</formula>
    </cfRule>
    <cfRule type="cellIs" dxfId="2685" priority="130" stopIfTrue="1" operator="lessThanOrEqual">
      <formula>0</formula>
    </cfRule>
  </conditionalFormatting>
  <conditionalFormatting sqref="H62:I62">
    <cfRule type="cellIs" dxfId="2684" priority="144" stopIfTrue="1" operator="lessThanOrEqual">
      <formula>0</formula>
    </cfRule>
    <cfRule type="cellIs" dxfId="2683" priority="141" stopIfTrue="1" operator="greaterThan">
      <formula>$F$38</formula>
    </cfRule>
  </conditionalFormatting>
  <conditionalFormatting sqref="H63:I64">
    <cfRule type="cellIs" dxfId="2682" priority="111" stopIfTrue="1" operator="greaterThan">
      <formula>#REF!</formula>
    </cfRule>
    <cfRule type="cellIs" dxfId="2681" priority="114" stopIfTrue="1" operator="lessThanOrEqual">
      <formula>0</formula>
    </cfRule>
  </conditionalFormatting>
  <conditionalFormatting sqref="H68:I75">
    <cfRule type="cellIs" dxfId="2680" priority="54" stopIfTrue="1" operator="lessThanOrEqual">
      <formula>0</formula>
    </cfRule>
    <cfRule type="cellIs" dxfId="2679" priority="53" stopIfTrue="1" operator="greaterThan">
      <formula>$J68</formula>
    </cfRule>
  </conditionalFormatting>
  <conditionalFormatting sqref="H76:I76">
    <cfRule type="cellIs" dxfId="2678" priority="62" operator="greaterThan">
      <formula>5.3</formula>
    </cfRule>
  </conditionalFormatting>
  <conditionalFormatting sqref="H77:I77">
    <cfRule type="cellIs" dxfId="2677" priority="61" stopIfTrue="1" operator="lessThanOrEqual">
      <formula>0</formula>
    </cfRule>
    <cfRule type="cellIs" dxfId="2676" priority="60" stopIfTrue="1" operator="greaterThan">
      <formula>$J77</formula>
    </cfRule>
  </conditionalFormatting>
  <conditionalFormatting sqref="I55">
    <cfRule type="cellIs" dxfId="2675" priority="17" stopIfTrue="1" operator="greaterThan">
      <formula>$F$71</formula>
    </cfRule>
    <cfRule type="cellIs" dxfId="2674" priority="16" stopIfTrue="1" operator="lessThanOrEqual">
      <formula>0</formula>
    </cfRule>
    <cfRule type="cellIs" dxfId="2673" priority="15" stopIfTrue="1" operator="greaterThan">
      <formula>$F$69</formula>
    </cfRule>
    <cfRule type="cellIs" dxfId="2672" priority="20" stopIfTrue="1" operator="lessThanOrEqual">
      <formula>0</formula>
    </cfRule>
    <cfRule type="cellIs" dxfId="2671" priority="19" stopIfTrue="1" operator="greaterThan">
      <formula>$F$69</formula>
    </cfRule>
    <cfRule type="cellIs" dxfId="2670" priority="18" stopIfTrue="1" operator="lessThanOrEqual">
      <formula>0</formula>
    </cfRule>
  </conditionalFormatting>
  <conditionalFormatting sqref="I56:I59">
    <cfRule type="cellIs" dxfId="2669" priority="92" stopIfTrue="1" operator="lessThanOrEqual">
      <formula>0</formula>
    </cfRule>
    <cfRule type="cellIs" dxfId="2668" priority="90" stopIfTrue="1" operator="lessThanOrEqual">
      <formula>0</formula>
    </cfRule>
    <cfRule type="cellIs" dxfId="2667" priority="87" stopIfTrue="1" operator="greaterThan">
      <formula>$F$68</formula>
    </cfRule>
    <cfRule type="cellIs" dxfId="2666" priority="88" stopIfTrue="1" operator="lessThanOrEqual">
      <formula>0</formula>
    </cfRule>
    <cfRule type="cellIs" dxfId="2665" priority="89" stopIfTrue="1" operator="greaterThan">
      <formula>$F$70</formula>
    </cfRule>
    <cfRule type="cellIs" dxfId="2664" priority="91" stopIfTrue="1" operator="greaterThan">
      <formula>$F$68</formula>
    </cfRule>
  </conditionalFormatting>
  <conditionalFormatting sqref="I60:I61">
    <cfRule type="cellIs" dxfId="2663" priority="136" stopIfTrue="1" operator="lessThanOrEqual">
      <formula>0</formula>
    </cfRule>
    <cfRule type="cellIs" dxfId="2662" priority="135" stopIfTrue="1" operator="greaterThan">
      <formula>#REF!</formula>
    </cfRule>
    <cfRule type="cellIs" dxfId="2661" priority="133" stopIfTrue="1" operator="greaterThan">
      <formula>#REF!</formula>
    </cfRule>
    <cfRule type="cellIs" dxfId="2660" priority="132" stopIfTrue="1" operator="lessThanOrEqual">
      <formula>0</formula>
    </cfRule>
    <cfRule type="cellIs" dxfId="2659" priority="131" stopIfTrue="1" operator="greaterThan">
      <formula>#REF!</formula>
    </cfRule>
    <cfRule type="cellIs" dxfId="2658" priority="134" stopIfTrue="1" operator="lessThanOrEqual">
      <formula>0</formula>
    </cfRule>
  </conditionalFormatting>
  <conditionalFormatting sqref="I62">
    <cfRule type="cellIs" dxfId="2657" priority="147" stopIfTrue="1" operator="greaterThan">
      <formula>$F$38</formula>
    </cfRule>
    <cfRule type="cellIs" dxfId="2656" priority="145" stopIfTrue="1" operator="greaterThan">
      <formula>$F$36</formula>
    </cfRule>
    <cfRule type="cellIs" dxfId="2655" priority="146" stopIfTrue="1" operator="lessThanOrEqual">
      <formula>0</formula>
    </cfRule>
    <cfRule type="cellIs" dxfId="2654" priority="148" stopIfTrue="1" operator="lessThanOrEqual">
      <formula>0</formula>
    </cfRule>
    <cfRule type="cellIs" dxfId="2653" priority="149" stopIfTrue="1" operator="greaterThan">
      <formula>$F$36</formula>
    </cfRule>
    <cfRule type="cellIs" dxfId="2652" priority="150" stopIfTrue="1" operator="lessThanOrEqual">
      <formula>0</formula>
    </cfRule>
  </conditionalFormatting>
  <conditionalFormatting sqref="I63:I64">
    <cfRule type="cellIs" dxfId="2651" priority="118" stopIfTrue="1" operator="lessThanOrEqual">
      <formula>0</formula>
    </cfRule>
    <cfRule type="cellIs" dxfId="2650" priority="120" stopIfTrue="1" operator="lessThanOrEqual">
      <formula>0</formula>
    </cfRule>
    <cfRule type="cellIs" dxfId="2649" priority="115" stopIfTrue="1" operator="greaterThan">
      <formula>#REF!</formula>
    </cfRule>
    <cfRule type="cellIs" dxfId="2648" priority="119" stopIfTrue="1" operator="greaterThan">
      <formula>#REF!</formula>
    </cfRule>
    <cfRule type="cellIs" dxfId="2647" priority="116" stopIfTrue="1" operator="lessThanOrEqual">
      <formula>0</formula>
    </cfRule>
    <cfRule type="cellIs" dxfId="2646" priority="117" stopIfTrue="1" operator="greaterThan">
      <formula>#REF!</formula>
    </cfRule>
  </conditionalFormatting>
  <conditionalFormatting sqref="I79:I87">
    <cfRule type="cellIs" dxfId="2645" priority="180" stopIfTrue="1" operator="lessThanOrEqual">
      <formula>0</formula>
    </cfRule>
    <cfRule type="cellIs" dxfId="2644" priority="179" stopIfTrue="1" operator="greaterThan">
      <formula>4.5</formula>
    </cfRule>
  </conditionalFormatting>
  <conditionalFormatting sqref="I10:J23">
    <cfRule type="cellIs" dxfId="2643" priority="41" operator="lessThan">
      <formula>97.9</formula>
    </cfRule>
  </conditionalFormatting>
  <conditionalFormatting sqref="J26">
    <cfRule type="cellIs" dxfId="2642" priority="82" operator="lessThan">
      <formula>97.95</formula>
    </cfRule>
  </conditionalFormatting>
  <conditionalFormatting sqref="J28">
    <cfRule type="cellIs" dxfId="2641" priority="156" stopIfTrue="1" operator="lessThan">
      <formula>96.8</formula>
    </cfRule>
    <cfRule type="cellIs" dxfId="2640" priority="157" stopIfTrue="1" operator="greaterThan">
      <formula>100</formula>
    </cfRule>
    <cfRule type="cellIs" dxfId="2639" priority="158" operator="lessThan">
      <formula>98</formula>
    </cfRule>
  </conditionalFormatting>
  <conditionalFormatting sqref="J28:J30">
    <cfRule type="cellIs" dxfId="2638" priority="155" operator="lessThan">
      <formula>97.4</formula>
    </cfRule>
  </conditionalFormatting>
  <conditionalFormatting sqref="J31:J32">
    <cfRule type="cellIs" dxfId="2637" priority="159" operator="lessThan">
      <formula>98</formula>
    </cfRule>
  </conditionalFormatting>
  <conditionalFormatting sqref="J33:J34">
    <cfRule type="cellIs" dxfId="2636" priority="160" stopIfTrue="1" operator="lessThan">
      <formula>96.8</formula>
    </cfRule>
    <cfRule type="cellIs" dxfId="2635" priority="161" stopIfTrue="1" operator="greaterThan">
      <formula>100</formula>
    </cfRule>
  </conditionalFormatting>
  <conditionalFormatting sqref="J33:J35">
    <cfRule type="cellIs" dxfId="2634" priority="162" operator="lessThan">
      <formula>98</formula>
    </cfRule>
  </conditionalFormatting>
  <conditionalFormatting sqref="J64">
    <cfRule type="cellIs" dxfId="2633" priority="108" stopIfTrue="1" operator="lessThanOrEqual">
      <formula>0</formula>
    </cfRule>
    <cfRule type="cellIs" dxfId="2632" priority="107" stopIfTrue="1" operator="greaterThan">
      <formula>#REF!</formula>
    </cfRule>
    <cfRule type="cellIs" dxfId="2631" priority="106" stopIfTrue="1" operator="lessThanOrEqual">
      <formula>0</formula>
    </cfRule>
    <cfRule type="cellIs" dxfId="2630" priority="105" stopIfTrue="1" operator="greaterThan">
      <formula>#REF!</formula>
    </cfRule>
    <cfRule type="cellIs" dxfId="2629" priority="104" stopIfTrue="1" operator="lessThanOrEqual">
      <formula>0</formula>
    </cfRule>
    <cfRule type="cellIs" dxfId="2628" priority="103" stopIfTrue="1" operator="greaterThan">
      <formula>#REF!</formula>
    </cfRule>
    <cfRule type="cellIs" dxfId="2627" priority="109" stopIfTrue="1" operator="greaterThan">
      <formula>#REF!</formula>
    </cfRule>
    <cfRule type="cellIs" dxfId="2626" priority="110" stopIfTrue="1" operator="lessThanOrEqual">
      <formula>0</formula>
    </cfRule>
  </conditionalFormatting>
  <conditionalFormatting sqref="J77">
    <cfRule type="cellIs" dxfId="2625" priority="67" stopIfTrue="1" operator="greaterThan">
      <formula>$F77</formula>
    </cfRule>
    <cfRule type="cellIs" dxfId="2624" priority="68" stopIfTrue="1" operator="lessThanOrEqual">
      <formula>0</formula>
    </cfRule>
  </conditionalFormatting>
  <conditionalFormatting sqref="K10:K23">
    <cfRule type="cellIs" dxfId="2623" priority="42" operator="greaterThan">
      <formula>6</formula>
    </cfRule>
    <cfRule type="cellIs" dxfId="2622" priority="43" operator="lessThan">
      <formula>4</formula>
    </cfRule>
    <cfRule type="cellIs" dxfId="2621" priority="44" operator="greaterThan">
      <formula>6.4</formula>
    </cfRule>
  </conditionalFormatting>
  <conditionalFormatting sqref="K55:K64">
    <cfRule type="cellIs" dxfId="2620" priority="97" stopIfTrue="1" operator="lessThan">
      <formula>100%</formula>
    </cfRule>
  </conditionalFormatting>
  <conditionalFormatting sqref="K79:K84">
    <cfRule type="cellIs" dxfId="2619" priority="185" stopIfTrue="1" operator="lessThan">
      <formula>100%</formula>
    </cfRule>
  </conditionalFormatting>
  <conditionalFormatting sqref="K86:K87">
    <cfRule type="cellIs" dxfId="2618" priority="192" stopIfTrue="1" operator="lessThan">
      <formula>100%</formula>
    </cfRule>
  </conditionalFormatting>
  <conditionalFormatting sqref="K68:M76">
    <cfRule type="cellIs" dxfId="2617" priority="52" stopIfTrue="1" operator="lessThan">
      <formula>100%</formula>
    </cfRule>
  </conditionalFormatting>
  <conditionalFormatting sqref="L10:L23">
    <cfRule type="cellIs" dxfId="2616" priority="46" operator="greaterThan">
      <formula>65</formula>
    </cfRule>
    <cfRule type="cellIs" dxfId="2615" priority="45" operator="between">
      <formula>61</formula>
      <formula>65</formula>
    </cfRule>
  </conditionalFormatting>
  <conditionalFormatting sqref="L26:M37">
    <cfRule type="cellIs" dxfId="2614" priority="99" operator="lessThan">
      <formula>97.95</formula>
    </cfRule>
  </conditionalFormatting>
  <conditionalFormatting sqref="L77:M77">
    <cfRule type="cellIs" dxfId="2613" priority="69" stopIfTrue="1" operator="lessThan">
      <formula>100%</formula>
    </cfRule>
  </conditionalFormatting>
  <conditionalFormatting sqref="L41:N41">
    <cfRule type="cellIs" dxfId="2612" priority="100" operator="notEqual">
      <formula>#REF!</formula>
    </cfRule>
  </conditionalFormatting>
  <conditionalFormatting sqref="L79:N87">
    <cfRule type="cellIs" dxfId="2611" priority="170" stopIfTrue="1" operator="lessThan">
      <formula>100%</formula>
    </cfRule>
  </conditionalFormatting>
  <conditionalFormatting sqref="M20:M21">
    <cfRule type="expression" dxfId="2610" priority="26">
      <formula>IF(+(IF(M20&lt;U20,0,IF(M20&gt;V20,0,1)))=0,1)</formula>
    </cfRule>
  </conditionalFormatting>
  <conditionalFormatting sqref="M22:N23">
    <cfRule type="expression" dxfId="2609" priority="98">
      <formula>IF(+(IF(M22&lt;#REF!,0,IF(M22&gt;#REF!,0,1)))=0,1)</formula>
    </cfRule>
  </conditionalFormatting>
  <conditionalFormatting sqref="N10:N21">
    <cfRule type="expression" dxfId="2608" priority="25">
      <formula>IF(+(IF(N10&lt;W10,0,IF(N10&gt;X10,0,1)))=0,1)</formula>
    </cfRule>
  </conditionalFormatting>
  <conditionalFormatting sqref="N68:N77">
    <cfRule type="cellIs" dxfId="2607" priority="81" stopIfTrue="1" operator="lessThan">
      <formula>100%</formula>
    </cfRule>
  </conditionalFormatting>
  <conditionalFormatting sqref="P6">
    <cfRule type="cellIs" dxfId="2606" priority="166" operator="greaterThanOrEqual">
      <formula>19</formula>
    </cfRule>
  </conditionalFormatting>
  <dataValidations count="1">
    <dataValidation type="list" allowBlank="1" showInputMessage="1" showErrorMessage="1" sqref="R8" xr:uid="{38B44A18-D537-4375-B41A-F57B7961E046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1" max="16383" man="1"/>
  </rowBreaks>
  <colBreaks count="1" manualBreakCount="1">
    <brk id="15" max="89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F78C3-6436-4F4F-92A6-30826AC4CB76}">
  <sheetPr>
    <pageSetUpPr fitToPage="1"/>
  </sheetPr>
  <dimension ref="A1:BE85"/>
  <sheetViews>
    <sheetView topLeftCell="A14" zoomScale="70" zoomScaleNormal="70" workbookViewId="0">
      <selection activeCell="H46" sqref="H46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9.42578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5" t="s">
        <v>0</v>
      </c>
      <c r="T1" s="555"/>
      <c r="U1" s="555" t="s">
        <v>1</v>
      </c>
      <c r="V1" s="555"/>
      <c r="W1" s="555" t="s">
        <v>2</v>
      </c>
      <c r="X1" s="555"/>
      <c r="Y1" s="555" t="s">
        <v>124</v>
      </c>
      <c r="Z1" s="555"/>
    </row>
    <row r="2" spans="2:29" ht="15">
      <c r="B2" s="556" t="s">
        <v>3</v>
      </c>
      <c r="C2" s="556"/>
      <c r="D2" s="556"/>
      <c r="E2" s="556"/>
      <c r="F2" s="556"/>
      <c r="G2" s="556"/>
      <c r="H2" s="556"/>
      <c r="I2" s="556"/>
      <c r="J2" s="556"/>
      <c r="K2" s="556"/>
      <c r="L2" s="556"/>
      <c r="M2" s="556"/>
      <c r="N2" s="556"/>
      <c r="O2" s="556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46122</v>
      </c>
      <c r="J4" s="398" t="s">
        <v>167</v>
      </c>
      <c r="K4" s="398"/>
      <c r="L4" s="11"/>
      <c r="M4" s="553" t="s">
        <v>8</v>
      </c>
      <c r="N4" s="554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2"/>
      <c r="D5" s="542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6" t="s">
        <v>17</v>
      </c>
      <c r="C8" s="517" t="s">
        <v>18</v>
      </c>
      <c r="D8" s="517" t="s">
        <v>19</v>
      </c>
      <c r="E8" s="356" t="s">
        <v>20</v>
      </c>
      <c r="F8" s="356" t="s">
        <v>21</v>
      </c>
      <c r="G8" s="517" t="s">
        <v>22</v>
      </c>
      <c r="H8" s="544" t="s">
        <v>144</v>
      </c>
      <c r="I8" s="517" t="s">
        <v>165</v>
      </c>
      <c r="J8" s="546" t="s">
        <v>23</v>
      </c>
      <c r="K8" s="548" t="s">
        <v>142</v>
      </c>
      <c r="L8" s="550" t="s">
        <v>24</v>
      </c>
      <c r="M8" s="359" t="s">
        <v>25</v>
      </c>
      <c r="N8" s="17" t="s">
        <v>169</v>
      </c>
      <c r="O8" s="510" t="s">
        <v>155</v>
      </c>
      <c r="P8" s="540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43"/>
      <c r="C9" s="541"/>
      <c r="D9" s="541"/>
      <c r="E9" s="357" t="s">
        <v>30</v>
      </c>
      <c r="F9" s="357" t="s">
        <v>31</v>
      </c>
      <c r="G9" s="541"/>
      <c r="H9" s="545"/>
      <c r="I9" s="541"/>
      <c r="J9" s="547"/>
      <c r="K9" s="549"/>
      <c r="L9" s="551"/>
      <c r="M9" s="20" t="s">
        <v>32</v>
      </c>
      <c r="N9" s="21" t="s">
        <v>41</v>
      </c>
      <c r="O9" s="552"/>
      <c r="P9" s="541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>
      <c r="B10" s="33" t="s">
        <v>9</v>
      </c>
      <c r="C10" s="366" t="str">
        <f>[3]Brewhouse!$A182</f>
        <v>ST129</v>
      </c>
      <c r="D10" s="279">
        <f>[3]Brewhouse!$AB182</f>
        <v>53.1</v>
      </c>
      <c r="E10" s="279">
        <f>[3]Brewhouse!$AG182</f>
        <v>49.6</v>
      </c>
      <c r="F10" s="278">
        <f>[3]Brewhouse!$V182</f>
        <v>57</v>
      </c>
      <c r="G10" s="279">
        <f>[3]Brewhouse!$AE182</f>
        <v>11.8</v>
      </c>
      <c r="H10" s="396"/>
      <c r="I10" s="368">
        <f>[3]Brewhouse!$AS182</f>
        <v>98.561767031560422</v>
      </c>
      <c r="J10" s="368">
        <f>[3]Brewhouse!$AT182</f>
        <v>99.707594070142719</v>
      </c>
      <c r="K10" s="281">
        <f>[3]Brewhouse!$Q182</f>
        <v>14.453860640301313</v>
      </c>
      <c r="L10" s="276">
        <f>[3]Brewhouse!$P182</f>
        <v>64</v>
      </c>
      <c r="M10" s="374">
        <f>[3]Brewhouse!$U182-[3]Brewhouse!$T182</f>
        <v>0.11249999999999999</v>
      </c>
      <c r="N10" s="370">
        <f>[3]Brewhouse!$AW182</f>
        <v>0.2583333333333333</v>
      </c>
      <c r="O10" s="371" t="str">
        <f>[3]Brewhouse!$AV182</f>
        <v>R.Sookram</v>
      </c>
      <c r="P10" s="418"/>
      <c r="R10" s="277" t="str">
        <f t="shared" ref="R10:R45" si="0">B10</f>
        <v>STAG</v>
      </c>
      <c r="S10" s="472">
        <f t="shared" ref="S10:S45" si="1">VLOOKUP($B10,$R$3:$X$9,2,FALSE)</f>
        <v>11.6</v>
      </c>
      <c r="T10" s="472">
        <f t="shared" ref="T10:T45" si="2">VLOOKUP($B10,$R$3:$X$9,3,FALSE)</f>
        <v>12</v>
      </c>
      <c r="U10" s="297">
        <f t="shared" ref="U10:U45" si="3">VLOOKUP($B10,$R$3:$X$9,4,FALSE)</f>
        <v>0</v>
      </c>
      <c r="V10" s="297">
        <f t="shared" ref="V10:V45" si="4">VLOOKUP($B10,$R$3:$X$9,5,FALSE)</f>
        <v>0.118055555555556</v>
      </c>
      <c r="W10" s="297">
        <f t="shared" ref="W10:W45" si="5">VLOOKUP($B10,$R$3:$X$9,6,FALSE)</f>
        <v>0.22569444444444445</v>
      </c>
      <c r="X10" s="297">
        <f t="shared" ref="X10:X45" si="6">VLOOKUP($B10,$R$3:$X$9,7,FALSE)</f>
        <v>0.2638888888888889</v>
      </c>
      <c r="Y10" s="297">
        <f t="shared" ref="Y10:Y45" si="7">VLOOKUP($B10,$R$3:$Z$9,8,FALSE)</f>
        <v>0</v>
      </c>
      <c r="Z10" s="472">
        <f t="shared" ref="Z10:Z45" si="8">VLOOKUP($B10,$R$3:$Z$9,9,FALSE)</f>
        <v>60</v>
      </c>
    </row>
    <row r="11" spans="2:29" ht="15">
      <c r="B11" s="33" t="s">
        <v>9</v>
      </c>
      <c r="C11" s="366" t="str">
        <f>[3]Brewhouse!$A183</f>
        <v>ST130</v>
      </c>
      <c r="D11" s="279">
        <f>[3]Brewhouse!$AB183</f>
        <v>53.1</v>
      </c>
      <c r="E11" s="279">
        <f>[3]Brewhouse!$AG183</f>
        <v>50</v>
      </c>
      <c r="F11" s="278">
        <f>[3]Brewhouse!$V183</f>
        <v>62</v>
      </c>
      <c r="G11" s="279">
        <f>[3]Brewhouse!$AE183</f>
        <v>12</v>
      </c>
      <c r="H11" s="396"/>
      <c r="I11" s="368">
        <f>[3]Brewhouse!$AS183</f>
        <v>101.12796978064378</v>
      </c>
      <c r="J11" s="368">
        <f>[3]Brewhouse!$AT183</f>
        <v>102.30363013679882</v>
      </c>
      <c r="K11" s="281">
        <f>[3]Brewhouse!$Q183</f>
        <v>11.440677966101701</v>
      </c>
      <c r="L11" s="276">
        <f>[3]Brewhouse!$P183</f>
        <v>61</v>
      </c>
      <c r="M11" s="374">
        <f>[3]Brewhouse!$U183-[3]Brewhouse!$T183</f>
        <v>0.11250000000000004</v>
      </c>
      <c r="N11" s="370">
        <f>[3]Brewhouse!$AW183</f>
        <v>0.25138888888888888</v>
      </c>
      <c r="O11" s="371" t="str">
        <f>[3]Brewhouse!$AV183</f>
        <v>R.Sookram</v>
      </c>
      <c r="P11" s="418"/>
      <c r="R11" s="277" t="str">
        <f t="shared" si="0"/>
        <v>STAG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>
      <c r="B12" s="33" t="s">
        <v>9</v>
      </c>
      <c r="C12" s="366" t="str">
        <f>[3]Brewhouse!$A184</f>
        <v>ST131</v>
      </c>
      <c r="D12" s="279">
        <f>[3]Brewhouse!$AB184</f>
        <v>53.1</v>
      </c>
      <c r="E12" s="279">
        <f>[3]Brewhouse!$AG184</f>
        <v>50.2</v>
      </c>
      <c r="F12" s="278">
        <f>[3]Brewhouse!$V184</f>
        <v>62</v>
      </c>
      <c r="G12" s="279">
        <f>[3]Brewhouse!$AE184</f>
        <v>11.8</v>
      </c>
      <c r="H12" s="396"/>
      <c r="I12" s="368">
        <f>[3]Brewhouse!$AS184</f>
        <v>99.627882297480085</v>
      </c>
      <c r="J12" s="368">
        <f>[3]Brewhouse!$AT184</f>
        <v>100.78649087336471</v>
      </c>
      <c r="K12" s="281">
        <f>[3]Brewhouse!$Q184</f>
        <v>12.570621468926548</v>
      </c>
      <c r="L12" s="276">
        <f>[3]Brewhouse!$P184</f>
        <v>62</v>
      </c>
      <c r="M12" s="374">
        <f>[3]Brewhouse!$U184-[3]Brewhouse!$T184</f>
        <v>0.11388888888888887</v>
      </c>
      <c r="N12" s="370">
        <f>[3]Brewhouse!$AW184</f>
        <v>0.25</v>
      </c>
      <c r="O12" s="371" t="str">
        <f>[3]Brewhouse!$AV184</f>
        <v>R.Sookram</v>
      </c>
      <c r="P12" s="418"/>
      <c r="R12" s="277" t="str">
        <f t="shared" ref="R12:R24" si="9">B12</f>
        <v>STAG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>
      <c r="B13" s="33" t="s">
        <v>9</v>
      </c>
      <c r="C13" s="366" t="str">
        <f>[3]Brewhouse!$A185</f>
        <v>ST132</v>
      </c>
      <c r="D13" s="279">
        <f>[3]Brewhouse!$AB185</f>
        <v>53.1</v>
      </c>
      <c r="E13" s="279">
        <f>[3]Brewhouse!$AG185</f>
        <v>50.4</v>
      </c>
      <c r="F13" s="278">
        <f>[3]Brewhouse!$V185</f>
        <v>63</v>
      </c>
      <c r="G13" s="279">
        <f>[3]Brewhouse!$AE185</f>
        <v>11.8</v>
      </c>
      <c r="H13" s="396"/>
      <c r="I13" s="368">
        <f>[3]Brewhouse!$AS185</f>
        <v>100.02480613133456</v>
      </c>
      <c r="J13" s="368">
        <f>[3]Brewhouse!$AT185</f>
        <v>101.18803067764104</v>
      </c>
      <c r="K13" s="281">
        <f>[3]Brewhouse!$Q185</f>
        <v>11.440677966101701</v>
      </c>
      <c r="L13" s="276">
        <f>[3]Brewhouse!$P185</f>
        <v>61</v>
      </c>
      <c r="M13" s="374">
        <f>[3]Brewhouse!$U185-[3]Brewhouse!$T185</f>
        <v>0.11249999999999999</v>
      </c>
      <c r="N13" s="370">
        <f>[3]Brewhouse!$AW185</f>
        <v>0.24930555555555556</v>
      </c>
      <c r="O13" s="371" t="str">
        <f>[3]Brewhouse!$AV185</f>
        <v>D. Gomaz</v>
      </c>
      <c r="P13" s="418"/>
      <c r="R13" s="277" t="str">
        <f t="shared" si="9"/>
        <v>STAG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>
      <c r="B14" s="33" t="s">
        <v>9</v>
      </c>
      <c r="C14" s="366" t="str">
        <f>[3]Brewhouse!$A186</f>
        <v>ST133</v>
      </c>
      <c r="D14" s="279">
        <f>[3]Brewhouse!$AB186</f>
        <v>53.1</v>
      </c>
      <c r="E14" s="279">
        <f>[3]Brewhouse!$AG186</f>
        <v>49.8</v>
      </c>
      <c r="F14" s="278">
        <f>[3]Brewhouse!$V186</f>
        <v>60</v>
      </c>
      <c r="G14" s="279">
        <f>[3]Brewhouse!$AE186</f>
        <v>11.9</v>
      </c>
      <c r="H14" s="396"/>
      <c r="I14" s="368">
        <f>[3]Brewhouse!$AS186</f>
        <v>99.841325706523776</v>
      </c>
      <c r="J14" s="368">
        <f>[3]Brewhouse!$AT186</f>
        <v>101.00202821833859</v>
      </c>
      <c r="K14" s="281">
        <f>[3]Brewhouse!$Q186</f>
        <v>12.193973634651604</v>
      </c>
      <c r="L14" s="276">
        <f>[3]Brewhouse!$P186</f>
        <v>61</v>
      </c>
      <c r="M14" s="374">
        <f>[3]Brewhouse!$U186-[3]Brewhouse!$T186</f>
        <v>0.10833333333333339</v>
      </c>
      <c r="N14" s="370">
        <f>[3]Brewhouse!$AW186</f>
        <v>0.24861111111111112</v>
      </c>
      <c r="O14" s="371" t="str">
        <f>[3]Brewhouse!$AV186</f>
        <v>D. Gomaz</v>
      </c>
      <c r="P14" s="418"/>
      <c r="R14" s="277" t="str">
        <f t="shared" si="9"/>
        <v>STAG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>
      <c r="B15" s="33" t="s">
        <v>9</v>
      </c>
      <c r="C15" s="366" t="str">
        <f>[3]Brewhouse!$A187</f>
        <v>ST134</v>
      </c>
      <c r="D15" s="279">
        <f>[3]Brewhouse!$AB187</f>
        <v>54.1</v>
      </c>
      <c r="E15" s="279">
        <f>[3]Brewhouse!$AG187</f>
        <v>50.4</v>
      </c>
      <c r="F15" s="278">
        <f>[3]Brewhouse!$V187</f>
        <v>61</v>
      </c>
      <c r="G15" s="279">
        <f>[3]Brewhouse!$AE187</f>
        <v>11.8</v>
      </c>
      <c r="H15" s="396"/>
      <c r="I15" s="368">
        <f>[3]Brewhouse!$AS187</f>
        <v>100.1514729514243</v>
      </c>
      <c r="J15" s="368">
        <f>[3]Brewhouse!$AT187</f>
        <v>101.31578107127406</v>
      </c>
      <c r="K15" s="281">
        <f>[3]Brewhouse!$Q187</f>
        <v>14.186691312384466</v>
      </c>
      <c r="L15" s="276">
        <f>[3]Brewhouse!$P187</f>
        <v>62</v>
      </c>
      <c r="M15" s="374">
        <f>[3]Brewhouse!$U187-[3]Brewhouse!$T187</f>
        <v>0.11319444444444449</v>
      </c>
      <c r="N15" s="370">
        <f>[3]Brewhouse!$AW187</f>
        <v>0.25763888888888886</v>
      </c>
      <c r="O15" s="371" t="str">
        <f>[3]Brewhouse!$AV187</f>
        <v>R. Regis</v>
      </c>
      <c r="P15" s="418"/>
      <c r="R15" s="277" t="str">
        <f t="shared" si="9"/>
        <v>STAG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>
      <c r="B16" s="33" t="s">
        <v>9</v>
      </c>
      <c r="C16" s="366" t="str">
        <f>[3]Brewhouse!$A188</f>
        <v>ST135</v>
      </c>
      <c r="D16" s="279">
        <f>[3]Brewhouse!$AB188</f>
        <v>54.1</v>
      </c>
      <c r="E16" s="279">
        <f>[3]Brewhouse!$AG188</f>
        <v>49.8</v>
      </c>
      <c r="F16" s="278">
        <f>[3]Brewhouse!$V188</f>
        <v>62</v>
      </c>
      <c r="G16" s="279">
        <f>[3]Brewhouse!$AE188</f>
        <v>11.9</v>
      </c>
      <c r="H16" s="396"/>
      <c r="I16" s="368">
        <f>[3]Brewhouse!$AS188</f>
        <v>99.841325706523776</v>
      </c>
      <c r="J16" s="368">
        <f>[3]Brewhouse!$AT188</f>
        <v>101.00202821833859</v>
      </c>
      <c r="K16" s="281">
        <f>[3]Brewhouse!$Q188</f>
        <v>11.598890942698702</v>
      </c>
      <c r="L16" s="276">
        <f>[3]Brewhouse!$P188</f>
        <v>60</v>
      </c>
      <c r="M16" s="374">
        <f>[3]Brewhouse!$U188-[3]Brewhouse!$T188</f>
        <v>0.11319444444444449</v>
      </c>
      <c r="N16" s="370">
        <f>[3]Brewhouse!$AW188</f>
        <v>0.25555555555555554</v>
      </c>
      <c r="O16" s="371" t="str">
        <f>[3]Brewhouse!$AV188</f>
        <v>R. Regis</v>
      </c>
      <c r="P16" s="418"/>
      <c r="R16" s="277" t="str">
        <f t="shared" si="9"/>
        <v>STAG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2:26" ht="15">
      <c r="B17" s="33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371"/>
      <c r="P17" s="418"/>
      <c r="R17" s="277">
        <f t="shared" si="9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2:26" ht="15">
      <c r="B18" s="29" t="s">
        <v>6</v>
      </c>
      <c r="C18" s="366" t="str">
        <f>[4]Brewhouse!$A303</f>
        <v>CA259</v>
      </c>
      <c r="D18" s="279">
        <f>[4]Brewhouse!$AF303</f>
        <v>51.2</v>
      </c>
      <c r="E18" s="279">
        <f>[4]Brewhouse!$AI303</f>
        <v>50</v>
      </c>
      <c r="F18" s="278">
        <f>[4]Brewhouse!$V303</f>
        <v>51</v>
      </c>
      <c r="G18" s="279">
        <f>[4]Brewhouse!AG303</f>
        <v>11.7</v>
      </c>
      <c r="H18" s="396"/>
      <c r="I18" s="368">
        <f>[4]Brewhouse!$AU303</f>
        <v>96.468452597935965</v>
      </c>
      <c r="J18" s="368">
        <f>[4]Brewhouse!$AV303</f>
        <v>97.815963252959605</v>
      </c>
      <c r="K18" s="281">
        <f>[4]Brewhouse!$Q303</f>
        <v>8.3847549909255843</v>
      </c>
      <c r="L18" s="276">
        <f>[4]Brewhouse!$P303</f>
        <v>61</v>
      </c>
      <c r="M18" s="397">
        <f>[4]Brewhouse!$U303-[4]Brewhouse!$T303</f>
        <v>0.12152777777777779</v>
      </c>
      <c r="N18" s="370">
        <f>[4]Brewhouse!$Z303</f>
        <v>0.25555555555555565</v>
      </c>
      <c r="O18" s="420" t="str">
        <f>[4]Brewhouse!$AX303</f>
        <v>R. Regis</v>
      </c>
      <c r="P18" s="418"/>
      <c r="R18" s="277" t="str">
        <f t="shared" si="9"/>
        <v>CARIB</v>
      </c>
      <c r="S18" s="472">
        <f t="shared" si="1"/>
        <v>11.6</v>
      </c>
      <c r="T18" s="472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2">
        <f t="shared" si="8"/>
        <v>60</v>
      </c>
    </row>
    <row r="19" spans="2:26" ht="15">
      <c r="B19" s="29" t="s">
        <v>6</v>
      </c>
      <c r="C19" s="366" t="str">
        <f>[4]Brewhouse!$A304</f>
        <v>CA260</v>
      </c>
      <c r="D19" s="279">
        <f>[4]Brewhouse!$AF304</f>
        <v>51.14</v>
      </c>
      <c r="E19" s="279">
        <f>[4]Brewhouse!$AI304</f>
        <v>51.2</v>
      </c>
      <c r="F19" s="278">
        <f>[4]Brewhouse!$V304</f>
        <v>60</v>
      </c>
      <c r="G19" s="279">
        <f>[4]Brewhouse!AG304</f>
        <v>11.6</v>
      </c>
      <c r="H19" s="396"/>
      <c r="I19" s="368">
        <f>[4]Brewhouse!$AU304</f>
        <v>98.260915565538383</v>
      </c>
      <c r="J19" s="368">
        <f>[4]Brewhouse!$AV304</f>
        <v>99.633192172181978</v>
      </c>
      <c r="K19" s="281">
        <f>[4]Brewhouse!$Q304</f>
        <v>9.0942698706099847</v>
      </c>
      <c r="L19" s="276">
        <f>[4]Brewhouse!$P304</f>
        <v>58</v>
      </c>
      <c r="M19" s="397">
        <f>[4]Brewhouse!$U304-[4]Brewhouse!$T304</f>
        <v>0.11111111111111116</v>
      </c>
      <c r="N19" s="370">
        <f>[4]Brewhouse!$Z304</f>
        <v>0.25</v>
      </c>
      <c r="O19" s="420" t="str">
        <f>[4]Brewhouse!$AX304</f>
        <v>R. Sookram</v>
      </c>
      <c r="P19" s="418"/>
      <c r="R19" s="277" t="str">
        <f t="shared" si="9"/>
        <v>CARIB</v>
      </c>
      <c r="S19" s="472">
        <f t="shared" si="1"/>
        <v>11.6</v>
      </c>
      <c r="T19" s="472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472">
        <f t="shared" si="8"/>
        <v>60</v>
      </c>
    </row>
    <row r="20" spans="2:26" ht="15">
      <c r="B20" s="33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2:26" ht="15">
      <c r="B21" s="33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371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2:26" ht="15">
      <c r="B22" s="33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371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2:26" ht="15" hidden="1">
      <c r="B23" s="33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371"/>
      <c r="P23" s="418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2:26" ht="15" hidden="1">
      <c r="B24" s="33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74"/>
      <c r="N24" s="370"/>
      <c r="O24" s="371"/>
      <c r="P24" s="418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2:26" ht="15" hidden="1">
      <c r="B25" s="33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74"/>
      <c r="N25" s="370"/>
      <c r="O25" s="371"/>
      <c r="P25" s="418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2:26" ht="15" hidden="1">
      <c r="B26" s="33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74"/>
      <c r="N26" s="370"/>
      <c r="O26" s="371"/>
      <c r="P26" s="418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2:26" ht="15" hidden="1">
      <c r="B27" s="33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74"/>
      <c r="N27" s="370"/>
      <c r="O27" s="371"/>
      <c r="P27" s="418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2:26" ht="15" hidden="1">
      <c r="B28" s="34"/>
      <c r="C28" s="366"/>
      <c r="D28" s="279"/>
      <c r="E28" s="279"/>
      <c r="F28" s="278"/>
      <c r="G28" s="279"/>
      <c r="H28" s="396"/>
      <c r="I28" s="484"/>
      <c r="J28" s="484"/>
      <c r="K28" s="485"/>
      <c r="L28" s="276"/>
      <c r="M28" s="374"/>
      <c r="N28" s="370"/>
      <c r="O28" s="420"/>
      <c r="P28" s="418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2:26" ht="15" hidden="1">
      <c r="B29" s="34"/>
      <c r="C29" s="366"/>
      <c r="D29" s="279"/>
      <c r="E29" s="279"/>
      <c r="F29" s="278"/>
      <c r="G29" s="279"/>
      <c r="H29" s="396"/>
      <c r="I29" s="484"/>
      <c r="J29" s="484"/>
      <c r="K29" s="485"/>
      <c r="L29" s="276"/>
      <c r="M29" s="374"/>
      <c r="N29" s="370"/>
      <c r="O29" s="420"/>
      <c r="P29" s="418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2:26" ht="18" hidden="1" customHeight="1">
      <c r="B30" s="29"/>
      <c r="C30" s="366"/>
      <c r="D30" s="279"/>
      <c r="E30" s="279"/>
      <c r="F30" s="278"/>
      <c r="G30" s="279"/>
      <c r="H30" s="482"/>
      <c r="I30" s="368"/>
      <c r="J30" s="368"/>
      <c r="K30" s="281"/>
      <c r="L30" s="276"/>
      <c r="M30" s="374"/>
      <c r="N30" s="370"/>
      <c r="O30" s="371"/>
      <c r="P30" s="418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2:26" ht="16.5" hidden="1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0"/>
      <c r="O31" s="371"/>
      <c r="P31" s="418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2:26" ht="15.75" customHeight="1" thickBot="1">
      <c r="B32" s="358"/>
      <c r="C32" s="358"/>
      <c r="D32" s="358"/>
      <c r="E32" s="358"/>
      <c r="F32" s="294"/>
      <c r="G32" s="294"/>
      <c r="H32" s="348"/>
      <c r="I32" s="533"/>
      <c r="J32" s="533"/>
      <c r="K32" s="533"/>
      <c r="L32" s="533"/>
      <c r="M32" s="533"/>
      <c r="N32" s="533"/>
      <c r="O32" s="1"/>
      <c r="P32" s="12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27" ht="15.75" customHeight="1" thickBot="1">
      <c r="B33" s="388" t="s">
        <v>162</v>
      </c>
      <c r="C33" s="388"/>
      <c r="D33" s="534" t="s">
        <v>35</v>
      </c>
      <c r="E33" s="535"/>
      <c r="F33" s="294"/>
      <c r="G33" s="294"/>
      <c r="H33" s="348"/>
      <c r="I33" s="24" t="s">
        <v>17</v>
      </c>
      <c r="J33" s="25"/>
      <c r="K33" s="26" t="s">
        <v>138</v>
      </c>
      <c r="L33" s="25" t="s">
        <v>37</v>
      </c>
      <c r="M33" s="25" t="s">
        <v>38</v>
      </c>
      <c r="N33" s="27" t="s">
        <v>39</v>
      </c>
      <c r="O33" s="294"/>
      <c r="P33" s="12"/>
      <c r="R33" s="277" t="str">
        <f t="shared" si="0"/>
        <v xml:space="preserve">BRAND 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27" ht="15" customHeight="1">
      <c r="A34" s="28"/>
      <c r="B34" s="519"/>
      <c r="C34" s="362"/>
      <c r="D34" s="537"/>
      <c r="E34" s="538"/>
      <c r="F34" s="294"/>
      <c r="G34" s="294"/>
      <c r="H34" s="348"/>
      <c r="I34" s="29" t="s">
        <v>6</v>
      </c>
      <c r="J34" s="323">
        <f>AVERAGE(I18:I19)</f>
        <v>97.364684081737181</v>
      </c>
      <c r="K34" s="284">
        <f>COUNTA([4]Brewhouse!$B$292:$B$304)</f>
        <v>13</v>
      </c>
      <c r="L34" s="305">
        <f>AVERAGE([4]Brewhouse!$AU$292:$AU$304)</f>
        <v>98.349390723978956</v>
      </c>
      <c r="M34" s="305">
        <f>AVERAGE([4]Brewhouse!$AU$42:$AU$123,[4]Brewhouse!$AU$125:$AU$188,[4]Brewhouse!$AU$198:$AU$290,[4]Brewhouse!$AU$292:$AU$304)</f>
        <v>97.900313751058192</v>
      </c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27" ht="15" customHeight="1">
      <c r="A35" s="28"/>
      <c r="B35" s="520"/>
      <c r="C35" s="362"/>
      <c r="D35" s="539"/>
      <c r="E35" s="525"/>
      <c r="F35" s="294"/>
      <c r="G35" s="294"/>
      <c r="H35" s="348"/>
      <c r="I35" s="33" t="s">
        <v>9</v>
      </c>
      <c r="J35" s="280">
        <f>AVERAGE(I10:I16)</f>
        <v>99.882364229355815</v>
      </c>
      <c r="K35" s="284">
        <f>COUNTA([3]Brewhouse!$A$179:$A$188)</f>
        <v>10</v>
      </c>
      <c r="L35" s="302">
        <f>AVERAGE([3]Brewhouse!$AS$179:$AS$188)</f>
        <v>99.469070748479979</v>
      </c>
      <c r="M35" s="302">
        <f>AVERAGE([3]Brewhouse!$AS$52:$AS$81,[3]Brewhouse!$AS$83:$AS$124,[3]Brewhouse!$AS$134:$AS$177,[3]Brewhouse!$AS$179:$AS$188)</f>
        <v>98.513567207666924</v>
      </c>
      <c r="N35" s="3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</row>
    <row r="36" spans="1:27" ht="14.65" customHeight="1">
      <c r="A36" s="28"/>
      <c r="B36" s="520"/>
      <c r="C36" s="362"/>
      <c r="D36" s="529"/>
      <c r="E36" s="530"/>
      <c r="F36" s="294"/>
      <c r="G36" s="294"/>
      <c r="H36" s="348"/>
      <c r="I36" s="34" t="s">
        <v>12</v>
      </c>
      <c r="J36" s="280"/>
      <c r="K36" s="284">
        <f>COUNTA([5]Brewhouse!$A$43:$A$50)</f>
        <v>8</v>
      </c>
      <c r="L36" s="302">
        <f>AVERAGE([5]Brewhouse!$AU$43:$AU$50)</f>
        <v>96.223405821152667</v>
      </c>
      <c r="M36" s="302">
        <f>AVERAGE([5]Brewhouse!$AU$16:$AU$23,[5]Brewhouse!$AU$25:$AU$32,[5]Brewhouse!$AU$34:$AU$41,[5]Brewhouse!$AU$43:$AU$50)</f>
        <v>96.904441824349703</v>
      </c>
      <c r="N36" s="3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</row>
    <row r="37" spans="1:27" ht="14.65" customHeight="1">
      <c r="A37" s="28"/>
      <c r="B37" s="520"/>
      <c r="C37" s="362"/>
      <c r="D37" s="524"/>
      <c r="E37" s="525"/>
      <c r="F37" s="294"/>
      <c r="G37" s="294"/>
      <c r="H37" s="348"/>
      <c r="I37" s="22" t="s">
        <v>33</v>
      </c>
      <c r="J37" s="280"/>
      <c r="K37" s="284"/>
      <c r="L37" s="302"/>
      <c r="M37" s="302">
        <f>AVERAGE([6]Brewhouse!$AV$23:$AV$34,[6]Brewhouse!$AV$36,[6]Brewhouse!$AV$38:$AV$52)</f>
        <v>97.639832259312456</v>
      </c>
      <c r="N37" s="30">
        <v>98</v>
      </c>
      <c r="O37" s="11"/>
      <c r="P37" s="31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</row>
    <row r="38" spans="1:27" ht="14.65" customHeight="1">
      <c r="A38" s="28"/>
      <c r="B38" s="520"/>
      <c r="C38" s="362"/>
      <c r="D38" s="529"/>
      <c r="E38" s="530"/>
      <c r="F38" s="417"/>
      <c r="G38" s="294"/>
      <c r="H38" s="348"/>
      <c r="I38" s="35" t="s">
        <v>29</v>
      </c>
      <c r="J38" s="280"/>
      <c r="K38" s="284"/>
      <c r="L38" s="302"/>
      <c r="M38" s="302"/>
      <c r="N38" s="30">
        <v>98</v>
      </c>
      <c r="O38" s="11"/>
      <c r="P38" s="31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</row>
    <row r="39" spans="1:27" ht="14.65" customHeight="1">
      <c r="A39" s="28"/>
      <c r="B39" s="520"/>
      <c r="C39" s="362"/>
      <c r="D39" s="524"/>
      <c r="E39" s="525"/>
      <c r="F39" s="417"/>
      <c r="G39" s="294"/>
      <c r="H39" s="348"/>
      <c r="I39" s="36" t="s">
        <v>15</v>
      </c>
      <c r="J39" s="323"/>
      <c r="K39" s="284"/>
      <c r="L39" s="302"/>
      <c r="M39" s="302">
        <f>AVERAGE([7]Brewhouse!$AT$4:$AT$11)</f>
        <v>92.826224508052405</v>
      </c>
      <c r="N39" s="30">
        <v>98</v>
      </c>
      <c r="O39" s="11"/>
      <c r="P39" s="31"/>
      <c r="R39" s="277">
        <f t="shared" si="0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</row>
    <row r="40" spans="1:27" ht="14.65" customHeight="1">
      <c r="A40" s="28"/>
      <c r="B40" s="520"/>
      <c r="C40" s="362"/>
      <c r="D40" s="529"/>
      <c r="E40" s="530"/>
      <c r="F40" s="417"/>
      <c r="G40" s="294"/>
      <c r="H40" s="348"/>
      <c r="I40" s="37" t="s">
        <v>16</v>
      </c>
      <c r="J40" s="323"/>
      <c r="K40" s="284"/>
      <c r="L40" s="302"/>
      <c r="M40" s="302">
        <f>AVERAGE([8]Brewhouse!$AY$5:$AY$14,[8]Brewhouse!$AY$16:$AY$23,[8]Brewhouse!$AY$42)</f>
        <v>97.390503559857137</v>
      </c>
      <c r="N40" s="30">
        <v>98</v>
      </c>
      <c r="O40" s="11"/>
      <c r="P40" s="31" t="s">
        <v>41</v>
      </c>
      <c r="R40" s="277">
        <f t="shared" si="0"/>
        <v>0</v>
      </c>
      <c r="S40" s="472" t="e">
        <f t="shared" si="1"/>
        <v>#N/A</v>
      </c>
      <c r="T40" s="472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2" t="e">
        <f t="shared" si="8"/>
        <v>#N/A</v>
      </c>
    </row>
    <row r="41" spans="1:27" ht="14.65" customHeight="1">
      <c r="A41" s="28"/>
      <c r="B41" s="520"/>
      <c r="C41" s="362"/>
      <c r="D41" s="524"/>
      <c r="E41" s="525"/>
      <c r="F41" s="294"/>
      <c r="G41" s="294"/>
      <c r="H41" s="348"/>
      <c r="I41" s="411" t="s">
        <v>158</v>
      </c>
      <c r="J41" s="326"/>
      <c r="K41" s="284"/>
      <c r="L41" s="305"/>
      <c r="M41" s="305"/>
      <c r="N41" s="30">
        <v>98</v>
      </c>
      <c r="O41" s="11"/>
      <c r="P41" s="31"/>
      <c r="R41" s="277">
        <f t="shared" si="0"/>
        <v>0</v>
      </c>
      <c r="S41" s="472" t="e">
        <f t="shared" si="1"/>
        <v>#N/A</v>
      </c>
      <c r="T41" s="472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472" t="e">
        <f t="shared" si="8"/>
        <v>#N/A</v>
      </c>
    </row>
    <row r="42" spans="1:27" ht="14.65" customHeight="1">
      <c r="A42" s="28"/>
      <c r="B42" s="520"/>
      <c r="C42" s="349"/>
      <c r="D42" s="529"/>
      <c r="E42" s="530"/>
      <c r="F42" s="294"/>
      <c r="G42" s="294"/>
      <c r="H42" s="348"/>
      <c r="I42" s="410" t="s">
        <v>157</v>
      </c>
      <c r="J42" s="326"/>
      <c r="K42" s="284"/>
      <c r="L42" s="305"/>
      <c r="M42" s="305"/>
      <c r="N42" s="30">
        <v>98</v>
      </c>
      <c r="O42" s="11"/>
      <c r="P42" s="31"/>
      <c r="R42" s="277">
        <f t="shared" si="0"/>
        <v>0</v>
      </c>
      <c r="S42" s="472" t="e">
        <f t="shared" si="1"/>
        <v>#N/A</v>
      </c>
      <c r="T42" s="472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472" t="e">
        <f t="shared" si="8"/>
        <v>#N/A</v>
      </c>
      <c r="AA42" s="472"/>
    </row>
    <row r="43" spans="1:27" ht="15" customHeight="1" thickBot="1">
      <c r="A43" s="28"/>
      <c r="B43" s="520"/>
      <c r="C43" s="349"/>
      <c r="D43" s="524"/>
      <c r="E43" s="525"/>
      <c r="F43" s="294"/>
      <c r="G43" s="294"/>
      <c r="H43" s="348"/>
      <c r="I43" s="406" t="s">
        <v>156</v>
      </c>
      <c r="J43" s="327"/>
      <c r="K43" s="407"/>
      <c r="L43" s="408"/>
      <c r="M43" s="408"/>
      <c r="N43" s="409">
        <v>98</v>
      </c>
      <c r="O43" s="11"/>
      <c r="P43" s="31"/>
      <c r="R43" s="277">
        <f t="shared" si="0"/>
        <v>0</v>
      </c>
      <c r="S43" s="472" t="e">
        <f t="shared" si="1"/>
        <v>#N/A</v>
      </c>
      <c r="T43" s="472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472" t="e">
        <f t="shared" si="8"/>
        <v>#N/A</v>
      </c>
      <c r="AA43" s="472"/>
    </row>
    <row r="44" spans="1:27" ht="15" customHeight="1" thickBot="1">
      <c r="A44" s="28"/>
      <c r="B44" s="520"/>
      <c r="C44" s="349"/>
      <c r="D44" s="537"/>
      <c r="E44" s="538"/>
      <c r="F44" s="294"/>
      <c r="G44" s="294"/>
      <c r="H44" s="348"/>
      <c r="I44" s="1"/>
      <c r="J44" s="39"/>
      <c r="K44" s="404">
        <f>SUM(K34:K43)</f>
        <v>31</v>
      </c>
      <c r="L44" s="405">
        <f>((L34*K34)+(L35*K35)+(L36*K36)+(L37*K37)+(L38*K38)+(K41*L41)+(L39*K39)+(L40*K40)+(L43*K43))/(K44)</f>
        <v>98.161936563411203</v>
      </c>
      <c r="M44" s="405">
        <f>AVERAGE('[9]Jan30th-31st'!$L$42,L44)</f>
        <v>97.994989149626335</v>
      </c>
      <c r="N44" s="40">
        <v>98</v>
      </c>
      <c r="O44" s="11"/>
      <c r="P44" s="31"/>
      <c r="R44" s="277">
        <f t="shared" si="0"/>
        <v>0</v>
      </c>
      <c r="S44" s="472" t="e">
        <f t="shared" si="1"/>
        <v>#N/A</v>
      </c>
      <c r="T44" s="472" t="e">
        <f t="shared" si="2"/>
        <v>#N/A</v>
      </c>
      <c r="U44" s="297" t="e">
        <f t="shared" si="3"/>
        <v>#N/A</v>
      </c>
      <c r="V44" s="297" t="e">
        <f t="shared" si="4"/>
        <v>#N/A</v>
      </c>
      <c r="W44" s="297" t="e">
        <f t="shared" si="5"/>
        <v>#N/A</v>
      </c>
      <c r="X44" s="297" t="e">
        <f t="shared" si="6"/>
        <v>#N/A</v>
      </c>
      <c r="Y44" s="297" t="e">
        <f t="shared" si="7"/>
        <v>#N/A</v>
      </c>
      <c r="Z44" s="472" t="e">
        <f t="shared" si="8"/>
        <v>#N/A</v>
      </c>
      <c r="AA44" s="472"/>
    </row>
    <row r="45" spans="1:27" ht="15.75" thickBot="1">
      <c r="B45" s="536"/>
      <c r="C45" s="350"/>
      <c r="D45" s="539"/>
      <c r="E45" s="525"/>
      <c r="F45" s="294"/>
      <c r="G45" s="42"/>
      <c r="H45" s="41"/>
      <c r="I45" s="42"/>
      <c r="J45" s="42"/>
      <c r="K45" s="351"/>
      <c r="L45" s="348"/>
      <c r="M45" s="348"/>
      <c r="N45" s="11"/>
      <c r="O45" s="294"/>
      <c r="P45" s="12"/>
      <c r="R45" s="277">
        <f t="shared" si="0"/>
        <v>0</v>
      </c>
      <c r="S45" s="472" t="e">
        <f t="shared" si="1"/>
        <v>#N/A</v>
      </c>
      <c r="T45" s="472" t="e">
        <f t="shared" si="2"/>
        <v>#N/A</v>
      </c>
      <c r="U45" s="297" t="e">
        <f t="shared" si="3"/>
        <v>#N/A</v>
      </c>
      <c r="V45" s="297" t="e">
        <f t="shared" si="4"/>
        <v>#N/A</v>
      </c>
      <c r="W45" s="297" t="e">
        <f t="shared" si="5"/>
        <v>#N/A</v>
      </c>
      <c r="X45" s="297" t="e">
        <f t="shared" si="6"/>
        <v>#N/A</v>
      </c>
      <c r="Y45" s="297" t="e">
        <f t="shared" si="7"/>
        <v>#N/A</v>
      </c>
      <c r="Z45" s="472" t="e">
        <f t="shared" si="8"/>
        <v>#N/A</v>
      </c>
      <c r="AA45" s="472"/>
    </row>
    <row r="46" spans="1:27" ht="15.75" thickBot="1">
      <c r="B46" s="519"/>
      <c r="C46" s="362"/>
      <c r="D46" s="522"/>
      <c r="E46" s="523"/>
      <c r="F46" s="294"/>
      <c r="G46" s="42"/>
      <c r="H46" s="41"/>
      <c r="I46" s="42"/>
      <c r="J46" s="526" t="s">
        <v>129</v>
      </c>
      <c r="K46" s="526"/>
      <c r="L46" s="294"/>
      <c r="M46" s="294"/>
      <c r="N46" s="294"/>
      <c r="O46" s="294"/>
      <c r="P46" s="12"/>
    </row>
    <row r="47" spans="1:27" ht="15.75" thickBot="1">
      <c r="B47" s="520"/>
      <c r="C47" s="362"/>
      <c r="D47" s="524"/>
      <c r="E47" s="525"/>
      <c r="F47" s="294"/>
      <c r="G47" s="42"/>
      <c r="H47" s="42"/>
      <c r="I47" s="42"/>
      <c r="J47" s="292" t="s">
        <v>17</v>
      </c>
      <c r="K47" s="293" t="s">
        <v>172</v>
      </c>
      <c r="L47" s="527" t="s">
        <v>136</v>
      </c>
      <c r="M47" s="527"/>
      <c r="N47" s="528"/>
      <c r="O47" s="294"/>
      <c r="P47" s="12"/>
    </row>
    <row r="48" spans="1:27" ht="15" customHeight="1" thickBot="1">
      <c r="B48" s="520"/>
      <c r="C48" s="349"/>
      <c r="D48" s="529"/>
      <c r="E48" s="530"/>
      <c r="F48" s="294"/>
      <c r="G48" s="42"/>
      <c r="H48" s="42"/>
      <c r="I48" s="42"/>
      <c r="J48" s="287" t="s">
        <v>6</v>
      </c>
      <c r="K48" s="324">
        <v>2</v>
      </c>
      <c r="L48" s="473" t="s">
        <v>37</v>
      </c>
      <c r="M48" s="474" t="s">
        <v>38</v>
      </c>
      <c r="N48" s="474" t="s">
        <v>84</v>
      </c>
      <c r="O48" s="294"/>
      <c r="P48" s="12"/>
    </row>
    <row r="49" spans="2:57" ht="15.75" customHeight="1" thickBot="1">
      <c r="B49" s="520"/>
      <c r="C49" s="349"/>
      <c r="D49" s="524"/>
      <c r="E49" s="525"/>
      <c r="F49" s="294"/>
      <c r="G49" s="42"/>
      <c r="H49" s="42"/>
      <c r="I49" s="42"/>
      <c r="J49" s="345" t="s">
        <v>9</v>
      </c>
      <c r="K49" s="324">
        <v>7</v>
      </c>
      <c r="L49" s="344">
        <f>AVERAGE('Apr 1st'!K50,K58,'Apr 2nd'!K48,'Apr 7th'!K50)</f>
        <v>7</v>
      </c>
      <c r="M49" s="325">
        <f>AVERAGE('[9]Jan30th-31st'!$L$47,L49,'[10]Feb 26th '!$L$39,'[11]Mar 31st'!$L$47)</f>
        <v>6.5467391304347826</v>
      </c>
      <c r="N49" s="416">
        <v>9.1999999999999993</v>
      </c>
      <c r="O49" s="294"/>
      <c r="P49" s="12"/>
    </row>
    <row r="50" spans="2:57" ht="15" customHeight="1">
      <c r="B50" s="520"/>
      <c r="C50" s="349"/>
      <c r="D50" s="529"/>
      <c r="E50" s="530"/>
      <c r="F50" s="294"/>
      <c r="G50" s="42"/>
      <c r="H50" s="42"/>
      <c r="I50" s="42"/>
      <c r="J50" s="288" t="s">
        <v>40</v>
      </c>
      <c r="K50" s="324"/>
      <c r="L50" s="294"/>
      <c r="M50" s="294"/>
      <c r="N50" s="294"/>
      <c r="O50" s="294"/>
      <c r="P50" s="12"/>
    </row>
    <row r="51" spans="2:57" ht="15" customHeight="1">
      <c r="B51" s="520"/>
      <c r="C51" s="349"/>
      <c r="D51" s="524"/>
      <c r="E51" s="525"/>
      <c r="F51" s="294"/>
      <c r="G51" s="42"/>
      <c r="H51" s="42"/>
      <c r="I51" s="42"/>
      <c r="J51" s="289" t="s">
        <v>33</v>
      </c>
      <c r="K51" s="324"/>
      <c r="L51" s="294"/>
      <c r="M51" s="294"/>
      <c r="N51" s="294"/>
      <c r="O51" s="294"/>
      <c r="P51" s="12"/>
    </row>
    <row r="52" spans="2:57" ht="15">
      <c r="B52" s="520"/>
      <c r="C52" s="349"/>
      <c r="D52" s="529"/>
      <c r="E52" s="530"/>
      <c r="F52" s="294"/>
      <c r="G52" s="42"/>
      <c r="H52" s="42"/>
      <c r="I52" s="42"/>
      <c r="J52" s="290" t="s">
        <v>16</v>
      </c>
      <c r="K52" s="324"/>
      <c r="L52" s="294"/>
      <c r="M52" s="294"/>
      <c r="N52" s="294"/>
      <c r="O52" s="294"/>
      <c r="P52" s="12"/>
      <c r="BC52" s="44"/>
      <c r="BD52" s="44"/>
    </row>
    <row r="53" spans="2:57" ht="15">
      <c r="B53" s="520"/>
      <c r="C53" s="349"/>
      <c r="D53" s="524"/>
      <c r="E53" s="525"/>
      <c r="F53" s="294"/>
      <c r="G53" s="42"/>
      <c r="H53" s="42"/>
      <c r="I53" s="42"/>
      <c r="J53" s="291" t="s">
        <v>15</v>
      </c>
      <c r="K53" s="324"/>
      <c r="L53" s="294"/>
      <c r="M53" s="294"/>
      <c r="N53" s="294"/>
      <c r="O53" s="294"/>
      <c r="P53" s="12"/>
      <c r="BC53" s="44"/>
      <c r="BD53" s="44"/>
    </row>
    <row r="54" spans="2:57" ht="15">
      <c r="B54" s="520"/>
      <c r="C54" s="349"/>
      <c r="D54" s="529"/>
      <c r="E54" s="530"/>
      <c r="F54" s="294"/>
      <c r="G54" s="42"/>
      <c r="H54" s="42"/>
      <c r="I54" s="42"/>
      <c r="J54" s="291" t="s">
        <v>149</v>
      </c>
      <c r="K54" s="324"/>
      <c r="L54" s="294"/>
      <c r="M54" s="294"/>
      <c r="N54" s="294"/>
      <c r="O54" s="294"/>
      <c r="P54" s="12"/>
      <c r="BC54" s="44"/>
      <c r="BD54" s="44"/>
    </row>
    <row r="55" spans="2:57" ht="15.75" thickBot="1">
      <c r="B55" s="521"/>
      <c r="C55" s="350"/>
      <c r="D55" s="531"/>
      <c r="E55" s="532"/>
      <c r="F55" s="294" t="s">
        <v>166</v>
      </c>
      <c r="G55" s="42"/>
      <c r="H55" s="42"/>
      <c r="I55" s="42"/>
      <c r="J55" s="291" t="s">
        <v>148</v>
      </c>
      <c r="K55" s="324"/>
      <c r="L55" s="294"/>
      <c r="M55" s="294"/>
      <c r="N55" s="294" t="s">
        <v>41</v>
      </c>
      <c r="O55" s="294"/>
      <c r="P55" s="12"/>
      <c r="BC55" s="44"/>
      <c r="BD55" s="44"/>
    </row>
    <row r="56" spans="2:57" ht="17.649999999999999" customHeight="1" thickBot="1">
      <c r="B56" s="312" t="s">
        <v>139</v>
      </c>
      <c r="C56" s="313"/>
      <c r="D56" s="512"/>
      <c r="E56" s="513"/>
      <c r="F56" s="294"/>
      <c r="J56" s="295" t="s">
        <v>134</v>
      </c>
      <c r="K56" s="324"/>
      <c r="L56" s="294"/>
      <c r="M56" s="294"/>
      <c r="N56" s="294"/>
      <c r="O56" s="294"/>
      <c r="P56" s="12"/>
      <c r="BC56" s="44"/>
      <c r="BD56" s="44"/>
    </row>
    <row r="57" spans="2:57" ht="17.649999999999999" customHeight="1">
      <c r="B57" s="363"/>
      <c r="C57" s="364"/>
      <c r="D57" s="365"/>
      <c r="E57" s="365"/>
      <c r="F57" s="294"/>
      <c r="G57" s="42"/>
      <c r="H57" s="42"/>
      <c r="I57" s="42"/>
      <c r="J57" s="295" t="s">
        <v>131</v>
      </c>
      <c r="K57" s="324"/>
      <c r="L57" s="294"/>
      <c r="M57" s="294"/>
      <c r="N57" s="294"/>
      <c r="O57" s="294"/>
      <c r="P57" s="12"/>
      <c r="BC57" s="44"/>
      <c r="BD57" s="44"/>
    </row>
    <row r="58" spans="2:57" ht="15.6" customHeight="1">
      <c r="B58" s="45"/>
      <c r="C58" s="11"/>
      <c r="D58" s="11"/>
      <c r="E58" s="46"/>
      <c r="F58" s="294"/>
      <c r="G58" s="42"/>
      <c r="H58" s="42"/>
      <c r="I58" s="42"/>
      <c r="J58" s="346" t="s">
        <v>130</v>
      </c>
      <c r="K58" s="324">
        <f>SUM(K48:K57)</f>
        <v>9</v>
      </c>
      <c r="L58" s="294"/>
      <c r="M58" s="294"/>
      <c r="N58" s="294"/>
      <c r="O58" s="294"/>
      <c r="P58" s="12"/>
    </row>
    <row r="59" spans="2:57" ht="20.25" customHeight="1">
      <c r="B59" s="15" t="s">
        <v>42</v>
      </c>
      <c r="C59" s="1" t="s">
        <v>43</v>
      </c>
      <c r="D59" s="1"/>
      <c r="E59" s="1"/>
      <c r="F59" s="294"/>
      <c r="G59" s="42"/>
      <c r="H59" s="41"/>
      <c r="I59" s="42"/>
      <c r="L59" s="294"/>
      <c r="N59" s="315"/>
      <c r="P59" s="334"/>
    </row>
    <row r="60" spans="2:57" ht="15" customHeight="1" thickBot="1"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1"/>
      <c r="O60" s="48"/>
      <c r="P60" s="49"/>
    </row>
    <row r="61" spans="2:57" ht="15" customHeight="1" thickBot="1">
      <c r="B61" s="504" t="s">
        <v>17</v>
      </c>
      <c r="C61" s="504" t="s">
        <v>44</v>
      </c>
      <c r="D61" s="515" t="s">
        <v>45</v>
      </c>
      <c r="E61" s="517" t="s">
        <v>46</v>
      </c>
      <c r="F61" s="510" t="s">
        <v>47</v>
      </c>
      <c r="G61" s="502" t="s">
        <v>48</v>
      </c>
      <c r="H61" s="504" t="s">
        <v>49</v>
      </c>
      <c r="I61" s="504" t="s">
        <v>50</v>
      </c>
      <c r="J61" s="496" t="s">
        <v>28</v>
      </c>
      <c r="K61" s="506" t="s">
        <v>51</v>
      </c>
      <c r="L61" s="508" t="s">
        <v>52</v>
      </c>
      <c r="M61" s="496" t="s">
        <v>53</v>
      </c>
      <c r="N61" s="13"/>
      <c r="O61" s="13"/>
      <c r="P61" s="50"/>
    </row>
    <row r="62" spans="2:57" ht="28.5" customHeight="1" thickTop="1" thickBot="1">
      <c r="B62" s="505"/>
      <c r="C62" s="514"/>
      <c r="D62" s="516"/>
      <c r="E62" s="518"/>
      <c r="F62" s="511"/>
      <c r="G62" s="503"/>
      <c r="H62" s="505"/>
      <c r="I62" s="505"/>
      <c r="J62" s="497"/>
      <c r="K62" s="507"/>
      <c r="L62" s="509"/>
      <c r="M62" s="497"/>
      <c r="N62" s="13"/>
      <c r="O62" s="13"/>
      <c r="P62" s="50"/>
      <c r="Q62" s="355"/>
      <c r="AB62" s="475">
        <v>43474</v>
      </c>
      <c r="AC62" s="475">
        <v>43475</v>
      </c>
      <c r="AD62" s="475">
        <v>43476</v>
      </c>
      <c r="AE62" s="475">
        <v>43477</v>
      </c>
      <c r="AF62" s="475">
        <v>43478</v>
      </c>
      <c r="AG62" s="475">
        <v>43479</v>
      </c>
      <c r="AH62" s="475">
        <v>43480</v>
      </c>
      <c r="AI62" s="475">
        <v>43481</v>
      </c>
      <c r="AJ62" s="475">
        <v>43482</v>
      </c>
      <c r="AK62" s="475">
        <v>43483</v>
      </c>
      <c r="AL62" s="475">
        <v>43484</v>
      </c>
      <c r="AM62" s="475">
        <v>43485</v>
      </c>
      <c r="AN62" s="475">
        <v>43486</v>
      </c>
      <c r="AO62" s="475">
        <v>43487</v>
      </c>
      <c r="AP62" s="475">
        <v>43488</v>
      </c>
      <c r="AQ62" s="475">
        <v>43489</v>
      </c>
      <c r="AR62" s="475">
        <v>43490</v>
      </c>
      <c r="AS62" s="475">
        <v>43491</v>
      </c>
      <c r="AT62" s="475">
        <v>43492</v>
      </c>
      <c r="AU62" s="475">
        <v>43493</v>
      </c>
      <c r="AV62" s="475">
        <v>43494</v>
      </c>
      <c r="AW62" s="475">
        <v>43495</v>
      </c>
      <c r="AX62" s="475">
        <v>43496</v>
      </c>
    </row>
    <row r="63" spans="2:57" s="54" customFormat="1" ht="36.75" customHeight="1" thickBot="1">
      <c r="B63" s="486" t="str">
        <f>J49</f>
        <v>STAG</v>
      </c>
      <c r="C63" s="479">
        <v>46121</v>
      </c>
      <c r="D63" s="442">
        <f>[12]April_2026!$L$13</f>
        <v>391.5</v>
      </c>
      <c r="E63" s="443"/>
      <c r="F63" s="444"/>
      <c r="G63" s="445">
        <f>[12]April_2026!$L$17</f>
        <v>379.70000000000005</v>
      </c>
      <c r="H63" s="458"/>
      <c r="I63" s="458"/>
      <c r="J63" s="448" t="s">
        <v>175</v>
      </c>
      <c r="K63" s="449">
        <f>[13]April_2026!$L$25</f>
        <v>1.3322807017543861</v>
      </c>
      <c r="L63" s="457">
        <f>(((D63+E63)-G63)/(D63+E63))*100</f>
        <v>3.014048531289899</v>
      </c>
      <c r="M63" s="455" t="s">
        <v>177</v>
      </c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>
        <f>[14]January_2019!L5</f>
        <v>0</v>
      </c>
      <c r="AC63" s="57">
        <f>[14]January_2019!M5</f>
        <v>0</v>
      </c>
      <c r="AD63" s="57">
        <f>[14]January_2019!N5</f>
        <v>0</v>
      </c>
      <c r="AE63" s="57">
        <f>[14]January_2019!O5</f>
        <v>0</v>
      </c>
      <c r="AF63" s="57">
        <f>[14]January_2019!P5</f>
        <v>0</v>
      </c>
      <c r="AG63" s="57">
        <f>[14]January_2019!Q5</f>
        <v>0</v>
      </c>
      <c r="AH63" s="57">
        <f>[14]January_2019!R5</f>
        <v>0</v>
      </c>
      <c r="AI63" s="57">
        <f>[14]January_2019!S5</f>
        <v>0</v>
      </c>
      <c r="AJ63" s="57">
        <f>[14]January_2019!T5</f>
        <v>0</v>
      </c>
      <c r="AK63" s="57">
        <f>[14]January_2019!U5</f>
        <v>0</v>
      </c>
      <c r="AL63" s="57">
        <f>[14]January_2019!V5</f>
        <v>0</v>
      </c>
      <c r="AM63" s="57">
        <f>[14]January_2019!W5</f>
        <v>0</v>
      </c>
      <c r="AN63" s="57">
        <f>[14]January_2019!X5</f>
        <v>0</v>
      </c>
      <c r="AO63" s="57">
        <f>[14]January_2019!Y5</f>
        <v>0</v>
      </c>
      <c r="AP63" s="57">
        <f>[14]January_2019!Z5</f>
        <v>0</v>
      </c>
      <c r="AQ63" s="57">
        <f>[14]January_2019!AA5</f>
        <v>0</v>
      </c>
      <c r="AR63" s="57">
        <f>[14]January_2019!AB5</f>
        <v>0</v>
      </c>
      <c r="AS63" s="57">
        <f>[14]January_2019!AC5</f>
        <v>0</v>
      </c>
      <c r="AT63" s="57">
        <f>[14]January_2019!AD5</f>
        <v>0</v>
      </c>
      <c r="AU63" s="57">
        <f>[14]January_2019!AE5</f>
        <v>0</v>
      </c>
      <c r="AV63" s="57">
        <f>[14]January_2019!AF5</f>
        <v>0</v>
      </c>
      <c r="AW63" s="57">
        <f>[14]January_2019!AG5</f>
        <v>0</v>
      </c>
      <c r="AX63" s="277">
        <f>[14]January_2019!AH5</f>
        <v>0</v>
      </c>
      <c r="AY63" s="277"/>
      <c r="AZ63" s="277"/>
      <c r="BA63" s="277"/>
      <c r="BB63" s="277"/>
      <c r="BC63" s="277"/>
      <c r="BD63" s="277"/>
      <c r="BE63" s="277"/>
    </row>
    <row r="64" spans="2:57" s="54" customFormat="1" ht="14.25" customHeight="1" thickBot="1">
      <c r="B64" s="480"/>
      <c r="C64" s="479"/>
      <c r="D64" s="442"/>
      <c r="E64" s="443"/>
      <c r="F64" s="444"/>
      <c r="G64" s="445"/>
      <c r="H64" s="458"/>
      <c r="I64" s="458"/>
      <c r="J64" s="476"/>
      <c r="K64" s="449"/>
      <c r="L64" s="457"/>
      <c r="M64" s="455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>
        <f>[14]January_2019!L6</f>
        <v>0</v>
      </c>
      <c r="AC64" s="57">
        <f>[14]January_2019!M6</f>
        <v>0</v>
      </c>
      <c r="AD64" s="57">
        <f>[14]January_2019!N6</f>
        <v>0</v>
      </c>
      <c r="AE64" s="57">
        <f>[14]January_2019!O6</f>
        <v>0</v>
      </c>
      <c r="AF64" s="57">
        <f>[14]January_2019!P6</f>
        <v>0</v>
      </c>
      <c r="AG64" s="57">
        <f>[14]January_2019!Q6</f>
        <v>0</v>
      </c>
      <c r="AH64" s="57">
        <f>[14]January_2019!R6</f>
        <v>0</v>
      </c>
      <c r="AI64" s="57">
        <f>[14]January_2019!S6</f>
        <v>0</v>
      </c>
      <c r="AJ64" s="57">
        <f>[14]January_2019!T6</f>
        <v>0</v>
      </c>
      <c r="AK64" s="57">
        <f>[14]January_2019!U6</f>
        <v>0</v>
      </c>
      <c r="AL64" s="57">
        <f>[14]January_2019!V6</f>
        <v>0</v>
      </c>
      <c r="AM64" s="57">
        <f>[14]January_2019!W6</f>
        <v>0</v>
      </c>
      <c r="AN64" s="57">
        <f>[14]January_2019!X6</f>
        <v>0</v>
      </c>
      <c r="AO64" s="57">
        <f>[14]January_2019!Y6</f>
        <v>0</v>
      </c>
      <c r="AP64" s="57">
        <f>[14]January_2019!Z6</f>
        <v>0</v>
      </c>
      <c r="AQ64" s="57">
        <f>[14]January_2019!AA6</f>
        <v>0</v>
      </c>
      <c r="AR64" s="57">
        <f>[14]January_2019!AB6</f>
        <v>0</v>
      </c>
      <c r="AS64" s="57">
        <f>[14]January_2019!AC6</f>
        <v>0</v>
      </c>
      <c r="AT64" s="57">
        <f>[14]January_2019!AD6</f>
        <v>0</v>
      </c>
      <c r="AU64" s="57">
        <f>[14]January_2019!AE6</f>
        <v>0</v>
      </c>
      <c r="AV64" s="57">
        <f>[14]January_2019!AF6</f>
        <v>0</v>
      </c>
      <c r="AW64" s="57">
        <f>[14]January_2019!AG6</f>
        <v>0</v>
      </c>
      <c r="AX64" s="277">
        <f>[14]January_2019!AH6</f>
        <v>0</v>
      </c>
      <c r="AY64" s="277"/>
      <c r="AZ64" s="277"/>
      <c r="BA64" s="277"/>
      <c r="BB64" s="277"/>
      <c r="BC64" s="277"/>
      <c r="BD64" s="277"/>
      <c r="BE64" s="277"/>
    </row>
    <row r="65" spans="1:57" s="54" customFormat="1" ht="37.15" customHeight="1" thickBot="1">
      <c r="A65" s="54" t="s">
        <v>168</v>
      </c>
      <c r="B65" s="480" t="str">
        <f>J48</f>
        <v>CARIB</v>
      </c>
      <c r="C65" s="479">
        <v>46121</v>
      </c>
      <c r="D65" s="442">
        <f>[12]April_2026!$L$3</f>
        <v>301.7</v>
      </c>
      <c r="E65" s="443"/>
      <c r="F65" s="444"/>
      <c r="G65" s="445">
        <f>[12]April_2026!$L$7</f>
        <v>279.60000000000002</v>
      </c>
      <c r="H65" s="458"/>
      <c r="I65" s="458"/>
      <c r="J65" s="448" t="s">
        <v>171</v>
      </c>
      <c r="K65" s="449">
        <f>[13]April_2026!$L$18</f>
        <v>0.4905263157894737</v>
      </c>
      <c r="L65" s="457">
        <f>(((D65+E65)-G65)/(D65+E65))*100</f>
        <v>7.3251574411667102</v>
      </c>
      <c r="M65" s="455" t="s">
        <v>174</v>
      </c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>
        <f>[14]January_2019!L7</f>
        <v>285.8</v>
      </c>
      <c r="AC65" s="57">
        <f>[14]January_2019!M7</f>
        <v>508.1</v>
      </c>
      <c r="AD65" s="57">
        <f>[14]January_2019!N7</f>
        <v>0</v>
      </c>
      <c r="AE65" s="57">
        <f>[14]January_2019!O7</f>
        <v>0</v>
      </c>
      <c r="AF65" s="57">
        <f>[14]January_2019!P7</f>
        <v>109.56666666666666</v>
      </c>
      <c r="AG65" s="57">
        <f>[14]January_2019!Q7</f>
        <v>297.64999999999998</v>
      </c>
      <c r="AH65" s="57">
        <f>[14]January_2019!R7</f>
        <v>122.3</v>
      </c>
      <c r="AI65" s="57">
        <f>[14]January_2019!S7</f>
        <v>0</v>
      </c>
      <c r="AJ65" s="57">
        <f>[14]January_2019!T7</f>
        <v>294.7</v>
      </c>
      <c r="AK65" s="57">
        <f>[14]January_2019!U7</f>
        <v>280.5</v>
      </c>
      <c r="AL65" s="57">
        <f>[14]January_2019!V7</f>
        <v>0</v>
      </c>
      <c r="AM65" s="57">
        <f>[14]January_2019!W7</f>
        <v>0</v>
      </c>
      <c r="AN65" s="57">
        <f>[14]January_2019!X7</f>
        <v>188.25</v>
      </c>
      <c r="AO65" s="57">
        <f>[14]January_2019!Y7</f>
        <v>295.7</v>
      </c>
      <c r="AP65" s="57">
        <f>[14]January_2019!Z7</f>
        <v>257.8</v>
      </c>
      <c r="AQ65" s="57">
        <f>[14]January_2019!AA7</f>
        <v>291.2</v>
      </c>
      <c r="AR65" s="57">
        <f>[14]January_2019!AB7</f>
        <v>187</v>
      </c>
      <c r="AS65" s="57">
        <f>[14]January_2019!AC7</f>
        <v>0</v>
      </c>
      <c r="AT65" s="57">
        <f>[14]January_2019!AD7</f>
        <v>0</v>
      </c>
      <c r="AU65" s="57">
        <f>[14]January_2019!AE7</f>
        <v>485.1</v>
      </c>
      <c r="AV65" s="57">
        <f>[14]January_2019!AF7</f>
        <v>171.55</v>
      </c>
      <c r="AW65" s="57">
        <f>[14]January_2019!AG7</f>
        <v>423.8</v>
      </c>
      <c r="AX65" s="277">
        <f>[14]January_2019!AH7</f>
        <v>0</v>
      </c>
      <c r="AY65" s="277"/>
      <c r="AZ65" s="277"/>
      <c r="BA65" s="277"/>
      <c r="BB65" s="277"/>
      <c r="BC65" s="277"/>
      <c r="BD65" s="277"/>
      <c r="BE65" s="277"/>
    </row>
    <row r="66" spans="1:57" s="54" customFormat="1" ht="19.5" hidden="1" customHeight="1" thickBot="1">
      <c r="B66" s="478"/>
      <c r="C66" s="430"/>
      <c r="D66" s="431"/>
      <c r="E66" s="432"/>
      <c r="F66" s="433"/>
      <c r="G66" s="434"/>
      <c r="H66" s="458"/>
      <c r="I66" s="458"/>
      <c r="J66" s="451"/>
      <c r="K66" s="436"/>
      <c r="L66" s="452"/>
      <c r="M66" s="421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1:57" s="54" customFormat="1" ht="38.450000000000003" hidden="1" customHeight="1" thickBot="1">
      <c r="B67" s="480"/>
      <c r="C67" s="479"/>
      <c r="D67" s="442"/>
      <c r="E67" s="443"/>
      <c r="F67" s="444"/>
      <c r="G67" s="445"/>
      <c r="H67" s="458"/>
      <c r="I67" s="458"/>
      <c r="J67" s="448" t="s">
        <v>171</v>
      </c>
      <c r="K67" s="459"/>
      <c r="L67" s="457" t="e">
        <f>(((D67+E67)-G67)/(D67+E67))*100</f>
        <v>#DIV/0!</v>
      </c>
      <c r="M67" s="455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1:57" s="54" customFormat="1" ht="15.75" hidden="1" thickBot="1">
      <c r="B68" s="453"/>
      <c r="C68" s="430"/>
      <c r="D68" s="431"/>
      <c r="E68" s="432"/>
      <c r="F68" s="433"/>
      <c r="G68" s="434"/>
      <c r="H68" s="435"/>
      <c r="I68" s="450"/>
      <c r="J68" s="451"/>
      <c r="K68" s="436"/>
      <c r="L68" s="452"/>
      <c r="M68" s="421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277"/>
      <c r="AY68" s="277"/>
      <c r="AZ68" s="277"/>
      <c r="BA68" s="277"/>
      <c r="BB68" s="277"/>
      <c r="BC68" s="277"/>
      <c r="BD68" s="277"/>
      <c r="BE68" s="277"/>
    </row>
    <row r="69" spans="1:57" s="54" customFormat="1" ht="37.15" hidden="1" customHeight="1" thickBot="1">
      <c r="B69" s="480"/>
      <c r="C69" s="479"/>
      <c r="D69" s="442"/>
      <c r="E69" s="443"/>
      <c r="F69" s="444"/>
      <c r="G69" s="445"/>
      <c r="H69" s="446"/>
      <c r="I69" s="447"/>
      <c r="J69" s="448"/>
      <c r="K69" s="449"/>
      <c r="L69" s="457"/>
      <c r="M69" s="455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277"/>
      <c r="AY69" s="277"/>
      <c r="AZ69" s="277"/>
      <c r="BA69" s="277"/>
      <c r="BB69" s="277"/>
      <c r="BC69" s="277"/>
      <c r="BD69" s="277"/>
      <c r="BE69" s="277"/>
    </row>
    <row r="70" spans="1:57" s="54" customFormat="1" ht="16.5" hidden="1" customHeight="1" thickBot="1">
      <c r="B70" s="437"/>
      <c r="C70" s="423"/>
      <c r="D70" s="424"/>
      <c r="E70" s="425"/>
      <c r="F70" s="426"/>
      <c r="G70" s="427"/>
      <c r="H70" s="428"/>
      <c r="I70" s="438"/>
      <c r="J70" s="439"/>
      <c r="K70" s="429"/>
      <c r="L70" s="440"/>
      <c r="M70" s="422"/>
      <c r="N70" s="13"/>
      <c r="O70" s="13"/>
      <c r="P70" s="50"/>
      <c r="R70" s="275"/>
      <c r="S70" s="275"/>
      <c r="T70" s="275"/>
      <c r="U70" s="275"/>
      <c r="V70" s="275"/>
      <c r="W70" s="275"/>
      <c r="X70" s="275"/>
      <c r="Y70" s="275"/>
      <c r="Z70" s="275"/>
      <c r="AA70" s="275"/>
      <c r="AB70" s="415"/>
      <c r="AC70" s="415"/>
      <c r="AD70" s="415"/>
      <c r="AE70" s="415"/>
      <c r="AF70" s="415"/>
      <c r="AG70" s="415"/>
      <c r="AH70" s="415"/>
      <c r="AI70" s="415"/>
      <c r="AJ70" s="415"/>
      <c r="AK70" s="415"/>
      <c r="AL70" s="415"/>
      <c r="AM70" s="415"/>
      <c r="AN70" s="415"/>
      <c r="AO70" s="415"/>
      <c r="AP70" s="415"/>
      <c r="AQ70" s="415"/>
      <c r="AR70" s="415"/>
      <c r="AS70" s="415"/>
      <c r="AT70" s="415"/>
      <c r="AU70" s="415"/>
      <c r="AV70" s="415"/>
      <c r="AW70" s="415"/>
    </row>
    <row r="71" spans="1:57" s="54" customFormat="1" ht="37.15" hidden="1" customHeight="1" thickBot="1">
      <c r="B71" s="456"/>
      <c r="C71" s="441"/>
      <c r="D71" s="442"/>
      <c r="E71" s="443"/>
      <c r="F71" s="444"/>
      <c r="G71" s="445"/>
      <c r="H71" s="446"/>
      <c r="I71" s="447"/>
      <c r="J71" s="448"/>
      <c r="K71" s="449"/>
      <c r="L71" s="457"/>
      <c r="M71" s="454"/>
      <c r="N71" s="13"/>
      <c r="O71" s="13"/>
      <c r="P71" s="50"/>
      <c r="R71" s="275"/>
      <c r="S71" s="275"/>
      <c r="T71" s="275"/>
      <c r="U71" s="275"/>
      <c r="V71" s="275"/>
      <c r="W71" s="275"/>
      <c r="X71" s="275"/>
      <c r="Y71" s="275"/>
      <c r="Z71" s="275"/>
      <c r="AA71" s="275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277"/>
      <c r="AY71" s="277"/>
      <c r="AZ71" s="277"/>
      <c r="BA71" s="277"/>
      <c r="BB71" s="277"/>
      <c r="BC71" s="277"/>
      <c r="BD71" s="277"/>
      <c r="BE71" s="277"/>
    </row>
    <row r="72" spans="1:57" s="54" customFormat="1" ht="37.15" customHeight="1">
      <c r="B72" s="466"/>
      <c r="C72" s="430"/>
      <c r="D72" s="460"/>
      <c r="E72" s="461"/>
      <c r="F72" s="462"/>
      <c r="G72" s="460"/>
      <c r="H72" s="463"/>
      <c r="I72" s="463"/>
      <c r="J72" s="463"/>
      <c r="K72" s="464"/>
      <c r="L72" s="465"/>
      <c r="M72" s="50"/>
      <c r="N72" s="13"/>
      <c r="O72" s="13"/>
      <c r="P72" s="50"/>
      <c r="R72" s="275"/>
      <c r="S72" s="275"/>
      <c r="T72" s="275"/>
      <c r="U72" s="275"/>
      <c r="V72" s="275"/>
      <c r="W72" s="275"/>
      <c r="X72" s="275"/>
      <c r="Y72" s="275"/>
      <c r="Z72" s="275"/>
      <c r="AA72" s="275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277"/>
      <c r="AY72" s="277"/>
      <c r="AZ72" s="277"/>
      <c r="BA72" s="277"/>
      <c r="BB72" s="277"/>
      <c r="BC72" s="277"/>
      <c r="BD72" s="277"/>
      <c r="BE72" s="277"/>
    </row>
    <row r="73" spans="1:57" ht="18" customHeight="1" thickBot="1">
      <c r="B73" s="59"/>
      <c r="C73" s="30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 t="s">
        <v>41</v>
      </c>
      <c r="O73" s="56"/>
      <c r="P73" s="60"/>
    </row>
    <row r="74" spans="1:57" ht="15.75" thickBot="1">
      <c r="B74" s="498" t="s">
        <v>55</v>
      </c>
      <c r="C74" s="499"/>
      <c r="D74" s="499"/>
      <c r="E74" s="499"/>
      <c r="F74" s="500"/>
      <c r="G74" s="498" t="s">
        <v>56</v>
      </c>
      <c r="H74" s="499"/>
      <c r="I74" s="499"/>
      <c r="J74" s="500"/>
      <c r="K74" s="498" t="s">
        <v>51</v>
      </c>
      <c r="L74" s="499"/>
      <c r="M74" s="499"/>
      <c r="N74" s="501"/>
      <c r="O74" s="56"/>
      <c r="P74" s="50"/>
    </row>
    <row r="75" spans="1:57" ht="15">
      <c r="B75" s="61" t="s">
        <v>17</v>
      </c>
      <c r="C75" s="62" t="s">
        <v>36</v>
      </c>
      <c r="D75" s="62" t="s">
        <v>37</v>
      </c>
      <c r="E75" s="62" t="s">
        <v>38</v>
      </c>
      <c r="F75" s="63" t="s">
        <v>39</v>
      </c>
      <c r="G75" s="62" t="s">
        <v>36</v>
      </c>
      <c r="H75" s="62" t="s">
        <v>37</v>
      </c>
      <c r="I75" s="62" t="s">
        <v>38</v>
      </c>
      <c r="J75" s="63" t="s">
        <v>39</v>
      </c>
      <c r="K75" s="62"/>
      <c r="L75" s="62" t="s">
        <v>37</v>
      </c>
      <c r="M75" s="62" t="s">
        <v>38</v>
      </c>
      <c r="N75" s="63" t="s">
        <v>39</v>
      </c>
      <c r="O75" s="56"/>
      <c r="P75" s="64"/>
    </row>
    <row r="76" spans="1:57" ht="15">
      <c r="B76" s="29" t="s">
        <v>6</v>
      </c>
      <c r="C76" s="282">
        <f>L65</f>
        <v>7.3251574411667102</v>
      </c>
      <c r="D76" s="76">
        <v>6.3014938886373839</v>
      </c>
      <c r="E76" s="76">
        <v>6.8036066324316939</v>
      </c>
      <c r="F76" s="66">
        <v>4.8</v>
      </c>
      <c r="G76" s="65">
        <f>[12]April_2026!$L$11</f>
        <v>7.1755612465600453</v>
      </c>
      <c r="H76" s="477">
        <v>6.1972312973938273</v>
      </c>
      <c r="I76" s="477">
        <v>6.6866091911443588</v>
      </c>
      <c r="J76" s="66">
        <v>4.8</v>
      </c>
      <c r="K76" s="67">
        <f>K65</f>
        <v>0.4905263157894737</v>
      </c>
      <c r="L76" s="194">
        <v>0.72023391812865489</v>
      </c>
      <c r="M76" s="194">
        <v>0.45026630357370317</v>
      </c>
      <c r="N76" s="68">
        <v>1</v>
      </c>
      <c r="O76" s="56"/>
      <c r="P76" s="69"/>
    </row>
    <row r="77" spans="1:57" ht="15">
      <c r="B77" s="33" t="s">
        <v>9</v>
      </c>
      <c r="C77" s="65">
        <f>L63</f>
        <v>3.014048531289899</v>
      </c>
      <c r="D77" s="76">
        <v>4.2503259452412028</v>
      </c>
      <c r="E77" s="76">
        <v>6.0876108810886738</v>
      </c>
      <c r="F77" s="66">
        <v>4.8</v>
      </c>
      <c r="G77" s="65">
        <f>[12]April_2026!$L$21</f>
        <v>1.3794538436150063</v>
      </c>
      <c r="H77" s="76">
        <v>3.7045586293348483</v>
      </c>
      <c r="I77" s="76">
        <v>5.7742586308793999</v>
      </c>
      <c r="J77" s="66">
        <v>4.8</v>
      </c>
      <c r="K77" s="67">
        <f>K63</f>
        <v>1.3322807017543861</v>
      </c>
      <c r="L77" s="194">
        <v>1.2884210526315791</v>
      </c>
      <c r="M77" s="194">
        <v>0.74983233325567777</v>
      </c>
      <c r="N77" s="68">
        <v>1</v>
      </c>
      <c r="P77" s="69"/>
    </row>
    <row r="78" spans="1:57" ht="15">
      <c r="B78" s="34" t="s">
        <v>40</v>
      </c>
      <c r="C78" s="65"/>
      <c r="D78" s="76"/>
      <c r="E78" s="76">
        <v>12.380135651360392</v>
      </c>
      <c r="F78" s="66">
        <v>5.5</v>
      </c>
      <c r="G78" s="483"/>
      <c r="H78" s="76"/>
      <c r="I78" s="76">
        <v>13.955538676690328</v>
      </c>
      <c r="J78" s="66">
        <v>5.5</v>
      </c>
      <c r="K78" s="67"/>
      <c r="L78" s="194"/>
      <c r="M78" s="194">
        <v>0.29450526315789471</v>
      </c>
      <c r="N78" s="68">
        <v>1</v>
      </c>
      <c r="P78" s="69"/>
    </row>
    <row r="79" spans="1:57" ht="15">
      <c r="B79" s="22" t="s">
        <v>33</v>
      </c>
      <c r="C79" s="65"/>
      <c r="D79" s="76"/>
      <c r="E79" s="76">
        <v>4.601418358346991</v>
      </c>
      <c r="F79" s="66">
        <v>3.3</v>
      </c>
      <c r="G79" s="65"/>
      <c r="H79" s="76"/>
      <c r="I79" s="76">
        <v>4.3274739720788533</v>
      </c>
      <c r="J79" s="66">
        <v>3.3</v>
      </c>
      <c r="K79" s="67"/>
      <c r="L79" s="194"/>
      <c r="M79" s="194">
        <v>0.8292543859649123</v>
      </c>
      <c r="N79" s="68">
        <v>1</v>
      </c>
      <c r="P79" s="69"/>
    </row>
    <row r="80" spans="1:57" ht="15">
      <c r="B80" s="35" t="s">
        <v>164</v>
      </c>
      <c r="C80" s="65"/>
      <c r="D80" s="76"/>
      <c r="E80" s="76"/>
      <c r="F80" s="66">
        <v>3.3</v>
      </c>
      <c r="G80" s="282"/>
      <c r="H80" s="76"/>
      <c r="I80" s="76"/>
      <c r="J80" s="66">
        <v>3</v>
      </c>
      <c r="K80" s="67"/>
      <c r="L80" s="194"/>
      <c r="M80" s="194"/>
      <c r="N80" s="68">
        <v>1</v>
      </c>
      <c r="P80" s="69"/>
    </row>
    <row r="81" spans="2:16" ht="15">
      <c r="B81" s="36" t="s">
        <v>15</v>
      </c>
      <c r="C81" s="65"/>
      <c r="D81" s="76"/>
      <c r="E81" s="76">
        <v>5.1105651105651271</v>
      </c>
      <c r="F81" s="70">
        <f>[15]May_2022!$M$43</f>
        <v>3.4878406700073312</v>
      </c>
      <c r="G81" s="282"/>
      <c r="H81" s="76"/>
      <c r="I81" s="76">
        <v>7.9131369535794072</v>
      </c>
      <c r="J81" s="66">
        <v>5.5</v>
      </c>
      <c r="K81" s="67"/>
      <c r="L81" s="194"/>
      <c r="M81" s="194">
        <v>1.3550877192982456</v>
      </c>
      <c r="N81" s="68">
        <v>1</v>
      </c>
      <c r="P81" s="69"/>
    </row>
    <row r="82" spans="2:16" ht="15">
      <c r="B82" s="37" t="s">
        <v>16</v>
      </c>
      <c r="C82" s="65"/>
      <c r="D82" s="76"/>
      <c r="E82" s="76">
        <v>3.9654240950837312</v>
      </c>
      <c r="F82" s="66">
        <v>3.3</v>
      </c>
      <c r="G82" s="282"/>
      <c r="H82" s="76"/>
      <c r="I82" s="76">
        <v>5.0010391616318897</v>
      </c>
      <c r="J82" s="66">
        <v>3.3</v>
      </c>
      <c r="K82" s="67"/>
      <c r="L82" s="194"/>
      <c r="M82" s="194">
        <v>0.93295906432748543</v>
      </c>
      <c r="N82" s="71">
        <v>1</v>
      </c>
      <c r="P82" s="69"/>
    </row>
    <row r="83" spans="2:16" ht="15.75" thickBot="1">
      <c r="B83" s="38" t="s">
        <v>163</v>
      </c>
      <c r="C83" s="65"/>
      <c r="D83" s="76"/>
      <c r="E83" s="76"/>
      <c r="F83" s="66">
        <v>7.5</v>
      </c>
      <c r="G83" s="282"/>
      <c r="H83" s="76"/>
      <c r="I83" s="76"/>
      <c r="J83" s="66">
        <v>7.5</v>
      </c>
      <c r="K83" s="67"/>
      <c r="L83" s="194"/>
      <c r="M83" s="194"/>
      <c r="N83" s="71">
        <v>1</v>
      </c>
      <c r="P83" s="69"/>
    </row>
    <row r="84" spans="2:16" ht="15.75" thickBot="1">
      <c r="B84" s="414" t="s">
        <v>161</v>
      </c>
      <c r="C84" s="65"/>
      <c r="D84" s="76"/>
      <c r="E84" s="76"/>
      <c r="F84" s="66">
        <v>4.8</v>
      </c>
      <c r="G84" s="282"/>
      <c r="H84" s="76"/>
      <c r="I84" s="76"/>
      <c r="J84" s="66">
        <v>4.8</v>
      </c>
      <c r="K84" s="67"/>
      <c r="L84" s="194"/>
      <c r="M84" s="194"/>
      <c r="N84" s="71">
        <v>1</v>
      </c>
      <c r="O84" s="74"/>
      <c r="P84" s="75"/>
    </row>
    <row r="85" spans="2:16" ht="15">
      <c r="D85" s="76">
        <v>5.4608602725086737</v>
      </c>
      <c r="E85" s="76">
        <v>6.5940739820707153</v>
      </c>
      <c r="F85" s="341">
        <v>5.5</v>
      </c>
      <c r="H85" s="76">
        <v>5.1731476440231656</v>
      </c>
      <c r="I85" s="76">
        <v>6.6810415938687857</v>
      </c>
      <c r="J85" s="341">
        <v>5.5</v>
      </c>
      <c r="L85" s="194">
        <v>0.94750877192982463</v>
      </c>
      <c r="M85" s="194">
        <v>0.57268660782390768</v>
      </c>
      <c r="N85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32:N32"/>
    <mergeCell ref="D33:E33"/>
    <mergeCell ref="B34:B45"/>
    <mergeCell ref="D34:E35"/>
    <mergeCell ref="D36:E37"/>
    <mergeCell ref="D38:E39"/>
    <mergeCell ref="D40:E41"/>
    <mergeCell ref="D42:E43"/>
    <mergeCell ref="D44:E45"/>
    <mergeCell ref="B46:B55"/>
    <mergeCell ref="D46:E47"/>
    <mergeCell ref="J46:K46"/>
    <mergeCell ref="L47:N47"/>
    <mergeCell ref="D48:E49"/>
    <mergeCell ref="D50:E51"/>
    <mergeCell ref="D52:E53"/>
    <mergeCell ref="D54:E55"/>
    <mergeCell ref="D56:E56"/>
    <mergeCell ref="B61:B62"/>
    <mergeCell ref="C61:C62"/>
    <mergeCell ref="D61:D62"/>
    <mergeCell ref="E61:E62"/>
    <mergeCell ref="M61:M62"/>
    <mergeCell ref="B74:F74"/>
    <mergeCell ref="G74:J74"/>
    <mergeCell ref="K74:N74"/>
    <mergeCell ref="G61:G62"/>
    <mergeCell ref="H61:H62"/>
    <mergeCell ref="I61:I62"/>
    <mergeCell ref="J61:J62"/>
    <mergeCell ref="K61:K62"/>
    <mergeCell ref="L61:L62"/>
    <mergeCell ref="F61:F62"/>
  </mergeCells>
  <conditionalFormatting sqref="B56:B57">
    <cfRule type="cellIs" dxfId="2605" priority="89" operator="notBetween">
      <formula>#REF!</formula>
      <formula>#REF!</formula>
    </cfRule>
  </conditionalFormatting>
  <conditionalFormatting sqref="C60">
    <cfRule type="cellIs" dxfId="2604" priority="183" stopIfTrue="1" operator="lessThan">
      <formula>96</formula>
    </cfRule>
    <cfRule type="cellIs" dxfId="2603" priority="184" stopIfTrue="1" operator="greaterThan">
      <formula>100</formula>
    </cfRule>
  </conditionalFormatting>
  <conditionalFormatting sqref="C76:C80">
    <cfRule type="cellIs" dxfId="2602" priority="152" stopIfTrue="1" operator="lessThanOrEqual">
      <formula>0</formula>
    </cfRule>
  </conditionalFormatting>
  <conditionalFormatting sqref="C76:C84">
    <cfRule type="cellIs" dxfId="2601" priority="151" stopIfTrue="1" operator="greaterThan">
      <formula>$F76</formula>
    </cfRule>
  </conditionalFormatting>
  <conditionalFormatting sqref="C77">
    <cfRule type="cellIs" dxfId="2600" priority="185" stopIfTrue="1" operator="greaterThan">
      <formula>$F76</formula>
    </cfRule>
  </conditionalFormatting>
  <conditionalFormatting sqref="C81">
    <cfRule type="cellIs" dxfId="2599" priority="113" stopIfTrue="1" operator="lessThanOrEqual">
      <formula>0</formula>
    </cfRule>
    <cfRule type="cellIs" dxfId="2598" priority="114" stopIfTrue="1" operator="greaterThan">
      <formula>$F80</formula>
    </cfRule>
  </conditionalFormatting>
  <conditionalFormatting sqref="C82:C84">
    <cfRule type="cellIs" dxfId="2597" priority="153" stopIfTrue="1" operator="lessThanOrEqual">
      <formula>0</formula>
    </cfRule>
  </conditionalFormatting>
  <conditionalFormatting sqref="C87:C91">
    <cfRule type="cellIs" dxfId="2596" priority="175" stopIfTrue="1" operator="lessThanOrEqual">
      <formula>0</formula>
    </cfRule>
  </conditionalFormatting>
  <conditionalFormatting sqref="C88:C91">
    <cfRule type="cellIs" dxfId="2595" priority="174" stopIfTrue="1" operator="greaterThan">
      <formula>$F$87</formula>
    </cfRule>
  </conditionalFormatting>
  <conditionalFormatting sqref="C93">
    <cfRule type="cellIs" dxfId="2594" priority="177" stopIfTrue="1" operator="lessThanOrEqual">
      <formula>0</formula>
    </cfRule>
    <cfRule type="cellIs" dxfId="2593" priority="176" stopIfTrue="1" operator="greaterThan">
      <formula>$F$87</formula>
    </cfRule>
  </conditionalFormatting>
  <conditionalFormatting sqref="C87:D87 D89:D95">
    <cfRule type="cellIs" dxfId="2592" priority="169" stopIfTrue="1" operator="greaterThan">
      <formula>4.5</formula>
    </cfRule>
  </conditionalFormatting>
  <conditionalFormatting sqref="D56:D57">
    <cfRule type="cellIs" dxfId="2591" priority="90" operator="notBetween">
      <formula>#REF!</formula>
      <formula>#REF!</formula>
    </cfRule>
  </conditionalFormatting>
  <conditionalFormatting sqref="D76:D83">
    <cfRule type="cellIs" dxfId="2590" priority="64" stopIfTrue="1" operator="lessThanOrEqual">
      <formula>0</formula>
    </cfRule>
  </conditionalFormatting>
  <conditionalFormatting sqref="D76:D85">
    <cfRule type="cellIs" dxfId="2589" priority="43" stopIfTrue="1" operator="lessThanOrEqual">
      <formula>0</formula>
    </cfRule>
  </conditionalFormatting>
  <conditionalFormatting sqref="D84">
    <cfRule type="cellIs" dxfId="2588" priority="63" stopIfTrue="1" operator="lessThanOrEqual">
      <formula>0</formula>
    </cfRule>
  </conditionalFormatting>
  <conditionalFormatting sqref="D85">
    <cfRule type="cellIs" dxfId="2587" priority="58" stopIfTrue="1" operator="lessThanOrEqual">
      <formula>0</formula>
    </cfRule>
  </conditionalFormatting>
  <conditionalFormatting sqref="D87 D89:D95">
    <cfRule type="cellIs" dxfId="2586" priority="170" stopIfTrue="1" operator="lessThanOrEqual">
      <formula>0</formula>
    </cfRule>
  </conditionalFormatting>
  <conditionalFormatting sqref="D88">
    <cfRule type="cellIs" dxfId="2585" priority="161" stopIfTrue="1" operator="greaterThan">
      <formula>$F$87</formula>
    </cfRule>
    <cfRule type="cellIs" dxfId="2584" priority="162" stopIfTrue="1" operator="lessThanOrEqual">
      <formula>0</formula>
    </cfRule>
  </conditionalFormatting>
  <conditionalFormatting sqref="D76:E85">
    <cfRule type="cellIs" dxfId="2583" priority="45" stopIfTrue="1" operator="greaterThan">
      <formula>$F76</formula>
    </cfRule>
  </conditionalFormatting>
  <conditionalFormatting sqref="D85:E85">
    <cfRule type="cellIs" dxfId="2582" priority="47" stopIfTrue="1" operator="lessThanOrEqual">
      <formula>0</formula>
    </cfRule>
  </conditionalFormatting>
  <conditionalFormatting sqref="E10:E31">
    <cfRule type="cellIs" dxfId="2581" priority="7" operator="lessThan">
      <formula>48</formula>
    </cfRule>
  </conditionalFormatting>
  <conditionalFormatting sqref="E59 E60:F60">
    <cfRule type="cellIs" dxfId="2580" priority="166" stopIfTrue="1" operator="greaterThan">
      <formula>100</formula>
    </cfRule>
  </conditionalFormatting>
  <conditionalFormatting sqref="E60">
    <cfRule type="cellIs" dxfId="2579" priority="164" stopIfTrue="1" operator="greaterThan">
      <formula>100</formula>
    </cfRule>
    <cfRule type="cellIs" dxfId="2578" priority="163" stopIfTrue="1" operator="lessThan">
      <formula>96.8</formula>
    </cfRule>
  </conditionalFormatting>
  <conditionalFormatting sqref="E76:E84">
    <cfRule type="cellIs" dxfId="2577" priority="44" stopIfTrue="1" operator="lessThanOrEqual">
      <formula>0</formula>
    </cfRule>
  </conditionalFormatting>
  <conditionalFormatting sqref="E76:E85">
    <cfRule type="cellIs" dxfId="2576" priority="46" stopIfTrue="1" operator="lessThanOrEqual">
      <formula>0</formula>
    </cfRule>
  </conditionalFormatting>
  <conditionalFormatting sqref="E87:E95">
    <cfRule type="cellIs" dxfId="2575" priority="156" stopIfTrue="1" operator="lessThanOrEqual">
      <formula>0</formula>
    </cfRule>
    <cfRule type="cellIs" dxfId="2574" priority="155" stopIfTrue="1" operator="greaterThan">
      <formula>4.5</formula>
    </cfRule>
  </conditionalFormatting>
  <conditionalFormatting sqref="E60:F60 E59">
    <cfRule type="cellIs" dxfId="2573" priority="165" stopIfTrue="1" operator="lessThan">
      <formula>96.5</formula>
    </cfRule>
  </conditionalFormatting>
  <conditionalFormatting sqref="F18:F19">
    <cfRule type="cellIs" dxfId="2572" priority="11" operator="greaterThan">
      <formula>60</formula>
    </cfRule>
  </conditionalFormatting>
  <conditionalFormatting sqref="F28:F31">
    <cfRule type="cellIs" dxfId="2571" priority="39" operator="greaterThan">
      <formula>60</formula>
    </cfRule>
  </conditionalFormatting>
  <conditionalFormatting sqref="F60">
    <cfRule type="cellIs" dxfId="2570" priority="181" stopIfTrue="1" operator="lessThan">
      <formula>96.8</formula>
    </cfRule>
    <cfRule type="cellIs" dxfId="2569" priority="182" stopIfTrue="1" operator="greaterThan">
      <formula>100</formula>
    </cfRule>
  </conditionalFormatting>
  <conditionalFormatting sqref="F85">
    <cfRule type="cellIs" dxfId="2568" priority="61" stopIfTrue="1" operator="greaterThan">
      <formula>$F85</formula>
    </cfRule>
    <cfRule type="cellIs" dxfId="2567" priority="62" stopIfTrue="1" operator="lessThanOrEqual">
      <formula>0</formula>
    </cfRule>
  </conditionalFormatting>
  <conditionalFormatting sqref="G18:G19">
    <cfRule type="expression" dxfId="2566" priority="8">
      <formula>IF(+(IF(G18&lt;S18,0,IF(G18&gt;T18,0,1)))=0,1)</formula>
    </cfRule>
  </conditionalFormatting>
  <conditionalFormatting sqref="G28:G31">
    <cfRule type="expression" dxfId="2565" priority="38">
      <formula>IF(+(IF(G28&lt;S28,0,IF(G28&gt;T28,0,1)))=0,1)</formula>
    </cfRule>
  </conditionalFormatting>
  <conditionalFormatting sqref="G76:G77">
    <cfRule type="cellIs" dxfId="2564" priority="59" stopIfTrue="1" operator="greaterThan">
      <formula>$F76</formula>
    </cfRule>
    <cfRule type="cellIs" dxfId="2563" priority="66" stopIfTrue="1" operator="lessThanOrEqual">
      <formula>0</formula>
    </cfRule>
    <cfRule type="cellIs" dxfId="2562" priority="60" stopIfTrue="1" operator="lessThanOrEqual">
      <formula>0</formula>
    </cfRule>
    <cfRule type="cellIs" dxfId="2561" priority="65" stopIfTrue="1" operator="greaterThan">
      <formula>$F76</formula>
    </cfRule>
  </conditionalFormatting>
  <conditionalFormatting sqref="G78">
    <cfRule type="containsErrors" dxfId="2560" priority="36" stopIfTrue="1">
      <formula>ISERROR(G78)</formula>
    </cfRule>
  </conditionalFormatting>
  <conditionalFormatting sqref="G79">
    <cfRule type="cellIs" dxfId="2559" priority="51" stopIfTrue="1" operator="greaterThan">
      <formula>$F79</formula>
    </cfRule>
    <cfRule type="cellIs" dxfId="2558" priority="54" stopIfTrue="1" operator="lessThanOrEqual">
      <formula>0</formula>
    </cfRule>
    <cfRule type="cellIs" dxfId="2557" priority="53" stopIfTrue="1" operator="greaterThan">
      <formula>$F79</formula>
    </cfRule>
    <cfRule type="cellIs" dxfId="2556" priority="52" stopIfTrue="1" operator="lessThanOrEqual">
      <formula>0</formula>
    </cfRule>
  </conditionalFormatting>
  <conditionalFormatting sqref="G80:G84">
    <cfRule type="cellIs" dxfId="2555" priority="67" stopIfTrue="1" operator="greaterThan">
      <formula>$J80</formula>
    </cfRule>
    <cfRule type="cellIs" dxfId="2554" priority="68" stopIfTrue="1" operator="lessThanOrEqual">
      <formula>0</formula>
    </cfRule>
  </conditionalFormatting>
  <conditionalFormatting sqref="G89:G94 C92 C94">
    <cfRule type="cellIs" dxfId="2553" priority="178" stopIfTrue="1" operator="greaterThan">
      <formula>4.5</formula>
    </cfRule>
    <cfRule type="cellIs" dxfId="2552" priority="179" stopIfTrue="1" operator="lessThanOrEqual">
      <formula>0</formula>
    </cfRule>
  </conditionalFormatting>
  <conditionalFormatting sqref="G10:H17 G20:H27 H28:H31">
    <cfRule type="expression" dxfId="2551" priority="37">
      <formula>IF(+(IF(G10&lt;#REF!,0,IF(G10&gt;#REF!,0,1)))=0,1)</formula>
    </cfRule>
  </conditionalFormatting>
  <conditionalFormatting sqref="G88:H88">
    <cfRule type="cellIs" dxfId="2550" priority="159" stopIfTrue="1" operator="greaterThan">
      <formula>$F$87</formula>
    </cfRule>
    <cfRule type="cellIs" dxfId="2549" priority="160" stopIfTrue="1" operator="lessThanOrEqual">
      <formula>0</formula>
    </cfRule>
  </conditionalFormatting>
  <conditionalFormatting sqref="H45:H46 H59">
    <cfRule type="cellIs" dxfId="2548" priority="157" stopIfTrue="1" operator="greaterThan">
      <formula>0</formula>
    </cfRule>
  </conditionalFormatting>
  <conditionalFormatting sqref="H63">
    <cfRule type="cellIs" dxfId="2547" priority="26" stopIfTrue="1" operator="lessThanOrEqual">
      <formula>0</formula>
    </cfRule>
    <cfRule type="cellIs" dxfId="2546" priority="23" stopIfTrue="1" operator="greaterThan">
      <formula>$F$80</formula>
    </cfRule>
    <cfRule type="cellIs" dxfId="2545" priority="24" stopIfTrue="1" operator="lessThanOrEqual">
      <formula>0</formula>
    </cfRule>
    <cfRule type="cellIs" dxfId="2544" priority="14" stopIfTrue="1" operator="lessThanOrEqual">
      <formula>0</formula>
    </cfRule>
    <cfRule type="cellIs" dxfId="2543" priority="15" stopIfTrue="1" operator="greaterThan">
      <formula>$F$77</formula>
    </cfRule>
    <cfRule type="cellIs" dxfId="2542" priority="25" stopIfTrue="1" operator="greaterThan">
      <formula>$F$78</formula>
    </cfRule>
  </conditionalFormatting>
  <conditionalFormatting sqref="H64:H67">
    <cfRule type="cellIs" dxfId="2541" priority="81" stopIfTrue="1" operator="greaterThan">
      <formula>$F$79</formula>
    </cfRule>
    <cfRule type="cellIs" dxfId="2540" priority="82" stopIfTrue="1" operator="lessThanOrEqual">
      <formula>0</formula>
    </cfRule>
    <cfRule type="cellIs" dxfId="2539" priority="83" stopIfTrue="1" operator="greaterThan">
      <formula>$F$77</formula>
    </cfRule>
    <cfRule type="cellIs" dxfId="2538" priority="84" stopIfTrue="1" operator="lessThanOrEqual">
      <formula>0</formula>
    </cfRule>
    <cfRule type="cellIs" dxfId="2537" priority="72" stopIfTrue="1" operator="lessThanOrEqual">
      <formula>0</formula>
    </cfRule>
    <cfRule type="cellIs" dxfId="2536" priority="73" stopIfTrue="1" operator="greaterThan">
      <formula>$F$76</formula>
    </cfRule>
  </conditionalFormatting>
  <conditionalFormatting sqref="H68:H69">
    <cfRule type="cellIs" dxfId="2535" priority="116" stopIfTrue="1" operator="lessThanOrEqual">
      <formula>0</formula>
    </cfRule>
    <cfRule type="cellIs" dxfId="2534" priority="117" stopIfTrue="1" operator="greaterThan">
      <formula>#REF!</formula>
    </cfRule>
    <cfRule type="cellIs" dxfId="2533" priority="125" stopIfTrue="1" operator="greaterThan">
      <formula>$F$31</formula>
    </cfRule>
    <cfRule type="cellIs" dxfId="2532" priority="126" stopIfTrue="1" operator="lessThanOrEqual">
      <formula>0</formula>
    </cfRule>
    <cfRule type="cellIs" dxfId="2531" priority="127" stopIfTrue="1" operator="greaterThan">
      <formula>#REF!</formula>
    </cfRule>
    <cfRule type="cellIs" dxfId="2530" priority="128" stopIfTrue="1" operator="lessThanOrEqual">
      <formula>0</formula>
    </cfRule>
  </conditionalFormatting>
  <conditionalFormatting sqref="H70">
    <cfRule type="cellIs" dxfId="2529" priority="141" stopIfTrue="1" operator="greaterThan">
      <formula>$F$45</formula>
    </cfRule>
    <cfRule type="cellIs" dxfId="2528" priority="142" stopIfTrue="1" operator="lessThanOrEqual">
      <formula>0</formula>
    </cfRule>
    <cfRule type="cellIs" dxfId="2527" priority="140" stopIfTrue="1" operator="lessThanOrEqual">
      <formula>0</formula>
    </cfRule>
    <cfRule type="cellIs" dxfId="2526" priority="139" stopIfTrue="1" operator="greaterThan">
      <formula>$F$47</formula>
    </cfRule>
    <cfRule type="cellIs" dxfId="2525" priority="131" stopIfTrue="1" operator="greaterThan">
      <formula>$F$44</formula>
    </cfRule>
    <cfRule type="cellIs" dxfId="2524" priority="130" stopIfTrue="1" operator="lessThanOrEqual">
      <formula>0</formula>
    </cfRule>
  </conditionalFormatting>
  <conditionalFormatting sqref="H71:H72">
    <cfRule type="cellIs" dxfId="2523" priority="101" stopIfTrue="1" operator="greaterThan">
      <formula>#REF!</formula>
    </cfRule>
    <cfRule type="cellIs" dxfId="2522" priority="109" stopIfTrue="1" operator="greaterThan">
      <formula>$F$31</formula>
    </cfRule>
    <cfRule type="cellIs" dxfId="2521" priority="110" stopIfTrue="1" operator="lessThanOrEqual">
      <formula>0</formula>
    </cfRule>
    <cfRule type="cellIs" dxfId="2520" priority="111" stopIfTrue="1" operator="greaterThan">
      <formula>#REF!</formula>
    </cfRule>
    <cfRule type="cellIs" dxfId="2519" priority="112" stopIfTrue="1" operator="lessThanOrEqual">
      <formula>0</formula>
    </cfRule>
    <cfRule type="cellIs" dxfId="2518" priority="100" stopIfTrue="1" operator="lessThanOrEqual">
      <formula>0</formula>
    </cfRule>
  </conditionalFormatting>
  <conditionalFormatting sqref="H87 H89:H95">
    <cfRule type="cellIs" dxfId="2517" priority="172" stopIfTrue="1" operator="lessThanOrEqual">
      <formula>0</formula>
    </cfRule>
    <cfRule type="cellIs" dxfId="2516" priority="171" stopIfTrue="1" operator="greaterThan">
      <formula>4.5</formula>
    </cfRule>
  </conditionalFormatting>
  <conditionalFormatting sqref="H63:I63">
    <cfRule type="cellIs" dxfId="2515" priority="13" stopIfTrue="1" operator="greaterThan">
      <formula>$F$79</formula>
    </cfRule>
    <cfRule type="cellIs" dxfId="2514" priority="16" stopIfTrue="1" operator="lessThanOrEqual">
      <formula>0</formula>
    </cfRule>
  </conditionalFormatting>
  <conditionalFormatting sqref="H64:I67">
    <cfRule type="cellIs" dxfId="2513" priority="74" stopIfTrue="1" operator="lessThanOrEqual">
      <formula>0</formula>
    </cfRule>
    <cfRule type="cellIs" dxfId="2512" priority="71" stopIfTrue="1" operator="greaterThan">
      <formula>$F$78</formula>
    </cfRule>
  </conditionalFormatting>
  <conditionalFormatting sqref="H68:I69">
    <cfRule type="cellIs" dxfId="2511" priority="115" stopIfTrue="1" operator="greaterThan">
      <formula>#REF!</formula>
    </cfRule>
    <cfRule type="cellIs" dxfId="2510" priority="118" stopIfTrue="1" operator="lessThanOrEqual">
      <formula>0</formula>
    </cfRule>
  </conditionalFormatting>
  <conditionalFormatting sqref="H70:I70">
    <cfRule type="cellIs" dxfId="2509" priority="129" stopIfTrue="1" operator="greaterThan">
      <formula>$F$46</formula>
    </cfRule>
    <cfRule type="cellIs" dxfId="2508" priority="132" stopIfTrue="1" operator="lessThanOrEqual">
      <formula>0</formula>
    </cfRule>
  </conditionalFormatting>
  <conditionalFormatting sqref="H71:I72">
    <cfRule type="cellIs" dxfId="2507" priority="99" stopIfTrue="1" operator="greaterThan">
      <formula>#REF!</formula>
    </cfRule>
    <cfRule type="cellIs" dxfId="2506" priority="102" stopIfTrue="1" operator="lessThanOrEqual">
      <formula>0</formula>
    </cfRule>
  </conditionalFormatting>
  <conditionalFormatting sqref="H76:I83">
    <cfRule type="cellIs" dxfId="2505" priority="41" stopIfTrue="1" operator="greaterThan">
      <formula>$J76</formula>
    </cfRule>
    <cfRule type="cellIs" dxfId="2504" priority="42" stopIfTrue="1" operator="lessThanOrEqual">
      <formula>0</formula>
    </cfRule>
  </conditionalFormatting>
  <conditionalFormatting sqref="H84:I84">
    <cfRule type="cellIs" dxfId="2503" priority="50" operator="greaterThan">
      <formula>5.3</formula>
    </cfRule>
  </conditionalFormatting>
  <conditionalFormatting sqref="H85:I85">
    <cfRule type="cellIs" dxfId="2502" priority="49" stopIfTrue="1" operator="lessThanOrEqual">
      <formula>0</formula>
    </cfRule>
    <cfRule type="cellIs" dxfId="2501" priority="48" stopIfTrue="1" operator="greaterThan">
      <formula>$J85</formula>
    </cfRule>
  </conditionalFormatting>
  <conditionalFormatting sqref="I63">
    <cfRule type="cellIs" dxfId="2500" priority="18" stopIfTrue="1" operator="lessThanOrEqual">
      <formula>0</formula>
    </cfRule>
    <cfRule type="cellIs" dxfId="2499" priority="19" stopIfTrue="1" operator="greaterThan">
      <formula>$F$79</formula>
    </cfRule>
    <cfRule type="cellIs" dxfId="2498" priority="20" stopIfTrue="1" operator="lessThanOrEqual">
      <formula>0</formula>
    </cfRule>
    <cfRule type="cellIs" dxfId="2497" priority="22" stopIfTrue="1" operator="lessThanOrEqual">
      <formula>0</formula>
    </cfRule>
    <cfRule type="cellIs" dxfId="2496" priority="21" stopIfTrue="1" operator="greaterThan">
      <formula>$F$77</formula>
    </cfRule>
    <cfRule type="cellIs" dxfId="2495" priority="17" stopIfTrue="1" operator="greaterThan">
      <formula>$F$77</formula>
    </cfRule>
  </conditionalFormatting>
  <conditionalFormatting sqref="I64:I67">
    <cfRule type="cellIs" dxfId="2494" priority="75" stopIfTrue="1" operator="greaterThan">
      <formula>$F$76</formula>
    </cfRule>
    <cfRule type="cellIs" dxfId="2493" priority="76" stopIfTrue="1" operator="lessThanOrEqual">
      <formula>0</formula>
    </cfRule>
    <cfRule type="cellIs" dxfId="2492" priority="77" stopIfTrue="1" operator="greaterThan">
      <formula>$F$78</formula>
    </cfRule>
    <cfRule type="cellIs" dxfId="2491" priority="78" stopIfTrue="1" operator="lessThanOrEqual">
      <formula>0</formula>
    </cfRule>
    <cfRule type="cellIs" dxfId="2490" priority="79" stopIfTrue="1" operator="greaterThan">
      <formula>$F$76</formula>
    </cfRule>
    <cfRule type="cellIs" dxfId="2489" priority="80" stopIfTrue="1" operator="lessThanOrEqual">
      <formula>0</formula>
    </cfRule>
  </conditionalFormatting>
  <conditionalFormatting sqref="I68:I69">
    <cfRule type="cellIs" dxfId="2488" priority="119" stopIfTrue="1" operator="greaterThan">
      <formula>#REF!</formula>
    </cfRule>
    <cfRule type="cellIs" dxfId="2487" priority="123" stopIfTrue="1" operator="greaterThan">
      <formula>#REF!</formula>
    </cfRule>
    <cfRule type="cellIs" dxfId="2486" priority="124" stopIfTrue="1" operator="lessThanOrEqual">
      <formula>0</formula>
    </cfRule>
    <cfRule type="cellIs" dxfId="2485" priority="122" stopIfTrue="1" operator="lessThanOrEqual">
      <formula>0</formula>
    </cfRule>
    <cfRule type="cellIs" dxfId="2484" priority="121" stopIfTrue="1" operator="greaterThan">
      <formula>#REF!</formula>
    </cfRule>
    <cfRule type="cellIs" dxfId="2483" priority="120" stopIfTrue="1" operator="lessThanOrEqual">
      <formula>0</formula>
    </cfRule>
  </conditionalFormatting>
  <conditionalFormatting sqref="I70">
    <cfRule type="cellIs" dxfId="2482" priority="133" stopIfTrue="1" operator="greaterThan">
      <formula>$F$44</formula>
    </cfRule>
    <cfRule type="cellIs" dxfId="2481" priority="134" stopIfTrue="1" operator="lessThanOrEqual">
      <formula>0</formula>
    </cfRule>
    <cfRule type="cellIs" dxfId="2480" priority="135" stopIfTrue="1" operator="greaterThan">
      <formula>$F$46</formula>
    </cfRule>
    <cfRule type="cellIs" dxfId="2479" priority="136" stopIfTrue="1" operator="lessThanOrEqual">
      <formula>0</formula>
    </cfRule>
    <cfRule type="cellIs" dxfId="2478" priority="137" stopIfTrue="1" operator="greaterThan">
      <formula>$F$44</formula>
    </cfRule>
    <cfRule type="cellIs" dxfId="2477" priority="138" stopIfTrue="1" operator="lessThanOrEqual">
      <formula>0</formula>
    </cfRule>
  </conditionalFormatting>
  <conditionalFormatting sqref="I71:I72">
    <cfRule type="cellIs" dxfId="2476" priority="108" stopIfTrue="1" operator="lessThanOrEqual">
      <formula>0</formula>
    </cfRule>
    <cfRule type="cellIs" dxfId="2475" priority="103" stopIfTrue="1" operator="greaterThan">
      <formula>#REF!</formula>
    </cfRule>
    <cfRule type="cellIs" dxfId="2474" priority="104" stopIfTrue="1" operator="lessThanOrEqual">
      <formula>0</formula>
    </cfRule>
    <cfRule type="cellIs" dxfId="2473" priority="105" stopIfTrue="1" operator="greaterThan">
      <formula>#REF!</formula>
    </cfRule>
    <cfRule type="cellIs" dxfId="2472" priority="106" stopIfTrue="1" operator="lessThanOrEqual">
      <formula>0</formula>
    </cfRule>
    <cfRule type="cellIs" dxfId="2471" priority="107" stopIfTrue="1" operator="greaterThan">
      <formula>#REF!</formula>
    </cfRule>
  </conditionalFormatting>
  <conditionalFormatting sqref="I87:I95">
    <cfRule type="cellIs" dxfId="2470" priority="167" stopIfTrue="1" operator="greaterThan">
      <formula>4.5</formula>
    </cfRule>
    <cfRule type="cellIs" dxfId="2469" priority="168" stopIfTrue="1" operator="lessThanOrEqual">
      <formula>0</formula>
    </cfRule>
  </conditionalFormatting>
  <conditionalFormatting sqref="I10:J31">
    <cfRule type="cellIs" dxfId="2468" priority="1" operator="lessThan">
      <formula>97.9</formula>
    </cfRule>
  </conditionalFormatting>
  <conditionalFormatting sqref="J34">
    <cfRule type="cellIs" dxfId="2467" priority="70" operator="lessThan">
      <formula>97.95</formula>
    </cfRule>
  </conditionalFormatting>
  <conditionalFormatting sqref="J36">
    <cfRule type="cellIs" dxfId="2466" priority="146" operator="lessThan">
      <formula>98</formula>
    </cfRule>
    <cfRule type="cellIs" dxfId="2465" priority="145" stopIfTrue="1" operator="greaterThan">
      <formula>100</formula>
    </cfRule>
    <cfRule type="cellIs" dxfId="2464" priority="144" stopIfTrue="1" operator="lessThan">
      <formula>96.8</formula>
    </cfRule>
  </conditionalFormatting>
  <conditionalFormatting sqref="J36:J38">
    <cfRule type="cellIs" dxfId="2463" priority="143" operator="lessThan">
      <formula>97.4</formula>
    </cfRule>
  </conditionalFormatting>
  <conditionalFormatting sqref="J39:J40">
    <cfRule type="cellIs" dxfId="2462" priority="147" operator="lessThan">
      <formula>98</formula>
    </cfRule>
  </conditionalFormatting>
  <conditionalFormatting sqref="J41:J42">
    <cfRule type="cellIs" dxfId="2461" priority="148" stopIfTrue="1" operator="lessThan">
      <formula>96.8</formula>
    </cfRule>
    <cfRule type="cellIs" dxfId="2460" priority="149" stopIfTrue="1" operator="greaterThan">
      <formula>100</formula>
    </cfRule>
  </conditionalFormatting>
  <conditionalFormatting sqref="J41:J43">
    <cfRule type="cellIs" dxfId="2459" priority="150" operator="lessThan">
      <formula>98</formula>
    </cfRule>
  </conditionalFormatting>
  <conditionalFormatting sqref="J72">
    <cfRule type="cellIs" dxfId="2458" priority="94" stopIfTrue="1" operator="lessThanOrEqual">
      <formula>0</formula>
    </cfRule>
    <cfRule type="cellIs" dxfId="2457" priority="93" stopIfTrue="1" operator="greaterThan">
      <formula>#REF!</formula>
    </cfRule>
    <cfRule type="cellIs" dxfId="2456" priority="92" stopIfTrue="1" operator="lessThanOrEqual">
      <formula>0</formula>
    </cfRule>
    <cfRule type="cellIs" dxfId="2455" priority="91" stopIfTrue="1" operator="greaterThan">
      <formula>#REF!</formula>
    </cfRule>
    <cfRule type="cellIs" dxfId="2454" priority="97" stopIfTrue="1" operator="greaterThan">
      <formula>#REF!</formula>
    </cfRule>
    <cfRule type="cellIs" dxfId="2453" priority="98" stopIfTrue="1" operator="lessThanOrEqual">
      <formula>0</formula>
    </cfRule>
    <cfRule type="cellIs" dxfId="2452" priority="95" stopIfTrue="1" operator="greaterThan">
      <formula>#REF!</formula>
    </cfRule>
    <cfRule type="cellIs" dxfId="2451" priority="96" stopIfTrue="1" operator="lessThanOrEqual">
      <formula>0</formula>
    </cfRule>
  </conditionalFormatting>
  <conditionalFormatting sqref="J85">
    <cfRule type="cellIs" dxfId="2450" priority="55" stopIfTrue="1" operator="greaterThan">
      <formula>$F85</formula>
    </cfRule>
    <cfRule type="cellIs" dxfId="2449" priority="56" stopIfTrue="1" operator="lessThanOrEqual">
      <formula>0</formula>
    </cfRule>
  </conditionalFormatting>
  <conditionalFormatting sqref="K10:K31">
    <cfRule type="cellIs" dxfId="2448" priority="2" operator="greaterThan">
      <formula>6</formula>
    </cfRule>
    <cfRule type="cellIs" dxfId="2447" priority="3" operator="lessThan">
      <formula>4</formula>
    </cfRule>
    <cfRule type="cellIs" dxfId="2446" priority="4" operator="greaterThan">
      <formula>6.4</formula>
    </cfRule>
  </conditionalFormatting>
  <conditionalFormatting sqref="K63:K72">
    <cfRule type="cellIs" dxfId="2445" priority="85" stopIfTrue="1" operator="lessThan">
      <formula>100%</formula>
    </cfRule>
  </conditionalFormatting>
  <conditionalFormatting sqref="K87:K92">
    <cfRule type="cellIs" dxfId="2444" priority="173" stopIfTrue="1" operator="lessThan">
      <formula>100%</formula>
    </cfRule>
  </conditionalFormatting>
  <conditionalFormatting sqref="K94:K95">
    <cfRule type="cellIs" dxfId="2443" priority="180" stopIfTrue="1" operator="lessThan">
      <formula>100%</formula>
    </cfRule>
  </conditionalFormatting>
  <conditionalFormatting sqref="K76:M84">
    <cfRule type="cellIs" dxfId="2442" priority="40" stopIfTrue="1" operator="lessThan">
      <formula>100%</formula>
    </cfRule>
  </conditionalFormatting>
  <conditionalFormatting sqref="L10:L31">
    <cfRule type="cellIs" dxfId="2441" priority="6" operator="greaterThan">
      <formula>65</formula>
    </cfRule>
    <cfRule type="cellIs" dxfId="2440" priority="5" operator="between">
      <formula>61</formula>
      <formula>65</formula>
    </cfRule>
  </conditionalFormatting>
  <conditionalFormatting sqref="L34:M45">
    <cfRule type="cellIs" dxfId="2439" priority="87" operator="lessThan">
      <formula>97.95</formula>
    </cfRule>
  </conditionalFormatting>
  <conditionalFormatting sqref="L85:M85">
    <cfRule type="cellIs" dxfId="2438" priority="57" stopIfTrue="1" operator="lessThan">
      <formula>100%</formula>
    </cfRule>
  </conditionalFormatting>
  <conditionalFormatting sqref="L49:N49">
    <cfRule type="cellIs" dxfId="2437" priority="88" operator="notEqual">
      <formula>#REF!</formula>
    </cfRule>
  </conditionalFormatting>
  <conditionalFormatting sqref="L87:N95">
    <cfRule type="cellIs" dxfId="2436" priority="158" stopIfTrue="1" operator="lessThan">
      <formula>100%</formula>
    </cfRule>
  </conditionalFormatting>
  <conditionalFormatting sqref="M18:M19">
    <cfRule type="expression" dxfId="2435" priority="10">
      <formula>IF(+(IF(M18&lt;U18,0,IF(M18&gt;V18,0,1)))=0,1)</formula>
    </cfRule>
  </conditionalFormatting>
  <conditionalFormatting sqref="M28:M29">
    <cfRule type="expression" dxfId="2434" priority="28">
      <formula>IF(+(IF(M28&lt;U28,0,IF(M28&gt;V28,0,1)))=0,1)</formula>
    </cfRule>
  </conditionalFormatting>
  <conditionalFormatting sqref="M10:N27 H18:H19">
    <cfRule type="expression" dxfId="2433" priority="12">
      <formula>IF(+(IF(H10&lt;#REF!,0,IF(H10&gt;#REF!,0,1)))=0,1)</formula>
    </cfRule>
  </conditionalFormatting>
  <conditionalFormatting sqref="M30:N31">
    <cfRule type="expression" dxfId="2432" priority="86">
      <formula>IF(+(IF(M30&lt;#REF!,0,IF(M30&gt;#REF!,0,1)))=0,1)</formula>
    </cfRule>
  </conditionalFormatting>
  <conditionalFormatting sqref="N10:N29">
    <cfRule type="expression" dxfId="2431" priority="9">
      <formula>IF(+(IF(N10&lt;W10,0,IF(N10&gt;X10,0,1)))=0,1)</formula>
    </cfRule>
  </conditionalFormatting>
  <conditionalFormatting sqref="N76:N85">
    <cfRule type="cellIs" dxfId="2430" priority="69" stopIfTrue="1" operator="lessThan">
      <formula>100%</formula>
    </cfRule>
  </conditionalFormatting>
  <conditionalFormatting sqref="P6">
    <cfRule type="cellIs" dxfId="2429" priority="154" operator="greaterThanOrEqual">
      <formula>19</formula>
    </cfRule>
  </conditionalFormatting>
  <dataValidations count="1">
    <dataValidation type="list" allowBlank="1" showInputMessage="1" showErrorMessage="1" sqref="R8" xr:uid="{C51CE991-18B4-4EC5-A001-EA345373BEAE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9" max="16383" man="1"/>
  </rowBreaks>
  <colBreaks count="1" manualBreakCount="1">
    <brk id="15" max="89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3FDD0-DC45-40FF-AABD-526417D63E4E}">
  <sheetPr>
    <pageSetUpPr fitToPage="1"/>
  </sheetPr>
  <dimension ref="A1:BE82"/>
  <sheetViews>
    <sheetView topLeftCell="B41" zoomScale="70" zoomScaleNormal="70" workbookViewId="0">
      <selection activeCell="H60" sqref="H60:I60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9.4257812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5" t="s">
        <v>0</v>
      </c>
      <c r="T1" s="555"/>
      <c r="U1" s="555" t="s">
        <v>1</v>
      </c>
      <c r="V1" s="555"/>
      <c r="W1" s="555" t="s">
        <v>2</v>
      </c>
      <c r="X1" s="555"/>
      <c r="Y1" s="555" t="s">
        <v>124</v>
      </c>
      <c r="Z1" s="555"/>
    </row>
    <row r="2" spans="2:29" ht="15">
      <c r="B2" s="556" t="s">
        <v>3</v>
      </c>
      <c r="C2" s="556"/>
      <c r="D2" s="556"/>
      <c r="E2" s="556"/>
      <c r="F2" s="556"/>
      <c r="G2" s="556"/>
      <c r="H2" s="556"/>
      <c r="I2" s="556"/>
      <c r="J2" s="556"/>
      <c r="K2" s="556"/>
      <c r="L2" s="556"/>
      <c r="M2" s="556"/>
      <c r="N2" s="556"/>
      <c r="O2" s="556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46125</v>
      </c>
      <c r="J4" s="398" t="s">
        <v>167</v>
      </c>
      <c r="K4" s="398"/>
      <c r="L4" s="11"/>
      <c r="M4" s="553" t="s">
        <v>8</v>
      </c>
      <c r="N4" s="554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2"/>
      <c r="D5" s="542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6" t="s">
        <v>17</v>
      </c>
      <c r="C8" s="517" t="s">
        <v>18</v>
      </c>
      <c r="D8" s="517" t="s">
        <v>19</v>
      </c>
      <c r="E8" s="356" t="s">
        <v>20</v>
      </c>
      <c r="F8" s="356" t="s">
        <v>21</v>
      </c>
      <c r="G8" s="517" t="s">
        <v>22</v>
      </c>
      <c r="H8" s="544" t="s">
        <v>144</v>
      </c>
      <c r="I8" s="517" t="s">
        <v>165</v>
      </c>
      <c r="J8" s="546" t="s">
        <v>23</v>
      </c>
      <c r="K8" s="548" t="s">
        <v>142</v>
      </c>
      <c r="L8" s="550" t="s">
        <v>24</v>
      </c>
      <c r="M8" s="359" t="s">
        <v>25</v>
      </c>
      <c r="N8" s="17" t="s">
        <v>169</v>
      </c>
      <c r="O8" s="510" t="s">
        <v>155</v>
      </c>
      <c r="P8" s="540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43"/>
      <c r="C9" s="541"/>
      <c r="D9" s="541"/>
      <c r="E9" s="357" t="s">
        <v>30</v>
      </c>
      <c r="F9" s="357" t="s">
        <v>31</v>
      </c>
      <c r="G9" s="541"/>
      <c r="H9" s="545"/>
      <c r="I9" s="541"/>
      <c r="J9" s="547"/>
      <c r="K9" s="549"/>
      <c r="L9" s="551"/>
      <c r="M9" s="20" t="s">
        <v>32</v>
      </c>
      <c r="N9" s="21" t="s">
        <v>41</v>
      </c>
      <c r="O9" s="552"/>
      <c r="P9" s="541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>
      <c r="B10" s="29" t="s">
        <v>6</v>
      </c>
      <c r="C10" s="366" t="str">
        <f>[4]Brewhouse!$A305</f>
        <v>CA261</v>
      </c>
      <c r="D10" s="279">
        <f>[4]Brewhouse!$AF305</f>
        <v>50.3</v>
      </c>
      <c r="E10" s="279">
        <f>[4]Brewhouse!$AI305</f>
        <v>49.4</v>
      </c>
      <c r="F10" s="278">
        <f>[4]Brewhouse!$V305</f>
        <v>61</v>
      </c>
      <c r="G10" s="279">
        <f>[4]Brewhouse!AG305</f>
        <v>12</v>
      </c>
      <c r="H10" s="396">
        <v>12.3</v>
      </c>
      <c r="I10" s="368">
        <f>[4]Brewhouse!$AU305</f>
        <v>97.640321547589153</v>
      </c>
      <c r="J10" s="368">
        <f>[4]Brewhouse!$AV305</f>
        <v>99.00438035471646</v>
      </c>
      <c r="K10" s="281">
        <f>[4]Brewhouse!$Q305</f>
        <v>9.0942698706099847</v>
      </c>
      <c r="L10" s="276">
        <f>[4]Brewhouse!$P305</f>
        <v>61</v>
      </c>
      <c r="M10" s="397">
        <f>[4]Brewhouse!$U305-[4]Brewhouse!$T305</f>
        <v>0.10833333333333339</v>
      </c>
      <c r="N10" s="370">
        <f>[4]Brewhouse!$Z305</f>
        <v>0.47083333333333344</v>
      </c>
      <c r="O10" s="420" t="str">
        <f>[4]Brewhouse!$AX305</f>
        <v>R. Sookram</v>
      </c>
      <c r="P10" s="418" t="s">
        <v>179</v>
      </c>
      <c r="R10" s="277" t="str">
        <f t="shared" ref="R10:R42" si="0">B10</f>
        <v>CARIB</v>
      </c>
      <c r="S10" s="472">
        <f t="shared" ref="S10:S42" si="1">VLOOKUP($B10,$R$3:$X$9,2,FALSE)</f>
        <v>11.6</v>
      </c>
      <c r="T10" s="472">
        <f t="shared" ref="T10:T42" si="2">VLOOKUP($B10,$R$3:$X$9,3,FALSE)</f>
        <v>12</v>
      </c>
      <c r="U10" s="297">
        <f t="shared" ref="U10:U42" si="3">VLOOKUP($B10,$R$3:$X$9,4,FALSE)</f>
        <v>0</v>
      </c>
      <c r="V10" s="297">
        <f t="shared" ref="V10:V42" si="4">VLOOKUP($B10,$R$3:$X$9,5,FALSE)</f>
        <v>0.118055555555556</v>
      </c>
      <c r="W10" s="297">
        <f t="shared" ref="W10:W42" si="5">VLOOKUP($B10,$R$3:$X$9,6,FALSE)</f>
        <v>0.22569444444444445</v>
      </c>
      <c r="X10" s="297">
        <f t="shared" ref="X10:X42" si="6">VLOOKUP($B10,$R$3:$X$9,7,FALSE)</f>
        <v>0.2638888888888889</v>
      </c>
      <c r="Y10" s="297">
        <f t="shared" ref="Y10:Y42" si="7">VLOOKUP($B10,$R$3:$Z$9,8,FALSE)</f>
        <v>0</v>
      </c>
      <c r="Z10" s="472">
        <f t="shared" ref="Z10:Z42" si="8">VLOOKUP($B10,$R$3:$Z$9,9,FALSE)</f>
        <v>60</v>
      </c>
    </row>
    <row r="11" spans="2:29" ht="15">
      <c r="B11" s="29" t="s">
        <v>6</v>
      </c>
      <c r="C11" s="366" t="str">
        <f>[4]Brewhouse!$A306</f>
        <v>CA262</v>
      </c>
      <c r="D11" s="279">
        <f>[4]Brewhouse!$AF306</f>
        <v>51</v>
      </c>
      <c r="E11" s="279">
        <f>[4]Brewhouse!$AI306</f>
        <v>51.3</v>
      </c>
      <c r="F11" s="278">
        <f>[4]Brewhouse!$V306</f>
        <v>64</v>
      </c>
      <c r="G11" s="279">
        <f>[4]Brewhouse!AG306</f>
        <v>11.7</v>
      </c>
      <c r="H11" s="396">
        <v>12.2</v>
      </c>
      <c r="I11" s="368">
        <f>[4]Brewhouse!$AU306</f>
        <v>98.731659046513386</v>
      </c>
      <c r="J11" s="368">
        <f>[4]Brewhouse!$AV306</f>
        <v>100.11096410133182</v>
      </c>
      <c r="K11" s="281">
        <f>[4]Brewhouse!$Q306</f>
        <v>9.4639556377079437</v>
      </c>
      <c r="L11" s="276">
        <f>[4]Brewhouse!$P306</f>
        <v>61</v>
      </c>
      <c r="M11" s="397">
        <f>[4]Brewhouse!$U306-[4]Brewhouse!$T306</f>
        <v>0.11111111111111105</v>
      </c>
      <c r="N11" s="370">
        <f>[4]Brewhouse!$Z306</f>
        <v>0.26666666666666661</v>
      </c>
      <c r="O11" s="420" t="str">
        <f>[4]Brewhouse!$AX306</f>
        <v>D. Gomaz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>
      <c r="B12" s="29" t="s">
        <v>6</v>
      </c>
      <c r="C12" s="366" t="str">
        <f>[4]Brewhouse!$A307</f>
        <v>CA263</v>
      </c>
      <c r="D12" s="279">
        <f>[4]Brewhouse!$AF307</f>
        <v>52.1</v>
      </c>
      <c r="E12" s="279">
        <f>[4]Brewhouse!$AI307</f>
        <v>52.5</v>
      </c>
      <c r="F12" s="278">
        <f>[4]Brewhouse!$V307</f>
        <v>62</v>
      </c>
      <c r="G12" s="279">
        <f>[4]Brewhouse!AG307</f>
        <v>11.6</v>
      </c>
      <c r="H12" s="396">
        <v>11.7</v>
      </c>
      <c r="I12" s="368">
        <f>[4]Brewhouse!$AU307</f>
        <v>100.63051286939478</v>
      </c>
      <c r="J12" s="368">
        <f>[4]Brewhouse!$AV307</f>
        <v>102.03597546995495</v>
      </c>
      <c r="K12" s="281">
        <f>[4]Brewhouse!$Q307</f>
        <v>8.1700554528650677</v>
      </c>
      <c r="L12" s="276">
        <f>[4]Brewhouse!$P307</f>
        <v>61</v>
      </c>
      <c r="M12" s="397">
        <f>[4]Brewhouse!$U307-[4]Brewhouse!$T307</f>
        <v>0.10833333333333328</v>
      </c>
      <c r="N12" s="370">
        <f>[4]Brewhouse!$Z307</f>
        <v>0.26111111111111107</v>
      </c>
      <c r="O12" s="420" t="str">
        <f>[4]Brewhouse!$AX307</f>
        <v>D. Gomaz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>
      <c r="B13" s="29" t="s">
        <v>6</v>
      </c>
      <c r="C13" s="366" t="str">
        <f>[4]Brewhouse!$A308</f>
        <v>CA264</v>
      </c>
      <c r="D13" s="279">
        <f>[4]Brewhouse!$AF308</f>
        <v>51.2</v>
      </c>
      <c r="E13" s="279">
        <f>[4]Brewhouse!$AI308</f>
        <v>50</v>
      </c>
      <c r="F13" s="278">
        <f>[4]Brewhouse!$V308</f>
        <v>57</v>
      </c>
      <c r="G13" s="279">
        <f>[4]Brewhouse!AG308</f>
        <v>11.7</v>
      </c>
      <c r="H13" s="396">
        <v>11.7</v>
      </c>
      <c r="I13" s="368">
        <f>[4]Brewhouse!$AU308</f>
        <v>96.708405814293428</v>
      </c>
      <c r="J13" s="368">
        <f>[4]Brewhouse!$AV308</f>
        <v>98.059090051669742</v>
      </c>
      <c r="K13" s="281">
        <f>[4]Brewhouse!$Q308</f>
        <v>8.3847549909255843</v>
      </c>
      <c r="L13" s="276">
        <f>[4]Brewhouse!$P308</f>
        <v>60</v>
      </c>
      <c r="M13" s="397">
        <f>[4]Brewhouse!$U308-[4]Brewhouse!$T308</f>
        <v>0.10694444444444451</v>
      </c>
      <c r="N13" s="370">
        <f>[4]Brewhouse!$Z308</f>
        <v>0.26944444444444449</v>
      </c>
      <c r="O13" s="420" t="str">
        <f>[4]Brewhouse!$AX308</f>
        <v>R. Regis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>
      <c r="B14" s="29" t="s">
        <v>6</v>
      </c>
      <c r="C14" s="366" t="str">
        <f>[4]Brewhouse!$A309</f>
        <v>CA265</v>
      </c>
      <c r="D14" s="279">
        <f>[4]Brewhouse!$AF309</f>
        <v>48.6</v>
      </c>
      <c r="E14" s="279">
        <f>[4]Brewhouse!$AI309</f>
        <v>49.1</v>
      </c>
      <c r="F14" s="278">
        <f>[4]Brewhouse!$V309</f>
        <v>59</v>
      </c>
      <c r="G14" s="279">
        <f>[4]Brewhouse!AG309</f>
        <v>12.1</v>
      </c>
      <c r="H14" s="396">
        <v>12.2</v>
      </c>
      <c r="I14" s="368">
        <f>[4]Brewhouse!$AU309</f>
        <v>98.262108477392388</v>
      </c>
      <c r="J14" s="368">
        <f>[4]Brewhouse!$AV309</f>
        <v>99.634583238684542</v>
      </c>
      <c r="K14" s="281">
        <f>[4]Brewhouse!$Q309</f>
        <v>11.497227356746762</v>
      </c>
      <c r="L14" s="276">
        <f>[4]Brewhouse!$P309</f>
        <v>61</v>
      </c>
      <c r="M14" s="397">
        <f>[4]Brewhouse!$U309-[4]Brewhouse!$T309</f>
        <v>0.11111111111111116</v>
      </c>
      <c r="N14" s="370">
        <f>[4]Brewhouse!$Z309</f>
        <v>0.2548611111111112</v>
      </c>
      <c r="O14" s="420" t="str">
        <f>[4]Brewhouse!$AX309</f>
        <v>R. Regis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>
      <c r="B15" s="29" t="s">
        <v>6</v>
      </c>
      <c r="C15" s="366" t="str">
        <f>[4]Brewhouse!$A310</f>
        <v>CA266</v>
      </c>
      <c r="D15" s="279">
        <f>[4]Brewhouse!$AF310</f>
        <v>51.2</v>
      </c>
      <c r="E15" s="279">
        <f>[4]Brewhouse!$AI310</f>
        <v>51.3</v>
      </c>
      <c r="F15" s="278">
        <f>[4]Brewhouse!$V310</f>
        <v>62</v>
      </c>
      <c r="G15" s="279">
        <f>[4]Brewhouse!AG310</f>
        <v>11.9</v>
      </c>
      <c r="H15" s="396">
        <v>11.9</v>
      </c>
      <c r="I15" s="368">
        <f>[4]Brewhouse!$AU310</f>
        <v>100.88223340232045</v>
      </c>
      <c r="J15" s="368">
        <f>[4]Brewhouse!$AV310</f>
        <v>102.29130472546764</v>
      </c>
      <c r="K15" s="281">
        <f>[4]Brewhouse!$Q310</f>
        <v>9.8336414048059151</v>
      </c>
      <c r="L15" s="276">
        <f>[4]Brewhouse!$P310</f>
        <v>60</v>
      </c>
      <c r="M15" s="397">
        <f>[4]Brewhouse!$U310-[4]Brewhouse!$T310</f>
        <v>0.10972222222222228</v>
      </c>
      <c r="N15" s="370">
        <f>[4]Brewhouse!$Z310</f>
        <v>0.24652777777777779</v>
      </c>
      <c r="O15" s="420" t="str">
        <f>[4]Brewhouse!$AX310</f>
        <v>R. Regis</v>
      </c>
      <c r="P15" s="418"/>
      <c r="R15" s="277" t="str">
        <f t="shared" ref="R15:R29" si="9">B15</f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420"/>
      <c r="P16" s="418"/>
      <c r="R16" s="277">
        <f t="shared" si="9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6" ht="15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420"/>
      <c r="P17" s="418"/>
      <c r="R17" s="277">
        <f t="shared" si="9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6" ht="15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5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5" hidden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5" hidden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0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5" hidden="1">
      <c r="B22" s="33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371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5" hidden="1">
      <c r="B23" s="33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371"/>
      <c r="P23" s="418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5" hidden="1">
      <c r="B24" s="33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74"/>
      <c r="N24" s="370"/>
      <c r="O24" s="371"/>
      <c r="P24" s="418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5" hidden="1">
      <c r="B25" s="34"/>
      <c r="C25" s="366"/>
      <c r="D25" s="279"/>
      <c r="E25" s="279"/>
      <c r="F25" s="278"/>
      <c r="G25" s="279"/>
      <c r="H25" s="396"/>
      <c r="I25" s="484"/>
      <c r="J25" s="484"/>
      <c r="K25" s="485"/>
      <c r="L25" s="276"/>
      <c r="M25" s="374"/>
      <c r="N25" s="370"/>
      <c r="O25" s="420"/>
      <c r="P25" s="418"/>
      <c r="R25" s="277">
        <f t="shared" si="9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5" hidden="1">
      <c r="B26" s="34"/>
      <c r="C26" s="366"/>
      <c r="D26" s="279"/>
      <c r="E26" s="279"/>
      <c r="F26" s="278"/>
      <c r="G26" s="279"/>
      <c r="H26" s="396"/>
      <c r="I26" s="484"/>
      <c r="J26" s="484"/>
      <c r="K26" s="485"/>
      <c r="L26" s="276"/>
      <c r="M26" s="374"/>
      <c r="N26" s="370"/>
      <c r="O26" s="420"/>
      <c r="P26" s="418"/>
      <c r="R26" s="277">
        <f t="shared" si="9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8" hidden="1" customHeight="1">
      <c r="B27" s="29"/>
      <c r="C27" s="366"/>
      <c r="D27" s="279"/>
      <c r="E27" s="279"/>
      <c r="F27" s="278"/>
      <c r="G27" s="279"/>
      <c r="H27" s="482"/>
      <c r="I27" s="368"/>
      <c r="J27" s="368"/>
      <c r="K27" s="281"/>
      <c r="L27" s="276"/>
      <c r="M27" s="374"/>
      <c r="N27" s="370"/>
      <c r="O27" s="371"/>
      <c r="P27" s="418"/>
      <c r="R27" s="277">
        <f t="shared" si="9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6.5" hidden="1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371"/>
      <c r="P28" s="418"/>
      <c r="R28" s="277">
        <f t="shared" si="9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5.75" customHeight="1" thickBot="1">
      <c r="B29" s="358"/>
      <c r="C29" s="358"/>
      <c r="D29" s="358"/>
      <c r="E29" s="358"/>
      <c r="F29" s="294"/>
      <c r="G29" s="294"/>
      <c r="H29" s="348"/>
      <c r="I29" s="533"/>
      <c r="J29" s="533"/>
      <c r="K29" s="533"/>
      <c r="L29" s="533"/>
      <c r="M29" s="533"/>
      <c r="N29" s="533"/>
      <c r="O29" s="1"/>
      <c r="P29" s="12"/>
      <c r="R29" s="277">
        <f t="shared" si="9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5.75" customHeight="1" thickBot="1">
      <c r="B30" s="388" t="s">
        <v>162</v>
      </c>
      <c r="C30" s="388"/>
      <c r="D30" s="534" t="s">
        <v>35</v>
      </c>
      <c r="E30" s="535"/>
      <c r="F30" s="294"/>
      <c r="G30" s="294"/>
      <c r="H30" s="348"/>
      <c r="I30" s="24" t="s">
        <v>17</v>
      </c>
      <c r="J30" s="25"/>
      <c r="K30" s="26" t="s">
        <v>138</v>
      </c>
      <c r="L30" s="25" t="s">
        <v>37</v>
      </c>
      <c r="M30" s="25" t="s">
        <v>38</v>
      </c>
      <c r="N30" s="27" t="s">
        <v>39</v>
      </c>
      <c r="O30" s="294"/>
      <c r="P30" s="12"/>
      <c r="R30" s="277" t="str">
        <f t="shared" si="0"/>
        <v xml:space="preserve">BRAND 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5" customHeight="1">
      <c r="A31" s="28"/>
      <c r="B31" s="519"/>
      <c r="C31" s="362"/>
      <c r="D31" s="537"/>
      <c r="E31" s="538"/>
      <c r="F31" s="294"/>
      <c r="G31" s="294"/>
      <c r="H31" s="348"/>
      <c r="I31" s="29" t="s">
        <v>6</v>
      </c>
      <c r="J31" s="323">
        <f>AVERAGE(I10:I15)</f>
        <v>98.809206859583938</v>
      </c>
      <c r="K31" s="284">
        <f>COUNTA([4]Brewhouse!$B$292:$B$310)</f>
        <v>19</v>
      </c>
      <c r="L31" s="305">
        <f>AVERAGE([4]Brewhouse!$AU$292:$AU$310)</f>
        <v>98.494595819433158</v>
      </c>
      <c r="M31" s="305">
        <f>AVERAGE([4]Brewhouse!$AU$42:$AU$123,[4]Brewhouse!$AU$125:$AU$188,[4]Brewhouse!$AU$198:$AU$290,[4]Brewhouse!$AU$292:$AU$310)</f>
        <v>97.921450800093666</v>
      </c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5" customHeight="1">
      <c r="A32" s="28"/>
      <c r="B32" s="520"/>
      <c r="C32" s="362"/>
      <c r="D32" s="539"/>
      <c r="E32" s="525"/>
      <c r="F32" s="294"/>
      <c r="G32" s="294"/>
      <c r="H32" s="348"/>
      <c r="I32" s="33" t="s">
        <v>9</v>
      </c>
      <c r="J32" s="280"/>
      <c r="K32" s="284">
        <f>COUNTA([3]Brewhouse!$A$179:$A$188)</f>
        <v>10</v>
      </c>
      <c r="L32" s="302">
        <f>AVERAGE([3]Brewhouse!$AS$179:$AS$188)</f>
        <v>99.469070748479979</v>
      </c>
      <c r="M32" s="302">
        <f>AVERAGE([3]Brewhouse!$AS$52:$AS$81,[3]Brewhouse!$AS$83:$AS$124,[3]Brewhouse!$AS$134:$AS$177,[3]Brewhouse!$AS$179:$AS$188)</f>
        <v>98.513567207666924</v>
      </c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27" ht="14.65" customHeight="1">
      <c r="A33" s="28"/>
      <c r="B33" s="520"/>
      <c r="C33" s="362"/>
      <c r="D33" s="529"/>
      <c r="E33" s="530"/>
      <c r="F33" s="294"/>
      <c r="G33" s="294"/>
      <c r="H33" s="348"/>
      <c r="I33" s="34" t="s">
        <v>12</v>
      </c>
      <c r="J33" s="280"/>
      <c r="K33" s="284">
        <f>COUNTA([5]Brewhouse!$A$43:$A$50)</f>
        <v>8</v>
      </c>
      <c r="L33" s="302">
        <f>AVERAGE([5]Brewhouse!$AU$43:$AU$50)</f>
        <v>96.223405821152667</v>
      </c>
      <c r="M33" s="302">
        <f>AVERAGE([5]Brewhouse!$AU$16:$AU$23,[5]Brewhouse!$AU$25:$AU$32,[5]Brewhouse!$AU$34:$AU$41,[5]Brewhouse!$AU$43:$AU$50)</f>
        <v>96.904441824349703</v>
      </c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27" ht="14.65" customHeight="1">
      <c r="A34" s="28"/>
      <c r="B34" s="520"/>
      <c r="C34" s="362"/>
      <c r="D34" s="524"/>
      <c r="E34" s="525"/>
      <c r="F34" s="294"/>
      <c r="G34" s="294"/>
      <c r="H34" s="348"/>
      <c r="I34" s="22" t="s">
        <v>33</v>
      </c>
      <c r="J34" s="280"/>
      <c r="K34" s="284"/>
      <c r="L34" s="302"/>
      <c r="M34" s="302">
        <f>AVERAGE([6]Brewhouse!$AV$23:$AV$34,[6]Brewhouse!$AV$36,[6]Brewhouse!$AV$38:$AV$52)</f>
        <v>97.639832259312456</v>
      </c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27" ht="14.65" customHeight="1">
      <c r="A35" s="28"/>
      <c r="B35" s="520"/>
      <c r="C35" s="362"/>
      <c r="D35" s="529"/>
      <c r="E35" s="530"/>
      <c r="F35" s="417"/>
      <c r="G35" s="294"/>
      <c r="H35" s="348"/>
      <c r="I35" s="35" t="s">
        <v>29</v>
      </c>
      <c r="J35" s="280"/>
      <c r="K35" s="284"/>
      <c r="L35" s="302"/>
      <c r="M35" s="302"/>
      <c r="N35" s="3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</row>
    <row r="36" spans="1:27" ht="14.65" customHeight="1">
      <c r="A36" s="28"/>
      <c r="B36" s="520"/>
      <c r="C36" s="362"/>
      <c r="D36" s="524"/>
      <c r="E36" s="525"/>
      <c r="F36" s="417"/>
      <c r="G36" s="294"/>
      <c r="H36" s="348"/>
      <c r="I36" s="36" t="s">
        <v>15</v>
      </c>
      <c r="J36" s="323"/>
      <c r="K36" s="284"/>
      <c r="L36" s="302"/>
      <c r="M36" s="302">
        <f>AVERAGE([7]Brewhouse!$AT$4:$AT$11)</f>
        <v>92.826224508052405</v>
      </c>
      <c r="N36" s="3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</row>
    <row r="37" spans="1:27" ht="14.65" customHeight="1">
      <c r="A37" s="28"/>
      <c r="B37" s="520"/>
      <c r="C37" s="362"/>
      <c r="D37" s="529"/>
      <c r="E37" s="530"/>
      <c r="F37" s="417"/>
      <c r="G37" s="294"/>
      <c r="H37" s="348"/>
      <c r="I37" s="37" t="s">
        <v>16</v>
      </c>
      <c r="J37" s="323"/>
      <c r="K37" s="284"/>
      <c r="L37" s="302"/>
      <c r="M37" s="302">
        <f>AVERAGE([8]Brewhouse!$AY$5:$AY$14,[8]Brewhouse!$AY$16:$AY$23,[8]Brewhouse!$AY$42)</f>
        <v>97.390503559857137</v>
      </c>
      <c r="N37" s="30">
        <v>98</v>
      </c>
      <c r="O37" s="11"/>
      <c r="P37" s="31" t="s">
        <v>41</v>
      </c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</row>
    <row r="38" spans="1:27" ht="14.65" customHeight="1">
      <c r="A38" s="28"/>
      <c r="B38" s="520"/>
      <c r="C38" s="362"/>
      <c r="D38" s="524"/>
      <c r="E38" s="525"/>
      <c r="F38" s="294"/>
      <c r="G38" s="294"/>
      <c r="H38" s="348"/>
      <c r="I38" s="411" t="s">
        <v>158</v>
      </c>
      <c r="J38" s="326"/>
      <c r="K38" s="284"/>
      <c r="L38" s="305"/>
      <c r="M38" s="305"/>
      <c r="N38" s="30">
        <v>98</v>
      </c>
      <c r="O38" s="11"/>
      <c r="P38" s="31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</row>
    <row r="39" spans="1:27" ht="14.65" customHeight="1">
      <c r="A39" s="28"/>
      <c r="B39" s="520"/>
      <c r="C39" s="349"/>
      <c r="D39" s="529"/>
      <c r="E39" s="530"/>
      <c r="F39" s="294"/>
      <c r="G39" s="294"/>
      <c r="H39" s="348"/>
      <c r="I39" s="410" t="s">
        <v>157</v>
      </c>
      <c r="J39" s="326"/>
      <c r="K39" s="284"/>
      <c r="L39" s="305"/>
      <c r="M39" s="305"/>
      <c r="N39" s="30">
        <v>98</v>
      </c>
      <c r="O39" s="11"/>
      <c r="P39" s="31"/>
      <c r="R39" s="277">
        <f t="shared" si="0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  <c r="AA39" s="472"/>
    </row>
    <row r="40" spans="1:27" ht="15" customHeight="1" thickBot="1">
      <c r="A40" s="28"/>
      <c r="B40" s="520"/>
      <c r="C40" s="349"/>
      <c r="D40" s="524"/>
      <c r="E40" s="525"/>
      <c r="F40" s="294"/>
      <c r="G40" s="294"/>
      <c r="H40" s="348"/>
      <c r="I40" s="406" t="s">
        <v>156</v>
      </c>
      <c r="J40" s="327"/>
      <c r="K40" s="407"/>
      <c r="L40" s="408"/>
      <c r="M40" s="408"/>
      <c r="N40" s="409">
        <v>98</v>
      </c>
      <c r="O40" s="11"/>
      <c r="P40" s="31"/>
      <c r="R40" s="277">
        <f t="shared" si="0"/>
        <v>0</v>
      </c>
      <c r="S40" s="472" t="e">
        <f t="shared" si="1"/>
        <v>#N/A</v>
      </c>
      <c r="T40" s="472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2" t="e">
        <f t="shared" si="8"/>
        <v>#N/A</v>
      </c>
      <c r="AA40" s="472"/>
    </row>
    <row r="41" spans="1:27" ht="15" customHeight="1" thickBot="1">
      <c r="A41" s="28"/>
      <c r="B41" s="520"/>
      <c r="C41" s="349"/>
      <c r="D41" s="537"/>
      <c r="E41" s="538"/>
      <c r="F41" s="294"/>
      <c r="G41" s="294"/>
      <c r="H41" s="348"/>
      <c r="I41" s="1"/>
      <c r="J41" s="39"/>
      <c r="K41" s="404">
        <f>SUM(K31:K40)</f>
        <v>37</v>
      </c>
      <c r="L41" s="405">
        <f>((L31*K31)+(L32*K32)+(L33*K33)+(L34*K34)+(L35*K35)+(K38*L38)+(L36*K36)+(L37*K37)+(L40*K40))/(K41)</f>
        <v>98.266899314141909</v>
      </c>
      <c r="M41" s="405">
        <f>AVERAGE('[9]Jan30th-31st'!$L$42,L41)</f>
        <v>98.047470524991695</v>
      </c>
      <c r="N41" s="40">
        <v>98</v>
      </c>
      <c r="O41" s="11"/>
      <c r="P41" s="31"/>
      <c r="R41" s="277">
        <f t="shared" si="0"/>
        <v>0</v>
      </c>
      <c r="S41" s="472" t="e">
        <f t="shared" si="1"/>
        <v>#N/A</v>
      </c>
      <c r="T41" s="472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472" t="e">
        <f t="shared" si="8"/>
        <v>#N/A</v>
      </c>
      <c r="AA41" s="472"/>
    </row>
    <row r="42" spans="1:27" ht="15.75" thickBot="1">
      <c r="B42" s="536"/>
      <c r="C42" s="350"/>
      <c r="D42" s="539"/>
      <c r="E42" s="525"/>
      <c r="F42" s="294"/>
      <c r="G42" s="42"/>
      <c r="H42" s="41"/>
      <c r="I42" s="42"/>
      <c r="J42" s="42"/>
      <c r="K42" s="351"/>
      <c r="L42" s="348"/>
      <c r="M42" s="348"/>
      <c r="N42" s="11"/>
      <c r="O42" s="294"/>
      <c r="P42" s="12"/>
      <c r="R42" s="277">
        <f t="shared" si="0"/>
        <v>0</v>
      </c>
      <c r="S42" s="472" t="e">
        <f t="shared" si="1"/>
        <v>#N/A</v>
      </c>
      <c r="T42" s="472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472" t="e">
        <f t="shared" si="8"/>
        <v>#N/A</v>
      </c>
      <c r="AA42" s="472"/>
    </row>
    <row r="43" spans="1:27" ht="15.75" thickBot="1">
      <c r="B43" s="519"/>
      <c r="C43" s="362"/>
      <c r="D43" s="522"/>
      <c r="E43" s="523"/>
      <c r="F43" s="294"/>
      <c r="G43" s="42"/>
      <c r="H43" s="41"/>
      <c r="I43" s="42"/>
      <c r="J43" s="526" t="s">
        <v>129</v>
      </c>
      <c r="K43" s="526"/>
      <c r="L43" s="294"/>
      <c r="M43" s="294"/>
      <c r="N43" s="294"/>
      <c r="O43" s="294"/>
      <c r="P43" s="12"/>
    </row>
    <row r="44" spans="1:27" ht="15.75" thickBot="1">
      <c r="B44" s="520"/>
      <c r="C44" s="362"/>
      <c r="D44" s="524"/>
      <c r="E44" s="525"/>
      <c r="F44" s="294"/>
      <c r="G44" s="42"/>
      <c r="H44" s="42"/>
      <c r="I44" s="42"/>
      <c r="J44" s="292" t="s">
        <v>17</v>
      </c>
      <c r="K44" s="293" t="s">
        <v>172</v>
      </c>
      <c r="L44" s="527" t="s">
        <v>136</v>
      </c>
      <c r="M44" s="527"/>
      <c r="N44" s="528"/>
      <c r="O44" s="294"/>
      <c r="P44" s="12"/>
    </row>
    <row r="45" spans="1:27" ht="15" customHeight="1" thickBot="1">
      <c r="B45" s="520"/>
      <c r="C45" s="349"/>
      <c r="D45" s="529"/>
      <c r="E45" s="530"/>
      <c r="F45" s="294"/>
      <c r="G45" s="42"/>
      <c r="H45" s="42"/>
      <c r="I45" s="42"/>
      <c r="J45" s="287" t="s">
        <v>6</v>
      </c>
      <c r="K45" s="324">
        <v>6</v>
      </c>
      <c r="L45" s="473" t="s">
        <v>37</v>
      </c>
      <c r="M45" s="474" t="s">
        <v>38</v>
      </c>
      <c r="N45" s="474" t="s">
        <v>84</v>
      </c>
      <c r="O45" s="294"/>
      <c r="P45" s="12"/>
    </row>
    <row r="46" spans="1:27" ht="15.75" customHeight="1" thickBot="1">
      <c r="B46" s="520"/>
      <c r="C46" s="349"/>
      <c r="D46" s="524"/>
      <c r="E46" s="525"/>
      <c r="F46" s="294"/>
      <c r="G46" s="42"/>
      <c r="H46" s="42"/>
      <c r="I46" s="42"/>
      <c r="J46" s="345" t="s">
        <v>9</v>
      </c>
      <c r="K46" s="324"/>
      <c r="L46" s="344">
        <f>AVERAGE('Apr 1st'!K50,K55,'Apr 2nd'!K48,'Apr 7th'!K50,'Apr 8th'!K50,'Apr 9th '!K58)</f>
        <v>6.166666666666667</v>
      </c>
      <c r="M46" s="325">
        <f>AVERAGE('[9]Jan30th-31st'!$L$47,L46,'[10]Feb 26th '!$L$39,'[11]Mar 31st'!$L$47)</f>
        <v>6.3384057971014496</v>
      </c>
      <c r="N46" s="416">
        <v>9.1999999999999993</v>
      </c>
      <c r="O46" s="294"/>
      <c r="P46" s="12"/>
    </row>
    <row r="47" spans="1:27" ht="15" customHeight="1">
      <c r="B47" s="520"/>
      <c r="C47" s="349"/>
      <c r="D47" s="529"/>
      <c r="E47" s="530"/>
      <c r="F47" s="294"/>
      <c r="G47" s="42"/>
      <c r="H47" s="42"/>
      <c r="I47" s="42"/>
      <c r="J47" s="288" t="s">
        <v>40</v>
      </c>
      <c r="K47" s="324"/>
      <c r="L47" s="294"/>
      <c r="M47" s="294"/>
      <c r="N47" s="294"/>
      <c r="O47" s="294"/>
      <c r="P47" s="12"/>
    </row>
    <row r="48" spans="1:27" ht="15" customHeight="1">
      <c r="B48" s="520"/>
      <c r="C48" s="349"/>
      <c r="D48" s="524"/>
      <c r="E48" s="525"/>
      <c r="F48" s="294"/>
      <c r="G48" s="42"/>
      <c r="H48" s="42"/>
      <c r="I48" s="42"/>
      <c r="J48" s="289" t="s">
        <v>33</v>
      </c>
      <c r="K48" s="324"/>
      <c r="L48" s="294"/>
      <c r="M48" s="294"/>
      <c r="N48" s="294"/>
      <c r="O48" s="294"/>
      <c r="P48" s="12"/>
    </row>
    <row r="49" spans="1:57" ht="15">
      <c r="B49" s="520"/>
      <c r="C49" s="349"/>
      <c r="D49" s="529"/>
      <c r="E49" s="530"/>
      <c r="F49" s="294"/>
      <c r="G49" s="42"/>
      <c r="H49" s="42"/>
      <c r="I49" s="42"/>
      <c r="J49" s="290" t="s">
        <v>16</v>
      </c>
      <c r="K49" s="324"/>
      <c r="L49" s="294"/>
      <c r="M49" s="294"/>
      <c r="N49" s="294"/>
      <c r="O49" s="294"/>
      <c r="P49" s="12"/>
      <c r="BC49" s="44"/>
      <c r="BD49" s="44"/>
    </row>
    <row r="50" spans="1:57" ht="15">
      <c r="B50" s="520"/>
      <c r="C50" s="349"/>
      <c r="D50" s="524"/>
      <c r="E50" s="525"/>
      <c r="F50" s="294"/>
      <c r="G50" s="42"/>
      <c r="H50" s="42"/>
      <c r="I50" s="42"/>
      <c r="J50" s="291" t="s">
        <v>15</v>
      </c>
      <c r="K50" s="324"/>
      <c r="L50" s="294"/>
      <c r="M50" s="294"/>
      <c r="N50" s="294"/>
      <c r="O50" s="294"/>
      <c r="P50" s="12"/>
      <c r="BC50" s="44"/>
      <c r="BD50" s="44"/>
    </row>
    <row r="51" spans="1:57" ht="15">
      <c r="B51" s="520"/>
      <c r="C51" s="349"/>
      <c r="D51" s="529"/>
      <c r="E51" s="530"/>
      <c r="F51" s="294"/>
      <c r="G51" s="42"/>
      <c r="H51" s="42"/>
      <c r="I51" s="42"/>
      <c r="J51" s="291" t="s">
        <v>149</v>
      </c>
      <c r="K51" s="324"/>
      <c r="L51" s="294"/>
      <c r="M51" s="294"/>
      <c r="N51" s="294"/>
      <c r="O51" s="294"/>
      <c r="P51" s="12"/>
      <c r="BC51" s="44"/>
      <c r="BD51" s="44"/>
    </row>
    <row r="52" spans="1:57" ht="15.75" thickBot="1">
      <c r="B52" s="521"/>
      <c r="C52" s="350"/>
      <c r="D52" s="531"/>
      <c r="E52" s="532"/>
      <c r="F52" s="294" t="s">
        <v>166</v>
      </c>
      <c r="G52" s="42"/>
      <c r="H52" s="42"/>
      <c r="I52" s="42"/>
      <c r="J52" s="291" t="s">
        <v>148</v>
      </c>
      <c r="K52" s="324"/>
      <c r="L52" s="294"/>
      <c r="M52" s="294"/>
      <c r="N52" s="294" t="s">
        <v>41</v>
      </c>
      <c r="O52" s="294"/>
      <c r="P52" s="12"/>
      <c r="BC52" s="44"/>
      <c r="BD52" s="44"/>
    </row>
    <row r="53" spans="1:57" ht="17.649999999999999" customHeight="1" thickBot="1">
      <c r="B53" s="312" t="s">
        <v>139</v>
      </c>
      <c r="C53" s="313"/>
      <c r="D53" s="512"/>
      <c r="E53" s="513"/>
      <c r="F53" s="294"/>
      <c r="J53" s="295" t="s">
        <v>134</v>
      </c>
      <c r="K53" s="324"/>
      <c r="L53" s="294"/>
      <c r="M53" s="294"/>
      <c r="N53" s="294"/>
      <c r="O53" s="294"/>
      <c r="P53" s="12"/>
      <c r="BC53" s="44"/>
      <c r="BD53" s="44"/>
    </row>
    <row r="54" spans="1:57" ht="17.649999999999999" customHeight="1">
      <c r="B54" s="363"/>
      <c r="C54" s="364"/>
      <c r="D54" s="365"/>
      <c r="E54" s="365"/>
      <c r="F54" s="294"/>
      <c r="G54" s="42"/>
      <c r="H54" s="42"/>
      <c r="I54" s="42"/>
      <c r="J54" s="295" t="s">
        <v>131</v>
      </c>
      <c r="K54" s="324"/>
      <c r="L54" s="294"/>
      <c r="M54" s="294"/>
      <c r="N54" s="294"/>
      <c r="O54" s="294"/>
      <c r="P54" s="12"/>
      <c r="BC54" s="44"/>
      <c r="BD54" s="44"/>
    </row>
    <row r="55" spans="1:57" ht="15.6" customHeight="1">
      <c r="B55" s="45"/>
      <c r="C55" s="11"/>
      <c r="D55" s="11"/>
      <c r="E55" s="46"/>
      <c r="F55" s="294"/>
      <c r="G55" s="42"/>
      <c r="H55" s="42"/>
      <c r="I55" s="42"/>
      <c r="J55" s="346" t="s">
        <v>130</v>
      </c>
      <c r="K55" s="324">
        <f>SUM(K45:K54)</f>
        <v>6</v>
      </c>
      <c r="L55" s="294"/>
      <c r="M55" s="294"/>
      <c r="N55" s="294"/>
      <c r="O55" s="294"/>
      <c r="P55" s="12"/>
    </row>
    <row r="56" spans="1:57" ht="20.25" customHeight="1">
      <c r="B56" s="15" t="s">
        <v>42</v>
      </c>
      <c r="C56" s="1" t="s">
        <v>43</v>
      </c>
      <c r="D56" s="1"/>
      <c r="E56" s="1"/>
      <c r="F56" s="294"/>
      <c r="G56" s="42"/>
      <c r="H56" s="41"/>
      <c r="I56" s="42"/>
      <c r="L56" s="294"/>
      <c r="N56" s="315"/>
      <c r="P56" s="334"/>
    </row>
    <row r="57" spans="1:57" ht="15" customHeight="1" thickBot="1"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1"/>
      <c r="O57" s="48"/>
      <c r="P57" s="49"/>
    </row>
    <row r="58" spans="1:57" ht="15" customHeight="1" thickBot="1">
      <c r="B58" s="504" t="s">
        <v>17</v>
      </c>
      <c r="C58" s="504" t="s">
        <v>44</v>
      </c>
      <c r="D58" s="515" t="s">
        <v>45</v>
      </c>
      <c r="E58" s="517" t="s">
        <v>46</v>
      </c>
      <c r="F58" s="510" t="s">
        <v>47</v>
      </c>
      <c r="G58" s="502" t="s">
        <v>48</v>
      </c>
      <c r="H58" s="504" t="s">
        <v>49</v>
      </c>
      <c r="I58" s="504" t="s">
        <v>50</v>
      </c>
      <c r="J58" s="496" t="s">
        <v>28</v>
      </c>
      <c r="K58" s="506" t="s">
        <v>51</v>
      </c>
      <c r="L58" s="508" t="s">
        <v>52</v>
      </c>
      <c r="M58" s="496" t="s">
        <v>53</v>
      </c>
      <c r="N58" s="13"/>
      <c r="O58" s="13"/>
      <c r="P58" s="50"/>
    </row>
    <row r="59" spans="1:57" ht="28.5" customHeight="1" thickTop="1" thickBot="1">
      <c r="B59" s="505"/>
      <c r="C59" s="514"/>
      <c r="D59" s="516"/>
      <c r="E59" s="518"/>
      <c r="F59" s="511"/>
      <c r="G59" s="503"/>
      <c r="H59" s="505"/>
      <c r="I59" s="505"/>
      <c r="J59" s="497"/>
      <c r="K59" s="507"/>
      <c r="L59" s="509"/>
      <c r="M59" s="497"/>
      <c r="N59" s="13"/>
      <c r="O59" s="13"/>
      <c r="P59" s="50"/>
      <c r="Q59" s="355"/>
      <c r="AB59" s="475">
        <v>43474</v>
      </c>
      <c r="AC59" s="475">
        <v>43475</v>
      </c>
      <c r="AD59" s="475">
        <v>43476</v>
      </c>
      <c r="AE59" s="475">
        <v>43477</v>
      </c>
      <c r="AF59" s="475">
        <v>43478</v>
      </c>
      <c r="AG59" s="475">
        <v>43479</v>
      </c>
      <c r="AH59" s="475">
        <v>43480</v>
      </c>
      <c r="AI59" s="475">
        <v>43481</v>
      </c>
      <c r="AJ59" s="475">
        <v>43482</v>
      </c>
      <c r="AK59" s="475">
        <v>43483</v>
      </c>
      <c r="AL59" s="475">
        <v>43484</v>
      </c>
      <c r="AM59" s="475">
        <v>43485</v>
      </c>
      <c r="AN59" s="475">
        <v>43486</v>
      </c>
      <c r="AO59" s="475">
        <v>43487</v>
      </c>
      <c r="AP59" s="475">
        <v>43488</v>
      </c>
      <c r="AQ59" s="475">
        <v>43489</v>
      </c>
      <c r="AR59" s="475">
        <v>43490</v>
      </c>
      <c r="AS59" s="475">
        <v>43491</v>
      </c>
      <c r="AT59" s="475">
        <v>43492</v>
      </c>
      <c r="AU59" s="475">
        <v>43493</v>
      </c>
      <c r="AV59" s="475">
        <v>43494</v>
      </c>
      <c r="AW59" s="475">
        <v>43495</v>
      </c>
      <c r="AX59" s="475">
        <v>43496</v>
      </c>
    </row>
    <row r="60" spans="1:57" s="54" customFormat="1" ht="36.75" customHeight="1" thickBot="1">
      <c r="B60" s="480" t="str">
        <f>J45</f>
        <v>CARIB</v>
      </c>
      <c r="C60" s="479">
        <v>46122</v>
      </c>
      <c r="D60" s="442">
        <f>[12]April_2026!$M$3</f>
        <v>287.39999999999998</v>
      </c>
      <c r="E60" s="443"/>
      <c r="F60" s="444">
        <f>SUM([33]CARIB!$L$34:$L$39)</f>
        <v>289.2</v>
      </c>
      <c r="G60" s="445">
        <f>[12]April_2026!$M$7</f>
        <v>264.60000000000002</v>
      </c>
      <c r="H60" s="458">
        <f>(D60-F60)/D60*100</f>
        <v>-0.62630480167015012</v>
      </c>
      <c r="I60" s="458">
        <f>((F60+E60)-G60)/(F60+E60)*100</f>
        <v>8.5062240663900308</v>
      </c>
      <c r="J60" s="448" t="s">
        <v>175</v>
      </c>
      <c r="K60" s="449">
        <f>[13]April_2026!$M$18</f>
        <v>0.46421052631578952</v>
      </c>
      <c r="L60" s="457">
        <f>(((D60+E60)-G60)/(D60+E60))*100</f>
        <v>7.9331941544885032</v>
      </c>
      <c r="M60" s="455" t="s">
        <v>178</v>
      </c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>
        <f>[14]January_2019!L5</f>
        <v>0</v>
      </c>
      <c r="AC60" s="57">
        <f>[14]January_2019!M5</f>
        <v>0</v>
      </c>
      <c r="AD60" s="57">
        <f>[14]January_2019!N5</f>
        <v>0</v>
      </c>
      <c r="AE60" s="57">
        <f>[14]January_2019!O5</f>
        <v>0</v>
      </c>
      <c r="AF60" s="57">
        <f>[14]January_2019!P5</f>
        <v>0</v>
      </c>
      <c r="AG60" s="57">
        <f>[14]January_2019!Q5</f>
        <v>0</v>
      </c>
      <c r="AH60" s="57">
        <f>[14]January_2019!R5</f>
        <v>0</v>
      </c>
      <c r="AI60" s="57">
        <f>[14]January_2019!S5</f>
        <v>0</v>
      </c>
      <c r="AJ60" s="57">
        <f>[14]January_2019!T5</f>
        <v>0</v>
      </c>
      <c r="AK60" s="57">
        <f>[14]January_2019!U5</f>
        <v>0</v>
      </c>
      <c r="AL60" s="57">
        <f>[14]January_2019!V5</f>
        <v>0</v>
      </c>
      <c r="AM60" s="57">
        <f>[14]January_2019!W5</f>
        <v>0</v>
      </c>
      <c r="AN60" s="57">
        <f>[14]January_2019!X5</f>
        <v>0</v>
      </c>
      <c r="AO60" s="57">
        <f>[14]January_2019!Y5</f>
        <v>0</v>
      </c>
      <c r="AP60" s="57">
        <f>[14]January_2019!Z5</f>
        <v>0</v>
      </c>
      <c r="AQ60" s="57">
        <f>[14]January_2019!AA5</f>
        <v>0</v>
      </c>
      <c r="AR60" s="57">
        <f>[14]January_2019!AB5</f>
        <v>0</v>
      </c>
      <c r="AS60" s="57">
        <f>[14]January_2019!AC5</f>
        <v>0</v>
      </c>
      <c r="AT60" s="57">
        <f>[14]January_2019!AD5</f>
        <v>0</v>
      </c>
      <c r="AU60" s="57">
        <f>[14]January_2019!AE5</f>
        <v>0</v>
      </c>
      <c r="AV60" s="57">
        <f>[14]January_2019!AF5</f>
        <v>0</v>
      </c>
      <c r="AW60" s="57">
        <f>[14]January_2019!AG5</f>
        <v>0</v>
      </c>
      <c r="AX60" s="277">
        <f>[14]January_2019!AH5</f>
        <v>0</v>
      </c>
      <c r="AY60" s="277"/>
      <c r="AZ60" s="277"/>
      <c r="BA60" s="277"/>
      <c r="BB60" s="277"/>
      <c r="BC60" s="277"/>
      <c r="BD60" s="277"/>
      <c r="BE60" s="277"/>
    </row>
    <row r="61" spans="1:57" s="54" customFormat="1" ht="14.25" customHeight="1" thickBot="1">
      <c r="B61" s="480"/>
      <c r="C61" s="479"/>
      <c r="D61" s="442"/>
      <c r="E61" s="443"/>
      <c r="F61" s="444"/>
      <c r="G61" s="445"/>
      <c r="H61" s="458"/>
      <c r="I61" s="458"/>
      <c r="J61" s="476"/>
      <c r="K61" s="44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>
        <f>[14]January_2019!L6</f>
        <v>0</v>
      </c>
      <c r="AC61" s="57">
        <f>[14]January_2019!M6</f>
        <v>0</v>
      </c>
      <c r="AD61" s="57">
        <f>[14]January_2019!N6</f>
        <v>0</v>
      </c>
      <c r="AE61" s="57">
        <f>[14]January_2019!O6</f>
        <v>0</v>
      </c>
      <c r="AF61" s="57">
        <f>[14]January_2019!P6</f>
        <v>0</v>
      </c>
      <c r="AG61" s="57">
        <f>[14]January_2019!Q6</f>
        <v>0</v>
      </c>
      <c r="AH61" s="57">
        <f>[14]January_2019!R6</f>
        <v>0</v>
      </c>
      <c r="AI61" s="57">
        <f>[14]January_2019!S6</f>
        <v>0</v>
      </c>
      <c r="AJ61" s="57">
        <f>[14]January_2019!T6</f>
        <v>0</v>
      </c>
      <c r="AK61" s="57">
        <f>[14]January_2019!U6</f>
        <v>0</v>
      </c>
      <c r="AL61" s="57">
        <f>[14]January_2019!V6</f>
        <v>0</v>
      </c>
      <c r="AM61" s="57">
        <f>[14]January_2019!W6</f>
        <v>0</v>
      </c>
      <c r="AN61" s="57">
        <f>[14]January_2019!X6</f>
        <v>0</v>
      </c>
      <c r="AO61" s="57">
        <f>[14]January_2019!Y6</f>
        <v>0</v>
      </c>
      <c r="AP61" s="57">
        <f>[14]January_2019!Z6</f>
        <v>0</v>
      </c>
      <c r="AQ61" s="57">
        <f>[14]January_2019!AA6</f>
        <v>0</v>
      </c>
      <c r="AR61" s="57">
        <f>[14]January_2019!AB6</f>
        <v>0</v>
      </c>
      <c r="AS61" s="57">
        <f>[14]January_2019!AC6</f>
        <v>0</v>
      </c>
      <c r="AT61" s="57">
        <f>[14]January_2019!AD6</f>
        <v>0</v>
      </c>
      <c r="AU61" s="57">
        <f>[14]January_2019!AE6</f>
        <v>0</v>
      </c>
      <c r="AV61" s="57">
        <f>[14]January_2019!AF6</f>
        <v>0</v>
      </c>
      <c r="AW61" s="57">
        <f>[14]January_2019!AG6</f>
        <v>0</v>
      </c>
      <c r="AX61" s="277">
        <f>[14]January_2019!AH6</f>
        <v>0</v>
      </c>
      <c r="AY61" s="277"/>
      <c r="AZ61" s="277"/>
      <c r="BA61" s="277"/>
      <c r="BB61" s="277"/>
      <c r="BC61" s="277"/>
      <c r="BD61" s="277"/>
      <c r="BE61" s="277"/>
    </row>
    <row r="62" spans="1:57" s="54" customFormat="1" ht="37.15" hidden="1" customHeight="1" thickBot="1">
      <c r="A62" s="54" t="s">
        <v>168</v>
      </c>
      <c r="B62" s="480"/>
      <c r="C62" s="479"/>
      <c r="D62" s="442"/>
      <c r="E62" s="443"/>
      <c r="F62" s="444"/>
      <c r="G62" s="445"/>
      <c r="H62" s="458"/>
      <c r="I62" s="458"/>
      <c r="J62" s="448"/>
      <c r="K62" s="449"/>
      <c r="L62" s="457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>
        <f>[14]January_2019!L7</f>
        <v>285.8</v>
      </c>
      <c r="AC62" s="57">
        <f>[14]January_2019!M7</f>
        <v>508.1</v>
      </c>
      <c r="AD62" s="57">
        <f>[14]January_2019!N7</f>
        <v>0</v>
      </c>
      <c r="AE62" s="57">
        <f>[14]January_2019!O7</f>
        <v>0</v>
      </c>
      <c r="AF62" s="57">
        <f>[14]January_2019!P7</f>
        <v>109.56666666666666</v>
      </c>
      <c r="AG62" s="57">
        <f>[14]January_2019!Q7</f>
        <v>297.64999999999998</v>
      </c>
      <c r="AH62" s="57">
        <f>[14]January_2019!R7</f>
        <v>122.3</v>
      </c>
      <c r="AI62" s="57">
        <f>[14]January_2019!S7</f>
        <v>0</v>
      </c>
      <c r="AJ62" s="57">
        <f>[14]January_2019!T7</f>
        <v>294.7</v>
      </c>
      <c r="AK62" s="57">
        <f>[14]January_2019!U7</f>
        <v>280.5</v>
      </c>
      <c r="AL62" s="57">
        <f>[14]January_2019!V7</f>
        <v>0</v>
      </c>
      <c r="AM62" s="57">
        <f>[14]January_2019!W7</f>
        <v>0</v>
      </c>
      <c r="AN62" s="57">
        <f>[14]January_2019!X7</f>
        <v>188.25</v>
      </c>
      <c r="AO62" s="57">
        <f>[14]January_2019!Y7</f>
        <v>295.7</v>
      </c>
      <c r="AP62" s="57">
        <f>[14]January_2019!Z7</f>
        <v>257.8</v>
      </c>
      <c r="AQ62" s="57">
        <f>[14]January_2019!AA7</f>
        <v>291.2</v>
      </c>
      <c r="AR62" s="57">
        <f>[14]January_2019!AB7</f>
        <v>187</v>
      </c>
      <c r="AS62" s="57">
        <f>[14]January_2019!AC7</f>
        <v>0</v>
      </c>
      <c r="AT62" s="57">
        <f>[14]January_2019!AD7</f>
        <v>0</v>
      </c>
      <c r="AU62" s="57">
        <f>[14]January_2019!AE7</f>
        <v>485.1</v>
      </c>
      <c r="AV62" s="57">
        <f>[14]January_2019!AF7</f>
        <v>171.55</v>
      </c>
      <c r="AW62" s="57">
        <f>[14]January_2019!AG7</f>
        <v>423.8</v>
      </c>
      <c r="AX62" s="277">
        <f>[14]January_2019!AH7</f>
        <v>0</v>
      </c>
      <c r="AY62" s="277"/>
      <c r="AZ62" s="277"/>
      <c r="BA62" s="277"/>
      <c r="BB62" s="277"/>
      <c r="BC62" s="277"/>
      <c r="BD62" s="277"/>
      <c r="BE62" s="277"/>
    </row>
    <row r="63" spans="1:57" s="54" customFormat="1" ht="19.5" hidden="1" customHeight="1" thickBot="1">
      <c r="B63" s="478"/>
      <c r="C63" s="430"/>
      <c r="D63" s="431"/>
      <c r="E63" s="432"/>
      <c r="F63" s="433"/>
      <c r="G63" s="434"/>
      <c r="H63" s="458"/>
      <c r="I63" s="458"/>
      <c r="J63" s="451"/>
      <c r="K63" s="436"/>
      <c r="L63" s="452"/>
      <c r="M63" s="421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1:57" s="54" customFormat="1" ht="38.450000000000003" hidden="1" customHeight="1" thickBot="1">
      <c r="B64" s="480"/>
      <c r="C64" s="479"/>
      <c r="D64" s="442"/>
      <c r="E64" s="443"/>
      <c r="F64" s="444"/>
      <c r="G64" s="445"/>
      <c r="H64" s="458"/>
      <c r="I64" s="458"/>
      <c r="J64" s="448" t="s">
        <v>171</v>
      </c>
      <c r="K64" s="459"/>
      <c r="L64" s="457" t="e">
        <f>(((D64+E64)-G64)/(D64+E64))*100</f>
        <v>#DIV/0!</v>
      </c>
      <c r="M64" s="455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15" hidden="1">
      <c r="B65" s="453"/>
      <c r="C65" s="430"/>
      <c r="D65" s="431"/>
      <c r="E65" s="432"/>
      <c r="F65" s="433"/>
      <c r="G65" s="434"/>
      <c r="H65" s="435"/>
      <c r="I65" s="450"/>
      <c r="J65" s="451"/>
      <c r="K65" s="436"/>
      <c r="L65" s="452"/>
      <c r="M65" s="421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37.15" hidden="1" customHeight="1" thickBot="1">
      <c r="B66" s="480"/>
      <c r="C66" s="479"/>
      <c r="D66" s="442"/>
      <c r="E66" s="443"/>
      <c r="F66" s="444"/>
      <c r="G66" s="445"/>
      <c r="H66" s="446"/>
      <c r="I66" s="447"/>
      <c r="J66" s="448"/>
      <c r="K66" s="449"/>
      <c r="L66" s="457"/>
      <c r="M66" s="455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16.5" hidden="1" customHeight="1" thickBot="1">
      <c r="B67" s="437"/>
      <c r="C67" s="423"/>
      <c r="D67" s="424"/>
      <c r="E67" s="425"/>
      <c r="F67" s="426"/>
      <c r="G67" s="427"/>
      <c r="H67" s="428"/>
      <c r="I67" s="438"/>
      <c r="J67" s="439"/>
      <c r="K67" s="429"/>
      <c r="L67" s="440"/>
      <c r="M67" s="422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415"/>
      <c r="AC67" s="415"/>
      <c r="AD67" s="415"/>
      <c r="AE67" s="415"/>
      <c r="AF67" s="415"/>
      <c r="AG67" s="415"/>
      <c r="AH67" s="415"/>
      <c r="AI67" s="415"/>
      <c r="AJ67" s="415"/>
      <c r="AK67" s="415"/>
      <c r="AL67" s="415"/>
      <c r="AM67" s="415"/>
      <c r="AN67" s="415"/>
      <c r="AO67" s="415"/>
      <c r="AP67" s="415"/>
      <c r="AQ67" s="415"/>
      <c r="AR67" s="415"/>
      <c r="AS67" s="415"/>
      <c r="AT67" s="415"/>
      <c r="AU67" s="415"/>
      <c r="AV67" s="415"/>
      <c r="AW67" s="415"/>
    </row>
    <row r="68" spans="2:57" s="54" customFormat="1" ht="37.15" hidden="1" customHeight="1" thickBot="1">
      <c r="B68" s="456"/>
      <c r="C68" s="441"/>
      <c r="D68" s="442"/>
      <c r="E68" s="443"/>
      <c r="F68" s="444"/>
      <c r="G68" s="445"/>
      <c r="H68" s="446"/>
      <c r="I68" s="447"/>
      <c r="J68" s="448"/>
      <c r="K68" s="449"/>
      <c r="L68" s="457"/>
      <c r="M68" s="454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277"/>
      <c r="AY68" s="277"/>
      <c r="AZ68" s="277"/>
      <c r="BA68" s="277"/>
      <c r="BB68" s="277"/>
      <c r="BC68" s="277"/>
      <c r="BD68" s="277"/>
      <c r="BE68" s="277"/>
    </row>
    <row r="69" spans="2:57" s="54" customFormat="1" ht="37.15" customHeight="1">
      <c r="B69" s="466"/>
      <c r="C69" s="430"/>
      <c r="D69" s="460"/>
      <c r="E69" s="461"/>
      <c r="F69" s="462"/>
      <c r="G69" s="460"/>
      <c r="H69" s="463"/>
      <c r="I69" s="463"/>
      <c r="J69" s="463"/>
      <c r="K69" s="464"/>
      <c r="L69" s="465"/>
      <c r="M69" s="50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277"/>
      <c r="AY69" s="277"/>
      <c r="AZ69" s="277"/>
      <c r="BA69" s="277"/>
      <c r="BB69" s="277"/>
      <c r="BC69" s="277"/>
      <c r="BD69" s="277"/>
      <c r="BE69" s="277"/>
    </row>
    <row r="70" spans="2:57" ht="18" customHeight="1" thickBot="1">
      <c r="B70" s="59"/>
      <c r="C70" s="30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 t="s">
        <v>41</v>
      </c>
      <c r="O70" s="56"/>
      <c r="P70" s="60"/>
    </row>
    <row r="71" spans="2:57" ht="15.75" thickBot="1">
      <c r="B71" s="498" t="s">
        <v>55</v>
      </c>
      <c r="C71" s="499"/>
      <c r="D71" s="499"/>
      <c r="E71" s="499"/>
      <c r="F71" s="500"/>
      <c r="G71" s="498" t="s">
        <v>56</v>
      </c>
      <c r="H71" s="499"/>
      <c r="I71" s="499"/>
      <c r="J71" s="500"/>
      <c r="K71" s="498" t="s">
        <v>51</v>
      </c>
      <c r="L71" s="499"/>
      <c r="M71" s="499"/>
      <c r="N71" s="501"/>
      <c r="O71" s="56"/>
      <c r="P71" s="50"/>
    </row>
    <row r="72" spans="2:57" ht="15">
      <c r="B72" s="61" t="s">
        <v>17</v>
      </c>
      <c r="C72" s="62" t="s">
        <v>36</v>
      </c>
      <c r="D72" s="62" t="s">
        <v>37</v>
      </c>
      <c r="E72" s="62" t="s">
        <v>38</v>
      </c>
      <c r="F72" s="63" t="s">
        <v>39</v>
      </c>
      <c r="G72" s="62" t="s">
        <v>36</v>
      </c>
      <c r="H72" s="62" t="s">
        <v>37</v>
      </c>
      <c r="I72" s="62" t="s">
        <v>38</v>
      </c>
      <c r="J72" s="63" t="s">
        <v>39</v>
      </c>
      <c r="K72" s="62"/>
      <c r="L72" s="62" t="s">
        <v>37</v>
      </c>
      <c r="M72" s="62" t="s">
        <v>38</v>
      </c>
      <c r="N72" s="63" t="s">
        <v>39</v>
      </c>
      <c r="O72" s="56"/>
      <c r="P72" s="64"/>
    </row>
    <row r="73" spans="2:57" ht="15">
      <c r="B73" s="29" t="s">
        <v>6</v>
      </c>
      <c r="C73" s="282">
        <f>L60</f>
        <v>7.9331941544885032</v>
      </c>
      <c r="D73" s="76">
        <v>6.6384079316042737</v>
      </c>
      <c r="E73" s="76">
        <v>6.8306721624181428</v>
      </c>
      <c r="F73" s="66">
        <v>4.8</v>
      </c>
      <c r="G73" s="65">
        <f>[12]April_2026!$M$11</f>
        <v>8.0808554309047285</v>
      </c>
      <c r="H73" s="477">
        <v>6.5876955515788014</v>
      </c>
      <c r="I73" s="477">
        <v>6.720202346302445</v>
      </c>
      <c r="J73" s="66">
        <v>4.8</v>
      </c>
      <c r="K73" s="67">
        <f>K60</f>
        <v>0.46421052631578952</v>
      </c>
      <c r="L73" s="194">
        <v>0.65622807017543849</v>
      </c>
      <c r="M73" s="194">
        <v>0.45061196898573425</v>
      </c>
      <c r="N73" s="68">
        <v>1</v>
      </c>
      <c r="O73" s="56"/>
      <c r="P73" s="69"/>
    </row>
    <row r="74" spans="2:57" ht="15">
      <c r="B74" s="33" t="s">
        <v>9</v>
      </c>
      <c r="C74" s="65"/>
      <c r="D74" s="76">
        <v>4.2503259452412028</v>
      </c>
      <c r="E74" s="76">
        <v>6.0876108810886738</v>
      </c>
      <c r="F74" s="66">
        <v>4.8</v>
      </c>
      <c r="G74" s="65"/>
      <c r="H74" s="76">
        <v>3.7045586293348483</v>
      </c>
      <c r="I74" s="76">
        <v>5.7742586308793999</v>
      </c>
      <c r="J74" s="66">
        <v>4.8</v>
      </c>
      <c r="K74" s="67"/>
      <c r="L74" s="194">
        <v>1.2884210526315791</v>
      </c>
      <c r="M74" s="194">
        <v>0.74983233325567777</v>
      </c>
      <c r="N74" s="68">
        <v>1</v>
      </c>
      <c r="P74" s="69"/>
    </row>
    <row r="75" spans="2:57" ht="15">
      <c r="B75" s="34" t="s">
        <v>40</v>
      </c>
      <c r="C75" s="65"/>
      <c r="D75" s="76"/>
      <c r="E75" s="76">
        <v>12.380135651360392</v>
      </c>
      <c r="F75" s="66">
        <v>5.5</v>
      </c>
      <c r="G75" s="483"/>
      <c r="H75" s="76"/>
      <c r="I75" s="76">
        <v>13.955538676690328</v>
      </c>
      <c r="J75" s="66">
        <v>5.5</v>
      </c>
      <c r="K75" s="67"/>
      <c r="L75" s="194"/>
      <c r="M75" s="194">
        <v>0.29450526315789471</v>
      </c>
      <c r="N75" s="68">
        <v>1</v>
      </c>
      <c r="P75" s="69"/>
    </row>
    <row r="76" spans="2:57" ht="15">
      <c r="B76" s="22" t="s">
        <v>33</v>
      </c>
      <c r="C76" s="65"/>
      <c r="D76" s="76"/>
      <c r="E76" s="76">
        <v>4.601418358346991</v>
      </c>
      <c r="F76" s="66">
        <v>3.3</v>
      </c>
      <c r="G76" s="65"/>
      <c r="H76" s="76"/>
      <c r="I76" s="76">
        <v>4.3274739720788533</v>
      </c>
      <c r="J76" s="66">
        <v>3.3</v>
      </c>
      <c r="K76" s="67"/>
      <c r="L76" s="194"/>
      <c r="M76" s="194">
        <v>0.8292543859649123</v>
      </c>
      <c r="N76" s="68">
        <v>1</v>
      </c>
      <c r="P76" s="69"/>
    </row>
    <row r="77" spans="2:57" ht="15">
      <c r="B77" s="35" t="s">
        <v>164</v>
      </c>
      <c r="C77" s="65"/>
      <c r="D77" s="76"/>
      <c r="E77" s="76"/>
      <c r="F77" s="66">
        <v>3.3</v>
      </c>
      <c r="G77" s="282"/>
      <c r="H77" s="76"/>
      <c r="I77" s="76"/>
      <c r="J77" s="66">
        <v>3</v>
      </c>
      <c r="K77" s="67"/>
      <c r="L77" s="194"/>
      <c r="M77" s="194"/>
      <c r="N77" s="68">
        <v>1</v>
      </c>
      <c r="P77" s="69"/>
    </row>
    <row r="78" spans="2:57" ht="15">
      <c r="B78" s="36" t="s">
        <v>15</v>
      </c>
      <c r="C78" s="65"/>
      <c r="D78" s="76"/>
      <c r="E78" s="76">
        <v>5.1105651105651271</v>
      </c>
      <c r="F78" s="70">
        <f>[15]May_2022!$M$43</f>
        <v>3.4878406700073312</v>
      </c>
      <c r="G78" s="282"/>
      <c r="H78" s="76"/>
      <c r="I78" s="76">
        <v>7.9131369535794072</v>
      </c>
      <c r="J78" s="66">
        <v>5.5</v>
      </c>
      <c r="K78" s="67"/>
      <c r="L78" s="194"/>
      <c r="M78" s="194">
        <v>1.3550877192982456</v>
      </c>
      <c r="N78" s="68">
        <v>1</v>
      </c>
      <c r="P78" s="69"/>
    </row>
    <row r="79" spans="2:57" ht="15">
      <c r="B79" s="37" t="s">
        <v>16</v>
      </c>
      <c r="C79" s="65"/>
      <c r="D79" s="76"/>
      <c r="E79" s="76">
        <v>3.9654240950837312</v>
      </c>
      <c r="F79" s="66">
        <v>3.3</v>
      </c>
      <c r="G79" s="282"/>
      <c r="H79" s="76"/>
      <c r="I79" s="76">
        <v>5.0010391616318897</v>
      </c>
      <c r="J79" s="66">
        <v>3.3</v>
      </c>
      <c r="K79" s="67"/>
      <c r="L79" s="194"/>
      <c r="M79" s="194">
        <v>0.93295906432748543</v>
      </c>
      <c r="N79" s="71">
        <v>1</v>
      </c>
      <c r="P79" s="69"/>
    </row>
    <row r="80" spans="2:57" ht="15.75" thickBot="1">
      <c r="B80" s="38" t="s">
        <v>163</v>
      </c>
      <c r="C80" s="65"/>
      <c r="D80" s="76"/>
      <c r="E80" s="76"/>
      <c r="F80" s="66">
        <v>7.5</v>
      </c>
      <c r="G80" s="282"/>
      <c r="H80" s="76"/>
      <c r="I80" s="76"/>
      <c r="J80" s="66">
        <v>7.5</v>
      </c>
      <c r="K80" s="67"/>
      <c r="L80" s="194"/>
      <c r="M80" s="194"/>
      <c r="N80" s="71">
        <v>1</v>
      </c>
      <c r="P80" s="69"/>
    </row>
    <row r="81" spans="2:16" ht="15.75" thickBot="1">
      <c r="B81" s="414" t="s">
        <v>161</v>
      </c>
      <c r="C81" s="65"/>
      <c r="D81" s="76"/>
      <c r="E81" s="76"/>
      <c r="F81" s="66">
        <v>4.8</v>
      </c>
      <c r="G81" s="282"/>
      <c r="H81" s="76"/>
      <c r="I81" s="76"/>
      <c r="J81" s="66">
        <v>4.8</v>
      </c>
      <c r="K81" s="67"/>
      <c r="L81" s="194"/>
      <c r="M81" s="194"/>
      <c r="N81" s="71">
        <v>1</v>
      </c>
      <c r="O81" s="74"/>
      <c r="P81" s="75"/>
    </row>
    <row r="82" spans="2:16" ht="15">
      <c r="D82" s="76">
        <v>5.7899856408355905</v>
      </c>
      <c r="E82" s="76">
        <v>6.5428075815313802</v>
      </c>
      <c r="F82" s="341">
        <v>5.5</v>
      </c>
      <c r="H82" s="76">
        <v>5.5613245382225838</v>
      </c>
      <c r="I82" s="76">
        <v>6.6968952876953551</v>
      </c>
      <c r="J82" s="341">
        <v>5.5</v>
      </c>
      <c r="L82" s="194">
        <v>0.86695906432748537</v>
      </c>
      <c r="M82" s="194">
        <v>0.57113694951664895</v>
      </c>
      <c r="N82" s="386">
        <v>1</v>
      </c>
    </row>
  </sheetData>
  <mergeCells count="51">
    <mergeCell ref="M58:M59"/>
    <mergeCell ref="B71:F71"/>
    <mergeCell ref="G71:J71"/>
    <mergeCell ref="K71:N71"/>
    <mergeCell ref="G58:G59"/>
    <mergeCell ref="H58:H59"/>
    <mergeCell ref="I58:I59"/>
    <mergeCell ref="J58:J59"/>
    <mergeCell ref="K58:K59"/>
    <mergeCell ref="L58:L59"/>
    <mergeCell ref="F58:F59"/>
    <mergeCell ref="D53:E53"/>
    <mergeCell ref="B58:B59"/>
    <mergeCell ref="C58:C59"/>
    <mergeCell ref="D58:D59"/>
    <mergeCell ref="E58:E59"/>
    <mergeCell ref="B43:B52"/>
    <mergeCell ref="D43:E44"/>
    <mergeCell ref="J43:K43"/>
    <mergeCell ref="L44:N44"/>
    <mergeCell ref="D45:E46"/>
    <mergeCell ref="D47:E48"/>
    <mergeCell ref="D49:E50"/>
    <mergeCell ref="D51:E52"/>
    <mergeCell ref="I29:N29"/>
    <mergeCell ref="D30:E30"/>
    <mergeCell ref="B31:B42"/>
    <mergeCell ref="D31:E32"/>
    <mergeCell ref="D33:E34"/>
    <mergeCell ref="D35:E36"/>
    <mergeCell ref="D37:E38"/>
    <mergeCell ref="D39:E40"/>
    <mergeCell ref="D41:E4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3:B54">
    <cfRule type="cellIs" dxfId="2428" priority="95" operator="notBetween">
      <formula>#REF!</formula>
      <formula>#REF!</formula>
    </cfRule>
  </conditionalFormatting>
  <conditionalFormatting sqref="C57">
    <cfRule type="cellIs" dxfId="2427" priority="190" stopIfTrue="1" operator="greaterThan">
      <formula>100</formula>
    </cfRule>
    <cfRule type="cellIs" dxfId="2426" priority="189" stopIfTrue="1" operator="lessThan">
      <formula>96</formula>
    </cfRule>
  </conditionalFormatting>
  <conditionalFormatting sqref="C73:C77">
    <cfRule type="cellIs" dxfId="2425" priority="158" stopIfTrue="1" operator="lessThanOrEqual">
      <formula>0</formula>
    </cfRule>
  </conditionalFormatting>
  <conditionalFormatting sqref="C73:C81">
    <cfRule type="cellIs" dxfId="2424" priority="157" stopIfTrue="1" operator="greaterThan">
      <formula>$F73</formula>
    </cfRule>
  </conditionalFormatting>
  <conditionalFormatting sqref="C74">
    <cfRule type="cellIs" dxfId="2423" priority="191" stopIfTrue="1" operator="greaterThan">
      <formula>$F73</formula>
    </cfRule>
  </conditionalFormatting>
  <conditionalFormatting sqref="C78">
    <cfRule type="cellIs" dxfId="2422" priority="119" stopIfTrue="1" operator="lessThanOrEqual">
      <formula>0</formula>
    </cfRule>
    <cfRule type="cellIs" dxfId="2421" priority="120" stopIfTrue="1" operator="greaterThan">
      <formula>$F77</formula>
    </cfRule>
  </conditionalFormatting>
  <conditionalFormatting sqref="C79:C81">
    <cfRule type="cellIs" dxfId="2420" priority="159" stopIfTrue="1" operator="lessThanOrEqual">
      <formula>0</formula>
    </cfRule>
  </conditionalFormatting>
  <conditionalFormatting sqref="C84:C88">
    <cfRule type="cellIs" dxfId="2419" priority="181" stopIfTrue="1" operator="lessThanOrEqual">
      <formula>0</formula>
    </cfRule>
  </conditionalFormatting>
  <conditionalFormatting sqref="C85:C88">
    <cfRule type="cellIs" dxfId="2418" priority="180" stopIfTrue="1" operator="greaterThan">
      <formula>$F$84</formula>
    </cfRule>
  </conditionalFormatting>
  <conditionalFormatting sqref="C90">
    <cfRule type="cellIs" dxfId="2417" priority="183" stopIfTrue="1" operator="lessThanOrEqual">
      <formula>0</formula>
    </cfRule>
    <cfRule type="cellIs" dxfId="2416" priority="182" stopIfTrue="1" operator="greaterThan">
      <formula>$F$84</formula>
    </cfRule>
  </conditionalFormatting>
  <conditionalFormatting sqref="C84:D84 D86:D92">
    <cfRule type="cellIs" dxfId="2415" priority="175" stopIfTrue="1" operator="greaterThan">
      <formula>4.5</formula>
    </cfRule>
  </conditionalFormatting>
  <conditionalFormatting sqref="D53:D54">
    <cfRule type="cellIs" dxfId="2414" priority="96" operator="notBetween">
      <formula>#REF!</formula>
      <formula>#REF!</formula>
    </cfRule>
  </conditionalFormatting>
  <conditionalFormatting sqref="D73:D80">
    <cfRule type="cellIs" dxfId="2413" priority="70" stopIfTrue="1" operator="lessThanOrEqual">
      <formula>0</formula>
    </cfRule>
  </conditionalFormatting>
  <conditionalFormatting sqref="D73:D82">
    <cfRule type="cellIs" dxfId="2412" priority="49" stopIfTrue="1" operator="lessThanOrEqual">
      <formula>0</formula>
    </cfRule>
  </conditionalFormatting>
  <conditionalFormatting sqref="D81">
    <cfRule type="cellIs" dxfId="2411" priority="69" stopIfTrue="1" operator="lessThanOrEqual">
      <formula>0</formula>
    </cfRule>
  </conditionalFormatting>
  <conditionalFormatting sqref="D82">
    <cfRule type="cellIs" dxfId="2410" priority="64" stopIfTrue="1" operator="lessThanOrEqual">
      <formula>0</formula>
    </cfRule>
  </conditionalFormatting>
  <conditionalFormatting sqref="D84 D86:D92">
    <cfRule type="cellIs" dxfId="2409" priority="176" stopIfTrue="1" operator="lessThanOrEqual">
      <formula>0</formula>
    </cfRule>
  </conditionalFormatting>
  <conditionalFormatting sqref="D85">
    <cfRule type="cellIs" dxfId="2408" priority="167" stopIfTrue="1" operator="greaterThan">
      <formula>$F$84</formula>
    </cfRule>
    <cfRule type="cellIs" dxfId="2407" priority="168" stopIfTrue="1" operator="lessThanOrEqual">
      <formula>0</formula>
    </cfRule>
  </conditionalFormatting>
  <conditionalFormatting sqref="D73:E82">
    <cfRule type="cellIs" dxfId="2406" priority="51" stopIfTrue="1" operator="greaterThan">
      <formula>$F73</formula>
    </cfRule>
  </conditionalFormatting>
  <conditionalFormatting sqref="D82:E82">
    <cfRule type="cellIs" dxfId="2405" priority="53" stopIfTrue="1" operator="lessThanOrEqual">
      <formula>0</formula>
    </cfRule>
  </conditionalFormatting>
  <conditionalFormatting sqref="E10:E28">
    <cfRule type="cellIs" dxfId="2404" priority="21" operator="lessThan">
      <formula>48</formula>
    </cfRule>
  </conditionalFormatting>
  <conditionalFormatting sqref="E56 E57:F57">
    <cfRule type="cellIs" dxfId="2403" priority="172" stopIfTrue="1" operator="greaterThan">
      <formula>100</formula>
    </cfRule>
  </conditionalFormatting>
  <conditionalFormatting sqref="E57">
    <cfRule type="cellIs" dxfId="2402" priority="170" stopIfTrue="1" operator="greaterThan">
      <formula>100</formula>
    </cfRule>
    <cfRule type="cellIs" dxfId="2401" priority="169" stopIfTrue="1" operator="lessThan">
      <formula>96.8</formula>
    </cfRule>
  </conditionalFormatting>
  <conditionalFormatting sqref="E73:E81">
    <cfRule type="cellIs" dxfId="2400" priority="50" stopIfTrue="1" operator="lessThanOrEqual">
      <formula>0</formula>
    </cfRule>
  </conditionalFormatting>
  <conditionalFormatting sqref="E73:E82">
    <cfRule type="cellIs" dxfId="2399" priority="52" stopIfTrue="1" operator="lessThanOrEqual">
      <formula>0</formula>
    </cfRule>
  </conditionalFormatting>
  <conditionalFormatting sqref="E84:E92">
    <cfRule type="cellIs" dxfId="2398" priority="161" stopIfTrue="1" operator="greaterThan">
      <formula>4.5</formula>
    </cfRule>
    <cfRule type="cellIs" dxfId="2397" priority="162" stopIfTrue="1" operator="lessThanOrEqual">
      <formula>0</formula>
    </cfRule>
  </conditionalFormatting>
  <conditionalFormatting sqref="E57:F57 E56">
    <cfRule type="cellIs" dxfId="2396" priority="171" stopIfTrue="1" operator="lessThan">
      <formula>96.5</formula>
    </cfRule>
  </conditionalFormatting>
  <conditionalFormatting sqref="F10:F21">
    <cfRule type="cellIs" dxfId="2395" priority="25" operator="greaterThan">
      <formula>60</formula>
    </cfRule>
  </conditionalFormatting>
  <conditionalFormatting sqref="F25:F28">
    <cfRule type="cellIs" dxfId="2394" priority="45" operator="greaterThan">
      <formula>60</formula>
    </cfRule>
  </conditionalFormatting>
  <conditionalFormatting sqref="F57">
    <cfRule type="cellIs" dxfId="2393" priority="187" stopIfTrue="1" operator="lessThan">
      <formula>96.8</formula>
    </cfRule>
    <cfRule type="cellIs" dxfId="2392" priority="188" stopIfTrue="1" operator="greaterThan">
      <formula>100</formula>
    </cfRule>
  </conditionalFormatting>
  <conditionalFormatting sqref="F82">
    <cfRule type="cellIs" dxfId="2391" priority="67" stopIfTrue="1" operator="greaterThan">
      <formula>$F82</formula>
    </cfRule>
    <cfRule type="cellIs" dxfId="2390" priority="68" stopIfTrue="1" operator="lessThanOrEqual">
      <formula>0</formula>
    </cfRule>
  </conditionalFormatting>
  <conditionalFormatting sqref="G10:G21">
    <cfRule type="expression" dxfId="2389" priority="22">
      <formula>IF(+(IF(G10&lt;S10,0,IF(G10&gt;T10,0,1)))=0,1)</formula>
    </cfRule>
  </conditionalFormatting>
  <conditionalFormatting sqref="G25:G28">
    <cfRule type="expression" dxfId="2388" priority="44">
      <formula>IF(+(IF(G25&lt;S25,0,IF(G25&gt;T25,0,1)))=0,1)</formula>
    </cfRule>
  </conditionalFormatting>
  <conditionalFormatting sqref="G73:G74">
    <cfRule type="cellIs" dxfId="2387" priority="65" stopIfTrue="1" operator="greaterThan">
      <formula>$F73</formula>
    </cfRule>
    <cfRule type="cellIs" dxfId="2386" priority="66" stopIfTrue="1" operator="lessThanOrEqual">
      <formula>0</formula>
    </cfRule>
    <cfRule type="cellIs" dxfId="2385" priority="71" stopIfTrue="1" operator="greaterThan">
      <formula>$F73</formula>
    </cfRule>
    <cfRule type="cellIs" dxfId="2384" priority="72" stopIfTrue="1" operator="lessThanOrEqual">
      <formula>0</formula>
    </cfRule>
  </conditionalFormatting>
  <conditionalFormatting sqref="G75">
    <cfRule type="containsErrors" dxfId="2383" priority="42" stopIfTrue="1">
      <formula>ISERROR(G75)</formula>
    </cfRule>
  </conditionalFormatting>
  <conditionalFormatting sqref="G76">
    <cfRule type="cellIs" dxfId="2382" priority="57" stopIfTrue="1" operator="greaterThan">
      <formula>$F76</formula>
    </cfRule>
    <cfRule type="cellIs" dxfId="2381" priority="58" stopIfTrue="1" operator="lessThanOrEqual">
      <formula>0</formula>
    </cfRule>
    <cfRule type="cellIs" dxfId="2380" priority="59" stopIfTrue="1" operator="greaterThan">
      <formula>$F76</formula>
    </cfRule>
    <cfRule type="cellIs" dxfId="2379" priority="60" stopIfTrue="1" operator="lessThanOrEqual">
      <formula>0</formula>
    </cfRule>
  </conditionalFormatting>
  <conditionalFormatting sqref="G77:G81">
    <cfRule type="cellIs" dxfId="2378" priority="73" stopIfTrue="1" operator="greaterThan">
      <formula>$J77</formula>
    </cfRule>
    <cfRule type="cellIs" dxfId="2377" priority="74" stopIfTrue="1" operator="lessThanOrEqual">
      <formula>0</formula>
    </cfRule>
  </conditionalFormatting>
  <conditionalFormatting sqref="G86:G91 C89 C91">
    <cfRule type="cellIs" dxfId="2376" priority="184" stopIfTrue="1" operator="greaterThan">
      <formula>4.5</formula>
    </cfRule>
    <cfRule type="cellIs" dxfId="2375" priority="185" stopIfTrue="1" operator="lessThanOrEqual">
      <formula>0</formula>
    </cfRule>
  </conditionalFormatting>
  <conditionalFormatting sqref="G85:H85">
    <cfRule type="cellIs" dxfId="2374" priority="165" stopIfTrue="1" operator="greaterThan">
      <formula>$F$84</formula>
    </cfRule>
    <cfRule type="cellIs" dxfId="2373" priority="166" stopIfTrue="1" operator="lessThanOrEqual">
      <formula>0</formula>
    </cfRule>
  </conditionalFormatting>
  <conditionalFormatting sqref="H10:H21 M10:N24 G22:H24 H25:H28">
    <cfRule type="expression" dxfId="2372" priority="43">
      <formula>IF(+(IF(G10&lt;#REF!,0,IF(G10&gt;#REF!,0,1)))=0,1)</formula>
    </cfRule>
  </conditionalFormatting>
  <conditionalFormatting sqref="H42:H43 H56">
    <cfRule type="cellIs" dxfId="2371" priority="163" stopIfTrue="1" operator="greaterThan">
      <formula>0</formula>
    </cfRule>
  </conditionalFormatting>
  <conditionalFormatting sqref="H60">
    <cfRule type="cellIs" dxfId="2370" priority="12" stopIfTrue="1" operator="lessThanOrEqual">
      <formula>0</formula>
    </cfRule>
    <cfRule type="cellIs" dxfId="2369" priority="14" stopIfTrue="1" operator="lessThanOrEqual">
      <formula>0</formula>
    </cfRule>
    <cfRule type="cellIs" dxfId="2368" priority="13" stopIfTrue="1" operator="greaterThan">
      <formula>$F$70</formula>
    </cfRule>
    <cfRule type="cellIs" dxfId="2367" priority="11" stopIfTrue="1" operator="greaterThan">
      <formula>$F$72</formula>
    </cfRule>
    <cfRule type="cellIs" dxfId="2366" priority="2" stopIfTrue="1" operator="lessThanOrEqual">
      <formula>0</formula>
    </cfRule>
    <cfRule type="cellIs" dxfId="2365" priority="3" stopIfTrue="1" operator="greaterThan">
      <formula>$F$69</formula>
    </cfRule>
  </conditionalFormatting>
  <conditionalFormatting sqref="H61:H64">
    <cfRule type="cellIs" dxfId="2364" priority="90" stopIfTrue="1" operator="lessThanOrEqual">
      <formula>0</formula>
    </cfRule>
    <cfRule type="cellIs" dxfId="2363" priority="78" stopIfTrue="1" operator="lessThanOrEqual">
      <formula>0</formula>
    </cfRule>
    <cfRule type="cellIs" dxfId="2362" priority="79" stopIfTrue="1" operator="greaterThan">
      <formula>$F$73</formula>
    </cfRule>
    <cfRule type="cellIs" dxfId="2361" priority="89" stopIfTrue="1" operator="greaterThan">
      <formula>$F$74</formula>
    </cfRule>
    <cfRule type="cellIs" dxfId="2360" priority="88" stopIfTrue="1" operator="lessThanOrEqual">
      <formula>0</formula>
    </cfRule>
    <cfRule type="cellIs" dxfId="2359" priority="87" stopIfTrue="1" operator="greaterThan">
      <formula>$F$76</formula>
    </cfRule>
  </conditionalFormatting>
  <conditionalFormatting sqref="H65:H66">
    <cfRule type="cellIs" dxfId="2358" priority="132" stopIfTrue="1" operator="lessThanOrEqual">
      <formula>0</formula>
    </cfRule>
    <cfRule type="cellIs" dxfId="2357" priority="131" stopIfTrue="1" operator="greaterThan">
      <formula>$F$28</formula>
    </cfRule>
    <cfRule type="cellIs" dxfId="2356" priority="123" stopIfTrue="1" operator="greaterThan">
      <formula>#REF!</formula>
    </cfRule>
    <cfRule type="cellIs" dxfId="2355" priority="122" stopIfTrue="1" operator="lessThanOrEqual">
      <formula>0</formula>
    </cfRule>
    <cfRule type="cellIs" dxfId="2354" priority="134" stopIfTrue="1" operator="lessThanOrEqual">
      <formula>0</formula>
    </cfRule>
    <cfRule type="cellIs" dxfId="2353" priority="133" stopIfTrue="1" operator="greaterThan">
      <formula>#REF!</formula>
    </cfRule>
  </conditionalFormatting>
  <conditionalFormatting sqref="H67">
    <cfRule type="cellIs" dxfId="2352" priority="145" stopIfTrue="1" operator="greaterThan">
      <formula>$F$44</formula>
    </cfRule>
    <cfRule type="cellIs" dxfId="2351" priority="146" stopIfTrue="1" operator="lessThanOrEqual">
      <formula>0</formula>
    </cfRule>
    <cfRule type="cellIs" dxfId="2350" priority="136" stopIfTrue="1" operator="lessThanOrEqual">
      <formula>0</formula>
    </cfRule>
    <cfRule type="cellIs" dxfId="2349" priority="148" stopIfTrue="1" operator="lessThanOrEqual">
      <formula>0</formula>
    </cfRule>
    <cfRule type="cellIs" dxfId="2348" priority="137" stopIfTrue="1" operator="greaterThan">
      <formula>$F$41</formula>
    </cfRule>
    <cfRule type="cellIs" dxfId="2347" priority="147" stopIfTrue="1" operator="greaterThan">
      <formula>$F$42</formula>
    </cfRule>
  </conditionalFormatting>
  <conditionalFormatting sqref="H68:H69">
    <cfRule type="cellIs" dxfId="2346" priority="118" stopIfTrue="1" operator="lessThanOrEqual">
      <formula>0</formula>
    </cfRule>
    <cfRule type="cellIs" dxfId="2345" priority="117" stopIfTrue="1" operator="greaterThan">
      <formula>#REF!</formula>
    </cfRule>
    <cfRule type="cellIs" dxfId="2344" priority="116" stopIfTrue="1" operator="lessThanOrEqual">
      <formula>0</formula>
    </cfRule>
    <cfRule type="cellIs" dxfId="2343" priority="115" stopIfTrue="1" operator="greaterThan">
      <formula>$F$28</formula>
    </cfRule>
    <cfRule type="cellIs" dxfId="2342" priority="107" stopIfTrue="1" operator="greaterThan">
      <formula>#REF!</formula>
    </cfRule>
    <cfRule type="cellIs" dxfId="2341" priority="106" stopIfTrue="1" operator="lessThanOrEqual">
      <formula>0</formula>
    </cfRule>
  </conditionalFormatting>
  <conditionalFormatting sqref="H84 H86:H92">
    <cfRule type="cellIs" dxfId="2340" priority="178" stopIfTrue="1" operator="lessThanOrEqual">
      <formula>0</formula>
    </cfRule>
    <cfRule type="cellIs" dxfId="2339" priority="177" stopIfTrue="1" operator="greaterThan">
      <formula>4.5</formula>
    </cfRule>
  </conditionalFormatting>
  <conditionalFormatting sqref="H60:I60">
    <cfRule type="cellIs" dxfId="2338" priority="1" stopIfTrue="1" operator="greaterThan">
      <formula>$F$71</formula>
    </cfRule>
    <cfRule type="cellIs" dxfId="2337" priority="4" stopIfTrue="1" operator="lessThanOrEqual">
      <formula>0</formula>
    </cfRule>
  </conditionalFormatting>
  <conditionalFormatting sqref="H61:I64">
    <cfRule type="cellIs" dxfId="2336" priority="77" stopIfTrue="1" operator="greaterThan">
      <formula>$F$75</formula>
    </cfRule>
    <cfRule type="cellIs" dxfId="2335" priority="80" stopIfTrue="1" operator="lessThanOrEqual">
      <formula>0</formula>
    </cfRule>
  </conditionalFormatting>
  <conditionalFormatting sqref="H65:I66">
    <cfRule type="cellIs" dxfId="2334" priority="121" stopIfTrue="1" operator="greaterThan">
      <formula>#REF!</formula>
    </cfRule>
    <cfRule type="cellIs" dxfId="2333" priority="124" stopIfTrue="1" operator="lessThanOrEqual">
      <formula>0</formula>
    </cfRule>
  </conditionalFormatting>
  <conditionalFormatting sqref="H67:I67">
    <cfRule type="cellIs" dxfId="2332" priority="135" stopIfTrue="1" operator="greaterThan">
      <formula>$F$43</formula>
    </cfRule>
    <cfRule type="cellIs" dxfId="2331" priority="138" stopIfTrue="1" operator="lessThanOrEqual">
      <formula>0</formula>
    </cfRule>
  </conditionalFormatting>
  <conditionalFormatting sqref="H68:I69">
    <cfRule type="cellIs" dxfId="2330" priority="108" stopIfTrue="1" operator="lessThanOrEqual">
      <formula>0</formula>
    </cfRule>
    <cfRule type="cellIs" dxfId="2329" priority="105" stopIfTrue="1" operator="greaterThan">
      <formula>#REF!</formula>
    </cfRule>
  </conditionalFormatting>
  <conditionalFormatting sqref="H73:I80">
    <cfRule type="cellIs" dxfId="2328" priority="47" stopIfTrue="1" operator="greaterThan">
      <formula>$J73</formula>
    </cfRule>
    <cfRule type="cellIs" dxfId="2327" priority="48" stopIfTrue="1" operator="lessThanOrEqual">
      <formula>0</formula>
    </cfRule>
  </conditionalFormatting>
  <conditionalFormatting sqref="H81:I81">
    <cfRule type="cellIs" dxfId="2326" priority="56" operator="greaterThan">
      <formula>5.3</formula>
    </cfRule>
  </conditionalFormatting>
  <conditionalFormatting sqref="H82:I82">
    <cfRule type="cellIs" dxfId="2325" priority="55" stopIfTrue="1" operator="lessThanOrEqual">
      <formula>0</formula>
    </cfRule>
    <cfRule type="cellIs" dxfId="2324" priority="54" stopIfTrue="1" operator="greaterThan">
      <formula>$J82</formula>
    </cfRule>
  </conditionalFormatting>
  <conditionalFormatting sqref="I60">
    <cfRule type="cellIs" dxfId="2323" priority="6" stopIfTrue="1" operator="lessThanOrEqual">
      <formula>0</formula>
    </cfRule>
    <cfRule type="cellIs" dxfId="2322" priority="7" stopIfTrue="1" operator="greaterThan">
      <formula>$F$71</formula>
    </cfRule>
    <cfRule type="cellIs" dxfId="2321" priority="8" stopIfTrue="1" operator="lessThanOrEqual">
      <formula>0</formula>
    </cfRule>
    <cfRule type="cellIs" dxfId="2320" priority="9" stopIfTrue="1" operator="greaterThan">
      <formula>$F$69</formula>
    </cfRule>
    <cfRule type="cellIs" dxfId="2319" priority="10" stopIfTrue="1" operator="lessThanOrEqual">
      <formula>0</formula>
    </cfRule>
    <cfRule type="cellIs" dxfId="2318" priority="5" stopIfTrue="1" operator="greaterThan">
      <formula>$F$69</formula>
    </cfRule>
  </conditionalFormatting>
  <conditionalFormatting sqref="I61:I64">
    <cfRule type="cellIs" dxfId="2317" priority="81" stopIfTrue="1" operator="greaterThan">
      <formula>$F$73</formula>
    </cfRule>
    <cfRule type="cellIs" dxfId="2316" priority="86" stopIfTrue="1" operator="lessThanOrEqual">
      <formula>0</formula>
    </cfRule>
    <cfRule type="cellIs" dxfId="2315" priority="85" stopIfTrue="1" operator="greaterThan">
      <formula>$F$73</formula>
    </cfRule>
    <cfRule type="cellIs" dxfId="2314" priority="84" stopIfTrue="1" operator="lessThanOrEqual">
      <formula>0</formula>
    </cfRule>
    <cfRule type="cellIs" dxfId="2313" priority="83" stopIfTrue="1" operator="greaterThan">
      <formula>$F$75</formula>
    </cfRule>
    <cfRule type="cellIs" dxfId="2312" priority="82" stopIfTrue="1" operator="lessThanOrEqual">
      <formula>0</formula>
    </cfRule>
  </conditionalFormatting>
  <conditionalFormatting sqref="I65:I66">
    <cfRule type="cellIs" dxfId="2311" priority="129" stopIfTrue="1" operator="greaterThan">
      <formula>#REF!</formula>
    </cfRule>
    <cfRule type="cellIs" dxfId="2310" priority="128" stopIfTrue="1" operator="lessThanOrEqual">
      <formula>0</formula>
    </cfRule>
    <cfRule type="cellIs" dxfId="2309" priority="126" stopIfTrue="1" operator="lessThanOrEqual">
      <formula>0</formula>
    </cfRule>
    <cfRule type="cellIs" dxfId="2308" priority="125" stopIfTrue="1" operator="greaterThan">
      <formula>#REF!</formula>
    </cfRule>
    <cfRule type="cellIs" dxfId="2307" priority="127" stopIfTrue="1" operator="greaterThan">
      <formula>#REF!</formula>
    </cfRule>
    <cfRule type="cellIs" dxfId="2306" priority="130" stopIfTrue="1" operator="lessThanOrEqual">
      <formula>0</formula>
    </cfRule>
  </conditionalFormatting>
  <conditionalFormatting sqref="I67">
    <cfRule type="cellIs" dxfId="2305" priority="139" stopIfTrue="1" operator="greaterThan">
      <formula>$F$41</formula>
    </cfRule>
    <cfRule type="cellIs" dxfId="2304" priority="140" stopIfTrue="1" operator="lessThanOrEqual">
      <formula>0</formula>
    </cfRule>
    <cfRule type="cellIs" dxfId="2303" priority="141" stopIfTrue="1" operator="greaterThan">
      <formula>$F$43</formula>
    </cfRule>
    <cfRule type="cellIs" dxfId="2302" priority="142" stopIfTrue="1" operator="lessThanOrEqual">
      <formula>0</formula>
    </cfRule>
    <cfRule type="cellIs" dxfId="2301" priority="143" stopIfTrue="1" operator="greaterThan">
      <formula>$F$41</formula>
    </cfRule>
    <cfRule type="cellIs" dxfId="2300" priority="144" stopIfTrue="1" operator="lessThanOrEqual">
      <formula>0</formula>
    </cfRule>
  </conditionalFormatting>
  <conditionalFormatting sqref="I68:I69">
    <cfRule type="cellIs" dxfId="2299" priority="113" stopIfTrue="1" operator="greaterThan">
      <formula>#REF!</formula>
    </cfRule>
    <cfRule type="cellIs" dxfId="2298" priority="114" stopIfTrue="1" operator="lessThanOrEqual">
      <formula>0</formula>
    </cfRule>
    <cfRule type="cellIs" dxfId="2297" priority="112" stopIfTrue="1" operator="lessThanOrEqual">
      <formula>0</formula>
    </cfRule>
    <cfRule type="cellIs" dxfId="2296" priority="111" stopIfTrue="1" operator="greaterThan">
      <formula>#REF!</formula>
    </cfRule>
    <cfRule type="cellIs" dxfId="2295" priority="110" stopIfTrue="1" operator="lessThanOrEqual">
      <formula>0</formula>
    </cfRule>
    <cfRule type="cellIs" dxfId="2294" priority="109" stopIfTrue="1" operator="greaterThan">
      <formula>#REF!</formula>
    </cfRule>
  </conditionalFormatting>
  <conditionalFormatting sqref="I84:I92">
    <cfRule type="cellIs" dxfId="2293" priority="173" stopIfTrue="1" operator="greaterThan">
      <formula>4.5</formula>
    </cfRule>
    <cfRule type="cellIs" dxfId="2292" priority="174" stopIfTrue="1" operator="lessThanOrEqual">
      <formula>0</formula>
    </cfRule>
  </conditionalFormatting>
  <conditionalFormatting sqref="I10:J28">
    <cfRule type="cellIs" dxfId="2291" priority="15" operator="lessThan">
      <formula>97.9</formula>
    </cfRule>
  </conditionalFormatting>
  <conditionalFormatting sqref="J31">
    <cfRule type="cellIs" dxfId="2290" priority="76" operator="lessThan">
      <formula>97.95</formula>
    </cfRule>
  </conditionalFormatting>
  <conditionalFormatting sqref="J33">
    <cfRule type="cellIs" dxfId="2289" priority="152" operator="lessThan">
      <formula>98</formula>
    </cfRule>
    <cfRule type="cellIs" dxfId="2288" priority="150" stopIfTrue="1" operator="lessThan">
      <formula>96.8</formula>
    </cfRule>
    <cfRule type="cellIs" dxfId="2287" priority="151" stopIfTrue="1" operator="greaterThan">
      <formula>100</formula>
    </cfRule>
  </conditionalFormatting>
  <conditionalFormatting sqref="J33:J35">
    <cfRule type="cellIs" dxfId="2286" priority="149" operator="lessThan">
      <formula>97.4</formula>
    </cfRule>
  </conditionalFormatting>
  <conditionalFormatting sqref="J36:J37">
    <cfRule type="cellIs" dxfId="2285" priority="153" operator="lessThan">
      <formula>98</formula>
    </cfRule>
  </conditionalFormatting>
  <conditionalFormatting sqref="J38:J39">
    <cfRule type="cellIs" dxfId="2284" priority="154" stopIfTrue="1" operator="lessThan">
      <formula>96.8</formula>
    </cfRule>
    <cfRule type="cellIs" dxfId="2283" priority="155" stopIfTrue="1" operator="greaterThan">
      <formula>100</formula>
    </cfRule>
  </conditionalFormatting>
  <conditionalFormatting sqref="J38:J40">
    <cfRule type="cellIs" dxfId="2282" priority="156" operator="lessThan">
      <formula>98</formula>
    </cfRule>
  </conditionalFormatting>
  <conditionalFormatting sqref="J69">
    <cfRule type="cellIs" dxfId="2281" priority="102" stopIfTrue="1" operator="lessThanOrEqual">
      <formula>0</formula>
    </cfRule>
    <cfRule type="cellIs" dxfId="2280" priority="98" stopIfTrue="1" operator="lessThanOrEqual">
      <formula>0</formula>
    </cfRule>
    <cfRule type="cellIs" dxfId="2279" priority="104" stopIfTrue="1" operator="lessThanOrEqual">
      <formula>0</formula>
    </cfRule>
    <cfRule type="cellIs" dxfId="2278" priority="97" stopIfTrue="1" operator="greaterThan">
      <formula>#REF!</formula>
    </cfRule>
    <cfRule type="cellIs" dxfId="2277" priority="99" stopIfTrue="1" operator="greaterThan">
      <formula>#REF!</formula>
    </cfRule>
    <cfRule type="cellIs" dxfId="2276" priority="100" stopIfTrue="1" operator="lessThanOrEqual">
      <formula>0</formula>
    </cfRule>
    <cfRule type="cellIs" dxfId="2275" priority="101" stopIfTrue="1" operator="greaterThan">
      <formula>#REF!</formula>
    </cfRule>
    <cfRule type="cellIs" dxfId="2274" priority="103" stopIfTrue="1" operator="greaterThan">
      <formula>#REF!</formula>
    </cfRule>
  </conditionalFormatting>
  <conditionalFormatting sqref="J82">
    <cfRule type="cellIs" dxfId="2273" priority="62" stopIfTrue="1" operator="lessThanOrEqual">
      <formula>0</formula>
    </cfRule>
    <cfRule type="cellIs" dxfId="2272" priority="61" stopIfTrue="1" operator="greaterThan">
      <formula>$F82</formula>
    </cfRule>
  </conditionalFormatting>
  <conditionalFormatting sqref="K10:K28">
    <cfRule type="cellIs" dxfId="2271" priority="16" operator="greaterThan">
      <formula>6</formula>
    </cfRule>
    <cfRule type="cellIs" dxfId="2270" priority="17" operator="lessThan">
      <formula>4</formula>
    </cfRule>
    <cfRule type="cellIs" dxfId="2269" priority="18" operator="greaterThan">
      <formula>6.4</formula>
    </cfRule>
  </conditionalFormatting>
  <conditionalFormatting sqref="K60:K69">
    <cfRule type="cellIs" dxfId="2268" priority="91" stopIfTrue="1" operator="lessThan">
      <formula>100%</formula>
    </cfRule>
  </conditionalFormatting>
  <conditionalFormatting sqref="K84:K89">
    <cfRule type="cellIs" dxfId="2267" priority="179" stopIfTrue="1" operator="lessThan">
      <formula>100%</formula>
    </cfRule>
  </conditionalFormatting>
  <conditionalFormatting sqref="K91:K92">
    <cfRule type="cellIs" dxfId="2266" priority="186" stopIfTrue="1" operator="lessThan">
      <formula>100%</formula>
    </cfRule>
  </conditionalFormatting>
  <conditionalFormatting sqref="K73:M81">
    <cfRule type="cellIs" dxfId="2265" priority="46" stopIfTrue="1" operator="lessThan">
      <formula>100%</formula>
    </cfRule>
  </conditionalFormatting>
  <conditionalFormatting sqref="L10:L28">
    <cfRule type="cellIs" dxfId="2264" priority="20" operator="greaterThan">
      <formula>65</formula>
    </cfRule>
    <cfRule type="cellIs" dxfId="2263" priority="19" operator="between">
      <formula>61</formula>
      <formula>65</formula>
    </cfRule>
  </conditionalFormatting>
  <conditionalFormatting sqref="L31:M42">
    <cfRule type="cellIs" dxfId="2262" priority="93" operator="lessThan">
      <formula>97.95</formula>
    </cfRule>
  </conditionalFormatting>
  <conditionalFormatting sqref="L82:M82">
    <cfRule type="cellIs" dxfId="2261" priority="63" stopIfTrue="1" operator="lessThan">
      <formula>100%</formula>
    </cfRule>
  </conditionalFormatting>
  <conditionalFormatting sqref="L46:N46">
    <cfRule type="cellIs" dxfId="2260" priority="94" operator="notEqual">
      <formula>#REF!</formula>
    </cfRule>
  </conditionalFormatting>
  <conditionalFormatting sqref="L84:N92">
    <cfRule type="cellIs" dxfId="2259" priority="164" stopIfTrue="1" operator="lessThan">
      <formula>100%</formula>
    </cfRule>
  </conditionalFormatting>
  <conditionalFormatting sqref="M10:M21">
    <cfRule type="expression" dxfId="2258" priority="24">
      <formula>IF(+(IF(M10&lt;U10,0,IF(M10&gt;V10,0,1)))=0,1)</formula>
    </cfRule>
  </conditionalFormatting>
  <conditionalFormatting sqref="M25:M26">
    <cfRule type="expression" dxfId="2257" priority="41">
      <formula>IF(+(IF(M25&lt;U25,0,IF(M25&gt;V25,0,1)))=0,1)</formula>
    </cfRule>
  </conditionalFormatting>
  <conditionalFormatting sqref="M27:N28">
    <cfRule type="expression" dxfId="2256" priority="92">
      <formula>IF(+(IF(M27&lt;#REF!,0,IF(M27&gt;#REF!,0,1)))=0,1)</formula>
    </cfRule>
  </conditionalFormatting>
  <conditionalFormatting sqref="N10:N26">
    <cfRule type="expression" dxfId="2255" priority="23">
      <formula>IF(+(IF(N10&lt;W10,0,IF(N10&gt;X10,0,1)))=0,1)</formula>
    </cfRule>
  </conditionalFormatting>
  <conditionalFormatting sqref="N73:N82">
    <cfRule type="cellIs" dxfId="2254" priority="75" stopIfTrue="1" operator="lessThan">
      <formula>100%</formula>
    </cfRule>
  </conditionalFormatting>
  <conditionalFormatting sqref="P6">
    <cfRule type="cellIs" dxfId="2253" priority="160" operator="greaterThanOrEqual">
      <formula>19</formula>
    </cfRule>
  </conditionalFormatting>
  <dataValidations count="1">
    <dataValidation type="list" allowBlank="1" showInputMessage="1" showErrorMessage="1" sqref="R8" xr:uid="{69DFF7EF-7343-4E66-891C-B83CB3C7EA5E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6" max="16383" man="1"/>
  </rowBreaks>
  <colBreaks count="1" manualBreakCount="1">
    <brk id="15" max="89" man="1"/>
  </col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FD4C3-356B-4E1A-895E-F1F103608801}">
  <sheetPr>
    <pageSetUpPr fitToPage="1"/>
  </sheetPr>
  <dimension ref="A1:BE93"/>
  <sheetViews>
    <sheetView topLeftCell="A50" zoomScale="80" zoomScaleNormal="80" workbookViewId="0">
      <selection activeCell="B16" sqref="B16:O16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8" width="16.5703125" style="275" customWidth="1"/>
    <col min="9" max="9" width="20.7109375" style="275" customWidth="1"/>
    <col min="10" max="10" width="24.140625" style="275" bestFit="1" customWidth="1"/>
    <col min="11" max="11" width="19.42578125" style="275" bestFit="1" customWidth="1"/>
    <col min="12" max="12" width="17.140625" style="275" bestFit="1" customWidth="1"/>
    <col min="13" max="13" width="13.140625" style="275" bestFit="1" customWidth="1"/>
    <col min="14" max="14" width="13.85546875" style="275" bestFit="1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5" t="s">
        <v>0</v>
      </c>
      <c r="T1" s="555"/>
      <c r="U1" s="555" t="s">
        <v>1</v>
      </c>
      <c r="V1" s="555"/>
      <c r="W1" s="555" t="s">
        <v>2</v>
      </c>
      <c r="X1" s="555"/>
      <c r="Y1" s="555" t="s">
        <v>124</v>
      </c>
      <c r="Z1" s="555"/>
    </row>
    <row r="2" spans="2:29" ht="15">
      <c r="B2" s="556" t="s">
        <v>3</v>
      </c>
      <c r="C2" s="556"/>
      <c r="D2" s="556"/>
      <c r="E2" s="556"/>
      <c r="F2" s="556"/>
      <c r="G2" s="556"/>
      <c r="H2" s="556"/>
      <c r="I2" s="556"/>
      <c r="J2" s="556"/>
      <c r="K2" s="556"/>
      <c r="L2" s="556"/>
      <c r="M2" s="556"/>
      <c r="N2" s="556"/>
      <c r="O2" s="556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46126</v>
      </c>
      <c r="J4" s="398" t="s">
        <v>167</v>
      </c>
      <c r="K4" s="398"/>
      <c r="L4" s="11"/>
      <c r="M4" s="553" t="s">
        <v>8</v>
      </c>
      <c r="N4" s="554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2"/>
      <c r="D5" s="542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6" t="s">
        <v>17</v>
      </c>
      <c r="C8" s="517" t="s">
        <v>18</v>
      </c>
      <c r="D8" s="517" t="s">
        <v>19</v>
      </c>
      <c r="E8" s="356" t="s">
        <v>20</v>
      </c>
      <c r="F8" s="356" t="s">
        <v>21</v>
      </c>
      <c r="G8" s="517" t="s">
        <v>22</v>
      </c>
      <c r="H8" s="544" t="s">
        <v>144</v>
      </c>
      <c r="I8" s="517" t="s">
        <v>165</v>
      </c>
      <c r="J8" s="546" t="s">
        <v>23</v>
      </c>
      <c r="K8" s="548" t="s">
        <v>142</v>
      </c>
      <c r="L8" s="550" t="s">
        <v>24</v>
      </c>
      <c r="M8" s="359" t="s">
        <v>25</v>
      </c>
      <c r="N8" s="17" t="s">
        <v>169</v>
      </c>
      <c r="O8" s="510" t="s">
        <v>155</v>
      </c>
      <c r="P8" s="540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43"/>
      <c r="C9" s="541"/>
      <c r="D9" s="541"/>
      <c r="E9" s="357" t="s">
        <v>30</v>
      </c>
      <c r="F9" s="357" t="s">
        <v>31</v>
      </c>
      <c r="G9" s="541"/>
      <c r="H9" s="545"/>
      <c r="I9" s="541"/>
      <c r="J9" s="547"/>
      <c r="K9" s="549"/>
      <c r="L9" s="551"/>
      <c r="M9" s="20" t="s">
        <v>32</v>
      </c>
      <c r="N9" s="21" t="s">
        <v>41</v>
      </c>
      <c r="O9" s="552"/>
      <c r="P9" s="541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>
      <c r="B10" s="33" t="s">
        <v>9</v>
      </c>
      <c r="C10" s="366" t="str">
        <f>[3]Brewhouse!$A189</f>
        <v>ST136</v>
      </c>
      <c r="D10" s="279">
        <f>[3]Brewhouse!$AB189</f>
        <v>54.1</v>
      </c>
      <c r="E10" s="279">
        <f>[3]Brewhouse!$AG189</f>
        <v>47.6</v>
      </c>
      <c r="F10" s="278">
        <f>[3]Brewhouse!$V189</f>
        <v>61</v>
      </c>
      <c r="G10" s="279">
        <f>[3]Brewhouse!$AE189</f>
        <v>12</v>
      </c>
      <c r="H10" s="396">
        <v>12</v>
      </c>
      <c r="I10" s="368">
        <f>[3]Brewhouse!$AS189</f>
        <v>95.909461222197507</v>
      </c>
      <c r="J10" s="368">
        <f>[3]Brewhouse!$AT189</f>
        <v>97.025570091113693</v>
      </c>
      <c r="K10" s="281">
        <f>[3]Brewhouse!$Q189</f>
        <v>9.380776340110911</v>
      </c>
      <c r="L10" s="276">
        <f>[3]Brewhouse!$P189</f>
        <v>60</v>
      </c>
      <c r="M10" s="374">
        <f>[3]Brewhouse!$U189-[3]Brewhouse!$T189</f>
        <v>0.11388888888888887</v>
      </c>
      <c r="N10" s="370">
        <f>[3]Brewhouse!$AW189</f>
        <v>0.25208333333333333</v>
      </c>
      <c r="O10" s="371" t="str">
        <f>[3]Brewhouse!$AV189</f>
        <v>R. Regis</v>
      </c>
      <c r="P10" s="418"/>
      <c r="R10" s="277" t="str">
        <f t="shared" ref="R10:R19" si="0">B10</f>
        <v>STAG</v>
      </c>
      <c r="S10" s="472">
        <f t="shared" ref="S10:S37" si="1">VLOOKUP($B10,$R$3:$X$9,2,FALSE)</f>
        <v>11.6</v>
      </c>
      <c r="T10" s="472">
        <f t="shared" ref="T10:T37" si="2">VLOOKUP($B10,$R$3:$X$9,3,FALSE)</f>
        <v>12</v>
      </c>
      <c r="U10" s="297">
        <f t="shared" ref="U10:U37" si="3">VLOOKUP($B10,$R$3:$X$9,4,FALSE)</f>
        <v>0</v>
      </c>
      <c r="V10" s="297">
        <f t="shared" ref="V10:V37" si="4">VLOOKUP($B10,$R$3:$X$9,5,FALSE)</f>
        <v>0.118055555555556</v>
      </c>
      <c r="W10" s="297">
        <f t="shared" ref="W10:W37" si="5">VLOOKUP($B10,$R$3:$X$9,6,FALSE)</f>
        <v>0.22569444444444445</v>
      </c>
      <c r="X10" s="297">
        <f t="shared" ref="X10:X37" si="6">VLOOKUP($B10,$R$3:$X$9,7,FALSE)</f>
        <v>0.2638888888888889</v>
      </c>
      <c r="Y10" s="297">
        <f t="shared" ref="Y10:Y37" si="7">VLOOKUP($B10,$R$3:$Z$9,8,FALSE)</f>
        <v>0</v>
      </c>
      <c r="Z10" s="472">
        <f t="shared" ref="Z10:Z37" si="8">VLOOKUP($B10,$R$3:$Z$9,9,FALSE)</f>
        <v>60</v>
      </c>
    </row>
    <row r="11" spans="2:29" ht="15">
      <c r="B11" s="33" t="s">
        <v>9</v>
      </c>
      <c r="C11" s="366" t="str">
        <f>[3]Brewhouse!$A190</f>
        <v>ST137</v>
      </c>
      <c r="D11" s="279">
        <f>[3]Brewhouse!$AB190</f>
        <v>53.1</v>
      </c>
      <c r="E11" s="279">
        <f>[3]Brewhouse!$AG190</f>
        <v>50.2</v>
      </c>
      <c r="F11" s="278">
        <f>[3]Brewhouse!$V190</f>
        <v>66</v>
      </c>
      <c r="G11" s="279">
        <f>[3]Brewhouse!$AE190</f>
        <v>11.9</v>
      </c>
      <c r="H11" s="396">
        <v>11.9</v>
      </c>
      <c r="I11" s="368">
        <f>[3]Brewhouse!$AS190</f>
        <v>100.38900800837614</v>
      </c>
      <c r="J11" s="368">
        <f>[3]Brewhouse!$AT190</f>
        <v>101.55685741072082</v>
      </c>
      <c r="K11" s="281">
        <f>[3]Brewhouse!$Q190</f>
        <v>11.629001883239166</v>
      </c>
      <c r="L11" s="276">
        <f>[3]Brewhouse!$P190</f>
        <v>60</v>
      </c>
      <c r="M11" s="374">
        <f>[3]Brewhouse!$U190-[3]Brewhouse!$T190</f>
        <v>0.11597222222222225</v>
      </c>
      <c r="N11" s="370">
        <f>[3]Brewhouse!$AW190</f>
        <v>0.25555555555555554</v>
      </c>
      <c r="O11" s="371" t="str">
        <f>[3]Brewhouse!$AV190</f>
        <v>R.Sookram</v>
      </c>
      <c r="P11" s="418"/>
      <c r="R11" s="277" t="str">
        <f t="shared" si="0"/>
        <v>STAG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>
      <c r="B12" s="33" t="s">
        <v>9</v>
      </c>
      <c r="C12" s="366" t="str">
        <f>[3]Brewhouse!$A191</f>
        <v>ST138</v>
      </c>
      <c r="D12" s="279">
        <f>[3]Brewhouse!$AB191</f>
        <v>53.1</v>
      </c>
      <c r="E12" s="279">
        <f>[3]Brewhouse!$AG191</f>
        <v>50</v>
      </c>
      <c r="F12" s="278">
        <f>[3]Brewhouse!$V191</f>
        <v>62</v>
      </c>
      <c r="G12" s="279">
        <f>[3]Brewhouse!$AE191</f>
        <v>11.9</v>
      </c>
      <c r="H12" s="367"/>
      <c r="I12" s="368">
        <f>[3]Brewhouse!$AS191</f>
        <v>100.11551319871461</v>
      </c>
      <c r="J12" s="368">
        <f>[3]Brewhouse!$AT191</f>
        <v>101.27979261022284</v>
      </c>
      <c r="K12" s="281">
        <f>[3]Brewhouse!$Q191</f>
        <v>11.817325800376645</v>
      </c>
      <c r="L12" s="276">
        <f>[3]Brewhouse!$P191</f>
        <v>58</v>
      </c>
      <c r="M12" s="374">
        <f>[3]Brewhouse!$U191-[3]Brewhouse!$T191</f>
        <v>0.11944444444444441</v>
      </c>
      <c r="N12" s="487">
        <f>[3]Brewhouse!$AW191</f>
        <v>0.27083333333333331</v>
      </c>
      <c r="O12" s="371" t="str">
        <f>[3]Brewhouse!$AV191</f>
        <v>R.Sookram</v>
      </c>
      <c r="P12" s="418"/>
      <c r="R12" s="277" t="str">
        <f t="shared" si="0"/>
        <v>STAG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>
      <c r="B13" s="33" t="s">
        <v>9</v>
      </c>
      <c r="C13" s="366" t="str">
        <f>[3]Brewhouse!$A192</f>
        <v>ST139</v>
      </c>
      <c r="D13" s="279">
        <f>[3]Brewhouse!$AB192</f>
        <v>53.1</v>
      </c>
      <c r="E13" s="279">
        <f>[3]Brewhouse!$AG192</f>
        <v>49.8</v>
      </c>
      <c r="F13" s="278">
        <f>[3]Brewhouse!$V192</f>
        <v>62</v>
      </c>
      <c r="G13" s="279">
        <f>[3]Brewhouse!$AE192</f>
        <v>11.9</v>
      </c>
      <c r="H13" s="396">
        <v>11.8</v>
      </c>
      <c r="I13" s="368">
        <f>[3]Brewhouse!$AS192</f>
        <v>99.841325706523776</v>
      </c>
      <c r="J13" s="368">
        <f>[3]Brewhouse!$AT192</f>
        <v>101.00202821833859</v>
      </c>
      <c r="K13" s="281">
        <f>[3]Brewhouse!$Q192</f>
        <v>14.83050847457627</v>
      </c>
      <c r="L13" s="276">
        <f>[3]Brewhouse!$P192</f>
        <v>58</v>
      </c>
      <c r="M13" s="374">
        <f>[3]Brewhouse!$U192-[3]Brewhouse!$T192</f>
        <v>0.11875000000000002</v>
      </c>
      <c r="N13" s="370">
        <f>[3]Brewhouse!$AW192</f>
        <v>0.25694444444444442</v>
      </c>
      <c r="O13" s="371" t="str">
        <f>[3]Brewhouse!$AV192</f>
        <v>R.Sookram</v>
      </c>
      <c r="P13" s="418"/>
      <c r="R13" s="277" t="str">
        <f t="shared" si="0"/>
        <v>STAG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>
      <c r="B14" s="33" t="s">
        <v>9</v>
      </c>
      <c r="C14" s="366" t="str">
        <f>[3]Brewhouse!$A193</f>
        <v>ST140</v>
      </c>
      <c r="D14" s="279">
        <f>[3]Brewhouse!$AB193</f>
        <v>53.1</v>
      </c>
      <c r="E14" s="279">
        <f>[3]Brewhouse!$AG193</f>
        <v>47.8</v>
      </c>
      <c r="F14" s="278">
        <f>[3]Brewhouse!$V193</f>
        <v>61</v>
      </c>
      <c r="G14" s="279">
        <f>[3]Brewhouse!$AE193</f>
        <v>11.9</v>
      </c>
      <c r="H14" s="396">
        <v>12.1</v>
      </c>
      <c r="I14" s="368">
        <f>[3]Brewhouse!$AS193</f>
        <v>95.710430617971156</v>
      </c>
      <c r="J14" s="368">
        <f>[3]Brewhouse!$AT193</f>
        <v>96.823481735373022</v>
      </c>
      <c r="K14" s="281">
        <f>[3]Brewhouse!$Q193</f>
        <v>12.382297551789083</v>
      </c>
      <c r="L14" s="276">
        <f>[3]Brewhouse!$P193</f>
        <v>59</v>
      </c>
      <c r="M14" s="374">
        <f>[3]Brewhouse!$U193-[3]Brewhouse!$T193</f>
        <v>0.10902777777777783</v>
      </c>
      <c r="N14" s="370">
        <f>[3]Brewhouse!$AW193</f>
        <v>0.25416666666666671</v>
      </c>
      <c r="O14" s="371" t="str">
        <f>[3]Brewhouse!$AV193</f>
        <v>R.Sookram</v>
      </c>
      <c r="P14" s="418"/>
      <c r="R14" s="277" t="str">
        <f t="shared" si="0"/>
        <v>STAG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>
      <c r="B15" s="33" t="s">
        <v>9</v>
      </c>
      <c r="C15" s="366" t="str">
        <f>[3]Brewhouse!$A194</f>
        <v>ST141</v>
      </c>
      <c r="D15" s="279">
        <f>[3]Brewhouse!$AB194</f>
        <v>53.1</v>
      </c>
      <c r="E15" s="279">
        <f>[3]Brewhouse!$AG194</f>
        <v>47.1</v>
      </c>
      <c r="F15" s="278">
        <f>[3]Brewhouse!$V194</f>
        <v>60</v>
      </c>
      <c r="G15" s="279">
        <f>[3]Brewhouse!$AE194</f>
        <v>12</v>
      </c>
      <c r="H15" s="482">
        <v>12.3</v>
      </c>
      <c r="I15" s="368">
        <f>[3]Brewhouse!$AS194</f>
        <v>95.142063993643049</v>
      </c>
      <c r="J15" s="368">
        <f>[3]Brewhouse!$AT194</f>
        <v>96.248505370578613</v>
      </c>
      <c r="K15" s="281">
        <f>[3]Brewhouse!$Q194</f>
        <v>14.453860640301313</v>
      </c>
      <c r="L15" s="276">
        <f>[3]Brewhouse!$P194</f>
        <v>59</v>
      </c>
      <c r="M15" s="374">
        <f>[3]Brewhouse!$U194-[3]Brewhouse!$T194</f>
        <v>0.11041666666666661</v>
      </c>
      <c r="N15" s="370">
        <f>[3]Brewhouse!$AW194</f>
        <v>0.26458333333333328</v>
      </c>
      <c r="O15" s="371" t="str">
        <f>[3]Brewhouse!$AV194</f>
        <v>R.Sookram</v>
      </c>
      <c r="P15" s="418"/>
      <c r="R15" s="277" t="str">
        <f t="shared" si="0"/>
        <v>STAG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>
      <c r="B16" s="33" t="s">
        <v>9</v>
      </c>
      <c r="C16" s="366" t="str">
        <f>[3]Brewhouse!$A195</f>
        <v>ST142</v>
      </c>
      <c r="D16" s="279">
        <f>[3]Brewhouse!$AB195</f>
        <v>53.1</v>
      </c>
      <c r="E16" s="279">
        <f>[3]Brewhouse!$AG195</f>
        <v>48.9</v>
      </c>
      <c r="F16" s="278">
        <f>[3]Brewhouse!$V195</f>
        <v>58</v>
      </c>
      <c r="G16" s="279">
        <f>[3]Brewhouse!$AE195</f>
        <v>12</v>
      </c>
      <c r="H16" s="396">
        <v>12.2</v>
      </c>
      <c r="I16" s="368">
        <f>[3]Brewhouse!$AS195</f>
        <v>98.778066439259973</v>
      </c>
      <c r="J16" s="368">
        <f>[3]Brewhouse!$AT195</f>
        <v>99.926792200027464</v>
      </c>
      <c r="K16" s="281">
        <f>[3]Brewhouse!$Q195</f>
        <v>14.265536723163846</v>
      </c>
      <c r="L16" s="276">
        <f>[3]Brewhouse!$P195</f>
        <v>59</v>
      </c>
      <c r="M16" s="374">
        <f>[3]Brewhouse!$U195-[3]Brewhouse!$T195</f>
        <v>0.10347222222222219</v>
      </c>
      <c r="N16" s="370">
        <f>[3]Brewhouse!$AW195</f>
        <v>0.26388888888888884</v>
      </c>
      <c r="O16" s="371" t="str">
        <f>[3]Brewhouse!$AV195</f>
        <v>R.Sookram</v>
      </c>
      <c r="P16" s="418"/>
      <c r="R16" s="277" t="str">
        <f t="shared" si="0"/>
        <v>STAG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2:26" ht="15">
      <c r="B17" s="33" t="s">
        <v>9</v>
      </c>
      <c r="C17" s="366" t="str">
        <f>[3]Brewhouse!$A196</f>
        <v>ST143</v>
      </c>
      <c r="D17" s="279">
        <f>[3]Brewhouse!$AB196</f>
        <v>53.1</v>
      </c>
      <c r="E17" s="279">
        <f>[3]Brewhouse!$AG196</f>
        <v>48.9</v>
      </c>
      <c r="F17" s="278">
        <f>[3]Brewhouse!$V196</f>
        <v>58</v>
      </c>
      <c r="G17" s="279">
        <f>[3]Brewhouse!$AE196</f>
        <v>12.5</v>
      </c>
      <c r="H17" s="482">
        <v>12.3</v>
      </c>
      <c r="I17" s="368">
        <f>[3]Brewhouse!$AS196</f>
        <v>103.1035390938454</v>
      </c>
      <c r="J17" s="368">
        <f>[3]Brewhouse!$AT196</f>
        <v>104.30256733617517</v>
      </c>
      <c r="K17" s="281">
        <f>[3]Brewhouse!$Q196</f>
        <v>14.453860640301313</v>
      </c>
      <c r="L17" s="276">
        <f>[3]Brewhouse!$P196</f>
        <v>59</v>
      </c>
      <c r="M17" s="374">
        <f>[3]Brewhouse!$U196-[3]Brewhouse!$T196</f>
        <v>0.11250000000000004</v>
      </c>
      <c r="N17" s="487">
        <f>[3]Brewhouse!$AW196</f>
        <v>0.27430555555555558</v>
      </c>
      <c r="O17" s="371" t="str">
        <f>[3]Brewhouse!$AV196</f>
        <v>R.Sookram</v>
      </c>
      <c r="P17" s="418"/>
      <c r="R17" s="277" t="str">
        <f t="shared" si="0"/>
        <v>STAG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2:26" ht="15">
      <c r="B18" s="33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2:26" ht="15">
      <c r="B19" s="33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2:26" ht="15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ref="R20:R53" si="9">B20</f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2:26" ht="15" hidden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0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2:26" ht="15" hidden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0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2:26" ht="15" hidden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420"/>
      <c r="P23" s="418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2:26" ht="15" hidden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420"/>
      <c r="P24" s="418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2:26" ht="15" hidden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420"/>
      <c r="P25" s="418"/>
      <c r="R25" s="277">
        <f t="shared" si="9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2:26" ht="15" hidden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420"/>
      <c r="P26" s="418"/>
      <c r="R26" s="277">
        <f t="shared" si="9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2:26" ht="15" hidden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420"/>
      <c r="P27" s="418"/>
      <c r="R27" s="277">
        <f t="shared" si="9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2:26" ht="15" hidden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420"/>
      <c r="P28" s="418"/>
      <c r="R28" s="277">
        <f t="shared" si="9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2:26" ht="15" hidden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420"/>
      <c r="P29" s="418"/>
      <c r="R29" s="277">
        <f t="shared" si="9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2:26" ht="15" hidden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97"/>
      <c r="N30" s="370"/>
      <c r="O30" s="420"/>
      <c r="P30" s="418"/>
      <c r="R30" s="277">
        <f t="shared" ref="R30:R37" si="10">B30</f>
        <v>0</v>
      </c>
      <c r="S30" s="472" t="e">
        <f t="shared" ref="S30:S53" si="11">VLOOKUP($B30,$R$3:$X$9,2,FALSE)</f>
        <v>#N/A</v>
      </c>
      <c r="T30" s="472" t="e">
        <f t="shared" ref="T30:T53" si="12">VLOOKUP($B30,$R$3:$X$9,3,FALSE)</f>
        <v>#N/A</v>
      </c>
      <c r="U30" s="297" t="e">
        <f t="shared" ref="U30:U53" si="13">VLOOKUP($B30,$R$3:$X$9,4,FALSE)</f>
        <v>#N/A</v>
      </c>
      <c r="V30" s="297" t="e">
        <f t="shared" ref="V30:V53" si="14">VLOOKUP($B30,$R$3:$X$9,5,FALSE)</f>
        <v>#N/A</v>
      </c>
      <c r="W30" s="297" t="e">
        <f t="shared" ref="W30:W53" si="15">VLOOKUP($B30,$R$3:$X$9,6,FALSE)</f>
        <v>#N/A</v>
      </c>
      <c r="X30" s="297" t="e">
        <f t="shared" ref="X30:X53" si="16">VLOOKUP($B30,$R$3:$X$9,7,FALSE)</f>
        <v>#N/A</v>
      </c>
      <c r="Y30" s="297" t="e">
        <f t="shared" ref="Y30:Y53" si="17">VLOOKUP($B30,$R$3:$Z$9,8,FALSE)</f>
        <v>#N/A</v>
      </c>
      <c r="Z30" s="472" t="e">
        <f t="shared" ref="Z30:Z53" si="18">VLOOKUP($B30,$R$3:$Z$9,9,FALSE)</f>
        <v>#N/A</v>
      </c>
    </row>
    <row r="31" spans="2:26" ht="15" hidden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0"/>
      <c r="O31" s="420"/>
      <c r="P31" s="418"/>
      <c r="R31" s="277">
        <f t="shared" si="1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2:26" ht="15" hidden="1">
      <c r="B32" s="29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97"/>
      <c r="N32" s="370"/>
      <c r="O32" s="420"/>
      <c r="P32" s="418"/>
      <c r="R32" s="277">
        <f t="shared" si="1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26" ht="15" hidden="1">
      <c r="B33" s="33"/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374"/>
      <c r="N33" s="370"/>
      <c r="O33" s="371"/>
      <c r="P33" s="418"/>
      <c r="R33" s="277">
        <f t="shared" si="1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26" ht="15" hidden="1">
      <c r="B34" s="33"/>
      <c r="C34" s="366"/>
      <c r="D34" s="279"/>
      <c r="E34" s="279"/>
      <c r="F34" s="278"/>
      <c r="G34" s="279"/>
      <c r="H34" s="396"/>
      <c r="I34" s="368"/>
      <c r="J34" s="368"/>
      <c r="K34" s="281"/>
      <c r="L34" s="276"/>
      <c r="M34" s="374"/>
      <c r="N34" s="370"/>
      <c r="O34" s="371"/>
      <c r="P34" s="418"/>
      <c r="R34" s="277">
        <f t="shared" si="1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26" ht="15" hidden="1">
      <c r="B35" s="33"/>
      <c r="C35" s="366"/>
      <c r="D35" s="279"/>
      <c r="E35" s="279"/>
      <c r="F35" s="278"/>
      <c r="G35" s="279"/>
      <c r="H35" s="396"/>
      <c r="I35" s="368"/>
      <c r="J35" s="368"/>
      <c r="K35" s="281"/>
      <c r="L35" s="276"/>
      <c r="M35" s="374"/>
      <c r="N35" s="370"/>
      <c r="O35" s="371"/>
      <c r="P35" s="418"/>
      <c r="R35" s="277">
        <f t="shared" si="1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</row>
    <row r="36" spans="1:26" ht="15" hidden="1">
      <c r="B36" s="34"/>
      <c r="C36" s="366"/>
      <c r="D36" s="279"/>
      <c r="E36" s="279"/>
      <c r="F36" s="278"/>
      <c r="G36" s="279"/>
      <c r="H36" s="396"/>
      <c r="I36" s="484"/>
      <c r="J36" s="484"/>
      <c r="K36" s="485"/>
      <c r="L36" s="276"/>
      <c r="M36" s="374"/>
      <c r="N36" s="370"/>
      <c r="O36" s="420"/>
      <c r="P36" s="418"/>
      <c r="R36" s="277">
        <f t="shared" si="1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</row>
    <row r="37" spans="1:26" ht="15" hidden="1">
      <c r="B37" s="34"/>
      <c r="C37" s="366"/>
      <c r="D37" s="279"/>
      <c r="E37" s="279"/>
      <c r="F37" s="278"/>
      <c r="G37" s="279"/>
      <c r="H37" s="396"/>
      <c r="I37" s="484"/>
      <c r="J37" s="484"/>
      <c r="K37" s="485"/>
      <c r="L37" s="276"/>
      <c r="M37" s="374"/>
      <c r="N37" s="370"/>
      <c r="O37" s="420"/>
      <c r="P37" s="418"/>
      <c r="R37" s="277">
        <f t="shared" si="1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</row>
    <row r="38" spans="1:26" ht="18" hidden="1" customHeight="1">
      <c r="B38" s="29"/>
      <c r="C38" s="366"/>
      <c r="D38" s="279"/>
      <c r="E38" s="279"/>
      <c r="F38" s="278"/>
      <c r="G38" s="279"/>
      <c r="H38" s="482"/>
      <c r="I38" s="368"/>
      <c r="J38" s="368"/>
      <c r="K38" s="281"/>
      <c r="L38" s="276"/>
      <c r="M38" s="374"/>
      <c r="N38" s="370"/>
      <c r="O38" s="371"/>
      <c r="P38" s="418"/>
      <c r="R38" s="277">
        <f t="shared" si="9"/>
        <v>0</v>
      </c>
      <c r="S38" s="472" t="e">
        <f t="shared" si="11"/>
        <v>#N/A</v>
      </c>
      <c r="T38" s="472" t="e">
        <f t="shared" si="12"/>
        <v>#N/A</v>
      </c>
      <c r="U38" s="297" t="e">
        <f t="shared" si="13"/>
        <v>#N/A</v>
      </c>
      <c r="V38" s="297" t="e">
        <f t="shared" si="14"/>
        <v>#N/A</v>
      </c>
      <c r="W38" s="297" t="e">
        <f t="shared" si="15"/>
        <v>#N/A</v>
      </c>
      <c r="X38" s="297" t="e">
        <f t="shared" si="16"/>
        <v>#N/A</v>
      </c>
      <c r="Y38" s="297" t="e">
        <f t="shared" si="17"/>
        <v>#N/A</v>
      </c>
      <c r="Z38" s="472" t="e">
        <f t="shared" si="18"/>
        <v>#N/A</v>
      </c>
    </row>
    <row r="39" spans="1:26" ht="16.5" hidden="1" customHeight="1">
      <c r="B39" s="29"/>
      <c r="C39" s="366"/>
      <c r="D39" s="279"/>
      <c r="E39" s="279"/>
      <c r="F39" s="278"/>
      <c r="G39" s="279"/>
      <c r="H39" s="396"/>
      <c r="I39" s="368"/>
      <c r="J39" s="368"/>
      <c r="K39" s="281"/>
      <c r="L39" s="276"/>
      <c r="M39" s="397"/>
      <c r="N39" s="370"/>
      <c r="O39" s="371"/>
      <c r="P39" s="418"/>
      <c r="R39" s="277">
        <f t="shared" si="9"/>
        <v>0</v>
      </c>
      <c r="S39" s="472" t="e">
        <f t="shared" si="11"/>
        <v>#N/A</v>
      </c>
      <c r="T39" s="472" t="e">
        <f t="shared" si="12"/>
        <v>#N/A</v>
      </c>
      <c r="U39" s="297" t="e">
        <f t="shared" si="13"/>
        <v>#N/A</v>
      </c>
      <c r="V39" s="297" t="e">
        <f t="shared" si="14"/>
        <v>#N/A</v>
      </c>
      <c r="W39" s="297" t="e">
        <f t="shared" si="15"/>
        <v>#N/A</v>
      </c>
      <c r="X39" s="297" t="e">
        <f t="shared" si="16"/>
        <v>#N/A</v>
      </c>
      <c r="Y39" s="297" t="e">
        <f t="shared" si="17"/>
        <v>#N/A</v>
      </c>
      <c r="Z39" s="472" t="e">
        <f t="shared" si="18"/>
        <v>#N/A</v>
      </c>
    </row>
    <row r="40" spans="1:26" ht="15.75" customHeight="1" thickBot="1">
      <c r="B40" s="358"/>
      <c r="C40" s="358"/>
      <c r="D40" s="358"/>
      <c r="E40" s="358"/>
      <c r="F40" s="294"/>
      <c r="G40" s="294"/>
      <c r="H40" s="348"/>
      <c r="I40" s="533"/>
      <c r="J40" s="533"/>
      <c r="K40" s="533"/>
      <c r="L40" s="533"/>
      <c r="M40" s="533"/>
      <c r="N40" s="533"/>
      <c r="O40" s="1"/>
      <c r="P40" s="12"/>
      <c r="R40" s="277">
        <f t="shared" si="9"/>
        <v>0</v>
      </c>
      <c r="S40" s="472" t="e">
        <f t="shared" si="11"/>
        <v>#N/A</v>
      </c>
      <c r="T40" s="472" t="e">
        <f t="shared" si="12"/>
        <v>#N/A</v>
      </c>
      <c r="U40" s="297" t="e">
        <f t="shared" si="13"/>
        <v>#N/A</v>
      </c>
      <c r="V40" s="297" t="e">
        <f t="shared" si="14"/>
        <v>#N/A</v>
      </c>
      <c r="W40" s="297" t="e">
        <f t="shared" si="15"/>
        <v>#N/A</v>
      </c>
      <c r="X40" s="297" t="e">
        <f t="shared" si="16"/>
        <v>#N/A</v>
      </c>
      <c r="Y40" s="297" t="e">
        <f t="shared" si="17"/>
        <v>#N/A</v>
      </c>
      <c r="Z40" s="472" t="e">
        <f t="shared" si="18"/>
        <v>#N/A</v>
      </c>
    </row>
    <row r="41" spans="1:26" ht="15.75" customHeight="1" thickBot="1">
      <c r="B41" s="388" t="s">
        <v>162</v>
      </c>
      <c r="C41" s="388"/>
      <c r="D41" s="534" t="s">
        <v>35</v>
      </c>
      <c r="E41" s="535"/>
      <c r="F41" s="294"/>
      <c r="G41" s="294"/>
      <c r="H41" s="348"/>
      <c r="I41" s="24" t="s">
        <v>17</v>
      </c>
      <c r="J41" s="25"/>
      <c r="K41" s="26" t="s">
        <v>138</v>
      </c>
      <c r="L41" s="25" t="s">
        <v>37</v>
      </c>
      <c r="M41" s="25" t="s">
        <v>38</v>
      </c>
      <c r="N41" s="27" t="s">
        <v>39</v>
      </c>
      <c r="O41" s="294"/>
      <c r="P41" s="12"/>
      <c r="R41" s="277" t="str">
        <f t="shared" si="9"/>
        <v xml:space="preserve">BRAND </v>
      </c>
      <c r="S41" s="472" t="e">
        <f t="shared" si="11"/>
        <v>#N/A</v>
      </c>
      <c r="T41" s="472" t="e">
        <f t="shared" si="12"/>
        <v>#N/A</v>
      </c>
      <c r="U41" s="297" t="e">
        <f t="shared" si="13"/>
        <v>#N/A</v>
      </c>
      <c r="V41" s="297" t="e">
        <f t="shared" si="14"/>
        <v>#N/A</v>
      </c>
      <c r="W41" s="297" t="e">
        <f t="shared" si="15"/>
        <v>#N/A</v>
      </c>
      <c r="X41" s="297" t="e">
        <f t="shared" si="16"/>
        <v>#N/A</v>
      </c>
      <c r="Y41" s="297" t="e">
        <f t="shared" si="17"/>
        <v>#N/A</v>
      </c>
      <c r="Z41" s="472" t="e">
        <f t="shared" si="18"/>
        <v>#N/A</v>
      </c>
    </row>
    <row r="42" spans="1:26" ht="15" customHeight="1">
      <c r="A42" s="28"/>
      <c r="B42" s="519"/>
      <c r="C42" s="362"/>
      <c r="D42" s="537"/>
      <c r="E42" s="538"/>
      <c r="F42" s="294"/>
      <c r="G42" s="294"/>
      <c r="H42" s="348"/>
      <c r="I42" s="29" t="s">
        <v>6</v>
      </c>
      <c r="J42" s="323"/>
      <c r="K42" s="284">
        <f>COUNTA([4]Brewhouse!$B$292:$B$310)</f>
        <v>19</v>
      </c>
      <c r="L42" s="305">
        <f>AVERAGE([4]Brewhouse!$AU$292:$AU$310)</f>
        <v>98.494595819433158</v>
      </c>
      <c r="M42" s="305">
        <f>AVERAGE([4]Brewhouse!$AU$42:$AU$123,[4]Brewhouse!$AU$125:$AU$188,[4]Brewhouse!$AU$198:$AU$290,[4]Brewhouse!$AU$292:$AU$310)</f>
        <v>97.921450800093666</v>
      </c>
      <c r="N42" s="30">
        <v>98</v>
      </c>
      <c r="O42" s="11"/>
      <c r="P42" s="31"/>
      <c r="R42" s="277">
        <f t="shared" si="9"/>
        <v>0</v>
      </c>
      <c r="S42" s="472" t="e">
        <f t="shared" si="11"/>
        <v>#N/A</v>
      </c>
      <c r="T42" s="472" t="e">
        <f t="shared" si="12"/>
        <v>#N/A</v>
      </c>
      <c r="U42" s="297" t="e">
        <f t="shared" si="13"/>
        <v>#N/A</v>
      </c>
      <c r="V42" s="297" t="e">
        <f t="shared" si="14"/>
        <v>#N/A</v>
      </c>
      <c r="W42" s="297" t="e">
        <f t="shared" si="15"/>
        <v>#N/A</v>
      </c>
      <c r="X42" s="297" t="e">
        <f t="shared" si="16"/>
        <v>#N/A</v>
      </c>
      <c r="Y42" s="297" t="e">
        <f t="shared" si="17"/>
        <v>#N/A</v>
      </c>
      <c r="Z42" s="472" t="e">
        <f t="shared" si="18"/>
        <v>#N/A</v>
      </c>
    </row>
    <row r="43" spans="1:26" ht="15" customHeight="1">
      <c r="A43" s="28"/>
      <c r="B43" s="520"/>
      <c r="C43" s="362"/>
      <c r="D43" s="539"/>
      <c r="E43" s="525"/>
      <c r="F43" s="294"/>
      <c r="G43" s="294"/>
      <c r="H43" s="348"/>
      <c r="I43" s="33" t="s">
        <v>9</v>
      </c>
      <c r="J43" s="280">
        <f>AVERAGE(I10:I17)</f>
        <v>98.623676035066453</v>
      </c>
      <c r="K43" s="284">
        <f>COUNTA([3]Brewhouse!$A$179:$A$196)</f>
        <v>18</v>
      </c>
      <c r="L43" s="302">
        <f>AVERAGE([3]Brewhouse!$AS$179:$AS$196)</f>
        <v>99.09333976474062</v>
      </c>
      <c r="M43" s="302">
        <f>AVERAGE([3]Brewhouse!$AS$52:$AS$81,[3]Brewhouse!$AS$83:$AS$124,[3]Brewhouse!$AS$134:$AS$177,[3]Brewhouse!$AS$179:$AS$196)</f>
        <v>98.520140869004209</v>
      </c>
      <c r="N43" s="30">
        <v>98</v>
      </c>
      <c r="O43" s="11"/>
      <c r="P43" s="31"/>
      <c r="R43" s="277">
        <f t="shared" si="9"/>
        <v>0</v>
      </c>
      <c r="S43" s="472" t="e">
        <f t="shared" si="11"/>
        <v>#N/A</v>
      </c>
      <c r="T43" s="472" t="e">
        <f t="shared" si="12"/>
        <v>#N/A</v>
      </c>
      <c r="U43" s="297" t="e">
        <f t="shared" si="13"/>
        <v>#N/A</v>
      </c>
      <c r="V43" s="297" t="e">
        <f t="shared" si="14"/>
        <v>#N/A</v>
      </c>
      <c r="W43" s="297" t="e">
        <f t="shared" si="15"/>
        <v>#N/A</v>
      </c>
      <c r="X43" s="297" t="e">
        <f t="shared" si="16"/>
        <v>#N/A</v>
      </c>
      <c r="Y43" s="297" t="e">
        <f t="shared" si="17"/>
        <v>#N/A</v>
      </c>
      <c r="Z43" s="472" t="e">
        <f t="shared" si="18"/>
        <v>#N/A</v>
      </c>
    </row>
    <row r="44" spans="1:26" ht="14.65" customHeight="1">
      <c r="A44" s="28"/>
      <c r="B44" s="520"/>
      <c r="C44" s="362"/>
      <c r="D44" s="529"/>
      <c r="E44" s="530"/>
      <c r="F44" s="294"/>
      <c r="G44" s="294"/>
      <c r="H44" s="348"/>
      <c r="I44" s="34" t="s">
        <v>12</v>
      </c>
      <c r="J44" s="280"/>
      <c r="K44" s="284">
        <f>COUNTA([5]Brewhouse!$A$43:$A$50)</f>
        <v>8</v>
      </c>
      <c r="L44" s="302">
        <f>AVERAGE([5]Brewhouse!$AU$43:$AU$50)</f>
        <v>96.223405821152667</v>
      </c>
      <c r="M44" s="302">
        <f>AVERAGE([5]Brewhouse!$AU$16:$AU$23,[5]Brewhouse!$AU$25:$AU$32,[5]Brewhouse!$AU$34:$AU$41,[5]Brewhouse!$AU$43:$AU$50)</f>
        <v>96.904441824349703</v>
      </c>
      <c r="N44" s="30">
        <v>98</v>
      </c>
      <c r="O44" s="11"/>
      <c r="P44" s="31"/>
      <c r="R44" s="277">
        <f t="shared" si="9"/>
        <v>0</v>
      </c>
      <c r="S44" s="472" t="e">
        <f t="shared" si="11"/>
        <v>#N/A</v>
      </c>
      <c r="T44" s="472" t="e">
        <f t="shared" si="12"/>
        <v>#N/A</v>
      </c>
      <c r="U44" s="297" t="e">
        <f t="shared" si="13"/>
        <v>#N/A</v>
      </c>
      <c r="V44" s="297" t="e">
        <f t="shared" si="14"/>
        <v>#N/A</v>
      </c>
      <c r="W44" s="297" t="e">
        <f t="shared" si="15"/>
        <v>#N/A</v>
      </c>
      <c r="X44" s="297" t="e">
        <f t="shared" si="16"/>
        <v>#N/A</v>
      </c>
      <c r="Y44" s="297" t="e">
        <f t="shared" si="17"/>
        <v>#N/A</v>
      </c>
      <c r="Z44" s="472" t="e">
        <f t="shared" si="18"/>
        <v>#N/A</v>
      </c>
    </row>
    <row r="45" spans="1:26" ht="14.65" customHeight="1">
      <c r="A45" s="28"/>
      <c r="B45" s="520"/>
      <c r="C45" s="362"/>
      <c r="D45" s="524"/>
      <c r="E45" s="525"/>
      <c r="F45" s="294"/>
      <c r="G45" s="294"/>
      <c r="H45" s="348"/>
      <c r="I45" s="22" t="s">
        <v>33</v>
      </c>
      <c r="J45" s="280"/>
      <c r="K45" s="284"/>
      <c r="L45" s="302"/>
      <c r="M45" s="302">
        <f>AVERAGE([6]Brewhouse!$AV$23:$AV$34,[6]Brewhouse!$AV$36,[6]Brewhouse!$AV$38:$AV$52)</f>
        <v>97.639832259312456</v>
      </c>
      <c r="N45" s="30">
        <v>98</v>
      </c>
      <c r="O45" s="11"/>
      <c r="P45" s="31"/>
      <c r="R45" s="277">
        <f t="shared" si="9"/>
        <v>0</v>
      </c>
      <c r="S45" s="472" t="e">
        <f t="shared" si="11"/>
        <v>#N/A</v>
      </c>
      <c r="T45" s="472" t="e">
        <f t="shared" si="12"/>
        <v>#N/A</v>
      </c>
      <c r="U45" s="297" t="e">
        <f t="shared" si="13"/>
        <v>#N/A</v>
      </c>
      <c r="V45" s="297" t="e">
        <f t="shared" si="14"/>
        <v>#N/A</v>
      </c>
      <c r="W45" s="297" t="e">
        <f t="shared" si="15"/>
        <v>#N/A</v>
      </c>
      <c r="X45" s="297" t="e">
        <f t="shared" si="16"/>
        <v>#N/A</v>
      </c>
      <c r="Y45" s="297" t="e">
        <f t="shared" si="17"/>
        <v>#N/A</v>
      </c>
      <c r="Z45" s="472" t="e">
        <f t="shared" si="18"/>
        <v>#N/A</v>
      </c>
    </row>
    <row r="46" spans="1:26" ht="14.65" customHeight="1">
      <c r="A46" s="28"/>
      <c r="B46" s="520"/>
      <c r="C46" s="362"/>
      <c r="D46" s="529"/>
      <c r="E46" s="530"/>
      <c r="F46" s="417"/>
      <c r="G46" s="294"/>
      <c r="H46" s="348"/>
      <c r="I46" s="35" t="s">
        <v>29</v>
      </c>
      <c r="J46" s="280"/>
      <c r="K46" s="284"/>
      <c r="L46" s="302"/>
      <c r="M46" s="302"/>
      <c r="N46" s="30">
        <v>98</v>
      </c>
      <c r="O46" s="11"/>
      <c r="P46" s="31"/>
      <c r="R46" s="277">
        <f t="shared" si="9"/>
        <v>0</v>
      </c>
      <c r="S46" s="472" t="e">
        <f t="shared" si="11"/>
        <v>#N/A</v>
      </c>
      <c r="T46" s="472" t="e">
        <f t="shared" si="12"/>
        <v>#N/A</v>
      </c>
      <c r="U46" s="297" t="e">
        <f t="shared" si="13"/>
        <v>#N/A</v>
      </c>
      <c r="V46" s="297" t="e">
        <f t="shared" si="14"/>
        <v>#N/A</v>
      </c>
      <c r="W46" s="297" t="e">
        <f t="shared" si="15"/>
        <v>#N/A</v>
      </c>
      <c r="X46" s="297" t="e">
        <f t="shared" si="16"/>
        <v>#N/A</v>
      </c>
      <c r="Y46" s="297" t="e">
        <f t="shared" si="17"/>
        <v>#N/A</v>
      </c>
      <c r="Z46" s="472" t="e">
        <f t="shared" si="18"/>
        <v>#N/A</v>
      </c>
    </row>
    <row r="47" spans="1:26" ht="14.65" customHeight="1">
      <c r="A47" s="28"/>
      <c r="B47" s="520"/>
      <c r="C47" s="362"/>
      <c r="D47" s="524"/>
      <c r="E47" s="525"/>
      <c r="F47" s="417"/>
      <c r="G47" s="294"/>
      <c r="H47" s="348"/>
      <c r="I47" s="36" t="s">
        <v>15</v>
      </c>
      <c r="J47" s="323"/>
      <c r="K47" s="284"/>
      <c r="L47" s="302"/>
      <c r="M47" s="302">
        <f>AVERAGE([7]Brewhouse!$AT$4:$AT$11)</f>
        <v>92.826224508052405</v>
      </c>
      <c r="N47" s="30">
        <v>98</v>
      </c>
      <c r="O47" s="11"/>
      <c r="P47" s="31"/>
      <c r="R47" s="277">
        <f t="shared" si="9"/>
        <v>0</v>
      </c>
      <c r="S47" s="472" t="e">
        <f t="shared" si="11"/>
        <v>#N/A</v>
      </c>
      <c r="T47" s="472" t="e">
        <f t="shared" si="12"/>
        <v>#N/A</v>
      </c>
      <c r="U47" s="297" t="e">
        <f t="shared" si="13"/>
        <v>#N/A</v>
      </c>
      <c r="V47" s="297" t="e">
        <f t="shared" si="14"/>
        <v>#N/A</v>
      </c>
      <c r="W47" s="297" t="e">
        <f t="shared" si="15"/>
        <v>#N/A</v>
      </c>
      <c r="X47" s="297" t="e">
        <f t="shared" si="16"/>
        <v>#N/A</v>
      </c>
      <c r="Y47" s="297" t="e">
        <f t="shared" si="17"/>
        <v>#N/A</v>
      </c>
      <c r="Z47" s="472" t="e">
        <f t="shared" si="18"/>
        <v>#N/A</v>
      </c>
    </row>
    <row r="48" spans="1:26" ht="14.65" customHeight="1">
      <c r="A48" s="28"/>
      <c r="B48" s="520"/>
      <c r="C48" s="362"/>
      <c r="D48" s="529"/>
      <c r="E48" s="530"/>
      <c r="F48" s="417"/>
      <c r="G48" s="294"/>
      <c r="H48" s="348"/>
      <c r="I48" s="37" t="s">
        <v>16</v>
      </c>
      <c r="J48" s="323"/>
      <c r="K48" s="284"/>
      <c r="L48" s="302"/>
      <c r="M48" s="302">
        <f>AVERAGE([8]Brewhouse!$AY$5:$AY$14,[8]Brewhouse!$AY$16:$AY$23,[8]Brewhouse!$AY$42)</f>
        <v>97.390503559857137</v>
      </c>
      <c r="N48" s="30">
        <v>98</v>
      </c>
      <c r="O48" s="11"/>
      <c r="P48" s="31" t="s">
        <v>41</v>
      </c>
      <c r="R48" s="277">
        <f t="shared" si="9"/>
        <v>0</v>
      </c>
      <c r="S48" s="472" t="e">
        <f t="shared" si="11"/>
        <v>#N/A</v>
      </c>
      <c r="T48" s="472" t="e">
        <f t="shared" si="12"/>
        <v>#N/A</v>
      </c>
      <c r="U48" s="297" t="e">
        <f t="shared" si="13"/>
        <v>#N/A</v>
      </c>
      <c r="V48" s="297" t="e">
        <f t="shared" si="14"/>
        <v>#N/A</v>
      </c>
      <c r="W48" s="297" t="e">
        <f t="shared" si="15"/>
        <v>#N/A</v>
      </c>
      <c r="X48" s="297" t="e">
        <f t="shared" si="16"/>
        <v>#N/A</v>
      </c>
      <c r="Y48" s="297" t="e">
        <f t="shared" si="17"/>
        <v>#N/A</v>
      </c>
      <c r="Z48" s="472" t="e">
        <f t="shared" si="18"/>
        <v>#N/A</v>
      </c>
    </row>
    <row r="49" spans="1:56" ht="14.65" customHeight="1">
      <c r="A49" s="28"/>
      <c r="B49" s="520"/>
      <c r="C49" s="362"/>
      <c r="D49" s="524"/>
      <c r="E49" s="525"/>
      <c r="F49" s="294"/>
      <c r="G49" s="294"/>
      <c r="H49" s="348"/>
      <c r="I49" s="411" t="s">
        <v>158</v>
      </c>
      <c r="J49" s="326"/>
      <c r="K49" s="284"/>
      <c r="L49" s="305"/>
      <c r="M49" s="305"/>
      <c r="N49" s="30">
        <v>98</v>
      </c>
      <c r="O49" s="11"/>
      <c r="P49" s="31"/>
      <c r="R49" s="277">
        <f t="shared" si="9"/>
        <v>0</v>
      </c>
      <c r="S49" s="472" t="e">
        <f t="shared" si="11"/>
        <v>#N/A</v>
      </c>
      <c r="T49" s="472" t="e">
        <f t="shared" si="12"/>
        <v>#N/A</v>
      </c>
      <c r="U49" s="297" t="e">
        <f t="shared" si="13"/>
        <v>#N/A</v>
      </c>
      <c r="V49" s="297" t="e">
        <f t="shared" si="14"/>
        <v>#N/A</v>
      </c>
      <c r="W49" s="297" t="e">
        <f t="shared" si="15"/>
        <v>#N/A</v>
      </c>
      <c r="X49" s="297" t="e">
        <f t="shared" si="16"/>
        <v>#N/A</v>
      </c>
      <c r="Y49" s="297" t="e">
        <f t="shared" si="17"/>
        <v>#N/A</v>
      </c>
      <c r="Z49" s="472" t="e">
        <f t="shared" si="18"/>
        <v>#N/A</v>
      </c>
    </row>
    <row r="50" spans="1:56" ht="14.65" customHeight="1">
      <c r="A50" s="28"/>
      <c r="B50" s="520"/>
      <c r="C50" s="349"/>
      <c r="D50" s="529"/>
      <c r="E50" s="530"/>
      <c r="F50" s="294"/>
      <c r="G50" s="294"/>
      <c r="H50" s="348"/>
      <c r="I50" s="410" t="s">
        <v>157</v>
      </c>
      <c r="J50" s="326"/>
      <c r="K50" s="284"/>
      <c r="L50" s="305"/>
      <c r="M50" s="305"/>
      <c r="N50" s="30">
        <v>98</v>
      </c>
      <c r="O50" s="11"/>
      <c r="P50" s="31"/>
      <c r="R50" s="277">
        <f t="shared" si="9"/>
        <v>0</v>
      </c>
      <c r="S50" s="472" t="e">
        <f t="shared" si="11"/>
        <v>#N/A</v>
      </c>
      <c r="T50" s="472" t="e">
        <f t="shared" si="12"/>
        <v>#N/A</v>
      </c>
      <c r="U50" s="297" t="e">
        <f t="shared" si="13"/>
        <v>#N/A</v>
      </c>
      <c r="V50" s="297" t="e">
        <f t="shared" si="14"/>
        <v>#N/A</v>
      </c>
      <c r="W50" s="297" t="e">
        <f t="shared" si="15"/>
        <v>#N/A</v>
      </c>
      <c r="X50" s="297" t="e">
        <f t="shared" si="16"/>
        <v>#N/A</v>
      </c>
      <c r="Y50" s="297" t="e">
        <f t="shared" si="17"/>
        <v>#N/A</v>
      </c>
      <c r="Z50" s="472" t="e">
        <f t="shared" si="18"/>
        <v>#N/A</v>
      </c>
      <c r="AA50" s="472"/>
    </row>
    <row r="51" spans="1:56" ht="15" customHeight="1" thickBot="1">
      <c r="A51" s="28"/>
      <c r="B51" s="520"/>
      <c r="C51" s="349"/>
      <c r="D51" s="524"/>
      <c r="E51" s="525"/>
      <c r="F51" s="294"/>
      <c r="G51" s="294"/>
      <c r="H51" s="348"/>
      <c r="I51" s="406" t="s">
        <v>156</v>
      </c>
      <c r="J51" s="327"/>
      <c r="K51" s="407"/>
      <c r="L51" s="408"/>
      <c r="M51" s="408"/>
      <c r="N51" s="409">
        <v>98</v>
      </c>
      <c r="O51" s="11"/>
      <c r="P51" s="31"/>
      <c r="R51" s="277">
        <f t="shared" si="9"/>
        <v>0</v>
      </c>
      <c r="S51" s="472" t="e">
        <f t="shared" si="11"/>
        <v>#N/A</v>
      </c>
      <c r="T51" s="472" t="e">
        <f t="shared" si="12"/>
        <v>#N/A</v>
      </c>
      <c r="U51" s="297" t="e">
        <f t="shared" si="13"/>
        <v>#N/A</v>
      </c>
      <c r="V51" s="297" t="e">
        <f t="shared" si="14"/>
        <v>#N/A</v>
      </c>
      <c r="W51" s="297" t="e">
        <f t="shared" si="15"/>
        <v>#N/A</v>
      </c>
      <c r="X51" s="297" t="e">
        <f t="shared" si="16"/>
        <v>#N/A</v>
      </c>
      <c r="Y51" s="297" t="e">
        <f t="shared" si="17"/>
        <v>#N/A</v>
      </c>
      <c r="Z51" s="472" t="e">
        <f t="shared" si="18"/>
        <v>#N/A</v>
      </c>
      <c r="AA51" s="472"/>
    </row>
    <row r="52" spans="1:56" ht="15" customHeight="1" thickBot="1">
      <c r="A52" s="28"/>
      <c r="B52" s="520"/>
      <c r="C52" s="349"/>
      <c r="D52" s="537"/>
      <c r="E52" s="538"/>
      <c r="F52" s="294"/>
      <c r="G52" s="294"/>
      <c r="H52" s="348"/>
      <c r="I52" s="1"/>
      <c r="J52" s="39"/>
      <c r="K52" s="404">
        <f>SUM(K42:K51)</f>
        <v>45</v>
      </c>
      <c r="L52" s="405">
        <f>((L42*K42)+(L43*K43)+(L44*K44)+(L45*K45)+(L46*K46)+(K49*L49)+(L47*K47)+(L48*K48)+(L51*K51))/(K52)</f>
        <v>98.330326286750719</v>
      </c>
      <c r="M52" s="405">
        <f>AVERAGE('[9]Jan30th-31st'!$L$42,L52)</f>
        <v>98.079184011296093</v>
      </c>
      <c r="N52" s="40">
        <v>98</v>
      </c>
      <c r="O52" s="11"/>
      <c r="P52" s="31"/>
      <c r="R52" s="277">
        <f t="shared" si="9"/>
        <v>0</v>
      </c>
      <c r="S52" s="472" t="e">
        <f t="shared" si="11"/>
        <v>#N/A</v>
      </c>
      <c r="T52" s="472" t="e">
        <f t="shared" si="12"/>
        <v>#N/A</v>
      </c>
      <c r="U52" s="297" t="e">
        <f t="shared" si="13"/>
        <v>#N/A</v>
      </c>
      <c r="V52" s="297" t="e">
        <f t="shared" si="14"/>
        <v>#N/A</v>
      </c>
      <c r="W52" s="297" t="e">
        <f t="shared" si="15"/>
        <v>#N/A</v>
      </c>
      <c r="X52" s="297" t="e">
        <f t="shared" si="16"/>
        <v>#N/A</v>
      </c>
      <c r="Y52" s="297" t="e">
        <f t="shared" si="17"/>
        <v>#N/A</v>
      </c>
      <c r="Z52" s="472" t="e">
        <f t="shared" si="18"/>
        <v>#N/A</v>
      </c>
      <c r="AA52" s="472"/>
    </row>
    <row r="53" spans="1:56" ht="15.75" thickBot="1">
      <c r="B53" s="536"/>
      <c r="C53" s="350"/>
      <c r="D53" s="539"/>
      <c r="E53" s="525"/>
      <c r="F53" s="294"/>
      <c r="G53" s="42"/>
      <c r="H53" s="41"/>
      <c r="I53" s="42"/>
      <c r="J53" s="42"/>
      <c r="K53" s="351"/>
      <c r="L53" s="348"/>
      <c r="M53" s="348"/>
      <c r="N53" s="11"/>
      <c r="O53" s="294"/>
      <c r="P53" s="12"/>
      <c r="R53" s="277">
        <f t="shared" si="9"/>
        <v>0</v>
      </c>
      <c r="S53" s="472" t="e">
        <f t="shared" si="11"/>
        <v>#N/A</v>
      </c>
      <c r="T53" s="472" t="e">
        <f t="shared" si="12"/>
        <v>#N/A</v>
      </c>
      <c r="U53" s="297" t="e">
        <f t="shared" si="13"/>
        <v>#N/A</v>
      </c>
      <c r="V53" s="297" t="e">
        <f t="shared" si="14"/>
        <v>#N/A</v>
      </c>
      <c r="W53" s="297" t="e">
        <f t="shared" si="15"/>
        <v>#N/A</v>
      </c>
      <c r="X53" s="297" t="e">
        <f t="shared" si="16"/>
        <v>#N/A</v>
      </c>
      <c r="Y53" s="297" t="e">
        <f t="shared" si="17"/>
        <v>#N/A</v>
      </c>
      <c r="Z53" s="472" t="e">
        <f t="shared" si="18"/>
        <v>#N/A</v>
      </c>
      <c r="AA53" s="472"/>
    </row>
    <row r="54" spans="1:56" ht="15.75" thickBot="1">
      <c r="B54" s="519"/>
      <c r="C54" s="362"/>
      <c r="D54" s="522"/>
      <c r="E54" s="523"/>
      <c r="F54" s="294"/>
      <c r="G54" s="42"/>
      <c r="H54" s="41"/>
      <c r="I54" s="42"/>
      <c r="J54" s="526" t="s">
        <v>129</v>
      </c>
      <c r="K54" s="526"/>
      <c r="L54" s="294"/>
      <c r="M54" s="294"/>
      <c r="N54" s="294"/>
      <c r="O54" s="294"/>
      <c r="P54" s="12"/>
    </row>
    <row r="55" spans="1:56" ht="15.75" thickBot="1">
      <c r="B55" s="520"/>
      <c r="C55" s="362"/>
      <c r="D55" s="524"/>
      <c r="E55" s="525"/>
      <c r="F55" s="294"/>
      <c r="G55" s="42"/>
      <c r="H55" s="42"/>
      <c r="I55" s="42"/>
      <c r="J55" s="292" t="s">
        <v>17</v>
      </c>
      <c r="K55" s="293" t="s">
        <v>172</v>
      </c>
      <c r="L55" s="527" t="s">
        <v>136</v>
      </c>
      <c r="M55" s="527"/>
      <c r="N55" s="528"/>
      <c r="O55" s="294"/>
      <c r="P55" s="12"/>
    </row>
    <row r="56" spans="1:56" ht="15" customHeight="1" thickBot="1">
      <c r="B56" s="520"/>
      <c r="C56" s="349"/>
      <c r="D56" s="529"/>
      <c r="E56" s="530"/>
      <c r="F56" s="294"/>
      <c r="G56" s="42"/>
      <c r="H56" s="42"/>
      <c r="I56" s="42"/>
      <c r="J56" s="287" t="s">
        <v>6</v>
      </c>
      <c r="K56" s="324"/>
      <c r="L56" s="473" t="s">
        <v>37</v>
      </c>
      <c r="M56" s="474" t="s">
        <v>38</v>
      </c>
      <c r="N56" s="474" t="s">
        <v>84</v>
      </c>
      <c r="O56" s="294"/>
      <c r="P56" s="12"/>
    </row>
    <row r="57" spans="1:56" ht="15.75" customHeight="1" thickBot="1">
      <c r="B57" s="520"/>
      <c r="C57" s="349"/>
      <c r="D57" s="524"/>
      <c r="E57" s="525"/>
      <c r="F57" s="294"/>
      <c r="G57" s="42"/>
      <c r="H57" s="42"/>
      <c r="I57" s="42"/>
      <c r="J57" s="345" t="s">
        <v>9</v>
      </c>
      <c r="K57" s="324">
        <v>8</v>
      </c>
      <c r="L57" s="344">
        <f>AVERAGE('Apr 1st'!K50,K66,'Apr 2nd'!K48,'Apr 7th'!K50,'Apr 8th'!K50,'Apr 9th '!K58,'Apr 10th'!K55)</f>
        <v>6.4285714285714288</v>
      </c>
      <c r="M57" s="325">
        <f>AVERAGE('[9]Jan30th-31st'!$L$47,L57,'[10]Feb 26th '!$L$39,'[11]Mar 31st'!$L$47)</f>
        <v>6.4038819875776394</v>
      </c>
      <c r="N57" s="416">
        <v>9.1999999999999993</v>
      </c>
      <c r="O57" s="294"/>
      <c r="P57" s="12"/>
    </row>
    <row r="58" spans="1:56" ht="15" customHeight="1">
      <c r="B58" s="520"/>
      <c r="C58" s="349"/>
      <c r="D58" s="529"/>
      <c r="E58" s="530"/>
      <c r="F58" s="294"/>
      <c r="G58" s="42"/>
      <c r="H58" s="42"/>
      <c r="I58" s="42"/>
      <c r="J58" s="288" t="s">
        <v>40</v>
      </c>
      <c r="K58" s="324"/>
      <c r="L58" s="294"/>
      <c r="M58" s="294"/>
      <c r="N58" s="294"/>
      <c r="O58" s="294"/>
      <c r="P58" s="12"/>
    </row>
    <row r="59" spans="1:56" ht="15" customHeight="1">
      <c r="B59" s="520"/>
      <c r="C59" s="349"/>
      <c r="D59" s="524"/>
      <c r="E59" s="525"/>
      <c r="F59" s="294"/>
      <c r="G59" s="42"/>
      <c r="H59" s="42"/>
      <c r="I59" s="42"/>
      <c r="J59" s="289" t="s">
        <v>33</v>
      </c>
      <c r="K59" s="324"/>
      <c r="L59" s="294"/>
      <c r="M59" s="294"/>
      <c r="N59" s="294"/>
      <c r="O59" s="294"/>
      <c r="P59" s="12"/>
    </row>
    <row r="60" spans="1:56" ht="15">
      <c r="B60" s="520"/>
      <c r="C60" s="349"/>
      <c r="D60" s="529"/>
      <c r="E60" s="530"/>
      <c r="F60" s="294"/>
      <c r="G60" s="42"/>
      <c r="H60" s="42"/>
      <c r="I60" s="42"/>
      <c r="J60" s="290" t="s">
        <v>16</v>
      </c>
      <c r="K60" s="324"/>
      <c r="L60" s="294"/>
      <c r="M60" s="294"/>
      <c r="N60" s="294"/>
      <c r="O60" s="294"/>
      <c r="P60" s="12"/>
      <c r="BC60" s="44"/>
      <c r="BD60" s="44"/>
    </row>
    <row r="61" spans="1:56" ht="15">
      <c r="B61" s="520"/>
      <c r="C61" s="349"/>
      <c r="D61" s="524"/>
      <c r="E61" s="525"/>
      <c r="F61" s="294"/>
      <c r="G61" s="42"/>
      <c r="H61" s="42"/>
      <c r="I61" s="42"/>
      <c r="J61" s="291" t="s">
        <v>15</v>
      </c>
      <c r="K61" s="324"/>
      <c r="L61" s="294"/>
      <c r="M61" s="294"/>
      <c r="N61" s="294"/>
      <c r="O61" s="294"/>
      <c r="P61" s="12"/>
      <c r="BC61" s="44"/>
      <c r="BD61" s="44"/>
    </row>
    <row r="62" spans="1:56" ht="15">
      <c r="B62" s="520"/>
      <c r="C62" s="349"/>
      <c r="D62" s="529"/>
      <c r="E62" s="530"/>
      <c r="F62" s="294"/>
      <c r="G62" s="42"/>
      <c r="H62" s="42"/>
      <c r="I62" s="42"/>
      <c r="J62" s="291" t="s">
        <v>149</v>
      </c>
      <c r="K62" s="324"/>
      <c r="L62" s="294"/>
      <c r="M62" s="294"/>
      <c r="N62" s="294"/>
      <c r="O62" s="294"/>
      <c r="P62" s="12"/>
      <c r="BC62" s="44"/>
      <c r="BD62" s="44"/>
    </row>
    <row r="63" spans="1:56" ht="15.75" thickBot="1">
      <c r="B63" s="521"/>
      <c r="C63" s="350"/>
      <c r="D63" s="531"/>
      <c r="E63" s="532"/>
      <c r="F63" s="294" t="s">
        <v>166</v>
      </c>
      <c r="G63" s="42"/>
      <c r="H63" s="42"/>
      <c r="I63" s="42"/>
      <c r="J63" s="291" t="s">
        <v>148</v>
      </c>
      <c r="K63" s="324"/>
      <c r="L63" s="294"/>
      <c r="M63" s="294"/>
      <c r="N63" s="294" t="s">
        <v>41</v>
      </c>
      <c r="O63" s="294"/>
      <c r="P63" s="12"/>
      <c r="BC63" s="44"/>
      <c r="BD63" s="44"/>
    </row>
    <row r="64" spans="1:56" ht="17.649999999999999" customHeight="1" thickBot="1">
      <c r="B64" s="312" t="s">
        <v>139</v>
      </c>
      <c r="C64" s="313"/>
      <c r="D64" s="512"/>
      <c r="E64" s="513"/>
      <c r="F64" s="294"/>
      <c r="J64" s="295" t="s">
        <v>134</v>
      </c>
      <c r="K64" s="324"/>
      <c r="L64" s="294"/>
      <c r="M64" s="294"/>
      <c r="N64" s="294"/>
      <c r="O64" s="294"/>
      <c r="P64" s="12"/>
      <c r="BC64" s="44"/>
      <c r="BD64" s="44"/>
    </row>
    <row r="65" spans="1:57" ht="17.649999999999999" customHeight="1">
      <c r="B65" s="363"/>
      <c r="C65" s="364"/>
      <c r="D65" s="365"/>
      <c r="E65" s="365"/>
      <c r="F65" s="294"/>
      <c r="G65" s="42"/>
      <c r="H65" s="42"/>
      <c r="I65" s="42"/>
      <c r="J65" s="295" t="s">
        <v>131</v>
      </c>
      <c r="K65" s="324"/>
      <c r="L65" s="294"/>
      <c r="M65" s="294"/>
      <c r="N65" s="294"/>
      <c r="O65" s="294"/>
      <c r="P65" s="12"/>
      <c r="BC65" s="44"/>
      <c r="BD65" s="44"/>
    </row>
    <row r="66" spans="1:57" ht="15.6" customHeight="1">
      <c r="B66" s="45"/>
      <c r="C66" s="11"/>
      <c r="D66" s="11"/>
      <c r="E66" s="46"/>
      <c r="F66" s="294"/>
      <c r="G66" s="42"/>
      <c r="H66" s="42"/>
      <c r="I66" s="42"/>
      <c r="J66" s="346" t="s">
        <v>130</v>
      </c>
      <c r="K66" s="324">
        <f>SUM(K56:K65)</f>
        <v>8</v>
      </c>
      <c r="L66" s="294"/>
      <c r="M66" s="294"/>
      <c r="N66" s="294"/>
      <c r="O66" s="294"/>
      <c r="P66" s="12"/>
    </row>
    <row r="67" spans="1:57" ht="20.25" customHeight="1">
      <c r="B67" s="15" t="s">
        <v>42</v>
      </c>
      <c r="C67" s="1" t="s">
        <v>43</v>
      </c>
      <c r="D67" s="1"/>
      <c r="E67" s="1"/>
      <c r="F67" s="294"/>
      <c r="G67" s="42"/>
      <c r="H67" s="41"/>
      <c r="I67" s="42"/>
      <c r="L67" s="294"/>
      <c r="N67" s="315"/>
      <c r="P67" s="334"/>
    </row>
    <row r="68" spans="1:57" ht="15" customHeight="1" thickBot="1"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1"/>
      <c r="O68" s="48"/>
      <c r="P68" s="49"/>
    </row>
    <row r="69" spans="1:57" ht="15" customHeight="1" thickBot="1">
      <c r="B69" s="504" t="s">
        <v>17</v>
      </c>
      <c r="C69" s="504" t="s">
        <v>44</v>
      </c>
      <c r="D69" s="515" t="s">
        <v>45</v>
      </c>
      <c r="E69" s="517" t="s">
        <v>46</v>
      </c>
      <c r="F69" s="510" t="s">
        <v>47</v>
      </c>
      <c r="G69" s="502" t="s">
        <v>48</v>
      </c>
      <c r="H69" s="504" t="s">
        <v>49</v>
      </c>
      <c r="I69" s="504" t="s">
        <v>50</v>
      </c>
      <c r="J69" s="496" t="s">
        <v>28</v>
      </c>
      <c r="K69" s="506" t="s">
        <v>51</v>
      </c>
      <c r="L69" s="508" t="s">
        <v>52</v>
      </c>
      <c r="M69" s="496" t="s">
        <v>53</v>
      </c>
      <c r="N69" s="13"/>
      <c r="O69" s="13"/>
      <c r="P69" s="50"/>
    </row>
    <row r="70" spans="1:57" ht="28.5" customHeight="1" thickTop="1" thickBot="1">
      <c r="B70" s="505"/>
      <c r="C70" s="514"/>
      <c r="D70" s="516"/>
      <c r="E70" s="518"/>
      <c r="F70" s="511"/>
      <c r="G70" s="503"/>
      <c r="H70" s="505"/>
      <c r="I70" s="505"/>
      <c r="J70" s="497"/>
      <c r="K70" s="507"/>
      <c r="L70" s="509"/>
      <c r="M70" s="497"/>
      <c r="N70" s="13"/>
      <c r="O70" s="13"/>
      <c r="P70" s="50"/>
      <c r="Q70" s="355"/>
      <c r="AB70" s="475">
        <v>43474</v>
      </c>
      <c r="AC70" s="475">
        <v>43475</v>
      </c>
      <c r="AD70" s="475">
        <v>43476</v>
      </c>
      <c r="AE70" s="475">
        <v>43477</v>
      </c>
      <c r="AF70" s="475">
        <v>43478</v>
      </c>
      <c r="AG70" s="475">
        <v>43479</v>
      </c>
      <c r="AH70" s="475">
        <v>43480</v>
      </c>
      <c r="AI70" s="475">
        <v>43481</v>
      </c>
      <c r="AJ70" s="475">
        <v>43482</v>
      </c>
      <c r="AK70" s="475">
        <v>43483</v>
      </c>
      <c r="AL70" s="475">
        <v>43484</v>
      </c>
      <c r="AM70" s="475">
        <v>43485</v>
      </c>
      <c r="AN70" s="475">
        <v>43486</v>
      </c>
      <c r="AO70" s="475">
        <v>43487</v>
      </c>
      <c r="AP70" s="475">
        <v>43488</v>
      </c>
      <c r="AQ70" s="475">
        <v>43489</v>
      </c>
      <c r="AR70" s="475">
        <v>43490</v>
      </c>
      <c r="AS70" s="475">
        <v>43491</v>
      </c>
      <c r="AT70" s="475">
        <v>43492</v>
      </c>
      <c r="AU70" s="475">
        <v>43493</v>
      </c>
      <c r="AV70" s="475">
        <v>43494</v>
      </c>
      <c r="AW70" s="475">
        <v>43495</v>
      </c>
      <c r="AX70" s="475">
        <v>43496</v>
      </c>
    </row>
    <row r="71" spans="1:57" s="54" customFormat="1" ht="36.75" customHeight="1" thickBot="1">
      <c r="B71" s="480" t="str">
        <f>J56</f>
        <v>CARIB</v>
      </c>
      <c r="C71" s="479">
        <v>46125</v>
      </c>
      <c r="D71" s="442">
        <f>[12]April_2026!$P$3</f>
        <v>403.5</v>
      </c>
      <c r="E71" s="443"/>
      <c r="F71" s="444"/>
      <c r="G71" s="445">
        <f>[12]April_2026!$P$7</f>
        <v>386.1</v>
      </c>
      <c r="H71" s="458"/>
      <c r="I71" s="458"/>
      <c r="J71" s="448" t="s">
        <v>175</v>
      </c>
      <c r="K71" s="449">
        <f>[13]April_2026!$P$18</f>
        <v>1.3547368421052632</v>
      </c>
      <c r="L71" s="457">
        <f>(((D71+E71)-G71)/(D71+E71))*100</f>
        <v>4.3122676579925594</v>
      </c>
      <c r="M71" s="455" t="s">
        <v>180</v>
      </c>
      <c r="N71" s="13"/>
      <c r="O71" s="13"/>
      <c r="P71" s="50"/>
      <c r="R71" s="275"/>
      <c r="S71" s="275"/>
      <c r="T71" s="275"/>
      <c r="U71" s="275"/>
      <c r="V71" s="275"/>
      <c r="W71" s="275"/>
      <c r="X71" s="275"/>
      <c r="Y71" s="275"/>
      <c r="Z71" s="275"/>
      <c r="AA71" s="275"/>
      <c r="AB71" s="57">
        <f>[14]January_2019!L5</f>
        <v>0</v>
      </c>
      <c r="AC71" s="57">
        <f>[14]January_2019!M5</f>
        <v>0</v>
      </c>
      <c r="AD71" s="57">
        <f>[14]January_2019!N5</f>
        <v>0</v>
      </c>
      <c r="AE71" s="57">
        <f>[14]January_2019!O5</f>
        <v>0</v>
      </c>
      <c r="AF71" s="57">
        <f>[14]January_2019!P5</f>
        <v>0</v>
      </c>
      <c r="AG71" s="57">
        <f>[14]January_2019!Q5</f>
        <v>0</v>
      </c>
      <c r="AH71" s="57">
        <f>[14]January_2019!R5</f>
        <v>0</v>
      </c>
      <c r="AI71" s="57">
        <f>[14]January_2019!S5</f>
        <v>0</v>
      </c>
      <c r="AJ71" s="57">
        <f>[14]January_2019!T5</f>
        <v>0</v>
      </c>
      <c r="AK71" s="57">
        <f>[14]January_2019!U5</f>
        <v>0</v>
      </c>
      <c r="AL71" s="57">
        <f>[14]January_2019!V5</f>
        <v>0</v>
      </c>
      <c r="AM71" s="57">
        <f>[14]January_2019!W5</f>
        <v>0</v>
      </c>
      <c r="AN71" s="57">
        <f>[14]January_2019!X5</f>
        <v>0</v>
      </c>
      <c r="AO71" s="57">
        <f>[14]January_2019!Y5</f>
        <v>0</v>
      </c>
      <c r="AP71" s="57">
        <f>[14]January_2019!Z5</f>
        <v>0</v>
      </c>
      <c r="AQ71" s="57">
        <f>[14]January_2019!AA5</f>
        <v>0</v>
      </c>
      <c r="AR71" s="57">
        <f>[14]January_2019!AB5</f>
        <v>0</v>
      </c>
      <c r="AS71" s="57">
        <f>[14]January_2019!AC5</f>
        <v>0</v>
      </c>
      <c r="AT71" s="57">
        <f>[14]January_2019!AD5</f>
        <v>0</v>
      </c>
      <c r="AU71" s="57">
        <f>[14]January_2019!AE5</f>
        <v>0</v>
      </c>
      <c r="AV71" s="57">
        <f>[14]January_2019!AF5</f>
        <v>0</v>
      </c>
      <c r="AW71" s="57">
        <f>[14]January_2019!AG5</f>
        <v>0</v>
      </c>
      <c r="AX71" s="277">
        <f>[14]January_2019!AH5</f>
        <v>0</v>
      </c>
      <c r="AY71" s="277"/>
      <c r="AZ71" s="277"/>
      <c r="BA71" s="277"/>
      <c r="BB71" s="277"/>
      <c r="BC71" s="277"/>
      <c r="BD71" s="277"/>
      <c r="BE71" s="277"/>
    </row>
    <row r="72" spans="1:57" s="54" customFormat="1" ht="14.25" customHeight="1" thickBot="1">
      <c r="B72" s="480"/>
      <c r="C72" s="479"/>
      <c r="D72" s="442"/>
      <c r="E72" s="443"/>
      <c r="F72" s="444"/>
      <c r="G72" s="445"/>
      <c r="H72" s="458"/>
      <c r="I72" s="458"/>
      <c r="J72" s="476"/>
      <c r="K72" s="449"/>
      <c r="L72" s="457"/>
      <c r="M72" s="455"/>
      <c r="N72" s="13"/>
      <c r="O72" s="13"/>
      <c r="P72" s="50"/>
      <c r="R72" s="275"/>
      <c r="S72" s="275"/>
      <c r="T72" s="275"/>
      <c r="U72" s="275"/>
      <c r="V72" s="275"/>
      <c r="W72" s="275"/>
      <c r="X72" s="275"/>
      <c r="Y72" s="275"/>
      <c r="Z72" s="275"/>
      <c r="AA72" s="275"/>
      <c r="AB72" s="57">
        <f>[14]January_2019!L6</f>
        <v>0</v>
      </c>
      <c r="AC72" s="57">
        <f>[14]January_2019!M6</f>
        <v>0</v>
      </c>
      <c r="AD72" s="57">
        <f>[14]January_2019!N6</f>
        <v>0</v>
      </c>
      <c r="AE72" s="57">
        <f>[14]January_2019!O6</f>
        <v>0</v>
      </c>
      <c r="AF72" s="57">
        <f>[14]January_2019!P6</f>
        <v>0</v>
      </c>
      <c r="AG72" s="57">
        <f>[14]January_2019!Q6</f>
        <v>0</v>
      </c>
      <c r="AH72" s="57">
        <f>[14]January_2019!R6</f>
        <v>0</v>
      </c>
      <c r="AI72" s="57">
        <f>[14]January_2019!S6</f>
        <v>0</v>
      </c>
      <c r="AJ72" s="57">
        <f>[14]January_2019!T6</f>
        <v>0</v>
      </c>
      <c r="AK72" s="57">
        <f>[14]January_2019!U6</f>
        <v>0</v>
      </c>
      <c r="AL72" s="57">
        <f>[14]January_2019!V6</f>
        <v>0</v>
      </c>
      <c r="AM72" s="57">
        <f>[14]January_2019!W6</f>
        <v>0</v>
      </c>
      <c r="AN72" s="57">
        <f>[14]January_2019!X6</f>
        <v>0</v>
      </c>
      <c r="AO72" s="57">
        <f>[14]January_2019!Y6</f>
        <v>0</v>
      </c>
      <c r="AP72" s="57">
        <f>[14]January_2019!Z6</f>
        <v>0</v>
      </c>
      <c r="AQ72" s="57">
        <f>[14]January_2019!AA6</f>
        <v>0</v>
      </c>
      <c r="AR72" s="57">
        <f>[14]January_2019!AB6</f>
        <v>0</v>
      </c>
      <c r="AS72" s="57">
        <f>[14]January_2019!AC6</f>
        <v>0</v>
      </c>
      <c r="AT72" s="57">
        <f>[14]January_2019!AD6</f>
        <v>0</v>
      </c>
      <c r="AU72" s="57">
        <f>[14]January_2019!AE6</f>
        <v>0</v>
      </c>
      <c r="AV72" s="57">
        <f>[14]January_2019!AF6</f>
        <v>0</v>
      </c>
      <c r="AW72" s="57">
        <f>[14]January_2019!AG6</f>
        <v>0</v>
      </c>
      <c r="AX72" s="277">
        <f>[14]January_2019!AH6</f>
        <v>0</v>
      </c>
      <c r="AY72" s="277"/>
      <c r="AZ72" s="277"/>
      <c r="BA72" s="277"/>
      <c r="BB72" s="277"/>
      <c r="BC72" s="277"/>
      <c r="BD72" s="277"/>
      <c r="BE72" s="277"/>
    </row>
    <row r="73" spans="1:57" s="54" customFormat="1" ht="37.15" hidden="1" customHeight="1" thickBot="1">
      <c r="A73" s="54" t="s">
        <v>168</v>
      </c>
      <c r="B73" s="480"/>
      <c r="C73" s="479"/>
      <c r="D73" s="442"/>
      <c r="E73" s="443"/>
      <c r="F73" s="444"/>
      <c r="G73" s="445"/>
      <c r="H73" s="458"/>
      <c r="I73" s="458"/>
      <c r="J73" s="448"/>
      <c r="K73" s="449"/>
      <c r="L73" s="457"/>
      <c r="M73" s="455"/>
      <c r="N73" s="13"/>
      <c r="O73" s="13"/>
      <c r="P73" s="50"/>
      <c r="R73" s="275"/>
      <c r="S73" s="275"/>
      <c r="T73" s="275"/>
      <c r="U73" s="275"/>
      <c r="V73" s="275"/>
      <c r="W73" s="275"/>
      <c r="X73" s="275"/>
      <c r="Y73" s="275"/>
      <c r="Z73" s="275"/>
      <c r="AA73" s="275"/>
      <c r="AB73" s="57">
        <f>[14]January_2019!L7</f>
        <v>285.8</v>
      </c>
      <c r="AC73" s="57">
        <f>[14]January_2019!M7</f>
        <v>508.1</v>
      </c>
      <c r="AD73" s="57">
        <f>[14]January_2019!N7</f>
        <v>0</v>
      </c>
      <c r="AE73" s="57">
        <f>[14]January_2019!O7</f>
        <v>0</v>
      </c>
      <c r="AF73" s="57">
        <f>[14]January_2019!P7</f>
        <v>109.56666666666666</v>
      </c>
      <c r="AG73" s="57">
        <f>[14]January_2019!Q7</f>
        <v>297.64999999999998</v>
      </c>
      <c r="AH73" s="57">
        <f>[14]January_2019!R7</f>
        <v>122.3</v>
      </c>
      <c r="AI73" s="57">
        <f>[14]January_2019!S7</f>
        <v>0</v>
      </c>
      <c r="AJ73" s="57">
        <f>[14]January_2019!T7</f>
        <v>294.7</v>
      </c>
      <c r="AK73" s="57">
        <f>[14]January_2019!U7</f>
        <v>280.5</v>
      </c>
      <c r="AL73" s="57">
        <f>[14]January_2019!V7</f>
        <v>0</v>
      </c>
      <c r="AM73" s="57">
        <f>[14]January_2019!W7</f>
        <v>0</v>
      </c>
      <c r="AN73" s="57">
        <f>[14]January_2019!X7</f>
        <v>188.25</v>
      </c>
      <c r="AO73" s="57">
        <f>[14]January_2019!Y7</f>
        <v>295.7</v>
      </c>
      <c r="AP73" s="57">
        <f>[14]January_2019!Z7</f>
        <v>257.8</v>
      </c>
      <c r="AQ73" s="57">
        <f>[14]January_2019!AA7</f>
        <v>291.2</v>
      </c>
      <c r="AR73" s="57">
        <f>[14]January_2019!AB7</f>
        <v>187</v>
      </c>
      <c r="AS73" s="57">
        <f>[14]January_2019!AC7</f>
        <v>0</v>
      </c>
      <c r="AT73" s="57">
        <f>[14]January_2019!AD7</f>
        <v>0</v>
      </c>
      <c r="AU73" s="57">
        <f>[14]January_2019!AE7</f>
        <v>485.1</v>
      </c>
      <c r="AV73" s="57">
        <f>[14]January_2019!AF7</f>
        <v>171.55</v>
      </c>
      <c r="AW73" s="57">
        <f>[14]January_2019!AG7</f>
        <v>423.8</v>
      </c>
      <c r="AX73" s="277">
        <f>[14]January_2019!AH7</f>
        <v>0</v>
      </c>
      <c r="AY73" s="277"/>
      <c r="AZ73" s="277"/>
      <c r="BA73" s="277"/>
      <c r="BB73" s="277"/>
      <c r="BC73" s="277"/>
      <c r="BD73" s="277"/>
      <c r="BE73" s="277"/>
    </row>
    <row r="74" spans="1:57" s="54" customFormat="1" ht="19.5" hidden="1" customHeight="1" thickBot="1">
      <c r="B74" s="478"/>
      <c r="C74" s="430"/>
      <c r="D74" s="431"/>
      <c r="E74" s="432"/>
      <c r="F74" s="433"/>
      <c r="G74" s="434"/>
      <c r="H74" s="458"/>
      <c r="I74" s="458"/>
      <c r="J74" s="451"/>
      <c r="K74" s="436"/>
      <c r="L74" s="452"/>
      <c r="M74" s="421"/>
      <c r="N74" s="13"/>
      <c r="O74" s="13"/>
      <c r="P74" s="50"/>
      <c r="R74" s="275"/>
      <c r="S74" s="275"/>
      <c r="T74" s="275"/>
      <c r="U74" s="275"/>
      <c r="V74" s="275"/>
      <c r="W74" s="275"/>
      <c r="X74" s="275"/>
      <c r="Y74" s="275"/>
      <c r="Z74" s="275"/>
      <c r="AA74" s="275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277"/>
      <c r="AY74" s="277"/>
      <c r="AZ74" s="277"/>
      <c r="BA74" s="277"/>
      <c r="BB74" s="277"/>
      <c r="BC74" s="277"/>
      <c r="BD74" s="277"/>
      <c r="BE74" s="277"/>
    </row>
    <row r="75" spans="1:57" s="54" customFormat="1" ht="38.450000000000003" hidden="1" customHeight="1" thickBot="1">
      <c r="B75" s="480"/>
      <c r="C75" s="479"/>
      <c r="D75" s="442"/>
      <c r="E75" s="443"/>
      <c r="F75" s="444"/>
      <c r="G75" s="445"/>
      <c r="H75" s="458"/>
      <c r="I75" s="458"/>
      <c r="J75" s="448" t="s">
        <v>171</v>
      </c>
      <c r="K75" s="459"/>
      <c r="L75" s="457" t="e">
        <f>(((D75+E75)-G75)/(D75+E75))*100</f>
        <v>#DIV/0!</v>
      </c>
      <c r="M75" s="455"/>
      <c r="N75" s="13"/>
      <c r="O75" s="13"/>
      <c r="P75" s="50"/>
      <c r="R75" s="275"/>
      <c r="S75" s="275"/>
      <c r="T75" s="275"/>
      <c r="U75" s="275"/>
      <c r="V75" s="275"/>
      <c r="W75" s="275"/>
      <c r="X75" s="275"/>
      <c r="Y75" s="275"/>
      <c r="Z75" s="275"/>
      <c r="AA75" s="275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277"/>
      <c r="AY75" s="277"/>
      <c r="AZ75" s="277"/>
      <c r="BA75" s="277"/>
      <c r="BB75" s="277"/>
      <c r="BC75" s="277"/>
      <c r="BD75" s="277"/>
      <c r="BE75" s="277"/>
    </row>
    <row r="76" spans="1:57" s="54" customFormat="1" ht="15" hidden="1">
      <c r="B76" s="453"/>
      <c r="C76" s="430"/>
      <c r="D76" s="431"/>
      <c r="E76" s="432"/>
      <c r="F76" s="433"/>
      <c r="G76" s="434"/>
      <c r="H76" s="435"/>
      <c r="I76" s="450"/>
      <c r="J76" s="451"/>
      <c r="K76" s="436"/>
      <c r="L76" s="452"/>
      <c r="M76" s="421"/>
      <c r="N76" s="13"/>
      <c r="O76" s="13"/>
      <c r="P76" s="50"/>
      <c r="R76" s="275"/>
      <c r="S76" s="275"/>
      <c r="T76" s="275"/>
      <c r="U76" s="275"/>
      <c r="V76" s="275"/>
      <c r="W76" s="275"/>
      <c r="X76" s="275"/>
      <c r="Y76" s="275"/>
      <c r="Z76" s="275"/>
      <c r="AA76" s="275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277"/>
      <c r="AY76" s="277"/>
      <c r="AZ76" s="277"/>
      <c r="BA76" s="277"/>
      <c r="BB76" s="277"/>
      <c r="BC76" s="277"/>
      <c r="BD76" s="277"/>
      <c r="BE76" s="277"/>
    </row>
    <row r="77" spans="1:57" s="54" customFormat="1" ht="37.15" hidden="1" customHeight="1" thickBot="1">
      <c r="B77" s="480"/>
      <c r="C77" s="479"/>
      <c r="D77" s="442"/>
      <c r="E77" s="443"/>
      <c r="F77" s="444"/>
      <c r="G77" s="445"/>
      <c r="H77" s="446"/>
      <c r="I77" s="447"/>
      <c r="J77" s="448"/>
      <c r="K77" s="449"/>
      <c r="L77" s="457"/>
      <c r="M77" s="455"/>
      <c r="N77" s="13"/>
      <c r="O77" s="13"/>
      <c r="P77" s="50"/>
      <c r="R77" s="275"/>
      <c r="S77" s="275"/>
      <c r="T77" s="275"/>
      <c r="U77" s="275"/>
      <c r="V77" s="275"/>
      <c r="W77" s="275"/>
      <c r="X77" s="275"/>
      <c r="Y77" s="275"/>
      <c r="Z77" s="275"/>
      <c r="AA77" s="275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277"/>
      <c r="AY77" s="277"/>
      <c r="AZ77" s="277"/>
      <c r="BA77" s="277"/>
      <c r="BB77" s="277"/>
      <c r="BC77" s="277"/>
      <c r="BD77" s="277"/>
      <c r="BE77" s="277"/>
    </row>
    <row r="78" spans="1:57" s="54" customFormat="1" ht="16.5" hidden="1" customHeight="1" thickBot="1">
      <c r="B78" s="437"/>
      <c r="C78" s="423"/>
      <c r="D78" s="424"/>
      <c r="E78" s="425"/>
      <c r="F78" s="426"/>
      <c r="G78" s="427"/>
      <c r="H78" s="428"/>
      <c r="I78" s="438"/>
      <c r="J78" s="439"/>
      <c r="K78" s="429"/>
      <c r="L78" s="440"/>
      <c r="M78" s="422"/>
      <c r="N78" s="13"/>
      <c r="O78" s="13"/>
      <c r="P78" s="50"/>
      <c r="R78" s="275"/>
      <c r="S78" s="275"/>
      <c r="T78" s="275"/>
      <c r="U78" s="275"/>
      <c r="V78" s="275"/>
      <c r="W78" s="275"/>
      <c r="X78" s="275"/>
      <c r="Y78" s="275"/>
      <c r="Z78" s="275"/>
      <c r="AA78" s="275"/>
      <c r="AB78" s="415"/>
      <c r="AC78" s="415"/>
      <c r="AD78" s="415"/>
      <c r="AE78" s="415"/>
      <c r="AF78" s="415"/>
      <c r="AG78" s="415"/>
      <c r="AH78" s="415"/>
      <c r="AI78" s="415"/>
      <c r="AJ78" s="415"/>
      <c r="AK78" s="415"/>
      <c r="AL78" s="415"/>
      <c r="AM78" s="415"/>
      <c r="AN78" s="415"/>
      <c r="AO78" s="415"/>
      <c r="AP78" s="415"/>
      <c r="AQ78" s="415"/>
      <c r="AR78" s="415"/>
      <c r="AS78" s="415"/>
      <c r="AT78" s="415"/>
      <c r="AU78" s="415"/>
      <c r="AV78" s="415"/>
      <c r="AW78" s="415"/>
    </row>
    <row r="79" spans="1:57" s="54" customFormat="1" ht="37.15" hidden="1" customHeight="1" thickBot="1">
      <c r="B79" s="456"/>
      <c r="C79" s="441"/>
      <c r="D79" s="442"/>
      <c r="E79" s="443"/>
      <c r="F79" s="444"/>
      <c r="G79" s="445"/>
      <c r="H79" s="446"/>
      <c r="I79" s="447"/>
      <c r="J79" s="448"/>
      <c r="K79" s="449"/>
      <c r="L79" s="457"/>
      <c r="M79" s="454"/>
      <c r="N79" s="13"/>
      <c r="O79" s="13"/>
      <c r="P79" s="50"/>
      <c r="R79" s="275"/>
      <c r="S79" s="275"/>
      <c r="T79" s="275"/>
      <c r="U79" s="275"/>
      <c r="V79" s="275"/>
      <c r="W79" s="275"/>
      <c r="X79" s="275"/>
      <c r="Y79" s="275"/>
      <c r="Z79" s="275"/>
      <c r="AA79" s="275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277"/>
      <c r="AY79" s="277"/>
      <c r="AZ79" s="277"/>
      <c r="BA79" s="277"/>
      <c r="BB79" s="277"/>
      <c r="BC79" s="277"/>
      <c r="BD79" s="277"/>
      <c r="BE79" s="277"/>
    </row>
    <row r="80" spans="1:57" s="54" customFormat="1" ht="37.15" customHeight="1">
      <c r="B80" s="466"/>
      <c r="C80" s="430"/>
      <c r="D80" s="460"/>
      <c r="E80" s="461"/>
      <c r="F80" s="462"/>
      <c r="G80" s="460"/>
      <c r="H80" s="463"/>
      <c r="I80" s="463"/>
      <c r="J80" s="463"/>
      <c r="K80" s="464"/>
      <c r="L80" s="465"/>
      <c r="M80" s="50"/>
      <c r="N80" s="13"/>
      <c r="O80" s="13"/>
      <c r="P80" s="50"/>
      <c r="R80" s="275"/>
      <c r="S80" s="275"/>
      <c r="T80" s="275"/>
      <c r="U80" s="275"/>
      <c r="V80" s="275"/>
      <c r="W80" s="275"/>
      <c r="X80" s="275"/>
      <c r="Y80" s="275"/>
      <c r="Z80" s="275"/>
      <c r="AA80" s="275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57"/>
      <c r="AW80" s="57"/>
      <c r="AX80" s="277"/>
      <c r="AY80" s="277"/>
      <c r="AZ80" s="277"/>
      <c r="BA80" s="277"/>
      <c r="BB80" s="277"/>
      <c r="BC80" s="277"/>
      <c r="BD80" s="277"/>
      <c r="BE80" s="277"/>
    </row>
    <row r="81" spans="2:16" ht="18" customHeight="1" thickBot="1">
      <c r="B81" s="59"/>
      <c r="C81" s="30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 t="s">
        <v>41</v>
      </c>
      <c r="O81" s="56"/>
      <c r="P81" s="60"/>
    </row>
    <row r="82" spans="2:16" ht="15.75" thickBot="1">
      <c r="B82" s="498" t="s">
        <v>55</v>
      </c>
      <c r="C82" s="499"/>
      <c r="D82" s="499"/>
      <c r="E82" s="499"/>
      <c r="F82" s="500"/>
      <c r="G82" s="498" t="s">
        <v>56</v>
      </c>
      <c r="H82" s="499"/>
      <c r="I82" s="499"/>
      <c r="J82" s="500"/>
      <c r="K82" s="498" t="s">
        <v>51</v>
      </c>
      <c r="L82" s="499"/>
      <c r="M82" s="499"/>
      <c r="N82" s="501"/>
      <c r="O82" s="56"/>
      <c r="P82" s="50"/>
    </row>
    <row r="83" spans="2:16" ht="15">
      <c r="B83" s="61" t="s">
        <v>17</v>
      </c>
      <c r="C83" s="62" t="s">
        <v>36</v>
      </c>
      <c r="D83" s="62" t="s">
        <v>37</v>
      </c>
      <c r="E83" s="62" t="s">
        <v>38</v>
      </c>
      <c r="F83" s="63" t="s">
        <v>39</v>
      </c>
      <c r="G83" s="62" t="s">
        <v>36</v>
      </c>
      <c r="H83" s="62" t="s">
        <v>37</v>
      </c>
      <c r="I83" s="62" t="s">
        <v>38</v>
      </c>
      <c r="J83" s="63" t="s">
        <v>39</v>
      </c>
      <c r="K83" s="62"/>
      <c r="L83" s="62" t="s">
        <v>37</v>
      </c>
      <c r="M83" s="62" t="s">
        <v>38</v>
      </c>
      <c r="N83" s="63" t="s">
        <v>39</v>
      </c>
      <c r="O83" s="56"/>
      <c r="P83" s="64"/>
    </row>
    <row r="84" spans="2:16" ht="15">
      <c r="B84" s="29" t="s">
        <v>6</v>
      </c>
      <c r="C84" s="282">
        <f>L71</f>
        <v>4.3122676579925594</v>
      </c>
      <c r="D84" s="76">
        <v>6.1156288292302401</v>
      </c>
      <c r="E84" s="76">
        <v>6.7487107020201371</v>
      </c>
      <c r="F84" s="66">
        <v>4.8</v>
      </c>
      <c r="G84" s="65">
        <f>[12]April_2026!$P$11</f>
        <v>1.7533574738059599</v>
      </c>
      <c r="H84" s="477">
        <v>5.5067254899768159</v>
      </c>
      <c r="I84" s="477">
        <v>6.5593240202115082</v>
      </c>
      <c r="J84" s="66">
        <v>4.8</v>
      </c>
      <c r="K84" s="67">
        <f>K71</f>
        <v>1.3547368421052632</v>
      </c>
      <c r="L84" s="194">
        <v>0.79592982456140338</v>
      </c>
      <c r="M84" s="194">
        <v>0.47248230788718398</v>
      </c>
      <c r="N84" s="68">
        <v>1</v>
      </c>
      <c r="O84" s="56"/>
      <c r="P84" s="69"/>
    </row>
    <row r="85" spans="2:16" ht="15">
      <c r="B85" s="33" t="s">
        <v>9</v>
      </c>
      <c r="C85" s="65"/>
      <c r="D85" s="76">
        <v>4.2503259452412028</v>
      </c>
      <c r="E85" s="76">
        <v>6.0876108810886738</v>
      </c>
      <c r="F85" s="66">
        <v>4.8</v>
      </c>
      <c r="G85" s="65"/>
      <c r="H85" s="76">
        <v>3.7045586293348483</v>
      </c>
      <c r="I85" s="76">
        <v>5.7742586308793999</v>
      </c>
      <c r="J85" s="66">
        <v>4.8</v>
      </c>
      <c r="K85" s="67"/>
      <c r="L85" s="194">
        <v>1.2884210526315791</v>
      </c>
      <c r="M85" s="194">
        <v>0.74983233325567777</v>
      </c>
      <c r="N85" s="68">
        <v>1</v>
      </c>
      <c r="P85" s="69"/>
    </row>
    <row r="86" spans="2:16" ht="15">
      <c r="B86" s="34" t="s">
        <v>40</v>
      </c>
      <c r="C86" s="65"/>
      <c r="D86" s="76"/>
      <c r="E86" s="76">
        <v>12.380135651360392</v>
      </c>
      <c r="F86" s="66">
        <v>5.5</v>
      </c>
      <c r="G86" s="483"/>
      <c r="H86" s="76"/>
      <c r="I86" s="76">
        <v>13.955538676690328</v>
      </c>
      <c r="J86" s="66">
        <v>5.5</v>
      </c>
      <c r="K86" s="67"/>
      <c r="L86" s="194"/>
      <c r="M86" s="194">
        <v>0.29450526315789471</v>
      </c>
      <c r="N86" s="68">
        <v>1</v>
      </c>
      <c r="P86" s="69"/>
    </row>
    <row r="87" spans="2:16" ht="15">
      <c r="B87" s="22" t="s">
        <v>33</v>
      </c>
      <c r="C87" s="65"/>
      <c r="D87" s="76"/>
      <c r="E87" s="76">
        <v>4.601418358346991</v>
      </c>
      <c r="F87" s="66">
        <v>3.3</v>
      </c>
      <c r="G87" s="65"/>
      <c r="H87" s="76"/>
      <c r="I87" s="76">
        <v>4.3274739720788533</v>
      </c>
      <c r="J87" s="66">
        <v>3.3</v>
      </c>
      <c r="K87" s="67"/>
      <c r="L87" s="194"/>
      <c r="M87" s="194">
        <v>0.8292543859649123</v>
      </c>
      <c r="N87" s="68">
        <v>1</v>
      </c>
      <c r="P87" s="69"/>
    </row>
    <row r="88" spans="2:16" ht="15">
      <c r="B88" s="35" t="s">
        <v>164</v>
      </c>
      <c r="C88" s="65"/>
      <c r="D88" s="76"/>
      <c r="E88" s="76"/>
      <c r="F88" s="66">
        <v>3.3</v>
      </c>
      <c r="G88" s="282"/>
      <c r="H88" s="76"/>
      <c r="I88" s="76"/>
      <c r="J88" s="66">
        <v>3</v>
      </c>
      <c r="K88" s="67"/>
      <c r="L88" s="194"/>
      <c r="M88" s="194"/>
      <c r="N88" s="68">
        <v>1</v>
      </c>
      <c r="P88" s="69"/>
    </row>
    <row r="89" spans="2:16" ht="15">
      <c r="B89" s="36" t="s">
        <v>15</v>
      </c>
      <c r="C89" s="65"/>
      <c r="D89" s="76"/>
      <c r="E89" s="76">
        <v>5.1105651105651271</v>
      </c>
      <c r="F89" s="70">
        <f>[15]May_2022!$M$43</f>
        <v>3.4878406700073312</v>
      </c>
      <c r="G89" s="282"/>
      <c r="H89" s="76"/>
      <c r="I89" s="76">
        <v>7.9131369535794072</v>
      </c>
      <c r="J89" s="66">
        <v>5.5</v>
      </c>
      <c r="K89" s="67"/>
      <c r="L89" s="194"/>
      <c r="M89" s="194">
        <v>1.3550877192982456</v>
      </c>
      <c r="N89" s="68">
        <v>1</v>
      </c>
      <c r="P89" s="69"/>
    </row>
    <row r="90" spans="2:16" ht="15">
      <c r="B90" s="37" t="s">
        <v>16</v>
      </c>
      <c r="C90" s="65"/>
      <c r="D90" s="76"/>
      <c r="E90" s="76">
        <v>3.9654240950837312</v>
      </c>
      <c r="F90" s="66">
        <v>3.3</v>
      </c>
      <c r="G90" s="282"/>
      <c r="H90" s="76"/>
      <c r="I90" s="76">
        <v>5.0010391616318897</v>
      </c>
      <c r="J90" s="66">
        <v>3.3</v>
      </c>
      <c r="K90" s="67"/>
      <c r="L90" s="194"/>
      <c r="M90" s="194">
        <v>0.93295906432748543</v>
      </c>
      <c r="N90" s="71">
        <v>1</v>
      </c>
      <c r="P90" s="69"/>
    </row>
    <row r="91" spans="2:16" ht="15.75" thickBot="1">
      <c r="B91" s="38" t="s">
        <v>163</v>
      </c>
      <c r="C91" s="65"/>
      <c r="D91" s="76"/>
      <c r="E91" s="76"/>
      <c r="F91" s="66">
        <v>7.5</v>
      </c>
      <c r="G91" s="282"/>
      <c r="H91" s="76"/>
      <c r="I91" s="76"/>
      <c r="J91" s="66">
        <v>7.5</v>
      </c>
      <c r="K91" s="67"/>
      <c r="L91" s="194"/>
      <c r="M91" s="194"/>
      <c r="N91" s="71">
        <v>1</v>
      </c>
      <c r="P91" s="69"/>
    </row>
    <row r="92" spans="2:16" ht="15.75" thickBot="1">
      <c r="B92" s="414" t="s">
        <v>161</v>
      </c>
      <c r="C92" s="65"/>
      <c r="D92" s="76"/>
      <c r="E92" s="76"/>
      <c r="F92" s="66">
        <v>4.8</v>
      </c>
      <c r="G92" s="282"/>
      <c r="H92" s="76"/>
      <c r="I92" s="76"/>
      <c r="J92" s="66">
        <v>4.8</v>
      </c>
      <c r="K92" s="67"/>
      <c r="L92" s="194"/>
      <c r="M92" s="194"/>
      <c r="N92" s="71">
        <v>1</v>
      </c>
      <c r="O92" s="74"/>
      <c r="P92" s="75"/>
    </row>
    <row r="93" spans="2:16" ht="15">
      <c r="D93" s="76">
        <v>5.5572900405869357</v>
      </c>
      <c r="E93" s="76">
        <v>6.5047660590321774</v>
      </c>
      <c r="F93" s="341">
        <v>5.5</v>
      </c>
      <c r="H93" s="76">
        <v>4.9655453347905967</v>
      </c>
      <c r="I93" s="76">
        <v>6.6203139187022604</v>
      </c>
      <c r="J93" s="341">
        <v>5.5</v>
      </c>
      <c r="L93" s="194">
        <v>0.93664160401002505</v>
      </c>
      <c r="M93" s="194">
        <v>0.58217356772212225</v>
      </c>
      <c r="N93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40:N40"/>
    <mergeCell ref="D41:E41"/>
    <mergeCell ref="B42:B53"/>
    <mergeCell ref="D42:E43"/>
    <mergeCell ref="D44:E45"/>
    <mergeCell ref="D46:E47"/>
    <mergeCell ref="D48:E49"/>
    <mergeCell ref="D50:E51"/>
    <mergeCell ref="D52:E53"/>
    <mergeCell ref="B54:B63"/>
    <mergeCell ref="D54:E55"/>
    <mergeCell ref="J54:K54"/>
    <mergeCell ref="L55:N55"/>
    <mergeCell ref="D56:E57"/>
    <mergeCell ref="D58:E59"/>
    <mergeCell ref="D60:E61"/>
    <mergeCell ref="D62:E63"/>
    <mergeCell ref="D64:E64"/>
    <mergeCell ref="B69:B70"/>
    <mergeCell ref="C69:C70"/>
    <mergeCell ref="D69:D70"/>
    <mergeCell ref="E69:E70"/>
    <mergeCell ref="M69:M70"/>
    <mergeCell ref="B82:F82"/>
    <mergeCell ref="G82:J82"/>
    <mergeCell ref="K82:N82"/>
    <mergeCell ref="G69:G70"/>
    <mergeCell ref="H69:H70"/>
    <mergeCell ref="I69:I70"/>
    <mergeCell ref="J69:J70"/>
    <mergeCell ref="K69:K70"/>
    <mergeCell ref="L69:L70"/>
    <mergeCell ref="F69:F70"/>
  </mergeCells>
  <conditionalFormatting sqref="B64:B65">
    <cfRule type="cellIs" dxfId="2252" priority="92" operator="notBetween">
      <formula>#REF!</formula>
      <formula>#REF!</formula>
    </cfRule>
  </conditionalFormatting>
  <conditionalFormatting sqref="C68">
    <cfRule type="cellIs" dxfId="2251" priority="186" stopIfTrue="1" operator="lessThan">
      <formula>96</formula>
    </cfRule>
    <cfRule type="cellIs" dxfId="2250" priority="187" stopIfTrue="1" operator="greaterThan">
      <formula>100</formula>
    </cfRule>
  </conditionalFormatting>
  <conditionalFormatting sqref="C84:C88">
    <cfRule type="cellIs" dxfId="2249" priority="155" stopIfTrue="1" operator="lessThanOrEqual">
      <formula>0</formula>
    </cfRule>
  </conditionalFormatting>
  <conditionalFormatting sqref="C84:C92">
    <cfRule type="cellIs" dxfId="2248" priority="154" stopIfTrue="1" operator="greaterThan">
      <formula>$F84</formula>
    </cfRule>
  </conditionalFormatting>
  <conditionalFormatting sqref="C85">
    <cfRule type="cellIs" dxfId="2247" priority="188" stopIfTrue="1" operator="greaterThan">
      <formula>$F84</formula>
    </cfRule>
  </conditionalFormatting>
  <conditionalFormatting sqref="C89">
    <cfRule type="cellIs" dxfId="2246" priority="116" stopIfTrue="1" operator="lessThanOrEqual">
      <formula>0</formula>
    </cfRule>
    <cfRule type="cellIs" dxfId="2245" priority="117" stopIfTrue="1" operator="greaterThan">
      <formula>$F88</formula>
    </cfRule>
  </conditionalFormatting>
  <conditionalFormatting sqref="C90:C92">
    <cfRule type="cellIs" dxfId="2244" priority="156" stopIfTrue="1" operator="lessThanOrEqual">
      <formula>0</formula>
    </cfRule>
  </conditionalFormatting>
  <conditionalFormatting sqref="C95:C99">
    <cfRule type="cellIs" dxfId="2243" priority="178" stopIfTrue="1" operator="lessThanOrEqual">
      <formula>0</formula>
    </cfRule>
  </conditionalFormatting>
  <conditionalFormatting sqref="C96:C99">
    <cfRule type="cellIs" dxfId="2242" priority="177" stopIfTrue="1" operator="greaterThan">
      <formula>$F$95</formula>
    </cfRule>
  </conditionalFormatting>
  <conditionalFormatting sqref="C101">
    <cfRule type="cellIs" dxfId="2241" priority="180" stopIfTrue="1" operator="lessThanOrEqual">
      <formula>0</formula>
    </cfRule>
    <cfRule type="cellIs" dxfId="2240" priority="179" stopIfTrue="1" operator="greaterThan">
      <formula>$F$95</formula>
    </cfRule>
  </conditionalFormatting>
  <conditionalFormatting sqref="C95:D95 D97:D103">
    <cfRule type="cellIs" dxfId="2239" priority="172" stopIfTrue="1" operator="greaterThan">
      <formula>4.5</formula>
    </cfRule>
  </conditionalFormatting>
  <conditionalFormatting sqref="D64:D65">
    <cfRule type="cellIs" dxfId="2238" priority="93" operator="notBetween">
      <formula>#REF!</formula>
      <formula>#REF!</formula>
    </cfRule>
  </conditionalFormatting>
  <conditionalFormatting sqref="D84:D91">
    <cfRule type="cellIs" dxfId="2237" priority="67" stopIfTrue="1" operator="lessThanOrEqual">
      <formula>0</formula>
    </cfRule>
  </conditionalFormatting>
  <conditionalFormatting sqref="D84:D93">
    <cfRule type="cellIs" dxfId="2236" priority="46" stopIfTrue="1" operator="lessThanOrEqual">
      <formula>0</formula>
    </cfRule>
  </conditionalFormatting>
  <conditionalFormatting sqref="D92">
    <cfRule type="cellIs" dxfId="2235" priority="66" stopIfTrue="1" operator="lessThanOrEqual">
      <formula>0</formula>
    </cfRule>
  </conditionalFormatting>
  <conditionalFormatting sqref="D93">
    <cfRule type="cellIs" dxfId="2234" priority="61" stopIfTrue="1" operator="lessThanOrEqual">
      <formula>0</formula>
    </cfRule>
  </conditionalFormatting>
  <conditionalFormatting sqref="D95 D97:D103">
    <cfRule type="cellIs" dxfId="2233" priority="173" stopIfTrue="1" operator="lessThanOrEqual">
      <formula>0</formula>
    </cfRule>
  </conditionalFormatting>
  <conditionalFormatting sqref="D96">
    <cfRule type="cellIs" dxfId="2232" priority="165" stopIfTrue="1" operator="lessThanOrEqual">
      <formula>0</formula>
    </cfRule>
    <cfRule type="cellIs" dxfId="2231" priority="164" stopIfTrue="1" operator="greaterThan">
      <formula>$F$95</formula>
    </cfRule>
  </conditionalFormatting>
  <conditionalFormatting sqref="D84:E93">
    <cfRule type="cellIs" dxfId="2230" priority="48" stopIfTrue="1" operator="greaterThan">
      <formula>$F84</formula>
    </cfRule>
  </conditionalFormatting>
  <conditionalFormatting sqref="D93:E93">
    <cfRule type="cellIs" dxfId="2229" priority="50" stopIfTrue="1" operator="lessThanOrEqual">
      <formula>0</formula>
    </cfRule>
  </conditionalFormatting>
  <conditionalFormatting sqref="E10:E39">
    <cfRule type="cellIs" dxfId="2228" priority="33" operator="lessThan">
      <formula>48</formula>
    </cfRule>
  </conditionalFormatting>
  <conditionalFormatting sqref="E67 E68:F68">
    <cfRule type="cellIs" dxfId="2227" priority="169" stopIfTrue="1" operator="greaterThan">
      <formula>100</formula>
    </cfRule>
  </conditionalFormatting>
  <conditionalFormatting sqref="E68">
    <cfRule type="cellIs" dxfId="2226" priority="167" stopIfTrue="1" operator="greaterThan">
      <formula>100</formula>
    </cfRule>
    <cfRule type="cellIs" dxfId="2225" priority="166" stopIfTrue="1" operator="lessThan">
      <formula>96.8</formula>
    </cfRule>
  </conditionalFormatting>
  <conditionalFormatting sqref="E84:E92">
    <cfRule type="cellIs" dxfId="2224" priority="47" stopIfTrue="1" operator="lessThanOrEqual">
      <formula>0</formula>
    </cfRule>
  </conditionalFormatting>
  <conditionalFormatting sqref="E84:E93">
    <cfRule type="cellIs" dxfId="2223" priority="49" stopIfTrue="1" operator="lessThanOrEqual">
      <formula>0</formula>
    </cfRule>
  </conditionalFormatting>
  <conditionalFormatting sqref="E95:E103">
    <cfRule type="cellIs" dxfId="2222" priority="159" stopIfTrue="1" operator="lessThanOrEqual">
      <formula>0</formula>
    </cfRule>
    <cfRule type="cellIs" dxfId="2221" priority="158" stopIfTrue="1" operator="greaterThan">
      <formula>4.5</formula>
    </cfRule>
  </conditionalFormatting>
  <conditionalFormatting sqref="E68:F68 E67">
    <cfRule type="cellIs" dxfId="2220" priority="168" stopIfTrue="1" operator="lessThan">
      <formula>96.5</formula>
    </cfRule>
  </conditionalFormatting>
  <conditionalFormatting sqref="F20:F32">
    <cfRule type="cellIs" dxfId="2219" priority="37" operator="greaterThan">
      <formula>60</formula>
    </cfRule>
  </conditionalFormatting>
  <conditionalFormatting sqref="F36:F39">
    <cfRule type="cellIs" dxfId="2218" priority="42" operator="greaterThan">
      <formula>60</formula>
    </cfRule>
  </conditionalFormatting>
  <conditionalFormatting sqref="F68">
    <cfRule type="cellIs" dxfId="2217" priority="185" stopIfTrue="1" operator="greaterThan">
      <formula>100</formula>
    </cfRule>
    <cfRule type="cellIs" dxfId="2216" priority="184" stopIfTrue="1" operator="lessThan">
      <formula>96.8</formula>
    </cfRule>
  </conditionalFormatting>
  <conditionalFormatting sqref="F93">
    <cfRule type="cellIs" dxfId="2215" priority="65" stopIfTrue="1" operator="lessThanOrEqual">
      <formula>0</formula>
    </cfRule>
    <cfRule type="cellIs" dxfId="2214" priority="64" stopIfTrue="1" operator="greaterThan">
      <formula>$F93</formula>
    </cfRule>
  </conditionalFormatting>
  <conditionalFormatting sqref="G10:G17">
    <cfRule type="expression" dxfId="2213" priority="1">
      <formula>IF(+(IF(G10&lt;S10,0,IF(G10&gt;T10,0,1)))=0,1)</formula>
    </cfRule>
  </conditionalFormatting>
  <conditionalFormatting sqref="G20:G32">
    <cfRule type="expression" dxfId="2212" priority="34">
      <formula>IF(+(IF(G20&lt;S20,0,IF(G20&gt;T20,0,1)))=0,1)</formula>
    </cfRule>
  </conditionalFormatting>
  <conditionalFormatting sqref="G36:G39">
    <cfRule type="expression" dxfId="2211" priority="41">
      <formula>IF(+(IF(G36&lt;S36,0,IF(G36&gt;T36,0,1)))=0,1)</formula>
    </cfRule>
  </conditionalFormatting>
  <conditionalFormatting sqref="G84:G85">
    <cfRule type="cellIs" dxfId="2210" priority="62" stopIfTrue="1" operator="greaterThan">
      <formula>$F84</formula>
    </cfRule>
    <cfRule type="cellIs" dxfId="2209" priority="63" stopIfTrue="1" operator="lessThanOrEqual">
      <formula>0</formula>
    </cfRule>
    <cfRule type="cellIs" dxfId="2208" priority="68" stopIfTrue="1" operator="greaterThan">
      <formula>$F84</formula>
    </cfRule>
    <cfRule type="cellIs" dxfId="2207" priority="69" stopIfTrue="1" operator="lessThanOrEqual">
      <formula>0</formula>
    </cfRule>
  </conditionalFormatting>
  <conditionalFormatting sqref="G86">
    <cfRule type="containsErrors" dxfId="2206" priority="39" stopIfTrue="1">
      <formula>ISERROR(G86)</formula>
    </cfRule>
  </conditionalFormatting>
  <conditionalFormatting sqref="G87">
    <cfRule type="cellIs" dxfId="2205" priority="56" stopIfTrue="1" operator="greaterThan">
      <formula>$F87</formula>
    </cfRule>
    <cfRule type="cellIs" dxfId="2204" priority="57" stopIfTrue="1" operator="lessThanOrEqual">
      <formula>0</formula>
    </cfRule>
    <cfRule type="cellIs" dxfId="2203" priority="54" stopIfTrue="1" operator="greaterThan">
      <formula>$F87</formula>
    </cfRule>
    <cfRule type="cellIs" dxfId="2202" priority="55" stopIfTrue="1" operator="lessThanOrEqual">
      <formula>0</formula>
    </cfRule>
  </conditionalFormatting>
  <conditionalFormatting sqref="G88:G92">
    <cfRule type="cellIs" dxfId="2201" priority="70" stopIfTrue="1" operator="greaterThan">
      <formula>$J88</formula>
    </cfRule>
    <cfRule type="cellIs" dxfId="2200" priority="71" stopIfTrue="1" operator="lessThanOrEqual">
      <formula>0</formula>
    </cfRule>
  </conditionalFormatting>
  <conditionalFormatting sqref="G97:G102 C100 C102">
    <cfRule type="cellIs" dxfId="2199" priority="181" stopIfTrue="1" operator="greaterThan">
      <formula>4.5</formula>
    </cfRule>
    <cfRule type="cellIs" dxfId="2198" priority="182" stopIfTrue="1" operator="lessThanOrEqual">
      <formula>0</formula>
    </cfRule>
  </conditionalFormatting>
  <conditionalFormatting sqref="G96:H96">
    <cfRule type="cellIs" dxfId="2197" priority="163" stopIfTrue="1" operator="lessThanOrEqual">
      <formula>0</formula>
    </cfRule>
    <cfRule type="cellIs" dxfId="2196" priority="162" stopIfTrue="1" operator="greaterThan">
      <formula>$F$95</formula>
    </cfRule>
  </conditionalFormatting>
  <conditionalFormatting sqref="H10:H17 M10:N35 G18:H19 H20:H32 G33:H35 H36:H39">
    <cfRule type="expression" dxfId="2195" priority="40">
      <formula>IF(+(IF(G10&lt;#REF!,0,IF(G10&gt;#REF!,0,1)))=0,1)</formula>
    </cfRule>
  </conditionalFormatting>
  <conditionalFormatting sqref="H53:H54 H67">
    <cfRule type="cellIs" dxfId="2194" priority="160" stopIfTrue="1" operator="greaterThan">
      <formula>0</formula>
    </cfRule>
  </conditionalFormatting>
  <conditionalFormatting sqref="H71">
    <cfRule type="cellIs" dxfId="2193" priority="14" stopIfTrue="1" operator="lessThanOrEqual">
      <formula>0</formula>
    </cfRule>
    <cfRule type="cellIs" dxfId="2192" priority="15" stopIfTrue="1" operator="greaterThan">
      <formula>$F$80</formula>
    </cfRule>
    <cfRule type="cellIs" dxfId="2191" priority="25" stopIfTrue="1" operator="greaterThan">
      <formula>$F$81</formula>
    </cfRule>
    <cfRule type="cellIs" dxfId="2190" priority="23" stopIfTrue="1" operator="greaterThan">
      <formula>$F$83</formula>
    </cfRule>
    <cfRule type="cellIs" dxfId="2189" priority="24" stopIfTrue="1" operator="lessThanOrEqual">
      <formula>0</formula>
    </cfRule>
    <cfRule type="cellIs" dxfId="2188" priority="26" stopIfTrue="1" operator="lessThanOrEqual">
      <formula>0</formula>
    </cfRule>
  </conditionalFormatting>
  <conditionalFormatting sqref="H72:H75">
    <cfRule type="cellIs" dxfId="2187" priority="87" stopIfTrue="1" operator="lessThanOrEqual">
      <formula>0</formula>
    </cfRule>
    <cfRule type="cellIs" dxfId="2186" priority="86" stopIfTrue="1" operator="greaterThan">
      <formula>$F$85</formula>
    </cfRule>
    <cfRule type="cellIs" dxfId="2185" priority="75" stopIfTrue="1" operator="lessThanOrEqual">
      <formula>0</formula>
    </cfRule>
    <cfRule type="cellIs" dxfId="2184" priority="85" stopIfTrue="1" operator="lessThanOrEqual">
      <formula>0</formula>
    </cfRule>
    <cfRule type="cellIs" dxfId="2183" priority="84" stopIfTrue="1" operator="greaterThan">
      <formula>$F$87</formula>
    </cfRule>
    <cfRule type="cellIs" dxfId="2182" priority="76" stopIfTrue="1" operator="greaterThan">
      <formula>$F$84</formula>
    </cfRule>
  </conditionalFormatting>
  <conditionalFormatting sqref="H76:H77">
    <cfRule type="cellIs" dxfId="2181" priority="129" stopIfTrue="1" operator="lessThanOrEqual">
      <formula>0</formula>
    </cfRule>
    <cfRule type="cellIs" dxfId="2180" priority="128" stopIfTrue="1" operator="greaterThan">
      <formula>$F$39</formula>
    </cfRule>
    <cfRule type="cellIs" dxfId="2179" priority="120" stopIfTrue="1" operator="greaterThan">
      <formula>#REF!</formula>
    </cfRule>
    <cfRule type="cellIs" dxfId="2178" priority="119" stopIfTrue="1" operator="lessThanOrEqual">
      <formula>0</formula>
    </cfRule>
    <cfRule type="cellIs" dxfId="2177" priority="131" stopIfTrue="1" operator="lessThanOrEqual">
      <formula>0</formula>
    </cfRule>
    <cfRule type="cellIs" dxfId="2176" priority="130" stopIfTrue="1" operator="greaterThan">
      <formula>#REF!</formula>
    </cfRule>
  </conditionalFormatting>
  <conditionalFormatting sqref="H78">
    <cfRule type="cellIs" dxfId="2175" priority="134" stopIfTrue="1" operator="greaterThan">
      <formula>$F$52</formula>
    </cfRule>
    <cfRule type="cellIs" dxfId="2174" priority="142" stopIfTrue="1" operator="greaterThan">
      <formula>$F$55</formula>
    </cfRule>
    <cfRule type="cellIs" dxfId="2173" priority="143" stopIfTrue="1" operator="lessThanOrEqual">
      <formula>0</formula>
    </cfRule>
    <cfRule type="cellIs" dxfId="2172" priority="133" stopIfTrue="1" operator="lessThanOrEqual">
      <formula>0</formula>
    </cfRule>
    <cfRule type="cellIs" dxfId="2171" priority="144" stopIfTrue="1" operator="greaterThan">
      <formula>$F$53</formula>
    </cfRule>
    <cfRule type="cellIs" dxfId="2170" priority="145" stopIfTrue="1" operator="lessThanOrEqual">
      <formula>0</formula>
    </cfRule>
  </conditionalFormatting>
  <conditionalFormatting sqref="H79:H80">
    <cfRule type="cellIs" dxfId="2169" priority="112" stopIfTrue="1" operator="greaterThan">
      <formula>$F$39</formula>
    </cfRule>
    <cfRule type="cellIs" dxfId="2168" priority="115" stopIfTrue="1" operator="lessThanOrEqual">
      <formula>0</formula>
    </cfRule>
    <cfRule type="cellIs" dxfId="2167" priority="114" stopIfTrue="1" operator="greaterThan">
      <formula>#REF!</formula>
    </cfRule>
    <cfRule type="cellIs" dxfId="2166" priority="113" stopIfTrue="1" operator="lessThanOrEqual">
      <formula>0</formula>
    </cfRule>
    <cfRule type="cellIs" dxfId="2165" priority="103" stopIfTrue="1" operator="lessThanOrEqual">
      <formula>0</formula>
    </cfRule>
    <cfRule type="cellIs" dxfId="2164" priority="104" stopIfTrue="1" operator="greaterThan">
      <formula>#REF!</formula>
    </cfRule>
  </conditionalFormatting>
  <conditionalFormatting sqref="H95 H97:H103">
    <cfRule type="cellIs" dxfId="2163" priority="175" stopIfTrue="1" operator="lessThanOrEqual">
      <formula>0</formula>
    </cfRule>
    <cfRule type="cellIs" dxfId="2162" priority="174" stopIfTrue="1" operator="greaterThan">
      <formula>4.5</formula>
    </cfRule>
  </conditionalFormatting>
  <conditionalFormatting sqref="H71:I71">
    <cfRule type="cellIs" dxfId="2161" priority="16" stopIfTrue="1" operator="lessThanOrEqual">
      <formula>0</formula>
    </cfRule>
    <cfRule type="cellIs" dxfId="2160" priority="13" stopIfTrue="1" operator="greaterThan">
      <formula>$F$82</formula>
    </cfRule>
  </conditionalFormatting>
  <conditionalFormatting sqref="H72:I75">
    <cfRule type="cellIs" dxfId="2159" priority="77" stopIfTrue="1" operator="lessThanOrEqual">
      <formula>0</formula>
    </cfRule>
    <cfRule type="cellIs" dxfId="2158" priority="74" stopIfTrue="1" operator="greaterThan">
      <formula>$F$86</formula>
    </cfRule>
  </conditionalFormatting>
  <conditionalFormatting sqref="H76:I77">
    <cfRule type="cellIs" dxfId="2157" priority="121" stopIfTrue="1" operator="lessThanOrEqual">
      <formula>0</formula>
    </cfRule>
    <cfRule type="cellIs" dxfId="2156" priority="118" stopIfTrue="1" operator="greaterThan">
      <formula>#REF!</formula>
    </cfRule>
  </conditionalFormatting>
  <conditionalFormatting sqref="H78:I78">
    <cfRule type="cellIs" dxfId="2155" priority="135" stopIfTrue="1" operator="lessThanOrEqual">
      <formula>0</formula>
    </cfRule>
    <cfRule type="cellIs" dxfId="2154" priority="132" stopIfTrue="1" operator="greaterThan">
      <formula>$F$54</formula>
    </cfRule>
  </conditionalFormatting>
  <conditionalFormatting sqref="H79:I80">
    <cfRule type="cellIs" dxfId="2153" priority="105" stopIfTrue="1" operator="lessThanOrEqual">
      <formula>0</formula>
    </cfRule>
    <cfRule type="cellIs" dxfId="2152" priority="102" stopIfTrue="1" operator="greaterThan">
      <formula>#REF!</formula>
    </cfRule>
  </conditionalFormatting>
  <conditionalFormatting sqref="H84:I91">
    <cfRule type="cellIs" dxfId="2151" priority="45" stopIfTrue="1" operator="lessThanOrEqual">
      <formula>0</formula>
    </cfRule>
    <cfRule type="cellIs" dxfId="2150" priority="44" stopIfTrue="1" operator="greaterThan">
      <formula>$J84</formula>
    </cfRule>
  </conditionalFormatting>
  <conditionalFormatting sqref="H92:I92">
    <cfRule type="cellIs" dxfId="2149" priority="53" operator="greaterThan">
      <formula>5.3</formula>
    </cfRule>
  </conditionalFormatting>
  <conditionalFormatting sqref="H93:I93">
    <cfRule type="cellIs" dxfId="2148" priority="51" stopIfTrue="1" operator="greaterThan">
      <formula>$J93</formula>
    </cfRule>
    <cfRule type="cellIs" dxfId="2147" priority="52" stopIfTrue="1" operator="lessThanOrEqual">
      <formula>0</formula>
    </cfRule>
  </conditionalFormatting>
  <conditionalFormatting sqref="I71">
    <cfRule type="cellIs" dxfId="2146" priority="17" stopIfTrue="1" operator="greaterThan">
      <formula>$F$80</formula>
    </cfRule>
    <cfRule type="cellIs" dxfId="2145" priority="18" stopIfTrue="1" operator="lessThanOrEqual">
      <formula>0</formula>
    </cfRule>
    <cfRule type="cellIs" dxfId="2144" priority="19" stopIfTrue="1" operator="greaterThan">
      <formula>$F$82</formula>
    </cfRule>
    <cfRule type="cellIs" dxfId="2143" priority="20" stopIfTrue="1" operator="lessThanOrEqual">
      <formula>0</formula>
    </cfRule>
    <cfRule type="cellIs" dxfId="2142" priority="21" stopIfTrue="1" operator="greaterThan">
      <formula>$F$80</formula>
    </cfRule>
    <cfRule type="cellIs" dxfId="2141" priority="22" stopIfTrue="1" operator="lessThanOrEqual">
      <formula>0</formula>
    </cfRule>
  </conditionalFormatting>
  <conditionalFormatting sqref="I72:I75">
    <cfRule type="cellIs" dxfId="2140" priority="81" stopIfTrue="1" operator="lessThanOrEqual">
      <formula>0</formula>
    </cfRule>
    <cfRule type="cellIs" dxfId="2139" priority="82" stopIfTrue="1" operator="greaterThan">
      <formula>$F$84</formula>
    </cfRule>
    <cfRule type="cellIs" dxfId="2138" priority="83" stopIfTrue="1" operator="lessThanOrEqual">
      <formula>0</formula>
    </cfRule>
    <cfRule type="cellIs" dxfId="2137" priority="80" stopIfTrue="1" operator="greaterThan">
      <formula>$F$86</formula>
    </cfRule>
    <cfRule type="cellIs" dxfId="2136" priority="79" stopIfTrue="1" operator="lessThanOrEqual">
      <formula>0</formula>
    </cfRule>
    <cfRule type="cellIs" dxfId="2135" priority="78" stopIfTrue="1" operator="greaterThan">
      <formula>$F$84</formula>
    </cfRule>
  </conditionalFormatting>
  <conditionalFormatting sqref="I76:I77">
    <cfRule type="cellIs" dxfId="2134" priority="123" stopIfTrue="1" operator="lessThanOrEqual">
      <formula>0</formula>
    </cfRule>
    <cfRule type="cellIs" dxfId="2133" priority="122" stopIfTrue="1" operator="greaterThan">
      <formula>#REF!</formula>
    </cfRule>
    <cfRule type="cellIs" dxfId="2132" priority="126" stopIfTrue="1" operator="greaterThan">
      <formula>#REF!</formula>
    </cfRule>
    <cfRule type="cellIs" dxfId="2131" priority="127" stopIfTrue="1" operator="lessThanOrEqual">
      <formula>0</formula>
    </cfRule>
    <cfRule type="cellIs" dxfId="2130" priority="124" stopIfTrue="1" operator="greaterThan">
      <formula>#REF!</formula>
    </cfRule>
    <cfRule type="cellIs" dxfId="2129" priority="125" stopIfTrue="1" operator="lessThanOrEqual">
      <formula>0</formula>
    </cfRule>
  </conditionalFormatting>
  <conditionalFormatting sqref="I78">
    <cfRule type="cellIs" dxfId="2128" priority="136" stopIfTrue="1" operator="greaterThan">
      <formula>$F$52</formula>
    </cfRule>
    <cfRule type="cellIs" dxfId="2127" priority="137" stopIfTrue="1" operator="lessThanOrEqual">
      <formula>0</formula>
    </cfRule>
    <cfRule type="cellIs" dxfId="2126" priority="138" stopIfTrue="1" operator="greaterThan">
      <formula>$F$54</formula>
    </cfRule>
    <cfRule type="cellIs" dxfId="2125" priority="140" stopIfTrue="1" operator="greaterThan">
      <formula>$F$52</formula>
    </cfRule>
    <cfRule type="cellIs" dxfId="2124" priority="139" stopIfTrue="1" operator="lessThanOrEqual">
      <formula>0</formula>
    </cfRule>
    <cfRule type="cellIs" dxfId="2123" priority="141" stopIfTrue="1" operator="lessThanOrEqual">
      <formula>0</formula>
    </cfRule>
  </conditionalFormatting>
  <conditionalFormatting sqref="I79:I80">
    <cfRule type="cellIs" dxfId="2122" priority="106" stopIfTrue="1" operator="greaterThan">
      <formula>#REF!</formula>
    </cfRule>
    <cfRule type="cellIs" dxfId="2121" priority="111" stopIfTrue="1" operator="lessThanOrEqual">
      <formula>0</formula>
    </cfRule>
    <cfRule type="cellIs" dxfId="2120" priority="110" stopIfTrue="1" operator="greaterThan">
      <formula>#REF!</formula>
    </cfRule>
    <cfRule type="cellIs" dxfId="2119" priority="109" stopIfTrue="1" operator="lessThanOrEqual">
      <formula>0</formula>
    </cfRule>
    <cfRule type="cellIs" dxfId="2118" priority="108" stopIfTrue="1" operator="greaterThan">
      <formula>#REF!</formula>
    </cfRule>
    <cfRule type="cellIs" dxfId="2117" priority="107" stopIfTrue="1" operator="lessThanOrEqual">
      <formula>0</formula>
    </cfRule>
  </conditionalFormatting>
  <conditionalFormatting sqref="I95:I103">
    <cfRule type="cellIs" dxfId="2116" priority="170" stopIfTrue="1" operator="greaterThan">
      <formula>4.5</formula>
    </cfRule>
    <cfRule type="cellIs" dxfId="2115" priority="171" stopIfTrue="1" operator="lessThanOrEqual">
      <formula>0</formula>
    </cfRule>
  </conditionalFormatting>
  <conditionalFormatting sqref="I10:J39">
    <cfRule type="cellIs" dxfId="2114" priority="27" operator="lessThan">
      <formula>97.9</formula>
    </cfRule>
  </conditionalFormatting>
  <conditionalFormatting sqref="J42">
    <cfRule type="cellIs" dxfId="2113" priority="73" operator="lessThan">
      <formula>97.95</formula>
    </cfRule>
  </conditionalFormatting>
  <conditionalFormatting sqref="J44">
    <cfRule type="cellIs" dxfId="2112" priority="149" operator="lessThan">
      <formula>98</formula>
    </cfRule>
    <cfRule type="cellIs" dxfId="2111" priority="147" stopIfTrue="1" operator="lessThan">
      <formula>96.8</formula>
    </cfRule>
    <cfRule type="cellIs" dxfId="2110" priority="148" stopIfTrue="1" operator="greaterThan">
      <formula>100</formula>
    </cfRule>
  </conditionalFormatting>
  <conditionalFormatting sqref="J44:J46">
    <cfRule type="cellIs" dxfId="2109" priority="146" operator="lessThan">
      <formula>97.4</formula>
    </cfRule>
  </conditionalFormatting>
  <conditionalFormatting sqref="J47:J48">
    <cfRule type="cellIs" dxfId="2108" priority="150" operator="lessThan">
      <formula>98</formula>
    </cfRule>
  </conditionalFormatting>
  <conditionalFormatting sqref="J49:J50">
    <cfRule type="cellIs" dxfId="2107" priority="151" stopIfTrue="1" operator="lessThan">
      <formula>96.8</formula>
    </cfRule>
    <cfRule type="cellIs" dxfId="2106" priority="152" stopIfTrue="1" operator="greaterThan">
      <formula>100</formula>
    </cfRule>
  </conditionalFormatting>
  <conditionalFormatting sqref="J49:J51">
    <cfRule type="cellIs" dxfId="2105" priority="153" operator="lessThan">
      <formula>98</formula>
    </cfRule>
  </conditionalFormatting>
  <conditionalFormatting sqref="J80">
    <cfRule type="cellIs" dxfId="2104" priority="100" stopIfTrue="1" operator="greaterThan">
      <formula>#REF!</formula>
    </cfRule>
    <cfRule type="cellIs" dxfId="2103" priority="96" stopIfTrue="1" operator="greaterThan">
      <formula>#REF!</formula>
    </cfRule>
    <cfRule type="cellIs" dxfId="2102" priority="98" stopIfTrue="1" operator="greaterThan">
      <formula>#REF!</formula>
    </cfRule>
    <cfRule type="cellIs" dxfId="2101" priority="97" stopIfTrue="1" operator="lessThanOrEqual">
      <formula>0</formula>
    </cfRule>
    <cfRule type="cellIs" dxfId="2100" priority="99" stopIfTrue="1" operator="lessThanOrEqual">
      <formula>0</formula>
    </cfRule>
    <cfRule type="cellIs" dxfId="2099" priority="95" stopIfTrue="1" operator="lessThanOrEqual">
      <formula>0</formula>
    </cfRule>
    <cfRule type="cellIs" dxfId="2098" priority="94" stopIfTrue="1" operator="greaterThan">
      <formula>#REF!</formula>
    </cfRule>
    <cfRule type="cellIs" dxfId="2097" priority="101" stopIfTrue="1" operator="lessThanOrEqual">
      <formula>0</formula>
    </cfRule>
  </conditionalFormatting>
  <conditionalFormatting sqref="J93">
    <cfRule type="cellIs" dxfId="2096" priority="58" stopIfTrue="1" operator="greaterThan">
      <formula>$F93</formula>
    </cfRule>
    <cfRule type="cellIs" dxfId="2095" priority="59" stopIfTrue="1" operator="lessThanOrEqual">
      <formula>0</formula>
    </cfRule>
  </conditionalFormatting>
  <conditionalFormatting sqref="K10:K39">
    <cfRule type="cellIs" dxfId="2094" priority="29" operator="lessThan">
      <formula>4</formula>
    </cfRule>
    <cfRule type="cellIs" dxfId="2093" priority="30" operator="greaterThan">
      <formula>6.4</formula>
    </cfRule>
    <cfRule type="cellIs" dxfId="2092" priority="28" operator="greaterThan">
      <formula>6</formula>
    </cfRule>
  </conditionalFormatting>
  <conditionalFormatting sqref="K71:K80">
    <cfRule type="cellIs" dxfId="2091" priority="88" stopIfTrue="1" operator="lessThan">
      <formula>100%</formula>
    </cfRule>
  </conditionalFormatting>
  <conditionalFormatting sqref="K95:K100">
    <cfRule type="cellIs" dxfId="2090" priority="176" stopIfTrue="1" operator="lessThan">
      <formula>100%</formula>
    </cfRule>
  </conditionalFormatting>
  <conditionalFormatting sqref="K102:K103">
    <cfRule type="cellIs" dxfId="2089" priority="183" stopIfTrue="1" operator="lessThan">
      <formula>100%</formula>
    </cfRule>
  </conditionalFormatting>
  <conditionalFormatting sqref="K84:M92">
    <cfRule type="cellIs" dxfId="2088" priority="43" stopIfTrue="1" operator="lessThan">
      <formula>100%</formula>
    </cfRule>
  </conditionalFormatting>
  <conditionalFormatting sqref="L10:L39">
    <cfRule type="cellIs" dxfId="2087" priority="32" operator="greaterThan">
      <formula>65</formula>
    </cfRule>
    <cfRule type="cellIs" dxfId="2086" priority="31" operator="between">
      <formula>61</formula>
      <formula>65</formula>
    </cfRule>
  </conditionalFormatting>
  <conditionalFormatting sqref="L42:M53">
    <cfRule type="cellIs" dxfId="2085" priority="90" operator="lessThan">
      <formula>97.95</formula>
    </cfRule>
  </conditionalFormatting>
  <conditionalFormatting sqref="L93:M93">
    <cfRule type="cellIs" dxfId="2084" priority="60" stopIfTrue="1" operator="lessThan">
      <formula>100%</formula>
    </cfRule>
  </conditionalFormatting>
  <conditionalFormatting sqref="L57:N57">
    <cfRule type="cellIs" dxfId="2083" priority="91" operator="notEqual">
      <formula>#REF!</formula>
    </cfRule>
  </conditionalFormatting>
  <conditionalFormatting sqref="L95:N103">
    <cfRule type="cellIs" dxfId="2082" priority="161" stopIfTrue="1" operator="lessThan">
      <formula>100%</formula>
    </cfRule>
  </conditionalFormatting>
  <conditionalFormatting sqref="M20:M32">
    <cfRule type="expression" dxfId="2081" priority="36">
      <formula>IF(+(IF(M20&lt;U20,0,IF(M20&gt;V20,0,1)))=0,1)</formula>
    </cfRule>
  </conditionalFormatting>
  <conditionalFormatting sqref="M36:M37">
    <cfRule type="expression" dxfId="2080" priority="38">
      <formula>IF(+(IF(M36&lt;U36,0,IF(M36&gt;V36,0,1)))=0,1)</formula>
    </cfRule>
  </conditionalFormatting>
  <conditionalFormatting sqref="M38:N39">
    <cfRule type="expression" dxfId="2079" priority="89">
      <formula>IF(+(IF(M38&lt;#REF!,0,IF(M38&gt;#REF!,0,1)))=0,1)</formula>
    </cfRule>
  </conditionalFormatting>
  <conditionalFormatting sqref="N10:N37">
    <cfRule type="expression" dxfId="2078" priority="35">
      <formula>IF(+(IF(N10&lt;W10,0,IF(N10&gt;X10,0,1)))=0,1)</formula>
    </cfRule>
  </conditionalFormatting>
  <conditionalFormatting sqref="N84:N93">
    <cfRule type="cellIs" dxfId="2077" priority="72" stopIfTrue="1" operator="lessThan">
      <formula>100%</formula>
    </cfRule>
  </conditionalFormatting>
  <conditionalFormatting sqref="P6">
    <cfRule type="cellIs" dxfId="2076" priority="157" operator="greaterThanOrEqual">
      <formula>19</formula>
    </cfRule>
  </conditionalFormatting>
  <dataValidations count="1">
    <dataValidation type="list" allowBlank="1" showInputMessage="1" showErrorMessage="1" sqref="R8" xr:uid="{92DF3193-C241-431B-9795-D3EB259835BA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97" max="16383" man="1"/>
  </rowBreaks>
  <colBreaks count="1" manualBreakCount="1">
    <brk id="15" max="89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02650-BB6B-42A3-A76D-50459C2CFFDA}">
  <sheetPr>
    <pageSetUpPr fitToPage="1"/>
  </sheetPr>
  <dimension ref="A1:BE87"/>
  <sheetViews>
    <sheetView topLeftCell="A44" zoomScale="80" zoomScaleNormal="80" workbookViewId="0">
      <selection activeCell="K60" sqref="K60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8" width="16.5703125" style="275" customWidth="1"/>
    <col min="9" max="9" width="20.7109375" style="275" customWidth="1"/>
    <col min="10" max="10" width="24.140625" style="275" bestFit="1" customWidth="1"/>
    <col min="11" max="11" width="19.42578125" style="275" bestFit="1" customWidth="1"/>
    <col min="12" max="12" width="17.140625" style="275" bestFit="1" customWidth="1"/>
    <col min="13" max="13" width="13.140625" style="275" bestFit="1" customWidth="1"/>
    <col min="14" max="14" width="13.85546875" style="275" bestFit="1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5" t="s">
        <v>0</v>
      </c>
      <c r="T1" s="555"/>
      <c r="U1" s="555" t="s">
        <v>1</v>
      </c>
      <c r="V1" s="555"/>
      <c r="W1" s="555" t="s">
        <v>2</v>
      </c>
      <c r="X1" s="555"/>
      <c r="Y1" s="555" t="s">
        <v>124</v>
      </c>
      <c r="Z1" s="555"/>
    </row>
    <row r="2" spans="2:29" ht="15">
      <c r="B2" s="556" t="s">
        <v>3</v>
      </c>
      <c r="C2" s="556"/>
      <c r="D2" s="556"/>
      <c r="E2" s="556"/>
      <c r="F2" s="556"/>
      <c r="G2" s="556"/>
      <c r="H2" s="556"/>
      <c r="I2" s="556"/>
      <c r="J2" s="556"/>
      <c r="K2" s="556"/>
      <c r="L2" s="556"/>
      <c r="M2" s="556"/>
      <c r="N2" s="556"/>
      <c r="O2" s="556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46127</v>
      </c>
      <c r="J4" s="398" t="s">
        <v>167</v>
      </c>
      <c r="K4" s="398"/>
      <c r="L4" s="11"/>
      <c r="M4" s="553" t="s">
        <v>8</v>
      </c>
      <c r="N4" s="554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2"/>
      <c r="D5" s="542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6" t="s">
        <v>17</v>
      </c>
      <c r="C8" s="517" t="s">
        <v>18</v>
      </c>
      <c r="D8" s="517" t="s">
        <v>19</v>
      </c>
      <c r="E8" s="356" t="s">
        <v>20</v>
      </c>
      <c r="F8" s="356" t="s">
        <v>21</v>
      </c>
      <c r="G8" s="517" t="s">
        <v>22</v>
      </c>
      <c r="H8" s="544" t="s">
        <v>144</v>
      </c>
      <c r="I8" s="517" t="s">
        <v>165</v>
      </c>
      <c r="J8" s="546" t="s">
        <v>23</v>
      </c>
      <c r="K8" s="548" t="s">
        <v>142</v>
      </c>
      <c r="L8" s="550" t="s">
        <v>24</v>
      </c>
      <c r="M8" s="359" t="s">
        <v>25</v>
      </c>
      <c r="N8" s="17" t="s">
        <v>169</v>
      </c>
      <c r="O8" s="510" t="s">
        <v>155</v>
      </c>
      <c r="P8" s="540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43"/>
      <c r="C9" s="541"/>
      <c r="D9" s="541"/>
      <c r="E9" s="357" t="s">
        <v>30</v>
      </c>
      <c r="F9" s="357" t="s">
        <v>31</v>
      </c>
      <c r="G9" s="541"/>
      <c r="H9" s="545"/>
      <c r="I9" s="541"/>
      <c r="J9" s="547"/>
      <c r="K9" s="549"/>
      <c r="L9" s="551"/>
      <c r="M9" s="20" t="s">
        <v>32</v>
      </c>
      <c r="N9" s="21" t="s">
        <v>41</v>
      </c>
      <c r="O9" s="552"/>
      <c r="P9" s="541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>
      <c r="B10" s="29" t="s">
        <v>6</v>
      </c>
      <c r="C10" s="366" t="str">
        <f>[4]Brewhouse!$A311</f>
        <v>CA267</v>
      </c>
      <c r="D10" s="279">
        <f>[4]Brewhouse!$AF311</f>
        <v>50.9</v>
      </c>
      <c r="E10" s="279">
        <f>[4]Brewhouse!$AI311</f>
        <v>51.3</v>
      </c>
      <c r="F10" s="278">
        <f>[4]Brewhouse!$V311</f>
        <v>58</v>
      </c>
      <c r="G10" s="279">
        <f>[4]Brewhouse!AG311</f>
        <v>11.6</v>
      </c>
      <c r="H10" s="396">
        <v>11.6</v>
      </c>
      <c r="I10" s="368">
        <f>[4]Brewhouse!$AU311</f>
        <v>97.964873795422605</v>
      </c>
      <c r="J10" s="368">
        <f>[4]Brewhouse!$AV311</f>
        <v>99.33337698474557</v>
      </c>
      <c r="K10" s="281">
        <f>[4]Brewhouse!$Q311</f>
        <v>11.1070780399274</v>
      </c>
      <c r="L10" s="276">
        <f>[4]Brewhouse!$P311</f>
        <v>60</v>
      </c>
      <c r="M10" s="397">
        <f>[4]Brewhouse!$U311-[4]Brewhouse!$T311</f>
        <v>0.11874999999999991</v>
      </c>
      <c r="N10" s="370">
        <f>[4]Brewhouse!$Z311</f>
        <v>0.25277777777777777</v>
      </c>
      <c r="O10" s="420" t="str">
        <f>[4]Brewhouse!$AX311</f>
        <v>R. Regis</v>
      </c>
      <c r="P10" s="418"/>
      <c r="R10" s="277" t="str">
        <f t="shared" ref="R10:R47" si="0">B10</f>
        <v>CARIB</v>
      </c>
      <c r="S10" s="472">
        <f t="shared" ref="S10:S47" si="1">VLOOKUP($B10,$R$3:$X$9,2,FALSE)</f>
        <v>11.6</v>
      </c>
      <c r="T10" s="472">
        <f t="shared" ref="T10:T47" si="2">VLOOKUP($B10,$R$3:$X$9,3,FALSE)</f>
        <v>12</v>
      </c>
      <c r="U10" s="297">
        <f t="shared" ref="U10:U47" si="3">VLOOKUP($B10,$R$3:$X$9,4,FALSE)</f>
        <v>0</v>
      </c>
      <c r="V10" s="297">
        <f t="shared" ref="V10:V47" si="4">VLOOKUP($B10,$R$3:$X$9,5,FALSE)</f>
        <v>0.118055555555556</v>
      </c>
      <c r="W10" s="297">
        <f t="shared" ref="W10:W47" si="5">VLOOKUP($B10,$R$3:$X$9,6,FALSE)</f>
        <v>0.22569444444444445</v>
      </c>
      <c r="X10" s="297">
        <f t="shared" ref="X10:X47" si="6">VLOOKUP($B10,$R$3:$X$9,7,FALSE)</f>
        <v>0.2638888888888889</v>
      </c>
      <c r="Y10" s="297">
        <f t="shared" ref="Y10:Y47" si="7">VLOOKUP($B10,$R$3:$Z$9,8,FALSE)</f>
        <v>0</v>
      </c>
      <c r="Z10" s="472">
        <f t="shared" ref="Z10:Z47" si="8">VLOOKUP($B10,$R$3:$Z$9,9,FALSE)</f>
        <v>60</v>
      </c>
    </row>
    <row r="11" spans="2:29" ht="15">
      <c r="B11" s="29" t="s">
        <v>6</v>
      </c>
      <c r="C11" s="366" t="str">
        <f>[4]Brewhouse!$A312</f>
        <v>CA268</v>
      </c>
      <c r="D11" s="279">
        <f>[4]Brewhouse!$AF312</f>
        <v>50.6</v>
      </c>
      <c r="E11" s="279">
        <f>[4]Brewhouse!$AI312</f>
        <v>49.3</v>
      </c>
      <c r="F11" s="278">
        <f>[4]Brewhouse!$V312</f>
        <v>61</v>
      </c>
      <c r="G11" s="279">
        <f>[4]Brewhouse!AG312</f>
        <v>12</v>
      </c>
      <c r="H11" s="396">
        <v>12</v>
      </c>
      <c r="I11" s="368">
        <f>[4]Brewhouse!$AU312</f>
        <v>97.684444147608716</v>
      </c>
      <c r="J11" s="368">
        <f>[4]Brewhouse!$AV312</f>
        <v>99.048940268092579</v>
      </c>
      <c r="K11" s="281">
        <f>[4]Brewhouse!$Q312</f>
        <v>9.4736842105263133</v>
      </c>
      <c r="L11" s="276">
        <f>[4]Brewhouse!$P312</f>
        <v>60</v>
      </c>
      <c r="M11" s="397">
        <f>[4]Brewhouse!$U312-[4]Brewhouse!$T312</f>
        <v>0.12222222222222226</v>
      </c>
      <c r="N11" s="370">
        <f>[4]Brewhouse!$Z312</f>
        <v>0.25486111111111115</v>
      </c>
      <c r="O11" s="420" t="str">
        <f>[4]Brewhouse!$AX312</f>
        <v>R. Regis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>
      <c r="B12" s="29" t="s">
        <v>6</v>
      </c>
      <c r="C12" s="366" t="str">
        <f>[4]Brewhouse!$A313</f>
        <v>CA269</v>
      </c>
      <c r="D12" s="279">
        <f>[4]Brewhouse!$AF313</f>
        <v>51</v>
      </c>
      <c r="E12" s="279">
        <f>[4]Brewhouse!$AI313</f>
        <v>52.4</v>
      </c>
      <c r="F12" s="278">
        <f>[4]Brewhouse!$V313</f>
        <v>64</v>
      </c>
      <c r="G12" s="279">
        <f>[4]Brewhouse!AG313</f>
        <v>11.6</v>
      </c>
      <c r="H12" s="482">
        <v>11.5</v>
      </c>
      <c r="I12" s="368">
        <f>[4]Brewhouse!$AU313</f>
        <v>100.56390577410568</v>
      </c>
      <c r="J12" s="368">
        <f>[4]Brewhouse!$AV313</f>
        <v>101.9683451137175</v>
      </c>
      <c r="K12" s="281">
        <f>[4]Brewhouse!$Q313</f>
        <v>7.8003696857670963</v>
      </c>
      <c r="L12" s="276">
        <f>[4]Brewhouse!$P313</f>
        <v>59</v>
      </c>
      <c r="M12" s="397">
        <f>[4]Brewhouse!$U313-[4]Brewhouse!$T313</f>
        <v>0.11458333333333331</v>
      </c>
      <c r="N12" s="370">
        <f>[4]Brewhouse!$Z313</f>
        <v>0.24166666666666664</v>
      </c>
      <c r="O12" s="420" t="str">
        <f>[4]Brewhouse!$AX313</f>
        <v>D. Gomaz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>
      <c r="B13" s="29" t="s">
        <v>6</v>
      </c>
      <c r="C13" s="488" t="str">
        <f>[4]Brewhouse!$A314</f>
        <v>CA270</v>
      </c>
      <c r="D13" s="279">
        <f>[4]Brewhouse!$AF314</f>
        <v>51.2</v>
      </c>
      <c r="E13" s="279">
        <f>[4]Brewhouse!$AI314</f>
        <v>50</v>
      </c>
      <c r="F13" s="278">
        <f>[4]Brewhouse!$V314</f>
        <v>60</v>
      </c>
      <c r="G13" s="279">
        <f>[4]Brewhouse!AG314</f>
        <v>12</v>
      </c>
      <c r="H13" s="396">
        <v>11.9</v>
      </c>
      <c r="I13" s="368">
        <f>[4]Brewhouse!$AU314</f>
        <v>99.284482347324953</v>
      </c>
      <c r="J13" s="368">
        <f>[4]Brewhouse!$AV314</f>
        <v>100.58000323726671</v>
      </c>
      <c r="K13" s="281">
        <f>[4]Brewhouse!$Q314</f>
        <v>1.4173228346456672</v>
      </c>
      <c r="L13" s="276">
        <f>[4]Brewhouse!$P314</f>
        <v>61</v>
      </c>
      <c r="M13" s="397">
        <f>[4]Brewhouse!$U314-[4]Brewhouse!$T314</f>
        <v>0.10902777777777772</v>
      </c>
      <c r="N13" s="370">
        <f>[4]Brewhouse!$Z314</f>
        <v>0.24375000000000002</v>
      </c>
      <c r="O13" s="420" t="str">
        <f>[4]Brewhouse!$AX314</f>
        <v>D. Gomaz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>
      <c r="B14" s="29" t="s">
        <v>6</v>
      </c>
      <c r="C14" s="488" t="str">
        <f>[4]Brewhouse!$A315</f>
        <v>CA271</v>
      </c>
      <c r="D14" s="279">
        <f>[4]Brewhouse!$AF315</f>
        <v>51.1</v>
      </c>
      <c r="E14" s="279">
        <f>[4]Brewhouse!$AI315</f>
        <v>50.2</v>
      </c>
      <c r="F14" s="278">
        <f>[4]Brewhouse!$V315</f>
        <v>60</v>
      </c>
      <c r="G14" s="279">
        <f>[4]Brewhouse!AG315</f>
        <v>12</v>
      </c>
      <c r="H14" s="396">
        <v>12.2</v>
      </c>
      <c r="I14" s="368">
        <f>[4]Brewhouse!$AU315</f>
        <v>99.92986277518375</v>
      </c>
      <c r="J14" s="368">
        <f>[4]Brewhouse!$AV315</f>
        <v>101.23363252705178</v>
      </c>
      <c r="K14" s="281">
        <f>[4]Brewhouse!$Q315</f>
        <v>1.4090019569471601</v>
      </c>
      <c r="L14" s="276">
        <f>[4]Brewhouse!$P315</f>
        <v>59</v>
      </c>
      <c r="M14" s="397">
        <f>[4]Brewhouse!$U315-[4]Brewhouse!$T315</f>
        <v>0.11111111111111116</v>
      </c>
      <c r="N14" s="370">
        <f>[4]Brewhouse!$Z315</f>
        <v>0.25416666666666665</v>
      </c>
      <c r="O14" s="420" t="str">
        <f>[4]Brewhouse!$AX315</f>
        <v>D. Gomaz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>
      <c r="B15" s="29" t="s">
        <v>6</v>
      </c>
      <c r="C15" s="488" t="str">
        <f>[4]Brewhouse!$A316</f>
        <v>CA272</v>
      </c>
      <c r="D15" s="279">
        <f>[4]Brewhouse!$AF316</f>
        <v>51.8</v>
      </c>
      <c r="E15" s="279">
        <f>[4]Brewhouse!$AI316</f>
        <v>51.9</v>
      </c>
      <c r="F15" s="278">
        <f>[4]Brewhouse!$V316</f>
        <v>63</v>
      </c>
      <c r="G15" s="279">
        <f>[4]Brewhouse!AG316</f>
        <v>11.6</v>
      </c>
      <c r="H15" s="396">
        <v>11.7</v>
      </c>
      <c r="I15" s="368">
        <f>[4]Brewhouse!$AU316</f>
        <v>98.833209781084534</v>
      </c>
      <c r="J15" s="368">
        <f>[4]Brewhouse!$AV316</f>
        <v>100.12326487579573</v>
      </c>
      <c r="K15" s="281">
        <f>[4]Brewhouse!$Q316</f>
        <v>1.4145383104125715</v>
      </c>
      <c r="L15" s="276">
        <f>[4]Brewhouse!$P316</f>
        <v>60</v>
      </c>
      <c r="M15" s="397">
        <f>[4]Brewhouse!$U316-[4]Brewhouse!$T316</f>
        <v>0.11250000000000004</v>
      </c>
      <c r="N15" s="370">
        <f>[4]Brewhouse!$Z316</f>
        <v>0.26041666666666663</v>
      </c>
      <c r="O15" s="420" t="str">
        <f>[4]Brewhouse!$AX316</f>
        <v>D. Gomaz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>
      <c r="B16" s="29" t="s">
        <v>6</v>
      </c>
      <c r="C16" s="488" t="str">
        <f>[4]Brewhouse!$A317</f>
        <v>CA273</v>
      </c>
      <c r="D16" s="279">
        <f>[4]Brewhouse!$AF317</f>
        <v>51.3</v>
      </c>
      <c r="E16" s="279">
        <f>[4]Brewhouse!$AI317</f>
        <v>50.4</v>
      </c>
      <c r="F16" s="278">
        <f>[4]Brewhouse!$V317</f>
        <v>64</v>
      </c>
      <c r="G16" s="279">
        <f>[4]Brewhouse!AG317</f>
        <v>11.9</v>
      </c>
      <c r="H16" s="396">
        <v>12.1</v>
      </c>
      <c r="I16" s="368">
        <f>[4]Brewhouse!$AU317</f>
        <v>99.202272266400399</v>
      </c>
      <c r="J16" s="368">
        <f>[4]Brewhouse!$AV317</f>
        <v>100.49672043203837</v>
      </c>
      <c r="K16" s="281">
        <f>[4]Brewhouse!$Q317</f>
        <v>1.4035087719298225</v>
      </c>
      <c r="L16" s="276">
        <f>[4]Brewhouse!$P317</f>
        <v>62</v>
      </c>
      <c r="M16" s="397">
        <f>[4]Brewhouse!$U317-[4]Brewhouse!$T317</f>
        <v>0.10763888888888895</v>
      </c>
      <c r="N16" s="370">
        <f>[4]Brewhouse!$Z317</f>
        <v>0.25763888888888886</v>
      </c>
      <c r="O16" s="420" t="str">
        <f>[4]Brewhouse!$AX317</f>
        <v>D. Gomaz</v>
      </c>
      <c r="P16" s="418"/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2:26" ht="15">
      <c r="B17" s="29" t="s">
        <v>6</v>
      </c>
      <c r="C17" s="488" t="str">
        <f>[4]Brewhouse!$A318</f>
        <v>CA274</v>
      </c>
      <c r="D17" s="279">
        <f>[4]Brewhouse!$AF318</f>
        <v>51.6</v>
      </c>
      <c r="E17" s="279">
        <f>[4]Brewhouse!$AI318</f>
        <v>50.6</v>
      </c>
      <c r="F17" s="278">
        <f>[4]Brewhouse!$V318</f>
        <v>58</v>
      </c>
      <c r="G17" s="279">
        <f>[4]Brewhouse!AG318</f>
        <v>11.8</v>
      </c>
      <c r="H17" s="396">
        <v>11.8</v>
      </c>
      <c r="I17" s="368">
        <f>[4]Brewhouse!$AU318</f>
        <v>98.715968018469894</v>
      </c>
      <c r="J17" s="368">
        <f>[4]Brewhouse!$AV318</f>
        <v>100.00407060726477</v>
      </c>
      <c r="K17" s="281">
        <f>[4]Brewhouse!$Q318</f>
        <v>1.4062499999999978</v>
      </c>
      <c r="L17" s="276">
        <f>[4]Brewhouse!$P318</f>
        <v>59</v>
      </c>
      <c r="M17" s="397">
        <f>[4]Brewhouse!$U318-[4]Brewhouse!$T318</f>
        <v>0.10416666666666663</v>
      </c>
      <c r="N17" s="370">
        <f>[4]Brewhouse!$Z318</f>
        <v>0.24861111111111101</v>
      </c>
      <c r="O17" s="420" t="str">
        <f>[4]Brewhouse!$AX318</f>
        <v>D. Gomaz</v>
      </c>
      <c r="P17" s="418"/>
      <c r="R17" s="277" t="str">
        <f t="shared" si="0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2:26" ht="15">
      <c r="B18" s="29" t="s">
        <v>6</v>
      </c>
      <c r="C18" s="488" t="str">
        <f>[4]Brewhouse!$A319</f>
        <v>CA275</v>
      </c>
      <c r="D18" s="279">
        <f>[4]Brewhouse!$AF319</f>
        <v>51</v>
      </c>
      <c r="E18" s="279">
        <f>[4]Brewhouse!$AI319</f>
        <v>49.6</v>
      </c>
      <c r="F18" s="278">
        <f>[4]Brewhouse!$V319</f>
        <v>57</v>
      </c>
      <c r="G18" s="279">
        <f>[4]Brewhouse!AG319</f>
        <v>11.6</v>
      </c>
      <c r="H18" s="396">
        <v>11.8</v>
      </c>
      <c r="I18" s="368">
        <f>[4]Brewhouse!$AU319</f>
        <v>95.039912630667331</v>
      </c>
      <c r="J18" s="368">
        <f>[4]Brewhouse!$AV319</f>
        <v>96.280047939632709</v>
      </c>
      <c r="K18" s="281">
        <f>[4]Brewhouse!$Q319</f>
        <v>1.4117647058823508</v>
      </c>
      <c r="L18" s="276"/>
      <c r="M18" s="397">
        <f>[4]Brewhouse!$U319-[4]Brewhouse!$T319</f>
        <v>0.11388888888888893</v>
      </c>
      <c r="N18" s="370">
        <f>[4]Brewhouse!$Z319</f>
        <v>0.25069444444444444</v>
      </c>
      <c r="O18" s="420" t="str">
        <f>[4]Brewhouse!$AX319</f>
        <v>R. Regis</v>
      </c>
      <c r="P18" s="418"/>
      <c r="R18" s="277" t="str">
        <f t="shared" si="0"/>
        <v>CARIB</v>
      </c>
      <c r="S18" s="472">
        <f t="shared" si="1"/>
        <v>11.6</v>
      </c>
      <c r="T18" s="472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2">
        <f t="shared" si="8"/>
        <v>60</v>
      </c>
    </row>
    <row r="19" spans="2:26" ht="15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2:26" ht="15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2:26" ht="15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0"/>
      <c r="P21" s="418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2:26" ht="15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0"/>
      <c r="P22" s="418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2:26" ht="15" hidden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420"/>
      <c r="P23" s="418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2:26" ht="15" hidden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420"/>
      <c r="P24" s="418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2:26" ht="15" hidden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420"/>
      <c r="P25" s="418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2:26" ht="15" hidden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420"/>
      <c r="P26" s="418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2:26" ht="15" hidden="1">
      <c r="B27" s="33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74"/>
      <c r="N27" s="370"/>
      <c r="O27" s="371"/>
      <c r="P27" s="418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2:26" ht="15" hidden="1">
      <c r="B28" s="33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74"/>
      <c r="N28" s="370"/>
      <c r="O28" s="371"/>
      <c r="P28" s="418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2:26" ht="15" hidden="1">
      <c r="B29" s="33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74"/>
      <c r="N29" s="370"/>
      <c r="O29" s="371"/>
      <c r="P29" s="418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2:26" ht="15" hidden="1">
      <c r="B30" s="34"/>
      <c r="C30" s="366"/>
      <c r="D30" s="279"/>
      <c r="E30" s="279"/>
      <c r="F30" s="278"/>
      <c r="G30" s="279"/>
      <c r="H30" s="396"/>
      <c r="I30" s="484"/>
      <c r="J30" s="484"/>
      <c r="K30" s="485"/>
      <c r="L30" s="276"/>
      <c r="M30" s="374"/>
      <c r="N30" s="370"/>
      <c r="O30" s="420"/>
      <c r="P30" s="418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2:26" ht="15" hidden="1">
      <c r="B31" s="34"/>
      <c r="C31" s="366"/>
      <c r="D31" s="279"/>
      <c r="E31" s="279"/>
      <c r="F31" s="278"/>
      <c r="G31" s="279"/>
      <c r="H31" s="396"/>
      <c r="I31" s="484"/>
      <c r="J31" s="484"/>
      <c r="K31" s="485"/>
      <c r="L31" s="276"/>
      <c r="M31" s="374"/>
      <c r="N31" s="370"/>
      <c r="O31" s="420"/>
      <c r="P31" s="418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2:26" ht="18" hidden="1" customHeight="1">
      <c r="B32" s="29"/>
      <c r="C32" s="366"/>
      <c r="D32" s="279"/>
      <c r="E32" s="279"/>
      <c r="F32" s="278"/>
      <c r="G32" s="279"/>
      <c r="H32" s="482"/>
      <c r="I32" s="368"/>
      <c r="J32" s="368"/>
      <c r="K32" s="281"/>
      <c r="L32" s="276"/>
      <c r="M32" s="374"/>
      <c r="N32" s="370"/>
      <c r="O32" s="371"/>
      <c r="P32" s="418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27" ht="16.5" hidden="1" customHeight="1">
      <c r="B33" s="29"/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397"/>
      <c r="N33" s="370"/>
      <c r="O33" s="371"/>
      <c r="P33" s="418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27" ht="15.75" customHeight="1" thickBot="1">
      <c r="B34" s="358"/>
      <c r="C34" s="358"/>
      <c r="D34" s="358"/>
      <c r="E34" s="358"/>
      <c r="F34" s="294"/>
      <c r="G34" s="294"/>
      <c r="H34" s="348"/>
      <c r="I34" s="533"/>
      <c r="J34" s="533"/>
      <c r="K34" s="533"/>
      <c r="L34" s="533"/>
      <c r="M34" s="533"/>
      <c r="N34" s="533"/>
      <c r="O34" s="1"/>
      <c r="P34" s="12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27" ht="15.75" customHeight="1" thickBot="1">
      <c r="B35" s="388" t="s">
        <v>162</v>
      </c>
      <c r="C35" s="388"/>
      <c r="D35" s="534" t="s">
        <v>35</v>
      </c>
      <c r="E35" s="535"/>
      <c r="F35" s="294"/>
      <c r="G35" s="294"/>
      <c r="H35" s="348"/>
      <c r="I35" s="24" t="s">
        <v>17</v>
      </c>
      <c r="J35" s="25"/>
      <c r="K35" s="26" t="s">
        <v>138</v>
      </c>
      <c r="L35" s="25" t="s">
        <v>37</v>
      </c>
      <c r="M35" s="25" t="s">
        <v>38</v>
      </c>
      <c r="N35" s="27" t="s">
        <v>39</v>
      </c>
      <c r="O35" s="294"/>
      <c r="P35" s="12"/>
      <c r="R35" s="277" t="str">
        <f t="shared" si="0"/>
        <v xml:space="preserve">BRAND 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</row>
    <row r="36" spans="1:27" ht="15" customHeight="1">
      <c r="A36" s="28"/>
      <c r="B36" s="519"/>
      <c r="C36" s="362"/>
      <c r="D36" s="537"/>
      <c r="E36" s="538"/>
      <c r="F36" s="294"/>
      <c r="G36" s="294"/>
      <c r="H36" s="348"/>
      <c r="I36" s="29" t="s">
        <v>6</v>
      </c>
      <c r="J36" s="323">
        <f>AVERAGE(I10:I18)</f>
        <v>98.579881281807545</v>
      </c>
      <c r="K36" s="284">
        <f>COUNTA([4]Brewhouse!$B$292:$B$319)</f>
        <v>28</v>
      </c>
      <c r="L36" s="305">
        <f>AVERAGE([4]Brewhouse!$AU$292:$AU$319)</f>
        <v>98.522009003767792</v>
      </c>
      <c r="M36" s="305">
        <f>AVERAGE([4]Brewhouse!$AU$42:$AU$123,[4]Brewhouse!$AU$125:$AU$188,[4]Brewhouse!$AU$198:$AU$290,[4]Brewhouse!$AU$292:$AU$319)</f>
        <v>97.943645085994135</v>
      </c>
      <c r="N36" s="3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</row>
    <row r="37" spans="1:27" ht="15" customHeight="1">
      <c r="A37" s="28"/>
      <c r="B37" s="520"/>
      <c r="C37" s="362"/>
      <c r="D37" s="539"/>
      <c r="E37" s="525"/>
      <c r="F37" s="294"/>
      <c r="G37" s="294"/>
      <c r="H37" s="348"/>
      <c r="I37" s="33" t="s">
        <v>9</v>
      </c>
      <c r="J37" s="280"/>
      <c r="K37" s="284">
        <f>COUNTA([3]Brewhouse!$A$179:$A$196)</f>
        <v>18</v>
      </c>
      <c r="L37" s="302">
        <f>AVERAGE([3]Brewhouse!$AS$179:$AS$196)</f>
        <v>99.09333976474062</v>
      </c>
      <c r="M37" s="302">
        <f>AVERAGE([3]Brewhouse!$AS$52:$AS$81,[3]Brewhouse!$AS$83:$AS$124,[3]Brewhouse!$AS$134:$AS$177,[3]Brewhouse!$AS$179:$AS$196)</f>
        <v>98.520140869004209</v>
      </c>
      <c r="N37" s="30">
        <v>98</v>
      </c>
      <c r="O37" s="11"/>
      <c r="P37" s="31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</row>
    <row r="38" spans="1:27" ht="14.65" customHeight="1">
      <c r="A38" s="28"/>
      <c r="B38" s="520"/>
      <c r="C38" s="362"/>
      <c r="D38" s="529"/>
      <c r="E38" s="530"/>
      <c r="F38" s="294"/>
      <c r="G38" s="294"/>
      <c r="H38" s="348"/>
      <c r="I38" s="34" t="s">
        <v>12</v>
      </c>
      <c r="J38" s="280"/>
      <c r="K38" s="284">
        <f>COUNTA([5]Brewhouse!$A$43:$A$50)</f>
        <v>8</v>
      </c>
      <c r="L38" s="302">
        <f>AVERAGE([5]Brewhouse!$AU$43:$AU$50)</f>
        <v>96.223405821152667</v>
      </c>
      <c r="M38" s="302">
        <f>AVERAGE([5]Brewhouse!$AU$16:$AU$23,[5]Brewhouse!$AU$25:$AU$32,[5]Brewhouse!$AU$34:$AU$41,[5]Brewhouse!$AU$43:$AU$50)</f>
        <v>96.904441824349703</v>
      </c>
      <c r="N38" s="30">
        <v>98</v>
      </c>
      <c r="O38" s="11"/>
      <c r="P38" s="31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</row>
    <row r="39" spans="1:27" ht="14.65" customHeight="1">
      <c r="A39" s="28"/>
      <c r="B39" s="520"/>
      <c r="C39" s="362"/>
      <c r="D39" s="524"/>
      <c r="E39" s="525"/>
      <c r="F39" s="294"/>
      <c r="G39" s="294"/>
      <c r="H39" s="348"/>
      <c r="I39" s="22" t="s">
        <v>33</v>
      </c>
      <c r="J39" s="280"/>
      <c r="K39" s="284"/>
      <c r="L39" s="302"/>
      <c r="M39" s="302">
        <f>AVERAGE([6]Brewhouse!$AV$23:$AV$34,[6]Brewhouse!$AV$36,[6]Brewhouse!$AV$38:$AV$52)</f>
        <v>97.639832259312456</v>
      </c>
      <c r="N39" s="30">
        <v>98</v>
      </c>
      <c r="O39" s="11"/>
      <c r="P39" s="31"/>
      <c r="R39" s="277">
        <f t="shared" si="0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</row>
    <row r="40" spans="1:27" ht="14.65" customHeight="1">
      <c r="A40" s="28"/>
      <c r="B40" s="520"/>
      <c r="C40" s="362"/>
      <c r="D40" s="529"/>
      <c r="E40" s="530"/>
      <c r="F40" s="417"/>
      <c r="G40" s="294"/>
      <c r="H40" s="348"/>
      <c r="I40" s="35" t="s">
        <v>29</v>
      </c>
      <c r="J40" s="280"/>
      <c r="K40" s="284"/>
      <c r="L40" s="302"/>
      <c r="M40" s="302"/>
      <c r="N40" s="30">
        <v>98</v>
      </c>
      <c r="O40" s="11"/>
      <c r="P40" s="31"/>
      <c r="R40" s="277">
        <f t="shared" si="0"/>
        <v>0</v>
      </c>
      <c r="S40" s="472" t="e">
        <f t="shared" si="1"/>
        <v>#N/A</v>
      </c>
      <c r="T40" s="472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2" t="e">
        <f t="shared" si="8"/>
        <v>#N/A</v>
      </c>
    </row>
    <row r="41" spans="1:27" ht="14.65" customHeight="1">
      <c r="A41" s="28"/>
      <c r="B41" s="520"/>
      <c r="C41" s="362"/>
      <c r="D41" s="524"/>
      <c r="E41" s="525"/>
      <c r="F41" s="417"/>
      <c r="G41" s="294"/>
      <c r="H41" s="348"/>
      <c r="I41" s="36" t="s">
        <v>15</v>
      </c>
      <c r="J41" s="323"/>
      <c r="K41" s="284"/>
      <c r="L41" s="302"/>
      <c r="M41" s="302">
        <f>AVERAGE([7]Brewhouse!$AT$4:$AT$11)</f>
        <v>92.826224508052405</v>
      </c>
      <c r="N41" s="30">
        <v>98</v>
      </c>
      <c r="O41" s="11"/>
      <c r="P41" s="31"/>
      <c r="R41" s="277">
        <f t="shared" si="0"/>
        <v>0</v>
      </c>
      <c r="S41" s="472" t="e">
        <f t="shared" si="1"/>
        <v>#N/A</v>
      </c>
      <c r="T41" s="472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472" t="e">
        <f t="shared" si="8"/>
        <v>#N/A</v>
      </c>
    </row>
    <row r="42" spans="1:27" ht="14.65" customHeight="1">
      <c r="A42" s="28"/>
      <c r="B42" s="520"/>
      <c r="C42" s="362"/>
      <c r="D42" s="529"/>
      <c r="E42" s="530"/>
      <c r="F42" s="417"/>
      <c r="G42" s="294"/>
      <c r="H42" s="348"/>
      <c r="I42" s="37" t="s">
        <v>16</v>
      </c>
      <c r="J42" s="323"/>
      <c r="K42" s="284"/>
      <c r="L42" s="302"/>
      <c r="M42" s="302">
        <f>AVERAGE([8]Brewhouse!$AY$5:$AY$14,[8]Brewhouse!$AY$16:$AY$23,[8]Brewhouse!$AY$42)</f>
        <v>97.390503559857137</v>
      </c>
      <c r="N42" s="30">
        <v>98</v>
      </c>
      <c r="O42" s="11"/>
      <c r="P42" s="31" t="s">
        <v>41</v>
      </c>
      <c r="R42" s="277">
        <f t="shared" si="0"/>
        <v>0</v>
      </c>
      <c r="S42" s="472" t="e">
        <f t="shared" si="1"/>
        <v>#N/A</v>
      </c>
      <c r="T42" s="472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472" t="e">
        <f t="shared" si="8"/>
        <v>#N/A</v>
      </c>
    </row>
    <row r="43" spans="1:27" ht="14.65" customHeight="1">
      <c r="A43" s="28"/>
      <c r="B43" s="520"/>
      <c r="C43" s="362"/>
      <c r="D43" s="524"/>
      <c r="E43" s="525"/>
      <c r="F43" s="294"/>
      <c r="G43" s="294"/>
      <c r="H43" s="348"/>
      <c r="I43" s="411" t="s">
        <v>158</v>
      </c>
      <c r="J43" s="326"/>
      <c r="K43" s="284"/>
      <c r="L43" s="305"/>
      <c r="M43" s="305"/>
      <c r="N43" s="30">
        <v>98</v>
      </c>
      <c r="O43" s="11"/>
      <c r="P43" s="31"/>
      <c r="R43" s="277">
        <f t="shared" si="0"/>
        <v>0</v>
      </c>
      <c r="S43" s="472" t="e">
        <f t="shared" si="1"/>
        <v>#N/A</v>
      </c>
      <c r="T43" s="472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472" t="e">
        <f t="shared" si="8"/>
        <v>#N/A</v>
      </c>
    </row>
    <row r="44" spans="1:27" ht="14.65" customHeight="1">
      <c r="A44" s="28"/>
      <c r="B44" s="520"/>
      <c r="C44" s="349"/>
      <c r="D44" s="529"/>
      <c r="E44" s="530"/>
      <c r="F44" s="294"/>
      <c r="G44" s="294"/>
      <c r="H44" s="348"/>
      <c r="I44" s="410" t="s">
        <v>157</v>
      </c>
      <c r="J44" s="326"/>
      <c r="K44" s="284"/>
      <c r="L44" s="305"/>
      <c r="M44" s="305"/>
      <c r="N44" s="30">
        <v>98</v>
      </c>
      <c r="O44" s="11"/>
      <c r="P44" s="31"/>
      <c r="R44" s="277">
        <f t="shared" si="0"/>
        <v>0</v>
      </c>
      <c r="S44" s="472" t="e">
        <f t="shared" si="1"/>
        <v>#N/A</v>
      </c>
      <c r="T44" s="472" t="e">
        <f t="shared" si="2"/>
        <v>#N/A</v>
      </c>
      <c r="U44" s="297" t="e">
        <f t="shared" si="3"/>
        <v>#N/A</v>
      </c>
      <c r="V44" s="297" t="e">
        <f t="shared" si="4"/>
        <v>#N/A</v>
      </c>
      <c r="W44" s="297" t="e">
        <f t="shared" si="5"/>
        <v>#N/A</v>
      </c>
      <c r="X44" s="297" t="e">
        <f t="shared" si="6"/>
        <v>#N/A</v>
      </c>
      <c r="Y44" s="297" t="e">
        <f t="shared" si="7"/>
        <v>#N/A</v>
      </c>
      <c r="Z44" s="472" t="e">
        <f t="shared" si="8"/>
        <v>#N/A</v>
      </c>
      <c r="AA44" s="472"/>
    </row>
    <row r="45" spans="1:27" ht="15" customHeight="1" thickBot="1">
      <c r="A45" s="28"/>
      <c r="B45" s="520"/>
      <c r="C45" s="349"/>
      <c r="D45" s="524"/>
      <c r="E45" s="525"/>
      <c r="F45" s="294"/>
      <c r="G45" s="294"/>
      <c r="H45" s="348"/>
      <c r="I45" s="406" t="s">
        <v>156</v>
      </c>
      <c r="J45" s="327"/>
      <c r="K45" s="407"/>
      <c r="L45" s="408"/>
      <c r="M45" s="408"/>
      <c r="N45" s="409">
        <v>98</v>
      </c>
      <c r="O45" s="11"/>
      <c r="P45" s="31"/>
      <c r="R45" s="277">
        <f t="shared" si="0"/>
        <v>0</v>
      </c>
      <c r="S45" s="472" t="e">
        <f t="shared" si="1"/>
        <v>#N/A</v>
      </c>
      <c r="T45" s="472" t="e">
        <f t="shared" si="2"/>
        <v>#N/A</v>
      </c>
      <c r="U45" s="297" t="e">
        <f t="shared" si="3"/>
        <v>#N/A</v>
      </c>
      <c r="V45" s="297" t="e">
        <f t="shared" si="4"/>
        <v>#N/A</v>
      </c>
      <c r="W45" s="297" t="e">
        <f t="shared" si="5"/>
        <v>#N/A</v>
      </c>
      <c r="X45" s="297" t="e">
        <f t="shared" si="6"/>
        <v>#N/A</v>
      </c>
      <c r="Y45" s="297" t="e">
        <f t="shared" si="7"/>
        <v>#N/A</v>
      </c>
      <c r="Z45" s="472" t="e">
        <f t="shared" si="8"/>
        <v>#N/A</v>
      </c>
      <c r="AA45" s="472"/>
    </row>
    <row r="46" spans="1:27" ht="15" customHeight="1" thickBot="1">
      <c r="A46" s="28"/>
      <c r="B46" s="520"/>
      <c r="C46" s="349"/>
      <c r="D46" s="537"/>
      <c r="E46" s="538"/>
      <c r="F46" s="294"/>
      <c r="G46" s="294"/>
      <c r="H46" s="348"/>
      <c r="I46" s="1"/>
      <c r="J46" s="39"/>
      <c r="K46" s="404">
        <f>SUM(K36:K45)</f>
        <v>54</v>
      </c>
      <c r="L46" s="405">
        <f>((L36*K36)+(L37*K37)+(L38*K38)+(L39*K39)+(L40*K40)+(K43*L43)+(L41*K41)+(L42*K42)+(L45*K45))/(K46)</f>
        <v>98.371918785926866</v>
      </c>
      <c r="M46" s="405">
        <f>AVERAGE('[9]Jan30th-31st'!$L$42,L46)</f>
        <v>98.099980260884166</v>
      </c>
      <c r="N46" s="40">
        <v>98</v>
      </c>
      <c r="O46" s="11"/>
      <c r="P46" s="31"/>
      <c r="R46" s="277">
        <f t="shared" si="0"/>
        <v>0</v>
      </c>
      <c r="S46" s="472" t="e">
        <f t="shared" si="1"/>
        <v>#N/A</v>
      </c>
      <c r="T46" s="472" t="e">
        <f t="shared" si="2"/>
        <v>#N/A</v>
      </c>
      <c r="U46" s="297" t="e">
        <f t="shared" si="3"/>
        <v>#N/A</v>
      </c>
      <c r="V46" s="297" t="e">
        <f t="shared" si="4"/>
        <v>#N/A</v>
      </c>
      <c r="W46" s="297" t="e">
        <f t="shared" si="5"/>
        <v>#N/A</v>
      </c>
      <c r="X46" s="297" t="e">
        <f t="shared" si="6"/>
        <v>#N/A</v>
      </c>
      <c r="Y46" s="297" t="e">
        <f t="shared" si="7"/>
        <v>#N/A</v>
      </c>
      <c r="Z46" s="472" t="e">
        <f t="shared" si="8"/>
        <v>#N/A</v>
      </c>
      <c r="AA46" s="472"/>
    </row>
    <row r="47" spans="1:27" ht="15.75" thickBot="1">
      <c r="B47" s="536"/>
      <c r="C47" s="350"/>
      <c r="D47" s="539"/>
      <c r="E47" s="525"/>
      <c r="F47" s="294"/>
      <c r="G47" s="42"/>
      <c r="H47" s="41"/>
      <c r="I47" s="42"/>
      <c r="J47" s="42"/>
      <c r="K47" s="351"/>
      <c r="L47" s="348"/>
      <c r="M47" s="348"/>
      <c r="N47" s="11"/>
      <c r="O47" s="294"/>
      <c r="P47" s="12"/>
      <c r="R47" s="277">
        <f t="shared" si="0"/>
        <v>0</v>
      </c>
      <c r="S47" s="472" t="e">
        <f t="shared" si="1"/>
        <v>#N/A</v>
      </c>
      <c r="T47" s="472" t="e">
        <f t="shared" si="2"/>
        <v>#N/A</v>
      </c>
      <c r="U47" s="297" t="e">
        <f t="shared" si="3"/>
        <v>#N/A</v>
      </c>
      <c r="V47" s="297" t="e">
        <f t="shared" si="4"/>
        <v>#N/A</v>
      </c>
      <c r="W47" s="297" t="e">
        <f t="shared" si="5"/>
        <v>#N/A</v>
      </c>
      <c r="X47" s="297" t="e">
        <f t="shared" si="6"/>
        <v>#N/A</v>
      </c>
      <c r="Y47" s="297" t="e">
        <f t="shared" si="7"/>
        <v>#N/A</v>
      </c>
      <c r="Z47" s="472" t="e">
        <f t="shared" si="8"/>
        <v>#N/A</v>
      </c>
      <c r="AA47" s="472"/>
    </row>
    <row r="48" spans="1:27" ht="15.75" thickBot="1">
      <c r="B48" s="519"/>
      <c r="C48" s="362"/>
      <c r="D48" s="522"/>
      <c r="E48" s="523"/>
      <c r="F48" s="294"/>
      <c r="G48" s="42"/>
      <c r="H48" s="41"/>
      <c r="I48" s="42"/>
      <c r="J48" s="526" t="s">
        <v>129</v>
      </c>
      <c r="K48" s="526"/>
      <c r="L48" s="294"/>
      <c r="M48" s="294"/>
      <c r="N48" s="294"/>
      <c r="O48" s="294"/>
      <c r="P48" s="12"/>
    </row>
    <row r="49" spans="2:56" ht="15.75" thickBot="1">
      <c r="B49" s="520"/>
      <c r="C49" s="362"/>
      <c r="D49" s="524"/>
      <c r="E49" s="525"/>
      <c r="F49" s="294"/>
      <c r="G49" s="42"/>
      <c r="H49" s="42"/>
      <c r="I49" s="42"/>
      <c r="J49" s="292" t="s">
        <v>17</v>
      </c>
      <c r="K49" s="293" t="s">
        <v>172</v>
      </c>
      <c r="L49" s="527" t="s">
        <v>136</v>
      </c>
      <c r="M49" s="527"/>
      <c r="N49" s="528"/>
      <c r="O49" s="294"/>
      <c r="P49" s="12"/>
    </row>
    <row r="50" spans="2:56" ht="15" customHeight="1" thickBot="1">
      <c r="B50" s="520"/>
      <c r="C50" s="349"/>
      <c r="D50" s="529"/>
      <c r="E50" s="530"/>
      <c r="F50" s="294"/>
      <c r="G50" s="42"/>
      <c r="H50" s="42"/>
      <c r="I50" s="42"/>
      <c r="J50" s="287" t="s">
        <v>6</v>
      </c>
      <c r="K50" s="324">
        <v>9</v>
      </c>
      <c r="L50" s="473" t="s">
        <v>37</v>
      </c>
      <c r="M50" s="474" t="s">
        <v>38</v>
      </c>
      <c r="N50" s="474" t="s">
        <v>84</v>
      </c>
      <c r="O50" s="294"/>
      <c r="P50" s="12"/>
    </row>
    <row r="51" spans="2:56" ht="15.75" customHeight="1" thickBot="1">
      <c r="B51" s="520"/>
      <c r="C51" s="349"/>
      <c r="D51" s="524"/>
      <c r="E51" s="525"/>
      <c r="F51" s="294"/>
      <c r="G51" s="42"/>
      <c r="H51" s="42"/>
      <c r="I51" s="42"/>
      <c r="J51" s="345" t="s">
        <v>9</v>
      </c>
      <c r="K51" s="324"/>
      <c r="L51" s="344">
        <f>AVERAGE('Apr 1st'!K50,K60,'Apr 2nd'!K48,'Apr 7th'!K50,'Apr 8th'!K50,'Apr 9th '!K58,'Apr 10th'!K55,'Apr 13th'!K66)</f>
        <v>6.75</v>
      </c>
      <c r="M51" s="325">
        <f>AVERAGE('[9]Jan30th-31st'!$L$47,L51,'[10]Feb 26th '!$L$39,'[11]Mar 31st'!$L$47)</f>
        <v>6.4842391304347826</v>
      </c>
      <c r="N51" s="416">
        <v>9.1999999999999993</v>
      </c>
      <c r="O51" s="294"/>
      <c r="P51" s="12"/>
    </row>
    <row r="52" spans="2:56" ht="15" customHeight="1">
      <c r="B52" s="520"/>
      <c r="C52" s="349"/>
      <c r="D52" s="529"/>
      <c r="E52" s="530"/>
      <c r="F52" s="294"/>
      <c r="G52" s="42"/>
      <c r="H52" s="42"/>
      <c r="I52" s="42"/>
      <c r="J52" s="288" t="s">
        <v>40</v>
      </c>
      <c r="K52" s="324"/>
      <c r="L52" s="294"/>
      <c r="M52" s="294"/>
      <c r="N52" s="294"/>
      <c r="O52" s="294"/>
      <c r="P52" s="12"/>
    </row>
    <row r="53" spans="2:56" ht="15" customHeight="1">
      <c r="B53" s="520"/>
      <c r="C53" s="349"/>
      <c r="D53" s="524"/>
      <c r="E53" s="525"/>
      <c r="F53" s="294"/>
      <c r="G53" s="42"/>
      <c r="H53" s="42"/>
      <c r="I53" s="42"/>
      <c r="J53" s="289" t="s">
        <v>33</v>
      </c>
      <c r="K53" s="324"/>
      <c r="L53" s="294"/>
      <c r="M53" s="294"/>
      <c r="N53" s="294"/>
      <c r="O53" s="294"/>
      <c r="P53" s="12"/>
    </row>
    <row r="54" spans="2:56" ht="15">
      <c r="B54" s="520"/>
      <c r="C54" s="349"/>
      <c r="D54" s="529"/>
      <c r="E54" s="530"/>
      <c r="F54" s="294"/>
      <c r="G54" s="42"/>
      <c r="H54" s="42"/>
      <c r="I54" s="42"/>
      <c r="J54" s="290" t="s">
        <v>16</v>
      </c>
      <c r="K54" s="324"/>
      <c r="L54" s="294"/>
      <c r="M54" s="294"/>
      <c r="N54" s="294"/>
      <c r="O54" s="294"/>
      <c r="P54" s="12"/>
      <c r="BC54" s="44"/>
      <c r="BD54" s="44"/>
    </row>
    <row r="55" spans="2:56" ht="15">
      <c r="B55" s="520"/>
      <c r="C55" s="349"/>
      <c r="D55" s="524"/>
      <c r="E55" s="525"/>
      <c r="F55" s="294"/>
      <c r="G55" s="42"/>
      <c r="H55" s="42"/>
      <c r="I55" s="42"/>
      <c r="J55" s="291" t="s">
        <v>15</v>
      </c>
      <c r="K55" s="324"/>
      <c r="L55" s="294"/>
      <c r="M55" s="294"/>
      <c r="N55" s="294"/>
      <c r="O55" s="294"/>
      <c r="P55" s="12"/>
      <c r="BC55" s="44"/>
      <c r="BD55" s="44"/>
    </row>
    <row r="56" spans="2:56" ht="15">
      <c r="B56" s="520"/>
      <c r="C56" s="349"/>
      <c r="D56" s="529"/>
      <c r="E56" s="530"/>
      <c r="F56" s="294"/>
      <c r="G56" s="42"/>
      <c r="H56" s="42"/>
      <c r="I56" s="42"/>
      <c r="J56" s="291" t="s">
        <v>149</v>
      </c>
      <c r="K56" s="324"/>
      <c r="L56" s="294"/>
      <c r="M56" s="294"/>
      <c r="N56" s="294"/>
      <c r="O56" s="294"/>
      <c r="P56" s="12"/>
      <c r="BC56" s="44"/>
      <c r="BD56" s="44"/>
    </row>
    <row r="57" spans="2:56" ht="15.75" thickBot="1">
      <c r="B57" s="521"/>
      <c r="C57" s="350"/>
      <c r="D57" s="531"/>
      <c r="E57" s="532"/>
      <c r="F57" s="294" t="s">
        <v>166</v>
      </c>
      <c r="G57" s="42"/>
      <c r="H57" s="42"/>
      <c r="I57" s="42"/>
      <c r="J57" s="291" t="s">
        <v>148</v>
      </c>
      <c r="K57" s="324"/>
      <c r="L57" s="294"/>
      <c r="M57" s="294"/>
      <c r="N57" s="294" t="s">
        <v>41</v>
      </c>
      <c r="O57" s="294"/>
      <c r="P57" s="12"/>
      <c r="BC57" s="44"/>
      <c r="BD57" s="44"/>
    </row>
    <row r="58" spans="2:56" ht="17.649999999999999" customHeight="1" thickBot="1">
      <c r="B58" s="312" t="s">
        <v>139</v>
      </c>
      <c r="C58" s="313"/>
      <c r="D58" s="512"/>
      <c r="E58" s="513"/>
      <c r="F58" s="294"/>
      <c r="J58" s="295" t="s">
        <v>134</v>
      </c>
      <c r="K58" s="324"/>
      <c r="L58" s="294"/>
      <c r="M58" s="294"/>
      <c r="N58" s="294"/>
      <c r="O58" s="294"/>
      <c r="P58" s="12"/>
      <c r="BC58" s="44"/>
      <c r="BD58" s="44"/>
    </row>
    <row r="59" spans="2:56" ht="17.649999999999999" customHeight="1">
      <c r="B59" s="363"/>
      <c r="C59" s="364"/>
      <c r="D59" s="365"/>
      <c r="E59" s="365"/>
      <c r="F59" s="294"/>
      <c r="G59" s="42"/>
      <c r="H59" s="42"/>
      <c r="I59" s="42"/>
      <c r="J59" s="295" t="s">
        <v>131</v>
      </c>
      <c r="K59" s="324"/>
      <c r="L59" s="294"/>
      <c r="M59" s="294"/>
      <c r="N59" s="294"/>
      <c r="O59" s="294"/>
      <c r="P59" s="12"/>
      <c r="BC59" s="44"/>
      <c r="BD59" s="44"/>
    </row>
    <row r="60" spans="2:56" ht="15.6" customHeight="1">
      <c r="B60" s="45"/>
      <c r="C60" s="11"/>
      <c r="D60" s="11"/>
      <c r="E60" s="46"/>
      <c r="F60" s="294"/>
      <c r="G60" s="42"/>
      <c r="H60" s="42"/>
      <c r="I60" s="42"/>
      <c r="J60" s="346" t="s">
        <v>130</v>
      </c>
      <c r="K60" s="324">
        <f>SUM(K50:K59)</f>
        <v>9</v>
      </c>
      <c r="L60" s="294"/>
      <c r="M60" s="294"/>
      <c r="N60" s="294"/>
      <c r="O60" s="294"/>
      <c r="P60" s="12"/>
    </row>
    <row r="61" spans="2:56" ht="20.25" customHeight="1">
      <c r="B61" s="15" t="s">
        <v>42</v>
      </c>
      <c r="C61" s="1" t="s">
        <v>43</v>
      </c>
      <c r="D61" s="1"/>
      <c r="E61" s="1"/>
      <c r="F61" s="294"/>
      <c r="G61" s="42"/>
      <c r="H61" s="41"/>
      <c r="I61" s="42"/>
      <c r="L61" s="294"/>
      <c r="N61" s="315"/>
      <c r="P61" s="334"/>
    </row>
    <row r="62" spans="2:56" ht="15" customHeight="1" thickBot="1"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1"/>
      <c r="O62" s="48"/>
      <c r="P62" s="49"/>
    </row>
    <row r="63" spans="2:56" ht="15" customHeight="1" thickBot="1">
      <c r="B63" s="504" t="s">
        <v>17</v>
      </c>
      <c r="C63" s="504" t="s">
        <v>44</v>
      </c>
      <c r="D63" s="515" t="s">
        <v>45</v>
      </c>
      <c r="E63" s="517" t="s">
        <v>46</v>
      </c>
      <c r="F63" s="510" t="s">
        <v>47</v>
      </c>
      <c r="G63" s="502" t="s">
        <v>48</v>
      </c>
      <c r="H63" s="504" t="s">
        <v>49</v>
      </c>
      <c r="I63" s="504" t="s">
        <v>50</v>
      </c>
      <c r="J63" s="496" t="s">
        <v>28</v>
      </c>
      <c r="K63" s="506" t="s">
        <v>51</v>
      </c>
      <c r="L63" s="508" t="s">
        <v>52</v>
      </c>
      <c r="M63" s="496" t="s">
        <v>53</v>
      </c>
      <c r="N63" s="13"/>
      <c r="O63" s="13"/>
      <c r="P63" s="50"/>
    </row>
    <row r="64" spans="2:56" ht="28.5" customHeight="1" thickTop="1" thickBot="1">
      <c r="B64" s="505"/>
      <c r="C64" s="514"/>
      <c r="D64" s="516"/>
      <c r="E64" s="518"/>
      <c r="F64" s="511"/>
      <c r="G64" s="503"/>
      <c r="H64" s="505"/>
      <c r="I64" s="505"/>
      <c r="J64" s="497"/>
      <c r="K64" s="507"/>
      <c r="L64" s="509"/>
      <c r="M64" s="497"/>
      <c r="N64" s="13"/>
      <c r="O64" s="13"/>
      <c r="P64" s="50"/>
      <c r="Q64" s="355"/>
      <c r="AB64" s="475">
        <v>43474</v>
      </c>
      <c r="AC64" s="475">
        <v>43475</v>
      </c>
      <c r="AD64" s="475">
        <v>43476</v>
      </c>
      <c r="AE64" s="475">
        <v>43477</v>
      </c>
      <c r="AF64" s="475">
        <v>43478</v>
      </c>
      <c r="AG64" s="475">
        <v>43479</v>
      </c>
      <c r="AH64" s="475">
        <v>43480</v>
      </c>
      <c r="AI64" s="475">
        <v>43481</v>
      </c>
      <c r="AJ64" s="475">
        <v>43482</v>
      </c>
      <c r="AK64" s="475">
        <v>43483</v>
      </c>
      <c r="AL64" s="475">
        <v>43484</v>
      </c>
      <c r="AM64" s="475">
        <v>43485</v>
      </c>
      <c r="AN64" s="475">
        <v>43486</v>
      </c>
      <c r="AO64" s="475">
        <v>43487</v>
      </c>
      <c r="AP64" s="475">
        <v>43488</v>
      </c>
      <c r="AQ64" s="475">
        <v>43489</v>
      </c>
      <c r="AR64" s="475">
        <v>43490</v>
      </c>
      <c r="AS64" s="475">
        <v>43491</v>
      </c>
      <c r="AT64" s="475">
        <v>43492</v>
      </c>
      <c r="AU64" s="475">
        <v>43493</v>
      </c>
      <c r="AV64" s="475">
        <v>43494</v>
      </c>
      <c r="AW64" s="475">
        <v>43495</v>
      </c>
      <c r="AX64" s="475">
        <v>43496</v>
      </c>
    </row>
    <row r="65" spans="1:57" s="54" customFormat="1" ht="36.75" customHeight="1" thickBot="1">
      <c r="B65" s="480"/>
      <c r="C65" s="479"/>
      <c r="D65" s="442"/>
      <c r="E65" s="443"/>
      <c r="F65" s="444"/>
      <c r="G65" s="445"/>
      <c r="H65" s="458"/>
      <c r="I65" s="458"/>
      <c r="J65" s="448"/>
      <c r="K65" s="449"/>
      <c r="L65" s="457"/>
      <c r="M65" s="455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>
        <f>[14]January_2019!L5</f>
        <v>0</v>
      </c>
      <c r="AC65" s="57">
        <f>[14]January_2019!M5</f>
        <v>0</v>
      </c>
      <c r="AD65" s="57">
        <f>[14]January_2019!N5</f>
        <v>0</v>
      </c>
      <c r="AE65" s="57">
        <f>[14]January_2019!O5</f>
        <v>0</v>
      </c>
      <c r="AF65" s="57">
        <f>[14]January_2019!P5</f>
        <v>0</v>
      </c>
      <c r="AG65" s="57">
        <f>[14]January_2019!Q5</f>
        <v>0</v>
      </c>
      <c r="AH65" s="57">
        <f>[14]January_2019!R5</f>
        <v>0</v>
      </c>
      <c r="AI65" s="57">
        <f>[14]January_2019!S5</f>
        <v>0</v>
      </c>
      <c r="AJ65" s="57">
        <f>[14]January_2019!T5</f>
        <v>0</v>
      </c>
      <c r="AK65" s="57">
        <f>[14]January_2019!U5</f>
        <v>0</v>
      </c>
      <c r="AL65" s="57">
        <f>[14]January_2019!V5</f>
        <v>0</v>
      </c>
      <c r="AM65" s="57">
        <f>[14]January_2019!W5</f>
        <v>0</v>
      </c>
      <c r="AN65" s="57">
        <f>[14]January_2019!X5</f>
        <v>0</v>
      </c>
      <c r="AO65" s="57">
        <f>[14]January_2019!Y5</f>
        <v>0</v>
      </c>
      <c r="AP65" s="57">
        <f>[14]January_2019!Z5</f>
        <v>0</v>
      </c>
      <c r="AQ65" s="57">
        <f>[14]January_2019!AA5</f>
        <v>0</v>
      </c>
      <c r="AR65" s="57">
        <f>[14]January_2019!AB5</f>
        <v>0</v>
      </c>
      <c r="AS65" s="57">
        <f>[14]January_2019!AC5</f>
        <v>0</v>
      </c>
      <c r="AT65" s="57">
        <f>[14]January_2019!AD5</f>
        <v>0</v>
      </c>
      <c r="AU65" s="57">
        <f>[14]January_2019!AE5</f>
        <v>0</v>
      </c>
      <c r="AV65" s="57">
        <f>[14]January_2019!AF5</f>
        <v>0</v>
      </c>
      <c r="AW65" s="57">
        <f>[14]January_2019!AG5</f>
        <v>0</v>
      </c>
      <c r="AX65" s="277">
        <f>[14]January_2019!AH5</f>
        <v>0</v>
      </c>
      <c r="AY65" s="277"/>
      <c r="AZ65" s="277"/>
      <c r="BA65" s="277"/>
      <c r="BB65" s="277"/>
      <c r="BC65" s="277"/>
      <c r="BD65" s="277"/>
      <c r="BE65" s="277"/>
    </row>
    <row r="66" spans="1:57" s="54" customFormat="1" ht="14.25" customHeight="1" thickBot="1">
      <c r="B66" s="480"/>
      <c r="C66" s="479"/>
      <c r="D66" s="442"/>
      <c r="E66" s="443"/>
      <c r="F66" s="444"/>
      <c r="G66" s="445"/>
      <c r="H66" s="458"/>
      <c r="I66" s="458"/>
      <c r="J66" s="476"/>
      <c r="K66" s="449"/>
      <c r="L66" s="457"/>
      <c r="M66" s="455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>
        <f>[14]January_2019!L6</f>
        <v>0</v>
      </c>
      <c r="AC66" s="57">
        <f>[14]January_2019!M6</f>
        <v>0</v>
      </c>
      <c r="AD66" s="57">
        <f>[14]January_2019!N6</f>
        <v>0</v>
      </c>
      <c r="AE66" s="57">
        <f>[14]January_2019!O6</f>
        <v>0</v>
      </c>
      <c r="AF66" s="57">
        <f>[14]January_2019!P6</f>
        <v>0</v>
      </c>
      <c r="AG66" s="57">
        <f>[14]January_2019!Q6</f>
        <v>0</v>
      </c>
      <c r="AH66" s="57">
        <f>[14]January_2019!R6</f>
        <v>0</v>
      </c>
      <c r="AI66" s="57">
        <f>[14]January_2019!S6</f>
        <v>0</v>
      </c>
      <c r="AJ66" s="57">
        <f>[14]January_2019!T6</f>
        <v>0</v>
      </c>
      <c r="AK66" s="57">
        <f>[14]January_2019!U6</f>
        <v>0</v>
      </c>
      <c r="AL66" s="57">
        <f>[14]January_2019!V6</f>
        <v>0</v>
      </c>
      <c r="AM66" s="57">
        <f>[14]January_2019!W6</f>
        <v>0</v>
      </c>
      <c r="AN66" s="57">
        <f>[14]January_2019!X6</f>
        <v>0</v>
      </c>
      <c r="AO66" s="57">
        <f>[14]January_2019!Y6</f>
        <v>0</v>
      </c>
      <c r="AP66" s="57">
        <f>[14]January_2019!Z6</f>
        <v>0</v>
      </c>
      <c r="AQ66" s="57">
        <f>[14]January_2019!AA6</f>
        <v>0</v>
      </c>
      <c r="AR66" s="57">
        <f>[14]January_2019!AB6</f>
        <v>0</v>
      </c>
      <c r="AS66" s="57">
        <f>[14]January_2019!AC6</f>
        <v>0</v>
      </c>
      <c r="AT66" s="57">
        <f>[14]January_2019!AD6</f>
        <v>0</v>
      </c>
      <c r="AU66" s="57">
        <f>[14]January_2019!AE6</f>
        <v>0</v>
      </c>
      <c r="AV66" s="57">
        <f>[14]January_2019!AF6</f>
        <v>0</v>
      </c>
      <c r="AW66" s="57">
        <f>[14]January_2019!AG6</f>
        <v>0</v>
      </c>
      <c r="AX66" s="277">
        <f>[14]January_2019!AH6</f>
        <v>0</v>
      </c>
      <c r="AY66" s="277"/>
      <c r="AZ66" s="277"/>
      <c r="BA66" s="277"/>
      <c r="BB66" s="277"/>
      <c r="BC66" s="277"/>
      <c r="BD66" s="277"/>
      <c r="BE66" s="277"/>
    </row>
    <row r="67" spans="1:57" s="54" customFormat="1" ht="37.15" hidden="1" customHeight="1" thickBot="1">
      <c r="A67" s="54" t="s">
        <v>168</v>
      </c>
      <c r="B67" s="480"/>
      <c r="C67" s="479"/>
      <c r="D67" s="442"/>
      <c r="E67" s="443"/>
      <c r="F67" s="444"/>
      <c r="G67" s="445"/>
      <c r="H67" s="458"/>
      <c r="I67" s="458"/>
      <c r="J67" s="448"/>
      <c r="K67" s="449"/>
      <c r="L67" s="457"/>
      <c r="M67" s="455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>
        <f>[14]January_2019!L7</f>
        <v>285.8</v>
      </c>
      <c r="AC67" s="57">
        <f>[14]January_2019!M7</f>
        <v>508.1</v>
      </c>
      <c r="AD67" s="57">
        <f>[14]January_2019!N7</f>
        <v>0</v>
      </c>
      <c r="AE67" s="57">
        <f>[14]January_2019!O7</f>
        <v>0</v>
      </c>
      <c r="AF67" s="57">
        <f>[14]January_2019!P7</f>
        <v>109.56666666666666</v>
      </c>
      <c r="AG67" s="57">
        <f>[14]January_2019!Q7</f>
        <v>297.64999999999998</v>
      </c>
      <c r="AH67" s="57">
        <f>[14]January_2019!R7</f>
        <v>122.3</v>
      </c>
      <c r="AI67" s="57">
        <f>[14]January_2019!S7</f>
        <v>0</v>
      </c>
      <c r="AJ67" s="57">
        <f>[14]January_2019!T7</f>
        <v>294.7</v>
      </c>
      <c r="AK67" s="57">
        <f>[14]January_2019!U7</f>
        <v>280.5</v>
      </c>
      <c r="AL67" s="57">
        <f>[14]January_2019!V7</f>
        <v>0</v>
      </c>
      <c r="AM67" s="57">
        <f>[14]January_2019!W7</f>
        <v>0</v>
      </c>
      <c r="AN67" s="57">
        <f>[14]January_2019!X7</f>
        <v>188.25</v>
      </c>
      <c r="AO67" s="57">
        <f>[14]January_2019!Y7</f>
        <v>295.7</v>
      </c>
      <c r="AP67" s="57">
        <f>[14]January_2019!Z7</f>
        <v>257.8</v>
      </c>
      <c r="AQ67" s="57">
        <f>[14]January_2019!AA7</f>
        <v>291.2</v>
      </c>
      <c r="AR67" s="57">
        <f>[14]January_2019!AB7</f>
        <v>187</v>
      </c>
      <c r="AS67" s="57">
        <f>[14]January_2019!AC7</f>
        <v>0</v>
      </c>
      <c r="AT67" s="57">
        <f>[14]January_2019!AD7</f>
        <v>0</v>
      </c>
      <c r="AU67" s="57">
        <f>[14]January_2019!AE7</f>
        <v>485.1</v>
      </c>
      <c r="AV67" s="57">
        <f>[14]January_2019!AF7</f>
        <v>171.55</v>
      </c>
      <c r="AW67" s="57">
        <f>[14]January_2019!AG7</f>
        <v>423.8</v>
      </c>
      <c r="AX67" s="277">
        <f>[14]January_2019!AH7</f>
        <v>0</v>
      </c>
      <c r="AY67" s="277"/>
      <c r="AZ67" s="277"/>
      <c r="BA67" s="277"/>
      <c r="BB67" s="277"/>
      <c r="BC67" s="277"/>
      <c r="BD67" s="277"/>
      <c r="BE67" s="277"/>
    </row>
    <row r="68" spans="1:57" s="54" customFormat="1" ht="19.5" hidden="1" customHeight="1" thickBot="1">
      <c r="B68" s="478"/>
      <c r="C68" s="430"/>
      <c r="D68" s="431"/>
      <c r="E68" s="432"/>
      <c r="F68" s="433"/>
      <c r="G68" s="434"/>
      <c r="H68" s="458"/>
      <c r="I68" s="458"/>
      <c r="J68" s="451"/>
      <c r="K68" s="436"/>
      <c r="L68" s="452"/>
      <c r="M68" s="421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277"/>
      <c r="AY68" s="277"/>
      <c r="AZ68" s="277"/>
      <c r="BA68" s="277"/>
      <c r="BB68" s="277"/>
      <c r="BC68" s="277"/>
      <c r="BD68" s="277"/>
      <c r="BE68" s="277"/>
    </row>
    <row r="69" spans="1:57" s="54" customFormat="1" ht="38.450000000000003" hidden="1" customHeight="1" thickBot="1">
      <c r="B69" s="480"/>
      <c r="C69" s="479"/>
      <c r="D69" s="442"/>
      <c r="E69" s="443"/>
      <c r="F69" s="444"/>
      <c r="G69" s="445"/>
      <c r="H69" s="458"/>
      <c r="I69" s="458"/>
      <c r="J69" s="448" t="s">
        <v>171</v>
      </c>
      <c r="K69" s="459"/>
      <c r="L69" s="457" t="e">
        <f>(((D69+E69)-G69)/(D69+E69))*100</f>
        <v>#DIV/0!</v>
      </c>
      <c r="M69" s="455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277"/>
      <c r="AY69" s="277"/>
      <c r="AZ69" s="277"/>
      <c r="BA69" s="277"/>
      <c r="BB69" s="277"/>
      <c r="BC69" s="277"/>
      <c r="BD69" s="277"/>
      <c r="BE69" s="277"/>
    </row>
    <row r="70" spans="1:57" s="54" customFormat="1" ht="15" hidden="1">
      <c r="B70" s="453"/>
      <c r="C70" s="430"/>
      <c r="D70" s="431"/>
      <c r="E70" s="432"/>
      <c r="F70" s="433"/>
      <c r="G70" s="434"/>
      <c r="H70" s="435"/>
      <c r="I70" s="450"/>
      <c r="J70" s="451"/>
      <c r="K70" s="436"/>
      <c r="L70" s="452"/>
      <c r="M70" s="421"/>
      <c r="N70" s="13"/>
      <c r="O70" s="13"/>
      <c r="P70" s="50"/>
      <c r="R70" s="275"/>
      <c r="S70" s="275"/>
      <c r="T70" s="275"/>
      <c r="U70" s="275"/>
      <c r="V70" s="275"/>
      <c r="W70" s="275"/>
      <c r="X70" s="275"/>
      <c r="Y70" s="275"/>
      <c r="Z70" s="275"/>
      <c r="AA70" s="275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277"/>
      <c r="AY70" s="277"/>
      <c r="AZ70" s="277"/>
      <c r="BA70" s="277"/>
      <c r="BB70" s="277"/>
      <c r="BC70" s="277"/>
      <c r="BD70" s="277"/>
      <c r="BE70" s="277"/>
    </row>
    <row r="71" spans="1:57" s="54" customFormat="1" ht="37.15" hidden="1" customHeight="1" thickBot="1">
      <c r="B71" s="480"/>
      <c r="C71" s="479"/>
      <c r="D71" s="442"/>
      <c r="E71" s="443"/>
      <c r="F71" s="444"/>
      <c r="G71" s="445"/>
      <c r="H71" s="446"/>
      <c r="I71" s="447"/>
      <c r="J71" s="448"/>
      <c r="K71" s="449"/>
      <c r="L71" s="457"/>
      <c r="M71" s="455"/>
      <c r="N71" s="13"/>
      <c r="O71" s="13"/>
      <c r="P71" s="50"/>
      <c r="R71" s="275"/>
      <c r="S71" s="275"/>
      <c r="T71" s="275"/>
      <c r="U71" s="275"/>
      <c r="V71" s="275"/>
      <c r="W71" s="275"/>
      <c r="X71" s="275"/>
      <c r="Y71" s="275"/>
      <c r="Z71" s="275"/>
      <c r="AA71" s="275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277"/>
      <c r="AY71" s="277"/>
      <c r="AZ71" s="277"/>
      <c r="BA71" s="277"/>
      <c r="BB71" s="277"/>
      <c r="BC71" s="277"/>
      <c r="BD71" s="277"/>
      <c r="BE71" s="277"/>
    </row>
    <row r="72" spans="1:57" s="54" customFormat="1" ht="16.5" hidden="1" customHeight="1" thickBot="1">
      <c r="B72" s="437"/>
      <c r="C72" s="423"/>
      <c r="D72" s="424"/>
      <c r="E72" s="425"/>
      <c r="F72" s="426"/>
      <c r="G72" s="427"/>
      <c r="H72" s="428"/>
      <c r="I72" s="438"/>
      <c r="J72" s="439"/>
      <c r="K72" s="429"/>
      <c r="L72" s="440"/>
      <c r="M72" s="422"/>
      <c r="N72" s="13"/>
      <c r="O72" s="13"/>
      <c r="P72" s="50"/>
      <c r="R72" s="275"/>
      <c r="S72" s="275"/>
      <c r="T72" s="275"/>
      <c r="U72" s="275"/>
      <c r="V72" s="275"/>
      <c r="W72" s="275"/>
      <c r="X72" s="275"/>
      <c r="Y72" s="275"/>
      <c r="Z72" s="275"/>
      <c r="AA72" s="275"/>
      <c r="AB72" s="415"/>
      <c r="AC72" s="415"/>
      <c r="AD72" s="415"/>
      <c r="AE72" s="415"/>
      <c r="AF72" s="415"/>
      <c r="AG72" s="415"/>
      <c r="AH72" s="415"/>
      <c r="AI72" s="415"/>
      <c r="AJ72" s="415"/>
      <c r="AK72" s="415"/>
      <c r="AL72" s="415"/>
      <c r="AM72" s="415"/>
      <c r="AN72" s="415"/>
      <c r="AO72" s="415"/>
      <c r="AP72" s="415"/>
      <c r="AQ72" s="415"/>
      <c r="AR72" s="415"/>
      <c r="AS72" s="415"/>
      <c r="AT72" s="415"/>
      <c r="AU72" s="415"/>
      <c r="AV72" s="415"/>
      <c r="AW72" s="415"/>
    </row>
    <row r="73" spans="1:57" s="54" customFormat="1" ht="37.15" hidden="1" customHeight="1" thickBot="1">
      <c r="B73" s="456"/>
      <c r="C73" s="441"/>
      <c r="D73" s="442"/>
      <c r="E73" s="443"/>
      <c r="F73" s="444"/>
      <c r="G73" s="445"/>
      <c r="H73" s="446"/>
      <c r="I73" s="447"/>
      <c r="J73" s="448"/>
      <c r="K73" s="449"/>
      <c r="L73" s="457"/>
      <c r="M73" s="454"/>
      <c r="N73" s="13"/>
      <c r="O73" s="13"/>
      <c r="P73" s="50"/>
      <c r="R73" s="275"/>
      <c r="S73" s="275"/>
      <c r="T73" s="275"/>
      <c r="U73" s="275"/>
      <c r="V73" s="275"/>
      <c r="W73" s="275"/>
      <c r="X73" s="275"/>
      <c r="Y73" s="275"/>
      <c r="Z73" s="275"/>
      <c r="AA73" s="275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277"/>
      <c r="AY73" s="277"/>
      <c r="AZ73" s="277"/>
      <c r="BA73" s="277"/>
      <c r="BB73" s="277"/>
      <c r="BC73" s="277"/>
      <c r="BD73" s="277"/>
      <c r="BE73" s="277"/>
    </row>
    <row r="74" spans="1:57" s="54" customFormat="1" ht="37.15" customHeight="1">
      <c r="B74" s="466"/>
      <c r="C74" s="430"/>
      <c r="D74" s="460"/>
      <c r="E74" s="461"/>
      <c r="F74" s="462"/>
      <c r="G74" s="460"/>
      <c r="H74" s="463"/>
      <c r="I74" s="463"/>
      <c r="J74" s="463"/>
      <c r="K74" s="464"/>
      <c r="L74" s="465"/>
      <c r="M74" s="50"/>
      <c r="N74" s="13"/>
      <c r="O74" s="13"/>
      <c r="P74" s="50"/>
      <c r="R74" s="275"/>
      <c r="S74" s="275"/>
      <c r="T74" s="275"/>
      <c r="U74" s="275"/>
      <c r="V74" s="275"/>
      <c r="W74" s="275"/>
      <c r="X74" s="275"/>
      <c r="Y74" s="275"/>
      <c r="Z74" s="275"/>
      <c r="AA74" s="275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277"/>
      <c r="AY74" s="277"/>
      <c r="AZ74" s="277"/>
      <c r="BA74" s="277"/>
      <c r="BB74" s="277"/>
      <c r="BC74" s="277"/>
      <c r="BD74" s="277"/>
      <c r="BE74" s="277"/>
    </row>
    <row r="75" spans="1:57" ht="18" customHeight="1" thickBot="1">
      <c r="B75" s="59"/>
      <c r="C75" s="30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 t="s">
        <v>41</v>
      </c>
      <c r="O75" s="56"/>
      <c r="P75" s="60"/>
    </row>
    <row r="76" spans="1:57" ht="15.75" thickBot="1">
      <c r="B76" s="498" t="s">
        <v>55</v>
      </c>
      <c r="C76" s="499"/>
      <c r="D76" s="499"/>
      <c r="E76" s="499"/>
      <c r="F76" s="500"/>
      <c r="G76" s="498" t="s">
        <v>56</v>
      </c>
      <c r="H76" s="499"/>
      <c r="I76" s="499"/>
      <c r="J76" s="500"/>
      <c r="K76" s="498" t="s">
        <v>51</v>
      </c>
      <c r="L76" s="499"/>
      <c r="M76" s="499"/>
      <c r="N76" s="501"/>
      <c r="O76" s="56"/>
      <c r="P76" s="50"/>
    </row>
    <row r="77" spans="1:57" ht="15">
      <c r="B77" s="61" t="s">
        <v>17</v>
      </c>
      <c r="C77" s="62" t="s">
        <v>36</v>
      </c>
      <c r="D77" s="62" t="s">
        <v>37</v>
      </c>
      <c r="E77" s="62" t="s">
        <v>38</v>
      </c>
      <c r="F77" s="63" t="s">
        <v>39</v>
      </c>
      <c r="G77" s="62" t="s">
        <v>36</v>
      </c>
      <c r="H77" s="62" t="s">
        <v>37</v>
      </c>
      <c r="I77" s="62" t="s">
        <v>38</v>
      </c>
      <c r="J77" s="63" t="s">
        <v>39</v>
      </c>
      <c r="K77" s="62"/>
      <c r="L77" s="62" t="s">
        <v>37</v>
      </c>
      <c r="M77" s="62" t="s">
        <v>38</v>
      </c>
      <c r="N77" s="63" t="s">
        <v>39</v>
      </c>
      <c r="O77" s="56"/>
      <c r="P77" s="64"/>
    </row>
    <row r="78" spans="1:57" ht="15">
      <c r="B78" s="29" t="s">
        <v>6</v>
      </c>
      <c r="C78" s="282"/>
      <c r="D78" s="76">
        <v>6.1156288292302401</v>
      </c>
      <c r="E78" s="76">
        <v>6.7487107020201371</v>
      </c>
      <c r="F78" s="66">
        <v>4.8</v>
      </c>
      <c r="G78" s="65"/>
      <c r="H78" s="477">
        <v>5.5067254899768159</v>
      </c>
      <c r="I78" s="477">
        <v>6.5593240202115082</v>
      </c>
      <c r="J78" s="66">
        <v>4.8</v>
      </c>
      <c r="K78" s="67"/>
      <c r="L78" s="194">
        <v>0.79592982456140338</v>
      </c>
      <c r="M78" s="194">
        <v>0.47248230788718398</v>
      </c>
      <c r="N78" s="68">
        <v>1</v>
      </c>
      <c r="O78" s="56"/>
      <c r="P78" s="69"/>
    </row>
    <row r="79" spans="1:57" ht="15">
      <c r="B79" s="33" t="s">
        <v>9</v>
      </c>
      <c r="C79" s="65"/>
      <c r="D79" s="76">
        <v>4.2503259452412028</v>
      </c>
      <c r="E79" s="76">
        <v>6.0876108810886738</v>
      </c>
      <c r="F79" s="66">
        <v>4.8</v>
      </c>
      <c r="G79" s="65"/>
      <c r="H79" s="76">
        <v>3.7045586293348483</v>
      </c>
      <c r="I79" s="76">
        <v>5.7742586308793999</v>
      </c>
      <c r="J79" s="66">
        <v>4.8</v>
      </c>
      <c r="K79" s="67"/>
      <c r="L79" s="194">
        <v>1.2884210526315791</v>
      </c>
      <c r="M79" s="194">
        <v>0.74983233325567777</v>
      </c>
      <c r="N79" s="68">
        <v>1</v>
      </c>
      <c r="P79" s="69"/>
    </row>
    <row r="80" spans="1:57" ht="15">
      <c r="B80" s="34" t="s">
        <v>40</v>
      </c>
      <c r="C80" s="65"/>
      <c r="D80" s="76"/>
      <c r="E80" s="76">
        <v>12.380135651360392</v>
      </c>
      <c r="F80" s="66">
        <v>5.5</v>
      </c>
      <c r="G80" s="483"/>
      <c r="H80" s="76"/>
      <c r="I80" s="76">
        <v>13.955538676690328</v>
      </c>
      <c r="J80" s="66">
        <v>5.5</v>
      </c>
      <c r="K80" s="67"/>
      <c r="L80" s="194"/>
      <c r="M80" s="194">
        <v>0.29450526315789471</v>
      </c>
      <c r="N80" s="68">
        <v>1</v>
      </c>
      <c r="P80" s="69"/>
    </row>
    <row r="81" spans="2:16" ht="15">
      <c r="B81" s="22" t="s">
        <v>33</v>
      </c>
      <c r="C81" s="65"/>
      <c r="D81" s="76"/>
      <c r="E81" s="76">
        <v>4.601418358346991</v>
      </c>
      <c r="F81" s="66">
        <v>3.3</v>
      </c>
      <c r="G81" s="65"/>
      <c r="H81" s="76"/>
      <c r="I81" s="76">
        <v>4.3274739720788533</v>
      </c>
      <c r="J81" s="66">
        <v>3.3</v>
      </c>
      <c r="K81" s="67"/>
      <c r="L81" s="194"/>
      <c r="M81" s="194">
        <v>0.8292543859649123</v>
      </c>
      <c r="N81" s="68">
        <v>1</v>
      </c>
      <c r="P81" s="69"/>
    </row>
    <row r="82" spans="2:16" ht="15">
      <c r="B82" s="35" t="s">
        <v>164</v>
      </c>
      <c r="C82" s="65"/>
      <c r="D82" s="76"/>
      <c r="E82" s="76"/>
      <c r="F82" s="66">
        <v>3.3</v>
      </c>
      <c r="G82" s="282"/>
      <c r="H82" s="76"/>
      <c r="I82" s="76"/>
      <c r="J82" s="66">
        <v>3</v>
      </c>
      <c r="K82" s="67"/>
      <c r="L82" s="194"/>
      <c r="M82" s="194"/>
      <c r="N82" s="68">
        <v>1</v>
      </c>
      <c r="P82" s="69"/>
    </row>
    <row r="83" spans="2:16" ht="15">
      <c r="B83" s="36" t="s">
        <v>15</v>
      </c>
      <c r="C83" s="65"/>
      <c r="D83" s="76"/>
      <c r="E83" s="76">
        <v>5.1105651105651271</v>
      </c>
      <c r="F83" s="70">
        <f>[15]May_2022!$M$43</f>
        <v>3.4878406700073312</v>
      </c>
      <c r="G83" s="282"/>
      <c r="H83" s="76"/>
      <c r="I83" s="76">
        <v>7.9131369535794072</v>
      </c>
      <c r="J83" s="66">
        <v>5.5</v>
      </c>
      <c r="K83" s="67"/>
      <c r="L83" s="194"/>
      <c r="M83" s="194">
        <v>1.3550877192982456</v>
      </c>
      <c r="N83" s="68">
        <v>1</v>
      </c>
      <c r="P83" s="69"/>
    </row>
    <row r="84" spans="2:16" ht="15">
      <c r="B84" s="37" t="s">
        <v>16</v>
      </c>
      <c r="C84" s="65"/>
      <c r="D84" s="76"/>
      <c r="E84" s="76">
        <v>3.9654240950837312</v>
      </c>
      <c r="F84" s="66">
        <v>3.3</v>
      </c>
      <c r="G84" s="282"/>
      <c r="H84" s="76"/>
      <c r="I84" s="76">
        <v>5.0010391616318897</v>
      </c>
      <c r="J84" s="66">
        <v>3.3</v>
      </c>
      <c r="K84" s="67"/>
      <c r="L84" s="194"/>
      <c r="M84" s="194">
        <v>0.93295906432748543</v>
      </c>
      <c r="N84" s="71">
        <v>1</v>
      </c>
      <c r="P84" s="69"/>
    </row>
    <row r="85" spans="2:16" ht="15.75" thickBot="1">
      <c r="B85" s="38" t="s">
        <v>163</v>
      </c>
      <c r="C85" s="65"/>
      <c r="D85" s="76"/>
      <c r="E85" s="76"/>
      <c r="F85" s="66">
        <v>7.5</v>
      </c>
      <c r="G85" s="282"/>
      <c r="H85" s="76"/>
      <c r="I85" s="76"/>
      <c r="J85" s="66">
        <v>7.5</v>
      </c>
      <c r="K85" s="67"/>
      <c r="L85" s="194"/>
      <c r="M85" s="194"/>
      <c r="N85" s="71">
        <v>1</v>
      </c>
      <c r="P85" s="69"/>
    </row>
    <row r="86" spans="2:16" ht="15.75" thickBot="1">
      <c r="B86" s="414" t="s">
        <v>161</v>
      </c>
      <c r="C86" s="65"/>
      <c r="D86" s="76"/>
      <c r="E86" s="76"/>
      <c r="F86" s="66">
        <v>4.8</v>
      </c>
      <c r="G86" s="282"/>
      <c r="H86" s="76"/>
      <c r="I86" s="76"/>
      <c r="J86" s="66">
        <v>4.8</v>
      </c>
      <c r="K86" s="67"/>
      <c r="L86" s="194"/>
      <c r="M86" s="194"/>
      <c r="N86" s="71">
        <v>1</v>
      </c>
      <c r="O86" s="74"/>
      <c r="P86" s="75"/>
    </row>
    <row r="87" spans="2:16" ht="15">
      <c r="D87" s="76">
        <v>5.5572900405869357</v>
      </c>
      <c r="E87" s="76">
        <v>6.5047660590321774</v>
      </c>
      <c r="F87" s="341">
        <v>5.5</v>
      </c>
      <c r="H87" s="76">
        <v>4.9655453347905967</v>
      </c>
      <c r="I87" s="76">
        <v>6.6203139187022604</v>
      </c>
      <c r="J87" s="341">
        <v>5.5</v>
      </c>
      <c r="L87" s="194">
        <v>0.93664160401002505</v>
      </c>
      <c r="M87" s="194">
        <v>0.58217356772212225</v>
      </c>
      <c r="N87" s="386">
        <v>1</v>
      </c>
    </row>
  </sheetData>
  <mergeCells count="51">
    <mergeCell ref="M63:M64"/>
    <mergeCell ref="B76:F76"/>
    <mergeCell ref="G76:J76"/>
    <mergeCell ref="K76:N76"/>
    <mergeCell ref="G63:G64"/>
    <mergeCell ref="H63:H64"/>
    <mergeCell ref="I63:I64"/>
    <mergeCell ref="J63:J64"/>
    <mergeCell ref="K63:K64"/>
    <mergeCell ref="L63:L64"/>
    <mergeCell ref="F63:F64"/>
    <mergeCell ref="D58:E58"/>
    <mergeCell ref="B63:B64"/>
    <mergeCell ref="C63:C64"/>
    <mergeCell ref="D63:D64"/>
    <mergeCell ref="E63:E64"/>
    <mergeCell ref="B48:B57"/>
    <mergeCell ref="D48:E49"/>
    <mergeCell ref="J48:K48"/>
    <mergeCell ref="L49:N49"/>
    <mergeCell ref="D50:E51"/>
    <mergeCell ref="D52:E53"/>
    <mergeCell ref="D54:E55"/>
    <mergeCell ref="D56:E57"/>
    <mergeCell ref="I34:N34"/>
    <mergeCell ref="D35:E35"/>
    <mergeCell ref="B36:B47"/>
    <mergeCell ref="D36:E37"/>
    <mergeCell ref="D38:E39"/>
    <mergeCell ref="D40:E41"/>
    <mergeCell ref="D42:E43"/>
    <mergeCell ref="D44:E45"/>
    <mergeCell ref="D46:E47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8:B59">
    <cfRule type="cellIs" dxfId="2075" priority="92" operator="notBetween">
      <formula>#REF!</formula>
      <formula>#REF!</formula>
    </cfRule>
  </conditionalFormatting>
  <conditionalFormatting sqref="C62">
    <cfRule type="cellIs" dxfId="2074" priority="187" stopIfTrue="1" operator="greaterThan">
      <formula>100</formula>
    </cfRule>
    <cfRule type="cellIs" dxfId="2073" priority="186" stopIfTrue="1" operator="lessThan">
      <formula>96</formula>
    </cfRule>
  </conditionalFormatting>
  <conditionalFormatting sqref="C78:C82">
    <cfRule type="cellIs" dxfId="2072" priority="155" stopIfTrue="1" operator="lessThanOrEqual">
      <formula>0</formula>
    </cfRule>
  </conditionalFormatting>
  <conditionalFormatting sqref="C78:C86">
    <cfRule type="cellIs" dxfId="2071" priority="154" stopIfTrue="1" operator="greaterThan">
      <formula>$F78</formula>
    </cfRule>
  </conditionalFormatting>
  <conditionalFormatting sqref="C79">
    <cfRule type="cellIs" dxfId="2070" priority="188" stopIfTrue="1" operator="greaterThan">
      <formula>$F78</formula>
    </cfRule>
  </conditionalFormatting>
  <conditionalFormatting sqref="C83">
    <cfRule type="cellIs" dxfId="2069" priority="116" stopIfTrue="1" operator="lessThanOrEqual">
      <formula>0</formula>
    </cfRule>
    <cfRule type="cellIs" dxfId="2068" priority="117" stopIfTrue="1" operator="greaterThan">
      <formula>$F82</formula>
    </cfRule>
  </conditionalFormatting>
  <conditionalFormatting sqref="C84:C86">
    <cfRule type="cellIs" dxfId="2067" priority="156" stopIfTrue="1" operator="lessThanOrEqual">
      <formula>0</formula>
    </cfRule>
  </conditionalFormatting>
  <conditionalFormatting sqref="C89:C93">
    <cfRule type="cellIs" dxfId="2066" priority="178" stopIfTrue="1" operator="lessThanOrEqual">
      <formula>0</formula>
    </cfRule>
  </conditionalFormatting>
  <conditionalFormatting sqref="C90:C93">
    <cfRule type="cellIs" dxfId="2065" priority="177" stopIfTrue="1" operator="greaterThan">
      <formula>$F$89</formula>
    </cfRule>
  </conditionalFormatting>
  <conditionalFormatting sqref="C95">
    <cfRule type="cellIs" dxfId="2064" priority="180" stopIfTrue="1" operator="lessThanOrEqual">
      <formula>0</formula>
    </cfRule>
    <cfRule type="cellIs" dxfId="2063" priority="179" stopIfTrue="1" operator="greaterThan">
      <formula>$F$89</formula>
    </cfRule>
  </conditionalFormatting>
  <conditionalFormatting sqref="C89:D89 D91:D97">
    <cfRule type="cellIs" dxfId="2062" priority="172" stopIfTrue="1" operator="greaterThan">
      <formula>4.5</formula>
    </cfRule>
  </conditionalFormatting>
  <conditionalFormatting sqref="D58:D59">
    <cfRule type="cellIs" dxfId="2061" priority="93" operator="notBetween">
      <formula>#REF!</formula>
      <formula>#REF!</formula>
    </cfRule>
  </conditionalFormatting>
  <conditionalFormatting sqref="D78:D85">
    <cfRule type="cellIs" dxfId="2060" priority="67" stopIfTrue="1" operator="lessThanOrEqual">
      <formula>0</formula>
    </cfRule>
  </conditionalFormatting>
  <conditionalFormatting sqref="D78:D87">
    <cfRule type="cellIs" dxfId="2059" priority="46" stopIfTrue="1" operator="lessThanOrEqual">
      <formula>0</formula>
    </cfRule>
  </conditionalFormatting>
  <conditionalFormatting sqref="D86">
    <cfRule type="cellIs" dxfId="2058" priority="66" stopIfTrue="1" operator="lessThanOrEqual">
      <formula>0</formula>
    </cfRule>
  </conditionalFormatting>
  <conditionalFormatting sqref="D87">
    <cfRule type="cellIs" dxfId="2057" priority="61" stopIfTrue="1" operator="lessThanOrEqual">
      <formula>0</formula>
    </cfRule>
  </conditionalFormatting>
  <conditionalFormatting sqref="D89 D91:D97">
    <cfRule type="cellIs" dxfId="2056" priority="173" stopIfTrue="1" operator="lessThanOrEqual">
      <formula>0</formula>
    </cfRule>
  </conditionalFormatting>
  <conditionalFormatting sqref="D90">
    <cfRule type="cellIs" dxfId="2055" priority="164" stopIfTrue="1" operator="greaterThan">
      <formula>$F$89</formula>
    </cfRule>
    <cfRule type="cellIs" dxfId="2054" priority="165" stopIfTrue="1" operator="lessThanOrEqual">
      <formula>0</formula>
    </cfRule>
  </conditionalFormatting>
  <conditionalFormatting sqref="D78:E87">
    <cfRule type="cellIs" dxfId="2053" priority="48" stopIfTrue="1" operator="greaterThan">
      <formula>$F78</formula>
    </cfRule>
  </conditionalFormatting>
  <conditionalFormatting sqref="D87:E87">
    <cfRule type="cellIs" dxfId="2052" priority="50" stopIfTrue="1" operator="lessThanOrEqual">
      <formula>0</formula>
    </cfRule>
  </conditionalFormatting>
  <conditionalFormatting sqref="E10:E33">
    <cfRule type="cellIs" dxfId="2051" priority="33" operator="lessThan">
      <formula>48</formula>
    </cfRule>
  </conditionalFormatting>
  <conditionalFormatting sqref="E61 E62:F62">
    <cfRule type="cellIs" dxfId="2050" priority="169" stopIfTrue="1" operator="greaterThan">
      <formula>100</formula>
    </cfRule>
  </conditionalFormatting>
  <conditionalFormatting sqref="E62">
    <cfRule type="cellIs" dxfId="2049" priority="167" stopIfTrue="1" operator="greaterThan">
      <formula>100</formula>
    </cfRule>
    <cfRule type="cellIs" dxfId="2048" priority="166" stopIfTrue="1" operator="lessThan">
      <formula>96.8</formula>
    </cfRule>
  </conditionalFormatting>
  <conditionalFormatting sqref="E78:E86">
    <cfRule type="cellIs" dxfId="2047" priority="47" stopIfTrue="1" operator="lessThanOrEqual">
      <formula>0</formula>
    </cfRule>
  </conditionalFormatting>
  <conditionalFormatting sqref="E78:E87">
    <cfRule type="cellIs" dxfId="2046" priority="49" stopIfTrue="1" operator="lessThanOrEqual">
      <formula>0</formula>
    </cfRule>
  </conditionalFormatting>
  <conditionalFormatting sqref="E89:E97">
    <cfRule type="cellIs" dxfId="2045" priority="158" stopIfTrue="1" operator="greaterThan">
      <formula>4.5</formula>
    </cfRule>
    <cfRule type="cellIs" dxfId="2044" priority="159" stopIfTrue="1" operator="lessThanOrEqual">
      <formula>0</formula>
    </cfRule>
  </conditionalFormatting>
  <conditionalFormatting sqref="E62:F62 E61">
    <cfRule type="cellIs" dxfId="2043" priority="168" stopIfTrue="1" operator="lessThan">
      <formula>96.5</formula>
    </cfRule>
  </conditionalFormatting>
  <conditionalFormatting sqref="F10:F26">
    <cfRule type="cellIs" dxfId="2042" priority="37" operator="greaterThan">
      <formula>60</formula>
    </cfRule>
  </conditionalFormatting>
  <conditionalFormatting sqref="F30:F33">
    <cfRule type="cellIs" dxfId="2041" priority="42" operator="greaterThan">
      <formula>60</formula>
    </cfRule>
  </conditionalFormatting>
  <conditionalFormatting sqref="F62">
    <cfRule type="cellIs" dxfId="2040" priority="184" stopIfTrue="1" operator="lessThan">
      <formula>96.8</formula>
    </cfRule>
    <cfRule type="cellIs" dxfId="2039" priority="185" stopIfTrue="1" operator="greaterThan">
      <formula>100</formula>
    </cfRule>
  </conditionalFormatting>
  <conditionalFormatting sqref="F87">
    <cfRule type="cellIs" dxfId="2038" priority="64" stopIfTrue="1" operator="greaterThan">
      <formula>$F87</formula>
    </cfRule>
    <cfRule type="cellIs" dxfId="2037" priority="65" stopIfTrue="1" operator="lessThanOrEqual">
      <formula>0</formula>
    </cfRule>
  </conditionalFormatting>
  <conditionalFormatting sqref="G10:G26">
    <cfRule type="expression" dxfId="2036" priority="34">
      <formula>IF(+(IF(G10&lt;S10,0,IF(G10&gt;T10,0,1)))=0,1)</formula>
    </cfRule>
  </conditionalFormatting>
  <conditionalFormatting sqref="G30:G33">
    <cfRule type="expression" dxfId="2035" priority="41">
      <formula>IF(+(IF(G30&lt;S30,0,IF(G30&gt;T30,0,1)))=0,1)</formula>
    </cfRule>
  </conditionalFormatting>
  <conditionalFormatting sqref="G78:G79">
    <cfRule type="cellIs" dxfId="2034" priority="62" stopIfTrue="1" operator="greaterThan">
      <formula>$F78</formula>
    </cfRule>
    <cfRule type="cellIs" dxfId="2033" priority="63" stopIfTrue="1" operator="lessThanOrEqual">
      <formula>0</formula>
    </cfRule>
    <cfRule type="cellIs" dxfId="2032" priority="68" stopIfTrue="1" operator="greaterThan">
      <formula>$F78</formula>
    </cfRule>
    <cfRule type="cellIs" dxfId="2031" priority="69" stopIfTrue="1" operator="lessThanOrEqual">
      <formula>0</formula>
    </cfRule>
  </conditionalFormatting>
  <conditionalFormatting sqref="G80">
    <cfRule type="containsErrors" dxfId="2030" priority="39" stopIfTrue="1">
      <formula>ISERROR(G80)</formula>
    </cfRule>
  </conditionalFormatting>
  <conditionalFormatting sqref="G81">
    <cfRule type="cellIs" dxfId="2029" priority="54" stopIfTrue="1" operator="greaterThan">
      <formula>$F81</formula>
    </cfRule>
    <cfRule type="cellIs" dxfId="2028" priority="55" stopIfTrue="1" operator="lessThanOrEqual">
      <formula>0</formula>
    </cfRule>
    <cfRule type="cellIs" dxfId="2027" priority="56" stopIfTrue="1" operator="greaterThan">
      <formula>$F81</formula>
    </cfRule>
    <cfRule type="cellIs" dxfId="2026" priority="57" stopIfTrue="1" operator="lessThanOrEqual">
      <formula>0</formula>
    </cfRule>
  </conditionalFormatting>
  <conditionalFormatting sqref="G82:G86">
    <cfRule type="cellIs" dxfId="2025" priority="70" stopIfTrue="1" operator="greaterThan">
      <formula>$J82</formula>
    </cfRule>
    <cfRule type="cellIs" dxfId="2024" priority="71" stopIfTrue="1" operator="lessThanOrEqual">
      <formula>0</formula>
    </cfRule>
  </conditionalFormatting>
  <conditionalFormatting sqref="G91:G96 C94 C96">
    <cfRule type="cellIs" dxfId="2023" priority="181" stopIfTrue="1" operator="greaterThan">
      <formula>4.5</formula>
    </cfRule>
    <cfRule type="cellIs" dxfId="2022" priority="182" stopIfTrue="1" operator="lessThanOrEqual">
      <formula>0</formula>
    </cfRule>
  </conditionalFormatting>
  <conditionalFormatting sqref="G90:H90">
    <cfRule type="cellIs" dxfId="2021" priority="162" stopIfTrue="1" operator="greaterThan">
      <formula>$F$89</formula>
    </cfRule>
    <cfRule type="cellIs" dxfId="2020" priority="163" stopIfTrue="1" operator="lessThanOrEqual">
      <formula>0</formula>
    </cfRule>
  </conditionalFormatting>
  <conditionalFormatting sqref="H10:H26 M10:N29 G27:H29 H30:H33">
    <cfRule type="expression" dxfId="2019" priority="40">
      <formula>IF(+(IF(G10&lt;#REF!,0,IF(G10&gt;#REF!,0,1)))=0,1)</formula>
    </cfRule>
  </conditionalFormatting>
  <conditionalFormatting sqref="H47:H48 H61">
    <cfRule type="cellIs" dxfId="2018" priority="160" stopIfTrue="1" operator="greaterThan">
      <formula>0</formula>
    </cfRule>
  </conditionalFormatting>
  <conditionalFormatting sqref="H65">
    <cfRule type="cellIs" dxfId="2017" priority="24" stopIfTrue="1" operator="lessThanOrEqual">
      <formula>0</formula>
    </cfRule>
    <cfRule type="cellIs" dxfId="2016" priority="26" stopIfTrue="1" operator="lessThanOrEqual">
      <formula>0</formula>
    </cfRule>
    <cfRule type="cellIs" dxfId="2015" priority="25" stopIfTrue="1" operator="greaterThan">
      <formula>$F$75</formula>
    </cfRule>
    <cfRule type="cellIs" dxfId="2014" priority="23" stopIfTrue="1" operator="greaterThan">
      <formula>$F$77</formula>
    </cfRule>
    <cfRule type="cellIs" dxfId="2013" priority="14" stopIfTrue="1" operator="lessThanOrEqual">
      <formula>0</formula>
    </cfRule>
    <cfRule type="cellIs" dxfId="2012" priority="15" stopIfTrue="1" operator="greaterThan">
      <formula>$F$74</formula>
    </cfRule>
  </conditionalFormatting>
  <conditionalFormatting sqref="H66:H69">
    <cfRule type="cellIs" dxfId="2011" priority="87" stopIfTrue="1" operator="lessThanOrEqual">
      <formula>0</formula>
    </cfRule>
    <cfRule type="cellIs" dxfId="2010" priority="75" stopIfTrue="1" operator="lessThanOrEqual">
      <formula>0</formula>
    </cfRule>
    <cfRule type="cellIs" dxfId="2009" priority="76" stopIfTrue="1" operator="greaterThan">
      <formula>$F$78</formula>
    </cfRule>
    <cfRule type="cellIs" dxfId="2008" priority="86" stopIfTrue="1" operator="greaterThan">
      <formula>$F$79</formula>
    </cfRule>
    <cfRule type="cellIs" dxfId="2007" priority="85" stopIfTrue="1" operator="lessThanOrEqual">
      <formula>0</formula>
    </cfRule>
    <cfRule type="cellIs" dxfId="2006" priority="84" stopIfTrue="1" operator="greaterThan">
      <formula>$F$81</formula>
    </cfRule>
  </conditionalFormatting>
  <conditionalFormatting sqref="H70:H71">
    <cfRule type="cellIs" dxfId="2005" priority="129" stopIfTrue="1" operator="lessThanOrEqual">
      <formula>0</formula>
    </cfRule>
    <cfRule type="cellIs" dxfId="2004" priority="128" stopIfTrue="1" operator="greaterThan">
      <formula>$F$33</formula>
    </cfRule>
    <cfRule type="cellIs" dxfId="2003" priority="120" stopIfTrue="1" operator="greaterThan">
      <formula>#REF!</formula>
    </cfRule>
    <cfRule type="cellIs" dxfId="2002" priority="119" stopIfTrue="1" operator="lessThanOrEqual">
      <formula>0</formula>
    </cfRule>
    <cfRule type="cellIs" dxfId="2001" priority="131" stopIfTrue="1" operator="lessThanOrEqual">
      <formula>0</formula>
    </cfRule>
    <cfRule type="cellIs" dxfId="2000" priority="130" stopIfTrue="1" operator="greaterThan">
      <formula>#REF!</formula>
    </cfRule>
  </conditionalFormatting>
  <conditionalFormatting sqref="H72">
    <cfRule type="cellIs" dxfId="1999" priority="142" stopIfTrue="1" operator="greaterThan">
      <formula>$F$49</formula>
    </cfRule>
    <cfRule type="cellIs" dxfId="1998" priority="143" stopIfTrue="1" operator="lessThanOrEqual">
      <formula>0</formula>
    </cfRule>
    <cfRule type="cellIs" dxfId="1997" priority="133" stopIfTrue="1" operator="lessThanOrEqual">
      <formula>0</formula>
    </cfRule>
    <cfRule type="cellIs" dxfId="1996" priority="145" stopIfTrue="1" operator="lessThanOrEqual">
      <formula>0</formula>
    </cfRule>
    <cfRule type="cellIs" dxfId="1995" priority="134" stopIfTrue="1" operator="greaterThan">
      <formula>$F$46</formula>
    </cfRule>
    <cfRule type="cellIs" dxfId="1994" priority="144" stopIfTrue="1" operator="greaterThan">
      <formula>$F$47</formula>
    </cfRule>
  </conditionalFormatting>
  <conditionalFormatting sqref="H73:H74">
    <cfRule type="cellIs" dxfId="1993" priority="115" stopIfTrue="1" operator="lessThanOrEqual">
      <formula>0</formula>
    </cfRule>
    <cfRule type="cellIs" dxfId="1992" priority="114" stopIfTrue="1" operator="greaterThan">
      <formula>#REF!</formula>
    </cfRule>
    <cfRule type="cellIs" dxfId="1991" priority="113" stopIfTrue="1" operator="lessThanOrEqual">
      <formula>0</formula>
    </cfRule>
    <cfRule type="cellIs" dxfId="1990" priority="112" stopIfTrue="1" operator="greaterThan">
      <formula>$F$33</formula>
    </cfRule>
    <cfRule type="cellIs" dxfId="1989" priority="104" stopIfTrue="1" operator="greaterThan">
      <formula>#REF!</formula>
    </cfRule>
    <cfRule type="cellIs" dxfId="1988" priority="103" stopIfTrue="1" operator="lessThanOrEqual">
      <formula>0</formula>
    </cfRule>
  </conditionalFormatting>
  <conditionalFormatting sqref="H89 H91:H97">
    <cfRule type="cellIs" dxfId="1987" priority="175" stopIfTrue="1" operator="lessThanOrEqual">
      <formula>0</formula>
    </cfRule>
    <cfRule type="cellIs" dxfId="1986" priority="174" stopIfTrue="1" operator="greaterThan">
      <formula>4.5</formula>
    </cfRule>
  </conditionalFormatting>
  <conditionalFormatting sqref="H65:I65">
    <cfRule type="cellIs" dxfId="1985" priority="13" stopIfTrue="1" operator="greaterThan">
      <formula>$F$76</formula>
    </cfRule>
    <cfRule type="cellIs" dxfId="1984" priority="16" stopIfTrue="1" operator="lessThanOrEqual">
      <formula>0</formula>
    </cfRule>
  </conditionalFormatting>
  <conditionalFormatting sqref="H66:I69">
    <cfRule type="cellIs" dxfId="1983" priority="74" stopIfTrue="1" operator="greaterThan">
      <formula>$F$80</formula>
    </cfRule>
    <cfRule type="cellIs" dxfId="1982" priority="77" stopIfTrue="1" operator="lessThanOrEqual">
      <formula>0</formula>
    </cfRule>
  </conditionalFormatting>
  <conditionalFormatting sqref="H70:I71">
    <cfRule type="cellIs" dxfId="1981" priority="118" stopIfTrue="1" operator="greaterThan">
      <formula>#REF!</formula>
    </cfRule>
    <cfRule type="cellIs" dxfId="1980" priority="121" stopIfTrue="1" operator="lessThanOrEqual">
      <formula>0</formula>
    </cfRule>
  </conditionalFormatting>
  <conditionalFormatting sqref="H72:I72">
    <cfRule type="cellIs" dxfId="1979" priority="132" stopIfTrue="1" operator="greaterThan">
      <formula>$F$48</formula>
    </cfRule>
    <cfRule type="cellIs" dxfId="1978" priority="135" stopIfTrue="1" operator="lessThanOrEqual">
      <formula>0</formula>
    </cfRule>
  </conditionalFormatting>
  <conditionalFormatting sqref="H73:I74">
    <cfRule type="cellIs" dxfId="1977" priority="105" stopIfTrue="1" operator="lessThanOrEqual">
      <formula>0</formula>
    </cfRule>
    <cfRule type="cellIs" dxfId="1976" priority="102" stopIfTrue="1" operator="greaterThan">
      <formula>#REF!</formula>
    </cfRule>
  </conditionalFormatting>
  <conditionalFormatting sqref="H78:I85">
    <cfRule type="cellIs" dxfId="1975" priority="44" stopIfTrue="1" operator="greaterThan">
      <formula>$J78</formula>
    </cfRule>
    <cfRule type="cellIs" dxfId="1974" priority="45" stopIfTrue="1" operator="lessThanOrEqual">
      <formula>0</formula>
    </cfRule>
  </conditionalFormatting>
  <conditionalFormatting sqref="H86:I86">
    <cfRule type="cellIs" dxfId="1973" priority="53" operator="greaterThan">
      <formula>5.3</formula>
    </cfRule>
  </conditionalFormatting>
  <conditionalFormatting sqref="H87:I87">
    <cfRule type="cellIs" dxfId="1972" priority="52" stopIfTrue="1" operator="lessThanOrEqual">
      <formula>0</formula>
    </cfRule>
    <cfRule type="cellIs" dxfId="1971" priority="51" stopIfTrue="1" operator="greaterThan">
      <formula>$J87</formula>
    </cfRule>
  </conditionalFormatting>
  <conditionalFormatting sqref="I65">
    <cfRule type="cellIs" dxfId="1970" priority="18" stopIfTrue="1" operator="lessThanOrEqual">
      <formula>0</formula>
    </cfRule>
    <cfRule type="cellIs" dxfId="1969" priority="19" stopIfTrue="1" operator="greaterThan">
      <formula>$F$76</formula>
    </cfRule>
    <cfRule type="cellIs" dxfId="1968" priority="20" stopIfTrue="1" operator="lessThanOrEqual">
      <formula>0</formula>
    </cfRule>
    <cfRule type="cellIs" dxfId="1967" priority="21" stopIfTrue="1" operator="greaterThan">
      <formula>$F$74</formula>
    </cfRule>
    <cfRule type="cellIs" dxfId="1966" priority="22" stopIfTrue="1" operator="lessThanOrEqual">
      <formula>0</formula>
    </cfRule>
    <cfRule type="cellIs" dxfId="1965" priority="17" stopIfTrue="1" operator="greaterThan">
      <formula>$F$74</formula>
    </cfRule>
  </conditionalFormatting>
  <conditionalFormatting sqref="I66:I69">
    <cfRule type="cellIs" dxfId="1964" priority="78" stopIfTrue="1" operator="greaterThan">
      <formula>$F$78</formula>
    </cfRule>
    <cfRule type="cellIs" dxfId="1963" priority="83" stopIfTrue="1" operator="lessThanOrEqual">
      <formula>0</formula>
    </cfRule>
    <cfRule type="cellIs" dxfId="1962" priority="82" stopIfTrue="1" operator="greaterThan">
      <formula>$F$78</formula>
    </cfRule>
    <cfRule type="cellIs" dxfId="1961" priority="81" stopIfTrue="1" operator="lessThanOrEqual">
      <formula>0</formula>
    </cfRule>
    <cfRule type="cellIs" dxfId="1960" priority="80" stopIfTrue="1" operator="greaterThan">
      <formula>$F$80</formula>
    </cfRule>
    <cfRule type="cellIs" dxfId="1959" priority="79" stopIfTrue="1" operator="lessThanOrEqual">
      <formula>0</formula>
    </cfRule>
  </conditionalFormatting>
  <conditionalFormatting sqref="I70:I71">
    <cfRule type="cellIs" dxfId="1958" priority="126" stopIfTrue="1" operator="greaterThan">
      <formula>#REF!</formula>
    </cfRule>
    <cfRule type="cellIs" dxfId="1957" priority="125" stopIfTrue="1" operator="lessThanOrEqual">
      <formula>0</formula>
    </cfRule>
    <cfRule type="cellIs" dxfId="1956" priority="123" stopIfTrue="1" operator="lessThanOrEqual">
      <formula>0</formula>
    </cfRule>
    <cfRule type="cellIs" dxfId="1955" priority="122" stopIfTrue="1" operator="greaterThan">
      <formula>#REF!</formula>
    </cfRule>
    <cfRule type="cellIs" dxfId="1954" priority="124" stopIfTrue="1" operator="greaterThan">
      <formula>#REF!</formula>
    </cfRule>
    <cfRule type="cellIs" dxfId="1953" priority="127" stopIfTrue="1" operator="lessThanOrEqual">
      <formula>0</formula>
    </cfRule>
  </conditionalFormatting>
  <conditionalFormatting sqref="I72">
    <cfRule type="cellIs" dxfId="1952" priority="136" stopIfTrue="1" operator="greaterThan">
      <formula>$F$46</formula>
    </cfRule>
    <cfRule type="cellIs" dxfId="1951" priority="137" stopIfTrue="1" operator="lessThanOrEqual">
      <formula>0</formula>
    </cfRule>
    <cfRule type="cellIs" dxfId="1950" priority="138" stopIfTrue="1" operator="greaterThan">
      <formula>$F$48</formula>
    </cfRule>
    <cfRule type="cellIs" dxfId="1949" priority="139" stopIfTrue="1" operator="lessThanOrEqual">
      <formula>0</formula>
    </cfRule>
    <cfRule type="cellIs" dxfId="1948" priority="140" stopIfTrue="1" operator="greaterThan">
      <formula>$F$46</formula>
    </cfRule>
    <cfRule type="cellIs" dxfId="1947" priority="141" stopIfTrue="1" operator="lessThanOrEqual">
      <formula>0</formula>
    </cfRule>
  </conditionalFormatting>
  <conditionalFormatting sqref="I73:I74">
    <cfRule type="cellIs" dxfId="1946" priority="110" stopIfTrue="1" operator="greaterThan">
      <formula>#REF!</formula>
    </cfRule>
    <cfRule type="cellIs" dxfId="1945" priority="111" stopIfTrue="1" operator="lessThanOrEqual">
      <formula>0</formula>
    </cfRule>
    <cfRule type="cellIs" dxfId="1944" priority="109" stopIfTrue="1" operator="lessThanOrEqual">
      <formula>0</formula>
    </cfRule>
    <cfRule type="cellIs" dxfId="1943" priority="108" stopIfTrue="1" operator="greaterThan">
      <formula>#REF!</formula>
    </cfRule>
    <cfRule type="cellIs" dxfId="1942" priority="107" stopIfTrue="1" operator="lessThanOrEqual">
      <formula>0</formula>
    </cfRule>
    <cfRule type="cellIs" dxfId="1941" priority="106" stopIfTrue="1" operator="greaterThan">
      <formula>#REF!</formula>
    </cfRule>
  </conditionalFormatting>
  <conditionalFormatting sqref="I89:I97">
    <cfRule type="cellIs" dxfId="1940" priority="170" stopIfTrue="1" operator="greaterThan">
      <formula>4.5</formula>
    </cfRule>
    <cfRule type="cellIs" dxfId="1939" priority="171" stopIfTrue="1" operator="lessThanOrEqual">
      <formula>0</formula>
    </cfRule>
  </conditionalFormatting>
  <conditionalFormatting sqref="I10:J33">
    <cfRule type="cellIs" dxfId="1938" priority="27" operator="lessThan">
      <formula>97.9</formula>
    </cfRule>
  </conditionalFormatting>
  <conditionalFormatting sqref="J36">
    <cfRule type="cellIs" dxfId="1937" priority="73" operator="lessThan">
      <formula>97.95</formula>
    </cfRule>
  </conditionalFormatting>
  <conditionalFormatting sqref="J38">
    <cfRule type="cellIs" dxfId="1936" priority="149" operator="lessThan">
      <formula>98</formula>
    </cfRule>
    <cfRule type="cellIs" dxfId="1935" priority="147" stopIfTrue="1" operator="lessThan">
      <formula>96.8</formula>
    </cfRule>
    <cfRule type="cellIs" dxfId="1934" priority="148" stopIfTrue="1" operator="greaterThan">
      <formula>100</formula>
    </cfRule>
  </conditionalFormatting>
  <conditionalFormatting sqref="J38:J40">
    <cfRule type="cellIs" dxfId="1933" priority="146" operator="lessThan">
      <formula>97.4</formula>
    </cfRule>
  </conditionalFormatting>
  <conditionalFormatting sqref="J41:J42">
    <cfRule type="cellIs" dxfId="1932" priority="150" operator="lessThan">
      <formula>98</formula>
    </cfRule>
  </conditionalFormatting>
  <conditionalFormatting sqref="J43:J44">
    <cfRule type="cellIs" dxfId="1931" priority="151" stopIfTrue="1" operator="lessThan">
      <formula>96.8</formula>
    </cfRule>
    <cfRule type="cellIs" dxfId="1930" priority="152" stopIfTrue="1" operator="greaterThan">
      <formula>100</formula>
    </cfRule>
  </conditionalFormatting>
  <conditionalFormatting sqref="J43:J45">
    <cfRule type="cellIs" dxfId="1929" priority="153" operator="lessThan">
      <formula>98</formula>
    </cfRule>
  </conditionalFormatting>
  <conditionalFormatting sqref="J74">
    <cfRule type="cellIs" dxfId="1928" priority="99" stopIfTrue="1" operator="lessThanOrEqual">
      <formula>0</formula>
    </cfRule>
    <cfRule type="cellIs" dxfId="1927" priority="95" stopIfTrue="1" operator="lessThanOrEqual">
      <formula>0</formula>
    </cfRule>
    <cfRule type="cellIs" dxfId="1926" priority="101" stopIfTrue="1" operator="lessThanOrEqual">
      <formula>0</formula>
    </cfRule>
    <cfRule type="cellIs" dxfId="1925" priority="94" stopIfTrue="1" operator="greaterThan">
      <formula>#REF!</formula>
    </cfRule>
    <cfRule type="cellIs" dxfId="1924" priority="96" stopIfTrue="1" operator="greaterThan">
      <formula>#REF!</formula>
    </cfRule>
    <cfRule type="cellIs" dxfId="1923" priority="97" stopIfTrue="1" operator="lessThanOrEqual">
      <formula>0</formula>
    </cfRule>
    <cfRule type="cellIs" dxfId="1922" priority="98" stopIfTrue="1" operator="greaterThan">
      <formula>#REF!</formula>
    </cfRule>
    <cfRule type="cellIs" dxfId="1921" priority="100" stopIfTrue="1" operator="greaterThan">
      <formula>#REF!</formula>
    </cfRule>
  </conditionalFormatting>
  <conditionalFormatting sqref="J87">
    <cfRule type="cellIs" dxfId="1920" priority="59" stopIfTrue="1" operator="lessThanOrEqual">
      <formula>0</formula>
    </cfRule>
    <cfRule type="cellIs" dxfId="1919" priority="58" stopIfTrue="1" operator="greaterThan">
      <formula>$F87</formula>
    </cfRule>
  </conditionalFormatting>
  <conditionalFormatting sqref="K10:K33">
    <cfRule type="cellIs" dxfId="1918" priority="28" operator="greaterThan">
      <formula>6</formula>
    </cfRule>
    <cfRule type="cellIs" dxfId="1917" priority="29" operator="lessThan">
      <formula>4</formula>
    </cfRule>
    <cfRule type="cellIs" dxfId="1916" priority="30" operator="greaterThan">
      <formula>6.4</formula>
    </cfRule>
  </conditionalFormatting>
  <conditionalFormatting sqref="K65:K74">
    <cfRule type="cellIs" dxfId="1915" priority="88" stopIfTrue="1" operator="lessThan">
      <formula>100%</formula>
    </cfRule>
  </conditionalFormatting>
  <conditionalFormatting sqref="K89:K94">
    <cfRule type="cellIs" dxfId="1914" priority="176" stopIfTrue="1" operator="lessThan">
      <formula>100%</formula>
    </cfRule>
  </conditionalFormatting>
  <conditionalFormatting sqref="K96:K97">
    <cfRule type="cellIs" dxfId="1913" priority="183" stopIfTrue="1" operator="lessThan">
      <formula>100%</formula>
    </cfRule>
  </conditionalFormatting>
  <conditionalFormatting sqref="K78:M86">
    <cfRule type="cellIs" dxfId="1912" priority="43" stopIfTrue="1" operator="lessThan">
      <formula>100%</formula>
    </cfRule>
  </conditionalFormatting>
  <conditionalFormatting sqref="L10:L33">
    <cfRule type="cellIs" dxfId="1911" priority="32" operator="greaterThan">
      <formula>65</formula>
    </cfRule>
    <cfRule type="cellIs" dxfId="1910" priority="31" operator="between">
      <formula>61</formula>
      <formula>65</formula>
    </cfRule>
  </conditionalFormatting>
  <conditionalFormatting sqref="L36:M47">
    <cfRule type="cellIs" dxfId="1909" priority="90" operator="lessThan">
      <formula>97.95</formula>
    </cfRule>
  </conditionalFormatting>
  <conditionalFormatting sqref="L87:M87">
    <cfRule type="cellIs" dxfId="1908" priority="60" stopIfTrue="1" operator="lessThan">
      <formula>100%</formula>
    </cfRule>
  </conditionalFormatting>
  <conditionalFormatting sqref="L51:N51">
    <cfRule type="cellIs" dxfId="1907" priority="91" operator="notEqual">
      <formula>#REF!</formula>
    </cfRule>
  </conditionalFormatting>
  <conditionalFormatting sqref="L89:N97">
    <cfRule type="cellIs" dxfId="1906" priority="161" stopIfTrue="1" operator="lessThan">
      <formula>100%</formula>
    </cfRule>
  </conditionalFormatting>
  <conditionalFormatting sqref="M10:M26">
    <cfRule type="expression" dxfId="1905" priority="36">
      <formula>IF(+(IF(M10&lt;U10,0,IF(M10&gt;V10,0,1)))=0,1)</formula>
    </cfRule>
  </conditionalFormatting>
  <conditionalFormatting sqref="M30:M31">
    <cfRule type="expression" dxfId="1904" priority="38">
      <formula>IF(+(IF(M30&lt;U30,0,IF(M30&gt;V30,0,1)))=0,1)</formula>
    </cfRule>
  </conditionalFormatting>
  <conditionalFormatting sqref="M32:N33">
    <cfRule type="expression" dxfId="1903" priority="89">
      <formula>IF(+(IF(M32&lt;#REF!,0,IF(M32&gt;#REF!,0,1)))=0,1)</formula>
    </cfRule>
  </conditionalFormatting>
  <conditionalFormatting sqref="N10:N31">
    <cfRule type="expression" dxfId="1902" priority="35">
      <formula>IF(+(IF(N10&lt;W10,0,IF(N10&gt;X10,0,1)))=0,1)</formula>
    </cfRule>
  </conditionalFormatting>
  <conditionalFormatting sqref="N78:N87">
    <cfRule type="cellIs" dxfId="1901" priority="72" stopIfTrue="1" operator="lessThan">
      <formula>100%</formula>
    </cfRule>
  </conditionalFormatting>
  <conditionalFormatting sqref="P6">
    <cfRule type="cellIs" dxfId="1900" priority="157" operator="greaterThanOrEqual">
      <formula>19</formula>
    </cfRule>
  </conditionalFormatting>
  <dataValidations disablePrompts="1" count="1">
    <dataValidation type="list" allowBlank="1" showInputMessage="1" showErrorMessage="1" sqref="R8" xr:uid="{6B0144D1-4BBE-45F0-8806-EF2743559929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91" max="16383" man="1"/>
  </rowBreaks>
  <colBreaks count="1" manualBreakCount="1">
    <brk id="15" max="89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65581-04A6-4882-85EE-2F188E60C956}">
  <sheetPr>
    <pageSetUpPr fitToPage="1"/>
  </sheetPr>
  <dimension ref="A1:BE78"/>
  <sheetViews>
    <sheetView topLeftCell="A27" zoomScale="80" zoomScaleNormal="80" workbookViewId="0">
      <selection activeCell="B19" sqref="B19:O19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8" width="16.5703125" style="275" customWidth="1"/>
    <col min="9" max="9" width="20.7109375" style="275" customWidth="1"/>
    <col min="10" max="10" width="24.140625" style="275" bestFit="1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5" t="s">
        <v>0</v>
      </c>
      <c r="T1" s="555"/>
      <c r="U1" s="555" t="s">
        <v>1</v>
      </c>
      <c r="V1" s="555"/>
      <c r="W1" s="555" t="s">
        <v>2</v>
      </c>
      <c r="X1" s="555"/>
      <c r="Y1" s="555" t="s">
        <v>124</v>
      </c>
      <c r="Z1" s="555"/>
    </row>
    <row r="2" spans="2:29" ht="15">
      <c r="B2" s="556" t="s">
        <v>3</v>
      </c>
      <c r="C2" s="556"/>
      <c r="D2" s="556"/>
      <c r="E2" s="556"/>
      <c r="F2" s="556"/>
      <c r="G2" s="556"/>
      <c r="H2" s="556"/>
      <c r="I2" s="556"/>
      <c r="J2" s="556"/>
      <c r="K2" s="556"/>
      <c r="L2" s="556"/>
      <c r="M2" s="556"/>
      <c r="N2" s="556"/>
      <c r="O2" s="556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46128</v>
      </c>
      <c r="J4" s="398" t="s">
        <v>167</v>
      </c>
      <c r="K4" s="398"/>
      <c r="L4" s="11"/>
      <c r="M4" s="553" t="s">
        <v>8</v>
      </c>
      <c r="N4" s="554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2"/>
      <c r="D5" s="542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6" t="s">
        <v>17</v>
      </c>
      <c r="C8" s="517" t="s">
        <v>18</v>
      </c>
      <c r="D8" s="517" t="s">
        <v>19</v>
      </c>
      <c r="E8" s="356" t="s">
        <v>20</v>
      </c>
      <c r="F8" s="356" t="s">
        <v>21</v>
      </c>
      <c r="G8" s="517" t="s">
        <v>22</v>
      </c>
      <c r="H8" s="544" t="s">
        <v>144</v>
      </c>
      <c r="I8" s="517" t="s">
        <v>165</v>
      </c>
      <c r="J8" s="546" t="s">
        <v>23</v>
      </c>
      <c r="K8" s="548" t="s">
        <v>142</v>
      </c>
      <c r="L8" s="550" t="s">
        <v>24</v>
      </c>
      <c r="M8" s="359" t="s">
        <v>25</v>
      </c>
      <c r="N8" s="17" t="s">
        <v>169</v>
      </c>
      <c r="O8" s="510" t="s">
        <v>155</v>
      </c>
      <c r="P8" s="540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43"/>
      <c r="C9" s="541"/>
      <c r="D9" s="541"/>
      <c r="E9" s="357" t="s">
        <v>30</v>
      </c>
      <c r="F9" s="357" t="s">
        <v>31</v>
      </c>
      <c r="G9" s="541"/>
      <c r="H9" s="545"/>
      <c r="I9" s="541"/>
      <c r="J9" s="547"/>
      <c r="K9" s="549"/>
      <c r="L9" s="551"/>
      <c r="M9" s="20" t="s">
        <v>32</v>
      </c>
      <c r="N9" s="21" t="s">
        <v>41</v>
      </c>
      <c r="O9" s="552"/>
      <c r="P9" s="541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>
      <c r="B10" s="29" t="s">
        <v>6</v>
      </c>
      <c r="C10" s="366" t="str">
        <f>[4]Brewhouse!$A320</f>
        <v>CA276</v>
      </c>
      <c r="D10" s="279">
        <f>[4]Brewhouse!$AF320</f>
        <v>51.4</v>
      </c>
      <c r="E10" s="279">
        <f>[4]Brewhouse!$AI320</f>
        <v>50.1</v>
      </c>
      <c r="F10" s="278">
        <f>[4]Brewhouse!$V320</f>
        <v>59</v>
      </c>
      <c r="G10" s="279">
        <f>[4]Brewhouse!AG320</f>
        <v>11.9</v>
      </c>
      <c r="H10" s="396">
        <v>11.9</v>
      </c>
      <c r="I10" s="368">
        <f>[4]Brewhouse!$AU320</f>
        <v>98.367421417804422</v>
      </c>
      <c r="J10" s="368">
        <f>[4]Brewhouse!$AV320</f>
        <v>99.651144866073068</v>
      </c>
      <c r="K10" s="281">
        <f>[4]Brewhouse!$Q320</f>
        <v>6.3216266173752338</v>
      </c>
      <c r="L10" s="276"/>
      <c r="M10" s="397">
        <f>[4]Brewhouse!$U320-[4]Brewhouse!$T320</f>
        <v>0.10833333333333334</v>
      </c>
      <c r="N10" s="370">
        <f>[4]Brewhouse!$Z320</f>
        <v>0.24722222222222223</v>
      </c>
      <c r="O10" s="420" t="str">
        <f>[4]Brewhouse!$AX320</f>
        <v>R. Regis</v>
      </c>
      <c r="P10" s="418"/>
      <c r="R10" s="277" t="str">
        <f t="shared" ref="R10:R38" si="0">B10</f>
        <v>CARIB</v>
      </c>
      <c r="S10" s="472">
        <f t="shared" ref="S10:S38" si="1">VLOOKUP($B10,$R$3:$X$9,2,FALSE)</f>
        <v>11.6</v>
      </c>
      <c r="T10" s="472">
        <f t="shared" ref="T10:T38" si="2">VLOOKUP($B10,$R$3:$X$9,3,FALSE)</f>
        <v>12</v>
      </c>
      <c r="U10" s="297">
        <f t="shared" ref="U10:U38" si="3">VLOOKUP($B10,$R$3:$X$9,4,FALSE)</f>
        <v>0</v>
      </c>
      <c r="V10" s="297">
        <f t="shared" ref="V10:V38" si="4">VLOOKUP($B10,$R$3:$X$9,5,FALSE)</f>
        <v>0.118055555555556</v>
      </c>
      <c r="W10" s="297">
        <f t="shared" ref="W10:W38" si="5">VLOOKUP($B10,$R$3:$X$9,6,FALSE)</f>
        <v>0.22569444444444445</v>
      </c>
      <c r="X10" s="297">
        <f t="shared" ref="X10:X38" si="6">VLOOKUP($B10,$R$3:$X$9,7,FALSE)</f>
        <v>0.2638888888888889</v>
      </c>
      <c r="Y10" s="297">
        <f t="shared" ref="Y10:Y38" si="7">VLOOKUP($B10,$R$3:$Z$9,8,FALSE)</f>
        <v>0</v>
      </c>
      <c r="Z10" s="472">
        <f t="shared" ref="Z10:Z38" si="8">VLOOKUP($B10,$R$3:$Z$9,9,FALSE)</f>
        <v>60</v>
      </c>
    </row>
    <row r="11" spans="2:29" ht="15">
      <c r="B11" s="29" t="s">
        <v>6</v>
      </c>
      <c r="C11" s="366" t="str">
        <f>[4]Brewhouse!$A321</f>
        <v>CA277</v>
      </c>
      <c r="D11" s="279">
        <f>[4]Brewhouse!$AF321</f>
        <v>51.9</v>
      </c>
      <c r="E11" s="279">
        <f>[4]Brewhouse!$AI321</f>
        <v>50.8</v>
      </c>
      <c r="F11" s="278">
        <f>[4]Brewhouse!$V321</f>
        <v>63</v>
      </c>
      <c r="G11" s="279">
        <f>[4]Brewhouse!AG321</f>
        <v>11.8</v>
      </c>
      <c r="H11" s="396">
        <v>11.8</v>
      </c>
      <c r="I11" s="368">
        <f>[4]Brewhouse!$AU321</f>
        <v>98.860563530003276</v>
      </c>
      <c r="J11" s="368">
        <f>[4]Brewhouse!$AV321</f>
        <v>100.15072262620936</v>
      </c>
      <c r="K11" s="281">
        <f>[4]Brewhouse!$Q321</f>
        <v>5.3974121996303168</v>
      </c>
      <c r="L11" s="276"/>
      <c r="M11" s="397">
        <f>[4]Brewhouse!$U321-[4]Brewhouse!$T321</f>
        <v>0.10555555555555551</v>
      </c>
      <c r="N11" s="370">
        <f>[4]Brewhouse!$Z321</f>
        <v>0.24166666666666664</v>
      </c>
      <c r="O11" s="420" t="str">
        <f>[4]Brewhouse!$AX321</f>
        <v>R. Regis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>
      <c r="B12" s="29" t="s">
        <v>6</v>
      </c>
      <c r="C12" s="366" t="str">
        <f>[4]Brewhouse!$A322</f>
        <v>CA278</v>
      </c>
      <c r="D12" s="279">
        <f>[4]Brewhouse!$AF322</f>
        <v>51.6</v>
      </c>
      <c r="E12" s="279">
        <f>[4]Brewhouse!$AI322</f>
        <v>50.9</v>
      </c>
      <c r="F12" s="278">
        <f>[4]Brewhouse!$V322</f>
        <v>63</v>
      </c>
      <c r="G12" s="279">
        <f>[4]Brewhouse!AG322</f>
        <v>11.7</v>
      </c>
      <c r="H12" s="396">
        <v>11.7</v>
      </c>
      <c r="I12" s="368">
        <f>[4]Brewhouse!$AU322</f>
        <v>98.293969985865587</v>
      </c>
      <c r="J12" s="368">
        <f>[4]Brewhouse!$AV322</f>
        <v>99.576650591512873</v>
      </c>
      <c r="K12" s="281">
        <f>[4]Brewhouse!$Q322</f>
        <v>6.6913123844731928</v>
      </c>
      <c r="L12" s="276"/>
      <c r="M12" s="397">
        <f>[4]Brewhouse!$U322-[4]Brewhouse!$T322</f>
        <v>9.5833333333333381E-2</v>
      </c>
      <c r="N12" s="370">
        <f>[4]Brewhouse!$Z322</f>
        <v>0.2326388888888889</v>
      </c>
      <c r="O12" s="420" t="str">
        <f>[4]Brewhouse!$AX322</f>
        <v>R. Regis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>
      <c r="B13" s="29" t="s">
        <v>6</v>
      </c>
      <c r="C13" s="366" t="str">
        <f>[4]Brewhouse!$A323</f>
        <v>CA279</v>
      </c>
      <c r="D13" s="279">
        <f>[4]Brewhouse!$AF323</f>
        <v>51.4</v>
      </c>
      <c r="E13" s="279">
        <f>[4]Brewhouse!$AI323</f>
        <v>51.5</v>
      </c>
      <c r="F13" s="278">
        <f>[4]Brewhouse!$V323</f>
        <v>64</v>
      </c>
      <c r="G13" s="279">
        <f>[4]Brewhouse!AG323</f>
        <v>11.6</v>
      </c>
      <c r="H13" s="396">
        <v>11.6</v>
      </c>
      <c r="I13" s="368">
        <f>[4]Brewhouse!$AU323</f>
        <v>98.680554445148545</v>
      </c>
      <c r="J13" s="368">
        <f>[4]Brewhouse!$AV323</f>
        <v>99.968194937320249</v>
      </c>
      <c r="K13" s="281">
        <f>[4]Brewhouse!$Q323</f>
        <v>7.8003696857670963</v>
      </c>
      <c r="L13" s="276"/>
      <c r="M13" s="397">
        <f>[4]Brewhouse!$U323-[4]Brewhouse!$T323</f>
        <v>0.11388888888888882</v>
      </c>
      <c r="N13" s="370">
        <f>[4]Brewhouse!$Z323</f>
        <v>0.25902777777777775</v>
      </c>
      <c r="O13" s="420" t="str">
        <f>[4]Brewhouse!$AX323</f>
        <v>R. Sookram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>
      <c r="B14" s="29" t="s">
        <v>6</v>
      </c>
      <c r="C14" s="366" t="str">
        <f>[4]Brewhouse!$A324</f>
        <v>CA280</v>
      </c>
      <c r="D14" s="279">
        <f>[4]Brewhouse!$AF324</f>
        <v>50.9</v>
      </c>
      <c r="E14" s="279">
        <f>[4]Brewhouse!$AI324</f>
        <v>49.8</v>
      </c>
      <c r="F14" s="278">
        <f>[4]Brewhouse!$V324</f>
        <v>62</v>
      </c>
      <c r="G14" s="279">
        <f>[4]Brewhouse!AG324</f>
        <v>11.8</v>
      </c>
      <c r="H14" s="396">
        <v>12</v>
      </c>
      <c r="I14" s="368">
        <f>[4]Brewhouse!$AU324</f>
        <v>97.276066263342202</v>
      </c>
      <c r="J14" s="368">
        <f>[4]Brewhouse!$AV324</f>
        <v>98.545296365711692</v>
      </c>
      <c r="K14" s="281">
        <f>[4]Brewhouse!$Q324</f>
        <v>7.2458410351201517</v>
      </c>
      <c r="L14" s="276"/>
      <c r="M14" s="397">
        <f>[4]Brewhouse!$U324-[4]Brewhouse!$T324</f>
        <v>0.10555555555555551</v>
      </c>
      <c r="N14" s="370">
        <f>[4]Brewhouse!$Z324</f>
        <v>0.25416666666666665</v>
      </c>
      <c r="O14" s="420" t="str">
        <f>[4]Brewhouse!$AX324</f>
        <v>R. Sookram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>
      <c r="B15" s="29" t="s">
        <v>6</v>
      </c>
      <c r="C15" s="366" t="str">
        <f>[4]Brewhouse!$A325</f>
        <v>CA281</v>
      </c>
      <c r="D15" s="279">
        <f>[4]Brewhouse!$AF325</f>
        <v>51.5</v>
      </c>
      <c r="E15" s="279">
        <f>[4]Brewhouse!$AI325</f>
        <v>50.5</v>
      </c>
      <c r="F15" s="278">
        <f>[4]Brewhouse!$V325</f>
        <v>61</v>
      </c>
      <c r="G15" s="279">
        <f>[4]Brewhouse!AG325</f>
        <v>11.9</v>
      </c>
      <c r="H15" s="396">
        <v>11.9</v>
      </c>
      <c r="I15" s="368">
        <f>[4]Brewhouse!$AU325</f>
        <v>99.522717712698153</v>
      </c>
      <c r="J15" s="368">
        <f>[4]Brewhouse!$AV325</f>
        <v>100.82126147626499</v>
      </c>
      <c r="K15" s="281">
        <f>[4]Brewhouse!$Q325</f>
        <v>6.1367837338262481</v>
      </c>
      <c r="L15" s="276"/>
      <c r="M15" s="397">
        <f>[4]Brewhouse!$U325-[4]Brewhouse!$T325</f>
        <v>0.10763888888888895</v>
      </c>
      <c r="N15" s="370">
        <f>[4]Brewhouse!$Z325</f>
        <v>0.24652777777777779</v>
      </c>
      <c r="O15" s="420" t="str">
        <f>[4]Brewhouse!$AX325</f>
        <v>D. Gomaz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>
      <c r="B16" s="29" t="s">
        <v>6</v>
      </c>
      <c r="C16" s="366" t="str">
        <f>[4]Brewhouse!$A326</f>
        <v>CA282</v>
      </c>
      <c r="D16" s="279">
        <f>[4]Brewhouse!$AF326</f>
        <v>50.7</v>
      </c>
      <c r="E16" s="279">
        <f>[4]Brewhouse!$AI326</f>
        <v>50.5</v>
      </c>
      <c r="F16" s="278">
        <f>[4]Brewhouse!$V326</f>
        <v>63</v>
      </c>
      <c r="G16" s="279">
        <f>[4]Brewhouse!AG326</f>
        <v>11.7</v>
      </c>
      <c r="H16" s="396">
        <v>11.8</v>
      </c>
      <c r="I16" s="368">
        <f>[4]Brewhouse!$AU326</f>
        <v>97.280161876306295</v>
      </c>
      <c r="J16" s="368">
        <f>[4]Brewhouse!$AV326</f>
        <v>98.549779475969927</v>
      </c>
      <c r="K16" s="281">
        <f>[4]Brewhouse!$Q326</f>
        <v>7.6155268022181106</v>
      </c>
      <c r="L16" s="276"/>
      <c r="M16" s="397">
        <f>[4]Brewhouse!$U326-[4]Brewhouse!$T326</f>
        <v>0.11527777777777781</v>
      </c>
      <c r="N16" s="370">
        <f>[4]Brewhouse!$Z326</f>
        <v>0.25277777777777777</v>
      </c>
      <c r="O16" s="420" t="str">
        <f>[4]Brewhouse!$AX326</f>
        <v>D. Gomaz</v>
      </c>
      <c r="P16" s="418"/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5">
      <c r="B17" s="29" t="s">
        <v>6</v>
      </c>
      <c r="C17" s="366" t="str">
        <f>[4]Brewhouse!$A327</f>
        <v>CA283</v>
      </c>
      <c r="D17" s="279">
        <f>[4]Brewhouse!$AF327</f>
        <v>51.8</v>
      </c>
      <c r="E17" s="279">
        <f>[4]Brewhouse!$AI327</f>
        <v>51.3</v>
      </c>
      <c r="F17" s="278">
        <f>[4]Brewhouse!$V327</f>
        <v>57</v>
      </c>
      <c r="G17" s="279">
        <f>[4]Brewhouse!AG327</f>
        <v>11.6</v>
      </c>
      <c r="H17" s="396">
        <v>11.7</v>
      </c>
      <c r="I17" s="368">
        <f>[4]Brewhouse!$AU327</f>
        <v>98.419574335641741</v>
      </c>
      <c r="J17" s="368">
        <f>[4]Brewhouse!$AV327</f>
        <v>99.703724602070267</v>
      </c>
      <c r="K17" s="281">
        <f>[4]Brewhouse!$Q327</f>
        <v>7.8003696857670963</v>
      </c>
      <c r="L17" s="276"/>
      <c r="M17" s="397">
        <f>[4]Brewhouse!$U327-[4]Brewhouse!$T327</f>
        <v>0.11805555555555547</v>
      </c>
      <c r="N17" s="370">
        <f>[4]Brewhouse!$Z327</f>
        <v>0.24236111111111103</v>
      </c>
      <c r="O17" s="420" t="str">
        <f>[4]Brewhouse!$AX327</f>
        <v>D. Gomaz</v>
      </c>
      <c r="P17" s="418"/>
      <c r="R17" s="277" t="str">
        <f t="shared" si="0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6" ht="15">
      <c r="B18" s="29" t="s">
        <v>6</v>
      </c>
      <c r="C18" s="366" t="str">
        <f>[4]Brewhouse!$A328</f>
        <v>CA284</v>
      </c>
      <c r="D18" s="279">
        <f>[4]Brewhouse!$AF328</f>
        <v>50.8</v>
      </c>
      <c r="E18" s="279">
        <f>[4]Brewhouse!$AI328</f>
        <v>49.8</v>
      </c>
      <c r="F18" s="278">
        <f>[4]Brewhouse!$V328</f>
        <v>54</v>
      </c>
      <c r="G18" s="279">
        <f>[4]Brewhouse!AG328</f>
        <v>12</v>
      </c>
      <c r="H18" s="396">
        <v>12</v>
      </c>
      <c r="I18" s="368">
        <f>[4]Brewhouse!$AU328</f>
        <v>99.010323522494176</v>
      </c>
      <c r="J18" s="368">
        <f>[4]Brewhouse!$AV328</f>
        <v>100.302181714209</v>
      </c>
      <c r="K18" s="281">
        <f>[4]Brewhouse!$Q328</f>
        <v>7.4306839186691374</v>
      </c>
      <c r="L18" s="276"/>
      <c r="M18" s="397">
        <f>[4]Brewhouse!$U328-[4]Brewhouse!$T328</f>
        <v>0.10277777777777786</v>
      </c>
      <c r="N18" s="370">
        <f>[4]Brewhouse!$Z328</f>
        <v>0.2368055555555556</v>
      </c>
      <c r="O18" s="420" t="str">
        <f>[4]Brewhouse!$AX328</f>
        <v>D. Gomaz</v>
      </c>
      <c r="P18" s="418"/>
      <c r="R18" s="277" t="str">
        <f t="shared" si="0"/>
        <v>CARIB</v>
      </c>
      <c r="S18" s="472">
        <f t="shared" si="1"/>
        <v>11.6</v>
      </c>
      <c r="T18" s="472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2">
        <f t="shared" si="8"/>
        <v>60</v>
      </c>
    </row>
    <row r="19" spans="1:26" ht="15">
      <c r="B19" s="29" t="s">
        <v>6</v>
      </c>
      <c r="C19" s="366" t="str">
        <f>[4]Brewhouse!$A329</f>
        <v>CA285</v>
      </c>
      <c r="D19" s="279">
        <f>[4]Brewhouse!$AF329</f>
        <v>52.3</v>
      </c>
      <c r="E19" s="279">
        <f>[4]Brewhouse!$AI329</f>
        <v>51.1</v>
      </c>
      <c r="F19" s="278">
        <f>[4]Brewhouse!$V329</f>
        <v>60</v>
      </c>
      <c r="G19" s="279">
        <f>[4]Brewhouse!AG329</f>
        <v>12</v>
      </c>
      <c r="H19" s="396">
        <v>11.8</v>
      </c>
      <c r="I19" s="368">
        <f>[4]Brewhouse!$AU329</f>
        <v>101.34286464320613</v>
      </c>
      <c r="J19" s="368">
        <f>[4]Brewhouse!$AV329</f>
        <v>102.66533159633937</v>
      </c>
      <c r="K19" s="281">
        <f>[4]Brewhouse!$Q329</f>
        <v>7.1143375680580796</v>
      </c>
      <c r="L19" s="276"/>
      <c r="M19" s="397">
        <f>[4]Brewhouse!$U329-[4]Brewhouse!$T329</f>
        <v>0.12708333333333321</v>
      </c>
      <c r="N19" s="370">
        <f>[4]Brewhouse!$Z329</f>
        <v>0.27638888888888891</v>
      </c>
      <c r="O19" s="420" t="str">
        <f>[4]Brewhouse!$AX329</f>
        <v>R. Regis</v>
      </c>
      <c r="P19" s="418"/>
      <c r="R19" s="277" t="str">
        <f t="shared" si="0"/>
        <v>CARIB</v>
      </c>
      <c r="S19" s="472">
        <f t="shared" si="1"/>
        <v>11.6</v>
      </c>
      <c r="T19" s="472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472">
        <f t="shared" si="8"/>
        <v>60</v>
      </c>
    </row>
    <row r="20" spans="1:26" ht="15">
      <c r="B20" s="33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5">
      <c r="B21" s="34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0"/>
      <c r="P21" s="418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5" hidden="1">
      <c r="B22" s="34"/>
      <c r="C22" s="366"/>
      <c r="D22" s="279"/>
      <c r="E22" s="279"/>
      <c r="F22" s="278"/>
      <c r="G22" s="279"/>
      <c r="H22" s="396"/>
      <c r="I22" s="484"/>
      <c r="J22" s="484"/>
      <c r="K22" s="485"/>
      <c r="L22" s="276"/>
      <c r="M22" s="374"/>
      <c r="N22" s="370"/>
      <c r="O22" s="420"/>
      <c r="P22" s="418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8" hidden="1" customHeight="1">
      <c r="B23" s="29"/>
      <c r="C23" s="366"/>
      <c r="D23" s="279"/>
      <c r="E23" s="279"/>
      <c r="F23" s="278"/>
      <c r="G23" s="279"/>
      <c r="H23" s="482"/>
      <c r="I23" s="368"/>
      <c r="J23" s="368"/>
      <c r="K23" s="281"/>
      <c r="L23" s="276"/>
      <c r="M23" s="374"/>
      <c r="N23" s="370"/>
      <c r="O23" s="371"/>
      <c r="P23" s="418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6.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18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5.75" customHeight="1" thickBot="1">
      <c r="B25" s="358"/>
      <c r="C25" s="358"/>
      <c r="D25" s="358"/>
      <c r="E25" s="358"/>
      <c r="F25" s="294"/>
      <c r="G25" s="294"/>
      <c r="H25" s="348"/>
      <c r="I25" s="533"/>
      <c r="J25" s="533"/>
      <c r="K25" s="533"/>
      <c r="L25" s="533"/>
      <c r="M25" s="533"/>
      <c r="N25" s="533"/>
      <c r="O25" s="1"/>
      <c r="P25" s="12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5.75" customHeight="1" thickBot="1">
      <c r="B26" s="388" t="s">
        <v>162</v>
      </c>
      <c r="C26" s="388"/>
      <c r="D26" s="534" t="s">
        <v>35</v>
      </c>
      <c r="E26" s="535"/>
      <c r="F26" s="294"/>
      <c r="G26" s="294"/>
      <c r="H26" s="348"/>
      <c r="I26" s="24" t="s">
        <v>17</v>
      </c>
      <c r="J26" s="25"/>
      <c r="K26" s="26" t="s">
        <v>138</v>
      </c>
      <c r="L26" s="25" t="s">
        <v>37</v>
      </c>
      <c r="M26" s="25" t="s">
        <v>38</v>
      </c>
      <c r="N26" s="27" t="s">
        <v>39</v>
      </c>
      <c r="O26" s="294"/>
      <c r="P26" s="12"/>
      <c r="R26" s="277" t="str">
        <f t="shared" si="0"/>
        <v xml:space="preserve">BRAND 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5" customHeight="1">
      <c r="A27" s="28"/>
      <c r="B27" s="519"/>
      <c r="C27" s="362"/>
      <c r="D27" s="537"/>
      <c r="E27" s="538"/>
      <c r="F27" s="294"/>
      <c r="G27" s="294"/>
      <c r="H27" s="348"/>
      <c r="I27" s="29" t="s">
        <v>6</v>
      </c>
      <c r="J27" s="323">
        <f>AVERAGE(I10:I19)</f>
        <v>98.705421773251047</v>
      </c>
      <c r="K27" s="284">
        <f>COUNTA([4]Brewhouse!$B$292:$B$329)</f>
        <v>38</v>
      </c>
      <c r="L27" s="305">
        <f>AVERAGE([4]Brewhouse!$AU$292:$AU$329)</f>
        <v>98.570275522052867</v>
      </c>
      <c r="M27" s="305">
        <f>AVERAGE([4]Brewhouse!$AU$42:$AU$123,[4]Brewhouse!$AU$125:$AU$188,[4]Brewhouse!$AU$198:$AU$290,[4]Brewhouse!$AU$292:$AU$329)</f>
        <v>97.971146049433017</v>
      </c>
      <c r="N27" s="30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5" customHeight="1">
      <c r="A28" s="28"/>
      <c r="B28" s="520"/>
      <c r="C28" s="362"/>
      <c r="D28" s="539"/>
      <c r="E28" s="525"/>
      <c r="F28" s="294"/>
      <c r="G28" s="294"/>
      <c r="H28" s="348"/>
      <c r="I28" s="33" t="s">
        <v>9</v>
      </c>
      <c r="J28" s="280"/>
      <c r="K28" s="284">
        <f>COUNTA([3]Brewhouse!$A$179:$A$196)</f>
        <v>18</v>
      </c>
      <c r="L28" s="302">
        <f>AVERAGE([3]Brewhouse!$AS$179:$AS$196)</f>
        <v>99.09333976474062</v>
      </c>
      <c r="M28" s="302">
        <f>AVERAGE([3]Brewhouse!$AS$52:$AS$81,[3]Brewhouse!$AS$83:$AS$124,[3]Brewhouse!$AS$134:$AS$177,[3]Brewhouse!$AS$179:$AS$196)</f>
        <v>98.520140869004209</v>
      </c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4.65" customHeight="1">
      <c r="A29" s="28"/>
      <c r="B29" s="520"/>
      <c r="C29" s="362"/>
      <c r="D29" s="529"/>
      <c r="E29" s="530"/>
      <c r="F29" s="294"/>
      <c r="G29" s="294"/>
      <c r="H29" s="348"/>
      <c r="I29" s="34" t="s">
        <v>12</v>
      </c>
      <c r="J29" s="280"/>
      <c r="K29" s="284">
        <f>COUNTA([5]Brewhouse!$A$43:$A$50)</f>
        <v>8</v>
      </c>
      <c r="L29" s="302">
        <f>AVERAGE([5]Brewhouse!$AU$43:$AU$50)</f>
        <v>96.223405821152667</v>
      </c>
      <c r="M29" s="302">
        <f>AVERAGE([5]Brewhouse!$AU$16:$AU$23,[5]Brewhouse!$AU$25:$AU$32,[5]Brewhouse!$AU$34:$AU$41,[5]Brewhouse!$AU$43:$AU$50)</f>
        <v>96.904441824349703</v>
      </c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4.65" customHeight="1">
      <c r="A30" s="28"/>
      <c r="B30" s="520"/>
      <c r="C30" s="362"/>
      <c r="D30" s="524"/>
      <c r="E30" s="525"/>
      <c r="F30" s="294"/>
      <c r="G30" s="294"/>
      <c r="H30" s="348"/>
      <c r="I30" s="22" t="s">
        <v>33</v>
      </c>
      <c r="J30" s="280"/>
      <c r="K30" s="284"/>
      <c r="L30" s="302"/>
      <c r="M30" s="302">
        <f>AVERAGE([6]Brewhouse!$AV$23:$AV$34,[6]Brewhouse!$AV$36,[6]Brewhouse!$AV$38:$AV$52)</f>
        <v>97.639832259312456</v>
      </c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4.65" customHeight="1">
      <c r="A31" s="28"/>
      <c r="B31" s="520"/>
      <c r="C31" s="362"/>
      <c r="D31" s="529"/>
      <c r="E31" s="530"/>
      <c r="F31" s="417"/>
      <c r="G31" s="294"/>
      <c r="H31" s="348"/>
      <c r="I31" s="35" t="s">
        <v>29</v>
      </c>
      <c r="J31" s="280"/>
      <c r="K31" s="284"/>
      <c r="L31" s="302"/>
      <c r="M31" s="302"/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65" customHeight="1">
      <c r="A32" s="28"/>
      <c r="B32" s="520"/>
      <c r="C32" s="362"/>
      <c r="D32" s="524"/>
      <c r="E32" s="525"/>
      <c r="F32" s="417"/>
      <c r="G32" s="294"/>
      <c r="H32" s="348"/>
      <c r="I32" s="36" t="s">
        <v>15</v>
      </c>
      <c r="J32" s="323"/>
      <c r="K32" s="284"/>
      <c r="L32" s="302"/>
      <c r="M32" s="302">
        <f>AVERAGE([7]Brewhouse!$AT$4:$AT$11)</f>
        <v>92.826224508052405</v>
      </c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65" customHeight="1">
      <c r="A33" s="28"/>
      <c r="B33" s="520"/>
      <c r="C33" s="362"/>
      <c r="D33" s="529"/>
      <c r="E33" s="530"/>
      <c r="F33" s="417"/>
      <c r="G33" s="294"/>
      <c r="H33" s="348"/>
      <c r="I33" s="37" t="s">
        <v>16</v>
      </c>
      <c r="J33" s="323"/>
      <c r="K33" s="284"/>
      <c r="L33" s="302"/>
      <c r="M33" s="302">
        <f>AVERAGE([8]Brewhouse!$AY$5:$AY$14,[8]Brewhouse!$AY$16:$AY$23,[8]Brewhouse!$AY$42)</f>
        <v>97.390503559857137</v>
      </c>
      <c r="N33" s="30">
        <v>98</v>
      </c>
      <c r="O33" s="11"/>
      <c r="P33" s="31" t="s">
        <v>41</v>
      </c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56" ht="14.65" customHeight="1">
      <c r="A34" s="28"/>
      <c r="B34" s="520"/>
      <c r="C34" s="362"/>
      <c r="D34" s="524"/>
      <c r="E34" s="525"/>
      <c r="F34" s="294"/>
      <c r="G34" s="294"/>
      <c r="H34" s="348"/>
      <c r="I34" s="411" t="s">
        <v>158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56" ht="14.65" customHeight="1">
      <c r="A35" s="28"/>
      <c r="B35" s="520"/>
      <c r="C35" s="349"/>
      <c r="D35" s="529"/>
      <c r="E35" s="530"/>
      <c r="F35" s="294"/>
      <c r="G35" s="294"/>
      <c r="H35" s="348"/>
      <c r="I35" s="410" t="s">
        <v>157</v>
      </c>
      <c r="J35" s="326"/>
      <c r="K35" s="284"/>
      <c r="L35" s="305"/>
      <c r="M35" s="305"/>
      <c r="N35" s="3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" customHeight="1" thickBot="1">
      <c r="A36" s="28"/>
      <c r="B36" s="520"/>
      <c r="C36" s="349"/>
      <c r="D36" s="524"/>
      <c r="E36" s="525"/>
      <c r="F36" s="294"/>
      <c r="G36" s="294"/>
      <c r="H36" s="348"/>
      <c r="I36" s="406" t="s">
        <v>156</v>
      </c>
      <c r="J36" s="327"/>
      <c r="K36" s="407"/>
      <c r="L36" s="408"/>
      <c r="M36" s="408"/>
      <c r="N36" s="409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  <c r="AA36" s="472"/>
    </row>
    <row r="37" spans="1:56" ht="15" customHeight="1" thickBot="1">
      <c r="A37" s="28"/>
      <c r="B37" s="520"/>
      <c r="C37" s="349"/>
      <c r="D37" s="537"/>
      <c r="E37" s="538"/>
      <c r="F37" s="294"/>
      <c r="G37" s="294"/>
      <c r="H37" s="348"/>
      <c r="I37" s="1"/>
      <c r="J37" s="39"/>
      <c r="K37" s="404">
        <f>SUM(K27:K36)</f>
        <v>64</v>
      </c>
      <c r="L37" s="405">
        <f>((L27*K27)+(L28*K28)+(L29*K29)+(L30*K30)+(L31*K31)+(K34*L34)+(L32*K32)+(L33*K33)+(L36*K36))/(K37)</f>
        <v>98.424028627696288</v>
      </c>
      <c r="M37" s="405">
        <f>AVERAGE('[9]Jan30th-31st'!$L$42,L37)</f>
        <v>98.126035181768884</v>
      </c>
      <c r="N37" s="40">
        <v>98</v>
      </c>
      <c r="O37" s="11"/>
      <c r="P37" s="31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56" ht="15.75" thickBot="1">
      <c r="B38" s="536"/>
      <c r="C38" s="350"/>
      <c r="D38" s="539"/>
      <c r="E38" s="525"/>
      <c r="F38" s="294"/>
      <c r="G38" s="42"/>
      <c r="H38" s="41"/>
      <c r="I38" s="42"/>
      <c r="J38" s="42"/>
      <c r="K38" s="351"/>
      <c r="L38" s="348"/>
      <c r="M38" s="348"/>
      <c r="N38" s="11"/>
      <c r="O38" s="294"/>
      <c r="P38" s="12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  <c r="AA38" s="472"/>
    </row>
    <row r="39" spans="1:56" ht="15.75" thickBot="1">
      <c r="B39" s="519"/>
      <c r="C39" s="362"/>
      <c r="D39" s="522"/>
      <c r="E39" s="523"/>
      <c r="F39" s="294"/>
      <c r="G39" s="42"/>
      <c r="H39" s="41"/>
      <c r="I39" s="42"/>
      <c r="J39" s="526" t="s">
        <v>129</v>
      </c>
      <c r="K39" s="526"/>
      <c r="L39" s="294"/>
      <c r="M39" s="294"/>
      <c r="N39" s="294"/>
      <c r="O39" s="294"/>
      <c r="P39" s="12"/>
    </row>
    <row r="40" spans="1:56" ht="15.75" thickBot="1">
      <c r="B40" s="520"/>
      <c r="C40" s="362"/>
      <c r="D40" s="524"/>
      <c r="E40" s="525"/>
      <c r="F40" s="294"/>
      <c r="G40" s="42"/>
      <c r="H40" s="42"/>
      <c r="I40" s="42"/>
      <c r="J40" s="292" t="s">
        <v>17</v>
      </c>
      <c r="K40" s="293" t="s">
        <v>172</v>
      </c>
      <c r="L40" s="527" t="s">
        <v>136</v>
      </c>
      <c r="M40" s="527"/>
      <c r="N40" s="528"/>
      <c r="O40" s="294"/>
      <c r="P40" s="12"/>
    </row>
    <row r="41" spans="1:56" ht="15" customHeight="1" thickBot="1">
      <c r="B41" s="520"/>
      <c r="C41" s="349"/>
      <c r="D41" s="529"/>
      <c r="E41" s="530"/>
      <c r="F41" s="294"/>
      <c r="G41" s="42"/>
      <c r="H41" s="42"/>
      <c r="I41" s="42"/>
      <c r="J41" s="287" t="s">
        <v>6</v>
      </c>
      <c r="K41" s="324">
        <v>10</v>
      </c>
      <c r="L41" s="473" t="s">
        <v>37</v>
      </c>
      <c r="M41" s="474" t="s">
        <v>38</v>
      </c>
      <c r="N41" s="474" t="s">
        <v>84</v>
      </c>
      <c r="O41" s="294"/>
      <c r="P41" s="12"/>
    </row>
    <row r="42" spans="1:56" ht="15.75" customHeight="1" thickBot="1">
      <c r="B42" s="520"/>
      <c r="C42" s="349"/>
      <c r="D42" s="524"/>
      <c r="E42" s="525"/>
      <c r="F42" s="294"/>
      <c r="G42" s="42"/>
      <c r="H42" s="42"/>
      <c r="I42" s="42"/>
      <c r="J42" s="345" t="s">
        <v>9</v>
      </c>
      <c r="K42" s="324"/>
      <c r="L42" s="344">
        <f>AVERAGE('Apr 1st'!K50,K51,'Apr 2nd'!K48,'Apr 7th'!K50,'Apr 8th'!K50,'Apr 9th '!K58,'Apr 10th'!K55,'Apr 13th'!K66,'Apr 14th'!K60)</f>
        <v>7.1111111111111107</v>
      </c>
      <c r="M42" s="325">
        <f>AVERAGE('[9]Jan30th-31st'!$L$47,L42,'[10]Feb 26th '!$L$39,'[11]Mar 31st'!$L$47)</f>
        <v>6.5745169082125603</v>
      </c>
      <c r="N42" s="416">
        <v>9.1999999999999993</v>
      </c>
      <c r="O42" s="294"/>
      <c r="P42" s="12"/>
    </row>
    <row r="43" spans="1:56" ht="15" customHeight="1">
      <c r="B43" s="520"/>
      <c r="C43" s="349"/>
      <c r="D43" s="529"/>
      <c r="E43" s="530"/>
      <c r="F43" s="294"/>
      <c r="G43" s="42"/>
      <c r="H43" s="42"/>
      <c r="I43" s="42"/>
      <c r="J43" s="288" t="s">
        <v>40</v>
      </c>
      <c r="K43" s="324"/>
      <c r="L43" s="294"/>
      <c r="M43" s="294"/>
      <c r="N43" s="294"/>
      <c r="O43" s="294"/>
      <c r="P43" s="12"/>
    </row>
    <row r="44" spans="1:56" ht="15" customHeight="1">
      <c r="B44" s="520"/>
      <c r="C44" s="349"/>
      <c r="D44" s="524"/>
      <c r="E44" s="525"/>
      <c r="F44" s="294"/>
      <c r="G44" s="42"/>
      <c r="H44" s="42"/>
      <c r="I44" s="42"/>
      <c r="J44" s="289" t="s">
        <v>33</v>
      </c>
      <c r="K44" s="324"/>
      <c r="L44" s="294"/>
      <c r="M44" s="294"/>
      <c r="N44" s="294"/>
      <c r="O44" s="294"/>
      <c r="P44" s="12"/>
    </row>
    <row r="45" spans="1:56" ht="15">
      <c r="B45" s="520"/>
      <c r="C45" s="349"/>
      <c r="D45" s="529"/>
      <c r="E45" s="530"/>
      <c r="F45" s="294"/>
      <c r="G45" s="42"/>
      <c r="H45" s="42"/>
      <c r="I45" s="42"/>
      <c r="J45" s="290" t="s">
        <v>16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20"/>
      <c r="C46" s="349"/>
      <c r="D46" s="524"/>
      <c r="E46" s="525"/>
      <c r="F46" s="294"/>
      <c r="G46" s="42"/>
      <c r="H46" s="42"/>
      <c r="I46" s="42"/>
      <c r="J46" s="291" t="s">
        <v>15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20"/>
      <c r="C47" s="349"/>
      <c r="D47" s="529"/>
      <c r="E47" s="530"/>
      <c r="F47" s="294"/>
      <c r="G47" s="42"/>
      <c r="H47" s="42"/>
      <c r="I47" s="42"/>
      <c r="J47" s="291" t="s">
        <v>149</v>
      </c>
      <c r="K47" s="324"/>
      <c r="L47" s="294"/>
      <c r="M47" s="294"/>
      <c r="N47" s="294"/>
      <c r="O47" s="294"/>
      <c r="P47" s="12"/>
      <c r="BC47" s="44"/>
      <c r="BD47" s="44"/>
    </row>
    <row r="48" spans="1:56" ht="15.75" thickBot="1">
      <c r="B48" s="521"/>
      <c r="C48" s="350"/>
      <c r="D48" s="531"/>
      <c r="E48" s="532"/>
      <c r="F48" s="294" t="s">
        <v>166</v>
      </c>
      <c r="G48" s="42"/>
      <c r="H48" s="42"/>
      <c r="I48" s="42"/>
      <c r="J48" s="291" t="s">
        <v>148</v>
      </c>
      <c r="K48" s="324"/>
      <c r="L48" s="294"/>
      <c r="M48" s="294"/>
      <c r="N48" s="294" t="s">
        <v>41</v>
      </c>
      <c r="O48" s="294"/>
      <c r="P48" s="12"/>
      <c r="BC48" s="44"/>
      <c r="BD48" s="44"/>
    </row>
    <row r="49" spans="1:57" ht="17.649999999999999" customHeight="1" thickBot="1">
      <c r="B49" s="312" t="s">
        <v>139</v>
      </c>
      <c r="C49" s="313"/>
      <c r="D49" s="512"/>
      <c r="E49" s="513"/>
      <c r="F49" s="294"/>
      <c r="J49" s="295" t="s">
        <v>134</v>
      </c>
      <c r="K49" s="324"/>
      <c r="L49" s="294"/>
      <c r="M49" s="294"/>
      <c r="N49" s="294"/>
      <c r="O49" s="294"/>
      <c r="P49" s="12"/>
      <c r="BC49" s="44"/>
      <c r="BD49" s="44"/>
    </row>
    <row r="50" spans="1:57" ht="17.649999999999999" customHeight="1">
      <c r="B50" s="363"/>
      <c r="C50" s="364"/>
      <c r="D50" s="365"/>
      <c r="E50" s="365"/>
      <c r="F50" s="294"/>
      <c r="G50" s="42"/>
      <c r="H50" s="42"/>
      <c r="I50" s="42"/>
      <c r="J50" s="295" t="s">
        <v>131</v>
      </c>
      <c r="K50" s="324"/>
      <c r="L50" s="294"/>
      <c r="M50" s="294"/>
      <c r="N50" s="294"/>
      <c r="O50" s="294"/>
      <c r="P50" s="12"/>
      <c r="BC50" s="44"/>
      <c r="BD50" s="44"/>
    </row>
    <row r="51" spans="1:57" ht="15.6" customHeight="1">
      <c r="B51" s="45"/>
      <c r="C51" s="11"/>
      <c r="D51" s="11"/>
      <c r="E51" s="46"/>
      <c r="F51" s="294"/>
      <c r="G51" s="42"/>
      <c r="H51" s="42"/>
      <c r="I51" s="42"/>
      <c r="J51" s="346" t="s">
        <v>130</v>
      </c>
      <c r="K51" s="324">
        <f>SUM(K41:K50)</f>
        <v>10</v>
      </c>
      <c r="L51" s="294"/>
      <c r="M51" s="294"/>
      <c r="N51" s="294"/>
      <c r="O51" s="294"/>
      <c r="P51" s="12"/>
    </row>
    <row r="52" spans="1:57" ht="20.25" customHeight="1">
      <c r="B52" s="15" t="s">
        <v>42</v>
      </c>
      <c r="C52" s="1" t="s">
        <v>43</v>
      </c>
      <c r="D52" s="1"/>
      <c r="E52" s="1"/>
      <c r="F52" s="294"/>
      <c r="G52" s="42"/>
      <c r="H52" s="41"/>
      <c r="I52" s="42"/>
      <c r="L52" s="294"/>
      <c r="N52" s="315"/>
      <c r="P52" s="334"/>
    </row>
    <row r="53" spans="1:57" ht="15" customHeight="1" thickBot="1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1"/>
      <c r="O53" s="48"/>
      <c r="P53" s="49"/>
    </row>
    <row r="54" spans="1:57" ht="15" customHeight="1" thickBot="1">
      <c r="B54" s="504" t="s">
        <v>17</v>
      </c>
      <c r="C54" s="504" t="s">
        <v>44</v>
      </c>
      <c r="D54" s="515" t="s">
        <v>45</v>
      </c>
      <c r="E54" s="517" t="s">
        <v>46</v>
      </c>
      <c r="F54" s="510" t="s">
        <v>47</v>
      </c>
      <c r="G54" s="502" t="s">
        <v>48</v>
      </c>
      <c r="H54" s="504" t="s">
        <v>49</v>
      </c>
      <c r="I54" s="504" t="s">
        <v>50</v>
      </c>
      <c r="J54" s="496" t="s">
        <v>28</v>
      </c>
      <c r="K54" s="506" t="s">
        <v>51</v>
      </c>
      <c r="L54" s="508" t="s">
        <v>52</v>
      </c>
      <c r="M54" s="496" t="s">
        <v>53</v>
      </c>
      <c r="N54" s="13"/>
      <c r="O54" s="13"/>
      <c r="P54" s="50"/>
    </row>
    <row r="55" spans="1:57" ht="28.5" customHeight="1" thickTop="1" thickBot="1">
      <c r="B55" s="505"/>
      <c r="C55" s="514"/>
      <c r="D55" s="516"/>
      <c r="E55" s="518"/>
      <c r="F55" s="511"/>
      <c r="G55" s="503"/>
      <c r="H55" s="505"/>
      <c r="I55" s="505"/>
      <c r="J55" s="497"/>
      <c r="K55" s="507"/>
      <c r="L55" s="509"/>
      <c r="M55" s="497"/>
      <c r="N55" s="13"/>
      <c r="O55" s="13"/>
      <c r="P55" s="50"/>
      <c r="Q55" s="355"/>
      <c r="AB55" s="475">
        <v>43474</v>
      </c>
      <c r="AC55" s="475">
        <v>43475</v>
      </c>
      <c r="AD55" s="475">
        <v>43476</v>
      </c>
      <c r="AE55" s="475">
        <v>43477</v>
      </c>
      <c r="AF55" s="475">
        <v>43478</v>
      </c>
      <c r="AG55" s="475">
        <v>43479</v>
      </c>
      <c r="AH55" s="475">
        <v>43480</v>
      </c>
      <c r="AI55" s="475">
        <v>43481</v>
      </c>
      <c r="AJ55" s="475">
        <v>43482</v>
      </c>
      <c r="AK55" s="475">
        <v>43483</v>
      </c>
      <c r="AL55" s="475">
        <v>43484</v>
      </c>
      <c r="AM55" s="475">
        <v>43485</v>
      </c>
      <c r="AN55" s="475">
        <v>43486</v>
      </c>
      <c r="AO55" s="475">
        <v>43487</v>
      </c>
      <c r="AP55" s="475">
        <v>43488</v>
      </c>
      <c r="AQ55" s="475">
        <v>43489</v>
      </c>
      <c r="AR55" s="475">
        <v>43490</v>
      </c>
      <c r="AS55" s="475">
        <v>43491</v>
      </c>
      <c r="AT55" s="475">
        <v>43492</v>
      </c>
      <c r="AU55" s="475">
        <v>43493</v>
      </c>
      <c r="AV55" s="475">
        <v>43494</v>
      </c>
      <c r="AW55" s="475">
        <v>43495</v>
      </c>
      <c r="AX55" s="475">
        <v>43496</v>
      </c>
    </row>
    <row r="56" spans="1:57" s="54" customFormat="1" ht="36.75" customHeight="1" thickBot="1">
      <c r="B56" s="486" t="str">
        <f>J42</f>
        <v>STAG</v>
      </c>
      <c r="C56" s="479">
        <v>46127</v>
      </c>
      <c r="D56" s="442">
        <f>[12]April_2026!$Q$3</f>
        <v>0</v>
      </c>
      <c r="E56" s="443"/>
      <c r="F56" s="444"/>
      <c r="G56" s="445">
        <f>[12]April_2026!$Q$7</f>
        <v>0</v>
      </c>
      <c r="H56" s="458"/>
      <c r="I56" s="458"/>
      <c r="J56" s="448" t="s">
        <v>175</v>
      </c>
      <c r="K56" s="449">
        <f>[13]April_2026!$Q$18</f>
        <v>0.66315789473684206</v>
      </c>
      <c r="L56" s="457" t="e">
        <f>(((D56+E56)-G56)/(D56+E56))*100</f>
        <v>#DIV/0!</v>
      </c>
      <c r="M56" s="455" t="s">
        <v>180</v>
      </c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[14]January_2019!L5</f>
        <v>0</v>
      </c>
      <c r="AC56" s="57">
        <f>[14]January_2019!M5</f>
        <v>0</v>
      </c>
      <c r="AD56" s="57">
        <f>[14]January_2019!N5</f>
        <v>0</v>
      </c>
      <c r="AE56" s="57">
        <f>[14]January_2019!O5</f>
        <v>0</v>
      </c>
      <c r="AF56" s="57">
        <f>[14]January_2019!P5</f>
        <v>0</v>
      </c>
      <c r="AG56" s="57">
        <f>[14]January_2019!Q5</f>
        <v>0</v>
      </c>
      <c r="AH56" s="57">
        <f>[14]January_2019!R5</f>
        <v>0</v>
      </c>
      <c r="AI56" s="57">
        <f>[14]January_2019!S5</f>
        <v>0</v>
      </c>
      <c r="AJ56" s="57">
        <f>[14]January_2019!T5</f>
        <v>0</v>
      </c>
      <c r="AK56" s="57">
        <f>[14]January_2019!U5</f>
        <v>0</v>
      </c>
      <c r="AL56" s="57">
        <f>[14]January_2019!V5</f>
        <v>0</v>
      </c>
      <c r="AM56" s="57">
        <f>[14]January_2019!W5</f>
        <v>0</v>
      </c>
      <c r="AN56" s="57">
        <f>[14]January_2019!X5</f>
        <v>0</v>
      </c>
      <c r="AO56" s="57">
        <f>[14]January_2019!Y5</f>
        <v>0</v>
      </c>
      <c r="AP56" s="57">
        <f>[14]January_2019!Z5</f>
        <v>0</v>
      </c>
      <c r="AQ56" s="57">
        <f>[14]January_2019!AA5</f>
        <v>0</v>
      </c>
      <c r="AR56" s="57">
        <f>[14]January_2019!AB5</f>
        <v>0</v>
      </c>
      <c r="AS56" s="57">
        <f>[14]January_2019!AC5</f>
        <v>0</v>
      </c>
      <c r="AT56" s="57">
        <f>[14]January_2019!AD5</f>
        <v>0</v>
      </c>
      <c r="AU56" s="57">
        <f>[14]January_2019!AE5</f>
        <v>0</v>
      </c>
      <c r="AV56" s="57">
        <f>[14]January_2019!AF5</f>
        <v>0</v>
      </c>
      <c r="AW56" s="57">
        <f>[14]January_2019!AG5</f>
        <v>0</v>
      </c>
      <c r="AX56" s="277">
        <f>[14]January_2019!AH5</f>
        <v>0</v>
      </c>
      <c r="AY56" s="277"/>
      <c r="AZ56" s="277"/>
      <c r="BA56" s="277"/>
      <c r="BB56" s="277"/>
      <c r="BC56" s="277"/>
      <c r="BD56" s="277"/>
      <c r="BE56" s="277"/>
    </row>
    <row r="57" spans="1:57" s="54" customFormat="1" ht="14.25" customHeight="1" thickBot="1">
      <c r="B57" s="480"/>
      <c r="C57" s="479"/>
      <c r="D57" s="442"/>
      <c r="E57" s="443"/>
      <c r="F57" s="444"/>
      <c r="G57" s="445"/>
      <c r="H57" s="458"/>
      <c r="I57" s="458"/>
      <c r="J57" s="476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[14]January_2019!L6</f>
        <v>0</v>
      </c>
      <c r="AC57" s="57">
        <f>[14]January_2019!M6</f>
        <v>0</v>
      </c>
      <c r="AD57" s="57">
        <f>[14]January_2019!N6</f>
        <v>0</v>
      </c>
      <c r="AE57" s="57">
        <f>[14]January_2019!O6</f>
        <v>0</v>
      </c>
      <c r="AF57" s="57">
        <f>[14]January_2019!P6</f>
        <v>0</v>
      </c>
      <c r="AG57" s="57">
        <f>[14]January_2019!Q6</f>
        <v>0</v>
      </c>
      <c r="AH57" s="57">
        <f>[14]January_2019!R6</f>
        <v>0</v>
      </c>
      <c r="AI57" s="57">
        <f>[14]January_2019!S6</f>
        <v>0</v>
      </c>
      <c r="AJ57" s="57">
        <f>[14]January_2019!T6</f>
        <v>0</v>
      </c>
      <c r="AK57" s="57">
        <f>[14]January_2019!U6</f>
        <v>0</v>
      </c>
      <c r="AL57" s="57">
        <f>[14]January_2019!V6</f>
        <v>0</v>
      </c>
      <c r="AM57" s="57">
        <f>[14]January_2019!W6</f>
        <v>0</v>
      </c>
      <c r="AN57" s="57">
        <f>[14]January_2019!X6</f>
        <v>0</v>
      </c>
      <c r="AO57" s="57">
        <f>[14]January_2019!Y6</f>
        <v>0</v>
      </c>
      <c r="AP57" s="57">
        <f>[14]January_2019!Z6</f>
        <v>0</v>
      </c>
      <c r="AQ57" s="57">
        <f>[14]January_2019!AA6</f>
        <v>0</v>
      </c>
      <c r="AR57" s="57">
        <f>[14]January_2019!AB6</f>
        <v>0</v>
      </c>
      <c r="AS57" s="57">
        <f>[14]January_2019!AC6</f>
        <v>0</v>
      </c>
      <c r="AT57" s="57">
        <f>[14]January_2019!AD6</f>
        <v>0</v>
      </c>
      <c r="AU57" s="57">
        <f>[14]January_2019!AE6</f>
        <v>0</v>
      </c>
      <c r="AV57" s="57">
        <f>[14]January_2019!AF6</f>
        <v>0</v>
      </c>
      <c r="AW57" s="57">
        <f>[14]January_2019!AG6</f>
        <v>0</v>
      </c>
      <c r="AX57" s="277">
        <f>[14]January_2019!AH6</f>
        <v>0</v>
      </c>
      <c r="AY57" s="277"/>
      <c r="AZ57" s="277"/>
      <c r="BA57" s="277"/>
      <c r="BB57" s="277"/>
      <c r="BC57" s="277"/>
      <c r="BD57" s="277"/>
      <c r="BE57" s="277"/>
    </row>
    <row r="58" spans="1:57" s="54" customFormat="1" ht="37.15" customHeight="1" thickBot="1">
      <c r="A58" s="54" t="s">
        <v>168</v>
      </c>
      <c r="B58" s="486" t="str">
        <f>J42</f>
        <v>STAG</v>
      </c>
      <c r="C58" s="479">
        <v>46127</v>
      </c>
      <c r="D58" s="442">
        <f>[12]April_2026!$R$3</f>
        <v>0</v>
      </c>
      <c r="E58" s="443"/>
      <c r="F58" s="444"/>
      <c r="G58" s="445">
        <f>[12]April_2026!$R$7</f>
        <v>0</v>
      </c>
      <c r="H58" s="458"/>
      <c r="I58" s="458"/>
      <c r="J58" s="448" t="s">
        <v>175</v>
      </c>
      <c r="K58" s="449">
        <f>[13]April_2026!$R$18</f>
        <v>1.3164912280701755</v>
      </c>
      <c r="L58" s="457" t="e">
        <f>(((D58+E58)-G58)/(D58+E58))*100</f>
        <v>#DIV/0!</v>
      </c>
      <c r="M58" s="455" t="s">
        <v>178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[14]January_2019!L7</f>
        <v>285.8</v>
      </c>
      <c r="AC58" s="57">
        <f>[14]January_2019!M7</f>
        <v>508.1</v>
      </c>
      <c r="AD58" s="57">
        <f>[14]January_2019!N7</f>
        <v>0</v>
      </c>
      <c r="AE58" s="57">
        <f>[14]January_2019!O7</f>
        <v>0</v>
      </c>
      <c r="AF58" s="57">
        <f>[14]January_2019!P7</f>
        <v>109.56666666666666</v>
      </c>
      <c r="AG58" s="57">
        <f>[14]January_2019!Q7</f>
        <v>297.64999999999998</v>
      </c>
      <c r="AH58" s="57">
        <f>[14]January_2019!R7</f>
        <v>122.3</v>
      </c>
      <c r="AI58" s="57">
        <f>[14]January_2019!S7</f>
        <v>0</v>
      </c>
      <c r="AJ58" s="57">
        <f>[14]January_2019!T7</f>
        <v>294.7</v>
      </c>
      <c r="AK58" s="57">
        <f>[14]January_2019!U7</f>
        <v>280.5</v>
      </c>
      <c r="AL58" s="57">
        <f>[14]January_2019!V7</f>
        <v>0</v>
      </c>
      <c r="AM58" s="57">
        <f>[14]January_2019!W7</f>
        <v>0</v>
      </c>
      <c r="AN58" s="57">
        <f>[14]January_2019!X7</f>
        <v>188.25</v>
      </c>
      <c r="AO58" s="57">
        <f>[14]January_2019!Y7</f>
        <v>295.7</v>
      </c>
      <c r="AP58" s="57">
        <f>[14]January_2019!Z7</f>
        <v>257.8</v>
      </c>
      <c r="AQ58" s="57">
        <f>[14]January_2019!AA7</f>
        <v>291.2</v>
      </c>
      <c r="AR58" s="57">
        <f>[14]January_2019!AB7</f>
        <v>187</v>
      </c>
      <c r="AS58" s="57">
        <f>[14]January_2019!AC7</f>
        <v>0</v>
      </c>
      <c r="AT58" s="57">
        <f>[14]January_2019!AD7</f>
        <v>0</v>
      </c>
      <c r="AU58" s="57">
        <f>[14]January_2019!AE7</f>
        <v>485.1</v>
      </c>
      <c r="AV58" s="57">
        <f>[14]January_2019!AF7</f>
        <v>171.55</v>
      </c>
      <c r="AW58" s="57">
        <f>[14]January_2019!AG7</f>
        <v>423.8</v>
      </c>
      <c r="AX58" s="277">
        <f>[14]January_2019!AH7</f>
        <v>0</v>
      </c>
      <c r="AY58" s="277"/>
      <c r="AZ58" s="277"/>
      <c r="BA58" s="277"/>
      <c r="BB58" s="277"/>
      <c r="BC58" s="277"/>
      <c r="BD58" s="277"/>
      <c r="BE58" s="277"/>
    </row>
    <row r="59" spans="1:57" s="54" customFormat="1" ht="19.5" hidden="1" customHeight="1" thickBot="1">
      <c r="B59" s="478"/>
      <c r="C59" s="430"/>
      <c r="D59" s="431"/>
      <c r="E59" s="432"/>
      <c r="F59" s="433"/>
      <c r="G59" s="434"/>
      <c r="H59" s="458"/>
      <c r="I59" s="458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1:57" s="54" customFormat="1" ht="38.450000000000003" hidden="1" customHeight="1" thickBot="1">
      <c r="B60" s="480"/>
      <c r="C60" s="479"/>
      <c r="D60" s="442"/>
      <c r="E60" s="443"/>
      <c r="F60" s="444"/>
      <c r="G60" s="445"/>
      <c r="H60" s="458"/>
      <c r="I60" s="458"/>
      <c r="J60" s="448" t="s">
        <v>171</v>
      </c>
      <c r="K60" s="459"/>
      <c r="L60" s="457" t="e">
        <f>(((D60+E60)-G60)/(D60+E60))*100</f>
        <v>#DIV/0!</v>
      </c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1:57" s="54" customFormat="1" ht="15.75" hidden="1" thickBot="1">
      <c r="B61" s="453"/>
      <c r="C61" s="430"/>
      <c r="D61" s="431"/>
      <c r="E61" s="432"/>
      <c r="F61" s="433"/>
      <c r="G61" s="434"/>
      <c r="H61" s="435"/>
      <c r="I61" s="450"/>
      <c r="J61" s="451"/>
      <c r="K61" s="436"/>
      <c r="L61" s="452"/>
      <c r="M61" s="421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1:57" s="54" customFormat="1" ht="37.15" hidden="1" customHeight="1" thickBot="1">
      <c r="B62" s="480"/>
      <c r="C62" s="479"/>
      <c r="D62" s="442"/>
      <c r="E62" s="443"/>
      <c r="F62" s="444"/>
      <c r="G62" s="445"/>
      <c r="H62" s="446"/>
      <c r="I62" s="447"/>
      <c r="J62" s="448"/>
      <c r="K62" s="449"/>
      <c r="L62" s="457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1:57" s="54" customFormat="1" ht="16.5" hidden="1" customHeight="1" thickBot="1">
      <c r="B63" s="437"/>
      <c r="C63" s="423"/>
      <c r="D63" s="424"/>
      <c r="E63" s="425"/>
      <c r="F63" s="426"/>
      <c r="G63" s="427"/>
      <c r="H63" s="428"/>
      <c r="I63" s="438"/>
      <c r="J63" s="439"/>
      <c r="K63" s="429"/>
      <c r="L63" s="440"/>
      <c r="M63" s="422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415"/>
      <c r="AC63" s="415"/>
      <c r="AD63" s="415"/>
      <c r="AE63" s="415"/>
      <c r="AF63" s="415"/>
      <c r="AG63" s="415"/>
      <c r="AH63" s="415"/>
      <c r="AI63" s="415"/>
      <c r="AJ63" s="415"/>
      <c r="AK63" s="415"/>
      <c r="AL63" s="415"/>
      <c r="AM63" s="415"/>
      <c r="AN63" s="415"/>
      <c r="AO63" s="415"/>
      <c r="AP63" s="415"/>
      <c r="AQ63" s="415"/>
      <c r="AR63" s="415"/>
      <c r="AS63" s="415"/>
      <c r="AT63" s="415"/>
      <c r="AU63" s="415"/>
      <c r="AV63" s="415"/>
      <c r="AW63" s="415"/>
    </row>
    <row r="64" spans="1:57" s="54" customFormat="1" ht="37.15" hidden="1" customHeight="1" thickBot="1">
      <c r="B64" s="456"/>
      <c r="C64" s="441"/>
      <c r="D64" s="442"/>
      <c r="E64" s="443"/>
      <c r="F64" s="444"/>
      <c r="G64" s="445"/>
      <c r="H64" s="446"/>
      <c r="I64" s="447"/>
      <c r="J64" s="448"/>
      <c r="K64" s="449"/>
      <c r="L64" s="457"/>
      <c r="M64" s="454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7.15" customHeight="1">
      <c r="B65" s="466"/>
      <c r="C65" s="430"/>
      <c r="D65" s="460"/>
      <c r="E65" s="461"/>
      <c r="F65" s="462"/>
      <c r="G65" s="460"/>
      <c r="H65" s="463"/>
      <c r="I65" s="463"/>
      <c r="J65" s="463"/>
      <c r="K65" s="464"/>
      <c r="L65" s="465"/>
      <c r="M65" s="50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ht="18" customHeight="1" thickBot="1">
      <c r="B66" s="59"/>
      <c r="C66" s="30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 t="s">
        <v>41</v>
      </c>
      <c r="O66" s="56"/>
      <c r="P66" s="60"/>
    </row>
    <row r="67" spans="2:57" ht="15.75" thickBot="1">
      <c r="B67" s="498" t="s">
        <v>55</v>
      </c>
      <c r="C67" s="499"/>
      <c r="D67" s="499"/>
      <c r="E67" s="499"/>
      <c r="F67" s="500"/>
      <c r="G67" s="498" t="s">
        <v>56</v>
      </c>
      <c r="H67" s="499"/>
      <c r="I67" s="499"/>
      <c r="J67" s="500"/>
      <c r="K67" s="498" t="s">
        <v>51</v>
      </c>
      <c r="L67" s="499"/>
      <c r="M67" s="499"/>
      <c r="N67" s="501"/>
      <c r="O67" s="56"/>
      <c r="P67" s="50"/>
    </row>
    <row r="68" spans="2:57" ht="15">
      <c r="B68" s="61" t="s">
        <v>17</v>
      </c>
      <c r="C68" s="62" t="s">
        <v>36</v>
      </c>
      <c r="D68" s="62" t="s">
        <v>37</v>
      </c>
      <c r="E68" s="62" t="s">
        <v>38</v>
      </c>
      <c r="F68" s="63" t="s">
        <v>39</v>
      </c>
      <c r="G68" s="62" t="s">
        <v>36</v>
      </c>
      <c r="H68" s="62" t="s">
        <v>37</v>
      </c>
      <c r="I68" s="62" t="s">
        <v>38</v>
      </c>
      <c r="J68" s="63" t="s">
        <v>39</v>
      </c>
      <c r="K68" s="62"/>
      <c r="L68" s="62" t="s">
        <v>37</v>
      </c>
      <c r="M68" s="62" t="s">
        <v>38</v>
      </c>
      <c r="N68" s="63" t="s">
        <v>39</v>
      </c>
      <c r="O68" s="56"/>
      <c r="P68" s="64"/>
    </row>
    <row r="69" spans="2:57" ht="15">
      <c r="B69" s="29" t="s">
        <v>6</v>
      </c>
      <c r="C69" s="282"/>
      <c r="D69" s="76">
        <v>6.1156288292302401</v>
      </c>
      <c r="E69" s="76">
        <v>6.7487107020201371</v>
      </c>
      <c r="F69" s="66">
        <v>4.8</v>
      </c>
      <c r="G69" s="65"/>
      <c r="H69" s="477">
        <v>5.1946049061634056</v>
      </c>
      <c r="I69" s="477">
        <v>6.4536856075853004</v>
      </c>
      <c r="J69" s="66">
        <v>4.8</v>
      </c>
      <c r="K69" s="67"/>
      <c r="L69" s="194">
        <v>0.85132832080200493</v>
      </c>
      <c r="M69" s="194">
        <v>0.49635584227490592</v>
      </c>
      <c r="N69" s="68">
        <v>1</v>
      </c>
      <c r="O69" s="56"/>
      <c r="P69" s="69"/>
    </row>
    <row r="70" spans="2:57" ht="15">
      <c r="B70" s="33" t="s">
        <v>9</v>
      </c>
      <c r="C70" s="65" t="e">
        <f>AVERAGE(L56,L58)</f>
        <v>#DIV/0!</v>
      </c>
      <c r="D70" s="76">
        <v>4.8086790793138778</v>
      </c>
      <c r="E70" s="76">
        <v>6.0391438563444542</v>
      </c>
      <c r="F70" s="66">
        <v>4.8</v>
      </c>
      <c r="G70" s="65" t="e">
        <f>AVERAGE([12]April_2026!$Q$11:$R$11)</f>
        <v>#DIV/0!</v>
      </c>
      <c r="H70" s="76">
        <v>3.7045586293348483</v>
      </c>
      <c r="I70" s="76">
        <v>5.7742586308793999</v>
      </c>
      <c r="J70" s="66">
        <v>4.8</v>
      </c>
      <c r="K70" s="67">
        <f>AVERAGE(K56,K58)</f>
        <v>0.98982456140350883</v>
      </c>
      <c r="L70" s="194">
        <v>1.2884210526315791</v>
      </c>
      <c r="M70" s="194">
        <v>0.74983233325567777</v>
      </c>
      <c r="N70" s="68">
        <v>1</v>
      </c>
      <c r="P70" s="69"/>
    </row>
    <row r="71" spans="2:57" ht="15">
      <c r="B71" s="34" t="s">
        <v>40</v>
      </c>
      <c r="C71" s="65"/>
      <c r="D71" s="76"/>
      <c r="E71" s="76">
        <v>12.380135651360392</v>
      </c>
      <c r="F71" s="66">
        <v>5.5</v>
      </c>
      <c r="G71" s="483"/>
      <c r="H71" s="76"/>
      <c r="I71" s="76">
        <v>13.955538676690328</v>
      </c>
      <c r="J71" s="66">
        <v>5.5</v>
      </c>
      <c r="K71" s="67"/>
      <c r="L71" s="194"/>
      <c r="M71" s="194">
        <v>0.29450526315789471</v>
      </c>
      <c r="N71" s="68">
        <v>1</v>
      </c>
      <c r="P71" s="69"/>
    </row>
    <row r="72" spans="2:57" ht="15">
      <c r="B72" s="22" t="s">
        <v>33</v>
      </c>
      <c r="C72" s="65"/>
      <c r="D72" s="76"/>
      <c r="E72" s="76">
        <v>4.601418358346991</v>
      </c>
      <c r="F72" s="66">
        <v>3.3</v>
      </c>
      <c r="G72" s="65"/>
      <c r="H72" s="76"/>
      <c r="I72" s="76">
        <v>4.3274739720788533</v>
      </c>
      <c r="J72" s="66">
        <v>3.3</v>
      </c>
      <c r="K72" s="67"/>
      <c r="L72" s="194"/>
      <c r="M72" s="194">
        <v>0.8292543859649123</v>
      </c>
      <c r="N72" s="68">
        <v>1</v>
      </c>
      <c r="P72" s="69"/>
    </row>
    <row r="73" spans="2:57" ht="15">
      <c r="B73" s="35" t="s">
        <v>164</v>
      </c>
      <c r="C73" s="65"/>
      <c r="D73" s="76"/>
      <c r="E73" s="76"/>
      <c r="F73" s="66">
        <v>3.3</v>
      </c>
      <c r="G73" s="282"/>
      <c r="H73" s="76"/>
      <c r="I73" s="76"/>
      <c r="J73" s="66">
        <v>3</v>
      </c>
      <c r="K73" s="67"/>
      <c r="L73" s="194"/>
      <c r="M73" s="194"/>
      <c r="N73" s="68">
        <v>1</v>
      </c>
      <c r="P73" s="69"/>
    </row>
    <row r="74" spans="2:57" ht="15">
      <c r="B74" s="36" t="s">
        <v>15</v>
      </c>
      <c r="C74" s="65"/>
      <c r="D74" s="76"/>
      <c r="E74" s="76">
        <v>5.1105651105651271</v>
      </c>
      <c r="F74" s="70">
        <f>[15]May_2022!$M$43</f>
        <v>3.4878406700073312</v>
      </c>
      <c r="G74" s="282"/>
      <c r="H74" s="76"/>
      <c r="I74" s="76">
        <v>7.9131369535794072</v>
      </c>
      <c r="J74" s="66">
        <v>5.5</v>
      </c>
      <c r="K74" s="67"/>
      <c r="L74" s="194"/>
      <c r="M74" s="194">
        <v>1.3550877192982456</v>
      </c>
      <c r="N74" s="68">
        <v>1</v>
      </c>
      <c r="P74" s="69"/>
    </row>
    <row r="75" spans="2:57" ht="15">
      <c r="B75" s="37" t="s">
        <v>16</v>
      </c>
      <c r="C75" s="65"/>
      <c r="D75" s="76"/>
      <c r="E75" s="76">
        <v>3.9654240950837312</v>
      </c>
      <c r="F75" s="66">
        <v>3.3</v>
      </c>
      <c r="G75" s="282"/>
      <c r="H75" s="76"/>
      <c r="I75" s="76">
        <v>5.0010391616318897</v>
      </c>
      <c r="J75" s="66">
        <v>3.3</v>
      </c>
      <c r="K75" s="67"/>
      <c r="L75" s="194"/>
      <c r="M75" s="194">
        <v>0.93295906432748543</v>
      </c>
      <c r="N75" s="71">
        <v>1</v>
      </c>
      <c r="P75" s="69"/>
    </row>
    <row r="76" spans="2:57" ht="15.75" thickBot="1">
      <c r="B76" s="38" t="s">
        <v>163</v>
      </c>
      <c r="C76" s="65"/>
      <c r="D76" s="76"/>
      <c r="E76" s="76"/>
      <c r="F76" s="66">
        <v>7.5</v>
      </c>
      <c r="G76" s="282"/>
      <c r="H76" s="76"/>
      <c r="I76" s="76"/>
      <c r="J76" s="66">
        <v>7.5</v>
      </c>
      <c r="K76" s="67"/>
      <c r="L76" s="194"/>
      <c r="M76" s="194"/>
      <c r="N76" s="71">
        <v>1</v>
      </c>
      <c r="P76" s="69"/>
    </row>
    <row r="77" spans="2:57" ht="15.75" thickBot="1">
      <c r="B77" s="414" t="s">
        <v>161</v>
      </c>
      <c r="C77" s="65"/>
      <c r="D77" s="76"/>
      <c r="E77" s="76"/>
      <c r="F77" s="66">
        <v>4.8</v>
      </c>
      <c r="G77" s="282"/>
      <c r="H77" s="76"/>
      <c r="I77" s="76"/>
      <c r="J77" s="66">
        <v>4.8</v>
      </c>
      <c r="K77" s="67"/>
      <c r="L77" s="194"/>
      <c r="M77" s="194"/>
      <c r="N77" s="71">
        <v>1</v>
      </c>
      <c r="O77" s="74"/>
      <c r="P77" s="75"/>
    </row>
    <row r="78" spans="2:57" ht="15">
      <c r="D78" s="76">
        <v>5.5513356121027879</v>
      </c>
      <c r="E78" s="76">
        <v>6.4806630563123049</v>
      </c>
      <c r="F78" s="341">
        <v>5.5</v>
      </c>
      <c r="H78" s="76">
        <v>4.8313586939067559</v>
      </c>
      <c r="I78" s="76">
        <v>6.5671856566187516</v>
      </c>
      <c r="J78" s="341">
        <v>5.5</v>
      </c>
      <c r="L78" s="194">
        <v>0.94846003898635489</v>
      </c>
      <c r="M78" s="194">
        <v>0.59334208809695477</v>
      </c>
      <c r="N78" s="386">
        <v>1</v>
      </c>
    </row>
  </sheetData>
  <mergeCells count="51">
    <mergeCell ref="M54:M55"/>
    <mergeCell ref="B67:F67"/>
    <mergeCell ref="G67:J67"/>
    <mergeCell ref="K67:N67"/>
    <mergeCell ref="G54:G55"/>
    <mergeCell ref="H54:H55"/>
    <mergeCell ref="I54:I55"/>
    <mergeCell ref="J54:J55"/>
    <mergeCell ref="K54:K55"/>
    <mergeCell ref="L54:L55"/>
    <mergeCell ref="F54:F55"/>
    <mergeCell ref="D49:E49"/>
    <mergeCell ref="B54:B55"/>
    <mergeCell ref="C54:C55"/>
    <mergeCell ref="D54:D55"/>
    <mergeCell ref="E54:E55"/>
    <mergeCell ref="B39:B48"/>
    <mergeCell ref="D39:E40"/>
    <mergeCell ref="J39:K39"/>
    <mergeCell ref="L40:N40"/>
    <mergeCell ref="D41:E42"/>
    <mergeCell ref="D43:E44"/>
    <mergeCell ref="D45:E46"/>
    <mergeCell ref="D47:E48"/>
    <mergeCell ref="I25:N25"/>
    <mergeCell ref="D26:E26"/>
    <mergeCell ref="B27:B38"/>
    <mergeCell ref="D27:E28"/>
    <mergeCell ref="D29:E30"/>
    <mergeCell ref="D31:E32"/>
    <mergeCell ref="D33:E34"/>
    <mergeCell ref="D35:E36"/>
    <mergeCell ref="D37:E38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9:B50">
    <cfRule type="cellIs" dxfId="1899" priority="80" operator="notBetween">
      <formula>#REF!</formula>
      <formula>#REF!</formula>
    </cfRule>
  </conditionalFormatting>
  <conditionalFormatting sqref="C53">
    <cfRule type="cellIs" dxfId="1898" priority="175" stopIfTrue="1" operator="greaterThan">
      <formula>100</formula>
    </cfRule>
    <cfRule type="cellIs" dxfId="1897" priority="174" stopIfTrue="1" operator="lessThan">
      <formula>96</formula>
    </cfRule>
  </conditionalFormatting>
  <conditionalFormatting sqref="C69:C73">
    <cfRule type="cellIs" dxfId="1896" priority="143" stopIfTrue="1" operator="lessThanOrEqual">
      <formula>0</formula>
    </cfRule>
  </conditionalFormatting>
  <conditionalFormatting sqref="C69:C77">
    <cfRule type="cellIs" dxfId="1895" priority="142" stopIfTrue="1" operator="greaterThan">
      <formula>$F69</formula>
    </cfRule>
  </conditionalFormatting>
  <conditionalFormatting sqref="C70">
    <cfRule type="cellIs" dxfId="1894" priority="176" stopIfTrue="1" operator="greaterThan">
      <formula>$F69</formula>
    </cfRule>
  </conditionalFormatting>
  <conditionalFormatting sqref="C74">
    <cfRule type="cellIs" dxfId="1893" priority="105" stopIfTrue="1" operator="greaterThan">
      <formula>$F73</formula>
    </cfRule>
    <cfRule type="cellIs" dxfId="1892" priority="104" stopIfTrue="1" operator="lessThanOrEqual">
      <formula>0</formula>
    </cfRule>
  </conditionalFormatting>
  <conditionalFormatting sqref="C75:C77">
    <cfRule type="cellIs" dxfId="1891" priority="144" stopIfTrue="1" operator="lessThanOrEqual">
      <formula>0</formula>
    </cfRule>
  </conditionalFormatting>
  <conditionalFormatting sqref="C80:C84">
    <cfRule type="cellIs" dxfId="1890" priority="166" stopIfTrue="1" operator="lessThanOrEqual">
      <formula>0</formula>
    </cfRule>
  </conditionalFormatting>
  <conditionalFormatting sqref="C81:C84">
    <cfRule type="cellIs" dxfId="1889" priority="165" stopIfTrue="1" operator="greaterThan">
      <formula>$F$80</formula>
    </cfRule>
  </conditionalFormatting>
  <conditionalFormatting sqref="C86">
    <cfRule type="cellIs" dxfId="1888" priority="168" stopIfTrue="1" operator="lessThanOrEqual">
      <formula>0</formula>
    </cfRule>
    <cfRule type="cellIs" dxfId="1887" priority="167" stopIfTrue="1" operator="greaterThan">
      <formula>$F$80</formula>
    </cfRule>
  </conditionalFormatting>
  <conditionalFormatting sqref="C80:D80 D82:D88">
    <cfRule type="cellIs" dxfId="1886" priority="160" stopIfTrue="1" operator="greaterThan">
      <formula>4.5</formula>
    </cfRule>
  </conditionalFormatting>
  <conditionalFormatting sqref="D49:D50">
    <cfRule type="cellIs" dxfId="1885" priority="81" operator="notBetween">
      <formula>#REF!</formula>
      <formula>#REF!</formula>
    </cfRule>
  </conditionalFormatting>
  <conditionalFormatting sqref="D69:D76">
    <cfRule type="cellIs" dxfId="1884" priority="55" stopIfTrue="1" operator="lessThanOrEqual">
      <formula>0</formula>
    </cfRule>
  </conditionalFormatting>
  <conditionalFormatting sqref="D69:D78">
    <cfRule type="cellIs" dxfId="1883" priority="34" stopIfTrue="1" operator="lessThanOrEqual">
      <formula>0</formula>
    </cfRule>
  </conditionalFormatting>
  <conditionalFormatting sqref="D77">
    <cfRule type="cellIs" dxfId="1882" priority="54" stopIfTrue="1" operator="lessThanOrEqual">
      <formula>0</formula>
    </cfRule>
  </conditionalFormatting>
  <conditionalFormatting sqref="D78">
    <cfRule type="cellIs" dxfId="1881" priority="49" stopIfTrue="1" operator="lessThanOrEqual">
      <formula>0</formula>
    </cfRule>
  </conditionalFormatting>
  <conditionalFormatting sqref="D80 D82:D88">
    <cfRule type="cellIs" dxfId="1880" priority="161" stopIfTrue="1" operator="lessThanOrEqual">
      <formula>0</formula>
    </cfRule>
  </conditionalFormatting>
  <conditionalFormatting sqref="D81">
    <cfRule type="cellIs" dxfId="1879" priority="153" stopIfTrue="1" operator="lessThanOrEqual">
      <formula>0</formula>
    </cfRule>
    <cfRule type="cellIs" dxfId="1878" priority="152" stopIfTrue="1" operator="greaterThan">
      <formula>$F$80</formula>
    </cfRule>
  </conditionalFormatting>
  <conditionalFormatting sqref="D69:E78">
    <cfRule type="cellIs" dxfId="1877" priority="36" stopIfTrue="1" operator="greaterThan">
      <formula>$F69</formula>
    </cfRule>
  </conditionalFormatting>
  <conditionalFormatting sqref="D78:E78">
    <cfRule type="cellIs" dxfId="1876" priority="38" stopIfTrue="1" operator="lessThanOrEqual">
      <formula>0</formula>
    </cfRule>
  </conditionalFormatting>
  <conditionalFormatting sqref="E10:E24">
    <cfRule type="cellIs" dxfId="1875" priority="21" operator="lessThan">
      <formula>48</formula>
    </cfRule>
  </conditionalFormatting>
  <conditionalFormatting sqref="E52 E53:F53">
    <cfRule type="cellIs" dxfId="1874" priority="157" stopIfTrue="1" operator="greaterThan">
      <formula>100</formula>
    </cfRule>
  </conditionalFormatting>
  <conditionalFormatting sqref="E53">
    <cfRule type="cellIs" dxfId="1873" priority="155" stopIfTrue="1" operator="greaterThan">
      <formula>100</formula>
    </cfRule>
    <cfRule type="cellIs" dxfId="1872" priority="154" stopIfTrue="1" operator="lessThan">
      <formula>96.8</formula>
    </cfRule>
  </conditionalFormatting>
  <conditionalFormatting sqref="E69:E77">
    <cfRule type="cellIs" dxfId="1871" priority="35" stopIfTrue="1" operator="lessThanOrEqual">
      <formula>0</formula>
    </cfRule>
  </conditionalFormatting>
  <conditionalFormatting sqref="E69:E78">
    <cfRule type="cellIs" dxfId="1870" priority="37" stopIfTrue="1" operator="lessThanOrEqual">
      <formula>0</formula>
    </cfRule>
  </conditionalFormatting>
  <conditionalFormatting sqref="E80:E88">
    <cfRule type="cellIs" dxfId="1869" priority="146" stopIfTrue="1" operator="greaterThan">
      <formula>4.5</formula>
    </cfRule>
    <cfRule type="cellIs" dxfId="1868" priority="147" stopIfTrue="1" operator="lessThanOrEqual">
      <formula>0</formula>
    </cfRule>
  </conditionalFormatting>
  <conditionalFormatting sqref="E53:F53 E52">
    <cfRule type="cellIs" dxfId="1867" priority="156" stopIfTrue="1" operator="lessThan">
      <formula>96.5</formula>
    </cfRule>
  </conditionalFormatting>
  <conditionalFormatting sqref="F10:F19">
    <cfRule type="cellIs" dxfId="1866" priority="25" operator="greaterThan">
      <formula>60</formula>
    </cfRule>
  </conditionalFormatting>
  <conditionalFormatting sqref="F21:F24">
    <cfRule type="cellIs" dxfId="1865" priority="30" operator="greaterThan">
      <formula>60</formula>
    </cfRule>
  </conditionalFormatting>
  <conditionalFormatting sqref="F53">
    <cfRule type="cellIs" dxfId="1864" priority="173" stopIfTrue="1" operator="greaterThan">
      <formula>100</formula>
    </cfRule>
    <cfRule type="cellIs" dxfId="1863" priority="172" stopIfTrue="1" operator="lessThan">
      <formula>96.8</formula>
    </cfRule>
  </conditionalFormatting>
  <conditionalFormatting sqref="F78">
    <cfRule type="cellIs" dxfId="1862" priority="53" stopIfTrue="1" operator="lessThanOrEqual">
      <formula>0</formula>
    </cfRule>
    <cfRule type="cellIs" dxfId="1861" priority="52" stopIfTrue="1" operator="greaterThan">
      <formula>$F78</formula>
    </cfRule>
  </conditionalFormatting>
  <conditionalFormatting sqref="G10:G19">
    <cfRule type="expression" dxfId="1860" priority="22">
      <formula>IF(+(IF(G10&lt;S10,0,IF(G10&gt;T10,0,1)))=0,1)</formula>
    </cfRule>
  </conditionalFormatting>
  <conditionalFormatting sqref="G21:G24">
    <cfRule type="expression" dxfId="1859" priority="29">
      <formula>IF(+(IF(G21&lt;S21,0,IF(G21&gt;T21,0,1)))=0,1)</formula>
    </cfRule>
  </conditionalFormatting>
  <conditionalFormatting sqref="G69:G70">
    <cfRule type="cellIs" dxfId="1858" priority="57" stopIfTrue="1" operator="lessThanOrEqual">
      <formula>0</formula>
    </cfRule>
    <cfRule type="cellIs" dxfId="1857" priority="56" stopIfTrue="1" operator="greaterThan">
      <formula>$F69</formula>
    </cfRule>
    <cfRule type="cellIs" dxfId="1856" priority="51" stopIfTrue="1" operator="lessThanOrEqual">
      <formula>0</formula>
    </cfRule>
    <cfRule type="cellIs" dxfId="1855" priority="50" stopIfTrue="1" operator="greaterThan">
      <formula>$F69</formula>
    </cfRule>
  </conditionalFormatting>
  <conditionalFormatting sqref="G71">
    <cfRule type="containsErrors" dxfId="1854" priority="27" stopIfTrue="1">
      <formula>ISERROR(G71)</formula>
    </cfRule>
  </conditionalFormatting>
  <conditionalFormatting sqref="G72">
    <cfRule type="cellIs" dxfId="1853" priority="42" stopIfTrue="1" operator="greaterThan">
      <formula>$F72</formula>
    </cfRule>
    <cfRule type="cellIs" dxfId="1852" priority="43" stopIfTrue="1" operator="lessThanOrEqual">
      <formula>0</formula>
    </cfRule>
    <cfRule type="cellIs" dxfId="1851" priority="44" stopIfTrue="1" operator="greaterThan">
      <formula>$F72</formula>
    </cfRule>
    <cfRule type="cellIs" dxfId="1850" priority="45" stopIfTrue="1" operator="lessThanOrEqual">
      <formula>0</formula>
    </cfRule>
  </conditionalFormatting>
  <conditionalFormatting sqref="G73:G77">
    <cfRule type="cellIs" dxfId="1849" priority="59" stopIfTrue="1" operator="lessThanOrEqual">
      <formula>0</formula>
    </cfRule>
    <cfRule type="cellIs" dxfId="1848" priority="58" stopIfTrue="1" operator="greaterThan">
      <formula>$J73</formula>
    </cfRule>
  </conditionalFormatting>
  <conditionalFormatting sqref="G82:G87 C85 C87">
    <cfRule type="cellIs" dxfId="1847" priority="169" stopIfTrue="1" operator="greaterThan">
      <formula>4.5</formula>
    </cfRule>
    <cfRule type="cellIs" dxfId="1846" priority="170" stopIfTrue="1" operator="lessThanOrEqual">
      <formula>0</formula>
    </cfRule>
  </conditionalFormatting>
  <conditionalFormatting sqref="G81:H81">
    <cfRule type="cellIs" dxfId="1845" priority="151" stopIfTrue="1" operator="lessThanOrEqual">
      <formula>0</formula>
    </cfRule>
    <cfRule type="cellIs" dxfId="1844" priority="150" stopIfTrue="1" operator="greaterThan">
      <formula>$F$80</formula>
    </cfRule>
  </conditionalFormatting>
  <conditionalFormatting sqref="H10:H19 M10:N21 G20:H20 H21:H24">
    <cfRule type="expression" dxfId="1843" priority="28">
      <formula>IF(+(IF(G10&lt;#REF!,0,IF(G10&gt;#REF!,0,1)))=0,1)</formula>
    </cfRule>
  </conditionalFormatting>
  <conditionalFormatting sqref="H38:H39 H52">
    <cfRule type="cellIs" dxfId="1842" priority="148" stopIfTrue="1" operator="greaterThan">
      <formula>0</formula>
    </cfRule>
  </conditionalFormatting>
  <conditionalFormatting sqref="H56">
    <cfRule type="cellIs" dxfId="1841" priority="3" stopIfTrue="1" operator="greaterThan">
      <formula>$F$65</formula>
    </cfRule>
    <cfRule type="cellIs" dxfId="1840" priority="2" stopIfTrue="1" operator="lessThanOrEqual">
      <formula>0</formula>
    </cfRule>
    <cfRule type="cellIs" dxfId="1839" priority="11" stopIfTrue="1" operator="greaterThan">
      <formula>$F$68</formula>
    </cfRule>
    <cfRule type="cellIs" dxfId="1838" priority="12" stopIfTrue="1" operator="lessThanOrEqual">
      <formula>0</formula>
    </cfRule>
    <cfRule type="cellIs" dxfId="1837" priority="13" stopIfTrue="1" operator="greaterThan">
      <formula>$F$66</formula>
    </cfRule>
    <cfRule type="cellIs" dxfId="1836" priority="14" stopIfTrue="1" operator="lessThanOrEqual">
      <formula>0</formula>
    </cfRule>
  </conditionalFormatting>
  <conditionalFormatting sqref="H57:H60">
    <cfRule type="cellIs" dxfId="1835" priority="75" stopIfTrue="1" operator="lessThanOrEqual">
      <formula>0</formula>
    </cfRule>
    <cfRule type="cellIs" dxfId="1834" priority="74" stopIfTrue="1" operator="greaterThan">
      <formula>$F$70</formula>
    </cfRule>
    <cfRule type="cellIs" dxfId="1833" priority="73" stopIfTrue="1" operator="lessThanOrEqual">
      <formula>0</formula>
    </cfRule>
    <cfRule type="cellIs" dxfId="1832" priority="72" stopIfTrue="1" operator="greaterThan">
      <formula>$F$72</formula>
    </cfRule>
    <cfRule type="cellIs" dxfId="1831" priority="64" stopIfTrue="1" operator="greaterThan">
      <formula>$F$69</formula>
    </cfRule>
    <cfRule type="cellIs" dxfId="1830" priority="63" stopIfTrue="1" operator="lessThanOrEqual">
      <formula>0</formula>
    </cfRule>
  </conditionalFormatting>
  <conditionalFormatting sqref="H61:H62">
    <cfRule type="cellIs" dxfId="1829" priority="116" stopIfTrue="1" operator="greaterThan">
      <formula>$F$24</formula>
    </cfRule>
    <cfRule type="cellIs" dxfId="1828" priority="117" stopIfTrue="1" operator="lessThanOrEqual">
      <formula>0</formula>
    </cfRule>
    <cfRule type="cellIs" dxfId="1827" priority="119" stopIfTrue="1" operator="lessThanOrEqual">
      <formula>0</formula>
    </cfRule>
    <cfRule type="cellIs" dxfId="1826" priority="118" stopIfTrue="1" operator="greaterThan">
      <formula>#REF!</formula>
    </cfRule>
    <cfRule type="cellIs" dxfId="1825" priority="108" stopIfTrue="1" operator="greaterThan">
      <formula>#REF!</formula>
    </cfRule>
    <cfRule type="cellIs" dxfId="1824" priority="107" stopIfTrue="1" operator="lessThanOrEqual">
      <formula>0</formula>
    </cfRule>
  </conditionalFormatting>
  <conditionalFormatting sqref="H63">
    <cfRule type="cellIs" dxfId="1823" priority="122" stopIfTrue="1" operator="greaterThan">
      <formula>$F$37</formula>
    </cfRule>
    <cfRule type="cellIs" dxfId="1822" priority="133" stopIfTrue="1" operator="lessThanOrEqual">
      <formula>0</formula>
    </cfRule>
    <cfRule type="cellIs" dxfId="1821" priority="132" stopIfTrue="1" operator="greaterThan">
      <formula>$F$38</formula>
    </cfRule>
    <cfRule type="cellIs" dxfId="1820" priority="131" stopIfTrue="1" operator="lessThanOrEqual">
      <formula>0</formula>
    </cfRule>
    <cfRule type="cellIs" dxfId="1819" priority="121" stopIfTrue="1" operator="lessThanOrEqual">
      <formula>0</formula>
    </cfRule>
    <cfRule type="cellIs" dxfId="1818" priority="130" stopIfTrue="1" operator="greaterThan">
      <formula>$F$40</formula>
    </cfRule>
  </conditionalFormatting>
  <conditionalFormatting sqref="H64:H65">
    <cfRule type="cellIs" dxfId="1817" priority="91" stopIfTrue="1" operator="lessThanOrEqual">
      <formula>0</formula>
    </cfRule>
    <cfRule type="cellIs" dxfId="1816" priority="92" stopIfTrue="1" operator="greaterThan">
      <formula>#REF!</formula>
    </cfRule>
    <cfRule type="cellIs" dxfId="1815" priority="103" stopIfTrue="1" operator="lessThanOrEqual">
      <formula>0</formula>
    </cfRule>
    <cfRule type="cellIs" dxfId="1814" priority="102" stopIfTrue="1" operator="greaterThan">
      <formula>#REF!</formula>
    </cfRule>
    <cfRule type="cellIs" dxfId="1813" priority="100" stopIfTrue="1" operator="greaterThan">
      <formula>$F$24</formula>
    </cfRule>
    <cfRule type="cellIs" dxfId="1812" priority="101" stopIfTrue="1" operator="lessThanOrEqual">
      <formula>0</formula>
    </cfRule>
  </conditionalFormatting>
  <conditionalFormatting sqref="H80 H82:H88">
    <cfRule type="cellIs" dxfId="1811" priority="162" stopIfTrue="1" operator="greaterThan">
      <formula>4.5</formula>
    </cfRule>
    <cfRule type="cellIs" dxfId="1810" priority="163" stopIfTrue="1" operator="lessThanOrEqual">
      <formula>0</formula>
    </cfRule>
  </conditionalFormatting>
  <conditionalFormatting sqref="H56:I56">
    <cfRule type="cellIs" dxfId="1809" priority="4" stopIfTrue="1" operator="lessThanOrEqual">
      <formula>0</formula>
    </cfRule>
    <cfRule type="cellIs" dxfId="1808" priority="1" stopIfTrue="1" operator="greaterThan">
      <formula>$F$67</formula>
    </cfRule>
  </conditionalFormatting>
  <conditionalFormatting sqref="H57:I60">
    <cfRule type="cellIs" dxfId="1807" priority="62" stopIfTrue="1" operator="greaterThan">
      <formula>$F$71</formula>
    </cfRule>
    <cfRule type="cellIs" dxfId="1806" priority="65" stopIfTrue="1" operator="lessThanOrEqual">
      <formula>0</formula>
    </cfRule>
  </conditionalFormatting>
  <conditionalFormatting sqref="H61:I62">
    <cfRule type="cellIs" dxfId="1805" priority="106" stopIfTrue="1" operator="greaterThan">
      <formula>#REF!</formula>
    </cfRule>
    <cfRule type="cellIs" dxfId="1804" priority="109" stopIfTrue="1" operator="lessThanOrEqual">
      <formula>0</formula>
    </cfRule>
  </conditionalFormatting>
  <conditionalFormatting sqref="H63:I63">
    <cfRule type="cellIs" dxfId="1803" priority="123" stopIfTrue="1" operator="lessThanOrEqual">
      <formula>0</formula>
    </cfRule>
    <cfRule type="cellIs" dxfId="1802" priority="120" stopIfTrue="1" operator="greaterThan">
      <formula>$F$39</formula>
    </cfRule>
  </conditionalFormatting>
  <conditionalFormatting sqref="H64:I65">
    <cfRule type="cellIs" dxfId="1801" priority="90" stopIfTrue="1" operator="greaterThan">
      <formula>#REF!</formula>
    </cfRule>
    <cfRule type="cellIs" dxfId="1800" priority="93" stopIfTrue="1" operator="lessThanOrEqual">
      <formula>0</formula>
    </cfRule>
  </conditionalFormatting>
  <conditionalFormatting sqref="H69:I76">
    <cfRule type="cellIs" dxfId="1799" priority="32" stopIfTrue="1" operator="greaterThan">
      <formula>$J69</formula>
    </cfRule>
    <cfRule type="cellIs" dxfId="1798" priority="33" stopIfTrue="1" operator="lessThanOrEqual">
      <formula>0</formula>
    </cfRule>
  </conditionalFormatting>
  <conditionalFormatting sqref="H77:I77">
    <cfRule type="cellIs" dxfId="1797" priority="41" operator="greaterThan">
      <formula>5.3</formula>
    </cfRule>
  </conditionalFormatting>
  <conditionalFormatting sqref="H78:I78">
    <cfRule type="cellIs" dxfId="1796" priority="39" stopIfTrue="1" operator="greaterThan">
      <formula>$J78</formula>
    </cfRule>
    <cfRule type="cellIs" dxfId="1795" priority="40" stopIfTrue="1" operator="lessThanOrEqual">
      <formula>0</formula>
    </cfRule>
  </conditionalFormatting>
  <conditionalFormatting sqref="I56">
    <cfRule type="cellIs" dxfId="1794" priority="5" stopIfTrue="1" operator="greaterThan">
      <formula>$F$65</formula>
    </cfRule>
    <cfRule type="cellIs" dxfId="1793" priority="6" stopIfTrue="1" operator="lessThanOrEqual">
      <formula>0</formula>
    </cfRule>
    <cfRule type="cellIs" dxfId="1792" priority="7" stopIfTrue="1" operator="greaterThan">
      <formula>$F$67</formula>
    </cfRule>
    <cfRule type="cellIs" dxfId="1791" priority="8" stopIfTrue="1" operator="lessThanOrEqual">
      <formula>0</formula>
    </cfRule>
    <cfRule type="cellIs" dxfId="1790" priority="9" stopIfTrue="1" operator="greaterThan">
      <formula>$F$65</formula>
    </cfRule>
    <cfRule type="cellIs" dxfId="1789" priority="10" stopIfTrue="1" operator="lessThanOrEqual">
      <formula>0</formula>
    </cfRule>
  </conditionalFormatting>
  <conditionalFormatting sqref="I57:I60">
    <cfRule type="cellIs" dxfId="1788" priority="66" stopIfTrue="1" operator="greaterThan">
      <formula>$F$69</formula>
    </cfRule>
    <cfRule type="cellIs" dxfId="1787" priority="67" stopIfTrue="1" operator="lessThanOrEqual">
      <formula>0</formula>
    </cfRule>
    <cfRule type="cellIs" dxfId="1786" priority="69" stopIfTrue="1" operator="lessThanOrEqual">
      <formula>0</formula>
    </cfRule>
    <cfRule type="cellIs" dxfId="1785" priority="70" stopIfTrue="1" operator="greaterThan">
      <formula>$F$69</formula>
    </cfRule>
    <cfRule type="cellIs" dxfId="1784" priority="71" stopIfTrue="1" operator="lessThanOrEqual">
      <formula>0</formula>
    </cfRule>
    <cfRule type="cellIs" dxfId="1783" priority="68" stopIfTrue="1" operator="greaterThan">
      <formula>$F$71</formula>
    </cfRule>
  </conditionalFormatting>
  <conditionalFormatting sqref="I61:I62">
    <cfRule type="cellIs" dxfId="1782" priority="111" stopIfTrue="1" operator="lessThanOrEqual">
      <formula>0</formula>
    </cfRule>
    <cfRule type="cellIs" dxfId="1781" priority="115" stopIfTrue="1" operator="lessThanOrEqual">
      <formula>0</formula>
    </cfRule>
    <cfRule type="cellIs" dxfId="1780" priority="114" stopIfTrue="1" operator="greaterThan">
      <formula>#REF!</formula>
    </cfRule>
    <cfRule type="cellIs" dxfId="1779" priority="110" stopIfTrue="1" operator="greaterThan">
      <formula>#REF!</formula>
    </cfRule>
    <cfRule type="cellIs" dxfId="1778" priority="113" stopIfTrue="1" operator="lessThanOrEqual">
      <formula>0</formula>
    </cfRule>
    <cfRule type="cellIs" dxfId="1777" priority="112" stopIfTrue="1" operator="greaterThan">
      <formula>#REF!</formula>
    </cfRule>
  </conditionalFormatting>
  <conditionalFormatting sqref="I63">
    <cfRule type="cellIs" dxfId="1776" priority="124" stopIfTrue="1" operator="greaterThan">
      <formula>$F$37</formula>
    </cfRule>
    <cfRule type="cellIs" dxfId="1775" priority="125" stopIfTrue="1" operator="lessThanOrEqual">
      <formula>0</formula>
    </cfRule>
    <cfRule type="cellIs" dxfId="1774" priority="126" stopIfTrue="1" operator="greaterThan">
      <formula>$F$39</formula>
    </cfRule>
    <cfRule type="cellIs" dxfId="1773" priority="127" stopIfTrue="1" operator="lessThanOrEqual">
      <formula>0</formula>
    </cfRule>
    <cfRule type="cellIs" dxfId="1772" priority="129" stopIfTrue="1" operator="lessThanOrEqual">
      <formula>0</formula>
    </cfRule>
    <cfRule type="cellIs" dxfId="1771" priority="128" stopIfTrue="1" operator="greaterThan">
      <formula>$F$37</formula>
    </cfRule>
  </conditionalFormatting>
  <conditionalFormatting sqref="I64:I65">
    <cfRule type="cellIs" dxfId="1770" priority="98" stopIfTrue="1" operator="greaterThan">
      <formula>#REF!</formula>
    </cfRule>
    <cfRule type="cellIs" dxfId="1769" priority="94" stopIfTrue="1" operator="greaterThan">
      <formula>#REF!</formula>
    </cfRule>
    <cfRule type="cellIs" dxfId="1768" priority="95" stopIfTrue="1" operator="lessThanOrEqual">
      <formula>0</formula>
    </cfRule>
    <cfRule type="cellIs" dxfId="1767" priority="99" stopIfTrue="1" operator="lessThanOrEqual">
      <formula>0</formula>
    </cfRule>
    <cfRule type="cellIs" dxfId="1766" priority="96" stopIfTrue="1" operator="greaterThan">
      <formula>#REF!</formula>
    </cfRule>
    <cfRule type="cellIs" dxfId="1765" priority="97" stopIfTrue="1" operator="lessThanOrEqual">
      <formula>0</formula>
    </cfRule>
  </conditionalFormatting>
  <conditionalFormatting sqref="I80:I88">
    <cfRule type="cellIs" dxfId="1764" priority="158" stopIfTrue="1" operator="greaterThan">
      <formula>4.5</formula>
    </cfRule>
    <cfRule type="cellIs" dxfId="1763" priority="159" stopIfTrue="1" operator="lessThanOrEqual">
      <formula>0</formula>
    </cfRule>
  </conditionalFormatting>
  <conditionalFormatting sqref="I10:J24">
    <cfRule type="cellIs" dxfId="1762" priority="15" operator="lessThan">
      <formula>97.9</formula>
    </cfRule>
  </conditionalFormatting>
  <conditionalFormatting sqref="J27">
    <cfRule type="cellIs" dxfId="1761" priority="61" operator="lessThan">
      <formula>97.95</formula>
    </cfRule>
  </conditionalFormatting>
  <conditionalFormatting sqref="J29">
    <cfRule type="cellIs" dxfId="1760" priority="135" stopIfTrue="1" operator="lessThan">
      <formula>96.8</formula>
    </cfRule>
    <cfRule type="cellIs" dxfId="1759" priority="136" stopIfTrue="1" operator="greaterThan">
      <formula>100</formula>
    </cfRule>
    <cfRule type="cellIs" dxfId="1758" priority="137" operator="lessThan">
      <formula>98</formula>
    </cfRule>
  </conditionalFormatting>
  <conditionalFormatting sqref="J29:J31">
    <cfRule type="cellIs" dxfId="1757" priority="134" operator="lessThan">
      <formula>97.4</formula>
    </cfRule>
  </conditionalFormatting>
  <conditionalFormatting sqref="J32:J33">
    <cfRule type="cellIs" dxfId="1756" priority="138" operator="lessThan">
      <formula>98</formula>
    </cfRule>
  </conditionalFormatting>
  <conditionalFormatting sqref="J34:J35">
    <cfRule type="cellIs" dxfId="1755" priority="139" stopIfTrue="1" operator="lessThan">
      <formula>96.8</formula>
    </cfRule>
    <cfRule type="cellIs" dxfId="1754" priority="140" stopIfTrue="1" operator="greaterThan">
      <formula>100</formula>
    </cfRule>
  </conditionalFormatting>
  <conditionalFormatting sqref="J34:J36">
    <cfRule type="cellIs" dxfId="1753" priority="141" operator="lessThan">
      <formula>98</formula>
    </cfRule>
  </conditionalFormatting>
  <conditionalFormatting sqref="J65">
    <cfRule type="cellIs" dxfId="1752" priority="89" stopIfTrue="1" operator="lessThanOrEqual">
      <formula>0</formula>
    </cfRule>
    <cfRule type="cellIs" dxfId="1751" priority="87" stopIfTrue="1" operator="lessThanOrEqual">
      <formula>0</formula>
    </cfRule>
    <cfRule type="cellIs" dxfId="1750" priority="88" stopIfTrue="1" operator="greaterThan">
      <formula>#REF!</formula>
    </cfRule>
    <cfRule type="cellIs" dxfId="1749" priority="86" stopIfTrue="1" operator="greaterThan">
      <formula>#REF!</formula>
    </cfRule>
    <cfRule type="cellIs" dxfId="1748" priority="85" stopIfTrue="1" operator="lessThanOrEqual">
      <formula>0</formula>
    </cfRule>
    <cfRule type="cellIs" dxfId="1747" priority="84" stopIfTrue="1" operator="greaterThan">
      <formula>#REF!</formula>
    </cfRule>
    <cfRule type="cellIs" dxfId="1746" priority="83" stopIfTrue="1" operator="lessThanOrEqual">
      <formula>0</formula>
    </cfRule>
    <cfRule type="cellIs" dxfId="1745" priority="82" stopIfTrue="1" operator="greaterThan">
      <formula>#REF!</formula>
    </cfRule>
  </conditionalFormatting>
  <conditionalFormatting sqref="J78">
    <cfRule type="cellIs" dxfId="1744" priority="47" stopIfTrue="1" operator="lessThanOrEqual">
      <formula>0</formula>
    </cfRule>
    <cfRule type="cellIs" dxfId="1743" priority="46" stopIfTrue="1" operator="greaterThan">
      <formula>$F78</formula>
    </cfRule>
  </conditionalFormatting>
  <conditionalFormatting sqref="K10:K24">
    <cfRule type="cellIs" dxfId="1742" priority="18" operator="greaterThan">
      <formula>6.4</formula>
    </cfRule>
    <cfRule type="cellIs" dxfId="1741" priority="16" operator="greaterThan">
      <formula>6</formula>
    </cfRule>
    <cfRule type="cellIs" dxfId="1740" priority="17" operator="lessThan">
      <formula>4</formula>
    </cfRule>
  </conditionalFormatting>
  <conditionalFormatting sqref="K56:K65">
    <cfRule type="cellIs" dxfId="1739" priority="76" stopIfTrue="1" operator="lessThan">
      <formula>100%</formula>
    </cfRule>
  </conditionalFormatting>
  <conditionalFormatting sqref="K80:K85">
    <cfRule type="cellIs" dxfId="1738" priority="164" stopIfTrue="1" operator="lessThan">
      <formula>100%</formula>
    </cfRule>
  </conditionalFormatting>
  <conditionalFormatting sqref="K87:K88">
    <cfRule type="cellIs" dxfId="1737" priority="171" stopIfTrue="1" operator="lessThan">
      <formula>100%</formula>
    </cfRule>
  </conditionalFormatting>
  <conditionalFormatting sqref="K69:M77">
    <cfRule type="cellIs" dxfId="1736" priority="31" stopIfTrue="1" operator="lessThan">
      <formula>100%</formula>
    </cfRule>
  </conditionalFormatting>
  <conditionalFormatting sqref="L10:L24">
    <cfRule type="cellIs" dxfId="1735" priority="20" operator="greaterThan">
      <formula>65</formula>
    </cfRule>
    <cfRule type="cellIs" dxfId="1734" priority="19" operator="between">
      <formula>61</formula>
      <formula>65</formula>
    </cfRule>
  </conditionalFormatting>
  <conditionalFormatting sqref="L27:M38">
    <cfRule type="cellIs" dxfId="1733" priority="78" operator="lessThan">
      <formula>97.95</formula>
    </cfRule>
  </conditionalFormatting>
  <conditionalFormatting sqref="L78:M78">
    <cfRule type="cellIs" dxfId="1732" priority="48" stopIfTrue="1" operator="lessThan">
      <formula>100%</formula>
    </cfRule>
  </conditionalFormatting>
  <conditionalFormatting sqref="L42:N42">
    <cfRule type="cellIs" dxfId="1731" priority="79" operator="notEqual">
      <formula>#REF!</formula>
    </cfRule>
  </conditionalFormatting>
  <conditionalFormatting sqref="L80:N88">
    <cfRule type="cellIs" dxfId="1730" priority="149" stopIfTrue="1" operator="lessThan">
      <formula>100%</formula>
    </cfRule>
  </conditionalFormatting>
  <conditionalFormatting sqref="M10:M22">
    <cfRule type="expression" dxfId="1729" priority="24">
      <formula>IF(+(IF(M10&lt;U10,0,IF(M10&gt;V10,0,1)))=0,1)</formula>
    </cfRule>
  </conditionalFormatting>
  <conditionalFormatting sqref="M23:N24">
    <cfRule type="expression" dxfId="1728" priority="77">
      <formula>IF(+(IF(M23&lt;#REF!,0,IF(M23&gt;#REF!,0,1)))=0,1)</formula>
    </cfRule>
  </conditionalFormatting>
  <conditionalFormatting sqref="N10:N22">
    <cfRule type="expression" dxfId="1727" priority="23">
      <formula>IF(+(IF(N10&lt;W10,0,IF(N10&gt;X10,0,1)))=0,1)</formula>
    </cfRule>
  </conditionalFormatting>
  <conditionalFormatting sqref="N69:N78">
    <cfRule type="cellIs" dxfId="1726" priority="60" stopIfTrue="1" operator="lessThan">
      <formula>100%</formula>
    </cfRule>
  </conditionalFormatting>
  <conditionalFormatting sqref="P6">
    <cfRule type="cellIs" dxfId="1725" priority="145" operator="greaterThanOrEqual">
      <formula>19</formula>
    </cfRule>
  </conditionalFormatting>
  <dataValidations count="1">
    <dataValidation type="list" allowBlank="1" showInputMessage="1" showErrorMessage="1" sqref="R8" xr:uid="{64551B89-C105-4200-81A0-57B18289332C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2" max="16383" man="1"/>
  </rowBreaks>
  <colBreaks count="1" manualBreakCount="1">
    <brk id="15" max="89" man="1"/>
  </col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8693D-6C1D-4A0A-988E-5B341E9A5E30}">
  <sheetPr>
    <pageSetUpPr fitToPage="1"/>
  </sheetPr>
  <dimension ref="A1:BE80"/>
  <sheetViews>
    <sheetView topLeftCell="A27" zoomScale="80" zoomScaleNormal="80" workbookViewId="0">
      <selection activeCell="N52" sqref="N52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8" width="16.5703125" style="275" customWidth="1"/>
    <col min="9" max="9" width="20.7109375" style="275" customWidth="1"/>
    <col min="10" max="10" width="24.140625" style="275" bestFit="1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5" t="s">
        <v>0</v>
      </c>
      <c r="T1" s="555"/>
      <c r="U1" s="555" t="s">
        <v>1</v>
      </c>
      <c r="V1" s="555"/>
      <c r="W1" s="555" t="s">
        <v>2</v>
      </c>
      <c r="X1" s="555"/>
      <c r="Y1" s="555" t="s">
        <v>124</v>
      </c>
      <c r="Z1" s="555"/>
    </row>
    <row r="2" spans="2:29" ht="15">
      <c r="B2" s="556" t="s">
        <v>3</v>
      </c>
      <c r="C2" s="556"/>
      <c r="D2" s="556"/>
      <c r="E2" s="556"/>
      <c r="F2" s="556"/>
      <c r="G2" s="556"/>
      <c r="H2" s="556"/>
      <c r="I2" s="556"/>
      <c r="J2" s="556"/>
      <c r="K2" s="556"/>
      <c r="L2" s="556"/>
      <c r="M2" s="556"/>
      <c r="N2" s="556"/>
      <c r="O2" s="556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46129</v>
      </c>
      <c r="J4" s="398" t="s">
        <v>167</v>
      </c>
      <c r="K4" s="398"/>
      <c r="L4" s="11"/>
      <c r="M4" s="553" t="s">
        <v>8</v>
      </c>
      <c r="N4" s="554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2"/>
      <c r="D5" s="542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6" t="s">
        <v>17</v>
      </c>
      <c r="C8" s="517" t="s">
        <v>18</v>
      </c>
      <c r="D8" s="517" t="s">
        <v>19</v>
      </c>
      <c r="E8" s="356" t="s">
        <v>20</v>
      </c>
      <c r="F8" s="356" t="s">
        <v>21</v>
      </c>
      <c r="G8" s="517" t="s">
        <v>22</v>
      </c>
      <c r="H8" s="544" t="s">
        <v>144</v>
      </c>
      <c r="I8" s="517" t="s">
        <v>165</v>
      </c>
      <c r="J8" s="546" t="s">
        <v>23</v>
      </c>
      <c r="K8" s="548" t="s">
        <v>142</v>
      </c>
      <c r="L8" s="550" t="s">
        <v>24</v>
      </c>
      <c r="M8" s="359" t="s">
        <v>25</v>
      </c>
      <c r="N8" s="17" t="s">
        <v>169</v>
      </c>
      <c r="O8" s="510" t="s">
        <v>155</v>
      </c>
      <c r="P8" s="540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43"/>
      <c r="C9" s="541"/>
      <c r="D9" s="541"/>
      <c r="E9" s="357" t="s">
        <v>30</v>
      </c>
      <c r="F9" s="357" t="s">
        <v>31</v>
      </c>
      <c r="G9" s="541"/>
      <c r="H9" s="545"/>
      <c r="I9" s="541"/>
      <c r="J9" s="547"/>
      <c r="K9" s="549"/>
      <c r="L9" s="551"/>
      <c r="M9" s="20" t="s">
        <v>32</v>
      </c>
      <c r="N9" s="21" t="s">
        <v>41</v>
      </c>
      <c r="O9" s="552"/>
      <c r="P9" s="541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>
      <c r="B10" s="29" t="s">
        <v>6</v>
      </c>
      <c r="C10" s="366" t="str">
        <f>[4]Brewhouse!$A330</f>
        <v>CA286</v>
      </c>
      <c r="D10" s="279">
        <f>[4]Brewhouse!$AF330</f>
        <v>51.6</v>
      </c>
      <c r="E10" s="279">
        <f>[4]Brewhouse!$AI330</f>
        <v>51.7</v>
      </c>
      <c r="F10" s="278">
        <f>[4]Brewhouse!$V330</f>
        <v>63</v>
      </c>
      <c r="G10" s="279">
        <f>[4]Brewhouse!AG330</f>
        <v>11.7</v>
      </c>
      <c r="H10" s="396">
        <v>11.6</v>
      </c>
      <c r="I10" s="368">
        <f>[4]Brewhouse!$AU330</f>
        <v>100.08719027441192</v>
      </c>
      <c r="J10" s="368">
        <f>[4]Brewhouse!$AV330</f>
        <v>101.39309911342652</v>
      </c>
      <c r="K10" s="281">
        <f>[4]Brewhouse!$Q330</f>
        <v>8.1700554528650677</v>
      </c>
      <c r="L10" s="276">
        <f>[4]Brewhouse!$P330</f>
        <v>60</v>
      </c>
      <c r="M10" s="397">
        <f>[4]Brewhouse!$U330-[4]Brewhouse!$T330</f>
        <v>0.10902777777777778</v>
      </c>
      <c r="N10" s="370">
        <f>[4]Brewhouse!$Z330</f>
        <v>0.24513888888888891</v>
      </c>
      <c r="O10" s="420" t="str">
        <f>[4]Brewhouse!$AX330</f>
        <v>R. Regis</v>
      </c>
      <c r="P10" s="418"/>
      <c r="R10" s="277" t="str">
        <f t="shared" ref="R10:R40" si="0">B10</f>
        <v>CARIB</v>
      </c>
      <c r="S10" s="472">
        <f t="shared" ref="S10:S40" si="1">VLOOKUP($B10,$R$3:$X$9,2,FALSE)</f>
        <v>11.6</v>
      </c>
      <c r="T10" s="472">
        <f t="shared" ref="T10:T40" si="2">VLOOKUP($B10,$R$3:$X$9,3,FALSE)</f>
        <v>12</v>
      </c>
      <c r="U10" s="297">
        <f t="shared" ref="U10:U40" si="3">VLOOKUP($B10,$R$3:$X$9,4,FALSE)</f>
        <v>0</v>
      </c>
      <c r="V10" s="297">
        <f t="shared" ref="V10:V40" si="4">VLOOKUP($B10,$R$3:$X$9,5,FALSE)</f>
        <v>0.118055555555556</v>
      </c>
      <c r="W10" s="297">
        <f t="shared" ref="W10:W40" si="5">VLOOKUP($B10,$R$3:$X$9,6,FALSE)</f>
        <v>0.22569444444444445</v>
      </c>
      <c r="X10" s="297">
        <f t="shared" ref="X10:X40" si="6">VLOOKUP($B10,$R$3:$X$9,7,FALSE)</f>
        <v>0.2638888888888889</v>
      </c>
      <c r="Y10" s="297">
        <f t="shared" ref="Y10:Y40" si="7">VLOOKUP($B10,$R$3:$Z$9,8,FALSE)</f>
        <v>0</v>
      </c>
      <c r="Z10" s="472">
        <f t="shared" ref="Z10:Z40" si="8">VLOOKUP($B10,$R$3:$Z$9,9,FALSE)</f>
        <v>60</v>
      </c>
    </row>
    <row r="11" spans="2:29" ht="15">
      <c r="B11" s="29" t="s">
        <v>6</v>
      </c>
      <c r="C11" s="366" t="str">
        <f>[4]Brewhouse!$A331</f>
        <v>CA287</v>
      </c>
      <c r="D11" s="279">
        <f>[4]Brewhouse!$AF331</f>
        <v>51.04</v>
      </c>
      <c r="E11" s="279">
        <f>[4]Brewhouse!$AI331</f>
        <v>50.7</v>
      </c>
      <c r="F11" s="278">
        <f>[4]Brewhouse!$V331</f>
        <v>63</v>
      </c>
      <c r="G11" s="279">
        <f>[4]Brewhouse!AG331</f>
        <v>11.6</v>
      </c>
      <c r="H11" s="396">
        <v>11.6</v>
      </c>
      <c r="I11" s="368">
        <f>[4]Brewhouse!$AU331</f>
        <v>97.147652628524895</v>
      </c>
      <c r="J11" s="368">
        <f>[4]Brewhouse!$AV331</f>
        <v>98.415290938293936</v>
      </c>
      <c r="K11" s="281">
        <f>[4]Brewhouse!$Q331</f>
        <v>8.5397412199630267</v>
      </c>
      <c r="L11" s="276">
        <f>[4]Brewhouse!$P331</f>
        <v>57</v>
      </c>
      <c r="M11" s="397">
        <f>[4]Brewhouse!$U331-[4]Brewhouse!$T331</f>
        <v>0.10763888888888884</v>
      </c>
      <c r="N11" s="370">
        <f>[4]Brewhouse!$Z331</f>
        <v>0.25902777777777775</v>
      </c>
      <c r="O11" s="420" t="str">
        <f>[4]Brewhouse!$AX331</f>
        <v>R. Regis</v>
      </c>
      <c r="P11" s="418"/>
      <c r="R11" s="277" t="str">
        <f t="shared" ref="R11:R35" si="9">B11</f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>
      <c r="B12" s="29" t="s">
        <v>6</v>
      </c>
      <c r="C12" s="366" t="str">
        <f>[4]Brewhouse!$A332</f>
        <v>CA288</v>
      </c>
      <c r="D12" s="279">
        <f>[4]Brewhouse!$AF332</f>
        <v>51.8</v>
      </c>
      <c r="E12" s="279">
        <f>[4]Brewhouse!$AI332</f>
        <v>51.6</v>
      </c>
      <c r="F12" s="278">
        <f>[4]Brewhouse!$V332</f>
        <v>56</v>
      </c>
      <c r="G12" s="367"/>
      <c r="H12" s="367"/>
      <c r="I12" s="489"/>
      <c r="J12" s="489"/>
      <c r="K12" s="281">
        <f>[4]Brewhouse!$Q332</f>
        <v>7.8003696857670963</v>
      </c>
      <c r="L12" s="276">
        <f>[4]Brewhouse!$P332</f>
        <v>59</v>
      </c>
      <c r="M12" s="397">
        <f>[4]Brewhouse!$U332-[4]Brewhouse!$T332</f>
        <v>0.10902777777777772</v>
      </c>
      <c r="N12" s="370">
        <f>[4]Brewhouse!$Z332</f>
        <v>0.27708333333333335</v>
      </c>
      <c r="O12" s="420" t="str">
        <f>[4]Brewhouse!$AX332</f>
        <v>R. Sookram</v>
      </c>
      <c r="P12" s="418"/>
      <c r="R12" s="277" t="str">
        <f t="shared" si="9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>
      <c r="B13" s="29" t="s">
        <v>6</v>
      </c>
      <c r="C13" s="366" t="str">
        <f>[4]Brewhouse!$A333</f>
        <v>CA289</v>
      </c>
      <c r="D13" s="279">
        <f>[4]Brewhouse!$AF333</f>
        <v>50.8</v>
      </c>
      <c r="E13" s="279">
        <f>[4]Brewhouse!$AI333</f>
        <v>49.5</v>
      </c>
      <c r="F13" s="278">
        <f>[4]Brewhouse!$V333</f>
        <v>61</v>
      </c>
      <c r="G13" s="279">
        <f>[4]Brewhouse!AG333</f>
        <v>12</v>
      </c>
      <c r="H13" s="396">
        <v>12.1</v>
      </c>
      <c r="I13" s="368">
        <f>[4]Brewhouse!$AU333</f>
        <v>98.291637523851719</v>
      </c>
      <c r="J13" s="368">
        <f>[4]Brewhouse!$AV333</f>
        <v>99.574203204894033</v>
      </c>
      <c r="K13" s="281">
        <f>[4]Brewhouse!$Q333</f>
        <v>8.1700554528650677</v>
      </c>
      <c r="L13" s="276">
        <f>[4]Brewhouse!$P333</f>
        <v>60</v>
      </c>
      <c r="M13" s="397">
        <f>[4]Brewhouse!$U333-[4]Brewhouse!$T333</f>
        <v>0.10902777777777783</v>
      </c>
      <c r="N13" s="370">
        <f>[4]Brewhouse!$Z333</f>
        <v>0.24930555555555556</v>
      </c>
      <c r="O13" s="420" t="str">
        <f>[4]Brewhouse!$AX333</f>
        <v>R. Sookram</v>
      </c>
      <c r="P13" s="418"/>
      <c r="R13" s="277" t="str">
        <f t="shared" si="9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>
      <c r="B14" s="29" t="s">
        <v>6</v>
      </c>
      <c r="C14" s="366" t="str">
        <f>[4]Brewhouse!$A334</f>
        <v>CA290</v>
      </c>
      <c r="D14" s="279">
        <f>[4]Brewhouse!$AF334</f>
        <v>53.1</v>
      </c>
      <c r="E14" s="279">
        <f>[4]Brewhouse!$AI334</f>
        <v>53</v>
      </c>
      <c r="F14" s="278">
        <f>[4]Brewhouse!$V334</f>
        <v>64</v>
      </c>
      <c r="G14" s="279">
        <f>[4]Brewhouse!AG334</f>
        <v>11.6</v>
      </c>
      <c r="H14" s="396">
        <v>11.7</v>
      </c>
      <c r="I14" s="368">
        <f>[4]Brewhouse!$AU334</f>
        <v>101.55474535131795</v>
      </c>
      <c r="J14" s="368">
        <f>[4]Brewhouse!$AV334</f>
        <v>102.87988993549465</v>
      </c>
      <c r="K14" s="281">
        <f>[4]Brewhouse!$Q334</f>
        <v>6.3216266173752338</v>
      </c>
      <c r="L14" s="276">
        <f>[4]Brewhouse!$P334</f>
        <v>60</v>
      </c>
      <c r="M14" s="397">
        <f>[4]Brewhouse!$U334-[4]Brewhouse!$T334</f>
        <v>0.11041666666666672</v>
      </c>
      <c r="N14" s="370">
        <f>[4]Brewhouse!$Z334</f>
        <v>0.24861111111111112</v>
      </c>
      <c r="O14" s="420" t="str">
        <f>[4]Brewhouse!$AX334</f>
        <v>R. Sookram</v>
      </c>
      <c r="P14" s="418"/>
      <c r="R14" s="277" t="str">
        <f t="shared" si="9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>
      <c r="B15" s="29" t="s">
        <v>6</v>
      </c>
      <c r="C15" s="366" t="str">
        <f>[4]Brewhouse!$A335</f>
        <v>CA291</v>
      </c>
      <c r="D15" s="279">
        <f>[4]Brewhouse!$AF335</f>
        <v>52.1</v>
      </c>
      <c r="E15" s="279">
        <f>[4]Brewhouse!$AI335</f>
        <v>51.9</v>
      </c>
      <c r="F15" s="278">
        <f>[4]Brewhouse!$V335</f>
        <v>65</v>
      </c>
      <c r="G15" s="279">
        <f>[4]Brewhouse!AG335</f>
        <v>11.7</v>
      </c>
      <c r="H15" s="396">
        <v>11.8</v>
      </c>
      <c r="I15" s="368">
        <f>[4]Brewhouse!$AU335</f>
        <v>100.47437476290094</v>
      </c>
      <c r="J15" s="368">
        <f>[4]Brewhouse!$AV335</f>
        <v>101.78533547363318</v>
      </c>
      <c r="K15" s="281">
        <f>[4]Brewhouse!$Q335</f>
        <v>6.6913123844731928</v>
      </c>
      <c r="L15" s="276">
        <f>[4]Brewhouse!$P335</f>
        <v>60</v>
      </c>
      <c r="M15" s="397">
        <f>[4]Brewhouse!$U335-[4]Brewhouse!$T335</f>
        <v>0.11111111111111116</v>
      </c>
      <c r="N15" s="370">
        <f>[4]Brewhouse!$Z335</f>
        <v>0.24236111111111114</v>
      </c>
      <c r="O15" s="420" t="str">
        <f>[4]Brewhouse!$AX335</f>
        <v>D. Gomaz</v>
      </c>
      <c r="P15" s="418"/>
      <c r="R15" s="277" t="str">
        <f t="shared" si="9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>
      <c r="B16" s="29" t="s">
        <v>6</v>
      </c>
      <c r="C16" s="366" t="str">
        <f>[4]Brewhouse!$A336</f>
        <v>CA292</v>
      </c>
      <c r="D16" s="279">
        <f>[4]Brewhouse!$AF336</f>
        <v>52.2</v>
      </c>
      <c r="E16" s="279">
        <f>[4]Brewhouse!$AI336</f>
        <v>52</v>
      </c>
      <c r="F16" s="278">
        <f>[4]Brewhouse!$V336</f>
        <v>59</v>
      </c>
      <c r="G16" s="279">
        <f>[4]Brewhouse!AG336</f>
        <v>11.7</v>
      </c>
      <c r="H16" s="396">
        <v>11.6</v>
      </c>
      <c r="I16" s="368">
        <f>[4]Brewhouse!$AU336</f>
        <v>100.54292897070825</v>
      </c>
      <c r="J16" s="368">
        <f>[4]Brewhouse!$AV336</f>
        <v>101.85487079422313</v>
      </c>
      <c r="K16" s="281">
        <f>[4]Brewhouse!$Q336</f>
        <v>6.5064695009242195</v>
      </c>
      <c r="L16" s="276">
        <f>[4]Brewhouse!$P336</f>
        <v>59</v>
      </c>
      <c r="M16" s="397">
        <f>[4]Brewhouse!$U336-[4]Brewhouse!$T336</f>
        <v>0.10486111111111118</v>
      </c>
      <c r="N16" s="370">
        <f>[4]Brewhouse!$Z336</f>
        <v>0.24027777777777781</v>
      </c>
      <c r="O16" s="420" t="str">
        <f>[4]Brewhouse!$AX336</f>
        <v>D. Gomaz</v>
      </c>
      <c r="P16" s="418"/>
      <c r="R16" s="277" t="str">
        <f t="shared" si="9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5">
      <c r="B17" s="29" t="s">
        <v>6</v>
      </c>
      <c r="C17" s="366" t="str">
        <f>[4]Brewhouse!$A337</f>
        <v>CA293</v>
      </c>
      <c r="D17" s="279">
        <f>[4]Brewhouse!$AF337</f>
        <v>52</v>
      </c>
      <c r="E17" s="279">
        <f>[4]Brewhouse!$AI337</f>
        <v>51.1</v>
      </c>
      <c r="F17" s="278">
        <f>[4]Brewhouse!$V337</f>
        <v>61</v>
      </c>
      <c r="G17" s="279">
        <f>[4]Brewhouse!AG337</f>
        <v>11.8</v>
      </c>
      <c r="H17" s="396">
        <v>11.8</v>
      </c>
      <c r="I17" s="368">
        <f>[4]Brewhouse!$AU337</f>
        <v>99.6914222479014</v>
      </c>
      <c r="J17" s="368">
        <f>[4]Brewhouse!$AV337</f>
        <v>100.99225312314681</v>
      </c>
      <c r="K17" s="281">
        <f>[4]Brewhouse!$Q337</f>
        <v>6.9328493647912897</v>
      </c>
      <c r="L17" s="276">
        <f>[4]Brewhouse!$P337</f>
        <v>60</v>
      </c>
      <c r="M17" s="397">
        <f>[4]Brewhouse!$U337-[4]Brewhouse!$T337</f>
        <v>0.10694444444444451</v>
      </c>
      <c r="N17" s="370">
        <f>[4]Brewhouse!$Z337</f>
        <v>0.25069444444444455</v>
      </c>
      <c r="O17" s="420" t="str">
        <f>[4]Brewhouse!$AX337</f>
        <v>D. Gomaz</v>
      </c>
      <c r="P17" s="418"/>
      <c r="R17" s="277" t="str">
        <f t="shared" si="9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6" ht="15">
      <c r="B18" s="29" t="s">
        <v>6</v>
      </c>
      <c r="C18" s="366" t="str">
        <f>[4]Brewhouse!$A338</f>
        <v>CA294</v>
      </c>
      <c r="D18" s="279">
        <f>[4]Brewhouse!$AF338</f>
        <v>52</v>
      </c>
      <c r="E18" s="279">
        <f>[4]Brewhouse!$AI338</f>
        <v>50.7</v>
      </c>
      <c r="F18" s="278">
        <f>[4]Brewhouse!$V338</f>
        <v>68</v>
      </c>
      <c r="G18" s="279">
        <f>[4]Brewhouse!AG338</f>
        <v>11.8</v>
      </c>
      <c r="H18" s="396">
        <v>11.9</v>
      </c>
      <c r="I18" s="368">
        <f>[4]Brewhouse!$AU338</f>
        <v>98.788355462696771</v>
      </c>
      <c r="J18" s="368">
        <f>[4]Brewhouse!$AV338</f>
        <v>100.07748751865111</v>
      </c>
      <c r="K18" s="281">
        <f>[4]Brewhouse!$Q338</f>
        <v>6.9328493647912897</v>
      </c>
      <c r="L18" s="276">
        <f>[4]Brewhouse!$P338</f>
        <v>61</v>
      </c>
      <c r="M18" s="397">
        <f>[4]Brewhouse!$U338-[4]Brewhouse!$T338</f>
        <v>0.11180555555555549</v>
      </c>
      <c r="N18" s="370">
        <f>[4]Brewhouse!$Z338</f>
        <v>0.26041666666666663</v>
      </c>
      <c r="O18" s="420" t="str">
        <f>[4]Brewhouse!$AX338</f>
        <v>D. Gomaz</v>
      </c>
      <c r="P18" s="418"/>
      <c r="R18" s="277" t="str">
        <f t="shared" si="9"/>
        <v>CARIB</v>
      </c>
      <c r="S18" s="472">
        <f t="shared" si="1"/>
        <v>11.6</v>
      </c>
      <c r="T18" s="472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2">
        <f t="shared" si="8"/>
        <v>60</v>
      </c>
    </row>
    <row r="19" spans="1:26" ht="15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5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5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0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5" hidden="1">
      <c r="B22" s="34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0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5" hidden="1">
      <c r="B23" s="34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420"/>
      <c r="P23" s="418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5" hidden="1">
      <c r="B24" s="34"/>
      <c r="C24" s="366"/>
      <c r="D24" s="279"/>
      <c r="E24" s="279"/>
      <c r="F24" s="278"/>
      <c r="G24" s="279"/>
      <c r="H24" s="396"/>
      <c r="I24" s="484"/>
      <c r="J24" s="484"/>
      <c r="K24" s="485"/>
      <c r="L24" s="276"/>
      <c r="M24" s="374"/>
      <c r="N24" s="370"/>
      <c r="O24" s="420"/>
      <c r="P24" s="418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8" hidden="1" customHeight="1">
      <c r="B25" s="29"/>
      <c r="C25" s="366"/>
      <c r="D25" s="279"/>
      <c r="E25" s="279"/>
      <c r="F25" s="278"/>
      <c r="G25" s="279"/>
      <c r="H25" s="482"/>
      <c r="I25" s="368"/>
      <c r="J25" s="368"/>
      <c r="K25" s="281"/>
      <c r="L25" s="276"/>
      <c r="M25" s="374"/>
      <c r="N25" s="370"/>
      <c r="O25" s="371"/>
      <c r="P25" s="418"/>
      <c r="R25" s="277">
        <f t="shared" si="9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6.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18"/>
      <c r="R26" s="277">
        <f t="shared" si="9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5.75" customHeight="1" thickBot="1">
      <c r="B27" s="358"/>
      <c r="C27" s="358"/>
      <c r="D27" s="358"/>
      <c r="E27" s="358"/>
      <c r="F27" s="294"/>
      <c r="G27" s="294"/>
      <c r="H27" s="348"/>
      <c r="I27" s="533"/>
      <c r="J27" s="533"/>
      <c r="K27" s="533"/>
      <c r="L27" s="533"/>
      <c r="M27" s="533"/>
      <c r="N27" s="533"/>
      <c r="O27" s="1"/>
      <c r="P27" s="12"/>
      <c r="R27" s="277">
        <f t="shared" si="9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5.75" customHeight="1" thickBot="1">
      <c r="B28" s="388" t="s">
        <v>162</v>
      </c>
      <c r="C28" s="388"/>
      <c r="D28" s="534" t="s">
        <v>35</v>
      </c>
      <c r="E28" s="535"/>
      <c r="F28" s="294"/>
      <c r="G28" s="294"/>
      <c r="H28" s="348"/>
      <c r="I28" s="24" t="s">
        <v>17</v>
      </c>
      <c r="J28" s="25"/>
      <c r="K28" s="26" t="s">
        <v>138</v>
      </c>
      <c r="L28" s="25" t="s">
        <v>37</v>
      </c>
      <c r="M28" s="25" t="s">
        <v>38</v>
      </c>
      <c r="N28" s="27" t="s">
        <v>39</v>
      </c>
      <c r="O28" s="294"/>
      <c r="P28" s="12"/>
      <c r="R28" s="277" t="str">
        <f t="shared" si="9"/>
        <v xml:space="preserve">BRAND 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5" customHeight="1">
      <c r="A29" s="28"/>
      <c r="B29" s="519"/>
      <c r="C29" s="362"/>
      <c r="D29" s="537"/>
      <c r="E29" s="538"/>
      <c r="F29" s="294"/>
      <c r="G29" s="294"/>
      <c r="H29" s="348"/>
      <c r="I29" s="29" t="s">
        <v>6</v>
      </c>
      <c r="J29" s="323">
        <f>AVERAGE(I10:I11,I13:I18)</f>
        <v>99.572288402789226</v>
      </c>
      <c r="K29" s="284">
        <f>COUNTA([4]Brewhouse!$B$292:$B$338)</f>
        <v>47</v>
      </c>
      <c r="L29" s="305">
        <f>AVERAGE([4]Brewhouse!$AU$292:$AU$338)</f>
        <v>98.744538631746167</v>
      </c>
      <c r="M29" s="305">
        <f>AVERAGE([4]Brewhouse!$AU$42:$AU$123,[4]Brewhouse!$AU$125:$AU$188,[4]Brewhouse!$AU$198:$AU$290,[4]Brewhouse!$AU$292:$AU$338)</f>
        <v>98.016090396193903</v>
      </c>
      <c r="N29" s="30">
        <v>98</v>
      </c>
      <c r="O29" s="11"/>
      <c r="P29" s="31"/>
      <c r="R29" s="277">
        <f t="shared" si="9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5" customHeight="1">
      <c r="A30" s="28"/>
      <c r="B30" s="520"/>
      <c r="C30" s="362"/>
      <c r="D30" s="539"/>
      <c r="E30" s="525"/>
      <c r="F30" s="294"/>
      <c r="G30" s="294"/>
      <c r="H30" s="348"/>
      <c r="I30" s="33" t="s">
        <v>9</v>
      </c>
      <c r="J30" s="280"/>
      <c r="K30" s="284">
        <f>COUNTA([3]Brewhouse!$A$179:$A$196)</f>
        <v>18</v>
      </c>
      <c r="L30" s="302">
        <f>AVERAGE([3]Brewhouse!$AS$179:$AS$196)</f>
        <v>99.09333976474062</v>
      </c>
      <c r="M30" s="302">
        <f>AVERAGE([3]Brewhouse!$AS$52:$AS$81,[3]Brewhouse!$AS$83:$AS$124,[3]Brewhouse!$AS$134:$AS$177,[3]Brewhouse!$AS$179:$AS$196)</f>
        <v>98.520140869004209</v>
      </c>
      <c r="N30" s="30">
        <v>98</v>
      </c>
      <c r="O30" s="11"/>
      <c r="P30" s="31"/>
      <c r="R30" s="277">
        <f t="shared" si="9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4.65" customHeight="1">
      <c r="A31" s="28"/>
      <c r="B31" s="520"/>
      <c r="C31" s="362"/>
      <c r="D31" s="529"/>
      <c r="E31" s="530"/>
      <c r="F31" s="294"/>
      <c r="G31" s="294"/>
      <c r="H31" s="348"/>
      <c r="I31" s="34" t="s">
        <v>12</v>
      </c>
      <c r="J31" s="280"/>
      <c r="K31" s="284">
        <f>COUNTA([5]Brewhouse!$A$43:$A$50)</f>
        <v>8</v>
      </c>
      <c r="L31" s="302">
        <f>AVERAGE([5]Brewhouse!$AU$43:$AU$50)</f>
        <v>96.223405821152667</v>
      </c>
      <c r="M31" s="302">
        <f>AVERAGE([5]Brewhouse!$AU$16:$AU$23,[5]Brewhouse!$AU$25:$AU$32,[5]Brewhouse!$AU$34:$AU$41,[5]Brewhouse!$AU$43:$AU$50)</f>
        <v>96.904441824349703</v>
      </c>
      <c r="N31" s="30">
        <v>98</v>
      </c>
      <c r="O31" s="11"/>
      <c r="P31" s="31"/>
      <c r="R31" s="277">
        <f t="shared" si="9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65" customHeight="1">
      <c r="A32" s="28"/>
      <c r="B32" s="520"/>
      <c r="C32" s="362"/>
      <c r="D32" s="524"/>
      <c r="E32" s="525"/>
      <c r="F32" s="294"/>
      <c r="G32" s="294"/>
      <c r="H32" s="348"/>
      <c r="I32" s="22" t="s">
        <v>33</v>
      </c>
      <c r="J32" s="280"/>
      <c r="K32" s="284"/>
      <c r="L32" s="302"/>
      <c r="M32" s="302">
        <f>AVERAGE([6]Brewhouse!$AV$23:$AV$34,[6]Brewhouse!$AV$36,[6]Brewhouse!$AV$38:$AV$52)</f>
        <v>97.639832259312456</v>
      </c>
      <c r="N32" s="30">
        <v>98</v>
      </c>
      <c r="O32" s="11"/>
      <c r="P32" s="31"/>
      <c r="R32" s="277">
        <f t="shared" si="9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65" customHeight="1">
      <c r="A33" s="28"/>
      <c r="B33" s="520"/>
      <c r="C33" s="362"/>
      <c r="D33" s="529"/>
      <c r="E33" s="530"/>
      <c r="F33" s="417"/>
      <c r="G33" s="294"/>
      <c r="H33" s="348"/>
      <c r="I33" s="35" t="s">
        <v>29</v>
      </c>
      <c r="J33" s="280"/>
      <c r="K33" s="284"/>
      <c r="L33" s="302"/>
      <c r="M33" s="302"/>
      <c r="N33" s="30">
        <v>98</v>
      </c>
      <c r="O33" s="11"/>
      <c r="P33" s="31"/>
      <c r="R33" s="277">
        <f t="shared" si="9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56" ht="14.65" customHeight="1">
      <c r="A34" s="28"/>
      <c r="B34" s="520"/>
      <c r="C34" s="362"/>
      <c r="D34" s="524"/>
      <c r="E34" s="525"/>
      <c r="F34" s="417"/>
      <c r="G34" s="294"/>
      <c r="H34" s="348"/>
      <c r="I34" s="36" t="s">
        <v>15</v>
      </c>
      <c r="J34" s="323"/>
      <c r="K34" s="284"/>
      <c r="L34" s="302"/>
      <c r="M34" s="302">
        <f>AVERAGE([7]Brewhouse!$AT$4:$AT$11)</f>
        <v>92.826224508052405</v>
      </c>
      <c r="N34" s="30">
        <v>98</v>
      </c>
      <c r="O34" s="11"/>
      <c r="P34" s="31"/>
      <c r="R34" s="277">
        <f t="shared" si="9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56" ht="14.65" customHeight="1">
      <c r="A35" s="28"/>
      <c r="B35" s="520"/>
      <c r="C35" s="362"/>
      <c r="D35" s="529"/>
      <c r="E35" s="530"/>
      <c r="F35" s="417"/>
      <c r="G35" s="294"/>
      <c r="H35" s="348"/>
      <c r="I35" s="37" t="s">
        <v>16</v>
      </c>
      <c r="J35" s="323"/>
      <c r="K35" s="284"/>
      <c r="L35" s="302"/>
      <c r="M35" s="302">
        <f>AVERAGE([8]Brewhouse!$AY$5:$AY$14,[8]Brewhouse!$AY$16:$AY$23,[8]Brewhouse!$AY$42)</f>
        <v>97.390503559857137</v>
      </c>
      <c r="N35" s="30">
        <v>98</v>
      </c>
      <c r="O35" s="11"/>
      <c r="P35" s="31" t="s">
        <v>41</v>
      </c>
      <c r="R35" s="277">
        <f t="shared" si="9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</row>
    <row r="36" spans="1:56" ht="14.65" customHeight="1">
      <c r="A36" s="28"/>
      <c r="B36" s="520"/>
      <c r="C36" s="362"/>
      <c r="D36" s="524"/>
      <c r="E36" s="525"/>
      <c r="F36" s="294"/>
      <c r="G36" s="294"/>
      <c r="H36" s="348"/>
      <c r="I36" s="411" t="s">
        <v>158</v>
      </c>
      <c r="J36" s="326"/>
      <c r="K36" s="284"/>
      <c r="L36" s="305"/>
      <c r="M36" s="305"/>
      <c r="N36" s="3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</row>
    <row r="37" spans="1:56" ht="14.65" customHeight="1">
      <c r="A37" s="28"/>
      <c r="B37" s="520"/>
      <c r="C37" s="349"/>
      <c r="D37" s="529"/>
      <c r="E37" s="530"/>
      <c r="F37" s="294"/>
      <c r="G37" s="294"/>
      <c r="H37" s="348"/>
      <c r="I37" s="410" t="s">
        <v>157</v>
      </c>
      <c r="J37" s="326"/>
      <c r="K37" s="284"/>
      <c r="L37" s="305"/>
      <c r="M37" s="305"/>
      <c r="N37" s="30">
        <v>98</v>
      </c>
      <c r="O37" s="11"/>
      <c r="P37" s="31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56" ht="15" customHeight="1" thickBot="1">
      <c r="A38" s="28"/>
      <c r="B38" s="520"/>
      <c r="C38" s="349"/>
      <c r="D38" s="524"/>
      <c r="E38" s="525"/>
      <c r="F38" s="294"/>
      <c r="G38" s="294"/>
      <c r="H38" s="348"/>
      <c r="I38" s="406" t="s">
        <v>156</v>
      </c>
      <c r="J38" s="327"/>
      <c r="K38" s="407"/>
      <c r="L38" s="408"/>
      <c r="M38" s="408"/>
      <c r="N38" s="409">
        <v>98</v>
      </c>
      <c r="O38" s="11"/>
      <c r="P38" s="31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  <c r="AA38" s="472"/>
    </row>
    <row r="39" spans="1:56" ht="15" customHeight="1" thickBot="1">
      <c r="A39" s="28"/>
      <c r="B39" s="520"/>
      <c r="C39" s="349"/>
      <c r="D39" s="537"/>
      <c r="E39" s="538"/>
      <c r="F39" s="294"/>
      <c r="G39" s="294"/>
      <c r="H39" s="348"/>
      <c r="I39" s="1"/>
      <c r="J39" s="39"/>
      <c r="K39" s="404">
        <f>SUM(K29:K38)</f>
        <v>73</v>
      </c>
      <c r="L39" s="405">
        <f>((L29*K29)+(L30*K30)+(L31*K31)+(L32*K32)+(L33*K33)+(K36*L36)+(L34*K34)+(L35*K35)+(L38*K38))/(K39)</f>
        <v>98.554255863378387</v>
      </c>
      <c r="M39" s="405">
        <f>AVERAGE('[9]Jan30th-31st'!$L$42,L39)</f>
        <v>98.19114879960992</v>
      </c>
      <c r="N39" s="40">
        <v>98</v>
      </c>
      <c r="O39" s="11"/>
      <c r="P39" s="31"/>
      <c r="R39" s="277">
        <f t="shared" si="0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  <c r="AA39" s="472"/>
    </row>
    <row r="40" spans="1:56" ht="15.75" thickBot="1">
      <c r="B40" s="536"/>
      <c r="C40" s="350"/>
      <c r="D40" s="539"/>
      <c r="E40" s="525"/>
      <c r="F40" s="294"/>
      <c r="G40" s="42"/>
      <c r="H40" s="41"/>
      <c r="I40" s="42"/>
      <c r="J40" s="42"/>
      <c r="K40" s="351"/>
      <c r="L40" s="348"/>
      <c r="M40" s="348"/>
      <c r="N40" s="11"/>
      <c r="O40" s="294"/>
      <c r="P40" s="12"/>
      <c r="R40" s="277">
        <f t="shared" si="0"/>
        <v>0</v>
      </c>
      <c r="S40" s="472" t="e">
        <f t="shared" si="1"/>
        <v>#N/A</v>
      </c>
      <c r="T40" s="472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2" t="e">
        <f t="shared" si="8"/>
        <v>#N/A</v>
      </c>
      <c r="AA40" s="472"/>
    </row>
    <row r="41" spans="1:56" ht="15.75" thickBot="1">
      <c r="B41" s="519"/>
      <c r="C41" s="362"/>
      <c r="D41" s="522"/>
      <c r="E41" s="523"/>
      <c r="F41" s="294"/>
      <c r="G41" s="42"/>
      <c r="H41" s="41"/>
      <c r="I41" s="42"/>
      <c r="J41" s="526" t="s">
        <v>129</v>
      </c>
      <c r="K41" s="526"/>
      <c r="L41" s="294"/>
      <c r="M41" s="294"/>
      <c r="N41" s="294"/>
      <c r="O41" s="294"/>
      <c r="P41" s="12"/>
    </row>
    <row r="42" spans="1:56" ht="15.75" thickBot="1">
      <c r="B42" s="520"/>
      <c r="C42" s="362"/>
      <c r="D42" s="524"/>
      <c r="E42" s="525"/>
      <c r="F42" s="294"/>
      <c r="G42" s="42"/>
      <c r="H42" s="42"/>
      <c r="I42" s="42"/>
      <c r="J42" s="292" t="s">
        <v>17</v>
      </c>
      <c r="K42" s="293" t="s">
        <v>172</v>
      </c>
      <c r="L42" s="527" t="s">
        <v>136</v>
      </c>
      <c r="M42" s="527"/>
      <c r="N42" s="528"/>
      <c r="O42" s="294"/>
      <c r="P42" s="12"/>
    </row>
    <row r="43" spans="1:56" ht="15" customHeight="1" thickBot="1">
      <c r="B43" s="520"/>
      <c r="C43" s="349"/>
      <c r="D43" s="529"/>
      <c r="E43" s="530"/>
      <c r="F43" s="294"/>
      <c r="G43" s="42"/>
      <c r="H43" s="42"/>
      <c r="I43" s="42"/>
      <c r="J43" s="287" t="s">
        <v>6</v>
      </c>
      <c r="K43" s="324">
        <v>9</v>
      </c>
      <c r="L43" s="473" t="s">
        <v>37</v>
      </c>
      <c r="M43" s="474" t="s">
        <v>38</v>
      </c>
      <c r="N43" s="474" t="s">
        <v>84</v>
      </c>
      <c r="O43" s="294"/>
      <c r="P43" s="12"/>
    </row>
    <row r="44" spans="1:56" ht="15.75" customHeight="1" thickBot="1">
      <c r="B44" s="520"/>
      <c r="C44" s="349"/>
      <c r="D44" s="524"/>
      <c r="E44" s="525"/>
      <c r="F44" s="294"/>
      <c r="G44" s="42"/>
      <c r="H44" s="42"/>
      <c r="I44" s="42"/>
      <c r="J44" s="345" t="s">
        <v>9</v>
      </c>
      <c r="K44" s="324"/>
      <c r="L44" s="344">
        <f>AVERAGE('Apr 1st'!K50,K53,'Apr 2nd'!K48,'Apr 7th'!K50,'Apr 8th'!K50,'Apr 9th '!K58,'Apr 10th'!K55,'Apr 13th'!K66,'Apr 14th'!K60,'Apr 15th'!K51)</f>
        <v>7.3</v>
      </c>
      <c r="M44" s="325">
        <f>AVERAGE('[9]Jan30th-31st'!$L$47,L44,'[10]Feb 26th '!$L$39,'[11]Mar 31st'!$L$47)</f>
        <v>6.6217391304347828</v>
      </c>
      <c r="N44" s="416">
        <v>9.1999999999999993</v>
      </c>
      <c r="O44" s="294"/>
      <c r="P44" s="12"/>
    </row>
    <row r="45" spans="1:56" ht="15" customHeight="1">
      <c r="B45" s="520"/>
      <c r="C45" s="349"/>
      <c r="D45" s="529"/>
      <c r="E45" s="530"/>
      <c r="F45" s="294"/>
      <c r="G45" s="42"/>
      <c r="H45" s="42"/>
      <c r="I45" s="42"/>
      <c r="J45" s="288" t="s">
        <v>40</v>
      </c>
      <c r="K45" s="324"/>
      <c r="L45" s="294"/>
      <c r="M45" s="294"/>
      <c r="N45" s="294"/>
      <c r="O45" s="294"/>
      <c r="P45" s="12"/>
    </row>
    <row r="46" spans="1:56" ht="15" customHeight="1">
      <c r="B46" s="520"/>
      <c r="C46" s="349"/>
      <c r="D46" s="524"/>
      <c r="E46" s="525"/>
      <c r="F46" s="294"/>
      <c r="G46" s="42"/>
      <c r="H46" s="42"/>
      <c r="I46" s="42"/>
      <c r="J46" s="289" t="s">
        <v>33</v>
      </c>
      <c r="K46" s="324"/>
      <c r="L46" s="294"/>
      <c r="M46" s="294"/>
      <c r="N46" s="294"/>
      <c r="O46" s="294"/>
      <c r="P46" s="12"/>
    </row>
    <row r="47" spans="1:56" ht="15">
      <c r="B47" s="520"/>
      <c r="C47" s="349"/>
      <c r="D47" s="529"/>
      <c r="E47" s="530"/>
      <c r="F47" s="294"/>
      <c r="G47" s="42"/>
      <c r="H47" s="42"/>
      <c r="I47" s="42"/>
      <c r="J47" s="290" t="s">
        <v>16</v>
      </c>
      <c r="K47" s="324"/>
      <c r="L47" s="294"/>
      <c r="M47" s="294"/>
      <c r="N47" s="294"/>
      <c r="O47" s="294"/>
      <c r="P47" s="12"/>
      <c r="BC47" s="44"/>
      <c r="BD47" s="44"/>
    </row>
    <row r="48" spans="1:56" ht="15">
      <c r="B48" s="520"/>
      <c r="C48" s="349"/>
      <c r="D48" s="524"/>
      <c r="E48" s="525"/>
      <c r="F48" s="294"/>
      <c r="G48" s="42"/>
      <c r="H48" s="42"/>
      <c r="I48" s="42"/>
      <c r="J48" s="291" t="s">
        <v>15</v>
      </c>
      <c r="K48" s="324"/>
      <c r="L48" s="294"/>
      <c r="M48" s="294"/>
      <c r="N48" s="294"/>
      <c r="O48" s="294"/>
      <c r="P48" s="12"/>
      <c r="BC48" s="44"/>
      <c r="BD48" s="44"/>
    </row>
    <row r="49" spans="1:57" ht="15">
      <c r="B49" s="520"/>
      <c r="C49" s="349"/>
      <c r="D49" s="529"/>
      <c r="E49" s="530"/>
      <c r="F49" s="294"/>
      <c r="G49" s="42"/>
      <c r="H49" s="42"/>
      <c r="I49" s="42"/>
      <c r="J49" s="291" t="s">
        <v>149</v>
      </c>
      <c r="K49" s="324"/>
      <c r="L49" s="294"/>
      <c r="M49" s="294"/>
      <c r="N49" s="294"/>
      <c r="O49" s="294"/>
      <c r="P49" s="12"/>
      <c r="BC49" s="44"/>
      <c r="BD49" s="44"/>
    </row>
    <row r="50" spans="1:57" ht="15.75" thickBot="1">
      <c r="B50" s="521"/>
      <c r="C50" s="350"/>
      <c r="D50" s="531"/>
      <c r="E50" s="532"/>
      <c r="F50" s="294" t="s">
        <v>166</v>
      </c>
      <c r="G50" s="42"/>
      <c r="H50" s="42"/>
      <c r="I50" s="42"/>
      <c r="J50" s="291" t="s">
        <v>148</v>
      </c>
      <c r="K50" s="324"/>
      <c r="L50" s="294"/>
      <c r="M50" s="294"/>
      <c r="N50" s="294" t="s">
        <v>41</v>
      </c>
      <c r="O50" s="294"/>
      <c r="P50" s="12"/>
      <c r="BC50" s="44"/>
      <c r="BD50" s="44"/>
    </row>
    <row r="51" spans="1:57" ht="17.649999999999999" customHeight="1" thickBot="1">
      <c r="B51" s="312" t="s">
        <v>139</v>
      </c>
      <c r="C51" s="313"/>
      <c r="D51" s="512"/>
      <c r="E51" s="513"/>
      <c r="F51" s="294"/>
      <c r="J51" s="295" t="s">
        <v>134</v>
      </c>
      <c r="K51" s="324"/>
      <c r="L51" s="294"/>
      <c r="M51" s="294"/>
      <c r="N51" s="294"/>
      <c r="O51" s="294"/>
      <c r="P51" s="12"/>
      <c r="BC51" s="44"/>
      <c r="BD51" s="44"/>
    </row>
    <row r="52" spans="1:57" ht="17.649999999999999" customHeight="1">
      <c r="B52" s="363"/>
      <c r="C52" s="364"/>
      <c r="D52" s="365"/>
      <c r="E52" s="365"/>
      <c r="F52" s="294"/>
      <c r="G52" s="42"/>
      <c r="H52" s="42"/>
      <c r="I52" s="42"/>
      <c r="J52" s="295" t="s">
        <v>131</v>
      </c>
      <c r="K52" s="324"/>
      <c r="L52" s="294"/>
      <c r="M52" s="294"/>
      <c r="N52" s="294"/>
      <c r="O52" s="294"/>
      <c r="P52" s="12"/>
      <c r="BC52" s="44"/>
      <c r="BD52" s="44"/>
    </row>
    <row r="53" spans="1:57" ht="15.6" customHeight="1">
      <c r="B53" s="45"/>
      <c r="C53" s="11"/>
      <c r="D53" s="11"/>
      <c r="E53" s="46"/>
      <c r="F53" s="294"/>
      <c r="G53" s="42"/>
      <c r="H53" s="42"/>
      <c r="I53" s="42"/>
      <c r="J53" s="346" t="s">
        <v>130</v>
      </c>
      <c r="K53" s="324">
        <f>SUM(K43:K52)</f>
        <v>9</v>
      </c>
      <c r="L53" s="294"/>
      <c r="M53" s="294"/>
      <c r="N53" s="294"/>
      <c r="O53" s="294"/>
      <c r="P53" s="12"/>
    </row>
    <row r="54" spans="1:57" ht="20.25" customHeight="1">
      <c r="B54" s="15" t="s">
        <v>42</v>
      </c>
      <c r="C54" s="1" t="s">
        <v>43</v>
      </c>
      <c r="D54" s="1"/>
      <c r="E54" s="1"/>
      <c r="F54" s="294"/>
      <c r="G54" s="42"/>
      <c r="H54" s="41"/>
      <c r="I54" s="42"/>
      <c r="L54" s="294"/>
      <c r="N54" s="315"/>
      <c r="P54" s="334"/>
    </row>
    <row r="55" spans="1:57" ht="15" customHeight="1" thickBot="1"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1"/>
      <c r="O55" s="48"/>
      <c r="P55" s="49"/>
    </row>
    <row r="56" spans="1:57" ht="15" customHeight="1" thickBot="1">
      <c r="B56" s="504" t="s">
        <v>17</v>
      </c>
      <c r="C56" s="504" t="s">
        <v>44</v>
      </c>
      <c r="D56" s="515" t="s">
        <v>45</v>
      </c>
      <c r="E56" s="517" t="s">
        <v>46</v>
      </c>
      <c r="F56" s="510" t="s">
        <v>47</v>
      </c>
      <c r="G56" s="502" t="s">
        <v>48</v>
      </c>
      <c r="H56" s="504" t="s">
        <v>49</v>
      </c>
      <c r="I56" s="504" t="s">
        <v>50</v>
      </c>
      <c r="J56" s="496" t="s">
        <v>28</v>
      </c>
      <c r="K56" s="506" t="s">
        <v>51</v>
      </c>
      <c r="L56" s="508" t="s">
        <v>52</v>
      </c>
      <c r="M56" s="496" t="s">
        <v>53</v>
      </c>
      <c r="N56" s="13"/>
      <c r="O56" s="13"/>
      <c r="P56" s="50"/>
    </row>
    <row r="57" spans="1:57" ht="28.5" customHeight="1" thickTop="1" thickBot="1">
      <c r="B57" s="505"/>
      <c r="C57" s="514"/>
      <c r="D57" s="516"/>
      <c r="E57" s="518"/>
      <c r="F57" s="511"/>
      <c r="G57" s="503"/>
      <c r="H57" s="505"/>
      <c r="I57" s="505"/>
      <c r="J57" s="497"/>
      <c r="K57" s="507"/>
      <c r="L57" s="509"/>
      <c r="M57" s="497"/>
      <c r="N57" s="13"/>
      <c r="O57" s="13"/>
      <c r="P57" s="50"/>
      <c r="Q57" s="355"/>
      <c r="AB57" s="475">
        <v>43474</v>
      </c>
      <c r="AC57" s="475">
        <v>43475</v>
      </c>
      <c r="AD57" s="475">
        <v>43476</v>
      </c>
      <c r="AE57" s="475">
        <v>43477</v>
      </c>
      <c r="AF57" s="475">
        <v>43478</v>
      </c>
      <c r="AG57" s="475">
        <v>43479</v>
      </c>
      <c r="AH57" s="475">
        <v>43480</v>
      </c>
      <c r="AI57" s="475">
        <v>43481</v>
      </c>
      <c r="AJ57" s="475">
        <v>43482</v>
      </c>
      <c r="AK57" s="475">
        <v>43483</v>
      </c>
      <c r="AL57" s="475">
        <v>43484</v>
      </c>
      <c r="AM57" s="475">
        <v>43485</v>
      </c>
      <c r="AN57" s="475">
        <v>43486</v>
      </c>
      <c r="AO57" s="475">
        <v>43487</v>
      </c>
      <c r="AP57" s="475">
        <v>43488</v>
      </c>
      <c r="AQ57" s="475">
        <v>43489</v>
      </c>
      <c r="AR57" s="475">
        <v>43490</v>
      </c>
      <c r="AS57" s="475">
        <v>43491</v>
      </c>
      <c r="AT57" s="475">
        <v>43492</v>
      </c>
      <c r="AU57" s="475">
        <v>43493</v>
      </c>
      <c r="AV57" s="475">
        <v>43494</v>
      </c>
      <c r="AW57" s="475">
        <v>43495</v>
      </c>
      <c r="AX57" s="475">
        <v>43496</v>
      </c>
    </row>
    <row r="58" spans="1:57" s="54" customFormat="1" ht="36.75" customHeight="1" thickBot="1">
      <c r="B58" s="480" t="str">
        <f>J43</f>
        <v>CARIB</v>
      </c>
      <c r="C58" s="479">
        <v>46128</v>
      </c>
      <c r="D58" s="442">
        <f>[12]April_2026!$S$3</f>
        <v>604.9</v>
      </c>
      <c r="E58" s="443"/>
      <c r="F58" s="444"/>
      <c r="G58" s="445">
        <f>[12]April_2026!$S$7</f>
        <v>570.5</v>
      </c>
      <c r="H58" s="458"/>
      <c r="I58" s="458"/>
      <c r="J58" s="448" t="s">
        <v>181</v>
      </c>
      <c r="K58" s="449">
        <f>[13]April_2026!$S$18</f>
        <v>0.6672514619883041</v>
      </c>
      <c r="L58" s="457">
        <f>(((D58+E58)-G58)/(D58+E58))*100</f>
        <v>5.6868903951066256</v>
      </c>
      <c r="M58" s="455" t="s">
        <v>180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[14]January_2019!L5</f>
        <v>0</v>
      </c>
      <c r="AC58" s="57">
        <f>[14]January_2019!M5</f>
        <v>0</v>
      </c>
      <c r="AD58" s="57">
        <f>[14]January_2019!N5</f>
        <v>0</v>
      </c>
      <c r="AE58" s="57">
        <f>[14]January_2019!O5</f>
        <v>0</v>
      </c>
      <c r="AF58" s="57">
        <f>[14]January_2019!P5</f>
        <v>0</v>
      </c>
      <c r="AG58" s="57">
        <f>[14]January_2019!Q5</f>
        <v>0</v>
      </c>
      <c r="AH58" s="57">
        <f>[14]January_2019!R5</f>
        <v>0</v>
      </c>
      <c r="AI58" s="57">
        <f>[14]January_2019!S5</f>
        <v>0</v>
      </c>
      <c r="AJ58" s="57">
        <f>[14]January_2019!T5</f>
        <v>0</v>
      </c>
      <c r="AK58" s="57">
        <f>[14]January_2019!U5</f>
        <v>0</v>
      </c>
      <c r="AL58" s="57">
        <f>[14]January_2019!V5</f>
        <v>0</v>
      </c>
      <c r="AM58" s="57">
        <f>[14]January_2019!W5</f>
        <v>0</v>
      </c>
      <c r="AN58" s="57">
        <f>[14]January_2019!X5</f>
        <v>0</v>
      </c>
      <c r="AO58" s="57">
        <f>[14]January_2019!Y5</f>
        <v>0</v>
      </c>
      <c r="AP58" s="57">
        <f>[14]January_2019!Z5</f>
        <v>0</v>
      </c>
      <c r="AQ58" s="57">
        <f>[14]January_2019!AA5</f>
        <v>0</v>
      </c>
      <c r="AR58" s="57">
        <f>[14]January_2019!AB5</f>
        <v>0</v>
      </c>
      <c r="AS58" s="57">
        <f>[14]January_2019!AC5</f>
        <v>0</v>
      </c>
      <c r="AT58" s="57">
        <f>[14]January_2019!AD5</f>
        <v>0</v>
      </c>
      <c r="AU58" s="57">
        <f>[14]January_2019!AE5</f>
        <v>0</v>
      </c>
      <c r="AV58" s="57">
        <f>[14]January_2019!AF5</f>
        <v>0</v>
      </c>
      <c r="AW58" s="57">
        <f>[14]January_2019!AG5</f>
        <v>0</v>
      </c>
      <c r="AX58" s="277">
        <f>[14]January_2019!AH5</f>
        <v>0</v>
      </c>
      <c r="AY58" s="277"/>
      <c r="AZ58" s="277"/>
      <c r="BA58" s="277"/>
      <c r="BB58" s="277"/>
      <c r="BC58" s="277"/>
      <c r="BD58" s="277"/>
      <c r="BE58" s="277"/>
    </row>
    <row r="59" spans="1:57" s="54" customFormat="1" ht="14.25" customHeight="1" thickBot="1">
      <c r="B59" s="480"/>
      <c r="C59" s="479"/>
      <c r="D59" s="442"/>
      <c r="E59" s="443"/>
      <c r="F59" s="444"/>
      <c r="G59" s="445"/>
      <c r="H59" s="458"/>
      <c r="I59" s="458"/>
      <c r="J59" s="476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>
        <f>[14]January_2019!L6</f>
        <v>0</v>
      </c>
      <c r="AC59" s="57">
        <f>[14]January_2019!M6</f>
        <v>0</v>
      </c>
      <c r="AD59" s="57">
        <f>[14]January_2019!N6</f>
        <v>0</v>
      </c>
      <c r="AE59" s="57">
        <f>[14]January_2019!O6</f>
        <v>0</v>
      </c>
      <c r="AF59" s="57">
        <f>[14]January_2019!P6</f>
        <v>0</v>
      </c>
      <c r="AG59" s="57">
        <f>[14]January_2019!Q6</f>
        <v>0</v>
      </c>
      <c r="AH59" s="57">
        <f>[14]January_2019!R6</f>
        <v>0</v>
      </c>
      <c r="AI59" s="57">
        <f>[14]January_2019!S6</f>
        <v>0</v>
      </c>
      <c r="AJ59" s="57">
        <f>[14]January_2019!T6</f>
        <v>0</v>
      </c>
      <c r="AK59" s="57">
        <f>[14]January_2019!U6</f>
        <v>0</v>
      </c>
      <c r="AL59" s="57">
        <f>[14]January_2019!V6</f>
        <v>0</v>
      </c>
      <c r="AM59" s="57">
        <f>[14]January_2019!W6</f>
        <v>0</v>
      </c>
      <c r="AN59" s="57">
        <f>[14]January_2019!X6</f>
        <v>0</v>
      </c>
      <c r="AO59" s="57">
        <f>[14]January_2019!Y6</f>
        <v>0</v>
      </c>
      <c r="AP59" s="57">
        <f>[14]January_2019!Z6</f>
        <v>0</v>
      </c>
      <c r="AQ59" s="57">
        <f>[14]January_2019!AA6</f>
        <v>0</v>
      </c>
      <c r="AR59" s="57">
        <f>[14]January_2019!AB6</f>
        <v>0</v>
      </c>
      <c r="AS59" s="57">
        <f>[14]January_2019!AC6</f>
        <v>0</v>
      </c>
      <c r="AT59" s="57">
        <f>[14]January_2019!AD6</f>
        <v>0</v>
      </c>
      <c r="AU59" s="57">
        <f>[14]January_2019!AE6</f>
        <v>0</v>
      </c>
      <c r="AV59" s="57">
        <f>[14]January_2019!AF6</f>
        <v>0</v>
      </c>
      <c r="AW59" s="57">
        <f>[14]January_2019!AG6</f>
        <v>0</v>
      </c>
      <c r="AX59" s="277">
        <f>[14]January_2019!AH6</f>
        <v>0</v>
      </c>
      <c r="AY59" s="277"/>
      <c r="AZ59" s="277"/>
      <c r="BA59" s="277"/>
      <c r="BB59" s="277"/>
      <c r="BC59" s="277"/>
      <c r="BD59" s="277"/>
      <c r="BE59" s="277"/>
    </row>
    <row r="60" spans="1:57" s="54" customFormat="1" ht="37.15" hidden="1" customHeight="1" thickBot="1">
      <c r="A60" s="54" t="s">
        <v>168</v>
      </c>
      <c r="B60" s="486"/>
      <c r="C60" s="479"/>
      <c r="D60" s="442"/>
      <c r="E60" s="443"/>
      <c r="F60" s="444"/>
      <c r="G60" s="445"/>
      <c r="H60" s="458"/>
      <c r="I60" s="458"/>
      <c r="J60" s="448"/>
      <c r="K60" s="449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>
        <f>[14]January_2019!L7</f>
        <v>285.8</v>
      </c>
      <c r="AC60" s="57">
        <f>[14]January_2019!M7</f>
        <v>508.1</v>
      </c>
      <c r="AD60" s="57">
        <f>[14]January_2019!N7</f>
        <v>0</v>
      </c>
      <c r="AE60" s="57">
        <f>[14]January_2019!O7</f>
        <v>0</v>
      </c>
      <c r="AF60" s="57">
        <f>[14]January_2019!P7</f>
        <v>109.56666666666666</v>
      </c>
      <c r="AG60" s="57">
        <f>[14]January_2019!Q7</f>
        <v>297.64999999999998</v>
      </c>
      <c r="AH60" s="57">
        <f>[14]January_2019!R7</f>
        <v>122.3</v>
      </c>
      <c r="AI60" s="57">
        <f>[14]January_2019!S7</f>
        <v>0</v>
      </c>
      <c r="AJ60" s="57">
        <f>[14]January_2019!T7</f>
        <v>294.7</v>
      </c>
      <c r="AK60" s="57">
        <f>[14]January_2019!U7</f>
        <v>280.5</v>
      </c>
      <c r="AL60" s="57">
        <f>[14]January_2019!V7</f>
        <v>0</v>
      </c>
      <c r="AM60" s="57">
        <f>[14]January_2019!W7</f>
        <v>0</v>
      </c>
      <c r="AN60" s="57">
        <f>[14]January_2019!X7</f>
        <v>188.25</v>
      </c>
      <c r="AO60" s="57">
        <f>[14]January_2019!Y7</f>
        <v>295.7</v>
      </c>
      <c r="AP60" s="57">
        <f>[14]January_2019!Z7</f>
        <v>257.8</v>
      </c>
      <c r="AQ60" s="57">
        <f>[14]January_2019!AA7</f>
        <v>291.2</v>
      </c>
      <c r="AR60" s="57">
        <f>[14]January_2019!AB7</f>
        <v>187</v>
      </c>
      <c r="AS60" s="57">
        <f>[14]January_2019!AC7</f>
        <v>0</v>
      </c>
      <c r="AT60" s="57">
        <f>[14]January_2019!AD7</f>
        <v>0</v>
      </c>
      <c r="AU60" s="57">
        <f>[14]January_2019!AE7</f>
        <v>485.1</v>
      </c>
      <c r="AV60" s="57">
        <f>[14]January_2019!AF7</f>
        <v>171.55</v>
      </c>
      <c r="AW60" s="57">
        <f>[14]January_2019!AG7</f>
        <v>423.8</v>
      </c>
      <c r="AX60" s="277">
        <f>[14]January_2019!AH7</f>
        <v>0</v>
      </c>
      <c r="AY60" s="277"/>
      <c r="AZ60" s="277"/>
      <c r="BA60" s="277"/>
      <c r="BB60" s="277"/>
      <c r="BC60" s="277"/>
      <c r="BD60" s="277"/>
      <c r="BE60" s="277"/>
    </row>
    <row r="61" spans="1:57" s="54" customFormat="1" ht="19.5" hidden="1" customHeight="1" thickBot="1">
      <c r="B61" s="478"/>
      <c r="C61" s="430"/>
      <c r="D61" s="431"/>
      <c r="E61" s="432"/>
      <c r="F61" s="433"/>
      <c r="G61" s="434"/>
      <c r="H61" s="458"/>
      <c r="I61" s="458"/>
      <c r="J61" s="451"/>
      <c r="K61" s="436"/>
      <c r="L61" s="452"/>
      <c r="M61" s="421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1:57" s="54" customFormat="1" ht="38.450000000000003" hidden="1" customHeight="1" thickBot="1">
      <c r="B62" s="480"/>
      <c r="C62" s="479"/>
      <c r="D62" s="442"/>
      <c r="E62" s="443"/>
      <c r="F62" s="444"/>
      <c r="G62" s="445"/>
      <c r="H62" s="458"/>
      <c r="I62" s="458"/>
      <c r="J62" s="448" t="s">
        <v>171</v>
      </c>
      <c r="K62" s="459"/>
      <c r="L62" s="457" t="e">
        <f>(((D62+E62)-G62)/(D62+E62))*100</f>
        <v>#DIV/0!</v>
      </c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1:57" s="54" customFormat="1" ht="15" hidden="1">
      <c r="B63" s="453"/>
      <c r="C63" s="430"/>
      <c r="D63" s="431"/>
      <c r="E63" s="432"/>
      <c r="F63" s="433"/>
      <c r="G63" s="434"/>
      <c r="H63" s="435"/>
      <c r="I63" s="450"/>
      <c r="J63" s="451"/>
      <c r="K63" s="436"/>
      <c r="L63" s="452"/>
      <c r="M63" s="421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1:57" s="54" customFormat="1" ht="37.15" hidden="1" customHeight="1" thickBot="1">
      <c r="B64" s="480"/>
      <c r="C64" s="479"/>
      <c r="D64" s="442"/>
      <c r="E64" s="443"/>
      <c r="F64" s="444"/>
      <c r="G64" s="445"/>
      <c r="H64" s="446"/>
      <c r="I64" s="447"/>
      <c r="J64" s="448"/>
      <c r="K64" s="449"/>
      <c r="L64" s="457"/>
      <c r="M64" s="455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16.5" hidden="1" customHeight="1" thickBot="1">
      <c r="B65" s="437"/>
      <c r="C65" s="423"/>
      <c r="D65" s="424"/>
      <c r="E65" s="425"/>
      <c r="F65" s="426"/>
      <c r="G65" s="427"/>
      <c r="H65" s="428"/>
      <c r="I65" s="438"/>
      <c r="J65" s="439"/>
      <c r="K65" s="429"/>
      <c r="L65" s="440"/>
      <c r="M65" s="422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415"/>
      <c r="AC65" s="415"/>
      <c r="AD65" s="415"/>
      <c r="AE65" s="415"/>
      <c r="AF65" s="415"/>
      <c r="AG65" s="415"/>
      <c r="AH65" s="415"/>
      <c r="AI65" s="415"/>
      <c r="AJ65" s="415"/>
      <c r="AK65" s="415"/>
      <c r="AL65" s="415"/>
      <c r="AM65" s="415"/>
      <c r="AN65" s="415"/>
      <c r="AO65" s="415"/>
      <c r="AP65" s="415"/>
      <c r="AQ65" s="415"/>
      <c r="AR65" s="415"/>
      <c r="AS65" s="415"/>
      <c r="AT65" s="415"/>
      <c r="AU65" s="415"/>
      <c r="AV65" s="415"/>
      <c r="AW65" s="415"/>
    </row>
    <row r="66" spans="2:57" s="54" customFormat="1" ht="37.15" hidden="1" customHeight="1" thickBot="1">
      <c r="B66" s="456"/>
      <c r="C66" s="441"/>
      <c r="D66" s="442"/>
      <c r="E66" s="443"/>
      <c r="F66" s="444"/>
      <c r="G66" s="445"/>
      <c r="H66" s="446"/>
      <c r="I66" s="447"/>
      <c r="J66" s="448"/>
      <c r="K66" s="449"/>
      <c r="L66" s="457"/>
      <c r="M66" s="454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37.15" customHeight="1">
      <c r="B67" s="466"/>
      <c r="C67" s="430"/>
      <c r="D67" s="460"/>
      <c r="E67" s="461"/>
      <c r="F67" s="462"/>
      <c r="G67" s="460"/>
      <c r="H67" s="463"/>
      <c r="I67" s="463"/>
      <c r="J67" s="463"/>
      <c r="K67" s="464"/>
      <c r="L67" s="465"/>
      <c r="M67" s="50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ht="18" customHeight="1" thickBot="1">
      <c r="B68" s="59"/>
      <c r="C68" s="30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 t="s">
        <v>41</v>
      </c>
      <c r="O68" s="56"/>
      <c r="P68" s="60"/>
    </row>
    <row r="69" spans="2:57" ht="15.75" thickBot="1">
      <c r="B69" s="498" t="s">
        <v>55</v>
      </c>
      <c r="C69" s="499"/>
      <c r="D69" s="499"/>
      <c r="E69" s="499"/>
      <c r="F69" s="500"/>
      <c r="G69" s="498" t="s">
        <v>56</v>
      </c>
      <c r="H69" s="499"/>
      <c r="I69" s="499"/>
      <c r="J69" s="500"/>
      <c r="K69" s="498" t="s">
        <v>51</v>
      </c>
      <c r="L69" s="499"/>
      <c r="M69" s="499"/>
      <c r="N69" s="501"/>
      <c r="O69" s="56"/>
      <c r="P69" s="50"/>
    </row>
    <row r="70" spans="2:57" ht="15">
      <c r="B70" s="61" t="s">
        <v>17</v>
      </c>
      <c r="C70" s="62" t="s">
        <v>36</v>
      </c>
      <c r="D70" s="62" t="s">
        <v>37</v>
      </c>
      <c r="E70" s="62" t="s">
        <v>38</v>
      </c>
      <c r="F70" s="63" t="s">
        <v>39</v>
      </c>
      <c r="G70" s="62" t="s">
        <v>36</v>
      </c>
      <c r="H70" s="62" t="s">
        <v>37</v>
      </c>
      <c r="I70" s="62" t="s">
        <v>38</v>
      </c>
      <c r="J70" s="63" t="s">
        <v>39</v>
      </c>
      <c r="K70" s="62"/>
      <c r="L70" s="62" t="s">
        <v>37</v>
      </c>
      <c r="M70" s="62" t="s">
        <v>38</v>
      </c>
      <c r="N70" s="63" t="s">
        <v>39</v>
      </c>
      <c r="O70" s="56"/>
      <c r="P70" s="64"/>
    </row>
    <row r="71" spans="2:57" ht="15">
      <c r="B71" s="29" t="s">
        <v>6</v>
      </c>
      <c r="C71" s="282">
        <f>L58</f>
        <v>5.6868903951066256</v>
      </c>
      <c r="D71" s="76">
        <v>6.0075823855351524</v>
      </c>
      <c r="E71" s="76">
        <v>6.6993152412651931</v>
      </c>
      <c r="F71" s="66">
        <v>4.8</v>
      </c>
      <c r="G71" s="65">
        <f>[12]April_2026!$S$11</f>
        <v>5.1523221625282831</v>
      </c>
      <c r="H71" s="477">
        <v>5.1860944655682832</v>
      </c>
      <c r="I71" s="477">
        <v>6.3960137903567764</v>
      </c>
      <c r="J71" s="66">
        <v>4.8</v>
      </c>
      <c r="K71" s="67">
        <f>K58</f>
        <v>0.6672514619883041</v>
      </c>
      <c r="L71" s="194">
        <v>0.8283187134502924</v>
      </c>
      <c r="M71" s="194">
        <v>0.5002100309866222</v>
      </c>
      <c r="N71" s="68">
        <v>1</v>
      </c>
      <c r="O71" s="56"/>
      <c r="P71" s="69"/>
    </row>
    <row r="72" spans="2:57" ht="15">
      <c r="B72" s="33" t="s">
        <v>9</v>
      </c>
      <c r="C72" s="65"/>
      <c r="D72" s="76">
        <v>4.8086790793138778</v>
      </c>
      <c r="E72" s="76">
        <v>6.0391438563444542</v>
      </c>
      <c r="F72" s="66">
        <v>4.8</v>
      </c>
      <c r="G72" s="65"/>
      <c r="H72" s="76">
        <v>3.7045586293348483</v>
      </c>
      <c r="I72" s="76">
        <v>5.7742586308793999</v>
      </c>
      <c r="J72" s="66">
        <v>4.8</v>
      </c>
      <c r="K72" s="67"/>
      <c r="L72" s="194">
        <v>1.2884210526315791</v>
      </c>
      <c r="M72" s="194">
        <v>0.74983233325567777</v>
      </c>
      <c r="N72" s="68">
        <v>1</v>
      </c>
      <c r="P72" s="69"/>
    </row>
    <row r="73" spans="2:57" ht="15">
      <c r="B73" s="34" t="s">
        <v>40</v>
      </c>
      <c r="C73" s="65"/>
      <c r="D73" s="76"/>
      <c r="E73" s="76">
        <v>12.380135651360392</v>
      </c>
      <c r="F73" s="66">
        <v>5.5</v>
      </c>
      <c r="G73" s="483"/>
      <c r="H73" s="76"/>
      <c r="I73" s="76">
        <v>13.955538676690328</v>
      </c>
      <c r="J73" s="66">
        <v>5.5</v>
      </c>
      <c r="K73" s="67"/>
      <c r="L73" s="194"/>
      <c r="M73" s="194">
        <v>0.29450526315789471</v>
      </c>
      <c r="N73" s="68">
        <v>1</v>
      </c>
      <c r="P73" s="69"/>
    </row>
    <row r="74" spans="2:57" ht="15">
      <c r="B74" s="22" t="s">
        <v>33</v>
      </c>
      <c r="C74" s="65"/>
      <c r="D74" s="76"/>
      <c r="E74" s="76">
        <v>4.601418358346991</v>
      </c>
      <c r="F74" s="66">
        <v>3.3</v>
      </c>
      <c r="G74" s="65"/>
      <c r="H74" s="76"/>
      <c r="I74" s="76">
        <v>4.3274739720788533</v>
      </c>
      <c r="J74" s="66">
        <v>3.3</v>
      </c>
      <c r="K74" s="67"/>
      <c r="L74" s="194"/>
      <c r="M74" s="194">
        <v>0.8292543859649123</v>
      </c>
      <c r="N74" s="68">
        <v>1</v>
      </c>
      <c r="P74" s="69"/>
    </row>
    <row r="75" spans="2:57" ht="15">
      <c r="B75" s="35" t="s">
        <v>164</v>
      </c>
      <c r="C75" s="65"/>
      <c r="D75" s="76"/>
      <c r="E75" s="76"/>
      <c r="F75" s="66">
        <v>3.3</v>
      </c>
      <c r="G75" s="282"/>
      <c r="H75" s="76"/>
      <c r="I75" s="76"/>
      <c r="J75" s="66">
        <v>3</v>
      </c>
      <c r="K75" s="67"/>
      <c r="L75" s="194"/>
      <c r="M75" s="194"/>
      <c r="N75" s="68">
        <v>1</v>
      </c>
      <c r="P75" s="69"/>
    </row>
    <row r="76" spans="2:57" ht="15">
      <c r="B76" s="36" t="s">
        <v>15</v>
      </c>
      <c r="C76" s="65"/>
      <c r="D76" s="76"/>
      <c r="E76" s="76">
        <v>5.1105651105651271</v>
      </c>
      <c r="F76" s="70">
        <f>[15]May_2022!$M$43</f>
        <v>3.4878406700073312</v>
      </c>
      <c r="G76" s="282"/>
      <c r="H76" s="76"/>
      <c r="I76" s="76">
        <v>7.9131369535794072</v>
      </c>
      <c r="J76" s="66">
        <v>5.5</v>
      </c>
      <c r="K76" s="67"/>
      <c r="L76" s="194"/>
      <c r="M76" s="194">
        <v>1.3550877192982456</v>
      </c>
      <c r="N76" s="68">
        <v>1</v>
      </c>
      <c r="P76" s="69"/>
    </row>
    <row r="77" spans="2:57" ht="15">
      <c r="B77" s="37" t="s">
        <v>16</v>
      </c>
      <c r="C77" s="65"/>
      <c r="D77" s="76"/>
      <c r="E77" s="76">
        <v>3.9654240950837312</v>
      </c>
      <c r="F77" s="66">
        <v>3.3</v>
      </c>
      <c r="G77" s="282"/>
      <c r="H77" s="76"/>
      <c r="I77" s="76">
        <v>5.0010391616318897</v>
      </c>
      <c r="J77" s="66">
        <v>3.3</v>
      </c>
      <c r="K77" s="67"/>
      <c r="L77" s="194"/>
      <c r="M77" s="194">
        <v>0.93295906432748543</v>
      </c>
      <c r="N77" s="71">
        <v>1</v>
      </c>
      <c r="P77" s="69"/>
    </row>
    <row r="78" spans="2:57" ht="15.75" thickBot="1">
      <c r="B78" s="38" t="s">
        <v>163</v>
      </c>
      <c r="C78" s="65"/>
      <c r="D78" s="76"/>
      <c r="E78" s="76"/>
      <c r="F78" s="66">
        <v>7.5</v>
      </c>
      <c r="G78" s="282"/>
      <c r="H78" s="76"/>
      <c r="I78" s="76"/>
      <c r="J78" s="66">
        <v>7.5</v>
      </c>
      <c r="K78" s="67"/>
      <c r="L78" s="194"/>
      <c r="M78" s="194"/>
      <c r="N78" s="71">
        <v>1</v>
      </c>
      <c r="P78" s="69"/>
    </row>
    <row r="79" spans="2:57" ht="15.75" thickBot="1">
      <c r="B79" s="414" t="s">
        <v>161</v>
      </c>
      <c r="C79" s="65"/>
      <c r="D79" s="76"/>
      <c r="E79" s="76"/>
      <c r="F79" s="66">
        <v>4.8</v>
      </c>
      <c r="G79" s="282"/>
      <c r="H79" s="76"/>
      <c r="I79" s="76"/>
      <c r="J79" s="66">
        <v>4.8</v>
      </c>
      <c r="K79" s="67"/>
      <c r="L79" s="194"/>
      <c r="M79" s="194"/>
      <c r="N79" s="71">
        <v>1</v>
      </c>
      <c r="O79" s="74"/>
      <c r="P79" s="75"/>
    </row>
    <row r="80" spans="2:57" ht="15">
      <c r="D80" s="76">
        <v>5.5731172798512469</v>
      </c>
      <c r="E80" s="76">
        <v>6.4613495965176222</v>
      </c>
      <c r="F80" s="341">
        <v>5.5</v>
      </c>
      <c r="H80" s="76">
        <v>4.88273249667012</v>
      </c>
      <c r="I80" s="76">
        <v>6.5357531489199818</v>
      </c>
      <c r="J80" s="341">
        <v>5.5</v>
      </c>
      <c r="L80" s="194">
        <v>0.92033918128654968</v>
      </c>
      <c r="M80" s="194">
        <v>0.59434086341981085</v>
      </c>
      <c r="N80" s="386">
        <v>1</v>
      </c>
    </row>
  </sheetData>
  <mergeCells count="51">
    <mergeCell ref="M56:M57"/>
    <mergeCell ref="B69:F69"/>
    <mergeCell ref="G69:J69"/>
    <mergeCell ref="K69:N69"/>
    <mergeCell ref="G56:G57"/>
    <mergeCell ref="H56:H57"/>
    <mergeCell ref="I56:I57"/>
    <mergeCell ref="J56:J57"/>
    <mergeCell ref="K56:K57"/>
    <mergeCell ref="L56:L57"/>
    <mergeCell ref="F56:F57"/>
    <mergeCell ref="D51:E51"/>
    <mergeCell ref="B56:B57"/>
    <mergeCell ref="C56:C57"/>
    <mergeCell ref="D56:D57"/>
    <mergeCell ref="E56:E57"/>
    <mergeCell ref="B41:B50"/>
    <mergeCell ref="D41:E42"/>
    <mergeCell ref="J41:K41"/>
    <mergeCell ref="L42:N42"/>
    <mergeCell ref="D43:E44"/>
    <mergeCell ref="D45:E46"/>
    <mergeCell ref="D47:E48"/>
    <mergeCell ref="D49:E50"/>
    <mergeCell ref="I27:N27"/>
    <mergeCell ref="D28:E28"/>
    <mergeCell ref="B29:B40"/>
    <mergeCell ref="D29:E30"/>
    <mergeCell ref="D31:E32"/>
    <mergeCell ref="D33:E34"/>
    <mergeCell ref="D35:E36"/>
    <mergeCell ref="D37:E38"/>
    <mergeCell ref="D39:E40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1:B52">
    <cfRule type="cellIs" dxfId="1724" priority="79" operator="notBetween">
      <formula>#REF!</formula>
      <formula>#REF!</formula>
    </cfRule>
  </conditionalFormatting>
  <conditionalFormatting sqref="C55">
    <cfRule type="cellIs" dxfId="1723" priority="174" stopIfTrue="1" operator="greaterThan">
      <formula>100</formula>
    </cfRule>
    <cfRule type="cellIs" dxfId="1722" priority="173" stopIfTrue="1" operator="lessThan">
      <formula>96</formula>
    </cfRule>
  </conditionalFormatting>
  <conditionalFormatting sqref="C71:C75">
    <cfRule type="cellIs" dxfId="1721" priority="142" stopIfTrue="1" operator="lessThanOrEqual">
      <formula>0</formula>
    </cfRule>
  </conditionalFormatting>
  <conditionalFormatting sqref="C71:C79">
    <cfRule type="cellIs" dxfId="1720" priority="141" stopIfTrue="1" operator="greaterThan">
      <formula>$F71</formula>
    </cfRule>
  </conditionalFormatting>
  <conditionalFormatting sqref="C72">
    <cfRule type="cellIs" dxfId="1719" priority="175" stopIfTrue="1" operator="greaterThan">
      <formula>$F71</formula>
    </cfRule>
  </conditionalFormatting>
  <conditionalFormatting sqref="C76">
    <cfRule type="cellIs" dxfId="1718" priority="104" stopIfTrue="1" operator="greaterThan">
      <formula>$F75</formula>
    </cfRule>
    <cfRule type="cellIs" dxfId="1717" priority="103" stopIfTrue="1" operator="lessThanOrEqual">
      <formula>0</formula>
    </cfRule>
  </conditionalFormatting>
  <conditionalFormatting sqref="C77:C79">
    <cfRule type="cellIs" dxfId="1716" priority="143" stopIfTrue="1" operator="lessThanOrEqual">
      <formula>0</formula>
    </cfRule>
  </conditionalFormatting>
  <conditionalFormatting sqref="C82:C86">
    <cfRule type="cellIs" dxfId="1715" priority="165" stopIfTrue="1" operator="lessThanOrEqual">
      <formula>0</formula>
    </cfRule>
  </conditionalFormatting>
  <conditionalFormatting sqref="C83:C86">
    <cfRule type="cellIs" dxfId="1714" priority="164" stopIfTrue="1" operator="greaterThan">
      <formula>$F$82</formula>
    </cfRule>
  </conditionalFormatting>
  <conditionalFormatting sqref="C88">
    <cfRule type="cellIs" dxfId="1713" priority="167" stopIfTrue="1" operator="lessThanOrEqual">
      <formula>0</formula>
    </cfRule>
    <cfRule type="cellIs" dxfId="1712" priority="166" stopIfTrue="1" operator="greaterThan">
      <formula>$F$82</formula>
    </cfRule>
  </conditionalFormatting>
  <conditionalFormatting sqref="C82:D82 D84:D90">
    <cfRule type="cellIs" dxfId="1711" priority="159" stopIfTrue="1" operator="greaterThan">
      <formula>4.5</formula>
    </cfRule>
  </conditionalFormatting>
  <conditionalFormatting sqref="D51:D52">
    <cfRule type="cellIs" dxfId="1710" priority="80" operator="notBetween">
      <formula>#REF!</formula>
      <formula>#REF!</formula>
    </cfRule>
  </conditionalFormatting>
  <conditionalFormatting sqref="D71:D78">
    <cfRule type="cellIs" dxfId="1709" priority="54" stopIfTrue="1" operator="lessThanOrEqual">
      <formula>0</formula>
    </cfRule>
  </conditionalFormatting>
  <conditionalFormatting sqref="D71:D80">
    <cfRule type="cellIs" dxfId="1708" priority="33" stopIfTrue="1" operator="lessThanOrEqual">
      <formula>0</formula>
    </cfRule>
  </conditionalFormatting>
  <conditionalFormatting sqref="D79">
    <cfRule type="cellIs" dxfId="1707" priority="53" stopIfTrue="1" operator="lessThanOrEqual">
      <formula>0</formula>
    </cfRule>
  </conditionalFormatting>
  <conditionalFormatting sqref="D80">
    <cfRule type="cellIs" dxfId="1706" priority="48" stopIfTrue="1" operator="lessThanOrEqual">
      <formula>0</formula>
    </cfRule>
  </conditionalFormatting>
  <conditionalFormatting sqref="D82 D84:D90">
    <cfRule type="cellIs" dxfId="1705" priority="160" stopIfTrue="1" operator="lessThanOrEqual">
      <formula>0</formula>
    </cfRule>
  </conditionalFormatting>
  <conditionalFormatting sqref="D83">
    <cfRule type="cellIs" dxfId="1704" priority="152" stopIfTrue="1" operator="lessThanOrEqual">
      <formula>0</formula>
    </cfRule>
    <cfRule type="cellIs" dxfId="1703" priority="151" stopIfTrue="1" operator="greaterThan">
      <formula>$F$82</formula>
    </cfRule>
  </conditionalFormatting>
  <conditionalFormatting sqref="D71:E80">
    <cfRule type="cellIs" dxfId="1702" priority="35" stopIfTrue="1" operator="greaterThan">
      <formula>$F71</formula>
    </cfRule>
  </conditionalFormatting>
  <conditionalFormatting sqref="D80:E80">
    <cfRule type="cellIs" dxfId="1701" priority="37" stopIfTrue="1" operator="lessThanOrEqual">
      <formula>0</formula>
    </cfRule>
  </conditionalFormatting>
  <conditionalFormatting sqref="E10:E26">
    <cfRule type="cellIs" dxfId="1700" priority="21" operator="lessThan">
      <formula>48</formula>
    </cfRule>
  </conditionalFormatting>
  <conditionalFormatting sqref="E54 E55:F55">
    <cfRule type="cellIs" dxfId="1699" priority="156" stopIfTrue="1" operator="greaterThan">
      <formula>100</formula>
    </cfRule>
  </conditionalFormatting>
  <conditionalFormatting sqref="E55">
    <cfRule type="cellIs" dxfId="1698" priority="154" stopIfTrue="1" operator="greaterThan">
      <formula>100</formula>
    </cfRule>
    <cfRule type="cellIs" dxfId="1697" priority="153" stopIfTrue="1" operator="lessThan">
      <formula>96.8</formula>
    </cfRule>
  </conditionalFormatting>
  <conditionalFormatting sqref="E71:E79">
    <cfRule type="cellIs" dxfId="1696" priority="34" stopIfTrue="1" operator="lessThanOrEqual">
      <formula>0</formula>
    </cfRule>
  </conditionalFormatting>
  <conditionalFormatting sqref="E71:E80">
    <cfRule type="cellIs" dxfId="1695" priority="36" stopIfTrue="1" operator="lessThanOrEqual">
      <formula>0</formula>
    </cfRule>
  </conditionalFormatting>
  <conditionalFormatting sqref="E82:E90">
    <cfRule type="cellIs" dxfId="1694" priority="145" stopIfTrue="1" operator="greaterThan">
      <formula>4.5</formula>
    </cfRule>
    <cfRule type="cellIs" dxfId="1693" priority="146" stopIfTrue="1" operator="lessThanOrEqual">
      <formula>0</formula>
    </cfRule>
  </conditionalFormatting>
  <conditionalFormatting sqref="E55:F55 E54">
    <cfRule type="cellIs" dxfId="1692" priority="155" stopIfTrue="1" operator="lessThan">
      <formula>96.5</formula>
    </cfRule>
  </conditionalFormatting>
  <conditionalFormatting sqref="F10:F26">
    <cfRule type="cellIs" dxfId="1691" priority="25" operator="greaterThan">
      <formula>60</formula>
    </cfRule>
  </conditionalFormatting>
  <conditionalFormatting sqref="F55">
    <cfRule type="cellIs" dxfId="1690" priority="172" stopIfTrue="1" operator="greaterThan">
      <formula>100</formula>
    </cfRule>
    <cfRule type="cellIs" dxfId="1689" priority="171" stopIfTrue="1" operator="lessThan">
      <formula>96.8</formula>
    </cfRule>
  </conditionalFormatting>
  <conditionalFormatting sqref="F80">
    <cfRule type="cellIs" dxfId="1688" priority="51" stopIfTrue="1" operator="greaterThan">
      <formula>$F80</formula>
    </cfRule>
    <cfRule type="cellIs" dxfId="1687" priority="52" stopIfTrue="1" operator="lessThanOrEqual">
      <formula>0</formula>
    </cfRule>
  </conditionalFormatting>
  <conditionalFormatting sqref="G10:G26">
    <cfRule type="expression" dxfId="1686" priority="22">
      <formula>IF(+(IF(G10&lt;S10,0,IF(G10&gt;T10,0,1)))=0,1)</formula>
    </cfRule>
  </conditionalFormatting>
  <conditionalFormatting sqref="G71:G72">
    <cfRule type="cellIs" dxfId="1685" priority="50" stopIfTrue="1" operator="lessThanOrEqual">
      <formula>0</formula>
    </cfRule>
    <cfRule type="cellIs" dxfId="1684" priority="56" stopIfTrue="1" operator="lessThanOrEqual">
      <formula>0</formula>
    </cfRule>
    <cfRule type="cellIs" dxfId="1683" priority="55" stopIfTrue="1" operator="greaterThan">
      <formula>$F71</formula>
    </cfRule>
    <cfRule type="cellIs" dxfId="1682" priority="49" stopIfTrue="1" operator="greaterThan">
      <formula>$F71</formula>
    </cfRule>
  </conditionalFormatting>
  <conditionalFormatting sqref="G73">
    <cfRule type="containsErrors" dxfId="1681" priority="26" stopIfTrue="1">
      <formula>ISERROR(G73)</formula>
    </cfRule>
  </conditionalFormatting>
  <conditionalFormatting sqref="G74">
    <cfRule type="cellIs" dxfId="1680" priority="41" stopIfTrue="1" operator="greaterThan">
      <formula>$F74</formula>
    </cfRule>
    <cfRule type="cellIs" dxfId="1679" priority="44" stopIfTrue="1" operator="lessThanOrEqual">
      <formula>0</formula>
    </cfRule>
    <cfRule type="cellIs" dxfId="1678" priority="43" stopIfTrue="1" operator="greaterThan">
      <formula>$F74</formula>
    </cfRule>
    <cfRule type="cellIs" dxfId="1677" priority="42" stopIfTrue="1" operator="lessThanOrEqual">
      <formula>0</formula>
    </cfRule>
  </conditionalFormatting>
  <conditionalFormatting sqref="G75:G79">
    <cfRule type="cellIs" dxfId="1676" priority="57" stopIfTrue="1" operator="greaterThan">
      <formula>$J75</formula>
    </cfRule>
    <cfRule type="cellIs" dxfId="1675" priority="58" stopIfTrue="1" operator="lessThanOrEqual">
      <formula>0</formula>
    </cfRule>
  </conditionalFormatting>
  <conditionalFormatting sqref="G84:G89 C87 C89">
    <cfRule type="cellIs" dxfId="1674" priority="169" stopIfTrue="1" operator="lessThanOrEqual">
      <formula>0</formula>
    </cfRule>
    <cfRule type="cellIs" dxfId="1673" priority="168" stopIfTrue="1" operator="greaterThan">
      <formula>4.5</formula>
    </cfRule>
  </conditionalFormatting>
  <conditionalFormatting sqref="G83:H83">
    <cfRule type="cellIs" dxfId="1672" priority="149" stopIfTrue="1" operator="greaterThan">
      <formula>$F$82</formula>
    </cfRule>
    <cfRule type="cellIs" dxfId="1671" priority="150" stopIfTrue="1" operator="lessThanOrEqual">
      <formula>0</formula>
    </cfRule>
  </conditionalFormatting>
  <conditionalFormatting sqref="H40:H41 H54">
    <cfRule type="cellIs" dxfId="1670" priority="147" stopIfTrue="1" operator="greaterThan">
      <formula>0</formula>
    </cfRule>
  </conditionalFormatting>
  <conditionalFormatting sqref="H58">
    <cfRule type="cellIs" dxfId="1669" priority="2" stopIfTrue="1" operator="lessThanOrEqual">
      <formula>0</formula>
    </cfRule>
    <cfRule type="cellIs" dxfId="1668" priority="13" stopIfTrue="1" operator="greaterThan">
      <formula>$F$68</formula>
    </cfRule>
    <cfRule type="cellIs" dxfId="1667" priority="11" stopIfTrue="1" operator="greaterThan">
      <formula>$F$70</formula>
    </cfRule>
    <cfRule type="cellIs" dxfId="1666" priority="12" stopIfTrue="1" operator="lessThanOrEqual">
      <formula>0</formula>
    </cfRule>
    <cfRule type="cellIs" dxfId="1665" priority="14" stopIfTrue="1" operator="lessThanOrEqual">
      <formula>0</formula>
    </cfRule>
    <cfRule type="cellIs" dxfId="1664" priority="3" stopIfTrue="1" operator="greaterThan">
      <formula>$F$67</formula>
    </cfRule>
  </conditionalFormatting>
  <conditionalFormatting sqref="H59:H62">
    <cfRule type="cellIs" dxfId="1663" priority="62" stopIfTrue="1" operator="lessThanOrEqual">
      <formula>0</formula>
    </cfRule>
    <cfRule type="cellIs" dxfId="1662" priority="71" stopIfTrue="1" operator="greaterThan">
      <formula>$F$74</formula>
    </cfRule>
    <cfRule type="cellIs" dxfId="1661" priority="72" stopIfTrue="1" operator="lessThanOrEqual">
      <formula>0</formula>
    </cfRule>
    <cfRule type="cellIs" dxfId="1660" priority="73" stopIfTrue="1" operator="greaterThan">
      <formula>$F$72</formula>
    </cfRule>
    <cfRule type="cellIs" dxfId="1659" priority="74" stopIfTrue="1" operator="lessThanOrEqual">
      <formula>0</formula>
    </cfRule>
    <cfRule type="cellIs" dxfId="1658" priority="63" stopIfTrue="1" operator="greaterThan">
      <formula>$F$71</formula>
    </cfRule>
  </conditionalFormatting>
  <conditionalFormatting sqref="H63:H64">
    <cfRule type="cellIs" dxfId="1657" priority="106" stopIfTrue="1" operator="lessThanOrEqual">
      <formula>0</formula>
    </cfRule>
    <cfRule type="cellIs" dxfId="1656" priority="117" stopIfTrue="1" operator="greaterThan">
      <formula>#REF!</formula>
    </cfRule>
    <cfRule type="cellIs" dxfId="1655" priority="116" stopIfTrue="1" operator="lessThanOrEqual">
      <formula>0</formula>
    </cfRule>
    <cfRule type="cellIs" dxfId="1654" priority="115" stopIfTrue="1" operator="greaterThan">
      <formula>$F$26</formula>
    </cfRule>
    <cfRule type="cellIs" dxfId="1653" priority="107" stopIfTrue="1" operator="greaterThan">
      <formula>#REF!</formula>
    </cfRule>
    <cfRule type="cellIs" dxfId="1652" priority="118" stopIfTrue="1" operator="lessThanOrEqual">
      <formula>0</formula>
    </cfRule>
  </conditionalFormatting>
  <conditionalFormatting sqref="H65">
    <cfRule type="cellIs" dxfId="1651" priority="120" stopIfTrue="1" operator="lessThanOrEqual">
      <formula>0</formula>
    </cfRule>
    <cfRule type="cellIs" dxfId="1650" priority="131" stopIfTrue="1" operator="greaterThan">
      <formula>$F$40</formula>
    </cfRule>
    <cfRule type="cellIs" dxfId="1649" priority="130" stopIfTrue="1" operator="lessThanOrEqual">
      <formula>0</formula>
    </cfRule>
    <cfRule type="cellIs" dxfId="1648" priority="132" stopIfTrue="1" operator="lessThanOrEqual">
      <formula>0</formula>
    </cfRule>
    <cfRule type="cellIs" dxfId="1647" priority="129" stopIfTrue="1" operator="greaterThan">
      <formula>$F$42</formula>
    </cfRule>
    <cfRule type="cellIs" dxfId="1646" priority="121" stopIfTrue="1" operator="greaterThan">
      <formula>$F$39</formula>
    </cfRule>
  </conditionalFormatting>
  <conditionalFormatting sqref="H66:H67">
    <cfRule type="cellIs" dxfId="1645" priority="90" stopIfTrue="1" operator="lessThanOrEqual">
      <formula>0</formula>
    </cfRule>
    <cfRule type="cellIs" dxfId="1644" priority="102" stopIfTrue="1" operator="lessThanOrEqual">
      <formula>0</formula>
    </cfRule>
    <cfRule type="cellIs" dxfId="1643" priority="101" stopIfTrue="1" operator="greaterThan">
      <formula>#REF!</formula>
    </cfRule>
    <cfRule type="cellIs" dxfId="1642" priority="100" stopIfTrue="1" operator="lessThanOrEqual">
      <formula>0</formula>
    </cfRule>
    <cfRule type="cellIs" dxfId="1641" priority="99" stopIfTrue="1" operator="greaterThan">
      <formula>$F$26</formula>
    </cfRule>
    <cfRule type="cellIs" dxfId="1640" priority="91" stopIfTrue="1" operator="greaterThan">
      <formula>#REF!</formula>
    </cfRule>
  </conditionalFormatting>
  <conditionalFormatting sqref="H82 H84:H90">
    <cfRule type="cellIs" dxfId="1639" priority="161" stopIfTrue="1" operator="greaterThan">
      <formula>4.5</formula>
    </cfRule>
    <cfRule type="cellIs" dxfId="1638" priority="162" stopIfTrue="1" operator="lessThanOrEqual">
      <formula>0</formula>
    </cfRule>
  </conditionalFormatting>
  <conditionalFormatting sqref="H58:I58">
    <cfRule type="cellIs" dxfId="1637" priority="4" stopIfTrue="1" operator="lessThanOrEqual">
      <formula>0</formula>
    </cfRule>
    <cfRule type="cellIs" dxfId="1636" priority="1" stopIfTrue="1" operator="greaterThan">
      <formula>$F$69</formula>
    </cfRule>
  </conditionalFormatting>
  <conditionalFormatting sqref="H59:I62">
    <cfRule type="cellIs" dxfId="1635" priority="64" stopIfTrue="1" operator="lessThanOrEqual">
      <formula>0</formula>
    </cfRule>
    <cfRule type="cellIs" dxfId="1634" priority="61" stopIfTrue="1" operator="greaterThan">
      <formula>$F$73</formula>
    </cfRule>
  </conditionalFormatting>
  <conditionalFormatting sqref="H63:I64">
    <cfRule type="cellIs" dxfId="1633" priority="105" stopIfTrue="1" operator="greaterThan">
      <formula>#REF!</formula>
    </cfRule>
    <cfRule type="cellIs" dxfId="1632" priority="108" stopIfTrue="1" operator="lessThanOrEqual">
      <formula>0</formula>
    </cfRule>
  </conditionalFormatting>
  <conditionalFormatting sqref="H65:I65">
    <cfRule type="cellIs" dxfId="1631" priority="122" stopIfTrue="1" operator="lessThanOrEqual">
      <formula>0</formula>
    </cfRule>
    <cfRule type="cellIs" dxfId="1630" priority="119" stopIfTrue="1" operator="greaterThan">
      <formula>$F$41</formula>
    </cfRule>
  </conditionalFormatting>
  <conditionalFormatting sqref="H66:I67">
    <cfRule type="cellIs" dxfId="1629" priority="92" stopIfTrue="1" operator="lessThanOrEqual">
      <formula>0</formula>
    </cfRule>
    <cfRule type="cellIs" dxfId="1628" priority="89" stopIfTrue="1" operator="greaterThan">
      <formula>#REF!</formula>
    </cfRule>
  </conditionalFormatting>
  <conditionalFormatting sqref="H71:I78">
    <cfRule type="cellIs" dxfId="1627" priority="31" stopIfTrue="1" operator="greaterThan">
      <formula>$J71</formula>
    </cfRule>
    <cfRule type="cellIs" dxfId="1626" priority="32" stopIfTrue="1" operator="lessThanOrEqual">
      <formula>0</formula>
    </cfRule>
  </conditionalFormatting>
  <conditionalFormatting sqref="H79:I79">
    <cfRule type="cellIs" dxfId="1625" priority="40" operator="greaterThan">
      <formula>5.3</formula>
    </cfRule>
  </conditionalFormatting>
  <conditionalFormatting sqref="H80:I80">
    <cfRule type="cellIs" dxfId="1624" priority="39" stopIfTrue="1" operator="lessThanOrEqual">
      <formula>0</formula>
    </cfRule>
    <cfRule type="cellIs" dxfId="1623" priority="38" stopIfTrue="1" operator="greaterThan">
      <formula>$J80</formula>
    </cfRule>
  </conditionalFormatting>
  <conditionalFormatting sqref="I58">
    <cfRule type="cellIs" dxfId="1622" priority="5" stopIfTrue="1" operator="greaterThan">
      <formula>$F$67</formula>
    </cfRule>
    <cfRule type="cellIs" dxfId="1621" priority="10" stopIfTrue="1" operator="lessThanOrEqual">
      <formula>0</formula>
    </cfRule>
    <cfRule type="cellIs" dxfId="1620" priority="9" stopIfTrue="1" operator="greaterThan">
      <formula>$F$67</formula>
    </cfRule>
    <cfRule type="cellIs" dxfId="1619" priority="8" stopIfTrue="1" operator="lessThanOrEqual">
      <formula>0</formula>
    </cfRule>
    <cfRule type="cellIs" dxfId="1618" priority="7" stopIfTrue="1" operator="greaterThan">
      <formula>$F$69</formula>
    </cfRule>
    <cfRule type="cellIs" dxfId="1617" priority="6" stopIfTrue="1" operator="lessThanOrEqual">
      <formula>0</formula>
    </cfRule>
  </conditionalFormatting>
  <conditionalFormatting sqref="I59:I62">
    <cfRule type="cellIs" dxfId="1616" priority="65" stopIfTrue="1" operator="greaterThan">
      <formula>$F$71</formula>
    </cfRule>
    <cfRule type="cellIs" dxfId="1615" priority="66" stopIfTrue="1" operator="lessThanOrEqual">
      <formula>0</formula>
    </cfRule>
    <cfRule type="cellIs" dxfId="1614" priority="67" stopIfTrue="1" operator="greaterThan">
      <formula>$F$73</formula>
    </cfRule>
    <cfRule type="cellIs" dxfId="1613" priority="69" stopIfTrue="1" operator="greaterThan">
      <formula>$F$71</formula>
    </cfRule>
    <cfRule type="cellIs" dxfId="1612" priority="70" stopIfTrue="1" operator="lessThanOrEqual">
      <formula>0</formula>
    </cfRule>
    <cfRule type="cellIs" dxfId="1611" priority="68" stopIfTrue="1" operator="lessThanOrEqual">
      <formula>0</formula>
    </cfRule>
  </conditionalFormatting>
  <conditionalFormatting sqref="I63:I64">
    <cfRule type="cellIs" dxfId="1610" priority="109" stopIfTrue="1" operator="greaterThan">
      <formula>#REF!</formula>
    </cfRule>
    <cfRule type="cellIs" dxfId="1609" priority="111" stopIfTrue="1" operator="greaterThan">
      <formula>#REF!</formula>
    </cfRule>
    <cfRule type="cellIs" dxfId="1608" priority="113" stopIfTrue="1" operator="greaterThan">
      <formula>#REF!</formula>
    </cfRule>
    <cfRule type="cellIs" dxfId="1607" priority="114" stopIfTrue="1" operator="lessThanOrEqual">
      <formula>0</formula>
    </cfRule>
    <cfRule type="cellIs" dxfId="1606" priority="112" stopIfTrue="1" operator="lessThanOrEqual">
      <formula>0</formula>
    </cfRule>
    <cfRule type="cellIs" dxfId="1605" priority="110" stopIfTrue="1" operator="lessThanOrEqual">
      <formula>0</formula>
    </cfRule>
  </conditionalFormatting>
  <conditionalFormatting sqref="I65">
    <cfRule type="cellIs" dxfId="1604" priority="123" stopIfTrue="1" operator="greaterThan">
      <formula>$F$39</formula>
    </cfRule>
    <cfRule type="cellIs" dxfId="1603" priority="124" stopIfTrue="1" operator="lessThanOrEqual">
      <formula>0</formula>
    </cfRule>
    <cfRule type="cellIs" dxfId="1602" priority="125" stopIfTrue="1" operator="greaterThan">
      <formula>$F$41</formula>
    </cfRule>
    <cfRule type="cellIs" dxfId="1601" priority="126" stopIfTrue="1" operator="lessThanOrEqual">
      <formula>0</formula>
    </cfRule>
    <cfRule type="cellIs" dxfId="1600" priority="127" stopIfTrue="1" operator="greaterThan">
      <formula>$F$39</formula>
    </cfRule>
    <cfRule type="cellIs" dxfId="1599" priority="128" stopIfTrue="1" operator="lessThanOrEqual">
      <formula>0</formula>
    </cfRule>
  </conditionalFormatting>
  <conditionalFormatting sqref="I66:I67">
    <cfRule type="cellIs" dxfId="1598" priority="95" stopIfTrue="1" operator="greaterThan">
      <formula>#REF!</formula>
    </cfRule>
    <cfRule type="cellIs" dxfId="1597" priority="94" stopIfTrue="1" operator="lessThanOrEqual">
      <formula>0</formula>
    </cfRule>
    <cfRule type="cellIs" dxfId="1596" priority="93" stopIfTrue="1" operator="greaterThan">
      <formula>#REF!</formula>
    </cfRule>
    <cfRule type="cellIs" dxfId="1595" priority="97" stopIfTrue="1" operator="greaterThan">
      <formula>#REF!</formula>
    </cfRule>
    <cfRule type="cellIs" dxfId="1594" priority="98" stopIfTrue="1" operator="lessThanOrEqual">
      <formula>0</formula>
    </cfRule>
    <cfRule type="cellIs" dxfId="1593" priority="96" stopIfTrue="1" operator="lessThanOrEqual">
      <formula>0</formula>
    </cfRule>
  </conditionalFormatting>
  <conditionalFormatting sqref="I82:I90">
    <cfRule type="cellIs" dxfId="1592" priority="157" stopIfTrue="1" operator="greaterThan">
      <formula>4.5</formula>
    </cfRule>
    <cfRule type="cellIs" dxfId="1591" priority="158" stopIfTrue="1" operator="lessThanOrEqual">
      <formula>0</formula>
    </cfRule>
  </conditionalFormatting>
  <conditionalFormatting sqref="I10:J26">
    <cfRule type="cellIs" dxfId="1590" priority="15" operator="lessThan">
      <formula>97.9</formula>
    </cfRule>
  </conditionalFormatting>
  <conditionalFormatting sqref="J29">
    <cfRule type="cellIs" dxfId="1589" priority="60" operator="lessThan">
      <formula>97.95</formula>
    </cfRule>
  </conditionalFormatting>
  <conditionalFormatting sqref="J31">
    <cfRule type="cellIs" dxfId="1588" priority="136" operator="lessThan">
      <formula>98</formula>
    </cfRule>
    <cfRule type="cellIs" dxfId="1587" priority="134" stopIfTrue="1" operator="lessThan">
      <formula>96.8</formula>
    </cfRule>
    <cfRule type="cellIs" dxfId="1586" priority="135" stopIfTrue="1" operator="greaterThan">
      <formula>100</formula>
    </cfRule>
  </conditionalFormatting>
  <conditionalFormatting sqref="J31:J33">
    <cfRule type="cellIs" dxfId="1585" priority="133" operator="lessThan">
      <formula>97.4</formula>
    </cfRule>
  </conditionalFormatting>
  <conditionalFormatting sqref="J34:J35">
    <cfRule type="cellIs" dxfId="1584" priority="137" operator="lessThan">
      <formula>98</formula>
    </cfRule>
  </conditionalFormatting>
  <conditionalFormatting sqref="J36:J37">
    <cfRule type="cellIs" dxfId="1583" priority="138" stopIfTrue="1" operator="lessThan">
      <formula>96.8</formula>
    </cfRule>
    <cfRule type="cellIs" dxfId="1582" priority="139" stopIfTrue="1" operator="greaterThan">
      <formula>100</formula>
    </cfRule>
  </conditionalFormatting>
  <conditionalFormatting sqref="J36:J38">
    <cfRule type="cellIs" dxfId="1581" priority="140" operator="lessThan">
      <formula>98</formula>
    </cfRule>
  </conditionalFormatting>
  <conditionalFormatting sqref="J67">
    <cfRule type="cellIs" dxfId="1580" priority="83" stopIfTrue="1" operator="greaterThan">
      <formula>#REF!</formula>
    </cfRule>
    <cfRule type="cellIs" dxfId="1579" priority="81" stopIfTrue="1" operator="greaterThan">
      <formula>#REF!</formula>
    </cfRule>
    <cfRule type="cellIs" dxfId="1578" priority="82" stopIfTrue="1" operator="lessThanOrEqual">
      <formula>0</formula>
    </cfRule>
    <cfRule type="cellIs" dxfId="1577" priority="84" stopIfTrue="1" operator="lessThanOrEqual">
      <formula>0</formula>
    </cfRule>
    <cfRule type="cellIs" dxfId="1576" priority="85" stopIfTrue="1" operator="greaterThan">
      <formula>#REF!</formula>
    </cfRule>
    <cfRule type="cellIs" dxfId="1575" priority="86" stopIfTrue="1" operator="lessThanOrEqual">
      <formula>0</formula>
    </cfRule>
    <cfRule type="cellIs" dxfId="1574" priority="88" stopIfTrue="1" operator="lessThanOrEqual">
      <formula>0</formula>
    </cfRule>
    <cfRule type="cellIs" dxfId="1573" priority="87" stopIfTrue="1" operator="greaterThan">
      <formula>#REF!</formula>
    </cfRule>
  </conditionalFormatting>
  <conditionalFormatting sqref="J80">
    <cfRule type="cellIs" dxfId="1572" priority="46" stopIfTrue="1" operator="lessThanOrEqual">
      <formula>0</formula>
    </cfRule>
    <cfRule type="cellIs" dxfId="1571" priority="45" stopIfTrue="1" operator="greaterThan">
      <formula>$F80</formula>
    </cfRule>
  </conditionalFormatting>
  <conditionalFormatting sqref="K10:K26">
    <cfRule type="cellIs" dxfId="1570" priority="16" operator="greaterThan">
      <formula>6</formula>
    </cfRule>
    <cfRule type="cellIs" dxfId="1569" priority="17" operator="lessThan">
      <formula>4</formula>
    </cfRule>
    <cfRule type="cellIs" dxfId="1568" priority="18" operator="greaterThan">
      <formula>6.4</formula>
    </cfRule>
  </conditionalFormatting>
  <conditionalFormatting sqref="K58:K67">
    <cfRule type="cellIs" dxfId="1567" priority="75" stopIfTrue="1" operator="lessThan">
      <formula>100%</formula>
    </cfRule>
  </conditionalFormatting>
  <conditionalFormatting sqref="K82:K87">
    <cfRule type="cellIs" dxfId="1566" priority="163" stopIfTrue="1" operator="lessThan">
      <formula>100%</formula>
    </cfRule>
  </conditionalFormatting>
  <conditionalFormatting sqref="K89:K90">
    <cfRule type="cellIs" dxfId="1565" priority="170" stopIfTrue="1" operator="lessThan">
      <formula>100%</formula>
    </cfRule>
  </conditionalFormatting>
  <conditionalFormatting sqref="K71:M79">
    <cfRule type="cellIs" dxfId="1564" priority="30" stopIfTrue="1" operator="lessThan">
      <formula>100%</formula>
    </cfRule>
  </conditionalFormatting>
  <conditionalFormatting sqref="L10:L26">
    <cfRule type="cellIs" dxfId="1563" priority="20" operator="greaterThan">
      <formula>65</formula>
    </cfRule>
    <cfRule type="cellIs" dxfId="1562" priority="19" operator="between">
      <formula>61</formula>
      <formula>65</formula>
    </cfRule>
  </conditionalFormatting>
  <conditionalFormatting sqref="L29:M40">
    <cfRule type="cellIs" dxfId="1561" priority="77" operator="lessThan">
      <formula>97.95</formula>
    </cfRule>
  </conditionalFormatting>
  <conditionalFormatting sqref="L80:M80">
    <cfRule type="cellIs" dxfId="1560" priority="47" stopIfTrue="1" operator="lessThan">
      <formula>100%</formula>
    </cfRule>
  </conditionalFormatting>
  <conditionalFormatting sqref="L44:N44">
    <cfRule type="cellIs" dxfId="1559" priority="78" operator="notEqual">
      <formula>#REF!</formula>
    </cfRule>
  </conditionalFormatting>
  <conditionalFormatting sqref="L82:N90">
    <cfRule type="cellIs" dxfId="1558" priority="148" stopIfTrue="1" operator="lessThan">
      <formula>100%</formula>
    </cfRule>
  </conditionalFormatting>
  <conditionalFormatting sqref="M10:M24">
    <cfRule type="expression" dxfId="1557" priority="24">
      <formula>IF(+(IF(M10&lt;U10,0,IF(M10&gt;V10,0,1)))=0,1)</formula>
    </cfRule>
  </conditionalFormatting>
  <conditionalFormatting sqref="M10:N23 H10:H26">
    <cfRule type="expression" dxfId="1556" priority="27">
      <formula>IF(+(IF(H10&lt;#REF!,0,IF(H10&gt;#REF!,0,1)))=0,1)</formula>
    </cfRule>
  </conditionalFormatting>
  <conditionalFormatting sqref="M25:N26">
    <cfRule type="expression" dxfId="1555" priority="76">
      <formula>IF(+(IF(M25&lt;#REF!,0,IF(M25&gt;#REF!,0,1)))=0,1)</formula>
    </cfRule>
  </conditionalFormatting>
  <conditionalFormatting sqref="N10:N24">
    <cfRule type="expression" dxfId="1554" priority="23">
      <formula>IF(+(IF(N10&lt;W10,0,IF(N10&gt;X10,0,1)))=0,1)</formula>
    </cfRule>
  </conditionalFormatting>
  <conditionalFormatting sqref="N71:N80">
    <cfRule type="cellIs" dxfId="1553" priority="59" stopIfTrue="1" operator="lessThan">
      <formula>100%</formula>
    </cfRule>
  </conditionalFormatting>
  <conditionalFormatting sqref="P6">
    <cfRule type="cellIs" dxfId="1552" priority="144" operator="greaterThanOrEqual">
      <formula>19</formula>
    </cfRule>
  </conditionalFormatting>
  <dataValidations count="1">
    <dataValidation type="list" allowBlank="1" showInputMessage="1" showErrorMessage="1" sqref="R8" xr:uid="{2097373E-D896-448E-B237-8EEC6D8C34C5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4" max="16383" man="1"/>
  </rowBreaks>
  <colBreaks count="1" manualBreakCount="1">
    <brk id="15" max="89" man="1"/>
  </col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B2588-6AAD-4CD0-A0DD-A79AD150BF6B}">
  <sheetPr>
    <pageSetUpPr fitToPage="1"/>
  </sheetPr>
  <dimension ref="A1:BE86"/>
  <sheetViews>
    <sheetView topLeftCell="A16" zoomScale="80" zoomScaleNormal="80" workbookViewId="0">
      <selection activeCell="B17" sqref="B17:O17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8" width="16.5703125" style="275" customWidth="1"/>
    <col min="9" max="9" width="20.7109375" style="275" customWidth="1"/>
    <col min="10" max="10" width="24.140625" style="275" bestFit="1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5" t="s">
        <v>0</v>
      </c>
      <c r="T1" s="555"/>
      <c r="U1" s="555" t="s">
        <v>1</v>
      </c>
      <c r="V1" s="555"/>
      <c r="W1" s="555" t="s">
        <v>2</v>
      </c>
      <c r="X1" s="555"/>
      <c r="Y1" s="555" t="s">
        <v>124</v>
      </c>
      <c r="Z1" s="555"/>
    </row>
    <row r="2" spans="2:29" ht="15">
      <c r="B2" s="556" t="s">
        <v>3</v>
      </c>
      <c r="C2" s="556"/>
      <c r="D2" s="556"/>
      <c r="E2" s="556"/>
      <c r="F2" s="556"/>
      <c r="G2" s="556"/>
      <c r="H2" s="556"/>
      <c r="I2" s="556"/>
      <c r="J2" s="556"/>
      <c r="K2" s="556"/>
      <c r="L2" s="556"/>
      <c r="M2" s="556"/>
      <c r="N2" s="556"/>
      <c r="O2" s="556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46133</v>
      </c>
      <c r="J4" s="398" t="s">
        <v>167</v>
      </c>
      <c r="K4" s="398"/>
      <c r="L4" s="11"/>
      <c r="M4" s="553" t="s">
        <v>8</v>
      </c>
      <c r="N4" s="554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2"/>
      <c r="D5" s="542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6" t="s">
        <v>17</v>
      </c>
      <c r="C8" s="517" t="s">
        <v>18</v>
      </c>
      <c r="D8" s="517" t="s">
        <v>19</v>
      </c>
      <c r="E8" s="356" t="s">
        <v>20</v>
      </c>
      <c r="F8" s="356" t="s">
        <v>21</v>
      </c>
      <c r="G8" s="517" t="s">
        <v>22</v>
      </c>
      <c r="H8" s="544" t="s">
        <v>144</v>
      </c>
      <c r="I8" s="517" t="s">
        <v>165</v>
      </c>
      <c r="J8" s="546" t="s">
        <v>23</v>
      </c>
      <c r="K8" s="548" t="s">
        <v>142</v>
      </c>
      <c r="L8" s="550" t="s">
        <v>24</v>
      </c>
      <c r="M8" s="359" t="s">
        <v>25</v>
      </c>
      <c r="N8" s="17" t="s">
        <v>169</v>
      </c>
      <c r="O8" s="510" t="s">
        <v>155</v>
      </c>
      <c r="P8" s="540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43"/>
      <c r="C9" s="541"/>
      <c r="D9" s="541"/>
      <c r="E9" s="357" t="s">
        <v>30</v>
      </c>
      <c r="F9" s="357" t="s">
        <v>31</v>
      </c>
      <c r="G9" s="541"/>
      <c r="H9" s="545"/>
      <c r="I9" s="541"/>
      <c r="J9" s="547"/>
      <c r="K9" s="549"/>
      <c r="L9" s="551"/>
      <c r="M9" s="20" t="s">
        <v>32</v>
      </c>
      <c r="N9" s="21" t="s">
        <v>41</v>
      </c>
      <c r="O9" s="552"/>
      <c r="P9" s="541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>
      <c r="B10" s="33" t="s">
        <v>9</v>
      </c>
      <c r="C10" s="366" t="str">
        <f>[3]Brewhouse!$A197</f>
        <v>ST144</v>
      </c>
      <c r="D10" s="279">
        <f>[3]Brewhouse!$AB197</f>
        <v>53.1</v>
      </c>
      <c r="E10" s="279">
        <f>[3]Brewhouse!$AG197</f>
        <v>48.1</v>
      </c>
      <c r="F10" s="278">
        <f>[3]Brewhouse!$V197</f>
        <v>60</v>
      </c>
      <c r="G10" s="279">
        <f>[3]Brewhouse!$AE197</f>
        <v>11.8</v>
      </c>
      <c r="H10" s="396">
        <v>11.8</v>
      </c>
      <c r="I10" s="368">
        <f>[3]Brewhouse!$AS197</f>
        <v>94.932222480540901</v>
      </c>
      <c r="J10" s="368">
        <f>[3]Brewhouse!$AT197</f>
        <v>95.965303396736559</v>
      </c>
      <c r="K10" s="281">
        <f>[3]Brewhouse!$Q197</f>
        <v>10.499058380414318</v>
      </c>
      <c r="L10" s="276">
        <f>[3]Brewhouse!$P197</f>
        <v>61</v>
      </c>
      <c r="M10" s="374">
        <f>[3]Brewhouse!$U197-[3]Brewhouse!$T197</f>
        <v>0.1111111111111111</v>
      </c>
      <c r="N10" s="370">
        <f>[3]Brewhouse!$AW197</f>
        <v>0.25486111111111109</v>
      </c>
      <c r="O10" s="371" t="str">
        <f>[3]Brewhouse!$AV197</f>
        <v>D. Gomaz</v>
      </c>
      <c r="P10" s="418"/>
      <c r="R10" s="277" t="str">
        <f t="shared" ref="R10:R46" si="0">B10</f>
        <v>STAG</v>
      </c>
      <c r="S10" s="472">
        <f t="shared" ref="S10:S46" si="1">VLOOKUP($B10,$R$3:$X$9,2,FALSE)</f>
        <v>11.6</v>
      </c>
      <c r="T10" s="472">
        <f t="shared" ref="T10:T46" si="2">VLOOKUP($B10,$R$3:$X$9,3,FALSE)</f>
        <v>12</v>
      </c>
      <c r="U10" s="297">
        <f t="shared" ref="U10:U46" si="3">VLOOKUP($B10,$R$3:$X$9,4,FALSE)</f>
        <v>0</v>
      </c>
      <c r="V10" s="297">
        <f t="shared" ref="V10:V46" si="4">VLOOKUP($B10,$R$3:$X$9,5,FALSE)</f>
        <v>0.118055555555556</v>
      </c>
      <c r="W10" s="297">
        <f t="shared" ref="W10:W46" si="5">VLOOKUP($B10,$R$3:$X$9,6,FALSE)</f>
        <v>0.22569444444444445</v>
      </c>
      <c r="X10" s="297">
        <f t="shared" ref="X10:X46" si="6">VLOOKUP($B10,$R$3:$X$9,7,FALSE)</f>
        <v>0.2638888888888889</v>
      </c>
      <c r="Y10" s="297">
        <f t="shared" ref="Y10:Y46" si="7">VLOOKUP($B10,$R$3:$Z$9,8,FALSE)</f>
        <v>0</v>
      </c>
      <c r="Z10" s="472">
        <f t="shared" ref="Z10:Z46" si="8">VLOOKUP($B10,$R$3:$Z$9,9,FALSE)</f>
        <v>60</v>
      </c>
    </row>
    <row r="11" spans="2:29" ht="15">
      <c r="B11" s="33" t="s">
        <v>9</v>
      </c>
      <c r="C11" s="366" t="str">
        <f>[3]Brewhouse!$A198</f>
        <v>ST145</v>
      </c>
      <c r="D11" s="279">
        <f>[3]Brewhouse!$AB198</f>
        <v>53.1</v>
      </c>
      <c r="E11" s="279">
        <f>[3]Brewhouse!$AG198</f>
        <v>49.4</v>
      </c>
      <c r="F11" s="278">
        <f>[3]Brewhouse!$V198</f>
        <v>57</v>
      </c>
      <c r="G11" s="279">
        <f>[3]Brewhouse!$AE198</f>
        <v>11.8</v>
      </c>
      <c r="H11" s="396">
        <v>11.8</v>
      </c>
      <c r="I11" s="368">
        <f>[3]Brewhouse!$AS198</f>
        <v>97.990481101055011</v>
      </c>
      <c r="J11" s="368">
        <f>[3]Brewhouse!$AT198</f>
        <v>99.0554313671351</v>
      </c>
      <c r="K11" s="281">
        <f>[3]Brewhouse!$Q198</f>
        <v>8.4274952919020727</v>
      </c>
      <c r="L11" s="276">
        <f>[3]Brewhouse!$P198</f>
        <v>59</v>
      </c>
      <c r="M11" s="374">
        <f>[3]Brewhouse!$U198-[3]Brewhouse!$T198</f>
        <v>0.10486111111111113</v>
      </c>
      <c r="N11" s="370">
        <f>[3]Brewhouse!$AW198</f>
        <v>0.27083333333333337</v>
      </c>
      <c r="O11" s="371" t="str">
        <f>[3]Brewhouse!$AV198</f>
        <v>D. Gomaz</v>
      </c>
      <c r="P11" s="418" t="s">
        <v>182</v>
      </c>
      <c r="R11" s="277" t="str">
        <f t="shared" si="0"/>
        <v>STAG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>
      <c r="B12" s="33" t="s">
        <v>9</v>
      </c>
      <c r="C12" s="366" t="str">
        <f>[3]Brewhouse!$A199</f>
        <v>ST146</v>
      </c>
      <c r="D12" s="279">
        <f>[3]Brewhouse!$AB199</f>
        <v>53.1</v>
      </c>
      <c r="E12" s="279">
        <f>[3]Brewhouse!$AG199</f>
        <v>49.6</v>
      </c>
      <c r="F12" s="278">
        <f>[3]Brewhouse!$V199</f>
        <v>59</v>
      </c>
      <c r="G12" s="279">
        <f>[3]Brewhouse!$AE199</f>
        <v>11.9</v>
      </c>
      <c r="H12" s="396">
        <v>11.9</v>
      </c>
      <c r="I12" s="368">
        <f>[3]Brewhouse!$AS199</f>
        <v>98.889572525993941</v>
      </c>
      <c r="J12" s="368">
        <f>[3]Brewhouse!$AT199</f>
        <v>99.965363730367002</v>
      </c>
      <c r="K12" s="281">
        <f>[3]Brewhouse!$Q199</f>
        <v>8.8041431261770189</v>
      </c>
      <c r="L12" s="276">
        <f>[3]Brewhouse!$P199</f>
        <v>61</v>
      </c>
      <c r="M12" s="374">
        <f>[3]Brewhouse!$U199-[3]Brewhouse!$T199</f>
        <v>0.11041666666666666</v>
      </c>
      <c r="N12" s="370">
        <f>[3]Brewhouse!$AW199</f>
        <v>0.26388888888888884</v>
      </c>
      <c r="O12" s="371" t="str">
        <f>[3]Brewhouse!$AV199</f>
        <v>D. Gomaz</v>
      </c>
      <c r="P12" s="418"/>
      <c r="R12" s="277" t="str">
        <f t="shared" ref="R12:R37" si="9">B12</f>
        <v>STAG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>
      <c r="B13" s="33" t="s">
        <v>9</v>
      </c>
      <c r="C13" s="366" t="str">
        <f>[3]Brewhouse!$A200</f>
        <v>ST147</v>
      </c>
      <c r="D13" s="279">
        <f>[3]Brewhouse!$AB200</f>
        <v>54.1</v>
      </c>
      <c r="E13" s="279">
        <f>[3]Brewhouse!$AG200</f>
        <v>50.7</v>
      </c>
      <c r="F13" s="278">
        <f>[3]Brewhouse!$V200</f>
        <v>55</v>
      </c>
      <c r="G13" s="279">
        <f>[3]Brewhouse!$AE200</f>
        <v>11.8</v>
      </c>
      <c r="H13" s="367"/>
      <c r="I13" s="368">
        <f>[3]Brewhouse!$AS200</f>
        <v>100.44232879054731</v>
      </c>
      <c r="J13" s="368">
        <f>[3]Brewhouse!$AT200</f>
        <v>101.53428855889075</v>
      </c>
      <c r="K13" s="281">
        <f>[3]Brewhouse!$Q200</f>
        <v>7.5323475046210771</v>
      </c>
      <c r="L13" s="276">
        <f>[3]Brewhouse!$P200</f>
        <v>60</v>
      </c>
      <c r="M13" s="374">
        <f>[3]Brewhouse!$U200-[3]Brewhouse!$T200</f>
        <v>0.10624999999999996</v>
      </c>
      <c r="N13" s="370">
        <f>[3]Brewhouse!$AW200</f>
        <v>0.25902777777777775</v>
      </c>
      <c r="O13" s="371" t="str">
        <f>[3]Brewhouse!$AV200</f>
        <v>R. Regis</v>
      </c>
      <c r="P13" s="418"/>
      <c r="R13" s="277" t="str">
        <f t="shared" si="9"/>
        <v>STAG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>
      <c r="B14" s="33" t="s">
        <v>9</v>
      </c>
      <c r="C14" s="366" t="str">
        <f>[3]Brewhouse!$A201</f>
        <v>ST148</v>
      </c>
      <c r="D14" s="279">
        <f>[3]Brewhouse!$AB201</f>
        <v>53.1</v>
      </c>
      <c r="E14" s="279">
        <f>[3]Brewhouse!$AG201</f>
        <v>49.9</v>
      </c>
      <c r="F14" s="278">
        <f>[3]Brewhouse!$V201</f>
        <v>56</v>
      </c>
      <c r="G14" s="279">
        <f>[3]Brewhouse!$AE201</f>
        <v>11.9</v>
      </c>
      <c r="H14" s="396">
        <v>11.9</v>
      </c>
      <c r="I14" s="368">
        <f>[3]Brewhouse!$AS201</f>
        <v>99.86462564786504</v>
      </c>
      <c r="J14" s="368">
        <f>[3]Brewhouse!$AT201</f>
        <v>100.9499439202185</v>
      </c>
      <c r="K14" s="281">
        <f>[3]Brewhouse!$Q201</f>
        <v>8.6158192090395538</v>
      </c>
      <c r="L14" s="276">
        <f>[3]Brewhouse!$P201</f>
        <v>62</v>
      </c>
      <c r="M14" s="374">
        <f>[3]Brewhouse!$U201-[3]Brewhouse!$T201</f>
        <v>0.10833333333333328</v>
      </c>
      <c r="N14" s="370">
        <f>[3]Brewhouse!$AW201</f>
        <v>0.2895833333333333</v>
      </c>
      <c r="O14" s="371" t="str">
        <f>[3]Brewhouse!$AV201</f>
        <v>R. Regis</v>
      </c>
      <c r="P14" s="418" t="s">
        <v>183</v>
      </c>
      <c r="R14" s="277" t="str">
        <f t="shared" si="9"/>
        <v>STAG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>
      <c r="B15" s="33" t="s">
        <v>9</v>
      </c>
      <c r="C15" s="366" t="str">
        <f>[3]Brewhouse!$A202</f>
        <v>ST149</v>
      </c>
      <c r="D15" s="279">
        <f>[3]Brewhouse!$AB202</f>
        <v>53.1</v>
      </c>
      <c r="E15" s="279">
        <f>[3]Brewhouse!$AG202</f>
        <v>49.9</v>
      </c>
      <c r="F15" s="278">
        <f>[3]Brewhouse!$V202</f>
        <v>57</v>
      </c>
      <c r="G15" s="279">
        <f>[3]Brewhouse!$AE202</f>
        <v>11.8</v>
      </c>
      <c r="H15" s="396">
        <v>11.8</v>
      </c>
      <c r="I15" s="368">
        <f>[3]Brewhouse!$AS202</f>
        <v>98.857439973339439</v>
      </c>
      <c r="J15" s="368">
        <f>[3]Brewhouse!$AT202</f>
        <v>99.932169607271163</v>
      </c>
      <c r="K15" s="281">
        <f>[3]Brewhouse!$Q202</f>
        <v>11.064030131826742</v>
      </c>
      <c r="L15" s="276">
        <f>[3]Brewhouse!$P202</f>
        <v>59</v>
      </c>
      <c r="M15" s="374">
        <f>[3]Brewhouse!$U202-[3]Brewhouse!$T202</f>
        <v>0.10833333333333339</v>
      </c>
      <c r="N15" s="370">
        <f>[3]Brewhouse!$AW202</f>
        <v>0.26319444444444451</v>
      </c>
      <c r="O15" s="371" t="str">
        <f>[3]Brewhouse!$AV202</f>
        <v>R. Regis</v>
      </c>
      <c r="P15" s="418"/>
      <c r="R15" s="277" t="str">
        <f t="shared" si="9"/>
        <v>STAG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>
      <c r="B16" s="33" t="s">
        <v>9</v>
      </c>
      <c r="C16" s="366" t="str">
        <f>[3]Brewhouse!$A203</f>
        <v>ST150</v>
      </c>
      <c r="D16" s="279">
        <f>[3]Brewhouse!$AB203</f>
        <v>53.1</v>
      </c>
      <c r="E16" s="279">
        <f>[3]Brewhouse!$AG203</f>
        <v>49.8</v>
      </c>
      <c r="F16" s="278">
        <f>[3]Brewhouse!$V203</f>
        <v>58</v>
      </c>
      <c r="G16" s="279">
        <f>[3]Brewhouse!$AE203</f>
        <v>11.8</v>
      </c>
      <c r="H16" s="396">
        <v>11.8</v>
      </c>
      <c r="I16" s="368">
        <f>[3]Brewhouse!$AS203</f>
        <v>98.783926292156664</v>
      </c>
      <c r="J16" s="368">
        <f>[3]Brewhouse!$AT203</f>
        <v>99.857499637314319</v>
      </c>
      <c r="K16" s="281">
        <f>[3]Brewhouse!$Q203</f>
        <v>11.252354048964222</v>
      </c>
      <c r="L16" s="276">
        <f>[3]Brewhouse!$P203</f>
        <v>59</v>
      </c>
      <c r="M16" s="374">
        <f>[3]Brewhouse!$U203-[3]Brewhouse!$T203</f>
        <v>0.11041666666666672</v>
      </c>
      <c r="N16" s="370">
        <f>[3]Brewhouse!$AW203</f>
        <v>0.28194444444444444</v>
      </c>
      <c r="O16" s="371" t="str">
        <f>[3]Brewhouse!$AV203</f>
        <v>R.Sookram</v>
      </c>
      <c r="P16" s="418" t="s">
        <v>184</v>
      </c>
      <c r="R16" s="277" t="str">
        <f t="shared" si="9"/>
        <v>STAG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2:26" ht="15">
      <c r="B17" s="33" t="s">
        <v>9</v>
      </c>
      <c r="C17" s="366" t="str">
        <f>[3]Brewhouse!$A204</f>
        <v>ST151</v>
      </c>
      <c r="D17" s="279">
        <f>[3]Brewhouse!$AB204</f>
        <v>53.1</v>
      </c>
      <c r="E17" s="279">
        <f>[3]Brewhouse!$AG204</f>
        <v>48.8</v>
      </c>
      <c r="F17" s="278">
        <f>[3]Brewhouse!$V204</f>
        <v>57</v>
      </c>
      <c r="G17" s="279">
        <f>[3]Brewhouse!$AE204</f>
        <v>12</v>
      </c>
      <c r="H17" s="396">
        <v>12.2</v>
      </c>
      <c r="I17" s="368">
        <f>[3]Brewhouse!$AS204</f>
        <v>98.526088754367564</v>
      </c>
      <c r="J17" s="368">
        <f>[3]Brewhouse!$AT204</f>
        <v>99.596859948220427</v>
      </c>
      <c r="K17" s="281">
        <f>[3]Brewhouse!$Q204</f>
        <v>10.687382297551784</v>
      </c>
      <c r="L17" s="276">
        <f>[3]Brewhouse!$P204</f>
        <v>60</v>
      </c>
      <c r="M17" s="374">
        <f>[3]Brewhouse!$U204-[3]Brewhouse!$T204</f>
        <v>0.10763888888888895</v>
      </c>
      <c r="N17" s="370">
        <f>[3]Brewhouse!$AW204</f>
        <v>0.26180555555555562</v>
      </c>
      <c r="O17" s="371" t="str">
        <f>[3]Brewhouse!$AV204</f>
        <v>R.Sookram</v>
      </c>
      <c r="P17" s="418"/>
      <c r="R17" s="277" t="str">
        <f t="shared" si="9"/>
        <v>STAG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2:26" ht="15">
      <c r="B18" s="33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2:26" ht="15">
      <c r="B19" s="33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2:26" ht="15">
      <c r="B20" s="33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2:26" ht="15">
      <c r="B21" s="33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371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2:26" ht="15" hidden="1">
      <c r="B22" s="33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371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2:26" ht="15" hidden="1">
      <c r="B23" s="33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371"/>
      <c r="P23" s="418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2:26" ht="15" hidden="1">
      <c r="B24" s="33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74"/>
      <c r="N24" s="370"/>
      <c r="O24" s="371"/>
      <c r="P24" s="418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2:26" ht="15" hidden="1">
      <c r="B25" s="33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74"/>
      <c r="N25" s="370"/>
      <c r="O25" s="371"/>
      <c r="P25" s="418"/>
      <c r="R25" s="277">
        <f t="shared" si="9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2:26" ht="15" hidden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420"/>
      <c r="P26" s="418"/>
      <c r="R26" s="277">
        <f t="shared" si="9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2:26" ht="15" hidden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420"/>
      <c r="P27" s="418"/>
      <c r="R27" s="277">
        <f t="shared" si="9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2:26" ht="15" hidden="1">
      <c r="B28" s="34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420"/>
      <c r="P28" s="418"/>
      <c r="R28" s="277">
        <f t="shared" si="9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2:26" ht="15" hidden="1">
      <c r="B29" s="34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420"/>
      <c r="P29" s="418"/>
      <c r="R29" s="277">
        <f t="shared" si="9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2:26" ht="15" hidden="1">
      <c r="B30" s="34"/>
      <c r="C30" s="366"/>
      <c r="D30" s="279"/>
      <c r="E30" s="279"/>
      <c r="F30" s="278"/>
      <c r="G30" s="279"/>
      <c r="H30" s="396"/>
      <c r="I30" s="484"/>
      <c r="J30" s="484"/>
      <c r="K30" s="485"/>
      <c r="L30" s="276"/>
      <c r="M30" s="374"/>
      <c r="N30" s="370"/>
      <c r="O30" s="420"/>
      <c r="P30" s="418"/>
      <c r="R30" s="277">
        <f t="shared" si="9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2:26" ht="18" hidden="1" customHeight="1">
      <c r="B31" s="29"/>
      <c r="C31" s="366"/>
      <c r="D31" s="279"/>
      <c r="E31" s="279"/>
      <c r="F31" s="278"/>
      <c r="G31" s="279"/>
      <c r="H31" s="482"/>
      <c r="I31" s="368"/>
      <c r="J31" s="368"/>
      <c r="K31" s="281"/>
      <c r="L31" s="276"/>
      <c r="M31" s="374"/>
      <c r="N31" s="370"/>
      <c r="O31" s="371"/>
      <c r="P31" s="418"/>
      <c r="R31" s="277">
        <f t="shared" si="9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2:26" ht="16.5" hidden="1" customHeight="1">
      <c r="B32" s="29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97"/>
      <c r="N32" s="370"/>
      <c r="O32" s="371"/>
      <c r="P32" s="418"/>
      <c r="R32" s="277">
        <f t="shared" si="9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27" ht="15.75" customHeight="1" thickBot="1">
      <c r="B33" s="358"/>
      <c r="C33" s="358"/>
      <c r="D33" s="358"/>
      <c r="E33" s="358"/>
      <c r="F33" s="294"/>
      <c r="G33" s="294"/>
      <c r="H33" s="348"/>
      <c r="I33" s="533"/>
      <c r="J33" s="533"/>
      <c r="K33" s="533"/>
      <c r="L33" s="533"/>
      <c r="M33" s="533"/>
      <c r="N33" s="533"/>
      <c r="O33" s="1"/>
      <c r="P33" s="12"/>
      <c r="R33" s="277">
        <f t="shared" si="9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27" ht="15.75" customHeight="1" thickBot="1">
      <c r="B34" s="388" t="s">
        <v>162</v>
      </c>
      <c r="C34" s="388"/>
      <c r="D34" s="534" t="s">
        <v>35</v>
      </c>
      <c r="E34" s="535"/>
      <c r="F34" s="294"/>
      <c r="G34" s="294"/>
      <c r="H34" s="348"/>
      <c r="I34" s="24" t="s">
        <v>17</v>
      </c>
      <c r="J34" s="25"/>
      <c r="K34" s="26" t="s">
        <v>138</v>
      </c>
      <c r="L34" s="25" t="s">
        <v>37</v>
      </c>
      <c r="M34" s="25" t="s">
        <v>38</v>
      </c>
      <c r="N34" s="27" t="s">
        <v>39</v>
      </c>
      <c r="O34" s="294"/>
      <c r="P34" s="12"/>
      <c r="R34" s="277" t="str">
        <f t="shared" si="9"/>
        <v xml:space="preserve">BRAND 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27" ht="15" customHeight="1">
      <c r="A35" s="28"/>
      <c r="B35" s="519"/>
      <c r="C35" s="362"/>
      <c r="D35" s="537"/>
      <c r="E35" s="538"/>
      <c r="F35" s="294"/>
      <c r="G35" s="294"/>
      <c r="H35" s="348"/>
      <c r="I35" s="29" t="s">
        <v>6</v>
      </c>
      <c r="J35" s="323"/>
      <c r="K35" s="284">
        <f>COUNTA([4]Brewhouse!$B$292:$B$338)</f>
        <v>47</v>
      </c>
      <c r="L35" s="305">
        <f>AVERAGE([4]Brewhouse!$AU$292:$AU$338)</f>
        <v>98.744538631746167</v>
      </c>
      <c r="M35" s="305">
        <f>AVERAGE([4]Brewhouse!$AU$42:$AU$123,[4]Brewhouse!$AU$125:$AU$188,[4]Brewhouse!$AU$198:$AU$290,[4]Brewhouse!$AU$292:$AU$338)</f>
        <v>98.016090396193903</v>
      </c>
      <c r="N35" s="30">
        <v>98</v>
      </c>
      <c r="O35" s="11"/>
      <c r="P35" s="31"/>
      <c r="R35" s="277">
        <f t="shared" si="9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</row>
    <row r="36" spans="1:27" ht="15" customHeight="1">
      <c r="A36" s="28"/>
      <c r="B36" s="520"/>
      <c r="C36" s="362"/>
      <c r="D36" s="539"/>
      <c r="E36" s="525"/>
      <c r="F36" s="294"/>
      <c r="G36" s="294"/>
      <c r="H36" s="348"/>
      <c r="I36" s="33" t="s">
        <v>9</v>
      </c>
      <c r="J36" s="280">
        <f>AVERAGE(I10:I17)</f>
        <v>98.53583569573324</v>
      </c>
      <c r="K36" s="284">
        <f>COUNTA([3]Brewhouse!$A$179:$A$204)</f>
        <v>26</v>
      </c>
      <c r="L36" s="302">
        <f>AVERAGE([3]Brewhouse!$AS$179:$AS$204)</f>
        <v>98.921800051199881</v>
      </c>
      <c r="M36" s="302">
        <f>AVERAGE([3]Brewhouse!$AS$52:$AS$81,[3]Brewhouse!$AS$83:$AS$124,[3]Brewhouse!$AS$134:$AS$177,[3]Brewhouse!$AS$179:$AS$204)</f>
        <v>98.521025084594555</v>
      </c>
      <c r="N36" s="30">
        <v>98</v>
      </c>
      <c r="O36" s="11"/>
      <c r="P36" s="31"/>
      <c r="R36" s="277">
        <f t="shared" si="9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</row>
    <row r="37" spans="1:27" ht="14.65" customHeight="1">
      <c r="A37" s="28"/>
      <c r="B37" s="520"/>
      <c r="C37" s="362"/>
      <c r="D37" s="529"/>
      <c r="E37" s="530"/>
      <c r="F37" s="294"/>
      <c r="G37" s="294"/>
      <c r="H37" s="348"/>
      <c r="I37" s="34" t="s">
        <v>12</v>
      </c>
      <c r="J37" s="280"/>
      <c r="K37" s="284">
        <f>COUNTA([5]Brewhouse!$A$43:$A$50)</f>
        <v>8</v>
      </c>
      <c r="L37" s="302">
        <f>AVERAGE([5]Brewhouse!$AU$43:$AU$50)</f>
        <v>96.223405821152667</v>
      </c>
      <c r="M37" s="302">
        <f>AVERAGE([5]Brewhouse!$AU$16:$AU$23,[5]Brewhouse!$AU$25:$AU$32,[5]Brewhouse!$AU$34:$AU$41,[5]Brewhouse!$AU$43:$AU$50)</f>
        <v>96.904441824349703</v>
      </c>
      <c r="N37" s="30">
        <v>98</v>
      </c>
      <c r="O37" s="11"/>
      <c r="P37" s="31"/>
      <c r="R37" s="277">
        <f t="shared" si="9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</row>
    <row r="38" spans="1:27" ht="14.65" customHeight="1">
      <c r="A38" s="28"/>
      <c r="B38" s="520"/>
      <c r="C38" s="362"/>
      <c r="D38" s="524"/>
      <c r="E38" s="525"/>
      <c r="F38" s="294"/>
      <c r="G38" s="294"/>
      <c r="H38" s="348"/>
      <c r="I38" s="22" t="s">
        <v>33</v>
      </c>
      <c r="J38" s="280"/>
      <c r="K38" s="284"/>
      <c r="L38" s="302"/>
      <c r="M38" s="302">
        <f>AVERAGE([6]Brewhouse!$AV$23:$AV$34,[6]Brewhouse!$AV$36,[6]Brewhouse!$AV$38:$AV$52)</f>
        <v>97.639832259312456</v>
      </c>
      <c r="N38" s="30">
        <v>98</v>
      </c>
      <c r="O38" s="11"/>
      <c r="P38" s="31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</row>
    <row r="39" spans="1:27" ht="14.65" customHeight="1">
      <c r="A39" s="28"/>
      <c r="B39" s="520"/>
      <c r="C39" s="362"/>
      <c r="D39" s="529"/>
      <c r="E39" s="530"/>
      <c r="F39" s="417"/>
      <c r="G39" s="294"/>
      <c r="H39" s="348"/>
      <c r="I39" s="35" t="s">
        <v>29</v>
      </c>
      <c r="J39" s="280"/>
      <c r="K39" s="284"/>
      <c r="L39" s="302"/>
      <c r="M39" s="302"/>
      <c r="N39" s="30">
        <v>98</v>
      </c>
      <c r="O39" s="11"/>
      <c r="P39" s="31"/>
      <c r="R39" s="277">
        <f t="shared" si="0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</row>
    <row r="40" spans="1:27" ht="14.65" customHeight="1">
      <c r="A40" s="28"/>
      <c r="B40" s="520"/>
      <c r="C40" s="362"/>
      <c r="D40" s="524"/>
      <c r="E40" s="525"/>
      <c r="F40" s="417"/>
      <c r="G40" s="294"/>
      <c r="H40" s="348"/>
      <c r="I40" s="36" t="s">
        <v>15</v>
      </c>
      <c r="J40" s="323"/>
      <c r="K40" s="284"/>
      <c r="L40" s="302"/>
      <c r="M40" s="302">
        <f>AVERAGE([7]Brewhouse!$AT$4:$AT$11)</f>
        <v>92.826224508052405</v>
      </c>
      <c r="N40" s="30">
        <v>98</v>
      </c>
      <c r="O40" s="11"/>
      <c r="P40" s="31"/>
      <c r="R40" s="277">
        <f t="shared" si="0"/>
        <v>0</v>
      </c>
      <c r="S40" s="472" t="e">
        <f t="shared" si="1"/>
        <v>#N/A</v>
      </c>
      <c r="T40" s="472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2" t="e">
        <f t="shared" si="8"/>
        <v>#N/A</v>
      </c>
    </row>
    <row r="41" spans="1:27" ht="14.65" customHeight="1">
      <c r="A41" s="28"/>
      <c r="B41" s="520"/>
      <c r="C41" s="362"/>
      <c r="D41" s="529"/>
      <c r="E41" s="530"/>
      <c r="F41" s="417"/>
      <c r="G41" s="294"/>
      <c r="H41" s="348"/>
      <c r="I41" s="37" t="s">
        <v>16</v>
      </c>
      <c r="J41" s="323"/>
      <c r="K41" s="284"/>
      <c r="L41" s="302"/>
      <c r="M41" s="302">
        <f>AVERAGE([8]Brewhouse!$AY$5:$AY$14,[8]Brewhouse!$AY$16:$AY$23,[8]Brewhouse!$AY$42)</f>
        <v>97.390503559857137</v>
      </c>
      <c r="N41" s="30">
        <v>98</v>
      </c>
      <c r="O41" s="11"/>
      <c r="P41" s="31" t="s">
        <v>41</v>
      </c>
      <c r="R41" s="277">
        <f t="shared" si="0"/>
        <v>0</v>
      </c>
      <c r="S41" s="472" t="e">
        <f t="shared" si="1"/>
        <v>#N/A</v>
      </c>
      <c r="T41" s="472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472" t="e">
        <f t="shared" si="8"/>
        <v>#N/A</v>
      </c>
    </row>
    <row r="42" spans="1:27" ht="14.65" customHeight="1">
      <c r="A42" s="28"/>
      <c r="B42" s="520"/>
      <c r="C42" s="362"/>
      <c r="D42" s="524"/>
      <c r="E42" s="525"/>
      <c r="F42" s="294"/>
      <c r="G42" s="294"/>
      <c r="H42" s="348"/>
      <c r="I42" s="411" t="s">
        <v>158</v>
      </c>
      <c r="J42" s="326"/>
      <c r="K42" s="284"/>
      <c r="L42" s="305"/>
      <c r="M42" s="305"/>
      <c r="N42" s="30">
        <v>98</v>
      </c>
      <c r="O42" s="11"/>
      <c r="P42" s="31"/>
      <c r="R42" s="277">
        <f t="shared" si="0"/>
        <v>0</v>
      </c>
      <c r="S42" s="472" t="e">
        <f t="shared" si="1"/>
        <v>#N/A</v>
      </c>
      <c r="T42" s="472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472" t="e">
        <f t="shared" si="8"/>
        <v>#N/A</v>
      </c>
    </row>
    <row r="43" spans="1:27" ht="14.65" customHeight="1">
      <c r="A43" s="28"/>
      <c r="B43" s="520"/>
      <c r="C43" s="349"/>
      <c r="D43" s="529"/>
      <c r="E43" s="530"/>
      <c r="F43" s="294"/>
      <c r="G43" s="294"/>
      <c r="H43" s="348"/>
      <c r="I43" s="410" t="s">
        <v>157</v>
      </c>
      <c r="J43" s="326"/>
      <c r="K43" s="284"/>
      <c r="L43" s="305"/>
      <c r="M43" s="305"/>
      <c r="N43" s="30">
        <v>98</v>
      </c>
      <c r="O43" s="11"/>
      <c r="P43" s="31"/>
      <c r="R43" s="277">
        <f t="shared" si="0"/>
        <v>0</v>
      </c>
      <c r="S43" s="472" t="e">
        <f t="shared" si="1"/>
        <v>#N/A</v>
      </c>
      <c r="T43" s="472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472" t="e">
        <f t="shared" si="8"/>
        <v>#N/A</v>
      </c>
      <c r="AA43" s="472"/>
    </row>
    <row r="44" spans="1:27" ht="15" customHeight="1" thickBot="1">
      <c r="A44" s="28"/>
      <c r="B44" s="520"/>
      <c r="C44" s="349"/>
      <c r="D44" s="524"/>
      <c r="E44" s="525"/>
      <c r="F44" s="294"/>
      <c r="G44" s="294"/>
      <c r="H44" s="348"/>
      <c r="I44" s="406" t="s">
        <v>156</v>
      </c>
      <c r="J44" s="327"/>
      <c r="K44" s="407"/>
      <c r="L44" s="408"/>
      <c r="M44" s="408"/>
      <c r="N44" s="409">
        <v>98</v>
      </c>
      <c r="O44" s="11"/>
      <c r="P44" s="31"/>
      <c r="R44" s="277">
        <f t="shared" si="0"/>
        <v>0</v>
      </c>
      <c r="S44" s="472" t="e">
        <f t="shared" si="1"/>
        <v>#N/A</v>
      </c>
      <c r="T44" s="472" t="e">
        <f t="shared" si="2"/>
        <v>#N/A</v>
      </c>
      <c r="U44" s="297" t="e">
        <f t="shared" si="3"/>
        <v>#N/A</v>
      </c>
      <c r="V44" s="297" t="e">
        <f t="shared" si="4"/>
        <v>#N/A</v>
      </c>
      <c r="W44" s="297" t="e">
        <f t="shared" si="5"/>
        <v>#N/A</v>
      </c>
      <c r="X44" s="297" t="e">
        <f t="shared" si="6"/>
        <v>#N/A</v>
      </c>
      <c r="Y44" s="297" t="e">
        <f t="shared" si="7"/>
        <v>#N/A</v>
      </c>
      <c r="Z44" s="472" t="e">
        <f t="shared" si="8"/>
        <v>#N/A</v>
      </c>
      <c r="AA44" s="472"/>
    </row>
    <row r="45" spans="1:27" ht="15" customHeight="1" thickBot="1">
      <c r="A45" s="28"/>
      <c r="B45" s="520"/>
      <c r="C45" s="349"/>
      <c r="D45" s="537"/>
      <c r="E45" s="538"/>
      <c r="F45" s="294"/>
      <c r="G45" s="294"/>
      <c r="H45" s="348"/>
      <c r="I45" s="1"/>
      <c r="J45" s="39"/>
      <c r="K45" s="404">
        <f>SUM(K35:K44)</f>
        <v>81</v>
      </c>
      <c r="L45" s="405">
        <f>((L35*K35)+(L36*K36)+(L37*K37)+(L38*K38)+(L39*K39)+(K42*L42)+(L40*K40)+(L41*K41)+(L44*K44))/(K45)</f>
        <v>98.552436587561587</v>
      </c>
      <c r="M45" s="405">
        <f>AVERAGE('[9]Jan30th-31st'!$L$42,L45)</f>
        <v>98.190239161701527</v>
      </c>
      <c r="N45" s="40">
        <v>98</v>
      </c>
      <c r="O45" s="11"/>
      <c r="P45" s="31"/>
      <c r="R45" s="277">
        <f t="shared" si="0"/>
        <v>0</v>
      </c>
      <c r="S45" s="472" t="e">
        <f t="shared" si="1"/>
        <v>#N/A</v>
      </c>
      <c r="T45" s="472" t="e">
        <f t="shared" si="2"/>
        <v>#N/A</v>
      </c>
      <c r="U45" s="297" t="e">
        <f t="shared" si="3"/>
        <v>#N/A</v>
      </c>
      <c r="V45" s="297" t="e">
        <f t="shared" si="4"/>
        <v>#N/A</v>
      </c>
      <c r="W45" s="297" t="e">
        <f t="shared" si="5"/>
        <v>#N/A</v>
      </c>
      <c r="X45" s="297" t="e">
        <f t="shared" si="6"/>
        <v>#N/A</v>
      </c>
      <c r="Y45" s="297" t="e">
        <f t="shared" si="7"/>
        <v>#N/A</v>
      </c>
      <c r="Z45" s="472" t="e">
        <f t="shared" si="8"/>
        <v>#N/A</v>
      </c>
      <c r="AA45" s="472"/>
    </row>
    <row r="46" spans="1:27" ht="15.75" thickBot="1">
      <c r="B46" s="536"/>
      <c r="C46" s="350"/>
      <c r="D46" s="539"/>
      <c r="E46" s="525"/>
      <c r="F46" s="294"/>
      <c r="G46" s="42"/>
      <c r="H46" s="41"/>
      <c r="I46" s="42"/>
      <c r="J46" s="42"/>
      <c r="K46" s="351"/>
      <c r="L46" s="348"/>
      <c r="M46" s="348"/>
      <c r="N46" s="11"/>
      <c r="O46" s="294"/>
      <c r="P46" s="12"/>
      <c r="R46" s="277">
        <f t="shared" si="0"/>
        <v>0</v>
      </c>
      <c r="S46" s="472" t="e">
        <f t="shared" si="1"/>
        <v>#N/A</v>
      </c>
      <c r="T46" s="472" t="e">
        <f t="shared" si="2"/>
        <v>#N/A</v>
      </c>
      <c r="U46" s="297" t="e">
        <f t="shared" si="3"/>
        <v>#N/A</v>
      </c>
      <c r="V46" s="297" t="e">
        <f t="shared" si="4"/>
        <v>#N/A</v>
      </c>
      <c r="W46" s="297" t="e">
        <f t="shared" si="5"/>
        <v>#N/A</v>
      </c>
      <c r="X46" s="297" t="e">
        <f t="shared" si="6"/>
        <v>#N/A</v>
      </c>
      <c r="Y46" s="297" t="e">
        <f t="shared" si="7"/>
        <v>#N/A</v>
      </c>
      <c r="Z46" s="472" t="e">
        <f t="shared" si="8"/>
        <v>#N/A</v>
      </c>
      <c r="AA46" s="472"/>
    </row>
    <row r="47" spans="1:27" ht="15.75" thickBot="1">
      <c r="B47" s="519"/>
      <c r="C47" s="362"/>
      <c r="D47" s="522"/>
      <c r="E47" s="523"/>
      <c r="F47" s="294"/>
      <c r="G47" s="42"/>
      <c r="H47" s="41"/>
      <c r="I47" s="42"/>
      <c r="J47" s="526" t="s">
        <v>129</v>
      </c>
      <c r="K47" s="526"/>
      <c r="L47" s="294"/>
      <c r="M47" s="294"/>
      <c r="N47" s="294"/>
      <c r="O47" s="294"/>
      <c r="P47" s="12"/>
    </row>
    <row r="48" spans="1:27" ht="15.75" thickBot="1">
      <c r="B48" s="520"/>
      <c r="C48" s="362"/>
      <c r="D48" s="524"/>
      <c r="E48" s="525"/>
      <c r="F48" s="294"/>
      <c r="G48" s="42"/>
      <c r="H48" s="42"/>
      <c r="I48" s="42"/>
      <c r="J48" s="292" t="s">
        <v>17</v>
      </c>
      <c r="K48" s="293" t="s">
        <v>172</v>
      </c>
      <c r="L48" s="527" t="s">
        <v>136</v>
      </c>
      <c r="M48" s="527"/>
      <c r="N48" s="528"/>
      <c r="O48" s="294"/>
      <c r="P48" s="12"/>
    </row>
    <row r="49" spans="2:57" ht="15" customHeight="1" thickBot="1">
      <c r="B49" s="520"/>
      <c r="C49" s="349"/>
      <c r="D49" s="529"/>
      <c r="E49" s="530"/>
      <c r="F49" s="294"/>
      <c r="G49" s="42"/>
      <c r="H49" s="42"/>
      <c r="I49" s="42"/>
      <c r="J49" s="287" t="s">
        <v>6</v>
      </c>
      <c r="K49" s="324"/>
      <c r="L49" s="473" t="s">
        <v>37</v>
      </c>
      <c r="M49" s="474" t="s">
        <v>38</v>
      </c>
      <c r="N49" s="474" t="s">
        <v>84</v>
      </c>
      <c r="O49" s="294"/>
      <c r="P49" s="12"/>
    </row>
    <row r="50" spans="2:57" ht="15.75" customHeight="1" thickBot="1">
      <c r="B50" s="520"/>
      <c r="C50" s="349"/>
      <c r="D50" s="524"/>
      <c r="E50" s="525"/>
      <c r="F50" s="294"/>
      <c r="G50" s="42"/>
      <c r="H50" s="42"/>
      <c r="I50" s="42"/>
      <c r="J50" s="345" t="s">
        <v>9</v>
      </c>
      <c r="K50" s="324">
        <v>8</v>
      </c>
      <c r="L50" s="344">
        <f>AVERAGE('Apr 1st'!K50,K59,'Apr 2nd'!K48,'Apr 7th'!K50,'Apr 8th'!K50,'Apr 9th '!K58,'Apr 10th'!K55,'Apr 13th'!K66,'Apr 14th'!K60,'Apr 15th'!K51,'Apr 16th '!K53)</f>
        <v>7.3636363636363633</v>
      </c>
      <c r="M50" s="325">
        <f>AVERAGE('[9]Jan30th-31st'!$L$47,L50,'[10]Feb 26th '!$L$39,'[11]Mar 31st'!$L$47)</f>
        <v>6.6376482213438734</v>
      </c>
      <c r="N50" s="416">
        <v>9.1999999999999993</v>
      </c>
      <c r="O50" s="294"/>
      <c r="P50" s="12"/>
    </row>
    <row r="51" spans="2:57" ht="15" customHeight="1">
      <c r="B51" s="520"/>
      <c r="C51" s="349"/>
      <c r="D51" s="529"/>
      <c r="E51" s="530"/>
      <c r="F51" s="294"/>
      <c r="G51" s="42"/>
      <c r="H51" s="42"/>
      <c r="I51" s="42"/>
      <c r="J51" s="288" t="s">
        <v>40</v>
      </c>
      <c r="K51" s="324"/>
      <c r="L51" s="294"/>
      <c r="M51" s="294"/>
      <c r="N51" s="294"/>
      <c r="O51" s="294"/>
      <c r="P51" s="12"/>
    </row>
    <row r="52" spans="2:57" ht="15" customHeight="1">
      <c r="B52" s="520"/>
      <c r="C52" s="349"/>
      <c r="D52" s="524"/>
      <c r="E52" s="525"/>
      <c r="F52" s="294"/>
      <c r="G52" s="42"/>
      <c r="H52" s="42"/>
      <c r="I52" s="42"/>
      <c r="J52" s="289" t="s">
        <v>33</v>
      </c>
      <c r="K52" s="324"/>
      <c r="L52" s="294"/>
      <c r="M52" s="294"/>
      <c r="N52" s="294"/>
      <c r="O52" s="294"/>
      <c r="P52" s="12"/>
    </row>
    <row r="53" spans="2:57" ht="15">
      <c r="B53" s="520"/>
      <c r="C53" s="349"/>
      <c r="D53" s="529"/>
      <c r="E53" s="530"/>
      <c r="F53" s="294"/>
      <c r="G53" s="42"/>
      <c r="H53" s="42"/>
      <c r="I53" s="42"/>
      <c r="J53" s="290" t="s">
        <v>16</v>
      </c>
      <c r="K53" s="324"/>
      <c r="L53" s="294"/>
      <c r="M53" s="294"/>
      <c r="N53" s="294"/>
      <c r="O53" s="294"/>
      <c r="P53" s="12"/>
      <c r="BC53" s="44"/>
      <c r="BD53" s="44"/>
    </row>
    <row r="54" spans="2:57" ht="15">
      <c r="B54" s="520"/>
      <c r="C54" s="349"/>
      <c r="D54" s="524"/>
      <c r="E54" s="525"/>
      <c r="F54" s="294"/>
      <c r="G54" s="42"/>
      <c r="H54" s="42"/>
      <c r="I54" s="42"/>
      <c r="J54" s="291" t="s">
        <v>15</v>
      </c>
      <c r="K54" s="324"/>
      <c r="L54" s="294"/>
      <c r="M54" s="294"/>
      <c r="N54" s="294"/>
      <c r="O54" s="294"/>
      <c r="P54" s="12"/>
      <c r="BC54" s="44"/>
      <c r="BD54" s="44"/>
    </row>
    <row r="55" spans="2:57" ht="15">
      <c r="B55" s="520"/>
      <c r="C55" s="349"/>
      <c r="D55" s="529"/>
      <c r="E55" s="530"/>
      <c r="F55" s="294"/>
      <c r="G55" s="42"/>
      <c r="H55" s="42"/>
      <c r="I55" s="42"/>
      <c r="J55" s="291" t="s">
        <v>149</v>
      </c>
      <c r="K55" s="324"/>
      <c r="L55" s="294"/>
      <c r="M55" s="294"/>
      <c r="N55" s="294"/>
      <c r="O55" s="294"/>
      <c r="P55" s="12"/>
      <c r="BC55" s="44"/>
      <c r="BD55" s="44"/>
    </row>
    <row r="56" spans="2:57" ht="15.75" thickBot="1">
      <c r="B56" s="521"/>
      <c r="C56" s="350"/>
      <c r="D56" s="531"/>
      <c r="E56" s="532"/>
      <c r="F56" s="294" t="s">
        <v>166</v>
      </c>
      <c r="G56" s="42"/>
      <c r="H56" s="42"/>
      <c r="I56" s="42"/>
      <c r="J56" s="291" t="s">
        <v>148</v>
      </c>
      <c r="K56" s="324"/>
      <c r="L56" s="294"/>
      <c r="M56" s="294"/>
      <c r="N56" s="294" t="s">
        <v>41</v>
      </c>
      <c r="O56" s="294"/>
      <c r="P56" s="12"/>
      <c r="BC56" s="44"/>
      <c r="BD56" s="44"/>
    </row>
    <row r="57" spans="2:57" ht="17.649999999999999" customHeight="1" thickBot="1">
      <c r="B57" s="312" t="s">
        <v>139</v>
      </c>
      <c r="C57" s="313"/>
      <c r="D57" s="512"/>
      <c r="E57" s="513"/>
      <c r="F57" s="294"/>
      <c r="J57" s="295" t="s">
        <v>134</v>
      </c>
      <c r="K57" s="324"/>
      <c r="L57" s="294"/>
      <c r="M57" s="294"/>
      <c r="N57" s="294"/>
      <c r="O57" s="294"/>
      <c r="P57" s="12"/>
      <c r="BC57" s="44"/>
      <c r="BD57" s="44"/>
    </row>
    <row r="58" spans="2:57" ht="17.649999999999999" customHeight="1">
      <c r="B58" s="363"/>
      <c r="C58" s="364"/>
      <c r="D58" s="365"/>
      <c r="E58" s="365"/>
      <c r="F58" s="294"/>
      <c r="G58" s="42"/>
      <c r="H58" s="42"/>
      <c r="I58" s="42"/>
      <c r="J58" s="295" t="s">
        <v>131</v>
      </c>
      <c r="K58" s="324"/>
      <c r="L58" s="294"/>
      <c r="M58" s="294"/>
      <c r="N58" s="294"/>
      <c r="O58" s="294"/>
      <c r="P58" s="12"/>
      <c r="BC58" s="44"/>
      <c r="BD58" s="44"/>
    </row>
    <row r="59" spans="2:57" ht="15.6" customHeight="1">
      <c r="B59" s="45"/>
      <c r="C59" s="11"/>
      <c r="D59" s="11"/>
      <c r="E59" s="46"/>
      <c r="F59" s="294"/>
      <c r="G59" s="42"/>
      <c r="H59" s="42"/>
      <c r="I59" s="42"/>
      <c r="J59" s="346" t="s">
        <v>130</v>
      </c>
      <c r="K59" s="324">
        <f>SUM(K49:K58)</f>
        <v>8</v>
      </c>
      <c r="L59" s="294"/>
      <c r="M59" s="294"/>
      <c r="N59" s="294"/>
      <c r="O59" s="294"/>
      <c r="P59" s="12"/>
    </row>
    <row r="60" spans="2:57" ht="20.25" customHeight="1">
      <c r="B60" s="15" t="s">
        <v>42</v>
      </c>
      <c r="C60" s="1" t="s">
        <v>43</v>
      </c>
      <c r="D60" s="1"/>
      <c r="E60" s="1"/>
      <c r="F60" s="294"/>
      <c r="G60" s="42"/>
      <c r="H60" s="41"/>
      <c r="I60" s="42"/>
      <c r="L60" s="294"/>
      <c r="N60" s="315"/>
      <c r="P60" s="334"/>
    </row>
    <row r="61" spans="2:57" ht="15" customHeight="1" thickBot="1"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1"/>
      <c r="O61" s="48"/>
      <c r="P61" s="49"/>
    </row>
    <row r="62" spans="2:57" ht="15" customHeight="1" thickBot="1">
      <c r="B62" s="504" t="s">
        <v>17</v>
      </c>
      <c r="C62" s="504" t="s">
        <v>44</v>
      </c>
      <c r="D62" s="515" t="s">
        <v>45</v>
      </c>
      <c r="E62" s="517" t="s">
        <v>46</v>
      </c>
      <c r="F62" s="510" t="s">
        <v>47</v>
      </c>
      <c r="G62" s="502" t="s">
        <v>48</v>
      </c>
      <c r="H62" s="504" t="s">
        <v>49</v>
      </c>
      <c r="I62" s="504" t="s">
        <v>50</v>
      </c>
      <c r="J62" s="496" t="s">
        <v>28</v>
      </c>
      <c r="K62" s="506" t="s">
        <v>51</v>
      </c>
      <c r="L62" s="508" t="s">
        <v>52</v>
      </c>
      <c r="M62" s="496" t="s">
        <v>53</v>
      </c>
      <c r="N62" s="13"/>
      <c r="O62" s="13"/>
      <c r="P62" s="50"/>
    </row>
    <row r="63" spans="2:57" ht="28.5" customHeight="1" thickTop="1" thickBot="1">
      <c r="B63" s="505"/>
      <c r="C63" s="514"/>
      <c r="D63" s="516"/>
      <c r="E63" s="518"/>
      <c r="F63" s="511"/>
      <c r="G63" s="503"/>
      <c r="H63" s="505"/>
      <c r="I63" s="505"/>
      <c r="J63" s="497"/>
      <c r="K63" s="507"/>
      <c r="L63" s="509"/>
      <c r="M63" s="497"/>
      <c r="N63" s="13"/>
      <c r="O63" s="13"/>
      <c r="P63" s="50"/>
      <c r="Q63" s="355"/>
      <c r="AB63" s="475">
        <v>43474</v>
      </c>
      <c r="AC63" s="475">
        <v>43475</v>
      </c>
      <c r="AD63" s="475">
        <v>43476</v>
      </c>
      <c r="AE63" s="475">
        <v>43477</v>
      </c>
      <c r="AF63" s="475">
        <v>43478</v>
      </c>
      <c r="AG63" s="475">
        <v>43479</v>
      </c>
      <c r="AH63" s="475">
        <v>43480</v>
      </c>
      <c r="AI63" s="475">
        <v>43481</v>
      </c>
      <c r="AJ63" s="475">
        <v>43482</v>
      </c>
      <c r="AK63" s="475">
        <v>43483</v>
      </c>
      <c r="AL63" s="475">
        <v>43484</v>
      </c>
      <c r="AM63" s="475">
        <v>43485</v>
      </c>
      <c r="AN63" s="475">
        <v>43486</v>
      </c>
      <c r="AO63" s="475">
        <v>43487</v>
      </c>
      <c r="AP63" s="475">
        <v>43488</v>
      </c>
      <c r="AQ63" s="475">
        <v>43489</v>
      </c>
      <c r="AR63" s="475">
        <v>43490</v>
      </c>
      <c r="AS63" s="475">
        <v>43491</v>
      </c>
      <c r="AT63" s="475">
        <v>43492</v>
      </c>
      <c r="AU63" s="475">
        <v>43493</v>
      </c>
      <c r="AV63" s="475">
        <v>43494</v>
      </c>
      <c r="AW63" s="475">
        <v>43495</v>
      </c>
      <c r="AX63" s="475">
        <v>43496</v>
      </c>
    </row>
    <row r="64" spans="2:57" s="54" customFormat="1" ht="36.75" customHeight="1" thickBot="1">
      <c r="B64" s="480" t="str">
        <f>J49</f>
        <v>CARIB</v>
      </c>
      <c r="C64" s="479">
        <v>46132</v>
      </c>
      <c r="D64" s="442">
        <f>[12]April_2026!$W$3</f>
        <v>402.4</v>
      </c>
      <c r="E64" s="443"/>
      <c r="F64" s="444">
        <f>SUM([33]CARIB!$L$62:$L$69)</f>
        <v>395.7</v>
      </c>
      <c r="G64" s="445">
        <f>[12]April_2026!$W$7</f>
        <v>384.59999999999997</v>
      </c>
      <c r="H64" s="458">
        <f>(D64-F64)/D64*100</f>
        <v>1.6650099403578502</v>
      </c>
      <c r="I64" s="458">
        <f>((F64+E64)-G64)/(F64+E64)*100</f>
        <v>2.8051554207733189</v>
      </c>
      <c r="J64" s="448" t="s">
        <v>175</v>
      </c>
      <c r="K64" s="449">
        <f>[13]April_2026!$W$18</f>
        <v>1.3494736842105262</v>
      </c>
      <c r="L64" s="476">
        <f>(((D64+E64)-G64)/(D64+E64))*100</f>
        <v>4.4234592445328058</v>
      </c>
      <c r="M64" s="455" t="s">
        <v>180</v>
      </c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>
        <f>[14]January_2019!L5</f>
        <v>0</v>
      </c>
      <c r="AC64" s="57">
        <f>[14]January_2019!M5</f>
        <v>0</v>
      </c>
      <c r="AD64" s="57">
        <f>[14]January_2019!N5</f>
        <v>0</v>
      </c>
      <c r="AE64" s="57">
        <f>[14]January_2019!O5</f>
        <v>0</v>
      </c>
      <c r="AF64" s="57">
        <f>[14]January_2019!P5</f>
        <v>0</v>
      </c>
      <c r="AG64" s="57">
        <f>[14]January_2019!Q5</f>
        <v>0</v>
      </c>
      <c r="AH64" s="57">
        <f>[14]January_2019!R5</f>
        <v>0</v>
      </c>
      <c r="AI64" s="57">
        <f>[14]January_2019!S5</f>
        <v>0</v>
      </c>
      <c r="AJ64" s="57">
        <f>[14]January_2019!T5</f>
        <v>0</v>
      </c>
      <c r="AK64" s="57">
        <f>[14]January_2019!U5</f>
        <v>0</v>
      </c>
      <c r="AL64" s="57">
        <f>[14]January_2019!V5</f>
        <v>0</v>
      </c>
      <c r="AM64" s="57">
        <f>[14]January_2019!W5</f>
        <v>0</v>
      </c>
      <c r="AN64" s="57">
        <f>[14]January_2019!X5</f>
        <v>0</v>
      </c>
      <c r="AO64" s="57">
        <f>[14]January_2019!Y5</f>
        <v>0</v>
      </c>
      <c r="AP64" s="57">
        <f>[14]January_2019!Z5</f>
        <v>0</v>
      </c>
      <c r="AQ64" s="57">
        <f>[14]January_2019!AA5</f>
        <v>0</v>
      </c>
      <c r="AR64" s="57">
        <f>[14]January_2019!AB5</f>
        <v>0</v>
      </c>
      <c r="AS64" s="57">
        <f>[14]January_2019!AC5</f>
        <v>0</v>
      </c>
      <c r="AT64" s="57">
        <f>[14]January_2019!AD5</f>
        <v>0</v>
      </c>
      <c r="AU64" s="57">
        <f>[14]January_2019!AE5</f>
        <v>0</v>
      </c>
      <c r="AV64" s="57">
        <f>[14]January_2019!AF5</f>
        <v>0</v>
      </c>
      <c r="AW64" s="57">
        <f>[14]January_2019!AG5</f>
        <v>0</v>
      </c>
      <c r="AX64" s="277">
        <f>[14]January_2019!AH5</f>
        <v>0</v>
      </c>
      <c r="AY64" s="277"/>
      <c r="AZ64" s="277"/>
      <c r="BA64" s="277"/>
      <c r="BB64" s="277"/>
      <c r="BC64" s="277"/>
      <c r="BD64" s="277"/>
      <c r="BE64" s="277"/>
    </row>
    <row r="65" spans="1:57" s="54" customFormat="1" ht="14.25" customHeight="1" thickBot="1">
      <c r="B65" s="480"/>
      <c r="C65" s="479"/>
      <c r="D65" s="442"/>
      <c r="E65" s="443"/>
      <c r="F65" s="444"/>
      <c r="G65" s="445"/>
      <c r="H65" s="458"/>
      <c r="I65" s="458"/>
      <c r="J65" s="476"/>
      <c r="K65" s="449"/>
      <c r="L65" s="457"/>
      <c r="M65" s="455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>
        <f>[14]January_2019!L6</f>
        <v>0</v>
      </c>
      <c r="AC65" s="57">
        <f>[14]January_2019!M6</f>
        <v>0</v>
      </c>
      <c r="AD65" s="57">
        <f>[14]January_2019!N6</f>
        <v>0</v>
      </c>
      <c r="AE65" s="57">
        <f>[14]January_2019!O6</f>
        <v>0</v>
      </c>
      <c r="AF65" s="57">
        <f>[14]January_2019!P6</f>
        <v>0</v>
      </c>
      <c r="AG65" s="57">
        <f>[14]January_2019!Q6</f>
        <v>0</v>
      </c>
      <c r="AH65" s="57">
        <f>[14]January_2019!R6</f>
        <v>0</v>
      </c>
      <c r="AI65" s="57">
        <f>[14]January_2019!S6</f>
        <v>0</v>
      </c>
      <c r="AJ65" s="57">
        <f>[14]January_2019!T6</f>
        <v>0</v>
      </c>
      <c r="AK65" s="57">
        <f>[14]January_2019!U6</f>
        <v>0</v>
      </c>
      <c r="AL65" s="57">
        <f>[14]January_2019!V6</f>
        <v>0</v>
      </c>
      <c r="AM65" s="57">
        <f>[14]January_2019!W6</f>
        <v>0</v>
      </c>
      <c r="AN65" s="57">
        <f>[14]January_2019!X6</f>
        <v>0</v>
      </c>
      <c r="AO65" s="57">
        <f>[14]January_2019!Y6</f>
        <v>0</v>
      </c>
      <c r="AP65" s="57">
        <f>[14]January_2019!Z6</f>
        <v>0</v>
      </c>
      <c r="AQ65" s="57">
        <f>[14]January_2019!AA6</f>
        <v>0</v>
      </c>
      <c r="AR65" s="57">
        <f>[14]January_2019!AB6</f>
        <v>0</v>
      </c>
      <c r="AS65" s="57">
        <f>[14]January_2019!AC6</f>
        <v>0</v>
      </c>
      <c r="AT65" s="57">
        <f>[14]January_2019!AD6</f>
        <v>0</v>
      </c>
      <c r="AU65" s="57">
        <f>[14]January_2019!AE6</f>
        <v>0</v>
      </c>
      <c r="AV65" s="57">
        <f>[14]January_2019!AF6</f>
        <v>0</v>
      </c>
      <c r="AW65" s="57">
        <f>[14]January_2019!AG6</f>
        <v>0</v>
      </c>
      <c r="AX65" s="277">
        <f>[14]January_2019!AH6</f>
        <v>0</v>
      </c>
      <c r="AY65" s="277"/>
      <c r="AZ65" s="277"/>
      <c r="BA65" s="277"/>
      <c r="BB65" s="277"/>
      <c r="BC65" s="277"/>
      <c r="BD65" s="277"/>
      <c r="BE65" s="277"/>
    </row>
    <row r="66" spans="1:57" s="54" customFormat="1" ht="37.15" hidden="1" customHeight="1" thickBot="1">
      <c r="A66" s="54" t="s">
        <v>168</v>
      </c>
      <c r="B66" s="486"/>
      <c r="C66" s="479"/>
      <c r="D66" s="442"/>
      <c r="E66" s="443"/>
      <c r="F66" s="444"/>
      <c r="G66" s="445"/>
      <c r="H66" s="458"/>
      <c r="I66" s="458"/>
      <c r="J66" s="448"/>
      <c r="K66" s="449"/>
      <c r="L66" s="457"/>
      <c r="M66" s="455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>
        <f>[14]January_2019!L7</f>
        <v>285.8</v>
      </c>
      <c r="AC66" s="57">
        <f>[14]January_2019!M7</f>
        <v>508.1</v>
      </c>
      <c r="AD66" s="57">
        <f>[14]January_2019!N7</f>
        <v>0</v>
      </c>
      <c r="AE66" s="57">
        <f>[14]January_2019!O7</f>
        <v>0</v>
      </c>
      <c r="AF66" s="57">
        <f>[14]January_2019!P7</f>
        <v>109.56666666666666</v>
      </c>
      <c r="AG66" s="57">
        <f>[14]January_2019!Q7</f>
        <v>297.64999999999998</v>
      </c>
      <c r="AH66" s="57">
        <f>[14]January_2019!R7</f>
        <v>122.3</v>
      </c>
      <c r="AI66" s="57">
        <f>[14]January_2019!S7</f>
        <v>0</v>
      </c>
      <c r="AJ66" s="57">
        <f>[14]January_2019!T7</f>
        <v>294.7</v>
      </c>
      <c r="AK66" s="57">
        <f>[14]January_2019!U7</f>
        <v>280.5</v>
      </c>
      <c r="AL66" s="57">
        <f>[14]January_2019!V7</f>
        <v>0</v>
      </c>
      <c r="AM66" s="57">
        <f>[14]January_2019!W7</f>
        <v>0</v>
      </c>
      <c r="AN66" s="57">
        <f>[14]January_2019!X7</f>
        <v>188.25</v>
      </c>
      <c r="AO66" s="57">
        <f>[14]January_2019!Y7</f>
        <v>295.7</v>
      </c>
      <c r="AP66" s="57">
        <f>[14]January_2019!Z7</f>
        <v>257.8</v>
      </c>
      <c r="AQ66" s="57">
        <f>[14]January_2019!AA7</f>
        <v>291.2</v>
      </c>
      <c r="AR66" s="57">
        <f>[14]January_2019!AB7</f>
        <v>187</v>
      </c>
      <c r="AS66" s="57">
        <f>[14]January_2019!AC7</f>
        <v>0</v>
      </c>
      <c r="AT66" s="57">
        <f>[14]January_2019!AD7</f>
        <v>0</v>
      </c>
      <c r="AU66" s="57">
        <f>[14]January_2019!AE7</f>
        <v>485.1</v>
      </c>
      <c r="AV66" s="57">
        <f>[14]January_2019!AF7</f>
        <v>171.55</v>
      </c>
      <c r="AW66" s="57">
        <f>[14]January_2019!AG7</f>
        <v>423.8</v>
      </c>
      <c r="AX66" s="277">
        <f>[14]January_2019!AH7</f>
        <v>0</v>
      </c>
      <c r="AY66" s="277"/>
      <c r="AZ66" s="277"/>
      <c r="BA66" s="277"/>
      <c r="BB66" s="277"/>
      <c r="BC66" s="277"/>
      <c r="BD66" s="277"/>
      <c r="BE66" s="277"/>
    </row>
    <row r="67" spans="1:57" s="54" customFormat="1" ht="19.5" hidden="1" customHeight="1" thickBot="1">
      <c r="B67" s="478"/>
      <c r="C67" s="430"/>
      <c r="D67" s="431"/>
      <c r="E67" s="432"/>
      <c r="F67" s="433"/>
      <c r="G67" s="434"/>
      <c r="H67" s="458"/>
      <c r="I67" s="458"/>
      <c r="J67" s="451"/>
      <c r="K67" s="436"/>
      <c r="L67" s="452"/>
      <c r="M67" s="421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1:57" s="54" customFormat="1" ht="38.450000000000003" hidden="1" customHeight="1" thickBot="1">
      <c r="B68" s="480"/>
      <c r="C68" s="479"/>
      <c r="D68" s="442"/>
      <c r="E68" s="443"/>
      <c r="F68" s="444"/>
      <c r="G68" s="445"/>
      <c r="H68" s="458"/>
      <c r="I68" s="458"/>
      <c r="J68" s="448" t="s">
        <v>171</v>
      </c>
      <c r="K68" s="459"/>
      <c r="L68" s="457" t="e">
        <f>(((D68+E68)-G68)/(D68+E68))*100</f>
        <v>#DIV/0!</v>
      </c>
      <c r="M68" s="455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277"/>
      <c r="AY68" s="277"/>
      <c r="AZ68" s="277"/>
      <c r="BA68" s="277"/>
      <c r="BB68" s="277"/>
      <c r="BC68" s="277"/>
      <c r="BD68" s="277"/>
      <c r="BE68" s="277"/>
    </row>
    <row r="69" spans="1:57" s="54" customFormat="1" ht="15" hidden="1">
      <c r="B69" s="453"/>
      <c r="C69" s="430"/>
      <c r="D69" s="431"/>
      <c r="E69" s="432"/>
      <c r="F69" s="433"/>
      <c r="G69" s="434"/>
      <c r="H69" s="435"/>
      <c r="I69" s="450"/>
      <c r="J69" s="451"/>
      <c r="K69" s="436"/>
      <c r="L69" s="452"/>
      <c r="M69" s="421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277"/>
      <c r="AY69" s="277"/>
      <c r="AZ69" s="277"/>
      <c r="BA69" s="277"/>
      <c r="BB69" s="277"/>
      <c r="BC69" s="277"/>
      <c r="BD69" s="277"/>
      <c r="BE69" s="277"/>
    </row>
    <row r="70" spans="1:57" s="54" customFormat="1" ht="37.15" hidden="1" customHeight="1" thickBot="1">
      <c r="B70" s="480"/>
      <c r="C70" s="479"/>
      <c r="D70" s="442"/>
      <c r="E70" s="443"/>
      <c r="F70" s="444"/>
      <c r="G70" s="445"/>
      <c r="H70" s="446"/>
      <c r="I70" s="447"/>
      <c r="J70" s="448"/>
      <c r="K70" s="449"/>
      <c r="L70" s="457"/>
      <c r="M70" s="455"/>
      <c r="N70" s="13"/>
      <c r="O70" s="13"/>
      <c r="P70" s="50"/>
      <c r="R70" s="275"/>
      <c r="S70" s="275"/>
      <c r="T70" s="275"/>
      <c r="U70" s="275"/>
      <c r="V70" s="275"/>
      <c r="W70" s="275"/>
      <c r="X70" s="275"/>
      <c r="Y70" s="275"/>
      <c r="Z70" s="275"/>
      <c r="AA70" s="275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277"/>
      <c r="AY70" s="277"/>
      <c r="AZ70" s="277"/>
      <c r="BA70" s="277"/>
      <c r="BB70" s="277"/>
      <c r="BC70" s="277"/>
      <c r="BD70" s="277"/>
      <c r="BE70" s="277"/>
    </row>
    <row r="71" spans="1:57" s="54" customFormat="1" ht="16.5" hidden="1" customHeight="1" thickBot="1">
      <c r="B71" s="437"/>
      <c r="C71" s="423"/>
      <c r="D71" s="424"/>
      <c r="E71" s="425"/>
      <c r="F71" s="426"/>
      <c r="G71" s="427"/>
      <c r="H71" s="428"/>
      <c r="I71" s="438"/>
      <c r="J71" s="439"/>
      <c r="K71" s="429"/>
      <c r="L71" s="440"/>
      <c r="M71" s="422"/>
      <c r="N71" s="13"/>
      <c r="O71" s="13"/>
      <c r="P71" s="50"/>
      <c r="R71" s="275"/>
      <c r="S71" s="275"/>
      <c r="T71" s="275"/>
      <c r="U71" s="275"/>
      <c r="V71" s="275"/>
      <c r="W71" s="275"/>
      <c r="X71" s="275"/>
      <c r="Y71" s="275"/>
      <c r="Z71" s="275"/>
      <c r="AA71" s="275"/>
      <c r="AB71" s="415"/>
      <c r="AC71" s="415"/>
      <c r="AD71" s="415"/>
      <c r="AE71" s="415"/>
      <c r="AF71" s="415"/>
      <c r="AG71" s="415"/>
      <c r="AH71" s="415"/>
      <c r="AI71" s="415"/>
      <c r="AJ71" s="415"/>
      <c r="AK71" s="415"/>
      <c r="AL71" s="415"/>
      <c r="AM71" s="415"/>
      <c r="AN71" s="415"/>
      <c r="AO71" s="415"/>
      <c r="AP71" s="415"/>
      <c r="AQ71" s="415"/>
      <c r="AR71" s="415"/>
      <c r="AS71" s="415"/>
      <c r="AT71" s="415"/>
      <c r="AU71" s="415"/>
      <c r="AV71" s="415"/>
      <c r="AW71" s="415"/>
    </row>
    <row r="72" spans="1:57" s="54" customFormat="1" ht="37.15" hidden="1" customHeight="1" thickBot="1">
      <c r="B72" s="456"/>
      <c r="C72" s="441"/>
      <c r="D72" s="442"/>
      <c r="E72" s="443"/>
      <c r="F72" s="444"/>
      <c r="G72" s="445"/>
      <c r="H72" s="446"/>
      <c r="I72" s="447"/>
      <c r="J72" s="448"/>
      <c r="K72" s="449"/>
      <c r="L72" s="457"/>
      <c r="M72" s="454"/>
      <c r="N72" s="13"/>
      <c r="O72" s="13"/>
      <c r="P72" s="50"/>
      <c r="R72" s="275"/>
      <c r="S72" s="275"/>
      <c r="T72" s="275"/>
      <c r="U72" s="275"/>
      <c r="V72" s="275"/>
      <c r="W72" s="275"/>
      <c r="X72" s="275"/>
      <c r="Y72" s="275"/>
      <c r="Z72" s="275"/>
      <c r="AA72" s="275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277"/>
      <c r="AY72" s="277"/>
      <c r="AZ72" s="277"/>
      <c r="BA72" s="277"/>
      <c r="BB72" s="277"/>
      <c r="BC72" s="277"/>
      <c r="BD72" s="277"/>
      <c r="BE72" s="277"/>
    </row>
    <row r="73" spans="1:57" s="54" customFormat="1" ht="37.15" customHeight="1">
      <c r="B73" s="466"/>
      <c r="C73" s="430"/>
      <c r="D73" s="460"/>
      <c r="E73" s="461"/>
      <c r="F73" s="462"/>
      <c r="G73" s="460"/>
      <c r="H73" s="463"/>
      <c r="I73" s="463"/>
      <c r="J73" s="463"/>
      <c r="K73" s="464"/>
      <c r="L73" s="465"/>
      <c r="M73" s="50"/>
      <c r="N73" s="13"/>
      <c r="O73" s="13"/>
      <c r="P73" s="50"/>
      <c r="R73" s="275"/>
      <c r="S73" s="275"/>
      <c r="T73" s="275"/>
      <c r="U73" s="275"/>
      <c r="V73" s="275"/>
      <c r="W73" s="275"/>
      <c r="X73" s="275"/>
      <c r="Y73" s="275"/>
      <c r="Z73" s="275"/>
      <c r="AA73" s="275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277"/>
      <c r="AY73" s="277"/>
      <c r="AZ73" s="277"/>
      <c r="BA73" s="277"/>
      <c r="BB73" s="277"/>
      <c r="BC73" s="277"/>
      <c r="BD73" s="277"/>
      <c r="BE73" s="277"/>
    </row>
    <row r="74" spans="1:57" ht="18" customHeight="1" thickBot="1">
      <c r="B74" s="59"/>
      <c r="C74" s="30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 t="s">
        <v>41</v>
      </c>
      <c r="O74" s="56"/>
      <c r="P74" s="60"/>
    </row>
    <row r="75" spans="1:57" ht="15.75" thickBot="1">
      <c r="B75" s="498" t="s">
        <v>55</v>
      </c>
      <c r="C75" s="499"/>
      <c r="D75" s="499"/>
      <c r="E75" s="499"/>
      <c r="F75" s="500"/>
      <c r="G75" s="498" t="s">
        <v>56</v>
      </c>
      <c r="H75" s="499"/>
      <c r="I75" s="499"/>
      <c r="J75" s="500"/>
      <c r="K75" s="498" t="s">
        <v>51</v>
      </c>
      <c r="L75" s="499"/>
      <c r="M75" s="499"/>
      <c r="N75" s="501"/>
      <c r="O75" s="56"/>
      <c r="P75" s="50"/>
    </row>
    <row r="76" spans="1:57" ht="15">
      <c r="B76" s="61" t="s">
        <v>17</v>
      </c>
      <c r="C76" s="62" t="s">
        <v>36</v>
      </c>
      <c r="D76" s="62" t="s">
        <v>37</v>
      </c>
      <c r="E76" s="62" t="s">
        <v>38</v>
      </c>
      <c r="F76" s="63" t="s">
        <v>39</v>
      </c>
      <c r="G76" s="62" t="s">
        <v>36</v>
      </c>
      <c r="H76" s="62" t="s">
        <v>37</v>
      </c>
      <c r="I76" s="62" t="s">
        <v>38</v>
      </c>
      <c r="J76" s="63" t="s">
        <v>39</v>
      </c>
      <c r="K76" s="62"/>
      <c r="L76" s="62" t="s">
        <v>37</v>
      </c>
      <c r="M76" s="62" t="s">
        <v>38</v>
      </c>
      <c r="N76" s="63" t="s">
        <v>39</v>
      </c>
      <c r="O76" s="56"/>
      <c r="P76" s="64"/>
    </row>
    <row r="77" spans="1:57" ht="15">
      <c r="B77" s="29" t="s">
        <v>6</v>
      </c>
      <c r="C77" s="282">
        <f>L64</f>
        <v>4.4234592445328058</v>
      </c>
      <c r="D77" s="76">
        <v>5.7801405787276705</v>
      </c>
      <c r="E77" s="76">
        <v>6.6309997672600804</v>
      </c>
      <c r="F77" s="66">
        <v>4.8</v>
      </c>
      <c r="G77" s="65">
        <f>[12]April_2026!$W$11</f>
        <v>3.2597838294906025</v>
      </c>
      <c r="H77" s="477">
        <v>4.959115702218087</v>
      </c>
      <c r="I77" s="477">
        <v>6.3064148185752265</v>
      </c>
      <c r="J77" s="66">
        <v>4.8</v>
      </c>
      <c r="K77" s="67">
        <f>K64</f>
        <v>1.3494736842105262</v>
      </c>
      <c r="L77" s="194">
        <v>0.88622482131254054</v>
      </c>
      <c r="M77" s="194">
        <v>0.51894093784726769</v>
      </c>
      <c r="N77" s="68">
        <v>1</v>
      </c>
      <c r="O77" s="56"/>
      <c r="P77" s="69"/>
    </row>
    <row r="78" spans="1:57" ht="15">
      <c r="B78" s="33" t="s">
        <v>9</v>
      </c>
      <c r="C78" s="65"/>
      <c r="D78" s="76">
        <v>4.8086790793138778</v>
      </c>
      <c r="E78" s="76">
        <v>6.0391438563444542</v>
      </c>
      <c r="F78" s="66">
        <v>4.8</v>
      </c>
      <c r="G78" s="65"/>
      <c r="H78" s="76">
        <v>3.7045586293348483</v>
      </c>
      <c r="I78" s="76">
        <v>5.7742586308793999</v>
      </c>
      <c r="J78" s="66">
        <v>4.8</v>
      </c>
      <c r="K78" s="67"/>
      <c r="L78" s="194">
        <v>1.2884210526315791</v>
      </c>
      <c r="M78" s="194">
        <v>0.74983233325567777</v>
      </c>
      <c r="N78" s="68">
        <v>1</v>
      </c>
      <c r="P78" s="69"/>
    </row>
    <row r="79" spans="1:57" ht="15">
      <c r="B79" s="34" t="s">
        <v>40</v>
      </c>
      <c r="C79" s="65"/>
      <c r="D79" s="76"/>
      <c r="E79" s="76">
        <v>12.380135651360392</v>
      </c>
      <c r="F79" s="66">
        <v>5.5</v>
      </c>
      <c r="G79" s="483"/>
      <c r="H79" s="76"/>
      <c r="I79" s="76">
        <v>13.955538676690328</v>
      </c>
      <c r="J79" s="66">
        <v>5.5</v>
      </c>
      <c r="K79" s="67"/>
      <c r="L79" s="194"/>
      <c r="M79" s="194">
        <v>0.29450526315789471</v>
      </c>
      <c r="N79" s="68">
        <v>1</v>
      </c>
      <c r="P79" s="69"/>
    </row>
    <row r="80" spans="1:57" ht="15">
      <c r="B80" s="22" t="s">
        <v>33</v>
      </c>
      <c r="C80" s="65"/>
      <c r="D80" s="76"/>
      <c r="E80" s="76">
        <v>4.601418358346991</v>
      </c>
      <c r="F80" s="66">
        <v>3.3</v>
      </c>
      <c r="G80" s="65"/>
      <c r="H80" s="76"/>
      <c r="I80" s="76">
        <v>4.3274739720788533</v>
      </c>
      <c r="J80" s="66">
        <v>3.3</v>
      </c>
      <c r="K80" s="67"/>
      <c r="L80" s="194"/>
      <c r="M80" s="194">
        <v>0.8292543859649123</v>
      </c>
      <c r="N80" s="68">
        <v>1</v>
      </c>
      <c r="P80" s="69"/>
    </row>
    <row r="81" spans="2:16" ht="15">
      <c r="B81" s="35" t="s">
        <v>164</v>
      </c>
      <c r="C81" s="65"/>
      <c r="D81" s="76"/>
      <c r="E81" s="76"/>
      <c r="F81" s="66">
        <v>3.3</v>
      </c>
      <c r="G81" s="282"/>
      <c r="H81" s="76"/>
      <c r="I81" s="76"/>
      <c r="J81" s="66">
        <v>3</v>
      </c>
      <c r="K81" s="67"/>
      <c r="L81" s="194"/>
      <c r="M81" s="194"/>
      <c r="N81" s="68">
        <v>1</v>
      </c>
      <c r="P81" s="69"/>
    </row>
    <row r="82" spans="2:16" ht="15">
      <c r="B82" s="36" t="s">
        <v>15</v>
      </c>
      <c r="C82" s="65"/>
      <c r="D82" s="76"/>
      <c r="E82" s="76">
        <v>5.1105651105651271</v>
      </c>
      <c r="F82" s="70">
        <f>[15]May_2022!$M$43</f>
        <v>3.4878406700073312</v>
      </c>
      <c r="G82" s="282"/>
      <c r="H82" s="76"/>
      <c r="I82" s="76">
        <v>7.9131369535794072</v>
      </c>
      <c r="J82" s="66">
        <v>5.5</v>
      </c>
      <c r="K82" s="67"/>
      <c r="L82" s="194"/>
      <c r="M82" s="194">
        <v>1.3550877192982456</v>
      </c>
      <c r="N82" s="68">
        <v>1</v>
      </c>
      <c r="P82" s="69"/>
    </row>
    <row r="83" spans="2:16" ht="15">
      <c r="B83" s="37" t="s">
        <v>16</v>
      </c>
      <c r="C83" s="65"/>
      <c r="D83" s="76"/>
      <c r="E83" s="76">
        <v>3.9654240950837312</v>
      </c>
      <c r="F83" s="66">
        <v>3.3</v>
      </c>
      <c r="G83" s="282"/>
      <c r="H83" s="76"/>
      <c r="I83" s="76">
        <v>5.0010391616318897</v>
      </c>
      <c r="J83" s="66">
        <v>3.3</v>
      </c>
      <c r="K83" s="67"/>
      <c r="L83" s="194"/>
      <c r="M83" s="194">
        <v>0.93295906432748543</v>
      </c>
      <c r="N83" s="71">
        <v>1</v>
      </c>
      <c r="P83" s="69"/>
    </row>
    <row r="84" spans="2:16" ht="15.75" thickBot="1">
      <c r="B84" s="38" t="s">
        <v>163</v>
      </c>
      <c r="C84" s="65"/>
      <c r="D84" s="76"/>
      <c r="E84" s="76"/>
      <c r="F84" s="66">
        <v>7.5</v>
      </c>
      <c r="G84" s="282"/>
      <c r="H84" s="76"/>
      <c r="I84" s="76"/>
      <c r="J84" s="66">
        <v>7.5</v>
      </c>
      <c r="K84" s="67"/>
      <c r="L84" s="194"/>
      <c r="M84" s="194"/>
      <c r="N84" s="71">
        <v>1</v>
      </c>
      <c r="P84" s="69"/>
    </row>
    <row r="85" spans="2:16" ht="15.75" thickBot="1">
      <c r="B85" s="414" t="s">
        <v>161</v>
      </c>
      <c r="C85" s="65"/>
      <c r="D85" s="76"/>
      <c r="E85" s="76"/>
      <c r="F85" s="66">
        <v>4.8</v>
      </c>
      <c r="G85" s="282"/>
      <c r="H85" s="76"/>
      <c r="I85" s="76"/>
      <c r="J85" s="66">
        <v>4.8</v>
      </c>
      <c r="K85" s="67"/>
      <c r="L85" s="194"/>
      <c r="M85" s="194"/>
      <c r="N85" s="71">
        <v>1</v>
      </c>
      <c r="O85" s="74"/>
      <c r="P85" s="75"/>
    </row>
    <row r="86" spans="2:16" ht="15">
      <c r="D86" s="76">
        <v>5.4620941227291251</v>
      </c>
      <c r="E86" s="76">
        <v>6.4288897878596343</v>
      </c>
      <c r="F86" s="341">
        <v>5.5</v>
      </c>
      <c r="H86" s="76">
        <v>4.7268965220704144</v>
      </c>
      <c r="I86" s="76">
        <v>6.4881575894780177</v>
      </c>
      <c r="J86" s="341">
        <v>5.5</v>
      </c>
      <c r="L86" s="194">
        <v>0.95935140882509307</v>
      </c>
      <c r="M86" s="194">
        <v>0.60440930103035373</v>
      </c>
      <c r="N86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33:N33"/>
    <mergeCell ref="D34:E34"/>
    <mergeCell ref="B35:B46"/>
    <mergeCell ref="D35:E36"/>
    <mergeCell ref="D37:E38"/>
    <mergeCell ref="D39:E40"/>
    <mergeCell ref="D41:E42"/>
    <mergeCell ref="D43:E44"/>
    <mergeCell ref="D45:E46"/>
    <mergeCell ref="B47:B56"/>
    <mergeCell ref="D47:E48"/>
    <mergeCell ref="J47:K47"/>
    <mergeCell ref="L48:N48"/>
    <mergeCell ref="D49:E50"/>
    <mergeCell ref="D51:E52"/>
    <mergeCell ref="D53:E54"/>
    <mergeCell ref="D55:E56"/>
    <mergeCell ref="D57:E57"/>
    <mergeCell ref="B62:B63"/>
    <mergeCell ref="C62:C63"/>
    <mergeCell ref="D62:D63"/>
    <mergeCell ref="E62:E63"/>
    <mergeCell ref="M62:M63"/>
    <mergeCell ref="B75:F75"/>
    <mergeCell ref="G75:J75"/>
    <mergeCell ref="K75:N75"/>
    <mergeCell ref="G62:G63"/>
    <mergeCell ref="H62:H63"/>
    <mergeCell ref="I62:I63"/>
    <mergeCell ref="J62:J63"/>
    <mergeCell ref="K62:K63"/>
    <mergeCell ref="L62:L63"/>
    <mergeCell ref="F62:F63"/>
  </mergeCells>
  <conditionalFormatting sqref="B57:B58">
    <cfRule type="cellIs" dxfId="1551" priority="101" operator="notBetween">
      <formula>#REF!</formula>
      <formula>#REF!</formula>
    </cfRule>
  </conditionalFormatting>
  <conditionalFormatting sqref="C61">
    <cfRule type="cellIs" dxfId="1550" priority="196" stopIfTrue="1" operator="greaterThan">
      <formula>100</formula>
    </cfRule>
    <cfRule type="cellIs" dxfId="1549" priority="195" stopIfTrue="1" operator="lessThan">
      <formula>96</formula>
    </cfRule>
  </conditionalFormatting>
  <conditionalFormatting sqref="C77:C81">
    <cfRule type="cellIs" dxfId="1548" priority="164" stopIfTrue="1" operator="lessThanOrEqual">
      <formula>0</formula>
    </cfRule>
  </conditionalFormatting>
  <conditionalFormatting sqref="C77:C85">
    <cfRule type="cellIs" dxfId="1547" priority="163" stopIfTrue="1" operator="greaterThan">
      <formula>$F77</formula>
    </cfRule>
  </conditionalFormatting>
  <conditionalFormatting sqref="C78">
    <cfRule type="cellIs" dxfId="1546" priority="197" stopIfTrue="1" operator="greaterThan">
      <formula>$F77</formula>
    </cfRule>
  </conditionalFormatting>
  <conditionalFormatting sqref="C82">
    <cfRule type="cellIs" dxfId="1545" priority="126" stopIfTrue="1" operator="greaterThan">
      <formula>$F81</formula>
    </cfRule>
    <cfRule type="cellIs" dxfId="1544" priority="125" stopIfTrue="1" operator="lessThanOrEqual">
      <formula>0</formula>
    </cfRule>
  </conditionalFormatting>
  <conditionalFormatting sqref="C83:C85">
    <cfRule type="cellIs" dxfId="1543" priority="165" stopIfTrue="1" operator="lessThanOrEqual">
      <formula>0</formula>
    </cfRule>
  </conditionalFormatting>
  <conditionalFormatting sqref="C88:C92">
    <cfRule type="cellIs" dxfId="1542" priority="187" stopIfTrue="1" operator="lessThanOrEqual">
      <formula>0</formula>
    </cfRule>
  </conditionalFormatting>
  <conditionalFormatting sqref="C89:C92">
    <cfRule type="cellIs" dxfId="1541" priority="186" stopIfTrue="1" operator="greaterThan">
      <formula>$F$88</formula>
    </cfRule>
  </conditionalFormatting>
  <conditionalFormatting sqref="C94">
    <cfRule type="cellIs" dxfId="1540" priority="189" stopIfTrue="1" operator="lessThanOrEqual">
      <formula>0</formula>
    </cfRule>
    <cfRule type="cellIs" dxfId="1539" priority="188" stopIfTrue="1" operator="greaterThan">
      <formula>$F$88</formula>
    </cfRule>
  </conditionalFormatting>
  <conditionalFormatting sqref="C88:D88 D90:D96">
    <cfRule type="cellIs" dxfId="1538" priority="181" stopIfTrue="1" operator="greaterThan">
      <formula>4.5</formula>
    </cfRule>
  </conditionalFormatting>
  <conditionalFormatting sqref="D57:D58">
    <cfRule type="cellIs" dxfId="1537" priority="102" operator="notBetween">
      <formula>#REF!</formula>
      <formula>#REF!</formula>
    </cfRule>
  </conditionalFormatting>
  <conditionalFormatting sqref="D77:D84">
    <cfRule type="cellIs" dxfId="1536" priority="76" stopIfTrue="1" operator="lessThanOrEqual">
      <formula>0</formula>
    </cfRule>
  </conditionalFormatting>
  <conditionalFormatting sqref="D77:D86">
    <cfRule type="cellIs" dxfId="1535" priority="55" stopIfTrue="1" operator="lessThanOrEqual">
      <formula>0</formula>
    </cfRule>
  </conditionalFormatting>
  <conditionalFormatting sqref="D85">
    <cfRule type="cellIs" dxfId="1534" priority="75" stopIfTrue="1" operator="lessThanOrEqual">
      <formula>0</formula>
    </cfRule>
  </conditionalFormatting>
  <conditionalFormatting sqref="D86">
    <cfRule type="cellIs" dxfId="1533" priority="70" stopIfTrue="1" operator="lessThanOrEqual">
      <formula>0</formula>
    </cfRule>
  </conditionalFormatting>
  <conditionalFormatting sqref="D88 D90:D96">
    <cfRule type="cellIs" dxfId="1532" priority="182" stopIfTrue="1" operator="lessThanOrEqual">
      <formula>0</formula>
    </cfRule>
  </conditionalFormatting>
  <conditionalFormatting sqref="D89">
    <cfRule type="cellIs" dxfId="1531" priority="174" stopIfTrue="1" operator="lessThanOrEqual">
      <formula>0</formula>
    </cfRule>
    <cfRule type="cellIs" dxfId="1530" priority="173" stopIfTrue="1" operator="greaterThan">
      <formula>$F$88</formula>
    </cfRule>
  </conditionalFormatting>
  <conditionalFormatting sqref="D77:E86">
    <cfRule type="cellIs" dxfId="1529" priority="57" stopIfTrue="1" operator="greaterThan">
      <formula>$F77</formula>
    </cfRule>
  </conditionalFormatting>
  <conditionalFormatting sqref="D86:E86">
    <cfRule type="cellIs" dxfId="1528" priority="59" stopIfTrue="1" operator="lessThanOrEqual">
      <formula>0</formula>
    </cfRule>
  </conditionalFormatting>
  <conditionalFormatting sqref="E10:E32">
    <cfRule type="cellIs" dxfId="1527" priority="45" operator="lessThan">
      <formula>48</formula>
    </cfRule>
  </conditionalFormatting>
  <conditionalFormatting sqref="E60 E61:F61">
    <cfRule type="cellIs" dxfId="1526" priority="178" stopIfTrue="1" operator="greaterThan">
      <formula>100</formula>
    </cfRule>
  </conditionalFormatting>
  <conditionalFormatting sqref="E61">
    <cfRule type="cellIs" dxfId="1525" priority="176" stopIfTrue="1" operator="greaterThan">
      <formula>100</formula>
    </cfRule>
    <cfRule type="cellIs" dxfId="1524" priority="175" stopIfTrue="1" operator="lessThan">
      <formula>96.8</formula>
    </cfRule>
  </conditionalFormatting>
  <conditionalFormatting sqref="E77:E85">
    <cfRule type="cellIs" dxfId="1523" priority="56" stopIfTrue="1" operator="lessThanOrEqual">
      <formula>0</formula>
    </cfRule>
  </conditionalFormatting>
  <conditionalFormatting sqref="E77:E86">
    <cfRule type="cellIs" dxfId="1522" priority="58" stopIfTrue="1" operator="lessThanOrEqual">
      <formula>0</formula>
    </cfRule>
  </conditionalFormatting>
  <conditionalFormatting sqref="E88:E96">
    <cfRule type="cellIs" dxfId="1521" priority="167" stopIfTrue="1" operator="greaterThan">
      <formula>4.5</formula>
    </cfRule>
    <cfRule type="cellIs" dxfId="1520" priority="168" stopIfTrue="1" operator="lessThanOrEqual">
      <formula>0</formula>
    </cfRule>
  </conditionalFormatting>
  <conditionalFormatting sqref="E61:F61 E60">
    <cfRule type="cellIs" dxfId="1519" priority="177" stopIfTrue="1" operator="lessThan">
      <formula>96.5</formula>
    </cfRule>
  </conditionalFormatting>
  <conditionalFormatting sqref="F26:F32">
    <cfRule type="cellIs" dxfId="1518" priority="49" operator="greaterThan">
      <formula>60</formula>
    </cfRule>
  </conditionalFormatting>
  <conditionalFormatting sqref="F61">
    <cfRule type="cellIs" dxfId="1517" priority="194" stopIfTrue="1" operator="greaterThan">
      <formula>100</formula>
    </cfRule>
    <cfRule type="cellIs" dxfId="1516" priority="193" stopIfTrue="1" operator="lessThan">
      <formula>96.8</formula>
    </cfRule>
  </conditionalFormatting>
  <conditionalFormatting sqref="F86">
    <cfRule type="cellIs" dxfId="1515" priority="73" stopIfTrue="1" operator="greaterThan">
      <formula>$F86</formula>
    </cfRule>
    <cfRule type="cellIs" dxfId="1514" priority="74" stopIfTrue="1" operator="lessThanOrEqual">
      <formula>0</formula>
    </cfRule>
  </conditionalFormatting>
  <conditionalFormatting sqref="G10:G32">
    <cfRule type="expression" dxfId="1513" priority="46">
      <formula>IF(+(IF(G10&lt;S10,0,IF(G10&gt;T10,0,1)))=0,1)</formula>
    </cfRule>
  </conditionalFormatting>
  <conditionalFormatting sqref="G77:G78">
    <cfRule type="cellIs" dxfId="1512" priority="72" stopIfTrue="1" operator="lessThanOrEqual">
      <formula>0</formula>
    </cfRule>
    <cfRule type="cellIs" dxfId="1511" priority="78" stopIfTrue="1" operator="lessThanOrEqual">
      <formula>0</formula>
    </cfRule>
    <cfRule type="cellIs" dxfId="1510" priority="77" stopIfTrue="1" operator="greaterThan">
      <formula>$F77</formula>
    </cfRule>
    <cfRule type="cellIs" dxfId="1509" priority="71" stopIfTrue="1" operator="greaterThan">
      <formula>$F77</formula>
    </cfRule>
  </conditionalFormatting>
  <conditionalFormatting sqref="G79">
    <cfRule type="containsErrors" dxfId="1508" priority="50" stopIfTrue="1">
      <formula>ISERROR(G79)</formula>
    </cfRule>
  </conditionalFormatting>
  <conditionalFormatting sqref="G80">
    <cfRule type="cellIs" dxfId="1507" priority="63" stopIfTrue="1" operator="greaterThan">
      <formula>$F80</formula>
    </cfRule>
    <cfRule type="cellIs" dxfId="1506" priority="66" stopIfTrue="1" operator="lessThanOrEqual">
      <formula>0</formula>
    </cfRule>
    <cfRule type="cellIs" dxfId="1505" priority="65" stopIfTrue="1" operator="greaterThan">
      <formula>$F80</formula>
    </cfRule>
    <cfRule type="cellIs" dxfId="1504" priority="64" stopIfTrue="1" operator="lessThanOrEqual">
      <formula>0</formula>
    </cfRule>
  </conditionalFormatting>
  <conditionalFormatting sqref="G81:G85">
    <cfRule type="cellIs" dxfId="1503" priority="79" stopIfTrue="1" operator="greaterThan">
      <formula>$J81</formula>
    </cfRule>
    <cfRule type="cellIs" dxfId="1502" priority="80" stopIfTrue="1" operator="lessThanOrEqual">
      <formula>0</formula>
    </cfRule>
  </conditionalFormatting>
  <conditionalFormatting sqref="G90:G95 C93 C95">
    <cfRule type="cellIs" dxfId="1501" priority="191" stopIfTrue="1" operator="lessThanOrEqual">
      <formula>0</formula>
    </cfRule>
    <cfRule type="cellIs" dxfId="1500" priority="190" stopIfTrue="1" operator="greaterThan">
      <formula>4.5</formula>
    </cfRule>
  </conditionalFormatting>
  <conditionalFormatting sqref="G89:H89">
    <cfRule type="cellIs" dxfId="1499" priority="171" stopIfTrue="1" operator="greaterThan">
      <formula>$F$88</formula>
    </cfRule>
    <cfRule type="cellIs" dxfId="1498" priority="172" stopIfTrue="1" operator="lessThanOrEqual">
      <formula>0</formula>
    </cfRule>
  </conditionalFormatting>
  <conditionalFormatting sqref="H46:H47 H60">
    <cfRule type="cellIs" dxfId="1497" priority="169" stopIfTrue="1" operator="greaterThan">
      <formula>0</formula>
    </cfRule>
  </conditionalFormatting>
  <conditionalFormatting sqref="H64">
    <cfRule type="cellIs" dxfId="1496" priority="2" stopIfTrue="1" operator="lessThanOrEqual">
      <formula>0</formula>
    </cfRule>
    <cfRule type="cellIs" dxfId="1495" priority="13" stopIfTrue="1" operator="greaterThan">
      <formula>$F$70</formula>
    </cfRule>
    <cfRule type="cellIs" dxfId="1494" priority="11" stopIfTrue="1" operator="greaterThan">
      <formula>$F$72</formula>
    </cfRule>
    <cfRule type="cellIs" dxfId="1493" priority="12" stopIfTrue="1" operator="lessThanOrEqual">
      <formula>0</formula>
    </cfRule>
    <cfRule type="cellIs" dxfId="1492" priority="14" stopIfTrue="1" operator="lessThanOrEqual">
      <formula>0</formula>
    </cfRule>
    <cfRule type="cellIs" dxfId="1491" priority="3" stopIfTrue="1" operator="greaterThan">
      <formula>$F$69</formula>
    </cfRule>
  </conditionalFormatting>
  <conditionalFormatting sqref="H65:H68">
    <cfRule type="cellIs" dxfId="1490" priority="84" stopIfTrue="1" operator="lessThanOrEqual">
      <formula>0</formula>
    </cfRule>
    <cfRule type="cellIs" dxfId="1489" priority="93" stopIfTrue="1" operator="greaterThan">
      <formula>$F$80</formula>
    </cfRule>
    <cfRule type="cellIs" dxfId="1488" priority="94" stopIfTrue="1" operator="lessThanOrEqual">
      <formula>0</formula>
    </cfRule>
    <cfRule type="cellIs" dxfId="1487" priority="95" stopIfTrue="1" operator="greaterThan">
      <formula>$F$78</formula>
    </cfRule>
    <cfRule type="cellIs" dxfId="1486" priority="96" stopIfTrue="1" operator="lessThanOrEqual">
      <formula>0</formula>
    </cfRule>
    <cfRule type="cellIs" dxfId="1485" priority="85" stopIfTrue="1" operator="greaterThan">
      <formula>$F$77</formula>
    </cfRule>
  </conditionalFormatting>
  <conditionalFormatting sqref="H69:H70">
    <cfRule type="cellIs" dxfId="1484" priority="128" stopIfTrue="1" operator="lessThanOrEqual">
      <formula>0</formula>
    </cfRule>
    <cfRule type="cellIs" dxfId="1483" priority="139" stopIfTrue="1" operator="greaterThan">
      <formula>#REF!</formula>
    </cfRule>
    <cfRule type="cellIs" dxfId="1482" priority="138" stopIfTrue="1" operator="lessThanOrEqual">
      <formula>0</formula>
    </cfRule>
    <cfRule type="cellIs" dxfId="1481" priority="137" stopIfTrue="1" operator="greaterThan">
      <formula>$F$32</formula>
    </cfRule>
    <cfRule type="cellIs" dxfId="1480" priority="129" stopIfTrue="1" operator="greaterThan">
      <formula>#REF!</formula>
    </cfRule>
    <cfRule type="cellIs" dxfId="1479" priority="140" stopIfTrue="1" operator="lessThanOrEqual">
      <formula>0</formula>
    </cfRule>
  </conditionalFormatting>
  <conditionalFormatting sqref="H71">
    <cfRule type="cellIs" dxfId="1478" priority="142" stopIfTrue="1" operator="lessThanOrEqual">
      <formula>0</formula>
    </cfRule>
    <cfRule type="cellIs" dxfId="1477" priority="153" stopIfTrue="1" operator="greaterThan">
      <formula>$F$46</formula>
    </cfRule>
    <cfRule type="cellIs" dxfId="1476" priority="152" stopIfTrue="1" operator="lessThanOrEqual">
      <formula>0</formula>
    </cfRule>
    <cfRule type="cellIs" dxfId="1475" priority="154" stopIfTrue="1" operator="lessThanOrEqual">
      <formula>0</formula>
    </cfRule>
    <cfRule type="cellIs" dxfId="1474" priority="151" stopIfTrue="1" operator="greaterThan">
      <formula>$F$48</formula>
    </cfRule>
    <cfRule type="cellIs" dxfId="1473" priority="143" stopIfTrue="1" operator="greaterThan">
      <formula>$F$45</formula>
    </cfRule>
  </conditionalFormatting>
  <conditionalFormatting sqref="H72:H73">
    <cfRule type="cellIs" dxfId="1472" priority="112" stopIfTrue="1" operator="lessThanOrEqual">
      <formula>0</formula>
    </cfRule>
    <cfRule type="cellIs" dxfId="1471" priority="124" stopIfTrue="1" operator="lessThanOrEqual">
      <formula>0</formula>
    </cfRule>
    <cfRule type="cellIs" dxfId="1470" priority="123" stopIfTrue="1" operator="greaterThan">
      <formula>#REF!</formula>
    </cfRule>
    <cfRule type="cellIs" dxfId="1469" priority="122" stopIfTrue="1" operator="lessThanOrEqual">
      <formula>0</formula>
    </cfRule>
    <cfRule type="cellIs" dxfId="1468" priority="121" stopIfTrue="1" operator="greaterThan">
      <formula>$F$32</formula>
    </cfRule>
    <cfRule type="cellIs" dxfId="1467" priority="113" stopIfTrue="1" operator="greaterThan">
      <formula>#REF!</formula>
    </cfRule>
  </conditionalFormatting>
  <conditionalFormatting sqref="H88 H90:H96">
    <cfRule type="cellIs" dxfId="1466" priority="183" stopIfTrue="1" operator="greaterThan">
      <formula>4.5</formula>
    </cfRule>
    <cfRule type="cellIs" dxfId="1465" priority="184" stopIfTrue="1" operator="lessThanOrEqual">
      <formula>0</formula>
    </cfRule>
  </conditionalFormatting>
  <conditionalFormatting sqref="H64:I64">
    <cfRule type="cellIs" dxfId="1464" priority="4" stopIfTrue="1" operator="lessThanOrEqual">
      <formula>0</formula>
    </cfRule>
    <cfRule type="cellIs" dxfId="1463" priority="1" stopIfTrue="1" operator="greaterThan">
      <formula>$F$71</formula>
    </cfRule>
  </conditionalFormatting>
  <conditionalFormatting sqref="H65:I68">
    <cfRule type="cellIs" dxfId="1462" priority="86" stopIfTrue="1" operator="lessThanOrEqual">
      <formula>0</formula>
    </cfRule>
    <cfRule type="cellIs" dxfId="1461" priority="83" stopIfTrue="1" operator="greaterThan">
      <formula>$F$79</formula>
    </cfRule>
  </conditionalFormatting>
  <conditionalFormatting sqref="H69:I70">
    <cfRule type="cellIs" dxfId="1460" priority="127" stopIfTrue="1" operator="greaterThan">
      <formula>#REF!</formula>
    </cfRule>
    <cfRule type="cellIs" dxfId="1459" priority="130" stopIfTrue="1" operator="lessThanOrEqual">
      <formula>0</formula>
    </cfRule>
  </conditionalFormatting>
  <conditionalFormatting sqref="H71:I71">
    <cfRule type="cellIs" dxfId="1458" priority="144" stopIfTrue="1" operator="lessThanOrEqual">
      <formula>0</formula>
    </cfRule>
    <cfRule type="cellIs" dxfId="1457" priority="141" stopIfTrue="1" operator="greaterThan">
      <formula>$F$47</formula>
    </cfRule>
  </conditionalFormatting>
  <conditionalFormatting sqref="H72:I73">
    <cfRule type="cellIs" dxfId="1456" priority="114" stopIfTrue="1" operator="lessThanOrEqual">
      <formula>0</formula>
    </cfRule>
    <cfRule type="cellIs" dxfId="1455" priority="111" stopIfTrue="1" operator="greaterThan">
      <formula>#REF!</formula>
    </cfRule>
  </conditionalFormatting>
  <conditionalFormatting sqref="H77:I84">
    <cfRule type="cellIs" dxfId="1454" priority="53" stopIfTrue="1" operator="greaterThan">
      <formula>$J77</formula>
    </cfRule>
    <cfRule type="cellIs" dxfId="1453" priority="54" stopIfTrue="1" operator="lessThanOrEqual">
      <formula>0</formula>
    </cfRule>
  </conditionalFormatting>
  <conditionalFormatting sqref="H85:I85">
    <cfRule type="cellIs" dxfId="1452" priority="62" operator="greaterThan">
      <formula>5.3</formula>
    </cfRule>
  </conditionalFormatting>
  <conditionalFormatting sqref="H86:I86">
    <cfRule type="cellIs" dxfId="1451" priority="61" stopIfTrue="1" operator="lessThanOrEqual">
      <formula>0</formula>
    </cfRule>
    <cfRule type="cellIs" dxfId="1450" priority="60" stopIfTrue="1" operator="greaterThan">
      <formula>$J86</formula>
    </cfRule>
  </conditionalFormatting>
  <conditionalFormatting sqref="I64">
    <cfRule type="cellIs" dxfId="1449" priority="5" stopIfTrue="1" operator="greaterThan">
      <formula>$F$69</formula>
    </cfRule>
    <cfRule type="cellIs" dxfId="1448" priority="10" stopIfTrue="1" operator="lessThanOrEqual">
      <formula>0</formula>
    </cfRule>
    <cfRule type="cellIs" dxfId="1447" priority="9" stopIfTrue="1" operator="greaterThan">
      <formula>$F$69</formula>
    </cfRule>
    <cfRule type="cellIs" dxfId="1446" priority="8" stopIfTrue="1" operator="lessThanOrEqual">
      <formula>0</formula>
    </cfRule>
    <cfRule type="cellIs" dxfId="1445" priority="7" stopIfTrue="1" operator="greaterThan">
      <formula>$F$71</formula>
    </cfRule>
    <cfRule type="cellIs" dxfId="1444" priority="6" stopIfTrue="1" operator="lessThanOrEqual">
      <formula>0</formula>
    </cfRule>
  </conditionalFormatting>
  <conditionalFormatting sqref="I65:I68">
    <cfRule type="cellIs" dxfId="1443" priority="87" stopIfTrue="1" operator="greaterThan">
      <formula>$F$77</formula>
    </cfRule>
    <cfRule type="cellIs" dxfId="1442" priority="88" stopIfTrue="1" operator="lessThanOrEqual">
      <formula>0</formula>
    </cfRule>
    <cfRule type="cellIs" dxfId="1441" priority="89" stopIfTrue="1" operator="greaterThan">
      <formula>$F$79</formula>
    </cfRule>
    <cfRule type="cellIs" dxfId="1440" priority="91" stopIfTrue="1" operator="greaterThan">
      <formula>$F$77</formula>
    </cfRule>
    <cfRule type="cellIs" dxfId="1439" priority="92" stopIfTrue="1" operator="lessThanOrEqual">
      <formula>0</formula>
    </cfRule>
    <cfRule type="cellIs" dxfId="1438" priority="90" stopIfTrue="1" operator="lessThanOrEqual">
      <formula>0</formula>
    </cfRule>
  </conditionalFormatting>
  <conditionalFormatting sqref="I69:I70">
    <cfRule type="cellIs" dxfId="1437" priority="131" stopIfTrue="1" operator="greaterThan">
      <formula>#REF!</formula>
    </cfRule>
    <cfRule type="cellIs" dxfId="1436" priority="133" stopIfTrue="1" operator="greaterThan">
      <formula>#REF!</formula>
    </cfRule>
    <cfRule type="cellIs" dxfId="1435" priority="135" stopIfTrue="1" operator="greaterThan">
      <formula>#REF!</formula>
    </cfRule>
    <cfRule type="cellIs" dxfId="1434" priority="136" stopIfTrue="1" operator="lessThanOrEqual">
      <formula>0</formula>
    </cfRule>
    <cfRule type="cellIs" dxfId="1433" priority="134" stopIfTrue="1" operator="lessThanOrEqual">
      <formula>0</formula>
    </cfRule>
    <cfRule type="cellIs" dxfId="1432" priority="132" stopIfTrue="1" operator="lessThanOrEqual">
      <formula>0</formula>
    </cfRule>
  </conditionalFormatting>
  <conditionalFormatting sqref="I71">
    <cfRule type="cellIs" dxfId="1431" priority="145" stopIfTrue="1" operator="greaterThan">
      <formula>$F$45</formula>
    </cfRule>
    <cfRule type="cellIs" dxfId="1430" priority="146" stopIfTrue="1" operator="lessThanOrEqual">
      <formula>0</formula>
    </cfRule>
    <cfRule type="cellIs" dxfId="1429" priority="147" stopIfTrue="1" operator="greaterThan">
      <formula>$F$47</formula>
    </cfRule>
    <cfRule type="cellIs" dxfId="1428" priority="148" stopIfTrue="1" operator="lessThanOrEqual">
      <formula>0</formula>
    </cfRule>
    <cfRule type="cellIs" dxfId="1427" priority="149" stopIfTrue="1" operator="greaterThan">
      <formula>$F$45</formula>
    </cfRule>
    <cfRule type="cellIs" dxfId="1426" priority="150" stopIfTrue="1" operator="lessThanOrEqual">
      <formula>0</formula>
    </cfRule>
  </conditionalFormatting>
  <conditionalFormatting sqref="I72:I73">
    <cfRule type="cellIs" dxfId="1425" priority="117" stopIfTrue="1" operator="greaterThan">
      <formula>#REF!</formula>
    </cfRule>
    <cfRule type="cellIs" dxfId="1424" priority="116" stopIfTrue="1" operator="lessThanOrEqual">
      <formula>0</formula>
    </cfRule>
    <cfRule type="cellIs" dxfId="1423" priority="115" stopIfTrue="1" operator="greaterThan">
      <formula>#REF!</formula>
    </cfRule>
    <cfRule type="cellIs" dxfId="1422" priority="119" stopIfTrue="1" operator="greaterThan">
      <formula>#REF!</formula>
    </cfRule>
    <cfRule type="cellIs" dxfId="1421" priority="120" stopIfTrue="1" operator="lessThanOrEqual">
      <formula>0</formula>
    </cfRule>
    <cfRule type="cellIs" dxfId="1420" priority="118" stopIfTrue="1" operator="lessThanOrEqual">
      <formula>0</formula>
    </cfRule>
  </conditionalFormatting>
  <conditionalFormatting sqref="I88:I96">
    <cfRule type="cellIs" dxfId="1419" priority="179" stopIfTrue="1" operator="greaterThan">
      <formula>4.5</formula>
    </cfRule>
    <cfRule type="cellIs" dxfId="1418" priority="180" stopIfTrue="1" operator="lessThanOrEqual">
      <formula>0</formula>
    </cfRule>
  </conditionalFormatting>
  <conditionalFormatting sqref="I10:J32">
    <cfRule type="cellIs" dxfId="1417" priority="39" operator="lessThan">
      <formula>97.9</formula>
    </cfRule>
  </conditionalFormatting>
  <conditionalFormatting sqref="J35">
    <cfRule type="cellIs" dxfId="1416" priority="82" operator="lessThan">
      <formula>97.95</formula>
    </cfRule>
  </conditionalFormatting>
  <conditionalFormatting sqref="J37">
    <cfRule type="cellIs" dxfId="1415" priority="158" operator="lessThan">
      <formula>98</formula>
    </cfRule>
    <cfRule type="cellIs" dxfId="1414" priority="156" stopIfTrue="1" operator="lessThan">
      <formula>96.8</formula>
    </cfRule>
    <cfRule type="cellIs" dxfId="1413" priority="157" stopIfTrue="1" operator="greaterThan">
      <formula>100</formula>
    </cfRule>
  </conditionalFormatting>
  <conditionalFormatting sqref="J37:J39">
    <cfRule type="cellIs" dxfId="1412" priority="155" operator="lessThan">
      <formula>97.4</formula>
    </cfRule>
  </conditionalFormatting>
  <conditionalFormatting sqref="J40:J41">
    <cfRule type="cellIs" dxfId="1411" priority="159" operator="lessThan">
      <formula>98</formula>
    </cfRule>
  </conditionalFormatting>
  <conditionalFormatting sqref="J42:J43">
    <cfRule type="cellIs" dxfId="1410" priority="160" stopIfTrue="1" operator="lessThan">
      <formula>96.8</formula>
    </cfRule>
    <cfRule type="cellIs" dxfId="1409" priority="161" stopIfTrue="1" operator="greaterThan">
      <formula>100</formula>
    </cfRule>
  </conditionalFormatting>
  <conditionalFormatting sqref="J42:J44">
    <cfRule type="cellIs" dxfId="1408" priority="162" operator="lessThan">
      <formula>98</formula>
    </cfRule>
  </conditionalFormatting>
  <conditionalFormatting sqref="J73">
    <cfRule type="cellIs" dxfId="1407" priority="105" stopIfTrue="1" operator="greaterThan">
      <formula>#REF!</formula>
    </cfRule>
    <cfRule type="cellIs" dxfId="1406" priority="103" stopIfTrue="1" operator="greaterThan">
      <formula>#REF!</formula>
    </cfRule>
    <cfRule type="cellIs" dxfId="1405" priority="104" stopIfTrue="1" operator="lessThanOrEqual">
      <formula>0</formula>
    </cfRule>
    <cfRule type="cellIs" dxfId="1404" priority="106" stopIfTrue="1" operator="lessThanOrEqual">
      <formula>0</formula>
    </cfRule>
    <cfRule type="cellIs" dxfId="1403" priority="107" stopIfTrue="1" operator="greaterThan">
      <formula>#REF!</formula>
    </cfRule>
    <cfRule type="cellIs" dxfId="1402" priority="108" stopIfTrue="1" operator="lessThanOrEqual">
      <formula>0</formula>
    </cfRule>
    <cfRule type="cellIs" dxfId="1401" priority="110" stopIfTrue="1" operator="lessThanOrEqual">
      <formula>0</formula>
    </cfRule>
    <cfRule type="cellIs" dxfId="1400" priority="109" stopIfTrue="1" operator="greaterThan">
      <formula>#REF!</formula>
    </cfRule>
  </conditionalFormatting>
  <conditionalFormatting sqref="J86">
    <cfRule type="cellIs" dxfId="1399" priority="68" stopIfTrue="1" operator="lessThanOrEqual">
      <formula>0</formula>
    </cfRule>
    <cfRule type="cellIs" dxfId="1398" priority="67" stopIfTrue="1" operator="greaterThan">
      <formula>$F86</formula>
    </cfRule>
  </conditionalFormatting>
  <conditionalFormatting sqref="K10:K32">
    <cfRule type="cellIs" dxfId="1397" priority="40" operator="greaterThan">
      <formula>6</formula>
    </cfRule>
    <cfRule type="cellIs" dxfId="1396" priority="41" operator="lessThan">
      <formula>4</formula>
    </cfRule>
    <cfRule type="cellIs" dxfId="1395" priority="42" operator="greaterThan">
      <formula>6.4</formula>
    </cfRule>
  </conditionalFormatting>
  <conditionalFormatting sqref="K64:K73">
    <cfRule type="cellIs" dxfId="1394" priority="97" stopIfTrue="1" operator="lessThan">
      <formula>100%</formula>
    </cfRule>
  </conditionalFormatting>
  <conditionalFormatting sqref="K88:K93">
    <cfRule type="cellIs" dxfId="1393" priority="185" stopIfTrue="1" operator="lessThan">
      <formula>100%</formula>
    </cfRule>
  </conditionalFormatting>
  <conditionalFormatting sqref="K95:K96">
    <cfRule type="cellIs" dxfId="1392" priority="192" stopIfTrue="1" operator="lessThan">
      <formula>100%</formula>
    </cfRule>
  </conditionalFormatting>
  <conditionalFormatting sqref="K77:M85">
    <cfRule type="cellIs" dxfId="1391" priority="52" stopIfTrue="1" operator="lessThan">
      <formula>100%</formula>
    </cfRule>
  </conditionalFormatting>
  <conditionalFormatting sqref="L10:L32">
    <cfRule type="cellIs" dxfId="1390" priority="44" operator="greaterThan">
      <formula>65</formula>
    </cfRule>
    <cfRule type="cellIs" dxfId="1389" priority="43" operator="between">
      <formula>61</formula>
      <formula>65</formula>
    </cfRule>
  </conditionalFormatting>
  <conditionalFormatting sqref="L35:M46">
    <cfRule type="cellIs" dxfId="1388" priority="99" operator="lessThan">
      <formula>97.95</formula>
    </cfRule>
  </conditionalFormatting>
  <conditionalFormatting sqref="L86:M86">
    <cfRule type="cellIs" dxfId="1387" priority="69" stopIfTrue="1" operator="lessThan">
      <formula>100%</formula>
    </cfRule>
  </conditionalFormatting>
  <conditionalFormatting sqref="L50:N50">
    <cfRule type="cellIs" dxfId="1386" priority="100" operator="notEqual">
      <formula>#REF!</formula>
    </cfRule>
  </conditionalFormatting>
  <conditionalFormatting sqref="L88:N96">
    <cfRule type="cellIs" dxfId="1385" priority="170" stopIfTrue="1" operator="lessThan">
      <formula>100%</formula>
    </cfRule>
  </conditionalFormatting>
  <conditionalFormatting sqref="M26:M30">
    <cfRule type="expression" dxfId="1384" priority="48">
      <formula>IF(+(IF(M26&lt;U26,0,IF(M26&gt;V26,0,1)))=0,1)</formula>
    </cfRule>
  </conditionalFormatting>
  <conditionalFormatting sqref="M10:N29 H10:H32">
    <cfRule type="expression" dxfId="1383" priority="51">
      <formula>IF(+(IF(H10&lt;#REF!,0,IF(H10&gt;#REF!,0,1)))=0,1)</formula>
    </cfRule>
  </conditionalFormatting>
  <conditionalFormatting sqref="M31:N32">
    <cfRule type="expression" dxfId="1382" priority="98">
      <formula>IF(+(IF(M31&lt;#REF!,0,IF(M31&gt;#REF!,0,1)))=0,1)</formula>
    </cfRule>
  </conditionalFormatting>
  <conditionalFormatting sqref="N10:N30">
    <cfRule type="expression" dxfId="1381" priority="47">
      <formula>IF(+(IF(N10&lt;W10,0,IF(N10&gt;X10,0,1)))=0,1)</formula>
    </cfRule>
  </conditionalFormatting>
  <conditionalFormatting sqref="N77:N86">
    <cfRule type="cellIs" dxfId="1380" priority="81" stopIfTrue="1" operator="lessThan">
      <formula>100%</formula>
    </cfRule>
  </conditionalFormatting>
  <conditionalFormatting sqref="P6">
    <cfRule type="cellIs" dxfId="1379" priority="166" operator="greaterThanOrEqual">
      <formula>19</formula>
    </cfRule>
  </conditionalFormatting>
  <dataValidations count="1">
    <dataValidation type="list" allowBlank="1" showInputMessage="1" showErrorMessage="1" sqref="R8" xr:uid="{6955D4F1-9D63-40F9-8B06-2E745F2E5D3E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90" max="16383" man="1"/>
  </rowBreaks>
  <colBreaks count="1" manualBreakCount="1">
    <brk id="15" max="89" man="1"/>
  </col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3203B-2508-4EAA-852D-E96D137E3508}">
  <sheetPr>
    <pageSetUpPr fitToPage="1"/>
  </sheetPr>
  <dimension ref="A1:BE81"/>
  <sheetViews>
    <sheetView topLeftCell="A17" zoomScale="80" zoomScaleNormal="80" workbookViewId="0">
      <selection activeCell="E10" sqref="E10:E19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8" width="16.5703125" style="275" customWidth="1"/>
    <col min="9" max="9" width="20.7109375" style="275" customWidth="1"/>
    <col min="10" max="10" width="24.140625" style="275" bestFit="1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5" t="s">
        <v>0</v>
      </c>
      <c r="T1" s="555"/>
      <c r="U1" s="555" t="s">
        <v>1</v>
      </c>
      <c r="V1" s="555"/>
      <c r="W1" s="555" t="s">
        <v>2</v>
      </c>
      <c r="X1" s="555"/>
      <c r="Y1" s="555" t="s">
        <v>124</v>
      </c>
      <c r="Z1" s="555"/>
    </row>
    <row r="2" spans="2:29" ht="15">
      <c r="B2" s="556" t="s">
        <v>3</v>
      </c>
      <c r="C2" s="556"/>
      <c r="D2" s="556"/>
      <c r="E2" s="556"/>
      <c r="F2" s="556"/>
      <c r="G2" s="556"/>
      <c r="H2" s="556"/>
      <c r="I2" s="556"/>
      <c r="J2" s="556"/>
      <c r="K2" s="556"/>
      <c r="L2" s="556"/>
      <c r="M2" s="556"/>
      <c r="N2" s="556"/>
      <c r="O2" s="556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46134</v>
      </c>
      <c r="J4" s="398" t="s">
        <v>167</v>
      </c>
      <c r="K4" s="398"/>
      <c r="L4" s="11"/>
      <c r="M4" s="553" t="s">
        <v>8</v>
      </c>
      <c r="N4" s="554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2"/>
      <c r="D5" s="542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6" t="s">
        <v>17</v>
      </c>
      <c r="C8" s="517" t="s">
        <v>18</v>
      </c>
      <c r="D8" s="517" t="s">
        <v>19</v>
      </c>
      <c r="E8" s="356" t="s">
        <v>20</v>
      </c>
      <c r="F8" s="356" t="s">
        <v>21</v>
      </c>
      <c r="G8" s="517" t="s">
        <v>22</v>
      </c>
      <c r="H8" s="544" t="s">
        <v>144</v>
      </c>
      <c r="I8" s="517" t="s">
        <v>165</v>
      </c>
      <c r="J8" s="546" t="s">
        <v>23</v>
      </c>
      <c r="K8" s="548" t="s">
        <v>142</v>
      </c>
      <c r="L8" s="550" t="s">
        <v>24</v>
      </c>
      <c r="M8" s="359" t="s">
        <v>25</v>
      </c>
      <c r="N8" s="17" t="s">
        <v>169</v>
      </c>
      <c r="O8" s="510" t="s">
        <v>155</v>
      </c>
      <c r="P8" s="540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43"/>
      <c r="C9" s="541"/>
      <c r="D9" s="541"/>
      <c r="E9" s="357" t="s">
        <v>30</v>
      </c>
      <c r="F9" s="357" t="s">
        <v>31</v>
      </c>
      <c r="G9" s="541"/>
      <c r="H9" s="545"/>
      <c r="I9" s="541"/>
      <c r="J9" s="547"/>
      <c r="K9" s="549"/>
      <c r="L9" s="551"/>
      <c r="M9" s="20" t="s">
        <v>32</v>
      </c>
      <c r="N9" s="21" t="s">
        <v>41</v>
      </c>
      <c r="O9" s="552"/>
      <c r="P9" s="541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>
      <c r="B10" s="37" t="s">
        <v>16</v>
      </c>
      <c r="C10" s="366" t="str">
        <f>[8]Brewhouse!$A44</f>
        <v>SM037</v>
      </c>
      <c r="D10" s="279">
        <f>[8]Brewhouse!$AH44</f>
        <v>53.1</v>
      </c>
      <c r="E10" s="279">
        <f>[8]Brewhouse!$AM44</f>
        <v>50.9</v>
      </c>
      <c r="F10" s="278">
        <f>[8]Brewhouse!$Z44</f>
        <v>80</v>
      </c>
      <c r="G10" s="279">
        <f>[8]Brewhouse!$AK44</f>
        <v>17.3</v>
      </c>
      <c r="H10" s="396">
        <v>17.3</v>
      </c>
      <c r="I10" s="368">
        <f>[8]Brewhouse!$AY44</f>
        <v>97.451901590189621</v>
      </c>
      <c r="J10" s="368">
        <f>[8]Brewhouse!$AZ44</f>
        <v>98.086498197954199</v>
      </c>
      <c r="K10" s="281">
        <f>[8]Brewhouse!$U44</f>
        <v>16.723163841807914</v>
      </c>
      <c r="L10" s="276">
        <f>[8]Brewhouse!$T44</f>
        <v>60</v>
      </c>
      <c r="M10" s="374">
        <f>[8]Brewhouse!$Y44-[8]Brewhouse!$X44</f>
        <v>0.15069444444444446</v>
      </c>
      <c r="N10" s="370">
        <f>[8]Brewhouse!$AD44</f>
        <v>0.32916666666666661</v>
      </c>
      <c r="O10" s="371" t="str">
        <f>[8]Brewhouse!$BC44</f>
        <v>D. Gomaz</v>
      </c>
      <c r="P10" s="418" t="s">
        <v>186</v>
      </c>
      <c r="R10" s="277" t="str">
        <f t="shared" ref="R10:R41" si="0">B10</f>
        <v>STARMALT</v>
      </c>
      <c r="S10" s="472">
        <f t="shared" ref="S10:S41" si="1">VLOOKUP($B10,$R$3:$X$9,2,FALSE)</f>
        <v>17</v>
      </c>
      <c r="T10" s="472">
        <f t="shared" ref="T10:T41" si="2">VLOOKUP($B10,$R$3:$X$9,3,FALSE)</f>
        <v>17.399999999999999</v>
      </c>
      <c r="U10" s="297">
        <f t="shared" ref="U10:U41" si="3">VLOOKUP($B10,$R$3:$X$9,4,FALSE)</f>
        <v>0</v>
      </c>
      <c r="V10" s="297">
        <f t="shared" ref="V10:V41" si="4">VLOOKUP($B10,$R$3:$X$9,5,FALSE)</f>
        <v>0.13605324074074074</v>
      </c>
      <c r="W10" s="297">
        <f t="shared" ref="W10:W41" si="5">VLOOKUP($B10,$R$3:$X$9,6,FALSE)</f>
        <v>0.27430555555555552</v>
      </c>
      <c r="X10" s="297">
        <f t="shared" ref="X10:X41" si="6">VLOOKUP($B10,$R$3:$X$9,7,FALSE)</f>
        <v>0.30902777777777779</v>
      </c>
      <c r="Y10" s="297">
        <f t="shared" ref="Y10:Y41" si="7">VLOOKUP($B10,$R$3:$Z$9,8,FALSE)</f>
        <v>0</v>
      </c>
      <c r="Z10" s="472">
        <f t="shared" ref="Z10:Z41" si="8">VLOOKUP($B10,$R$3:$Z$9,9,FALSE)</f>
        <v>85</v>
      </c>
    </row>
    <row r="11" spans="2:29" ht="15">
      <c r="B11" s="37" t="s">
        <v>16</v>
      </c>
      <c r="C11" s="366" t="str">
        <f>[8]Brewhouse!$A45</f>
        <v>SM038</v>
      </c>
      <c r="D11" s="279">
        <f>[8]Brewhouse!$AH45</f>
        <v>53.1</v>
      </c>
      <c r="E11" s="279">
        <f>[8]Brewhouse!$AM45</f>
        <v>50.4</v>
      </c>
      <c r="F11" s="278">
        <f>[8]Brewhouse!$Z45</f>
        <v>63</v>
      </c>
      <c r="G11" s="279">
        <f>[8]Brewhouse!$AK45</f>
        <v>17.399999999999999</v>
      </c>
      <c r="H11" s="396">
        <v>17.399999999999999</v>
      </c>
      <c r="I11" s="368">
        <f>[8]Brewhouse!$AY45</f>
        <v>97.068365512779494</v>
      </c>
      <c r="J11" s="368">
        <f>[8]Brewhouse!$AZ45</f>
        <v>97.700464573654699</v>
      </c>
      <c r="K11" s="281">
        <f>[8]Brewhouse!$U45</f>
        <v>14.463276836158204</v>
      </c>
      <c r="L11" s="276">
        <f>[8]Brewhouse!$T45</f>
        <v>60</v>
      </c>
      <c r="M11" s="374">
        <f>[8]Brewhouse!$Y45-[8]Brewhouse!$X45</f>
        <v>8.9583333333333348E-2</v>
      </c>
      <c r="N11" s="370">
        <f>[8]Brewhouse!$AD45</f>
        <v>0.28263888888888888</v>
      </c>
      <c r="O11" s="371" t="str">
        <f>[8]Brewhouse!$BC45</f>
        <v>D. Gomaz</v>
      </c>
      <c r="P11" s="418"/>
      <c r="R11" s="277" t="str">
        <f t="shared" si="0"/>
        <v>STARMALT</v>
      </c>
      <c r="S11" s="472">
        <f t="shared" si="1"/>
        <v>17</v>
      </c>
      <c r="T11" s="472">
        <f t="shared" si="2"/>
        <v>17.399999999999999</v>
      </c>
      <c r="U11" s="297">
        <f t="shared" si="3"/>
        <v>0</v>
      </c>
      <c r="V11" s="297">
        <f t="shared" si="4"/>
        <v>0.13605324074074074</v>
      </c>
      <c r="W11" s="297">
        <f t="shared" si="5"/>
        <v>0.27430555555555552</v>
      </c>
      <c r="X11" s="297">
        <f t="shared" si="6"/>
        <v>0.30902777777777779</v>
      </c>
      <c r="Y11" s="297">
        <f t="shared" si="7"/>
        <v>0</v>
      </c>
      <c r="Z11" s="472">
        <f t="shared" si="8"/>
        <v>85</v>
      </c>
    </row>
    <row r="12" spans="2:29" ht="15">
      <c r="B12" s="37" t="s">
        <v>16</v>
      </c>
      <c r="C12" s="366" t="str">
        <f>[8]Brewhouse!$A46</f>
        <v>SM039</v>
      </c>
      <c r="D12" s="279">
        <f>[8]Brewhouse!$AH46</f>
        <v>53.1</v>
      </c>
      <c r="E12" s="279">
        <f>[8]Brewhouse!$AM46</f>
        <v>53.1</v>
      </c>
      <c r="F12" s="278">
        <f>[8]Brewhouse!$Z46</f>
        <v>66</v>
      </c>
      <c r="G12" s="279">
        <f>[8]Brewhouse!$AK46</f>
        <v>17.2</v>
      </c>
      <c r="H12" s="396">
        <v>17.100000000000001</v>
      </c>
      <c r="I12" s="368">
        <f>[8]Brewhouse!$AY46</f>
        <v>100.84054451608544</v>
      </c>
      <c r="J12" s="368">
        <f>[8]Brewhouse!$AZ46</f>
        <v>101.4983828530424</v>
      </c>
      <c r="K12" s="281">
        <f>[8]Brewhouse!$U46</f>
        <v>9.0018832391713772</v>
      </c>
      <c r="L12" s="276">
        <f>[8]Brewhouse!$T46</f>
        <v>60</v>
      </c>
      <c r="M12" s="374">
        <f>[8]Brewhouse!$Y46-[8]Brewhouse!$X46</f>
        <v>0.13263888888888892</v>
      </c>
      <c r="N12" s="370">
        <f>[8]Brewhouse!$AD46</f>
        <v>0.30208333333333337</v>
      </c>
      <c r="O12" s="371" t="str">
        <f>[8]Brewhouse!$BC46</f>
        <v>D. Gomaz</v>
      </c>
      <c r="P12" s="418"/>
      <c r="R12" s="277" t="str">
        <f t="shared" si="0"/>
        <v>STARMALT</v>
      </c>
      <c r="S12" s="472">
        <f t="shared" si="1"/>
        <v>17</v>
      </c>
      <c r="T12" s="472">
        <f t="shared" si="2"/>
        <v>17.399999999999999</v>
      </c>
      <c r="U12" s="297">
        <f t="shared" si="3"/>
        <v>0</v>
      </c>
      <c r="V12" s="297">
        <f t="shared" si="4"/>
        <v>0.13605324074074074</v>
      </c>
      <c r="W12" s="297">
        <f t="shared" si="5"/>
        <v>0.27430555555555552</v>
      </c>
      <c r="X12" s="297">
        <f t="shared" si="6"/>
        <v>0.30902777777777779</v>
      </c>
      <c r="Y12" s="297">
        <f t="shared" si="7"/>
        <v>0</v>
      </c>
      <c r="Z12" s="472">
        <f t="shared" si="8"/>
        <v>85</v>
      </c>
    </row>
    <row r="13" spans="2:29" ht="15">
      <c r="B13" s="37" t="s">
        <v>16</v>
      </c>
      <c r="C13" s="366" t="str">
        <f>[8]Brewhouse!$A47</f>
        <v>SM040</v>
      </c>
      <c r="D13" s="279">
        <f>[8]Brewhouse!$AH47</f>
        <v>54.1</v>
      </c>
      <c r="E13" s="279">
        <f>[8]Brewhouse!$AM47</f>
        <v>52.9</v>
      </c>
      <c r="F13" s="278">
        <f>[8]Brewhouse!$Z47</f>
        <v>60</v>
      </c>
      <c r="G13" s="279">
        <f>[8]Brewhouse!$AK47</f>
        <v>17</v>
      </c>
      <c r="H13" s="396">
        <v>17</v>
      </c>
      <c r="I13" s="368">
        <f>[8]Brewhouse!$AY47</f>
        <v>100.42642805913154</v>
      </c>
      <c r="J13" s="368">
        <f>[8]Brewhouse!$AZ47</f>
        <v>101.07269368226579</v>
      </c>
      <c r="K13" s="281">
        <f>[8]Brewhouse!$U47</f>
        <v>9.5748613678373502</v>
      </c>
      <c r="L13" s="276">
        <f>[8]Brewhouse!$T47</f>
        <v>60</v>
      </c>
      <c r="M13" s="374">
        <f>[8]Brewhouse!$Y47-[8]Brewhouse!$X47</f>
        <v>0.13263888888888886</v>
      </c>
      <c r="N13" s="370">
        <f>[8]Brewhouse!$AD47</f>
        <v>0.29652777777777778</v>
      </c>
      <c r="O13" s="371" t="str">
        <f>[8]Brewhouse!$BC47</f>
        <v>R. Regis</v>
      </c>
      <c r="P13" s="418"/>
      <c r="R13" s="277" t="str">
        <f t="shared" si="0"/>
        <v>STARMALT</v>
      </c>
      <c r="S13" s="472">
        <f t="shared" si="1"/>
        <v>17</v>
      </c>
      <c r="T13" s="472">
        <f t="shared" si="2"/>
        <v>17.399999999999999</v>
      </c>
      <c r="U13" s="297">
        <f t="shared" si="3"/>
        <v>0</v>
      </c>
      <c r="V13" s="297">
        <f t="shared" si="4"/>
        <v>0.13605324074074074</v>
      </c>
      <c r="W13" s="297">
        <f t="shared" si="5"/>
        <v>0.27430555555555552</v>
      </c>
      <c r="X13" s="297">
        <f t="shared" si="6"/>
        <v>0.30902777777777779</v>
      </c>
      <c r="Y13" s="297">
        <f t="shared" si="7"/>
        <v>0</v>
      </c>
      <c r="Z13" s="472">
        <f t="shared" si="8"/>
        <v>85</v>
      </c>
    </row>
    <row r="14" spans="2:29" ht="15">
      <c r="B14" s="37" t="s">
        <v>16</v>
      </c>
      <c r="C14" s="366" t="str">
        <f>[8]Brewhouse!$A48</f>
        <v>SM041</v>
      </c>
      <c r="D14" s="279">
        <f>[8]Brewhouse!$AH48</f>
        <v>54.1</v>
      </c>
      <c r="E14" s="279">
        <f>[8]Brewhouse!$AM48</f>
        <v>52.5</v>
      </c>
      <c r="F14" s="278">
        <f>[8]Brewhouse!$Z48</f>
        <v>101</v>
      </c>
      <c r="G14" s="279">
        <f>[8]Brewhouse!$AK48</f>
        <v>17</v>
      </c>
      <c r="H14" s="396">
        <v>17.2</v>
      </c>
      <c r="I14" s="368">
        <f>[8]Brewhouse!$AY48</f>
        <v>99.340523834063077</v>
      </c>
      <c r="J14" s="368">
        <f>[8]Brewhouse!$AZ48</f>
        <v>99.982162437240632</v>
      </c>
      <c r="K14" s="281">
        <f>[8]Brewhouse!$U48</f>
        <v>8.8354898336414056</v>
      </c>
      <c r="L14" s="276">
        <f>[8]Brewhouse!$T48</f>
        <v>57</v>
      </c>
      <c r="M14" s="374">
        <f>[8]Brewhouse!$Y48-[8]Brewhouse!$X48</f>
        <v>0.15277777777777779</v>
      </c>
      <c r="N14" s="370">
        <f>[8]Brewhouse!$AD48</f>
        <v>0.31319444444444444</v>
      </c>
      <c r="O14" s="371" t="str">
        <f>[8]Brewhouse!$BC48</f>
        <v>R. Regis</v>
      </c>
      <c r="P14" s="418"/>
      <c r="R14" s="277" t="str">
        <f t="shared" si="0"/>
        <v>STARMALT</v>
      </c>
      <c r="S14" s="472">
        <f t="shared" si="1"/>
        <v>17</v>
      </c>
      <c r="T14" s="472">
        <f t="shared" si="2"/>
        <v>17.399999999999999</v>
      </c>
      <c r="U14" s="297">
        <f t="shared" si="3"/>
        <v>0</v>
      </c>
      <c r="V14" s="297">
        <f t="shared" si="4"/>
        <v>0.13605324074074074</v>
      </c>
      <c r="W14" s="297">
        <f t="shared" si="5"/>
        <v>0.27430555555555552</v>
      </c>
      <c r="X14" s="297">
        <f t="shared" si="6"/>
        <v>0.30902777777777779</v>
      </c>
      <c r="Y14" s="297">
        <f t="shared" si="7"/>
        <v>0</v>
      </c>
      <c r="Z14" s="472">
        <f t="shared" si="8"/>
        <v>85</v>
      </c>
    </row>
    <row r="15" spans="2:29" ht="15">
      <c r="B15" s="37" t="s">
        <v>16</v>
      </c>
      <c r="C15" s="366" t="str">
        <f>[8]Brewhouse!$A49</f>
        <v>SM042</v>
      </c>
      <c r="D15" s="279">
        <f>[8]Brewhouse!$AH49</f>
        <v>53.1</v>
      </c>
      <c r="E15" s="279">
        <f>[8]Brewhouse!$AM49</f>
        <v>52.8</v>
      </c>
      <c r="F15" s="278">
        <f>[8]Brewhouse!$Z49</f>
        <v>67</v>
      </c>
      <c r="G15" s="279">
        <f>[8]Brewhouse!$AK49</f>
        <v>17</v>
      </c>
      <c r="H15" s="396">
        <v>17</v>
      </c>
      <c r="I15" s="368">
        <f>[8]Brewhouse!$AY49</f>
        <v>100.23658604011617</v>
      </c>
      <c r="J15" s="368">
        <f>[8]Brewhouse!$AZ49</f>
        <v>100.88162998910461</v>
      </c>
      <c r="K15" s="281">
        <f>[8]Brewhouse!$U49</f>
        <v>9.5668549905838152</v>
      </c>
      <c r="L15" s="276">
        <f>[8]Brewhouse!$T49</f>
        <v>61</v>
      </c>
      <c r="M15" s="374">
        <f>[8]Brewhouse!$Y49-[8]Brewhouse!$X49</f>
        <v>0.13194444444444453</v>
      </c>
      <c r="N15" s="370">
        <f>[8]Brewhouse!$AD49</f>
        <v>0.28958333333333341</v>
      </c>
      <c r="O15" s="371" t="str">
        <f>[8]Brewhouse!$BC49</f>
        <v>R. Regis</v>
      </c>
      <c r="P15" s="418"/>
      <c r="R15" s="277" t="str">
        <f t="shared" si="0"/>
        <v>STARMALT</v>
      </c>
      <c r="S15" s="472">
        <f t="shared" si="1"/>
        <v>17</v>
      </c>
      <c r="T15" s="472">
        <f t="shared" si="2"/>
        <v>17.399999999999999</v>
      </c>
      <c r="U15" s="297">
        <f t="shared" si="3"/>
        <v>0</v>
      </c>
      <c r="V15" s="297">
        <f t="shared" si="4"/>
        <v>0.13605324074074074</v>
      </c>
      <c r="W15" s="297">
        <f t="shared" si="5"/>
        <v>0.27430555555555552</v>
      </c>
      <c r="X15" s="297">
        <f t="shared" si="6"/>
        <v>0.30902777777777779</v>
      </c>
      <c r="Y15" s="297">
        <f t="shared" si="7"/>
        <v>0</v>
      </c>
      <c r="Z15" s="472">
        <f t="shared" si="8"/>
        <v>85</v>
      </c>
    </row>
    <row r="16" spans="2:29" ht="15">
      <c r="B16" s="37" t="s">
        <v>16</v>
      </c>
      <c r="C16" s="366" t="str">
        <f>[8]Brewhouse!$A50</f>
        <v>SM043</v>
      </c>
      <c r="D16" s="279">
        <f>[8]Brewhouse!$AH50</f>
        <v>50</v>
      </c>
      <c r="E16" s="279">
        <f>[8]Brewhouse!$AM50</f>
        <v>51.5</v>
      </c>
      <c r="F16" s="278">
        <f>[8]Brewhouse!$Z50</f>
        <v>71</v>
      </c>
      <c r="G16" s="279">
        <f>[8]Brewhouse!$AK50</f>
        <v>17.2</v>
      </c>
      <c r="H16" s="396">
        <v>17.3</v>
      </c>
      <c r="I16" s="368">
        <f>[8]Brewhouse!$AY50</f>
        <v>99.089008585979826</v>
      </c>
      <c r="J16" s="368">
        <f>[8]Brewhouse!$AZ50</f>
        <v>99.726076466807839</v>
      </c>
      <c r="K16" s="281">
        <f>[8]Brewhouse!$U50</f>
        <v>10.760000000000005</v>
      </c>
      <c r="L16" s="276">
        <f>[8]Brewhouse!$T50</f>
        <v>61</v>
      </c>
      <c r="M16" s="374">
        <f>[8]Brewhouse!$Y50-[8]Brewhouse!$X50</f>
        <v>0.13611111111111107</v>
      </c>
      <c r="N16" s="370">
        <f>[8]Brewhouse!$AD50</f>
        <v>0.30069444444444438</v>
      </c>
      <c r="O16" s="371" t="str">
        <f>[8]Brewhouse!$BC50</f>
        <v>R.Sookram</v>
      </c>
      <c r="P16" s="418"/>
      <c r="R16" s="277" t="str">
        <f t="shared" si="0"/>
        <v>STARMALT</v>
      </c>
      <c r="S16" s="472">
        <f t="shared" si="1"/>
        <v>17</v>
      </c>
      <c r="T16" s="472">
        <f t="shared" si="2"/>
        <v>17.399999999999999</v>
      </c>
      <c r="U16" s="297">
        <f t="shared" si="3"/>
        <v>0</v>
      </c>
      <c r="V16" s="297">
        <f t="shared" si="4"/>
        <v>0.13605324074074074</v>
      </c>
      <c r="W16" s="297">
        <f t="shared" si="5"/>
        <v>0.27430555555555552</v>
      </c>
      <c r="X16" s="297">
        <f t="shared" si="6"/>
        <v>0.30902777777777779</v>
      </c>
      <c r="Y16" s="297">
        <f t="shared" si="7"/>
        <v>0</v>
      </c>
      <c r="Z16" s="472">
        <f t="shared" si="8"/>
        <v>85</v>
      </c>
    </row>
    <row r="17" spans="1:26" ht="15">
      <c r="B17" s="37" t="s">
        <v>16</v>
      </c>
      <c r="C17" s="366" t="str">
        <f>[8]Brewhouse!$A51</f>
        <v>SM044</v>
      </c>
      <c r="D17" s="279">
        <f>[8]Brewhouse!$AH51</f>
        <v>47.7</v>
      </c>
      <c r="E17" s="279">
        <f>[8]Brewhouse!$AM51</f>
        <v>47.7</v>
      </c>
      <c r="F17" s="278">
        <f>[8]Brewhouse!$Z51</f>
        <v>82</v>
      </c>
      <c r="G17" s="279">
        <f>[8]Brewhouse!$AK51</f>
        <v>17</v>
      </c>
      <c r="H17" s="396">
        <v>17.399999999999999</v>
      </c>
      <c r="I17" s="368">
        <f>[8]Brewhouse!$AY51</f>
        <v>90.554643070332219</v>
      </c>
      <c r="J17" s="368">
        <f>[8]Brewhouse!$AZ51</f>
        <v>91.137381637884289</v>
      </c>
      <c r="K17" s="281">
        <f>[8]Brewhouse!$U51</f>
        <v>12.117400419287229</v>
      </c>
      <c r="L17" s="276">
        <f>[8]Brewhouse!$T51</f>
        <v>60</v>
      </c>
      <c r="M17" s="374">
        <f>[8]Brewhouse!$Y51-[8]Brewhouse!$X51</f>
        <v>0.1347222222222223</v>
      </c>
      <c r="N17" s="370">
        <f>[8]Brewhouse!$AD51</f>
        <v>0.29305555555555562</v>
      </c>
      <c r="O17" s="371" t="str">
        <f>[8]Brewhouse!$BC51</f>
        <v>R.Sookram</v>
      </c>
      <c r="P17" s="418"/>
      <c r="R17" s="277" t="str">
        <f t="shared" si="0"/>
        <v>STARMALT</v>
      </c>
      <c r="S17" s="472">
        <f t="shared" si="1"/>
        <v>17</v>
      </c>
      <c r="T17" s="472">
        <f t="shared" si="2"/>
        <v>17.399999999999999</v>
      </c>
      <c r="U17" s="297">
        <f t="shared" si="3"/>
        <v>0</v>
      </c>
      <c r="V17" s="297">
        <f t="shared" si="4"/>
        <v>0.13605324074074074</v>
      </c>
      <c r="W17" s="297">
        <f t="shared" si="5"/>
        <v>0.27430555555555552</v>
      </c>
      <c r="X17" s="297">
        <f t="shared" si="6"/>
        <v>0.30902777777777779</v>
      </c>
      <c r="Y17" s="297">
        <f t="shared" si="7"/>
        <v>0</v>
      </c>
      <c r="Z17" s="472">
        <f t="shared" si="8"/>
        <v>85</v>
      </c>
    </row>
    <row r="18" spans="1:26" ht="15">
      <c r="B18" s="37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5">
      <c r="B19" s="29" t="s">
        <v>6</v>
      </c>
      <c r="C19" s="366" t="str">
        <f>[4]Brewhouse!$A339</f>
        <v>CA295</v>
      </c>
      <c r="D19" s="279">
        <f>[4]Brewhouse!$AF339</f>
        <v>51</v>
      </c>
      <c r="E19" s="279">
        <f>[4]Brewhouse!$AI339</f>
        <v>49.9</v>
      </c>
      <c r="F19" s="278">
        <f>[4]Brewhouse!$V339</f>
        <v>62</v>
      </c>
      <c r="G19" s="279">
        <f>[4]Brewhouse!AG339</f>
        <v>11.7</v>
      </c>
      <c r="H19" s="396">
        <v>11.7</v>
      </c>
      <c r="I19" s="368">
        <f>[4]Brewhouse!$AU339</f>
        <v>96.362850732705169</v>
      </c>
      <c r="J19" s="368">
        <f>[4]Brewhouse!$AV339</f>
        <v>97.620331326453694</v>
      </c>
      <c r="K19" s="281">
        <f>[4]Brewhouse!$Q339</f>
        <v>7.0609981515711642</v>
      </c>
      <c r="L19" s="276">
        <f>[4]Brewhouse!$P$339</f>
        <v>51.14</v>
      </c>
      <c r="M19" s="397">
        <f>[4]Brewhouse!$U329-[4]Brewhouse!$T339</f>
        <v>0.14305555555555549</v>
      </c>
      <c r="N19" s="370">
        <f>[4]Brewhouse!$Z339</f>
        <v>0.23750000000000004</v>
      </c>
      <c r="O19" s="420" t="str">
        <f>[4]Brewhouse!$AX339</f>
        <v>D. Gomaz</v>
      </c>
      <c r="P19" s="418"/>
      <c r="R19" s="277" t="str">
        <f t="shared" si="0"/>
        <v>CARIB</v>
      </c>
      <c r="S19" s="472">
        <f t="shared" si="1"/>
        <v>11.6</v>
      </c>
      <c r="T19" s="472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472">
        <f t="shared" si="8"/>
        <v>60</v>
      </c>
    </row>
    <row r="20" spans="1:26" ht="15">
      <c r="B20" s="33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5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0"/>
      <c r="P21" s="418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5" hidden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0"/>
      <c r="P22" s="418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5" hidden="1">
      <c r="B23" s="34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420"/>
      <c r="P23" s="418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5" hidden="1">
      <c r="B24" s="34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420"/>
      <c r="P24" s="418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5" hidden="1">
      <c r="B25" s="34"/>
      <c r="C25" s="366"/>
      <c r="D25" s="279"/>
      <c r="E25" s="279"/>
      <c r="F25" s="278"/>
      <c r="G25" s="279"/>
      <c r="H25" s="396"/>
      <c r="I25" s="484"/>
      <c r="J25" s="484"/>
      <c r="K25" s="485"/>
      <c r="L25" s="276"/>
      <c r="M25" s="374"/>
      <c r="N25" s="370"/>
      <c r="O25" s="420"/>
      <c r="P25" s="418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8" hidden="1" customHeight="1">
      <c r="B26" s="29"/>
      <c r="C26" s="366"/>
      <c r="D26" s="279"/>
      <c r="E26" s="279"/>
      <c r="F26" s="278"/>
      <c r="G26" s="279"/>
      <c r="H26" s="482"/>
      <c r="I26" s="368"/>
      <c r="J26" s="368"/>
      <c r="K26" s="281"/>
      <c r="L26" s="276"/>
      <c r="M26" s="374"/>
      <c r="N26" s="370"/>
      <c r="O26" s="371"/>
      <c r="P26" s="418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6.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371"/>
      <c r="P27" s="418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5.75" customHeight="1" thickBot="1">
      <c r="B28" s="358"/>
      <c r="C28" s="358"/>
      <c r="D28" s="358"/>
      <c r="E28" s="358"/>
      <c r="F28" s="294"/>
      <c r="G28" s="294"/>
      <c r="H28" s="348"/>
      <c r="I28" s="533"/>
      <c r="J28" s="533"/>
      <c r="K28" s="533"/>
      <c r="L28" s="533"/>
      <c r="M28" s="533"/>
      <c r="N28" s="533"/>
      <c r="O28" s="1"/>
      <c r="P28" s="12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5.75" customHeight="1" thickBot="1">
      <c r="B29" s="388" t="s">
        <v>162</v>
      </c>
      <c r="C29" s="388"/>
      <c r="D29" s="534" t="s">
        <v>35</v>
      </c>
      <c r="E29" s="535"/>
      <c r="F29" s="294"/>
      <c r="G29" s="294"/>
      <c r="H29" s="348"/>
      <c r="I29" s="24" t="s">
        <v>17</v>
      </c>
      <c r="J29" s="25"/>
      <c r="K29" s="26" t="s">
        <v>138</v>
      </c>
      <c r="L29" s="25" t="s">
        <v>37</v>
      </c>
      <c r="M29" s="25" t="s">
        <v>38</v>
      </c>
      <c r="N29" s="27" t="s">
        <v>39</v>
      </c>
      <c r="O29" s="294"/>
      <c r="P29" s="12"/>
      <c r="R29" s="277" t="str">
        <f t="shared" si="0"/>
        <v xml:space="preserve">BRAND 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5" customHeight="1">
      <c r="A30" s="28"/>
      <c r="B30" s="519"/>
      <c r="C30" s="362"/>
      <c r="D30" s="537"/>
      <c r="E30" s="538"/>
      <c r="F30" s="294"/>
      <c r="G30" s="294"/>
      <c r="H30" s="348"/>
      <c r="I30" s="29" t="s">
        <v>6</v>
      </c>
      <c r="J30" s="323">
        <f>I19</f>
        <v>96.362850732705169</v>
      </c>
      <c r="K30" s="284">
        <f>COUNTA([4]Brewhouse!$B$292:$B$339)</f>
        <v>48</v>
      </c>
      <c r="L30" s="305">
        <f>AVERAGE([4]Brewhouse!$AU$292:$AU$339)</f>
        <v>98.693864421128268</v>
      </c>
      <c r="M30" s="305">
        <f>AVERAGE([4]Brewhouse!$AU$42:$AU$123,[4]Brewhouse!$AU$125:$AU$188,[4]Brewhouse!$AU$198:$AU$290,[4]Brewhouse!$AU$292:$AU$339)</f>
        <v>98.010309837929952</v>
      </c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5" customHeight="1">
      <c r="A31" s="28"/>
      <c r="B31" s="520"/>
      <c r="C31" s="362"/>
      <c r="D31" s="539"/>
      <c r="E31" s="525"/>
      <c r="F31" s="294"/>
      <c r="G31" s="294"/>
      <c r="H31" s="348"/>
      <c r="I31" s="33" t="s">
        <v>9</v>
      </c>
      <c r="J31" s="280"/>
      <c r="K31" s="284">
        <f>COUNTA([3]Brewhouse!$A$179:$A$204)</f>
        <v>26</v>
      </c>
      <c r="L31" s="302">
        <f>AVERAGE([3]Brewhouse!$AS$179:$AS$204)</f>
        <v>98.921800051199881</v>
      </c>
      <c r="M31" s="302">
        <f>AVERAGE([3]Brewhouse!$AS$52:$AS$81,[3]Brewhouse!$AS$83:$AS$124,[3]Brewhouse!$AS$134:$AS$177,[3]Brewhouse!$AS$179:$AS$204)</f>
        <v>98.521025084594555</v>
      </c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65" customHeight="1">
      <c r="A32" s="28"/>
      <c r="B32" s="520"/>
      <c r="C32" s="362"/>
      <c r="D32" s="529"/>
      <c r="E32" s="530"/>
      <c r="F32" s="294"/>
      <c r="G32" s="294"/>
      <c r="H32" s="348"/>
      <c r="I32" s="34" t="s">
        <v>12</v>
      </c>
      <c r="J32" s="280"/>
      <c r="K32" s="284">
        <f>COUNTA([5]Brewhouse!$A$43:$A$50)</f>
        <v>8</v>
      </c>
      <c r="L32" s="302">
        <f>AVERAGE([5]Brewhouse!$AU$43:$AU$50)</f>
        <v>96.223405821152667</v>
      </c>
      <c r="M32" s="302">
        <f>AVERAGE([5]Brewhouse!$AU$16:$AU$23,[5]Brewhouse!$AU$25:$AU$32,[5]Brewhouse!$AU$34:$AU$41,[5]Brewhouse!$AU$43:$AU$50)</f>
        <v>96.904441824349703</v>
      </c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65" customHeight="1">
      <c r="A33" s="28"/>
      <c r="B33" s="520"/>
      <c r="C33" s="362"/>
      <c r="D33" s="524"/>
      <c r="E33" s="525"/>
      <c r="F33" s="294"/>
      <c r="G33" s="294"/>
      <c r="H33" s="348"/>
      <c r="I33" s="22" t="s">
        <v>33</v>
      </c>
      <c r="J33" s="280"/>
      <c r="K33" s="284"/>
      <c r="L33" s="302"/>
      <c r="M33" s="302">
        <f>AVERAGE([6]Brewhouse!$AV$23:$AV$34,[6]Brewhouse!$AV$36,[6]Brewhouse!$AV$38:$AV$52)</f>
        <v>97.639832259312456</v>
      </c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56" ht="14.65" customHeight="1">
      <c r="A34" s="28"/>
      <c r="B34" s="520"/>
      <c r="C34" s="362"/>
      <c r="D34" s="529"/>
      <c r="E34" s="530"/>
      <c r="F34" s="417"/>
      <c r="G34" s="294"/>
      <c r="H34" s="348"/>
      <c r="I34" s="35" t="s">
        <v>29</v>
      </c>
      <c r="J34" s="280"/>
      <c r="K34" s="284"/>
      <c r="L34" s="302"/>
      <c r="M34" s="302"/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56" ht="14.65" customHeight="1">
      <c r="A35" s="28"/>
      <c r="B35" s="520"/>
      <c r="C35" s="362"/>
      <c r="D35" s="524"/>
      <c r="E35" s="525"/>
      <c r="F35" s="417"/>
      <c r="G35" s="294"/>
      <c r="H35" s="348"/>
      <c r="I35" s="36" t="s">
        <v>15</v>
      </c>
      <c r="J35" s="323"/>
      <c r="K35" s="284"/>
      <c r="L35" s="302"/>
      <c r="M35" s="302">
        <f>AVERAGE([7]Brewhouse!$AT$4:$AT$11)</f>
        <v>92.826224508052405</v>
      </c>
      <c r="N35" s="3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</row>
    <row r="36" spans="1:56" ht="14.65" customHeight="1">
      <c r="A36" s="28"/>
      <c r="B36" s="520"/>
      <c r="C36" s="362"/>
      <c r="D36" s="529"/>
      <c r="E36" s="530"/>
      <c r="F36" s="417"/>
      <c r="G36" s="294"/>
      <c r="H36" s="348"/>
      <c r="I36" s="37" t="s">
        <v>16</v>
      </c>
      <c r="J36" s="323">
        <f>AVERAGE(I10:I17)</f>
        <v>98.126000151084682</v>
      </c>
      <c r="K36" s="284">
        <f>COUNTA([8]Brewhouse!$A$44:$A$51)</f>
        <v>8</v>
      </c>
      <c r="L36" s="302">
        <f>AVERAGE([8]Brewhouse!$AY$44:$AY$51)</f>
        <v>98.126000151084682</v>
      </c>
      <c r="M36" s="302">
        <f>AVERAGE([8]Brewhouse!$AY$5:$AY$14,[8]Brewhouse!$AY$16:$AY$23,[8]Brewhouse!$AY$42,[8]Brewhouse!$AY$44:$AY$51)</f>
        <v>97.608428475776392</v>
      </c>
      <c r="N36" s="30">
        <v>98</v>
      </c>
      <c r="O36" s="11"/>
      <c r="P36" s="31" t="s">
        <v>41</v>
      </c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</row>
    <row r="37" spans="1:56" ht="14.65" customHeight="1">
      <c r="A37" s="28"/>
      <c r="B37" s="520"/>
      <c r="C37" s="362"/>
      <c r="D37" s="524"/>
      <c r="E37" s="525"/>
      <c r="F37" s="294"/>
      <c r="G37" s="294"/>
      <c r="H37" s="348"/>
      <c r="I37" s="411" t="s">
        <v>158</v>
      </c>
      <c r="J37" s="326"/>
      <c r="K37" s="284"/>
      <c r="L37" s="305"/>
      <c r="M37" s="305"/>
      <c r="N37" s="30">
        <v>98</v>
      </c>
      <c r="O37" s="11"/>
      <c r="P37" s="31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</row>
    <row r="38" spans="1:56" ht="14.65" customHeight="1">
      <c r="A38" s="28"/>
      <c r="B38" s="520"/>
      <c r="C38" s="349"/>
      <c r="D38" s="529"/>
      <c r="E38" s="530"/>
      <c r="F38" s="294"/>
      <c r="G38" s="294"/>
      <c r="H38" s="348"/>
      <c r="I38" s="410" t="s">
        <v>157</v>
      </c>
      <c r="J38" s="326"/>
      <c r="K38" s="284"/>
      <c r="L38" s="305"/>
      <c r="M38" s="305"/>
      <c r="N38" s="30">
        <v>98</v>
      </c>
      <c r="O38" s="11"/>
      <c r="P38" s="31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  <c r="AA38" s="472"/>
    </row>
    <row r="39" spans="1:56" ht="15" customHeight="1" thickBot="1">
      <c r="A39" s="28"/>
      <c r="B39" s="520"/>
      <c r="C39" s="349"/>
      <c r="D39" s="524"/>
      <c r="E39" s="525"/>
      <c r="F39" s="294"/>
      <c r="G39" s="294"/>
      <c r="H39" s="348"/>
      <c r="I39" s="406" t="s">
        <v>156</v>
      </c>
      <c r="J39" s="327"/>
      <c r="K39" s="407"/>
      <c r="L39" s="408"/>
      <c r="M39" s="408"/>
      <c r="N39" s="409">
        <v>98</v>
      </c>
      <c r="O39" s="11"/>
      <c r="P39" s="31"/>
      <c r="R39" s="277">
        <f t="shared" si="0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  <c r="AA39" s="472"/>
    </row>
    <row r="40" spans="1:56" ht="15" customHeight="1" thickBot="1">
      <c r="A40" s="28"/>
      <c r="B40" s="520"/>
      <c r="C40" s="349"/>
      <c r="D40" s="537"/>
      <c r="E40" s="538"/>
      <c r="F40" s="294"/>
      <c r="G40" s="294"/>
      <c r="H40" s="348"/>
      <c r="I40" s="1"/>
      <c r="J40" s="39"/>
      <c r="K40" s="404">
        <f>SUM(K30:K39)</f>
        <v>90</v>
      </c>
      <c r="L40" s="405">
        <f>((L30*K30)+(L31*K31)+(L32*K32)+(L33*K33)+(L34*K34)+(K37*L37)+(L35*K35)+(L36*K36)+(L39*K39))/(K40)</f>
        <v>98.48963934803615</v>
      </c>
      <c r="M40" s="405">
        <f>AVERAGE('[9]Jan30th-31st'!$L$42,L40)</f>
        <v>98.158840541938815</v>
      </c>
      <c r="N40" s="40">
        <v>98</v>
      </c>
      <c r="O40" s="11"/>
      <c r="P40" s="31"/>
      <c r="R40" s="277">
        <f t="shared" si="0"/>
        <v>0</v>
      </c>
      <c r="S40" s="472" t="e">
        <f t="shared" si="1"/>
        <v>#N/A</v>
      </c>
      <c r="T40" s="472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2" t="e">
        <f t="shared" si="8"/>
        <v>#N/A</v>
      </c>
      <c r="AA40" s="472"/>
    </row>
    <row r="41" spans="1:56" ht="15.75" thickBot="1">
      <c r="B41" s="536"/>
      <c r="C41" s="350"/>
      <c r="D41" s="539"/>
      <c r="E41" s="525"/>
      <c r="F41" s="294"/>
      <c r="G41" s="42"/>
      <c r="H41" s="41"/>
      <c r="I41" s="42"/>
      <c r="J41" s="42"/>
      <c r="K41" s="351"/>
      <c r="L41" s="348"/>
      <c r="M41" s="348"/>
      <c r="N41" s="11"/>
      <c r="O41" s="294"/>
      <c r="P41" s="12"/>
      <c r="R41" s="277">
        <f t="shared" si="0"/>
        <v>0</v>
      </c>
      <c r="S41" s="472" t="e">
        <f t="shared" si="1"/>
        <v>#N/A</v>
      </c>
      <c r="T41" s="472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472" t="e">
        <f t="shared" si="8"/>
        <v>#N/A</v>
      </c>
      <c r="AA41" s="472"/>
    </row>
    <row r="42" spans="1:56" ht="15.75" thickBot="1">
      <c r="B42" s="519"/>
      <c r="C42" s="362"/>
      <c r="D42" s="522"/>
      <c r="E42" s="523"/>
      <c r="F42" s="294"/>
      <c r="G42" s="42"/>
      <c r="H42" s="41"/>
      <c r="I42" s="42"/>
      <c r="J42" s="526" t="s">
        <v>129</v>
      </c>
      <c r="K42" s="526"/>
      <c r="L42" s="294"/>
      <c r="M42" s="294"/>
      <c r="N42" s="294"/>
      <c r="O42" s="294"/>
      <c r="P42" s="12"/>
    </row>
    <row r="43" spans="1:56" ht="15.75" thickBot="1">
      <c r="B43" s="520"/>
      <c r="C43" s="362"/>
      <c r="D43" s="524"/>
      <c r="E43" s="525"/>
      <c r="F43" s="294"/>
      <c r="G43" s="42"/>
      <c r="H43" s="42"/>
      <c r="I43" s="42"/>
      <c r="J43" s="292" t="s">
        <v>17</v>
      </c>
      <c r="K43" s="293" t="s">
        <v>172</v>
      </c>
      <c r="L43" s="527" t="s">
        <v>136</v>
      </c>
      <c r="M43" s="527"/>
      <c r="N43" s="528"/>
      <c r="O43" s="294"/>
      <c r="P43" s="12"/>
    </row>
    <row r="44" spans="1:56" ht="15" customHeight="1" thickBot="1">
      <c r="B44" s="520"/>
      <c r="C44" s="349"/>
      <c r="D44" s="529"/>
      <c r="E44" s="530"/>
      <c r="F44" s="294"/>
      <c r="G44" s="42"/>
      <c r="H44" s="42"/>
      <c r="I44" s="42"/>
      <c r="J44" s="287" t="s">
        <v>6</v>
      </c>
      <c r="K44" s="324">
        <v>1</v>
      </c>
      <c r="L44" s="473" t="s">
        <v>37</v>
      </c>
      <c r="M44" s="474" t="s">
        <v>38</v>
      </c>
      <c r="N44" s="474" t="s">
        <v>84</v>
      </c>
      <c r="O44" s="294"/>
      <c r="P44" s="12"/>
    </row>
    <row r="45" spans="1:56" ht="15.75" customHeight="1" thickBot="1">
      <c r="B45" s="520"/>
      <c r="C45" s="349"/>
      <c r="D45" s="524"/>
      <c r="E45" s="525"/>
      <c r="F45" s="294"/>
      <c r="G45" s="42"/>
      <c r="H45" s="42"/>
      <c r="I45" s="42"/>
      <c r="J45" s="345" t="s">
        <v>9</v>
      </c>
      <c r="K45" s="324"/>
      <c r="L45" s="344">
        <f>AVERAGE('Apr 1st'!K50,K54,'Apr 2nd'!K48,'Apr 7th'!K50,'Apr 8th'!K50,'Apr 9th '!K58,'Apr 10th'!K55,'Apr 13th'!K66,'Apr 14th'!K60,'Apr 15th'!K51,'Apr 16th '!K53,'Apr 20th '!K59)</f>
        <v>7.5</v>
      </c>
      <c r="M45" s="325">
        <f>AVERAGE('[9]Jan30th-31st'!$L$47,L45,'[10]Feb 26th '!$L$39,'[11]Mar 31st'!$L$47)</f>
        <v>6.6717391304347826</v>
      </c>
      <c r="N45" s="416">
        <v>9.1999999999999993</v>
      </c>
      <c r="O45" s="294"/>
      <c r="P45" s="12"/>
    </row>
    <row r="46" spans="1:56" ht="15" customHeight="1">
      <c r="B46" s="520"/>
      <c r="C46" s="349"/>
      <c r="D46" s="529"/>
      <c r="E46" s="530"/>
      <c r="F46" s="294"/>
      <c r="G46" s="42"/>
      <c r="H46" s="42"/>
      <c r="I46" s="42"/>
      <c r="J46" s="288" t="s">
        <v>40</v>
      </c>
      <c r="K46" s="324"/>
      <c r="L46" s="294"/>
      <c r="M46" s="294"/>
      <c r="N46" s="294"/>
      <c r="O46" s="294"/>
      <c r="P46" s="12"/>
    </row>
    <row r="47" spans="1:56" ht="15" customHeight="1">
      <c r="B47" s="520"/>
      <c r="C47" s="349"/>
      <c r="D47" s="524"/>
      <c r="E47" s="525"/>
      <c r="F47" s="294"/>
      <c r="G47" s="42"/>
      <c r="H47" s="42"/>
      <c r="I47" s="42"/>
      <c r="J47" s="289" t="s">
        <v>33</v>
      </c>
      <c r="K47" s="324"/>
      <c r="L47" s="294"/>
      <c r="M47" s="294"/>
      <c r="N47" s="294"/>
      <c r="O47" s="294"/>
      <c r="P47" s="12"/>
    </row>
    <row r="48" spans="1:56" ht="15">
      <c r="B48" s="520"/>
      <c r="C48" s="349"/>
      <c r="D48" s="529"/>
      <c r="E48" s="530"/>
      <c r="F48" s="294"/>
      <c r="G48" s="42"/>
      <c r="H48" s="42"/>
      <c r="I48" s="42"/>
      <c r="J48" s="290" t="s">
        <v>16</v>
      </c>
      <c r="K48" s="324">
        <v>8</v>
      </c>
      <c r="L48" s="294"/>
      <c r="M48" s="294"/>
      <c r="N48" s="294"/>
      <c r="O48" s="294"/>
      <c r="P48" s="12"/>
      <c r="BC48" s="44"/>
      <c r="BD48" s="44"/>
    </row>
    <row r="49" spans="1:57" ht="15">
      <c r="B49" s="520"/>
      <c r="C49" s="349"/>
      <c r="D49" s="524"/>
      <c r="E49" s="525"/>
      <c r="F49" s="294"/>
      <c r="G49" s="42"/>
      <c r="H49" s="42"/>
      <c r="I49" s="42"/>
      <c r="J49" s="291" t="s">
        <v>15</v>
      </c>
      <c r="K49" s="324"/>
      <c r="L49" s="294"/>
      <c r="M49" s="294"/>
      <c r="N49" s="294"/>
      <c r="O49" s="294"/>
      <c r="P49" s="12"/>
      <c r="BC49" s="44"/>
      <c r="BD49" s="44"/>
    </row>
    <row r="50" spans="1:57" ht="15">
      <c r="B50" s="520"/>
      <c r="C50" s="349"/>
      <c r="D50" s="529"/>
      <c r="E50" s="530"/>
      <c r="F50" s="294"/>
      <c r="G50" s="42"/>
      <c r="H50" s="42"/>
      <c r="I50" s="42"/>
      <c r="J50" s="291" t="s">
        <v>149</v>
      </c>
      <c r="K50" s="324"/>
      <c r="L50" s="294"/>
      <c r="M50" s="294"/>
      <c r="N50" s="294"/>
      <c r="O50" s="294"/>
      <c r="P50" s="12"/>
      <c r="BC50" s="44"/>
      <c r="BD50" s="44"/>
    </row>
    <row r="51" spans="1:57" ht="15.75" thickBot="1">
      <c r="B51" s="521"/>
      <c r="C51" s="350"/>
      <c r="D51" s="531"/>
      <c r="E51" s="532"/>
      <c r="F51" s="294" t="s">
        <v>166</v>
      </c>
      <c r="G51" s="42"/>
      <c r="H51" s="42"/>
      <c r="I51" s="42"/>
      <c r="J51" s="291" t="s">
        <v>148</v>
      </c>
      <c r="K51" s="324"/>
      <c r="L51" s="294"/>
      <c r="M51" s="294"/>
      <c r="N51" s="294" t="s">
        <v>41</v>
      </c>
      <c r="O51" s="294"/>
      <c r="P51" s="12"/>
      <c r="BC51" s="44"/>
      <c r="BD51" s="44"/>
    </row>
    <row r="52" spans="1:57" ht="17.649999999999999" customHeight="1" thickBot="1">
      <c r="B52" s="312" t="s">
        <v>139</v>
      </c>
      <c r="C52" s="313"/>
      <c r="D52" s="512"/>
      <c r="E52" s="513"/>
      <c r="F52" s="294"/>
      <c r="J52" s="295" t="s">
        <v>134</v>
      </c>
      <c r="K52" s="324"/>
      <c r="L52" s="294"/>
      <c r="M52" s="294"/>
      <c r="N52" s="294"/>
      <c r="O52" s="294"/>
      <c r="P52" s="12"/>
      <c r="BC52" s="44"/>
      <c r="BD52" s="44"/>
    </row>
    <row r="53" spans="1:57" ht="17.649999999999999" customHeight="1">
      <c r="B53" s="363"/>
      <c r="C53" s="364"/>
      <c r="D53" s="365"/>
      <c r="E53" s="365"/>
      <c r="F53" s="294"/>
      <c r="G53" s="42"/>
      <c r="H53" s="42"/>
      <c r="I53" s="42"/>
      <c r="J53" s="295" t="s">
        <v>131</v>
      </c>
      <c r="K53" s="324"/>
      <c r="L53" s="294"/>
      <c r="M53" s="294"/>
      <c r="N53" s="294"/>
      <c r="O53" s="294"/>
      <c r="P53" s="12"/>
      <c r="BC53" s="44"/>
      <c r="BD53" s="44"/>
    </row>
    <row r="54" spans="1:57" ht="15.6" customHeight="1">
      <c r="B54" s="45"/>
      <c r="C54" s="11"/>
      <c r="D54" s="11"/>
      <c r="E54" s="46"/>
      <c r="F54" s="294"/>
      <c r="G54" s="42"/>
      <c r="H54" s="42"/>
      <c r="I54" s="42"/>
      <c r="J54" s="346" t="s">
        <v>130</v>
      </c>
      <c r="K54" s="324">
        <f>SUM(K44:K53)</f>
        <v>9</v>
      </c>
      <c r="L54" s="294"/>
      <c r="M54" s="294"/>
      <c r="N54" s="294"/>
      <c r="O54" s="294"/>
      <c r="P54" s="12"/>
    </row>
    <row r="55" spans="1:57" ht="20.25" customHeight="1">
      <c r="B55" s="15" t="s">
        <v>42</v>
      </c>
      <c r="C55" s="1" t="s">
        <v>43</v>
      </c>
      <c r="D55" s="1"/>
      <c r="E55" s="1"/>
      <c r="F55" s="294"/>
      <c r="G55" s="42"/>
      <c r="H55" s="41"/>
      <c r="I55" s="42"/>
      <c r="L55" s="294"/>
      <c r="N55" s="315"/>
      <c r="P55" s="334"/>
    </row>
    <row r="56" spans="1:57" ht="15" customHeight="1" thickBot="1"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1"/>
      <c r="O56" s="48"/>
      <c r="P56" s="49"/>
    </row>
    <row r="57" spans="1:57" ht="15" customHeight="1" thickBot="1">
      <c r="B57" s="504" t="s">
        <v>17</v>
      </c>
      <c r="C57" s="504" t="s">
        <v>44</v>
      </c>
      <c r="D57" s="515" t="s">
        <v>45</v>
      </c>
      <c r="E57" s="517" t="s">
        <v>46</v>
      </c>
      <c r="F57" s="510" t="s">
        <v>47</v>
      </c>
      <c r="G57" s="502" t="s">
        <v>48</v>
      </c>
      <c r="H57" s="504" t="s">
        <v>49</v>
      </c>
      <c r="I57" s="504" t="s">
        <v>50</v>
      </c>
      <c r="J57" s="496" t="s">
        <v>28</v>
      </c>
      <c r="K57" s="506" t="s">
        <v>51</v>
      </c>
      <c r="L57" s="508" t="s">
        <v>52</v>
      </c>
      <c r="M57" s="496" t="s">
        <v>53</v>
      </c>
      <c r="N57" s="13"/>
      <c r="O57" s="13"/>
      <c r="P57" s="50"/>
    </row>
    <row r="58" spans="1:57" ht="28.5" customHeight="1" thickTop="1" thickBot="1">
      <c r="B58" s="505"/>
      <c r="C58" s="514"/>
      <c r="D58" s="516"/>
      <c r="E58" s="518"/>
      <c r="F58" s="511"/>
      <c r="G58" s="503"/>
      <c r="H58" s="505"/>
      <c r="I58" s="505"/>
      <c r="J58" s="497"/>
      <c r="K58" s="507"/>
      <c r="L58" s="509"/>
      <c r="M58" s="497"/>
      <c r="N58" s="13"/>
      <c r="O58" s="13"/>
      <c r="P58" s="50"/>
      <c r="Q58" s="355"/>
      <c r="AB58" s="475">
        <v>43474</v>
      </c>
      <c r="AC58" s="475">
        <v>43475</v>
      </c>
      <c r="AD58" s="475">
        <v>43476</v>
      </c>
      <c r="AE58" s="475">
        <v>43477</v>
      </c>
      <c r="AF58" s="475">
        <v>43478</v>
      </c>
      <c r="AG58" s="475">
        <v>43479</v>
      </c>
      <c r="AH58" s="475">
        <v>43480</v>
      </c>
      <c r="AI58" s="475">
        <v>43481</v>
      </c>
      <c r="AJ58" s="475">
        <v>43482</v>
      </c>
      <c r="AK58" s="475">
        <v>43483</v>
      </c>
      <c r="AL58" s="475">
        <v>43484</v>
      </c>
      <c r="AM58" s="475">
        <v>43485</v>
      </c>
      <c r="AN58" s="475">
        <v>43486</v>
      </c>
      <c r="AO58" s="475">
        <v>43487</v>
      </c>
      <c r="AP58" s="475">
        <v>43488</v>
      </c>
      <c r="AQ58" s="475">
        <v>43489</v>
      </c>
      <c r="AR58" s="475">
        <v>43490</v>
      </c>
      <c r="AS58" s="475">
        <v>43491</v>
      </c>
      <c r="AT58" s="475">
        <v>43492</v>
      </c>
      <c r="AU58" s="475">
        <v>43493</v>
      </c>
      <c r="AV58" s="475">
        <v>43494</v>
      </c>
      <c r="AW58" s="475">
        <v>43495</v>
      </c>
      <c r="AX58" s="475">
        <v>43496</v>
      </c>
    </row>
    <row r="59" spans="1:57" s="54" customFormat="1" ht="36.75" customHeight="1" thickBot="1">
      <c r="B59" s="486" t="str">
        <f>J45</f>
        <v>STAG</v>
      </c>
      <c r="C59" s="479">
        <v>46133</v>
      </c>
      <c r="D59" s="442">
        <f>[12]April_2026!$X$13</f>
        <v>396.9</v>
      </c>
      <c r="E59" s="443"/>
      <c r="F59" s="444"/>
      <c r="G59" s="445">
        <f>[12]April_2026!$X$17</f>
        <v>373</v>
      </c>
      <c r="H59" s="458"/>
      <c r="I59" s="458"/>
      <c r="J59" s="448" t="s">
        <v>171</v>
      </c>
      <c r="K59" s="449">
        <f>[13]April_2026!$X$25</f>
        <v>0.65438596491228074</v>
      </c>
      <c r="L59" s="457">
        <f>(((D59+E59)-G59)/(D59+E59))*100</f>
        <v>6.0216679264298261</v>
      </c>
      <c r="M59" s="455" t="s">
        <v>185</v>
      </c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>
        <f>[14]January_2019!L5</f>
        <v>0</v>
      </c>
      <c r="AC59" s="57">
        <f>[14]January_2019!M5</f>
        <v>0</v>
      </c>
      <c r="AD59" s="57">
        <f>[14]January_2019!N5</f>
        <v>0</v>
      </c>
      <c r="AE59" s="57">
        <f>[14]January_2019!O5</f>
        <v>0</v>
      </c>
      <c r="AF59" s="57">
        <f>[14]January_2019!P5</f>
        <v>0</v>
      </c>
      <c r="AG59" s="57">
        <f>[14]January_2019!Q5</f>
        <v>0</v>
      </c>
      <c r="AH59" s="57">
        <f>[14]January_2019!R5</f>
        <v>0</v>
      </c>
      <c r="AI59" s="57">
        <f>[14]January_2019!S5</f>
        <v>0</v>
      </c>
      <c r="AJ59" s="57">
        <f>[14]January_2019!T5</f>
        <v>0</v>
      </c>
      <c r="AK59" s="57">
        <f>[14]January_2019!U5</f>
        <v>0</v>
      </c>
      <c r="AL59" s="57">
        <f>[14]January_2019!V5</f>
        <v>0</v>
      </c>
      <c r="AM59" s="57">
        <f>[14]January_2019!W5</f>
        <v>0</v>
      </c>
      <c r="AN59" s="57">
        <f>[14]January_2019!X5</f>
        <v>0</v>
      </c>
      <c r="AO59" s="57">
        <f>[14]January_2019!Y5</f>
        <v>0</v>
      </c>
      <c r="AP59" s="57">
        <f>[14]January_2019!Z5</f>
        <v>0</v>
      </c>
      <c r="AQ59" s="57">
        <f>[14]January_2019!AA5</f>
        <v>0</v>
      </c>
      <c r="AR59" s="57">
        <f>[14]January_2019!AB5</f>
        <v>0</v>
      </c>
      <c r="AS59" s="57">
        <f>[14]January_2019!AC5</f>
        <v>0</v>
      </c>
      <c r="AT59" s="57">
        <f>[14]January_2019!AD5</f>
        <v>0</v>
      </c>
      <c r="AU59" s="57">
        <f>[14]January_2019!AE5</f>
        <v>0</v>
      </c>
      <c r="AV59" s="57">
        <f>[14]January_2019!AF5</f>
        <v>0</v>
      </c>
      <c r="AW59" s="57">
        <f>[14]January_2019!AG5</f>
        <v>0</v>
      </c>
      <c r="AX59" s="277">
        <f>[14]January_2019!AH5</f>
        <v>0</v>
      </c>
      <c r="AY59" s="277"/>
      <c r="AZ59" s="277"/>
      <c r="BA59" s="277"/>
      <c r="BB59" s="277"/>
      <c r="BC59" s="277"/>
      <c r="BD59" s="277"/>
      <c r="BE59" s="277"/>
    </row>
    <row r="60" spans="1:57" s="54" customFormat="1" ht="14.25" customHeight="1" thickBot="1">
      <c r="B60" s="480"/>
      <c r="C60" s="479"/>
      <c r="D60" s="442"/>
      <c r="E60" s="443"/>
      <c r="F60" s="444"/>
      <c r="G60" s="445"/>
      <c r="H60" s="458"/>
      <c r="I60" s="458"/>
      <c r="J60" s="476"/>
      <c r="K60" s="449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>
        <f>[14]January_2019!L6</f>
        <v>0</v>
      </c>
      <c r="AC60" s="57">
        <f>[14]January_2019!M6</f>
        <v>0</v>
      </c>
      <c r="AD60" s="57">
        <f>[14]January_2019!N6</f>
        <v>0</v>
      </c>
      <c r="AE60" s="57">
        <f>[14]January_2019!O6</f>
        <v>0</v>
      </c>
      <c r="AF60" s="57">
        <f>[14]January_2019!P6</f>
        <v>0</v>
      </c>
      <c r="AG60" s="57">
        <f>[14]January_2019!Q6</f>
        <v>0</v>
      </c>
      <c r="AH60" s="57">
        <f>[14]January_2019!R6</f>
        <v>0</v>
      </c>
      <c r="AI60" s="57">
        <f>[14]January_2019!S6</f>
        <v>0</v>
      </c>
      <c r="AJ60" s="57">
        <f>[14]January_2019!T6</f>
        <v>0</v>
      </c>
      <c r="AK60" s="57">
        <f>[14]January_2019!U6</f>
        <v>0</v>
      </c>
      <c r="AL60" s="57">
        <f>[14]January_2019!V6</f>
        <v>0</v>
      </c>
      <c r="AM60" s="57">
        <f>[14]January_2019!W6</f>
        <v>0</v>
      </c>
      <c r="AN60" s="57">
        <f>[14]January_2019!X6</f>
        <v>0</v>
      </c>
      <c r="AO60" s="57">
        <f>[14]January_2019!Y6</f>
        <v>0</v>
      </c>
      <c r="AP60" s="57">
        <f>[14]January_2019!Z6</f>
        <v>0</v>
      </c>
      <c r="AQ60" s="57">
        <f>[14]January_2019!AA6</f>
        <v>0</v>
      </c>
      <c r="AR60" s="57">
        <f>[14]January_2019!AB6</f>
        <v>0</v>
      </c>
      <c r="AS60" s="57">
        <f>[14]January_2019!AC6</f>
        <v>0</v>
      </c>
      <c r="AT60" s="57">
        <f>[14]January_2019!AD6</f>
        <v>0</v>
      </c>
      <c r="AU60" s="57">
        <f>[14]January_2019!AE6</f>
        <v>0</v>
      </c>
      <c r="AV60" s="57">
        <f>[14]January_2019!AF6</f>
        <v>0</v>
      </c>
      <c r="AW60" s="57">
        <f>[14]January_2019!AG6</f>
        <v>0</v>
      </c>
      <c r="AX60" s="277">
        <f>[14]January_2019!AH6</f>
        <v>0</v>
      </c>
      <c r="AY60" s="277"/>
      <c r="AZ60" s="277"/>
      <c r="BA60" s="277"/>
      <c r="BB60" s="277"/>
      <c r="BC60" s="277"/>
      <c r="BD60" s="277"/>
      <c r="BE60" s="277"/>
    </row>
    <row r="61" spans="1:57" s="54" customFormat="1" ht="37.15" hidden="1" customHeight="1" thickBot="1">
      <c r="A61" s="54" t="s">
        <v>168</v>
      </c>
      <c r="B61" s="486"/>
      <c r="C61" s="479"/>
      <c r="D61" s="442"/>
      <c r="E61" s="443"/>
      <c r="F61" s="444"/>
      <c r="G61" s="445"/>
      <c r="H61" s="458"/>
      <c r="I61" s="458"/>
      <c r="J61" s="448"/>
      <c r="K61" s="44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>
        <f>[14]January_2019!L7</f>
        <v>285.8</v>
      </c>
      <c r="AC61" s="57">
        <f>[14]January_2019!M7</f>
        <v>508.1</v>
      </c>
      <c r="AD61" s="57">
        <f>[14]January_2019!N7</f>
        <v>0</v>
      </c>
      <c r="AE61" s="57">
        <f>[14]January_2019!O7</f>
        <v>0</v>
      </c>
      <c r="AF61" s="57">
        <f>[14]January_2019!P7</f>
        <v>109.56666666666666</v>
      </c>
      <c r="AG61" s="57">
        <f>[14]January_2019!Q7</f>
        <v>297.64999999999998</v>
      </c>
      <c r="AH61" s="57">
        <f>[14]January_2019!R7</f>
        <v>122.3</v>
      </c>
      <c r="AI61" s="57">
        <f>[14]January_2019!S7</f>
        <v>0</v>
      </c>
      <c r="AJ61" s="57">
        <f>[14]January_2019!T7</f>
        <v>294.7</v>
      </c>
      <c r="AK61" s="57">
        <f>[14]January_2019!U7</f>
        <v>280.5</v>
      </c>
      <c r="AL61" s="57">
        <f>[14]January_2019!V7</f>
        <v>0</v>
      </c>
      <c r="AM61" s="57">
        <f>[14]January_2019!W7</f>
        <v>0</v>
      </c>
      <c r="AN61" s="57">
        <f>[14]January_2019!X7</f>
        <v>188.25</v>
      </c>
      <c r="AO61" s="57">
        <f>[14]January_2019!Y7</f>
        <v>295.7</v>
      </c>
      <c r="AP61" s="57">
        <f>[14]January_2019!Z7</f>
        <v>257.8</v>
      </c>
      <c r="AQ61" s="57">
        <f>[14]January_2019!AA7</f>
        <v>291.2</v>
      </c>
      <c r="AR61" s="57">
        <f>[14]January_2019!AB7</f>
        <v>187</v>
      </c>
      <c r="AS61" s="57">
        <f>[14]January_2019!AC7</f>
        <v>0</v>
      </c>
      <c r="AT61" s="57">
        <f>[14]January_2019!AD7</f>
        <v>0</v>
      </c>
      <c r="AU61" s="57">
        <f>[14]January_2019!AE7</f>
        <v>485.1</v>
      </c>
      <c r="AV61" s="57">
        <f>[14]January_2019!AF7</f>
        <v>171.55</v>
      </c>
      <c r="AW61" s="57">
        <f>[14]January_2019!AG7</f>
        <v>423.8</v>
      </c>
      <c r="AX61" s="277">
        <f>[14]January_2019!AH7</f>
        <v>0</v>
      </c>
      <c r="AY61" s="277"/>
      <c r="AZ61" s="277"/>
      <c r="BA61" s="277"/>
      <c r="BB61" s="277"/>
      <c r="BC61" s="277"/>
      <c r="BD61" s="277"/>
      <c r="BE61" s="277"/>
    </row>
    <row r="62" spans="1:57" s="54" customFormat="1" ht="19.5" hidden="1" customHeight="1" thickBot="1">
      <c r="B62" s="478"/>
      <c r="C62" s="430"/>
      <c r="D62" s="431"/>
      <c r="E62" s="432"/>
      <c r="F62" s="433"/>
      <c r="G62" s="434"/>
      <c r="H62" s="458"/>
      <c r="I62" s="458"/>
      <c r="J62" s="451"/>
      <c r="K62" s="436"/>
      <c r="L62" s="452"/>
      <c r="M62" s="421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1:57" s="54" customFormat="1" ht="38.450000000000003" hidden="1" customHeight="1" thickBot="1">
      <c r="B63" s="480"/>
      <c r="C63" s="479"/>
      <c r="D63" s="442"/>
      <c r="E63" s="443"/>
      <c r="F63" s="444"/>
      <c r="G63" s="445"/>
      <c r="H63" s="458"/>
      <c r="I63" s="458"/>
      <c r="J63" s="448" t="s">
        <v>171</v>
      </c>
      <c r="K63" s="459"/>
      <c r="L63" s="457" t="e">
        <f>(((D63+E63)-G63)/(D63+E63))*100</f>
        <v>#DIV/0!</v>
      </c>
      <c r="M63" s="455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1:57" s="54" customFormat="1" ht="15" hidden="1">
      <c r="B64" s="453"/>
      <c r="C64" s="430"/>
      <c r="D64" s="431"/>
      <c r="E64" s="432"/>
      <c r="F64" s="433"/>
      <c r="G64" s="434"/>
      <c r="H64" s="435"/>
      <c r="I64" s="450"/>
      <c r="J64" s="451"/>
      <c r="K64" s="436"/>
      <c r="L64" s="452"/>
      <c r="M64" s="421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7.15" hidden="1" customHeight="1" thickBot="1">
      <c r="B65" s="480"/>
      <c r="C65" s="479"/>
      <c r="D65" s="442"/>
      <c r="E65" s="443"/>
      <c r="F65" s="444"/>
      <c r="G65" s="445"/>
      <c r="H65" s="446"/>
      <c r="I65" s="447"/>
      <c r="J65" s="448"/>
      <c r="K65" s="449"/>
      <c r="L65" s="457"/>
      <c r="M65" s="455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16.5" hidden="1" customHeight="1" thickBot="1">
      <c r="B66" s="437"/>
      <c r="C66" s="423"/>
      <c r="D66" s="424"/>
      <c r="E66" s="425"/>
      <c r="F66" s="426"/>
      <c r="G66" s="427"/>
      <c r="H66" s="428"/>
      <c r="I66" s="438"/>
      <c r="J66" s="439"/>
      <c r="K66" s="429"/>
      <c r="L66" s="440"/>
      <c r="M66" s="422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415"/>
      <c r="AC66" s="415"/>
      <c r="AD66" s="415"/>
      <c r="AE66" s="415"/>
      <c r="AF66" s="415"/>
      <c r="AG66" s="415"/>
      <c r="AH66" s="415"/>
      <c r="AI66" s="415"/>
      <c r="AJ66" s="415"/>
      <c r="AK66" s="415"/>
      <c r="AL66" s="415"/>
      <c r="AM66" s="415"/>
      <c r="AN66" s="415"/>
      <c r="AO66" s="415"/>
      <c r="AP66" s="415"/>
      <c r="AQ66" s="415"/>
      <c r="AR66" s="415"/>
      <c r="AS66" s="415"/>
      <c r="AT66" s="415"/>
      <c r="AU66" s="415"/>
      <c r="AV66" s="415"/>
      <c r="AW66" s="415"/>
    </row>
    <row r="67" spans="2:57" s="54" customFormat="1" ht="37.15" hidden="1" customHeight="1" thickBot="1">
      <c r="B67" s="456"/>
      <c r="C67" s="441"/>
      <c r="D67" s="442"/>
      <c r="E67" s="443"/>
      <c r="F67" s="444"/>
      <c r="G67" s="445"/>
      <c r="H67" s="446"/>
      <c r="I67" s="447"/>
      <c r="J67" s="448"/>
      <c r="K67" s="449"/>
      <c r="L67" s="457"/>
      <c r="M67" s="454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s="54" customFormat="1" ht="37.15" customHeight="1">
      <c r="B68" s="466"/>
      <c r="C68" s="430"/>
      <c r="D68" s="460"/>
      <c r="E68" s="461"/>
      <c r="F68" s="462"/>
      <c r="G68" s="460"/>
      <c r="H68" s="463"/>
      <c r="I68" s="463"/>
      <c r="J68" s="463"/>
      <c r="K68" s="464"/>
      <c r="L68" s="465"/>
      <c r="M68" s="50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277"/>
      <c r="AY68" s="277"/>
      <c r="AZ68" s="277"/>
      <c r="BA68" s="277"/>
      <c r="BB68" s="277"/>
      <c r="BC68" s="277"/>
      <c r="BD68" s="277"/>
      <c r="BE68" s="277"/>
    </row>
    <row r="69" spans="2:57" ht="18" customHeight="1" thickBot="1">
      <c r="B69" s="59"/>
      <c r="C69" s="30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 t="s">
        <v>41</v>
      </c>
      <c r="O69" s="56"/>
      <c r="P69" s="60"/>
    </row>
    <row r="70" spans="2:57" ht="15.75" thickBot="1">
      <c r="B70" s="498" t="s">
        <v>55</v>
      </c>
      <c r="C70" s="499"/>
      <c r="D70" s="499"/>
      <c r="E70" s="499"/>
      <c r="F70" s="500"/>
      <c r="G70" s="498" t="s">
        <v>56</v>
      </c>
      <c r="H70" s="499"/>
      <c r="I70" s="499"/>
      <c r="J70" s="500"/>
      <c r="K70" s="498" t="s">
        <v>51</v>
      </c>
      <c r="L70" s="499"/>
      <c r="M70" s="499"/>
      <c r="N70" s="501"/>
      <c r="O70" s="56"/>
      <c r="P70" s="50"/>
    </row>
    <row r="71" spans="2:57" ht="15">
      <c r="B71" s="61" t="s">
        <v>17</v>
      </c>
      <c r="C71" s="62" t="s">
        <v>36</v>
      </c>
      <c r="D71" s="62" t="s">
        <v>37</v>
      </c>
      <c r="E71" s="62" t="s">
        <v>38</v>
      </c>
      <c r="F71" s="63" t="s">
        <v>39</v>
      </c>
      <c r="G71" s="62" t="s">
        <v>36</v>
      </c>
      <c r="H71" s="62" t="s">
        <v>37</v>
      </c>
      <c r="I71" s="62" t="s">
        <v>38</v>
      </c>
      <c r="J71" s="63" t="s">
        <v>39</v>
      </c>
      <c r="K71" s="62"/>
      <c r="L71" s="62" t="s">
        <v>37</v>
      </c>
      <c r="M71" s="62" t="s">
        <v>38</v>
      </c>
      <c r="N71" s="63" t="s">
        <v>39</v>
      </c>
      <c r="O71" s="56"/>
      <c r="P71" s="64"/>
    </row>
    <row r="72" spans="2:57" ht="15">
      <c r="B72" s="29" t="s">
        <v>6</v>
      </c>
      <c r="C72" s="282"/>
      <c r="D72" s="76">
        <v>5.7801405787276705</v>
      </c>
      <c r="E72" s="76">
        <v>6.6309997672600804</v>
      </c>
      <c r="F72" s="66">
        <v>4.8</v>
      </c>
      <c r="G72" s="65"/>
      <c r="H72" s="477">
        <v>4.959115702218087</v>
      </c>
      <c r="I72" s="477">
        <v>6.3064148185752265</v>
      </c>
      <c r="J72" s="66">
        <v>4.8</v>
      </c>
      <c r="K72" s="67"/>
      <c r="L72" s="194">
        <v>0.88622482131254054</v>
      </c>
      <c r="M72" s="194">
        <v>0.51894093784726769</v>
      </c>
      <c r="N72" s="68">
        <v>1</v>
      </c>
      <c r="O72" s="56"/>
      <c r="P72" s="69"/>
    </row>
    <row r="73" spans="2:57" ht="15">
      <c r="B73" s="33" t="s">
        <v>9</v>
      </c>
      <c r="C73" s="65">
        <f>L59</f>
        <v>6.0216679264298261</v>
      </c>
      <c r="D73" s="76">
        <v>5.0820509908579874</v>
      </c>
      <c r="E73" s="76">
        <v>6.0381962328388186</v>
      </c>
      <c r="F73" s="66">
        <v>4.8</v>
      </c>
      <c r="G73" s="65">
        <f>[12]April_2026!$X$21</f>
        <v>5.1151245302217507</v>
      </c>
      <c r="H73" s="76">
        <v>4.1850647594467709</v>
      </c>
      <c r="I73" s="76">
        <v>5.7352072273261401</v>
      </c>
      <c r="J73" s="66">
        <v>4.8</v>
      </c>
      <c r="K73" s="67">
        <f>K59</f>
        <v>0.65438596491228074</v>
      </c>
      <c r="L73" s="194">
        <v>1.0770760233918131</v>
      </c>
      <c r="M73" s="194">
        <v>0.74373732819034111</v>
      </c>
      <c r="N73" s="68">
        <v>1</v>
      </c>
      <c r="P73" s="69"/>
    </row>
    <row r="74" spans="2:57" ht="15">
      <c r="B74" s="34" t="s">
        <v>40</v>
      </c>
      <c r="C74" s="65"/>
      <c r="D74" s="76"/>
      <c r="E74" s="76">
        <v>12.380135651360392</v>
      </c>
      <c r="F74" s="66">
        <v>5.5</v>
      </c>
      <c r="G74" s="483"/>
      <c r="H74" s="76"/>
      <c r="I74" s="76">
        <v>13.955538676690328</v>
      </c>
      <c r="J74" s="66">
        <v>5.5</v>
      </c>
      <c r="K74" s="67"/>
      <c r="L74" s="194"/>
      <c r="M74" s="194">
        <v>0.29450526315789471</v>
      </c>
      <c r="N74" s="68">
        <v>1</v>
      </c>
      <c r="P74" s="69"/>
    </row>
    <row r="75" spans="2:57" ht="15">
      <c r="B75" s="22" t="s">
        <v>33</v>
      </c>
      <c r="C75" s="65"/>
      <c r="D75" s="76"/>
      <c r="E75" s="76">
        <v>4.601418358346991</v>
      </c>
      <c r="F75" s="66">
        <v>3.3</v>
      </c>
      <c r="G75" s="65"/>
      <c r="H75" s="76"/>
      <c r="I75" s="76">
        <v>4.3274739720788533</v>
      </c>
      <c r="J75" s="66">
        <v>3.3</v>
      </c>
      <c r="K75" s="67"/>
      <c r="L75" s="194"/>
      <c r="M75" s="194">
        <v>0.8292543859649123</v>
      </c>
      <c r="N75" s="68">
        <v>1</v>
      </c>
      <c r="P75" s="69"/>
    </row>
    <row r="76" spans="2:57" ht="15">
      <c r="B76" s="35" t="s">
        <v>164</v>
      </c>
      <c r="C76" s="65"/>
      <c r="D76" s="76"/>
      <c r="E76" s="76"/>
      <c r="F76" s="66">
        <v>3.3</v>
      </c>
      <c r="G76" s="282"/>
      <c r="H76" s="76"/>
      <c r="I76" s="76"/>
      <c r="J76" s="66">
        <v>3</v>
      </c>
      <c r="K76" s="67"/>
      <c r="L76" s="194"/>
      <c r="M76" s="194"/>
      <c r="N76" s="68">
        <v>1</v>
      </c>
      <c r="P76" s="69"/>
    </row>
    <row r="77" spans="2:57" ht="15">
      <c r="B77" s="36" t="s">
        <v>15</v>
      </c>
      <c r="C77" s="65"/>
      <c r="D77" s="76"/>
      <c r="E77" s="76">
        <v>5.1105651105651271</v>
      </c>
      <c r="F77" s="70">
        <f>[15]May_2022!$M$43</f>
        <v>3.4878406700073312</v>
      </c>
      <c r="G77" s="282"/>
      <c r="H77" s="76"/>
      <c r="I77" s="76">
        <v>7.9131369535794072</v>
      </c>
      <c r="J77" s="66">
        <v>5.5</v>
      </c>
      <c r="K77" s="67"/>
      <c r="L77" s="194"/>
      <c r="M77" s="194">
        <v>1.3550877192982456</v>
      </c>
      <c r="N77" s="68">
        <v>1</v>
      </c>
      <c r="P77" s="69"/>
    </row>
    <row r="78" spans="2:57" ht="15">
      <c r="B78" s="37" t="s">
        <v>16</v>
      </c>
      <c r="C78" s="65"/>
      <c r="D78" s="76"/>
      <c r="E78" s="76">
        <v>3.9654240950837312</v>
      </c>
      <c r="F78" s="66">
        <v>3.3</v>
      </c>
      <c r="G78" s="282"/>
      <c r="H78" s="76"/>
      <c r="I78" s="76">
        <v>5.0010391616318897</v>
      </c>
      <c r="J78" s="66">
        <v>3.3</v>
      </c>
      <c r="K78" s="67"/>
      <c r="L78" s="194"/>
      <c r="M78" s="194">
        <v>0.93295906432748543</v>
      </c>
      <c r="N78" s="71">
        <v>1</v>
      </c>
      <c r="P78" s="69"/>
    </row>
    <row r="79" spans="2:57" ht="15.75" thickBot="1">
      <c r="B79" s="38" t="s">
        <v>163</v>
      </c>
      <c r="C79" s="65"/>
      <c r="D79" s="76"/>
      <c r="E79" s="76"/>
      <c r="F79" s="66">
        <v>7.5</v>
      </c>
      <c r="G79" s="282"/>
      <c r="H79" s="76"/>
      <c r="I79" s="76"/>
      <c r="J79" s="66">
        <v>7.5</v>
      </c>
      <c r="K79" s="67"/>
      <c r="L79" s="194"/>
      <c r="M79" s="194"/>
      <c r="N79" s="71">
        <v>1</v>
      </c>
      <c r="P79" s="69"/>
    </row>
    <row r="80" spans="2:57" ht="15.75" thickBot="1">
      <c r="B80" s="414" t="s">
        <v>161</v>
      </c>
      <c r="C80" s="65"/>
      <c r="D80" s="76"/>
      <c r="E80" s="76"/>
      <c r="F80" s="66">
        <v>4.8</v>
      </c>
      <c r="G80" s="282"/>
      <c r="H80" s="76"/>
      <c r="I80" s="76"/>
      <c r="J80" s="66">
        <v>4.8</v>
      </c>
      <c r="K80" s="67"/>
      <c r="L80" s="194"/>
      <c r="M80" s="194"/>
      <c r="N80" s="71">
        <v>1</v>
      </c>
      <c r="O80" s="74"/>
      <c r="P80" s="75"/>
    </row>
    <row r="81" spans="4:14" ht="15">
      <c r="D81" s="76">
        <v>5.510758578377688</v>
      </c>
      <c r="E81" s="76">
        <v>6.4225911093998871</v>
      </c>
      <c r="F81" s="341">
        <v>5.5</v>
      </c>
      <c r="H81" s="76">
        <v>4.7607823848260367</v>
      </c>
      <c r="I81" s="76">
        <v>6.468573592873847</v>
      </c>
      <c r="J81" s="341">
        <v>5.5</v>
      </c>
      <c r="L81" s="194">
        <v>0.93393762183235862</v>
      </c>
      <c r="M81" s="194">
        <v>0.60506688871301073</v>
      </c>
      <c r="N81" s="386">
        <v>1</v>
      </c>
    </row>
  </sheetData>
  <mergeCells count="51">
    <mergeCell ref="M57:M58"/>
    <mergeCell ref="B70:F70"/>
    <mergeCell ref="G70:J70"/>
    <mergeCell ref="K70:N70"/>
    <mergeCell ref="G57:G58"/>
    <mergeCell ref="H57:H58"/>
    <mergeCell ref="I57:I58"/>
    <mergeCell ref="J57:J58"/>
    <mergeCell ref="K57:K58"/>
    <mergeCell ref="L57:L58"/>
    <mergeCell ref="F57:F58"/>
    <mergeCell ref="D52:E52"/>
    <mergeCell ref="B57:B58"/>
    <mergeCell ref="C57:C58"/>
    <mergeCell ref="D57:D58"/>
    <mergeCell ref="E57:E58"/>
    <mergeCell ref="B42:B51"/>
    <mergeCell ref="D42:E43"/>
    <mergeCell ref="J42:K42"/>
    <mergeCell ref="L43:N43"/>
    <mergeCell ref="D44:E45"/>
    <mergeCell ref="D46:E47"/>
    <mergeCell ref="D48:E49"/>
    <mergeCell ref="D50:E51"/>
    <mergeCell ref="I28:N28"/>
    <mergeCell ref="D29:E29"/>
    <mergeCell ref="B30:B41"/>
    <mergeCell ref="D30:E31"/>
    <mergeCell ref="D32:E33"/>
    <mergeCell ref="D34:E35"/>
    <mergeCell ref="D36:E37"/>
    <mergeCell ref="D38:E39"/>
    <mergeCell ref="D40:E41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2:B53">
    <cfRule type="cellIs" dxfId="1378" priority="111" operator="notBetween">
      <formula>#REF!</formula>
      <formula>#REF!</formula>
    </cfRule>
  </conditionalFormatting>
  <conditionalFormatting sqref="C56">
    <cfRule type="cellIs" dxfId="1377" priority="205" stopIfTrue="1" operator="lessThan">
      <formula>96</formula>
    </cfRule>
    <cfRule type="cellIs" dxfId="1376" priority="206" stopIfTrue="1" operator="greaterThan">
      <formula>100</formula>
    </cfRule>
  </conditionalFormatting>
  <conditionalFormatting sqref="C72:C76">
    <cfRule type="cellIs" dxfId="1375" priority="174" stopIfTrue="1" operator="lessThanOrEqual">
      <formula>0</formula>
    </cfRule>
  </conditionalFormatting>
  <conditionalFormatting sqref="C72:C80">
    <cfRule type="cellIs" dxfId="1374" priority="173" stopIfTrue="1" operator="greaterThan">
      <formula>$F72</formula>
    </cfRule>
  </conditionalFormatting>
  <conditionalFormatting sqref="C73">
    <cfRule type="cellIs" dxfId="1373" priority="207" stopIfTrue="1" operator="greaterThan">
      <formula>$F72</formula>
    </cfRule>
  </conditionalFormatting>
  <conditionalFormatting sqref="C77">
    <cfRule type="cellIs" dxfId="1372" priority="136" stopIfTrue="1" operator="greaterThan">
      <formula>$F76</formula>
    </cfRule>
    <cfRule type="cellIs" dxfId="1371" priority="135" stopIfTrue="1" operator="lessThanOrEqual">
      <formula>0</formula>
    </cfRule>
  </conditionalFormatting>
  <conditionalFormatting sqref="C78:C80">
    <cfRule type="cellIs" dxfId="1370" priority="175" stopIfTrue="1" operator="lessThanOrEqual">
      <formula>0</formula>
    </cfRule>
  </conditionalFormatting>
  <conditionalFormatting sqref="C83:C87">
    <cfRule type="cellIs" dxfId="1369" priority="197" stopIfTrue="1" operator="lessThanOrEqual">
      <formula>0</formula>
    </cfRule>
  </conditionalFormatting>
  <conditionalFormatting sqref="C84:C87">
    <cfRule type="cellIs" dxfId="1368" priority="196" stopIfTrue="1" operator="greaterThan">
      <formula>$F$83</formula>
    </cfRule>
  </conditionalFormatting>
  <conditionalFormatting sqref="C89">
    <cfRule type="cellIs" dxfId="1367" priority="198" stopIfTrue="1" operator="greaterThan">
      <formula>$F$83</formula>
    </cfRule>
    <cfRule type="cellIs" dxfId="1366" priority="199" stopIfTrue="1" operator="lessThanOrEqual">
      <formula>0</formula>
    </cfRule>
  </conditionalFormatting>
  <conditionalFormatting sqref="C83:D83 D85:D91">
    <cfRule type="cellIs" dxfId="1365" priority="191" stopIfTrue="1" operator="greaterThan">
      <formula>4.5</formula>
    </cfRule>
  </conditionalFormatting>
  <conditionalFormatting sqref="D52:D53">
    <cfRule type="cellIs" dxfId="1364" priority="112" operator="notBetween">
      <formula>#REF!</formula>
      <formula>#REF!</formula>
    </cfRule>
  </conditionalFormatting>
  <conditionalFormatting sqref="D72:D79">
    <cfRule type="cellIs" dxfId="1363" priority="86" stopIfTrue="1" operator="lessThanOrEqual">
      <formula>0</formula>
    </cfRule>
  </conditionalFormatting>
  <conditionalFormatting sqref="D72:D81">
    <cfRule type="cellIs" dxfId="1362" priority="65" stopIfTrue="1" operator="lessThanOrEqual">
      <formula>0</formula>
    </cfRule>
  </conditionalFormatting>
  <conditionalFormatting sqref="D80">
    <cfRule type="cellIs" dxfId="1361" priority="85" stopIfTrue="1" operator="lessThanOrEqual">
      <formula>0</formula>
    </cfRule>
  </conditionalFormatting>
  <conditionalFormatting sqref="D81">
    <cfRule type="cellIs" dxfId="1360" priority="80" stopIfTrue="1" operator="lessThanOrEqual">
      <formula>0</formula>
    </cfRule>
  </conditionalFormatting>
  <conditionalFormatting sqref="D83 D85:D91">
    <cfRule type="cellIs" dxfId="1359" priority="192" stopIfTrue="1" operator="lessThanOrEqual">
      <formula>0</formula>
    </cfRule>
  </conditionalFormatting>
  <conditionalFormatting sqref="D84">
    <cfRule type="cellIs" dxfId="1358" priority="184" stopIfTrue="1" operator="lessThanOrEqual">
      <formula>0</formula>
    </cfRule>
    <cfRule type="cellIs" dxfId="1357" priority="183" stopIfTrue="1" operator="greaterThan">
      <formula>$F$83</formula>
    </cfRule>
  </conditionalFormatting>
  <conditionalFormatting sqref="D72:E81">
    <cfRule type="cellIs" dxfId="1356" priority="67" stopIfTrue="1" operator="greaterThan">
      <formula>$F72</formula>
    </cfRule>
  </conditionalFormatting>
  <conditionalFormatting sqref="D81:E81">
    <cfRule type="cellIs" dxfId="1355" priority="69" stopIfTrue="1" operator="lessThanOrEqual">
      <formula>0</formula>
    </cfRule>
  </conditionalFormatting>
  <conditionalFormatting sqref="E10:E27">
    <cfRule type="cellIs" dxfId="1354" priority="7" operator="lessThan">
      <formula>48</formula>
    </cfRule>
  </conditionalFormatting>
  <conditionalFormatting sqref="E55 E56:F56">
    <cfRule type="cellIs" dxfId="1353" priority="188" stopIfTrue="1" operator="greaterThan">
      <formula>100</formula>
    </cfRule>
  </conditionalFormatting>
  <conditionalFormatting sqref="E56">
    <cfRule type="cellIs" dxfId="1352" priority="185" stopIfTrue="1" operator="lessThan">
      <formula>96.8</formula>
    </cfRule>
    <cfRule type="cellIs" dxfId="1351" priority="186" stopIfTrue="1" operator="greaterThan">
      <formula>100</formula>
    </cfRule>
  </conditionalFormatting>
  <conditionalFormatting sqref="E72:E80">
    <cfRule type="cellIs" dxfId="1350" priority="66" stopIfTrue="1" operator="lessThanOrEqual">
      <formula>0</formula>
    </cfRule>
  </conditionalFormatting>
  <conditionalFormatting sqref="E72:E81">
    <cfRule type="cellIs" dxfId="1349" priority="68" stopIfTrue="1" operator="lessThanOrEqual">
      <formula>0</formula>
    </cfRule>
  </conditionalFormatting>
  <conditionalFormatting sqref="E83:E91">
    <cfRule type="cellIs" dxfId="1348" priority="177" stopIfTrue="1" operator="greaterThan">
      <formula>4.5</formula>
    </cfRule>
    <cfRule type="cellIs" dxfId="1347" priority="178" stopIfTrue="1" operator="lessThanOrEqual">
      <formula>0</formula>
    </cfRule>
  </conditionalFormatting>
  <conditionalFormatting sqref="E56:F56 E55">
    <cfRule type="cellIs" dxfId="1346" priority="187" stopIfTrue="1" operator="lessThan">
      <formula>96.5</formula>
    </cfRule>
  </conditionalFormatting>
  <conditionalFormatting sqref="F19">
    <cfRule type="cellIs" dxfId="1345" priority="11" operator="greaterThan">
      <formula>60</formula>
    </cfRule>
  </conditionalFormatting>
  <conditionalFormatting sqref="F21:F27">
    <cfRule type="cellIs" dxfId="1344" priority="59" operator="greaterThan">
      <formula>60</formula>
    </cfRule>
  </conditionalFormatting>
  <conditionalFormatting sqref="F56">
    <cfRule type="cellIs" dxfId="1343" priority="203" stopIfTrue="1" operator="lessThan">
      <formula>96.8</formula>
    </cfRule>
    <cfRule type="cellIs" dxfId="1342" priority="204" stopIfTrue="1" operator="greaterThan">
      <formula>100</formula>
    </cfRule>
  </conditionalFormatting>
  <conditionalFormatting sqref="F81">
    <cfRule type="cellIs" dxfId="1341" priority="84" stopIfTrue="1" operator="lessThanOrEqual">
      <formula>0</formula>
    </cfRule>
    <cfRule type="cellIs" dxfId="1340" priority="83" stopIfTrue="1" operator="greaterThan">
      <formula>$F81</formula>
    </cfRule>
  </conditionalFormatting>
  <conditionalFormatting sqref="G10:G27">
    <cfRule type="expression" dxfId="1339" priority="8">
      <formula>IF(+(IF(G10&lt;S10,0,IF(G10&gt;T10,0,1)))=0,1)</formula>
    </cfRule>
  </conditionalFormatting>
  <conditionalFormatting sqref="G72:G73">
    <cfRule type="cellIs" dxfId="1338" priority="82" stopIfTrue="1" operator="lessThanOrEqual">
      <formula>0</formula>
    </cfRule>
    <cfRule type="cellIs" dxfId="1337" priority="81" stopIfTrue="1" operator="greaterThan">
      <formula>$F72</formula>
    </cfRule>
    <cfRule type="cellIs" dxfId="1336" priority="88" stopIfTrue="1" operator="lessThanOrEqual">
      <formula>0</formula>
    </cfRule>
    <cfRule type="cellIs" dxfId="1335" priority="87" stopIfTrue="1" operator="greaterThan">
      <formula>$F72</formula>
    </cfRule>
  </conditionalFormatting>
  <conditionalFormatting sqref="G74">
    <cfRule type="containsErrors" dxfId="1334" priority="60" stopIfTrue="1">
      <formula>ISERROR(G74)</formula>
    </cfRule>
  </conditionalFormatting>
  <conditionalFormatting sqref="G75">
    <cfRule type="cellIs" dxfId="1333" priority="75" stopIfTrue="1" operator="greaterThan">
      <formula>$F75</formula>
    </cfRule>
    <cfRule type="cellIs" dxfId="1332" priority="73" stopIfTrue="1" operator="greaterThan">
      <formula>$F75</formula>
    </cfRule>
    <cfRule type="cellIs" dxfId="1331" priority="74" stopIfTrue="1" operator="lessThanOrEqual">
      <formula>0</formula>
    </cfRule>
    <cfRule type="cellIs" dxfId="1330" priority="76" stopIfTrue="1" operator="lessThanOrEqual">
      <formula>0</formula>
    </cfRule>
  </conditionalFormatting>
  <conditionalFormatting sqref="G76:G80">
    <cfRule type="cellIs" dxfId="1329" priority="90" stopIfTrue="1" operator="lessThanOrEqual">
      <formula>0</formula>
    </cfRule>
    <cfRule type="cellIs" dxfId="1328" priority="89" stopIfTrue="1" operator="greaterThan">
      <formula>$J76</formula>
    </cfRule>
  </conditionalFormatting>
  <conditionalFormatting sqref="G85:G90 C88 C90">
    <cfRule type="cellIs" dxfId="1327" priority="200" stopIfTrue="1" operator="greaterThan">
      <formula>4.5</formula>
    </cfRule>
    <cfRule type="cellIs" dxfId="1326" priority="201" stopIfTrue="1" operator="lessThanOrEqual">
      <formula>0</formula>
    </cfRule>
  </conditionalFormatting>
  <conditionalFormatting sqref="G84:H84">
    <cfRule type="cellIs" dxfId="1325" priority="181" stopIfTrue="1" operator="greaterThan">
      <formula>$F$83</formula>
    </cfRule>
    <cfRule type="cellIs" dxfId="1324" priority="182" stopIfTrue="1" operator="lessThanOrEqual">
      <formula>0</formula>
    </cfRule>
  </conditionalFormatting>
  <conditionalFormatting sqref="H10:H27 M19:N24">
    <cfRule type="expression" dxfId="1323" priority="12">
      <formula>IF(+(IF(H10&lt;#REF!,0,IF(H10&gt;#REF!,0,1)))=0,1)</formula>
    </cfRule>
  </conditionalFormatting>
  <conditionalFormatting sqref="H41:H42 H55">
    <cfRule type="cellIs" dxfId="1322" priority="179" stopIfTrue="1" operator="greaterThan">
      <formula>0</formula>
    </cfRule>
  </conditionalFormatting>
  <conditionalFormatting sqref="H59">
    <cfRule type="cellIs" dxfId="1321" priority="48" stopIfTrue="1" operator="lessThanOrEqual">
      <formula>0</formula>
    </cfRule>
    <cfRule type="cellIs" dxfId="1320" priority="36" stopIfTrue="1" operator="lessThanOrEqual">
      <formula>0</formula>
    </cfRule>
    <cfRule type="cellIs" dxfId="1319" priority="37" stopIfTrue="1" operator="greaterThan">
      <formula>$F$64</formula>
    </cfRule>
    <cfRule type="cellIs" dxfId="1318" priority="45" stopIfTrue="1" operator="greaterThan">
      <formula>$F$67</formula>
    </cfRule>
    <cfRule type="cellIs" dxfId="1317" priority="46" stopIfTrue="1" operator="lessThanOrEqual">
      <formula>0</formula>
    </cfRule>
    <cfRule type="cellIs" dxfId="1316" priority="47" stopIfTrue="1" operator="greaterThan">
      <formula>$F$65</formula>
    </cfRule>
  </conditionalFormatting>
  <conditionalFormatting sqref="H60:H63">
    <cfRule type="cellIs" dxfId="1315" priority="94" stopIfTrue="1" operator="lessThanOrEqual">
      <formula>0</formula>
    </cfRule>
    <cfRule type="cellIs" dxfId="1314" priority="103" stopIfTrue="1" operator="greaterThan">
      <formula>$F$75</formula>
    </cfRule>
    <cfRule type="cellIs" dxfId="1313" priority="104" stopIfTrue="1" operator="lessThanOrEqual">
      <formula>0</formula>
    </cfRule>
    <cfRule type="cellIs" dxfId="1312" priority="105" stopIfTrue="1" operator="greaterThan">
      <formula>$F$73</formula>
    </cfRule>
    <cfRule type="cellIs" dxfId="1311" priority="106" stopIfTrue="1" operator="lessThanOrEqual">
      <formula>0</formula>
    </cfRule>
    <cfRule type="cellIs" dxfId="1310" priority="95" stopIfTrue="1" operator="greaterThan">
      <formula>$F$72</formula>
    </cfRule>
  </conditionalFormatting>
  <conditionalFormatting sqref="H64:H65">
    <cfRule type="cellIs" dxfId="1309" priority="149" stopIfTrue="1" operator="greaterThan">
      <formula>#REF!</formula>
    </cfRule>
    <cfRule type="cellIs" dxfId="1308" priority="147" stopIfTrue="1" operator="greaterThan">
      <formula>$F$27</formula>
    </cfRule>
    <cfRule type="cellIs" dxfId="1307" priority="150" stopIfTrue="1" operator="lessThanOrEqual">
      <formula>0</formula>
    </cfRule>
    <cfRule type="cellIs" dxfId="1306" priority="139" stopIfTrue="1" operator="greaterThan">
      <formula>#REF!</formula>
    </cfRule>
    <cfRule type="cellIs" dxfId="1305" priority="138" stopIfTrue="1" operator="lessThanOrEqual">
      <formula>0</formula>
    </cfRule>
    <cfRule type="cellIs" dxfId="1304" priority="148" stopIfTrue="1" operator="lessThanOrEqual">
      <formula>0</formula>
    </cfRule>
  </conditionalFormatting>
  <conditionalFormatting sqref="H66">
    <cfRule type="cellIs" dxfId="1303" priority="164" stopIfTrue="1" operator="lessThanOrEqual">
      <formula>0</formula>
    </cfRule>
    <cfRule type="cellIs" dxfId="1302" priority="161" stopIfTrue="1" operator="greaterThan">
      <formula>$F$43</formula>
    </cfRule>
    <cfRule type="cellIs" dxfId="1301" priority="153" stopIfTrue="1" operator="greaterThan">
      <formula>$F$40</formula>
    </cfRule>
    <cfRule type="cellIs" dxfId="1300" priority="152" stopIfTrue="1" operator="lessThanOrEqual">
      <formula>0</formula>
    </cfRule>
    <cfRule type="cellIs" dxfId="1299" priority="162" stopIfTrue="1" operator="lessThanOrEqual">
      <formula>0</formula>
    </cfRule>
    <cfRule type="cellIs" dxfId="1298" priority="163" stopIfTrue="1" operator="greaterThan">
      <formula>$F$41</formula>
    </cfRule>
  </conditionalFormatting>
  <conditionalFormatting sqref="H67:H68">
    <cfRule type="cellIs" dxfId="1297" priority="133" stopIfTrue="1" operator="greaterThan">
      <formula>#REF!</formula>
    </cfRule>
    <cfRule type="cellIs" dxfId="1296" priority="132" stopIfTrue="1" operator="lessThanOrEqual">
      <formula>0</formula>
    </cfRule>
    <cfRule type="cellIs" dxfId="1295" priority="134" stopIfTrue="1" operator="lessThanOrEqual">
      <formula>0</formula>
    </cfRule>
    <cfRule type="cellIs" dxfId="1294" priority="123" stopIfTrue="1" operator="greaterThan">
      <formula>#REF!</formula>
    </cfRule>
    <cfRule type="cellIs" dxfId="1293" priority="131" stopIfTrue="1" operator="greaterThan">
      <formula>$F$27</formula>
    </cfRule>
    <cfRule type="cellIs" dxfId="1292" priority="122" stopIfTrue="1" operator="lessThanOrEqual">
      <formula>0</formula>
    </cfRule>
  </conditionalFormatting>
  <conditionalFormatting sqref="H83 H85:H91">
    <cfRule type="cellIs" dxfId="1291" priority="193" stopIfTrue="1" operator="greaterThan">
      <formula>4.5</formula>
    </cfRule>
    <cfRule type="cellIs" dxfId="1290" priority="194" stopIfTrue="1" operator="lessThanOrEqual">
      <formula>0</formula>
    </cfRule>
  </conditionalFormatting>
  <conditionalFormatting sqref="H59:I59">
    <cfRule type="cellIs" dxfId="1289" priority="38" stopIfTrue="1" operator="lessThanOrEqual">
      <formula>0</formula>
    </cfRule>
    <cfRule type="cellIs" dxfId="1288" priority="35" stopIfTrue="1" operator="greaterThan">
      <formula>$F$66</formula>
    </cfRule>
  </conditionalFormatting>
  <conditionalFormatting sqref="H60:I63">
    <cfRule type="cellIs" dxfId="1287" priority="93" stopIfTrue="1" operator="greaterThan">
      <formula>$F$74</formula>
    </cfRule>
    <cfRule type="cellIs" dxfId="1286" priority="96" stopIfTrue="1" operator="lessThanOrEqual">
      <formula>0</formula>
    </cfRule>
  </conditionalFormatting>
  <conditionalFormatting sqref="H64:I65">
    <cfRule type="cellIs" dxfId="1285" priority="137" stopIfTrue="1" operator="greaterThan">
      <formula>#REF!</formula>
    </cfRule>
    <cfRule type="cellIs" dxfId="1284" priority="140" stopIfTrue="1" operator="lessThanOrEqual">
      <formula>0</formula>
    </cfRule>
  </conditionalFormatting>
  <conditionalFormatting sqref="H66:I66">
    <cfRule type="cellIs" dxfId="1283" priority="154" stopIfTrue="1" operator="lessThanOrEqual">
      <formula>0</formula>
    </cfRule>
    <cfRule type="cellIs" dxfId="1282" priority="151" stopIfTrue="1" operator="greaterThan">
      <formula>$F$42</formula>
    </cfRule>
  </conditionalFormatting>
  <conditionalFormatting sqref="H67:I68">
    <cfRule type="cellIs" dxfId="1281" priority="121" stopIfTrue="1" operator="greaterThan">
      <formula>#REF!</formula>
    </cfRule>
    <cfRule type="cellIs" dxfId="1280" priority="124" stopIfTrue="1" operator="lessThanOrEqual">
      <formula>0</formula>
    </cfRule>
  </conditionalFormatting>
  <conditionalFormatting sqref="H72:I79">
    <cfRule type="cellIs" dxfId="1279" priority="63" stopIfTrue="1" operator="greaterThan">
      <formula>$J72</formula>
    </cfRule>
    <cfRule type="cellIs" dxfId="1278" priority="64" stopIfTrue="1" operator="lessThanOrEqual">
      <formula>0</formula>
    </cfRule>
  </conditionalFormatting>
  <conditionalFormatting sqref="H80:I80">
    <cfRule type="cellIs" dxfId="1277" priority="72" operator="greaterThan">
      <formula>5.3</formula>
    </cfRule>
  </conditionalFormatting>
  <conditionalFormatting sqref="H81:I81">
    <cfRule type="cellIs" dxfId="1276" priority="70" stopIfTrue="1" operator="greaterThan">
      <formula>$J81</formula>
    </cfRule>
    <cfRule type="cellIs" dxfId="1275" priority="71" stopIfTrue="1" operator="lessThanOrEqual">
      <formula>0</formula>
    </cfRule>
  </conditionalFormatting>
  <conditionalFormatting sqref="I59">
    <cfRule type="cellIs" dxfId="1274" priority="43" stopIfTrue="1" operator="greaterThan">
      <formula>$F$64</formula>
    </cfRule>
    <cfRule type="cellIs" dxfId="1273" priority="44" stopIfTrue="1" operator="lessThanOrEqual">
      <formula>0</formula>
    </cfRule>
    <cfRule type="cellIs" dxfId="1272" priority="39" stopIfTrue="1" operator="greaterThan">
      <formula>$F$64</formula>
    </cfRule>
    <cfRule type="cellIs" dxfId="1271" priority="40" stopIfTrue="1" operator="lessThanOrEqual">
      <formula>0</formula>
    </cfRule>
    <cfRule type="cellIs" dxfId="1270" priority="41" stopIfTrue="1" operator="greaterThan">
      <formula>$F$66</formula>
    </cfRule>
    <cfRule type="cellIs" dxfId="1269" priority="42" stopIfTrue="1" operator="lessThanOrEqual">
      <formula>0</formula>
    </cfRule>
  </conditionalFormatting>
  <conditionalFormatting sqref="I60:I63">
    <cfRule type="cellIs" dxfId="1268" priority="99" stopIfTrue="1" operator="greaterThan">
      <formula>$F$74</formula>
    </cfRule>
    <cfRule type="cellIs" dxfId="1267" priority="98" stopIfTrue="1" operator="lessThanOrEqual">
      <formula>0</formula>
    </cfRule>
    <cfRule type="cellIs" dxfId="1266" priority="97" stopIfTrue="1" operator="greaterThan">
      <formula>$F$72</formula>
    </cfRule>
    <cfRule type="cellIs" dxfId="1265" priority="100" stopIfTrue="1" operator="lessThanOrEqual">
      <formula>0</formula>
    </cfRule>
    <cfRule type="cellIs" dxfId="1264" priority="101" stopIfTrue="1" operator="greaterThan">
      <formula>$F$72</formula>
    </cfRule>
    <cfRule type="cellIs" dxfId="1263" priority="102" stopIfTrue="1" operator="lessThanOrEqual">
      <formula>0</formula>
    </cfRule>
  </conditionalFormatting>
  <conditionalFormatting sqref="I64:I65">
    <cfRule type="cellIs" dxfId="1262" priority="143" stopIfTrue="1" operator="greaterThan">
      <formula>#REF!</formula>
    </cfRule>
    <cfRule type="cellIs" dxfId="1261" priority="144" stopIfTrue="1" operator="lessThanOrEqual">
      <formula>0</formula>
    </cfRule>
    <cfRule type="cellIs" dxfId="1260" priority="145" stopIfTrue="1" operator="greaterThan">
      <formula>#REF!</formula>
    </cfRule>
    <cfRule type="cellIs" dxfId="1259" priority="146" stopIfTrue="1" operator="lessThanOrEqual">
      <formula>0</formula>
    </cfRule>
    <cfRule type="cellIs" dxfId="1258" priority="142" stopIfTrue="1" operator="lessThanOrEqual">
      <formula>0</formula>
    </cfRule>
    <cfRule type="cellIs" dxfId="1257" priority="141" stopIfTrue="1" operator="greaterThan">
      <formula>#REF!</formula>
    </cfRule>
  </conditionalFormatting>
  <conditionalFormatting sqref="I66">
    <cfRule type="cellIs" dxfId="1256" priority="159" stopIfTrue="1" operator="greaterThan">
      <formula>$F$40</formula>
    </cfRule>
    <cfRule type="cellIs" dxfId="1255" priority="155" stopIfTrue="1" operator="greaterThan">
      <formula>$F$40</formula>
    </cfRule>
    <cfRule type="cellIs" dxfId="1254" priority="156" stopIfTrue="1" operator="lessThanOrEqual">
      <formula>0</formula>
    </cfRule>
    <cfRule type="cellIs" dxfId="1253" priority="157" stopIfTrue="1" operator="greaterThan">
      <formula>$F$42</formula>
    </cfRule>
    <cfRule type="cellIs" dxfId="1252" priority="158" stopIfTrue="1" operator="lessThanOrEqual">
      <formula>0</formula>
    </cfRule>
    <cfRule type="cellIs" dxfId="1251" priority="160" stopIfTrue="1" operator="lessThanOrEqual">
      <formula>0</formula>
    </cfRule>
  </conditionalFormatting>
  <conditionalFormatting sqref="I67:I68">
    <cfRule type="cellIs" dxfId="1250" priority="125" stopIfTrue="1" operator="greaterThan">
      <formula>#REF!</formula>
    </cfRule>
    <cfRule type="cellIs" dxfId="1249" priority="130" stopIfTrue="1" operator="lessThanOrEqual">
      <formula>0</formula>
    </cfRule>
    <cfRule type="cellIs" dxfId="1248" priority="129" stopIfTrue="1" operator="greaterThan">
      <formula>#REF!</formula>
    </cfRule>
    <cfRule type="cellIs" dxfId="1247" priority="128" stopIfTrue="1" operator="lessThanOrEqual">
      <formula>0</formula>
    </cfRule>
    <cfRule type="cellIs" dxfId="1246" priority="127" stopIfTrue="1" operator="greaterThan">
      <formula>#REF!</formula>
    </cfRule>
    <cfRule type="cellIs" dxfId="1245" priority="126" stopIfTrue="1" operator="lessThanOrEqual">
      <formula>0</formula>
    </cfRule>
  </conditionalFormatting>
  <conditionalFormatting sqref="I83:I91">
    <cfRule type="cellIs" dxfId="1244" priority="190" stopIfTrue="1" operator="lessThanOrEqual">
      <formula>0</formula>
    </cfRule>
    <cfRule type="cellIs" dxfId="1243" priority="189" stopIfTrue="1" operator="greaterThan">
      <formula>4.5</formula>
    </cfRule>
  </conditionalFormatting>
  <conditionalFormatting sqref="I10:J27">
    <cfRule type="cellIs" dxfId="1242" priority="1" operator="lessThan">
      <formula>97.9</formula>
    </cfRule>
  </conditionalFormatting>
  <conditionalFormatting sqref="J30">
    <cfRule type="cellIs" dxfId="1241" priority="92" operator="lessThan">
      <formula>97.95</formula>
    </cfRule>
  </conditionalFormatting>
  <conditionalFormatting sqref="J32">
    <cfRule type="cellIs" dxfId="1240" priority="166" stopIfTrue="1" operator="lessThan">
      <formula>96.8</formula>
    </cfRule>
    <cfRule type="cellIs" dxfId="1239" priority="167" stopIfTrue="1" operator="greaterThan">
      <formula>100</formula>
    </cfRule>
    <cfRule type="cellIs" dxfId="1238" priority="168" operator="lessThan">
      <formula>98</formula>
    </cfRule>
  </conditionalFormatting>
  <conditionalFormatting sqref="J32:J34">
    <cfRule type="cellIs" dxfId="1237" priority="165" operator="lessThan">
      <formula>97.4</formula>
    </cfRule>
  </conditionalFormatting>
  <conditionalFormatting sqref="J35:J36">
    <cfRule type="cellIs" dxfId="1236" priority="169" operator="lessThan">
      <formula>98</formula>
    </cfRule>
  </conditionalFormatting>
  <conditionalFormatting sqref="J37:J38">
    <cfRule type="cellIs" dxfId="1235" priority="171" stopIfTrue="1" operator="greaterThan">
      <formula>100</formula>
    </cfRule>
    <cfRule type="cellIs" dxfId="1234" priority="170" stopIfTrue="1" operator="lessThan">
      <formula>96.8</formula>
    </cfRule>
  </conditionalFormatting>
  <conditionalFormatting sqref="J37:J39">
    <cfRule type="cellIs" dxfId="1233" priority="172" operator="lessThan">
      <formula>98</formula>
    </cfRule>
  </conditionalFormatting>
  <conditionalFormatting sqref="J68">
    <cfRule type="cellIs" dxfId="1232" priority="114" stopIfTrue="1" operator="lessThanOrEqual">
      <formula>0</formula>
    </cfRule>
    <cfRule type="cellIs" dxfId="1231" priority="119" stopIfTrue="1" operator="greaterThan">
      <formula>#REF!</formula>
    </cfRule>
    <cfRule type="cellIs" dxfId="1230" priority="118" stopIfTrue="1" operator="lessThanOrEqual">
      <formula>0</formula>
    </cfRule>
    <cfRule type="cellIs" dxfId="1229" priority="117" stopIfTrue="1" operator="greaterThan">
      <formula>#REF!</formula>
    </cfRule>
    <cfRule type="cellIs" dxfId="1228" priority="115" stopIfTrue="1" operator="greaterThan">
      <formula>#REF!</formula>
    </cfRule>
    <cfRule type="cellIs" dxfId="1227" priority="113" stopIfTrue="1" operator="greaterThan">
      <formula>#REF!</formula>
    </cfRule>
    <cfRule type="cellIs" dxfId="1226" priority="116" stopIfTrue="1" operator="lessThanOrEqual">
      <formula>0</formula>
    </cfRule>
    <cfRule type="cellIs" dxfId="1225" priority="120" stopIfTrue="1" operator="lessThanOrEqual">
      <formula>0</formula>
    </cfRule>
  </conditionalFormatting>
  <conditionalFormatting sqref="J81">
    <cfRule type="cellIs" dxfId="1224" priority="77" stopIfTrue="1" operator="greaterThan">
      <formula>$F81</formula>
    </cfRule>
    <cfRule type="cellIs" dxfId="1223" priority="78" stopIfTrue="1" operator="lessThanOrEqual">
      <formula>0</formula>
    </cfRule>
  </conditionalFormatting>
  <conditionalFormatting sqref="K10:K27">
    <cfRule type="cellIs" dxfId="1222" priority="3" operator="lessThan">
      <formula>4</formula>
    </cfRule>
    <cfRule type="cellIs" dxfId="1221" priority="2" operator="greaterThan">
      <formula>6</formula>
    </cfRule>
    <cfRule type="cellIs" dxfId="1220" priority="4" operator="greaterThan">
      <formula>6.4</formula>
    </cfRule>
  </conditionalFormatting>
  <conditionalFormatting sqref="K59:K68">
    <cfRule type="cellIs" dxfId="1219" priority="107" stopIfTrue="1" operator="lessThan">
      <formula>100%</formula>
    </cfRule>
  </conditionalFormatting>
  <conditionalFormatting sqref="K83:K88">
    <cfRule type="cellIs" dxfId="1218" priority="195" stopIfTrue="1" operator="lessThan">
      <formula>100%</formula>
    </cfRule>
  </conditionalFormatting>
  <conditionalFormatting sqref="K90:K91">
    <cfRule type="cellIs" dxfId="1217" priority="202" stopIfTrue="1" operator="lessThan">
      <formula>100%</formula>
    </cfRule>
  </conditionalFormatting>
  <conditionalFormatting sqref="K72:M80">
    <cfRule type="cellIs" dxfId="1216" priority="62" stopIfTrue="1" operator="lessThan">
      <formula>100%</formula>
    </cfRule>
  </conditionalFormatting>
  <conditionalFormatting sqref="L10:L27">
    <cfRule type="cellIs" dxfId="1215" priority="5" operator="between">
      <formula>61</formula>
      <formula>65</formula>
    </cfRule>
    <cfRule type="cellIs" dxfId="1214" priority="6" operator="greaterThan">
      <formula>65</formula>
    </cfRule>
  </conditionalFormatting>
  <conditionalFormatting sqref="L30:M41">
    <cfRule type="cellIs" dxfId="1213" priority="109" operator="lessThan">
      <formula>97.95</formula>
    </cfRule>
  </conditionalFormatting>
  <conditionalFormatting sqref="L81:M81">
    <cfRule type="cellIs" dxfId="1212" priority="79" stopIfTrue="1" operator="lessThan">
      <formula>100%</formula>
    </cfRule>
  </conditionalFormatting>
  <conditionalFormatting sqref="L45:N45">
    <cfRule type="cellIs" dxfId="1211" priority="110" operator="notEqual">
      <formula>#REF!</formula>
    </cfRule>
  </conditionalFormatting>
  <conditionalFormatting sqref="L83:N91">
    <cfRule type="cellIs" dxfId="1210" priority="180" stopIfTrue="1" operator="lessThan">
      <formula>100%</formula>
    </cfRule>
  </conditionalFormatting>
  <conditionalFormatting sqref="M10:M19">
    <cfRule type="expression" dxfId="1209" priority="10">
      <formula>IF(+(IF(M10&lt;U10,0,IF(M10&gt;V10,0,1)))=0,1)</formula>
    </cfRule>
  </conditionalFormatting>
  <conditionalFormatting sqref="M21:M25">
    <cfRule type="expression" dxfId="1208" priority="58">
      <formula>IF(+(IF(M21&lt;U21,0,IF(M21&gt;V21,0,1)))=0,1)</formula>
    </cfRule>
  </conditionalFormatting>
  <conditionalFormatting sqref="M26:N27">
    <cfRule type="expression" dxfId="1207" priority="108">
      <formula>IF(+(IF(M26&lt;#REF!,0,IF(M26&gt;#REF!,0,1)))=0,1)</formula>
    </cfRule>
  </conditionalFormatting>
  <conditionalFormatting sqref="N10:N25">
    <cfRule type="expression" dxfId="1206" priority="9">
      <formula>IF(+(IF(N10&lt;W10,0,IF(N10&gt;X10,0,1)))=0,1)</formula>
    </cfRule>
  </conditionalFormatting>
  <conditionalFormatting sqref="N72:N81">
    <cfRule type="cellIs" dxfId="1205" priority="91" stopIfTrue="1" operator="lessThan">
      <formula>100%</formula>
    </cfRule>
  </conditionalFormatting>
  <conditionalFormatting sqref="P6">
    <cfRule type="cellIs" dxfId="1204" priority="176" operator="greaterThanOrEqual">
      <formula>19</formula>
    </cfRule>
  </conditionalFormatting>
  <dataValidations count="1">
    <dataValidation type="list" allowBlank="1" showInputMessage="1" showErrorMessage="1" sqref="R8" xr:uid="{6465F7A6-2C40-4F4D-946E-DB0271B8E461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5" max="16383" man="1"/>
  </rowBreaks>
  <colBreaks count="1" manualBreakCount="1">
    <brk id="15" max="89" man="1"/>
  </col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965F9-6FD1-4C70-97F6-528DDA5F4976}">
  <sheetPr>
    <pageSetUpPr fitToPage="1"/>
  </sheetPr>
  <dimension ref="A1:BE79"/>
  <sheetViews>
    <sheetView topLeftCell="A16" zoomScale="80" zoomScaleNormal="80" workbookViewId="0">
      <selection activeCell="H19" sqref="H19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8" width="16.5703125" style="275" customWidth="1"/>
    <col min="9" max="9" width="20.7109375" style="275" customWidth="1"/>
    <col min="10" max="10" width="24.140625" style="275" bestFit="1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5" t="s">
        <v>0</v>
      </c>
      <c r="T1" s="555"/>
      <c r="U1" s="555" t="s">
        <v>1</v>
      </c>
      <c r="V1" s="555"/>
      <c r="W1" s="555" t="s">
        <v>2</v>
      </c>
      <c r="X1" s="555"/>
      <c r="Y1" s="555" t="s">
        <v>124</v>
      </c>
      <c r="Z1" s="555"/>
    </row>
    <row r="2" spans="2:29" ht="15">
      <c r="B2" s="556" t="s">
        <v>3</v>
      </c>
      <c r="C2" s="556"/>
      <c r="D2" s="556"/>
      <c r="E2" s="556"/>
      <c r="F2" s="556"/>
      <c r="G2" s="556"/>
      <c r="H2" s="556"/>
      <c r="I2" s="556"/>
      <c r="J2" s="556"/>
      <c r="K2" s="556"/>
      <c r="L2" s="556"/>
      <c r="M2" s="556"/>
      <c r="N2" s="556"/>
      <c r="O2" s="556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46134</v>
      </c>
      <c r="J4" s="398" t="s">
        <v>167</v>
      </c>
      <c r="K4" s="398"/>
      <c r="L4" s="11"/>
      <c r="M4" s="553" t="s">
        <v>8</v>
      </c>
      <c r="N4" s="554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2"/>
      <c r="D5" s="542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6" t="s">
        <v>17</v>
      </c>
      <c r="C8" s="517" t="s">
        <v>18</v>
      </c>
      <c r="D8" s="517" t="s">
        <v>19</v>
      </c>
      <c r="E8" s="356" t="s">
        <v>20</v>
      </c>
      <c r="F8" s="356" t="s">
        <v>21</v>
      </c>
      <c r="G8" s="517" t="s">
        <v>22</v>
      </c>
      <c r="H8" s="544" t="s">
        <v>144</v>
      </c>
      <c r="I8" s="517" t="s">
        <v>165</v>
      </c>
      <c r="J8" s="546" t="s">
        <v>23</v>
      </c>
      <c r="K8" s="548" t="s">
        <v>142</v>
      </c>
      <c r="L8" s="550" t="s">
        <v>24</v>
      </c>
      <c r="M8" s="359" t="s">
        <v>25</v>
      </c>
      <c r="N8" s="17" t="s">
        <v>169</v>
      </c>
      <c r="O8" s="510" t="s">
        <v>155</v>
      </c>
      <c r="P8" s="540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43"/>
      <c r="C9" s="541"/>
      <c r="D9" s="541"/>
      <c r="E9" s="357" t="s">
        <v>30</v>
      </c>
      <c r="F9" s="357" t="s">
        <v>31</v>
      </c>
      <c r="G9" s="541"/>
      <c r="H9" s="545"/>
      <c r="I9" s="541"/>
      <c r="J9" s="547"/>
      <c r="K9" s="549"/>
      <c r="L9" s="551"/>
      <c r="M9" s="20" t="s">
        <v>32</v>
      </c>
      <c r="N9" s="21" t="s">
        <v>41</v>
      </c>
      <c r="O9" s="552"/>
      <c r="P9" s="541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>
      <c r="B10" s="29" t="s">
        <v>6</v>
      </c>
      <c r="C10" s="366" t="str">
        <f>[4]Brewhouse!$A340</f>
        <v>CA296</v>
      </c>
      <c r="D10" s="279">
        <f>[4]Brewhouse!$AF340</f>
        <v>51.5</v>
      </c>
      <c r="E10" s="279">
        <f>[4]Brewhouse!$AI340</f>
        <v>52.1</v>
      </c>
      <c r="F10" s="278">
        <f>[4]Brewhouse!$V340</f>
        <v>64</v>
      </c>
      <c r="G10" s="279">
        <f>[4]Brewhouse!AG340</f>
        <v>11.6</v>
      </c>
      <c r="H10" s="396">
        <v>11.6</v>
      </c>
      <c r="I10" s="368">
        <f>[4]Brewhouse!$AU340</f>
        <v>99.706387133823071</v>
      </c>
      <c r="J10" s="368">
        <f>[4]Brewhouse!$AV340</f>
        <v>101.00749898284194</v>
      </c>
      <c r="K10" s="281">
        <f>[4]Brewhouse!$Q340</f>
        <v>6.8761552680221785</v>
      </c>
      <c r="L10" s="276">
        <f>[4]Brewhouse!$P340</f>
        <v>61</v>
      </c>
      <c r="M10" s="397">
        <f>[4]Brewhouse!$U340-[4]Brewhouse!$T340</f>
        <v>0.11736111111111108</v>
      </c>
      <c r="N10" s="370">
        <f>[4]Brewhouse!$Z340</f>
        <v>0.31180555555555556</v>
      </c>
      <c r="O10" s="420" t="str">
        <f>[4]Brewhouse!$AX340</f>
        <v>D. Gomaz</v>
      </c>
      <c r="P10" s="418" t="s">
        <v>188</v>
      </c>
      <c r="R10" s="277" t="str">
        <f t="shared" ref="R10:R17" si="0">B10</f>
        <v>CARIB</v>
      </c>
      <c r="S10" s="472">
        <f t="shared" ref="S10:S17" si="1">VLOOKUP($B10,$R$3:$X$9,2,FALSE)</f>
        <v>11.6</v>
      </c>
      <c r="T10" s="472">
        <f t="shared" ref="T10:T17" si="2">VLOOKUP($B10,$R$3:$X$9,3,FALSE)</f>
        <v>12</v>
      </c>
      <c r="U10" s="297">
        <f t="shared" ref="U10:U17" si="3">VLOOKUP($B10,$R$3:$X$9,4,FALSE)</f>
        <v>0</v>
      </c>
      <c r="V10" s="297">
        <f t="shared" ref="V10:V17" si="4">VLOOKUP($B10,$R$3:$X$9,5,FALSE)</f>
        <v>0.118055555555556</v>
      </c>
      <c r="W10" s="297">
        <f t="shared" ref="W10:W17" si="5">VLOOKUP($B10,$R$3:$X$9,6,FALSE)</f>
        <v>0.22569444444444445</v>
      </c>
      <c r="X10" s="297">
        <f t="shared" ref="X10:X17" si="6">VLOOKUP($B10,$R$3:$X$9,7,FALSE)</f>
        <v>0.2638888888888889</v>
      </c>
      <c r="Y10" s="297">
        <f t="shared" ref="Y10:Y17" si="7">VLOOKUP($B10,$R$3:$Z$9,8,FALSE)</f>
        <v>0</v>
      </c>
      <c r="Z10" s="472">
        <f t="shared" ref="Z10:Z17" si="8">VLOOKUP($B10,$R$3:$Z$9,9,FALSE)</f>
        <v>60</v>
      </c>
    </row>
    <row r="11" spans="2:29" ht="15">
      <c r="B11" s="29" t="s">
        <v>6</v>
      </c>
      <c r="C11" s="366" t="str">
        <f>[4]Brewhouse!$A341</f>
        <v>CA297</v>
      </c>
      <c r="D11" s="279">
        <f>[4]Brewhouse!$AF341</f>
        <v>51.7</v>
      </c>
      <c r="E11" s="279">
        <f>[4]Brewhouse!$AI341</f>
        <v>50.5</v>
      </c>
      <c r="F11" s="278">
        <f>[4]Brewhouse!$V341</f>
        <v>60</v>
      </c>
      <c r="G11" s="279">
        <f>[4]Brewhouse!AG341</f>
        <v>11.7</v>
      </c>
      <c r="H11" s="396">
        <v>11.7</v>
      </c>
      <c r="I11" s="368">
        <f>[4]Brewhouse!$AU341</f>
        <v>97.642652173476279</v>
      </c>
      <c r="J11" s="368">
        <f>[4]Brewhouse!$AV341</f>
        <v>98.916749521312852</v>
      </c>
      <c r="K11" s="281">
        <f>[4]Brewhouse!$Q341</f>
        <v>7.477313974591647</v>
      </c>
      <c r="L11" s="276">
        <f>[4]Brewhouse!$P341</f>
        <v>61</v>
      </c>
      <c r="M11" s="397">
        <f>[4]Brewhouse!$U341-[4]Brewhouse!$T341</f>
        <v>0.10694444444444445</v>
      </c>
      <c r="N11" s="370">
        <f>[4]Brewhouse!$Z341</f>
        <v>0.26249999999999996</v>
      </c>
      <c r="O11" s="420" t="str">
        <f>[4]Brewhouse!$AX341</f>
        <v>D. Gomaz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>
      <c r="B12" s="29" t="s">
        <v>6</v>
      </c>
      <c r="C12" s="366" t="str">
        <f>[4]Brewhouse!$A342</f>
        <v>CA298</v>
      </c>
      <c r="D12" s="279">
        <f>[4]Brewhouse!$AF342</f>
        <v>52</v>
      </c>
      <c r="E12" s="279">
        <f>[4]Brewhouse!$AI342</f>
        <v>50.8</v>
      </c>
      <c r="F12" s="278">
        <f>[4]Brewhouse!$V342</f>
        <v>59</v>
      </c>
      <c r="G12" s="279">
        <f>[4]Brewhouse!AG342</f>
        <v>11.8</v>
      </c>
      <c r="H12" s="396">
        <v>11.8</v>
      </c>
      <c r="I12" s="368">
        <f>[4]Brewhouse!$AU342</f>
        <v>99.106149710242491</v>
      </c>
      <c r="J12" s="368">
        <f>[4]Brewhouse!$AV342</f>
        <v>100.39934361361757</v>
      </c>
      <c r="K12" s="281">
        <f>[4]Brewhouse!$Q342</f>
        <v>6.9328493647912897</v>
      </c>
      <c r="L12" s="276">
        <f>[4]Brewhouse!$P342</f>
        <v>60</v>
      </c>
      <c r="M12" s="397">
        <f>[4]Brewhouse!$U342-[4]Brewhouse!$T342</f>
        <v>0.10763888888888884</v>
      </c>
      <c r="N12" s="370">
        <f>[4]Brewhouse!$Z342</f>
        <v>0.24027777777777776</v>
      </c>
      <c r="O12" s="420" t="str">
        <f>[4]Brewhouse!$AX342</f>
        <v>R. Regis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>
      <c r="B13" s="29" t="s">
        <v>6</v>
      </c>
      <c r="C13" s="366" t="str">
        <f>[4]Brewhouse!$A343</f>
        <v>CA299</v>
      </c>
      <c r="D13" s="279">
        <f>[4]Brewhouse!$AF343</f>
        <v>51.4</v>
      </c>
      <c r="E13" s="279">
        <f>[4]Brewhouse!$AI343</f>
        <v>50.4</v>
      </c>
      <c r="F13" s="278">
        <f>[4]Brewhouse!$V343</f>
        <v>61</v>
      </c>
      <c r="G13" s="279">
        <f>[4]Brewhouse!AG343</f>
        <v>11.6</v>
      </c>
      <c r="H13" s="396">
        <v>11.7</v>
      </c>
      <c r="I13" s="368">
        <f>[4]Brewhouse!$AU343</f>
        <v>96.333505901006006</v>
      </c>
      <c r="J13" s="368">
        <f>[4]Brewhouse!$AV343</f>
        <v>97.590686160451796</v>
      </c>
      <c r="K13" s="281">
        <f>[4]Brewhouse!$Q343</f>
        <v>6.3216266173752338</v>
      </c>
      <c r="L13" s="276">
        <f>[4]Brewhouse!$P343</f>
        <v>57</v>
      </c>
      <c r="M13" s="397">
        <f>[4]Brewhouse!$U343-[4]Brewhouse!$T343</f>
        <v>0.1069444444444444</v>
      </c>
      <c r="N13" s="370">
        <f>[4]Brewhouse!$Z343</f>
        <v>0.23819444444444438</v>
      </c>
      <c r="O13" s="420" t="str">
        <f>[4]Brewhouse!$AX343</f>
        <v>R. Regis</v>
      </c>
      <c r="P13" s="418"/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>
      <c r="B14" s="29" t="s">
        <v>6</v>
      </c>
      <c r="C14" s="366" t="str">
        <f>[4]Brewhouse!$A344</f>
        <v>CA300</v>
      </c>
      <c r="D14" s="279">
        <f>[4]Brewhouse!$AF344</f>
        <v>51.7</v>
      </c>
      <c r="E14" s="279">
        <f>[4]Brewhouse!$AI344</f>
        <v>51.6</v>
      </c>
      <c r="F14" s="278">
        <f>[4]Brewhouse!$V344</f>
        <v>60</v>
      </c>
      <c r="G14" s="279">
        <f>[4]Brewhouse!AG344</f>
        <v>11.6</v>
      </c>
      <c r="H14" s="396">
        <v>11.7</v>
      </c>
      <c r="I14" s="368">
        <f>[4]Brewhouse!$AU344</f>
        <v>98.749512017375622</v>
      </c>
      <c r="J14" s="368">
        <f>[4]Brewhouse!$AV344</f>
        <v>100.03813718838089</v>
      </c>
      <c r="K14" s="281">
        <f>[4]Brewhouse!$Q344</f>
        <v>8.1700554528650677</v>
      </c>
      <c r="L14" s="276">
        <f>[4]Brewhouse!$P344</f>
        <v>60</v>
      </c>
      <c r="M14" s="397">
        <f>[4]Brewhouse!$U344-[4]Brewhouse!$T344</f>
        <v>0.1118055555555556</v>
      </c>
      <c r="N14" s="370">
        <f>[4]Brewhouse!$Z344</f>
        <v>0.26041666666666674</v>
      </c>
      <c r="O14" s="420" t="str">
        <f>[4]Brewhouse!$AX344</f>
        <v>R. Regis</v>
      </c>
      <c r="P14" s="418"/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>
      <c r="B15" s="29" t="s">
        <v>6</v>
      </c>
      <c r="C15" s="366" t="str">
        <f>[4]Brewhouse!$A345</f>
        <v>CA301</v>
      </c>
      <c r="D15" s="279">
        <f>[4]Brewhouse!$AF345</f>
        <v>50.9</v>
      </c>
      <c r="E15" s="279">
        <f>[4]Brewhouse!$AI345</f>
        <v>50.1</v>
      </c>
      <c r="F15" s="278">
        <f>[4]Brewhouse!$V345</f>
        <v>54</v>
      </c>
      <c r="G15" s="279">
        <f>[4]Brewhouse!AG345</f>
        <v>11.8</v>
      </c>
      <c r="H15" s="396">
        <v>11.8</v>
      </c>
      <c r="I15" s="368">
        <f>[4]Brewhouse!$AU345</f>
        <v>97.86206666251897</v>
      </c>
      <c r="J15" s="368">
        <f>[4]Brewhouse!$AV345</f>
        <v>99.138942729360579</v>
      </c>
      <c r="K15" s="281">
        <f>[4]Brewhouse!$Q345</f>
        <v>7.2458410351201517</v>
      </c>
      <c r="L15" s="276">
        <f>[4]Brewhouse!$P345</f>
        <v>57</v>
      </c>
      <c r="M15" s="397">
        <f>[4]Brewhouse!$U345-[4]Brewhouse!$T345</f>
        <v>0.10069444444444453</v>
      </c>
      <c r="N15" s="370">
        <f>[4]Brewhouse!$Z345</f>
        <v>0.25694444444444453</v>
      </c>
      <c r="O15" s="420" t="str">
        <f>[4]Brewhouse!$AX345</f>
        <v>R. Sookram</v>
      </c>
      <c r="P15" s="418"/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>
      <c r="B16" s="29" t="s">
        <v>6</v>
      </c>
      <c r="C16" s="366" t="str">
        <f>[4]Brewhouse!$A346</f>
        <v>CA302</v>
      </c>
      <c r="D16" s="279">
        <f>[4]Brewhouse!$AF346</f>
        <v>52.4</v>
      </c>
      <c r="E16" s="279">
        <f>[4]Brewhouse!$AI346</f>
        <v>52.8</v>
      </c>
      <c r="F16" s="278">
        <f>[4]Brewhouse!$V346</f>
        <v>61</v>
      </c>
      <c r="G16" s="279">
        <f>[4]Brewhouse!AG346</f>
        <v>11.6</v>
      </c>
      <c r="H16" s="396">
        <v>11.9</v>
      </c>
      <c r="I16" s="368">
        <f>[4]Brewhouse!$AU346</f>
        <v>101.04601229684947</v>
      </c>
      <c r="J16" s="368">
        <f>[4]Brewhouse!$AV346</f>
        <v>102.36460549508742</v>
      </c>
      <c r="K16" s="281">
        <f>[4]Brewhouse!$Q346</f>
        <v>6.8761552680221785</v>
      </c>
      <c r="L16" s="276">
        <f>[4]Brewhouse!$P346</f>
        <v>59</v>
      </c>
      <c r="M16" s="397">
        <f>[4]Brewhouse!$U346-[4]Brewhouse!$T346</f>
        <v>0.11805555555555569</v>
      </c>
      <c r="N16" s="370">
        <f>[4]Brewhouse!$Z346</f>
        <v>0.26180555555555562</v>
      </c>
      <c r="O16" s="420" t="str">
        <f>[4]Brewhouse!$AX346</f>
        <v>R. Sookram</v>
      </c>
      <c r="P16" s="418"/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5">
      <c r="B17" s="29" t="s">
        <v>6</v>
      </c>
      <c r="C17" s="366" t="str">
        <f>[4]Brewhouse!$A347</f>
        <v>CA303</v>
      </c>
      <c r="D17" s="279">
        <f>[4]Brewhouse!$AF347</f>
        <v>50.9</v>
      </c>
      <c r="E17" s="279">
        <f>[4]Brewhouse!$AI347</f>
        <v>49.8</v>
      </c>
      <c r="F17" s="278">
        <f>[4]Brewhouse!$V347</f>
        <v>51</v>
      </c>
      <c r="G17" s="279">
        <f>[4]Brewhouse!AG347</f>
        <v>11.8</v>
      </c>
      <c r="H17" s="396">
        <v>12</v>
      </c>
      <c r="I17" s="368">
        <f>[4]Brewhouse!$AU347</f>
        <v>97.276066263342202</v>
      </c>
      <c r="J17" s="368">
        <f>[4]Brewhouse!$AV347</f>
        <v>98.545296365711692</v>
      </c>
      <c r="K17" s="281">
        <f>[4]Brewhouse!$Q347</f>
        <v>7.0740740740740744</v>
      </c>
      <c r="L17" s="276">
        <f>[4]Brewhouse!$P347</f>
        <v>60</v>
      </c>
      <c r="M17" s="397">
        <f>[4]Brewhouse!$U347-[4]Brewhouse!$T347</f>
        <v>0.10069444444444442</v>
      </c>
      <c r="N17" s="370">
        <f>[4]Brewhouse!$Z347</f>
        <v>0.24999999999999989</v>
      </c>
      <c r="O17" s="420" t="str">
        <f>[4]Brewhouse!$AX347</f>
        <v>R. Sookram</v>
      </c>
      <c r="P17" s="418"/>
      <c r="R17" s="277" t="str">
        <f t="shared" si="0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6" ht="15">
      <c r="B18" s="29" t="s">
        <v>6</v>
      </c>
      <c r="C18" s="366" t="str">
        <f>[4]Brewhouse!$A348</f>
        <v>CA304</v>
      </c>
      <c r="D18" s="279">
        <f>[4]Brewhouse!$AF348</f>
        <v>50.6</v>
      </c>
      <c r="E18" s="279">
        <f>[4]Brewhouse!$AI348</f>
        <v>48.6</v>
      </c>
      <c r="F18" s="278">
        <f>[4]Brewhouse!$V348</f>
        <v>55</v>
      </c>
      <c r="G18" s="279">
        <f>[4]Brewhouse!AG348</f>
        <v>11.7</v>
      </c>
      <c r="H18" s="396">
        <v>11.8</v>
      </c>
      <c r="I18" s="368">
        <f>[4]Brewhouse!$AU348</f>
        <v>93.852395703596613</v>
      </c>
      <c r="J18" s="368">
        <f>[4]Brewhouse!$AV348</f>
        <v>95.077116281876755</v>
      </c>
      <c r="K18" s="281">
        <f>[4]Brewhouse!$Q348</f>
        <v>9.8518518518518512</v>
      </c>
      <c r="L18" s="276">
        <f>[4]Brewhouse!$P348</f>
        <v>60</v>
      </c>
      <c r="M18" s="397">
        <f>[4]Brewhouse!$U348-[4]Brewhouse!$T348</f>
        <v>0.10833333333333339</v>
      </c>
      <c r="N18" s="370">
        <f>[4]Brewhouse!$Z348</f>
        <v>1.9194444444444447</v>
      </c>
      <c r="O18" s="420" t="str">
        <f>[4]Brewhouse!$AX348</f>
        <v>K. Benjamin</v>
      </c>
      <c r="P18" s="418"/>
      <c r="R18" s="277" t="str">
        <f t="shared" ref="R18:R39" si="9">B18</f>
        <v>CARIB</v>
      </c>
      <c r="S18" s="472">
        <f t="shared" ref="S18:S39" si="10">VLOOKUP($B18,$R$3:$X$9,2,FALSE)</f>
        <v>11.6</v>
      </c>
      <c r="T18" s="472">
        <f t="shared" ref="T18:T39" si="11">VLOOKUP($B18,$R$3:$X$9,3,FALSE)</f>
        <v>12</v>
      </c>
      <c r="U18" s="297">
        <f t="shared" ref="U18:U39" si="12">VLOOKUP($B18,$R$3:$X$9,4,FALSE)</f>
        <v>0</v>
      </c>
      <c r="V18" s="297">
        <f t="shared" ref="V18:V39" si="13">VLOOKUP($B18,$R$3:$X$9,5,FALSE)</f>
        <v>0.118055555555556</v>
      </c>
      <c r="W18" s="297">
        <f t="shared" ref="W18:W39" si="14">VLOOKUP($B18,$R$3:$X$9,6,FALSE)</f>
        <v>0.22569444444444445</v>
      </c>
      <c r="X18" s="297">
        <f t="shared" ref="X18:X39" si="15">VLOOKUP($B18,$R$3:$X$9,7,FALSE)</f>
        <v>0.2638888888888889</v>
      </c>
      <c r="Y18" s="297">
        <f t="shared" ref="Y18:Y39" si="16">VLOOKUP($B18,$R$3:$Z$9,8,FALSE)</f>
        <v>0</v>
      </c>
      <c r="Z18" s="472">
        <f t="shared" ref="Z18:Z39" si="17">VLOOKUP($B18,$R$3:$Z$9,9,FALSE)</f>
        <v>60</v>
      </c>
    </row>
    <row r="19" spans="1:26" ht="15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9"/>
        <v>0</v>
      </c>
      <c r="S19" s="472" t="e">
        <f t="shared" si="10"/>
        <v>#N/A</v>
      </c>
      <c r="T19" s="472" t="e">
        <f t="shared" si="11"/>
        <v>#N/A</v>
      </c>
      <c r="U19" s="297" t="e">
        <f t="shared" si="12"/>
        <v>#N/A</v>
      </c>
      <c r="V19" s="297" t="e">
        <f t="shared" si="13"/>
        <v>#N/A</v>
      </c>
      <c r="W19" s="297" t="e">
        <f t="shared" si="14"/>
        <v>#N/A</v>
      </c>
      <c r="X19" s="297" t="e">
        <f t="shared" si="15"/>
        <v>#N/A</v>
      </c>
      <c r="Y19" s="297" t="e">
        <f t="shared" si="16"/>
        <v>#N/A</v>
      </c>
      <c r="Z19" s="472" t="e">
        <f t="shared" si="17"/>
        <v>#N/A</v>
      </c>
    </row>
    <row r="20" spans="1:26" ht="15" hidden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9"/>
        <v>0</v>
      </c>
      <c r="S20" s="472" t="e">
        <f t="shared" si="10"/>
        <v>#N/A</v>
      </c>
      <c r="T20" s="472" t="e">
        <f t="shared" si="11"/>
        <v>#N/A</v>
      </c>
      <c r="U20" s="297" t="e">
        <f t="shared" si="12"/>
        <v>#N/A</v>
      </c>
      <c r="V20" s="297" t="e">
        <f t="shared" si="13"/>
        <v>#N/A</v>
      </c>
      <c r="W20" s="297" t="e">
        <f t="shared" si="14"/>
        <v>#N/A</v>
      </c>
      <c r="X20" s="297" t="e">
        <f t="shared" si="15"/>
        <v>#N/A</v>
      </c>
      <c r="Y20" s="297" t="e">
        <f t="shared" si="16"/>
        <v>#N/A</v>
      </c>
      <c r="Z20" s="472" t="e">
        <f t="shared" si="17"/>
        <v>#N/A</v>
      </c>
    </row>
    <row r="21" spans="1:26" ht="15" hidden="1">
      <c r="B21" s="34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0"/>
      <c r="P21" s="418"/>
      <c r="R21" s="277">
        <f t="shared" si="9"/>
        <v>0</v>
      </c>
      <c r="S21" s="472" t="e">
        <f t="shared" si="10"/>
        <v>#N/A</v>
      </c>
      <c r="T21" s="472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2" t="e">
        <f t="shared" si="17"/>
        <v>#N/A</v>
      </c>
    </row>
    <row r="22" spans="1:26" ht="15" hidden="1">
      <c r="B22" s="34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0"/>
      <c r="P22" s="418"/>
      <c r="R22" s="277">
        <f t="shared" si="9"/>
        <v>0</v>
      </c>
      <c r="S22" s="472" t="e">
        <f t="shared" si="10"/>
        <v>#N/A</v>
      </c>
      <c r="T22" s="472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2" t="e">
        <f t="shared" si="17"/>
        <v>#N/A</v>
      </c>
    </row>
    <row r="23" spans="1:26" ht="15" hidden="1">
      <c r="B23" s="34"/>
      <c r="C23" s="366"/>
      <c r="D23" s="279"/>
      <c r="E23" s="279"/>
      <c r="F23" s="278"/>
      <c r="G23" s="279"/>
      <c r="H23" s="396"/>
      <c r="I23" s="484"/>
      <c r="J23" s="484"/>
      <c r="K23" s="485"/>
      <c r="L23" s="276"/>
      <c r="M23" s="374"/>
      <c r="N23" s="370"/>
      <c r="O23" s="420"/>
      <c r="P23" s="418"/>
      <c r="R23" s="277">
        <f t="shared" si="9"/>
        <v>0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6" ht="18" hidden="1" customHeight="1">
      <c r="B24" s="29"/>
      <c r="C24" s="366"/>
      <c r="D24" s="279"/>
      <c r="E24" s="279"/>
      <c r="F24" s="278"/>
      <c r="G24" s="279"/>
      <c r="H24" s="482"/>
      <c r="I24" s="368"/>
      <c r="J24" s="368"/>
      <c r="K24" s="281"/>
      <c r="L24" s="276"/>
      <c r="M24" s="374"/>
      <c r="N24" s="370"/>
      <c r="O24" s="371"/>
      <c r="P24" s="418"/>
      <c r="R24" s="277">
        <f t="shared" si="9"/>
        <v>0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6" ht="16.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418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6" ht="15.75" customHeight="1" thickBot="1">
      <c r="B26" s="358"/>
      <c r="C26" s="358"/>
      <c r="D26" s="358"/>
      <c r="E26" s="358"/>
      <c r="F26" s="294"/>
      <c r="G26" s="294"/>
      <c r="H26" s="348"/>
      <c r="I26" s="533"/>
      <c r="J26" s="533"/>
      <c r="K26" s="533"/>
      <c r="L26" s="533"/>
      <c r="M26" s="533"/>
      <c r="N26" s="533"/>
      <c r="O26" s="1"/>
      <c r="P26" s="12"/>
      <c r="R26" s="277">
        <f t="shared" si="9"/>
        <v>0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6" ht="15.75" customHeight="1" thickBot="1">
      <c r="B27" s="388" t="s">
        <v>162</v>
      </c>
      <c r="C27" s="388"/>
      <c r="D27" s="534" t="s">
        <v>35</v>
      </c>
      <c r="E27" s="535"/>
      <c r="F27" s="294"/>
      <c r="G27" s="294"/>
      <c r="H27" s="348"/>
      <c r="I27" s="24" t="s">
        <v>17</v>
      </c>
      <c r="J27" s="25"/>
      <c r="K27" s="26" t="s">
        <v>138</v>
      </c>
      <c r="L27" s="25" t="s">
        <v>37</v>
      </c>
      <c r="M27" s="25" t="s">
        <v>38</v>
      </c>
      <c r="N27" s="27" t="s">
        <v>39</v>
      </c>
      <c r="O27" s="294"/>
      <c r="P27" s="12"/>
      <c r="R27" s="277" t="str">
        <f t="shared" si="9"/>
        <v xml:space="preserve">BRAND 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6" ht="15" customHeight="1">
      <c r="A28" s="28"/>
      <c r="B28" s="519"/>
      <c r="C28" s="362"/>
      <c r="D28" s="537"/>
      <c r="E28" s="538"/>
      <c r="F28" s="294"/>
      <c r="G28" s="294"/>
      <c r="H28" s="348"/>
      <c r="I28" s="29" t="s">
        <v>6</v>
      </c>
      <c r="J28" s="323">
        <f>AVERAGE(I10:I18)</f>
        <v>97.952749762470063</v>
      </c>
      <c r="K28" s="284">
        <f>COUNTA([4]Brewhouse!$B$292:$B$348)</f>
        <v>57</v>
      </c>
      <c r="L28" s="305">
        <f>AVERAGE([4]Brewhouse!$AU$292:$AU$348)</f>
        <v>98.574756708129641</v>
      </c>
      <c r="M28" s="305">
        <f>AVERAGE([4]Brewhouse!$AU$42:$AU$123,[4]Brewhouse!$AU$125:$AU$188,[4]Brewhouse!$AU$198:$AU$290,[4]Brewhouse!$AU$292:$AU$348)</f>
        <v>98.008553767831174</v>
      </c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6" ht="15" customHeight="1">
      <c r="A29" s="28"/>
      <c r="B29" s="520"/>
      <c r="C29" s="362"/>
      <c r="D29" s="539"/>
      <c r="E29" s="525"/>
      <c r="F29" s="294"/>
      <c r="G29" s="294"/>
      <c r="H29" s="348"/>
      <c r="I29" s="33" t="s">
        <v>9</v>
      </c>
      <c r="J29" s="280"/>
      <c r="K29" s="284">
        <f>COUNTA([3]Brewhouse!$A$179:$A$204)</f>
        <v>26</v>
      </c>
      <c r="L29" s="302">
        <f>AVERAGE([3]Brewhouse!$AS$179:$AS$204)</f>
        <v>98.921800051199881</v>
      </c>
      <c r="M29" s="302">
        <f>AVERAGE([3]Brewhouse!$AS$52:$AS$81,[3]Brewhouse!$AS$83:$AS$124,[3]Brewhouse!$AS$134:$AS$177,[3]Brewhouse!$AS$179:$AS$204)</f>
        <v>98.521025084594555</v>
      </c>
      <c r="N29" s="30">
        <v>98</v>
      </c>
      <c r="O29" s="11"/>
      <c r="P29" s="31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6" ht="14.65" customHeight="1">
      <c r="A30" s="28"/>
      <c r="B30" s="520"/>
      <c r="C30" s="362"/>
      <c r="D30" s="529"/>
      <c r="E30" s="530"/>
      <c r="F30" s="294"/>
      <c r="G30" s="294"/>
      <c r="H30" s="348"/>
      <c r="I30" s="34" t="s">
        <v>12</v>
      </c>
      <c r="J30" s="280"/>
      <c r="K30" s="284">
        <f>COUNTA([5]Brewhouse!$A$43:$A$50)</f>
        <v>8</v>
      </c>
      <c r="L30" s="302">
        <f>AVERAGE([5]Brewhouse!$AU$43:$AU$50)</f>
        <v>96.223405821152667</v>
      </c>
      <c r="M30" s="302">
        <f>AVERAGE([5]Brewhouse!$AU$16:$AU$23,[5]Brewhouse!$AU$25:$AU$32,[5]Brewhouse!$AU$34:$AU$41,[5]Brewhouse!$AU$43:$AU$50)</f>
        <v>96.904441824349703</v>
      </c>
      <c r="N30" s="30">
        <v>98</v>
      </c>
      <c r="O30" s="11"/>
      <c r="P30" s="31"/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1:26" ht="14.65" customHeight="1">
      <c r="A31" s="28"/>
      <c r="B31" s="520"/>
      <c r="C31" s="362"/>
      <c r="D31" s="524"/>
      <c r="E31" s="525"/>
      <c r="F31" s="294"/>
      <c r="G31" s="294"/>
      <c r="H31" s="348"/>
      <c r="I31" s="22" t="s">
        <v>33</v>
      </c>
      <c r="J31" s="280"/>
      <c r="K31" s="284"/>
      <c r="L31" s="302"/>
      <c r="M31" s="302">
        <f>AVERAGE([6]Brewhouse!$AV$23:$AV$34,[6]Brewhouse!$AV$36,[6]Brewhouse!$AV$38:$AV$52)</f>
        <v>97.639832259312456</v>
      </c>
      <c r="N31" s="30">
        <v>98</v>
      </c>
      <c r="O31" s="11"/>
      <c r="P31" s="31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</row>
    <row r="32" spans="1:26" ht="14.65" customHeight="1">
      <c r="A32" s="28"/>
      <c r="B32" s="520"/>
      <c r="C32" s="362"/>
      <c r="D32" s="529"/>
      <c r="E32" s="530"/>
      <c r="F32" s="417"/>
      <c r="G32" s="294"/>
      <c r="H32" s="348"/>
      <c r="I32" s="35" t="s">
        <v>29</v>
      </c>
      <c r="J32" s="280"/>
      <c r="K32" s="284"/>
      <c r="L32" s="302"/>
      <c r="M32" s="302"/>
      <c r="N32" s="30">
        <v>98</v>
      </c>
      <c r="O32" s="11"/>
      <c r="P32" s="31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</row>
    <row r="33" spans="1:56" ht="14.65" customHeight="1">
      <c r="A33" s="28"/>
      <c r="B33" s="520"/>
      <c r="C33" s="362"/>
      <c r="D33" s="524"/>
      <c r="E33" s="525"/>
      <c r="F33" s="417"/>
      <c r="G33" s="294"/>
      <c r="H33" s="348"/>
      <c r="I33" s="36" t="s">
        <v>15</v>
      </c>
      <c r="J33" s="323"/>
      <c r="K33" s="284"/>
      <c r="L33" s="302"/>
      <c r="M33" s="302">
        <f>AVERAGE([7]Brewhouse!$AT$4:$AT$11)</f>
        <v>92.826224508052405</v>
      </c>
      <c r="N33" s="30">
        <v>98</v>
      </c>
      <c r="O33" s="11"/>
      <c r="P33" s="31"/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</row>
    <row r="34" spans="1:56" ht="14.65" customHeight="1">
      <c r="A34" s="28"/>
      <c r="B34" s="520"/>
      <c r="C34" s="362"/>
      <c r="D34" s="529"/>
      <c r="E34" s="530"/>
      <c r="F34" s="417"/>
      <c r="G34" s="294"/>
      <c r="H34" s="348"/>
      <c r="I34" s="37" t="s">
        <v>16</v>
      </c>
      <c r="J34" s="323"/>
      <c r="K34" s="284">
        <f>COUNTA([8]Brewhouse!$A$44:$A$51)</f>
        <v>8</v>
      </c>
      <c r="L34" s="302">
        <f>AVERAGE([8]Brewhouse!$AY$44:$AY$51)</f>
        <v>98.126000151084682</v>
      </c>
      <c r="M34" s="302">
        <f>AVERAGE([8]Brewhouse!$AY$5:$AY$14,[8]Brewhouse!$AY$16:$AY$23,[8]Brewhouse!$AY$42,[8]Brewhouse!$AY$44:$AY$51)</f>
        <v>97.608428475776392</v>
      </c>
      <c r="N34" s="30">
        <v>98</v>
      </c>
      <c r="O34" s="11"/>
      <c r="P34" s="31" t="s">
        <v>41</v>
      </c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</row>
    <row r="35" spans="1:56" ht="14.65" customHeight="1">
      <c r="A35" s="28"/>
      <c r="B35" s="520"/>
      <c r="C35" s="362"/>
      <c r="D35" s="524"/>
      <c r="E35" s="525"/>
      <c r="F35" s="294"/>
      <c r="G35" s="294"/>
      <c r="H35" s="348"/>
      <c r="I35" s="411" t="s">
        <v>158</v>
      </c>
      <c r="J35" s="326"/>
      <c r="K35" s="284"/>
      <c r="L35" s="305"/>
      <c r="M35" s="305"/>
      <c r="N35" s="30">
        <v>98</v>
      </c>
      <c r="O35" s="11"/>
      <c r="P35" s="31"/>
      <c r="R35" s="277">
        <f t="shared" si="9"/>
        <v>0</v>
      </c>
      <c r="S35" s="472" t="e">
        <f t="shared" si="10"/>
        <v>#N/A</v>
      </c>
      <c r="T35" s="472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2" t="e">
        <f t="shared" si="17"/>
        <v>#N/A</v>
      </c>
    </row>
    <row r="36" spans="1:56" ht="14.65" customHeight="1">
      <c r="A36" s="28"/>
      <c r="B36" s="520"/>
      <c r="C36" s="349"/>
      <c r="D36" s="529"/>
      <c r="E36" s="530"/>
      <c r="F36" s="294"/>
      <c r="G36" s="294"/>
      <c r="H36" s="348"/>
      <c r="I36" s="410" t="s">
        <v>157</v>
      </c>
      <c r="J36" s="326"/>
      <c r="K36" s="284"/>
      <c r="L36" s="305"/>
      <c r="M36" s="305"/>
      <c r="N36" s="30">
        <v>98</v>
      </c>
      <c r="O36" s="11"/>
      <c r="P36" s="31"/>
      <c r="R36" s="277">
        <f t="shared" si="9"/>
        <v>0</v>
      </c>
      <c r="S36" s="472" t="e">
        <f t="shared" si="10"/>
        <v>#N/A</v>
      </c>
      <c r="T36" s="472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472" t="e">
        <f t="shared" si="17"/>
        <v>#N/A</v>
      </c>
      <c r="AA36" s="472"/>
    </row>
    <row r="37" spans="1:56" ht="15" customHeight="1" thickBot="1">
      <c r="A37" s="28"/>
      <c r="B37" s="520"/>
      <c r="C37" s="349"/>
      <c r="D37" s="524"/>
      <c r="E37" s="525"/>
      <c r="F37" s="294"/>
      <c r="G37" s="294"/>
      <c r="H37" s="348"/>
      <c r="I37" s="406" t="s">
        <v>156</v>
      </c>
      <c r="J37" s="327"/>
      <c r="K37" s="407"/>
      <c r="L37" s="408"/>
      <c r="M37" s="408"/>
      <c r="N37" s="409">
        <v>98</v>
      </c>
      <c r="O37" s="11"/>
      <c r="P37" s="31"/>
      <c r="R37" s="277">
        <f t="shared" si="9"/>
        <v>0</v>
      </c>
      <c r="S37" s="472" t="e">
        <f t="shared" si="10"/>
        <v>#N/A</v>
      </c>
      <c r="T37" s="472" t="e">
        <f t="shared" si="11"/>
        <v>#N/A</v>
      </c>
      <c r="U37" s="297" t="e">
        <f t="shared" si="12"/>
        <v>#N/A</v>
      </c>
      <c r="V37" s="297" t="e">
        <f t="shared" si="13"/>
        <v>#N/A</v>
      </c>
      <c r="W37" s="297" t="e">
        <f t="shared" si="14"/>
        <v>#N/A</v>
      </c>
      <c r="X37" s="297" t="e">
        <f t="shared" si="15"/>
        <v>#N/A</v>
      </c>
      <c r="Y37" s="297" t="e">
        <f t="shared" si="16"/>
        <v>#N/A</v>
      </c>
      <c r="Z37" s="472" t="e">
        <f t="shared" si="17"/>
        <v>#N/A</v>
      </c>
      <c r="AA37" s="472"/>
    </row>
    <row r="38" spans="1:56" ht="15" customHeight="1" thickBot="1">
      <c r="A38" s="28"/>
      <c r="B38" s="520"/>
      <c r="C38" s="349"/>
      <c r="D38" s="537"/>
      <c r="E38" s="538"/>
      <c r="F38" s="294"/>
      <c r="G38" s="294"/>
      <c r="H38" s="348"/>
      <c r="I38" s="1"/>
      <c r="J38" s="39"/>
      <c r="K38" s="404">
        <f>SUM(K28:K37)</f>
        <v>99</v>
      </c>
      <c r="L38" s="405">
        <f>((L28*K28)+(L29*K29)+(L30*K30)+(L31*K31)+(L32*K32)+(K35*L35)+(L33*K33)+(L34*K34)+(L37*K37))/(K38)</f>
        <v>98.439628095681684</v>
      </c>
      <c r="M38" s="405">
        <f>AVERAGE('[9]Jan30th-31st'!$L$42,L38)</f>
        <v>98.133834915761582</v>
      </c>
      <c r="N38" s="40">
        <v>98</v>
      </c>
      <c r="O38" s="11"/>
      <c r="P38" s="31"/>
      <c r="R38" s="277">
        <f t="shared" si="9"/>
        <v>0</v>
      </c>
      <c r="S38" s="472" t="e">
        <f t="shared" si="10"/>
        <v>#N/A</v>
      </c>
      <c r="T38" s="472" t="e">
        <f t="shared" si="11"/>
        <v>#N/A</v>
      </c>
      <c r="U38" s="297" t="e">
        <f t="shared" si="12"/>
        <v>#N/A</v>
      </c>
      <c r="V38" s="297" t="e">
        <f t="shared" si="13"/>
        <v>#N/A</v>
      </c>
      <c r="W38" s="297" t="e">
        <f t="shared" si="14"/>
        <v>#N/A</v>
      </c>
      <c r="X38" s="297" t="e">
        <f t="shared" si="15"/>
        <v>#N/A</v>
      </c>
      <c r="Y38" s="297" t="e">
        <f t="shared" si="16"/>
        <v>#N/A</v>
      </c>
      <c r="Z38" s="472" t="e">
        <f t="shared" si="17"/>
        <v>#N/A</v>
      </c>
      <c r="AA38" s="472"/>
    </row>
    <row r="39" spans="1:56" ht="15.75" thickBot="1">
      <c r="B39" s="536"/>
      <c r="C39" s="350"/>
      <c r="D39" s="539"/>
      <c r="E39" s="525"/>
      <c r="F39" s="294"/>
      <c r="G39" s="42"/>
      <c r="H39" s="41"/>
      <c r="I39" s="42"/>
      <c r="J39" s="42"/>
      <c r="K39" s="351"/>
      <c r="L39" s="348"/>
      <c r="M39" s="348"/>
      <c r="N39" s="11"/>
      <c r="O39" s="294"/>
      <c r="P39" s="12"/>
      <c r="R39" s="277">
        <f t="shared" si="9"/>
        <v>0</v>
      </c>
      <c r="S39" s="472" t="e">
        <f t="shared" si="10"/>
        <v>#N/A</v>
      </c>
      <c r="T39" s="472" t="e">
        <f t="shared" si="11"/>
        <v>#N/A</v>
      </c>
      <c r="U39" s="297" t="e">
        <f t="shared" si="12"/>
        <v>#N/A</v>
      </c>
      <c r="V39" s="297" t="e">
        <f t="shared" si="13"/>
        <v>#N/A</v>
      </c>
      <c r="W39" s="297" t="e">
        <f t="shared" si="14"/>
        <v>#N/A</v>
      </c>
      <c r="X39" s="297" t="e">
        <f t="shared" si="15"/>
        <v>#N/A</v>
      </c>
      <c r="Y39" s="297" t="e">
        <f t="shared" si="16"/>
        <v>#N/A</v>
      </c>
      <c r="Z39" s="472" t="e">
        <f t="shared" si="17"/>
        <v>#N/A</v>
      </c>
      <c r="AA39" s="472"/>
    </row>
    <row r="40" spans="1:56" ht="15.75" thickBot="1">
      <c r="B40" s="519"/>
      <c r="C40" s="362"/>
      <c r="D40" s="522"/>
      <c r="E40" s="523"/>
      <c r="F40" s="294"/>
      <c r="G40" s="42"/>
      <c r="H40" s="41"/>
      <c r="I40" s="42"/>
      <c r="J40" s="526" t="s">
        <v>129</v>
      </c>
      <c r="K40" s="526"/>
      <c r="L40" s="294"/>
      <c r="M40" s="294"/>
      <c r="N40" s="294"/>
      <c r="O40" s="294"/>
      <c r="P40" s="12"/>
    </row>
    <row r="41" spans="1:56" ht="15.75" thickBot="1">
      <c r="B41" s="520"/>
      <c r="C41" s="362"/>
      <c r="D41" s="524"/>
      <c r="E41" s="525"/>
      <c r="F41" s="294"/>
      <c r="G41" s="42"/>
      <c r="H41" s="42"/>
      <c r="I41" s="42"/>
      <c r="J41" s="292" t="s">
        <v>17</v>
      </c>
      <c r="K41" s="293" t="s">
        <v>172</v>
      </c>
      <c r="L41" s="527" t="s">
        <v>136</v>
      </c>
      <c r="M41" s="527"/>
      <c r="N41" s="528"/>
      <c r="O41" s="294"/>
      <c r="P41" s="12"/>
    </row>
    <row r="42" spans="1:56" ht="15" customHeight="1" thickBot="1">
      <c r="B42" s="520"/>
      <c r="C42" s="349"/>
      <c r="D42" s="529"/>
      <c r="E42" s="530"/>
      <c r="F42" s="294"/>
      <c r="G42" s="42"/>
      <c r="H42" s="42"/>
      <c r="I42" s="42"/>
      <c r="J42" s="287" t="s">
        <v>6</v>
      </c>
      <c r="K42" s="324">
        <v>9</v>
      </c>
      <c r="L42" s="473" t="s">
        <v>37</v>
      </c>
      <c r="M42" s="474" t="s">
        <v>38</v>
      </c>
      <c r="N42" s="474" t="s">
        <v>84</v>
      </c>
      <c r="O42" s="294"/>
      <c r="P42" s="12"/>
    </row>
    <row r="43" spans="1:56" ht="15.75" customHeight="1" thickBot="1">
      <c r="B43" s="520"/>
      <c r="C43" s="349"/>
      <c r="D43" s="524"/>
      <c r="E43" s="525"/>
      <c r="F43" s="294"/>
      <c r="G43" s="42"/>
      <c r="H43" s="42"/>
      <c r="I43" s="42"/>
      <c r="J43" s="345" t="s">
        <v>9</v>
      </c>
      <c r="K43" s="324"/>
      <c r="L43" s="344">
        <f>AVERAGE('Apr 1st'!K50,K52,'Apr 2nd'!K48,'Apr 7th'!K50,'Apr 8th'!K50,'Apr 9th '!K58,'Apr 10th'!K55,'Apr 13th'!K66,'Apr 14th'!K60,'Apr 15th'!K51,'Apr 16th '!K53,'Apr 20th '!K59,'Apr 21st'!K54)</f>
        <v>7.615384615384615</v>
      </c>
      <c r="M43" s="325">
        <f>AVERAGE('[9]Jan30th-31st'!$L$47,L43,'[10]Feb 26th '!$L$39,'[11]Mar 31st'!$L$47)</f>
        <v>6.7005852842809368</v>
      </c>
      <c r="N43" s="416">
        <v>9.1999999999999993</v>
      </c>
      <c r="O43" s="294"/>
      <c r="P43" s="12"/>
    </row>
    <row r="44" spans="1:56" ht="15" customHeight="1">
      <c r="B44" s="520"/>
      <c r="C44" s="349"/>
      <c r="D44" s="529"/>
      <c r="E44" s="530"/>
      <c r="F44" s="294"/>
      <c r="G44" s="42"/>
      <c r="H44" s="42"/>
      <c r="I44" s="42"/>
      <c r="J44" s="288" t="s">
        <v>40</v>
      </c>
      <c r="K44" s="324"/>
      <c r="L44" s="294"/>
      <c r="M44" s="294"/>
      <c r="N44" s="294"/>
      <c r="O44" s="294"/>
      <c r="P44" s="12"/>
    </row>
    <row r="45" spans="1:56" ht="15" customHeight="1">
      <c r="B45" s="520"/>
      <c r="C45" s="349"/>
      <c r="D45" s="524"/>
      <c r="E45" s="525"/>
      <c r="F45" s="294"/>
      <c r="G45" s="42"/>
      <c r="H45" s="42"/>
      <c r="I45" s="42"/>
      <c r="J45" s="289" t="s">
        <v>33</v>
      </c>
      <c r="K45" s="324"/>
      <c r="L45" s="294"/>
      <c r="M45" s="294"/>
      <c r="N45" s="294"/>
      <c r="O45" s="294"/>
      <c r="P45" s="12"/>
    </row>
    <row r="46" spans="1:56" ht="15">
      <c r="B46" s="520"/>
      <c r="C46" s="349"/>
      <c r="D46" s="529"/>
      <c r="E46" s="530"/>
      <c r="F46" s="294"/>
      <c r="G46" s="42"/>
      <c r="H46" s="42"/>
      <c r="I46" s="42"/>
      <c r="J46" s="290" t="s">
        <v>16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20"/>
      <c r="C47" s="349"/>
      <c r="D47" s="524"/>
      <c r="E47" s="525"/>
      <c r="F47" s="294"/>
      <c r="G47" s="42"/>
      <c r="H47" s="42"/>
      <c r="I47" s="42"/>
      <c r="J47" s="291" t="s">
        <v>15</v>
      </c>
      <c r="K47" s="324"/>
      <c r="L47" s="294"/>
      <c r="M47" s="294"/>
      <c r="N47" s="294"/>
      <c r="O47" s="294"/>
      <c r="P47" s="12"/>
      <c r="BC47" s="44"/>
      <c r="BD47" s="44"/>
    </row>
    <row r="48" spans="1:56" ht="15">
      <c r="B48" s="520"/>
      <c r="C48" s="349"/>
      <c r="D48" s="529"/>
      <c r="E48" s="530"/>
      <c r="F48" s="294"/>
      <c r="G48" s="42"/>
      <c r="H48" s="42"/>
      <c r="I48" s="42"/>
      <c r="J48" s="291" t="s">
        <v>149</v>
      </c>
      <c r="K48" s="324"/>
      <c r="L48" s="294"/>
      <c r="M48" s="294"/>
      <c r="N48" s="294"/>
      <c r="O48" s="294"/>
      <c r="P48" s="12"/>
      <c r="BC48" s="44"/>
      <c r="BD48" s="44"/>
    </row>
    <row r="49" spans="1:57" ht="15.75" thickBot="1">
      <c r="B49" s="521"/>
      <c r="C49" s="350"/>
      <c r="D49" s="531"/>
      <c r="E49" s="532"/>
      <c r="F49" s="294" t="s">
        <v>166</v>
      </c>
      <c r="G49" s="42"/>
      <c r="H49" s="42"/>
      <c r="I49" s="42"/>
      <c r="J49" s="291" t="s">
        <v>148</v>
      </c>
      <c r="K49" s="324"/>
      <c r="L49" s="294"/>
      <c r="M49" s="294"/>
      <c r="N49" s="294" t="s">
        <v>41</v>
      </c>
      <c r="O49" s="294"/>
      <c r="P49" s="12"/>
      <c r="BC49" s="44"/>
      <c r="BD49" s="44"/>
    </row>
    <row r="50" spans="1:57" ht="17.649999999999999" customHeight="1" thickBot="1">
      <c r="B50" s="312" t="s">
        <v>139</v>
      </c>
      <c r="C50" s="313"/>
      <c r="D50" s="512"/>
      <c r="E50" s="513"/>
      <c r="F50" s="294"/>
      <c r="J50" s="295" t="s">
        <v>134</v>
      </c>
      <c r="K50" s="324"/>
      <c r="L50" s="294"/>
      <c r="M50" s="294"/>
      <c r="N50" s="294"/>
      <c r="O50" s="294"/>
      <c r="P50" s="12"/>
      <c r="BC50" s="44"/>
      <c r="BD50" s="44"/>
    </row>
    <row r="51" spans="1:57" ht="17.649999999999999" customHeight="1">
      <c r="B51" s="363"/>
      <c r="C51" s="364"/>
      <c r="D51" s="365"/>
      <c r="E51" s="365"/>
      <c r="F51" s="294"/>
      <c r="G51" s="42"/>
      <c r="H51" s="42"/>
      <c r="I51" s="42"/>
      <c r="J51" s="295" t="s">
        <v>131</v>
      </c>
      <c r="K51" s="324"/>
      <c r="L51" s="294"/>
      <c r="M51" s="294"/>
      <c r="N51" s="294"/>
      <c r="O51" s="294"/>
      <c r="P51" s="12"/>
      <c r="BC51" s="44"/>
      <c r="BD51" s="44"/>
    </row>
    <row r="52" spans="1:57" ht="15.6" customHeight="1">
      <c r="B52" s="45"/>
      <c r="C52" s="11"/>
      <c r="D52" s="11"/>
      <c r="E52" s="46"/>
      <c r="F52" s="294"/>
      <c r="G52" s="42"/>
      <c r="H52" s="42"/>
      <c r="I52" s="42"/>
      <c r="J52" s="346" t="s">
        <v>130</v>
      </c>
      <c r="K52" s="324">
        <f>SUM(K42:K51)</f>
        <v>9</v>
      </c>
      <c r="L52" s="294"/>
      <c r="M52" s="294"/>
      <c r="N52" s="294"/>
      <c r="O52" s="294"/>
      <c r="P52" s="12"/>
    </row>
    <row r="53" spans="1:57" ht="20.25" customHeight="1">
      <c r="B53" s="15" t="s">
        <v>42</v>
      </c>
      <c r="C53" s="1" t="s">
        <v>43</v>
      </c>
      <c r="D53" s="1"/>
      <c r="E53" s="1"/>
      <c r="F53" s="294"/>
      <c r="G53" s="42"/>
      <c r="H53" s="41"/>
      <c r="I53" s="42"/>
      <c r="L53" s="294"/>
      <c r="N53" s="315"/>
      <c r="P53" s="334"/>
    </row>
    <row r="54" spans="1:57" ht="15" customHeight="1" thickBot="1"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1"/>
      <c r="O54" s="48"/>
      <c r="P54" s="49"/>
    </row>
    <row r="55" spans="1:57" ht="15" customHeight="1" thickBot="1">
      <c r="B55" s="504" t="s">
        <v>17</v>
      </c>
      <c r="C55" s="504" t="s">
        <v>44</v>
      </c>
      <c r="D55" s="515" t="s">
        <v>45</v>
      </c>
      <c r="E55" s="517" t="s">
        <v>46</v>
      </c>
      <c r="F55" s="510" t="s">
        <v>47</v>
      </c>
      <c r="G55" s="502" t="s">
        <v>48</v>
      </c>
      <c r="H55" s="504" t="s">
        <v>49</v>
      </c>
      <c r="I55" s="504" t="s">
        <v>50</v>
      </c>
      <c r="J55" s="496" t="s">
        <v>28</v>
      </c>
      <c r="K55" s="506" t="s">
        <v>51</v>
      </c>
      <c r="L55" s="508" t="s">
        <v>52</v>
      </c>
      <c r="M55" s="496" t="s">
        <v>53</v>
      </c>
      <c r="N55" s="13"/>
      <c r="O55" s="13"/>
      <c r="P55" s="50"/>
    </row>
    <row r="56" spans="1:57" ht="28.5" customHeight="1" thickTop="1" thickBot="1">
      <c r="B56" s="505"/>
      <c r="C56" s="514"/>
      <c r="D56" s="516"/>
      <c r="E56" s="518"/>
      <c r="F56" s="511"/>
      <c r="G56" s="503"/>
      <c r="H56" s="505"/>
      <c r="I56" s="505"/>
      <c r="J56" s="497"/>
      <c r="K56" s="507"/>
      <c r="L56" s="509"/>
      <c r="M56" s="497"/>
      <c r="N56" s="13"/>
      <c r="O56" s="13"/>
      <c r="P56" s="50"/>
      <c r="Q56" s="355"/>
      <c r="AB56" s="475">
        <v>43474</v>
      </c>
      <c r="AC56" s="475">
        <v>43475</v>
      </c>
      <c r="AD56" s="475">
        <v>43476</v>
      </c>
      <c r="AE56" s="475">
        <v>43477</v>
      </c>
      <c r="AF56" s="475">
        <v>43478</v>
      </c>
      <c r="AG56" s="475">
        <v>43479</v>
      </c>
      <c r="AH56" s="475">
        <v>43480</v>
      </c>
      <c r="AI56" s="475">
        <v>43481</v>
      </c>
      <c r="AJ56" s="475">
        <v>43482</v>
      </c>
      <c r="AK56" s="475">
        <v>43483</v>
      </c>
      <c r="AL56" s="475">
        <v>43484</v>
      </c>
      <c r="AM56" s="475">
        <v>43485</v>
      </c>
      <c r="AN56" s="475">
        <v>43486</v>
      </c>
      <c r="AO56" s="475">
        <v>43487</v>
      </c>
      <c r="AP56" s="475">
        <v>43488</v>
      </c>
      <c r="AQ56" s="475">
        <v>43489</v>
      </c>
      <c r="AR56" s="475">
        <v>43490</v>
      </c>
      <c r="AS56" s="475">
        <v>43491</v>
      </c>
      <c r="AT56" s="475">
        <v>43492</v>
      </c>
      <c r="AU56" s="475">
        <v>43493</v>
      </c>
      <c r="AV56" s="475">
        <v>43494</v>
      </c>
      <c r="AW56" s="475">
        <v>43495</v>
      </c>
      <c r="AX56" s="475">
        <v>43496</v>
      </c>
    </row>
    <row r="57" spans="1:57" s="54" customFormat="1" ht="36.75" customHeight="1" thickBot="1">
      <c r="B57" s="490" t="str">
        <f>I30</f>
        <v>GUINNESS</v>
      </c>
      <c r="C57" s="479">
        <v>46134</v>
      </c>
      <c r="D57" s="442">
        <f>[12]April_2026!$Y$23</f>
        <v>410.09999999999997</v>
      </c>
      <c r="E57" s="443">
        <f>SUM([33]GUINNESS!$S$6)</f>
        <v>9.4</v>
      </c>
      <c r="F57" s="444">
        <f>SUM([33]GUINNESS!$L$6:$L$13)</f>
        <v>402</v>
      </c>
      <c r="G57" s="445">
        <f>[12]April_2026!$Y$28</f>
        <v>373.7</v>
      </c>
      <c r="H57" s="458">
        <f>(D57-F57)/D57*100</f>
        <v>1.9751280175566852</v>
      </c>
      <c r="I57" s="458">
        <f>((F57+E57)-G57)/(F57+E57)*100</f>
        <v>9.1638308215848294</v>
      </c>
      <c r="J57" s="448" t="s">
        <v>187</v>
      </c>
      <c r="K57" s="449">
        <f>[13]April_2026!$Y$32</f>
        <v>0.16390350877192983</v>
      </c>
      <c r="L57" s="457">
        <f>(((D57+E57)-G57)/(D57+E57))*100</f>
        <v>10.917759237187118</v>
      </c>
      <c r="M57" s="455" t="s">
        <v>185</v>
      </c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[14]January_2019!L5</f>
        <v>0</v>
      </c>
      <c r="AC57" s="57">
        <f>[14]January_2019!M5</f>
        <v>0</v>
      </c>
      <c r="AD57" s="57">
        <f>[14]January_2019!N5</f>
        <v>0</v>
      </c>
      <c r="AE57" s="57">
        <f>[14]January_2019!O5</f>
        <v>0</v>
      </c>
      <c r="AF57" s="57">
        <f>[14]January_2019!P5</f>
        <v>0</v>
      </c>
      <c r="AG57" s="57">
        <f>[14]January_2019!Q5</f>
        <v>0</v>
      </c>
      <c r="AH57" s="57">
        <f>[14]January_2019!R5</f>
        <v>0</v>
      </c>
      <c r="AI57" s="57">
        <f>[14]January_2019!S5</f>
        <v>0</v>
      </c>
      <c r="AJ57" s="57">
        <f>[14]January_2019!T5</f>
        <v>0</v>
      </c>
      <c r="AK57" s="57">
        <f>[14]January_2019!U5</f>
        <v>0</v>
      </c>
      <c r="AL57" s="57">
        <f>[14]January_2019!V5</f>
        <v>0</v>
      </c>
      <c r="AM57" s="57">
        <f>[14]January_2019!W5</f>
        <v>0</v>
      </c>
      <c r="AN57" s="57">
        <f>[14]January_2019!X5</f>
        <v>0</v>
      </c>
      <c r="AO57" s="57">
        <f>[14]January_2019!Y5</f>
        <v>0</v>
      </c>
      <c r="AP57" s="57">
        <f>[14]January_2019!Z5</f>
        <v>0</v>
      </c>
      <c r="AQ57" s="57">
        <f>[14]January_2019!AA5</f>
        <v>0</v>
      </c>
      <c r="AR57" s="57">
        <f>[14]January_2019!AB5</f>
        <v>0</v>
      </c>
      <c r="AS57" s="57">
        <f>[14]January_2019!AC5</f>
        <v>0</v>
      </c>
      <c r="AT57" s="57">
        <f>[14]January_2019!AD5</f>
        <v>0</v>
      </c>
      <c r="AU57" s="57">
        <f>[14]January_2019!AE5</f>
        <v>0</v>
      </c>
      <c r="AV57" s="57">
        <f>[14]January_2019!AF5</f>
        <v>0</v>
      </c>
      <c r="AW57" s="57">
        <f>[14]January_2019!AG5</f>
        <v>0</v>
      </c>
      <c r="AX57" s="277">
        <f>[14]January_2019!AH5</f>
        <v>0</v>
      </c>
      <c r="AY57" s="277"/>
      <c r="AZ57" s="277"/>
      <c r="BA57" s="277"/>
      <c r="BB57" s="277"/>
      <c r="BC57" s="277"/>
      <c r="BD57" s="277"/>
      <c r="BE57" s="277"/>
    </row>
    <row r="58" spans="1:57" s="54" customFormat="1" ht="14.25" customHeight="1" thickBot="1">
      <c r="B58" s="480"/>
      <c r="C58" s="479"/>
      <c r="D58" s="442"/>
      <c r="E58" s="443"/>
      <c r="F58" s="444"/>
      <c r="G58" s="445"/>
      <c r="H58" s="458"/>
      <c r="I58" s="458"/>
      <c r="J58" s="476"/>
      <c r="K58" s="44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[14]January_2019!L6</f>
        <v>0</v>
      </c>
      <c r="AC58" s="57">
        <f>[14]January_2019!M6</f>
        <v>0</v>
      </c>
      <c r="AD58" s="57">
        <f>[14]January_2019!N6</f>
        <v>0</v>
      </c>
      <c r="AE58" s="57">
        <f>[14]January_2019!O6</f>
        <v>0</v>
      </c>
      <c r="AF58" s="57">
        <f>[14]January_2019!P6</f>
        <v>0</v>
      </c>
      <c r="AG58" s="57">
        <f>[14]January_2019!Q6</f>
        <v>0</v>
      </c>
      <c r="AH58" s="57">
        <f>[14]January_2019!R6</f>
        <v>0</v>
      </c>
      <c r="AI58" s="57">
        <f>[14]January_2019!S6</f>
        <v>0</v>
      </c>
      <c r="AJ58" s="57">
        <f>[14]January_2019!T6</f>
        <v>0</v>
      </c>
      <c r="AK58" s="57">
        <f>[14]January_2019!U6</f>
        <v>0</v>
      </c>
      <c r="AL58" s="57">
        <f>[14]January_2019!V6</f>
        <v>0</v>
      </c>
      <c r="AM58" s="57">
        <f>[14]January_2019!W6</f>
        <v>0</v>
      </c>
      <c r="AN58" s="57">
        <f>[14]January_2019!X6</f>
        <v>0</v>
      </c>
      <c r="AO58" s="57">
        <f>[14]January_2019!Y6</f>
        <v>0</v>
      </c>
      <c r="AP58" s="57">
        <f>[14]January_2019!Z6</f>
        <v>0</v>
      </c>
      <c r="AQ58" s="57">
        <f>[14]January_2019!AA6</f>
        <v>0</v>
      </c>
      <c r="AR58" s="57">
        <f>[14]January_2019!AB6</f>
        <v>0</v>
      </c>
      <c r="AS58" s="57">
        <f>[14]January_2019!AC6</f>
        <v>0</v>
      </c>
      <c r="AT58" s="57">
        <f>[14]January_2019!AD6</f>
        <v>0</v>
      </c>
      <c r="AU58" s="57">
        <f>[14]January_2019!AE6</f>
        <v>0</v>
      </c>
      <c r="AV58" s="57">
        <f>[14]January_2019!AF6</f>
        <v>0</v>
      </c>
      <c r="AW58" s="57">
        <f>[14]January_2019!AG6</f>
        <v>0</v>
      </c>
      <c r="AX58" s="277">
        <f>[14]January_2019!AH6</f>
        <v>0</v>
      </c>
      <c r="AY58" s="277"/>
      <c r="AZ58" s="277"/>
      <c r="BA58" s="277"/>
      <c r="BB58" s="277"/>
      <c r="BC58" s="277"/>
      <c r="BD58" s="277"/>
      <c r="BE58" s="277"/>
    </row>
    <row r="59" spans="1:57" s="54" customFormat="1" ht="37.15" hidden="1" customHeight="1" thickBot="1">
      <c r="A59" s="54" t="s">
        <v>168</v>
      </c>
      <c r="B59" s="486"/>
      <c r="C59" s="479"/>
      <c r="D59" s="442"/>
      <c r="E59" s="443"/>
      <c r="F59" s="444"/>
      <c r="G59" s="445"/>
      <c r="H59" s="458"/>
      <c r="I59" s="458"/>
      <c r="J59" s="448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>
        <f>[14]January_2019!L7</f>
        <v>285.8</v>
      </c>
      <c r="AC59" s="57">
        <f>[14]January_2019!M7</f>
        <v>508.1</v>
      </c>
      <c r="AD59" s="57">
        <f>[14]January_2019!N7</f>
        <v>0</v>
      </c>
      <c r="AE59" s="57">
        <f>[14]January_2019!O7</f>
        <v>0</v>
      </c>
      <c r="AF59" s="57">
        <f>[14]January_2019!P7</f>
        <v>109.56666666666666</v>
      </c>
      <c r="AG59" s="57">
        <f>[14]January_2019!Q7</f>
        <v>297.64999999999998</v>
      </c>
      <c r="AH59" s="57">
        <f>[14]January_2019!R7</f>
        <v>122.3</v>
      </c>
      <c r="AI59" s="57">
        <f>[14]January_2019!S7</f>
        <v>0</v>
      </c>
      <c r="AJ59" s="57">
        <f>[14]January_2019!T7</f>
        <v>294.7</v>
      </c>
      <c r="AK59" s="57">
        <f>[14]January_2019!U7</f>
        <v>280.5</v>
      </c>
      <c r="AL59" s="57">
        <f>[14]January_2019!V7</f>
        <v>0</v>
      </c>
      <c r="AM59" s="57">
        <f>[14]January_2019!W7</f>
        <v>0</v>
      </c>
      <c r="AN59" s="57">
        <f>[14]January_2019!X7</f>
        <v>188.25</v>
      </c>
      <c r="AO59" s="57">
        <f>[14]January_2019!Y7</f>
        <v>295.7</v>
      </c>
      <c r="AP59" s="57">
        <f>[14]January_2019!Z7</f>
        <v>257.8</v>
      </c>
      <c r="AQ59" s="57">
        <f>[14]January_2019!AA7</f>
        <v>291.2</v>
      </c>
      <c r="AR59" s="57">
        <f>[14]January_2019!AB7</f>
        <v>187</v>
      </c>
      <c r="AS59" s="57">
        <f>[14]January_2019!AC7</f>
        <v>0</v>
      </c>
      <c r="AT59" s="57">
        <f>[14]January_2019!AD7</f>
        <v>0</v>
      </c>
      <c r="AU59" s="57">
        <f>[14]January_2019!AE7</f>
        <v>485.1</v>
      </c>
      <c r="AV59" s="57">
        <f>[14]January_2019!AF7</f>
        <v>171.55</v>
      </c>
      <c r="AW59" s="57">
        <f>[14]January_2019!AG7</f>
        <v>423.8</v>
      </c>
      <c r="AX59" s="277">
        <f>[14]January_2019!AH7</f>
        <v>0</v>
      </c>
      <c r="AY59" s="277"/>
      <c r="AZ59" s="277"/>
      <c r="BA59" s="277"/>
      <c r="BB59" s="277"/>
      <c r="BC59" s="277"/>
      <c r="BD59" s="277"/>
      <c r="BE59" s="277"/>
    </row>
    <row r="60" spans="1:57" s="54" customFormat="1" ht="19.5" hidden="1" customHeight="1" thickBot="1">
      <c r="B60" s="478"/>
      <c r="C60" s="430"/>
      <c r="D60" s="431"/>
      <c r="E60" s="432"/>
      <c r="F60" s="433"/>
      <c r="G60" s="434"/>
      <c r="H60" s="458"/>
      <c r="I60" s="458"/>
      <c r="J60" s="451"/>
      <c r="K60" s="436"/>
      <c r="L60" s="452"/>
      <c r="M60" s="421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1:57" s="54" customFormat="1" ht="38.450000000000003" hidden="1" customHeight="1" thickBot="1">
      <c r="B61" s="480"/>
      <c r="C61" s="479"/>
      <c r="D61" s="442"/>
      <c r="E61" s="443"/>
      <c r="F61" s="444"/>
      <c r="G61" s="445"/>
      <c r="H61" s="458"/>
      <c r="I61" s="458"/>
      <c r="J61" s="448" t="s">
        <v>171</v>
      </c>
      <c r="K61" s="459"/>
      <c r="L61" s="457" t="e">
        <f>(((D61+E61)-G61)/(D61+E61))*100</f>
        <v>#DIV/0!</v>
      </c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1:57" s="54" customFormat="1" ht="15" hidden="1">
      <c r="B62" s="453"/>
      <c r="C62" s="430"/>
      <c r="D62" s="431"/>
      <c r="E62" s="432"/>
      <c r="F62" s="433"/>
      <c r="G62" s="434"/>
      <c r="H62" s="435"/>
      <c r="I62" s="450"/>
      <c r="J62" s="451"/>
      <c r="K62" s="436"/>
      <c r="L62" s="452"/>
      <c r="M62" s="421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1:57" s="54" customFormat="1" ht="37.15" hidden="1" customHeight="1" thickBot="1">
      <c r="B63" s="480"/>
      <c r="C63" s="479"/>
      <c r="D63" s="442"/>
      <c r="E63" s="443"/>
      <c r="F63" s="444"/>
      <c r="G63" s="445"/>
      <c r="H63" s="446"/>
      <c r="I63" s="447"/>
      <c r="J63" s="448"/>
      <c r="K63" s="449"/>
      <c r="L63" s="457"/>
      <c r="M63" s="455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1:57" s="54" customFormat="1" ht="16.5" hidden="1" customHeight="1" thickBot="1">
      <c r="B64" s="437"/>
      <c r="C64" s="423"/>
      <c r="D64" s="424"/>
      <c r="E64" s="425"/>
      <c r="F64" s="426"/>
      <c r="G64" s="427"/>
      <c r="H64" s="428"/>
      <c r="I64" s="438"/>
      <c r="J64" s="439"/>
      <c r="K64" s="429"/>
      <c r="L64" s="440"/>
      <c r="M64" s="422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415"/>
      <c r="AC64" s="415"/>
      <c r="AD64" s="415"/>
      <c r="AE64" s="415"/>
      <c r="AF64" s="415"/>
      <c r="AG64" s="415"/>
      <c r="AH64" s="415"/>
      <c r="AI64" s="415"/>
      <c r="AJ64" s="415"/>
      <c r="AK64" s="415"/>
      <c r="AL64" s="415"/>
      <c r="AM64" s="415"/>
      <c r="AN64" s="415"/>
      <c r="AO64" s="415"/>
      <c r="AP64" s="415"/>
      <c r="AQ64" s="415"/>
      <c r="AR64" s="415"/>
      <c r="AS64" s="415"/>
      <c r="AT64" s="415"/>
      <c r="AU64" s="415"/>
      <c r="AV64" s="415"/>
      <c r="AW64" s="415"/>
    </row>
    <row r="65" spans="2:57" s="54" customFormat="1" ht="37.15" hidden="1" customHeight="1" thickBot="1">
      <c r="B65" s="456"/>
      <c r="C65" s="441"/>
      <c r="D65" s="442"/>
      <c r="E65" s="443"/>
      <c r="F65" s="444"/>
      <c r="G65" s="445"/>
      <c r="H65" s="446"/>
      <c r="I65" s="447"/>
      <c r="J65" s="448"/>
      <c r="K65" s="449"/>
      <c r="L65" s="457"/>
      <c r="M65" s="454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37.15" customHeight="1">
      <c r="B66" s="466"/>
      <c r="C66" s="430"/>
      <c r="D66" s="460"/>
      <c r="E66" s="461"/>
      <c r="F66" s="462"/>
      <c r="G66" s="460"/>
      <c r="H66" s="463"/>
      <c r="I66" s="463"/>
      <c r="J66" s="463"/>
      <c r="K66" s="464"/>
      <c r="L66" s="465"/>
      <c r="M66" s="50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ht="18" customHeight="1" thickBot="1">
      <c r="B67" s="59"/>
      <c r="C67" s="30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 t="s">
        <v>41</v>
      </c>
      <c r="O67" s="56"/>
      <c r="P67" s="60"/>
    </row>
    <row r="68" spans="2:57" ht="15.75" thickBot="1">
      <c r="B68" s="498" t="s">
        <v>55</v>
      </c>
      <c r="C68" s="499"/>
      <c r="D68" s="499"/>
      <c r="E68" s="499"/>
      <c r="F68" s="500"/>
      <c r="G68" s="498" t="s">
        <v>56</v>
      </c>
      <c r="H68" s="499"/>
      <c r="I68" s="499"/>
      <c r="J68" s="500"/>
      <c r="K68" s="498" t="s">
        <v>51</v>
      </c>
      <c r="L68" s="499"/>
      <c r="M68" s="499"/>
      <c r="N68" s="501"/>
      <c r="O68" s="56"/>
      <c r="P68" s="50"/>
    </row>
    <row r="69" spans="2:57" ht="15">
      <c r="B69" s="61" t="s">
        <v>17</v>
      </c>
      <c r="C69" s="62" t="s">
        <v>36</v>
      </c>
      <c r="D69" s="62" t="s">
        <v>37</v>
      </c>
      <c r="E69" s="62" t="s">
        <v>38</v>
      </c>
      <c r="F69" s="63" t="s">
        <v>39</v>
      </c>
      <c r="G69" s="62" t="s">
        <v>36</v>
      </c>
      <c r="H69" s="62" t="s">
        <v>37</v>
      </c>
      <c r="I69" s="62" t="s">
        <v>38</v>
      </c>
      <c r="J69" s="63" t="s">
        <v>39</v>
      </c>
      <c r="K69" s="62"/>
      <c r="L69" s="62" t="s">
        <v>37</v>
      </c>
      <c r="M69" s="62" t="s">
        <v>38</v>
      </c>
      <c r="N69" s="63" t="s">
        <v>39</v>
      </c>
      <c r="O69" s="56"/>
      <c r="P69" s="64"/>
    </row>
    <row r="70" spans="2:57" ht="15">
      <c r="B70" s="29" t="s">
        <v>6</v>
      </c>
      <c r="C70" s="282"/>
      <c r="D70" s="76">
        <v>5.7801405787276705</v>
      </c>
      <c r="E70" s="76">
        <v>6.6309997672600804</v>
      </c>
      <c r="F70" s="66">
        <v>4.8</v>
      </c>
      <c r="G70" s="65"/>
      <c r="H70" s="477">
        <v>4.959115702218087</v>
      </c>
      <c r="I70" s="477">
        <v>6.3064148185752265</v>
      </c>
      <c r="J70" s="66">
        <v>4.8</v>
      </c>
      <c r="K70" s="67"/>
      <c r="L70" s="194">
        <v>0.88622482131254054</v>
      </c>
      <c r="M70" s="194">
        <v>0.51894093784726769</v>
      </c>
      <c r="N70" s="68">
        <v>1</v>
      </c>
      <c r="O70" s="56"/>
      <c r="P70" s="69"/>
    </row>
    <row r="71" spans="2:57" ht="15">
      <c r="B71" s="33" t="s">
        <v>9</v>
      </c>
      <c r="C71" s="65"/>
      <c r="D71" s="76">
        <v>5.0820509908579874</v>
      </c>
      <c r="E71" s="76">
        <v>6.0381962328388186</v>
      </c>
      <c r="F71" s="66">
        <v>4.8</v>
      </c>
      <c r="G71" s="65"/>
      <c r="H71" s="76">
        <v>4.1850647594467709</v>
      </c>
      <c r="I71" s="76">
        <v>5.7352072273261401</v>
      </c>
      <c r="J71" s="66">
        <v>4.8</v>
      </c>
      <c r="K71" s="67"/>
      <c r="L71" s="194">
        <v>1.0770760233918131</v>
      </c>
      <c r="M71" s="194">
        <v>0.74373732819034111</v>
      </c>
      <c r="N71" s="68">
        <v>1</v>
      </c>
      <c r="P71" s="69"/>
    </row>
    <row r="72" spans="2:57" ht="15">
      <c r="B72" s="34" t="s">
        <v>40</v>
      </c>
      <c r="C72" s="65">
        <f>L57</f>
        <v>10.917759237187118</v>
      </c>
      <c r="D72" s="76">
        <v>10.917759237187118</v>
      </c>
      <c r="E72" s="76">
        <v>12.019739161085637</v>
      </c>
      <c r="F72" s="66">
        <v>5.5</v>
      </c>
      <c r="G72" s="65">
        <f>[12]April_2026!$Y$32</f>
        <v>10.858502880677971</v>
      </c>
      <c r="H72" s="76">
        <v>10.858502880677971</v>
      </c>
      <c r="I72" s="76">
        <v>13.201587402597006</v>
      </c>
      <c r="J72" s="66">
        <v>5.5</v>
      </c>
      <c r="K72" s="67">
        <f>K57</f>
        <v>0.16390350877192983</v>
      </c>
      <c r="L72" s="194">
        <v>0.16390350877192983</v>
      </c>
      <c r="M72" s="194">
        <v>0.2727383040935672</v>
      </c>
      <c r="N72" s="68">
        <v>1</v>
      </c>
      <c r="P72" s="69"/>
    </row>
    <row r="73" spans="2:57" ht="15">
      <c r="B73" s="22" t="s">
        <v>33</v>
      </c>
      <c r="C73" s="65"/>
      <c r="D73" s="76"/>
      <c r="E73" s="76">
        <v>4.601418358346991</v>
      </c>
      <c r="F73" s="66">
        <v>3.3</v>
      </c>
      <c r="G73" s="65"/>
      <c r="H73" s="76"/>
      <c r="I73" s="76">
        <v>4.3274739720788533</v>
      </c>
      <c r="J73" s="66">
        <v>3.3</v>
      </c>
      <c r="K73" s="67"/>
      <c r="L73" s="194"/>
      <c r="M73" s="194">
        <v>0.8292543859649123</v>
      </c>
      <c r="N73" s="68">
        <v>1</v>
      </c>
      <c r="P73" s="69"/>
    </row>
    <row r="74" spans="2:57" ht="15">
      <c r="B74" s="35" t="s">
        <v>164</v>
      </c>
      <c r="C74" s="65"/>
      <c r="D74" s="76"/>
      <c r="E74" s="76"/>
      <c r="F74" s="66">
        <v>3.3</v>
      </c>
      <c r="G74" s="282"/>
      <c r="H74" s="76"/>
      <c r="I74" s="76"/>
      <c r="J74" s="66">
        <v>3</v>
      </c>
      <c r="K74" s="67"/>
      <c r="L74" s="194"/>
      <c r="M74" s="194"/>
      <c r="N74" s="68">
        <v>1</v>
      </c>
      <c r="P74" s="69"/>
    </row>
    <row r="75" spans="2:57" ht="15">
      <c r="B75" s="36" t="s">
        <v>15</v>
      </c>
      <c r="C75" s="65"/>
      <c r="D75" s="76"/>
      <c r="E75" s="76">
        <v>5.1105651105651271</v>
      </c>
      <c r="F75" s="70">
        <f>[15]May_2022!$M$43</f>
        <v>3.4878406700073312</v>
      </c>
      <c r="G75" s="282"/>
      <c r="H75" s="76"/>
      <c r="I75" s="76">
        <v>7.9131369535794072</v>
      </c>
      <c r="J75" s="66">
        <v>5.5</v>
      </c>
      <c r="K75" s="67"/>
      <c r="L75" s="194"/>
      <c r="M75" s="194">
        <v>1.3550877192982456</v>
      </c>
      <c r="N75" s="68">
        <v>1</v>
      </c>
      <c r="P75" s="69"/>
    </row>
    <row r="76" spans="2:57" ht="15">
      <c r="B76" s="37" t="s">
        <v>16</v>
      </c>
      <c r="C76" s="65"/>
      <c r="D76" s="76"/>
      <c r="E76" s="76">
        <v>3.9654240950837312</v>
      </c>
      <c r="F76" s="66">
        <v>3.3</v>
      </c>
      <c r="G76" s="282"/>
      <c r="H76" s="76"/>
      <c r="I76" s="76">
        <v>5.0010391616318897</v>
      </c>
      <c r="J76" s="66">
        <v>3.3</v>
      </c>
      <c r="K76" s="67"/>
      <c r="L76" s="194"/>
      <c r="M76" s="194">
        <v>0.93295906432748543</v>
      </c>
      <c r="N76" s="71">
        <v>1</v>
      </c>
      <c r="P76" s="69"/>
    </row>
    <row r="77" spans="2:57" ht="15.75" thickBot="1">
      <c r="B77" s="38" t="s">
        <v>163</v>
      </c>
      <c r="C77" s="65"/>
      <c r="D77" s="76"/>
      <c r="E77" s="76"/>
      <c r="F77" s="66">
        <v>7.5</v>
      </c>
      <c r="G77" s="282"/>
      <c r="H77" s="76"/>
      <c r="I77" s="76"/>
      <c r="J77" s="66">
        <v>7.5</v>
      </c>
      <c r="K77" s="67"/>
      <c r="L77" s="194"/>
      <c r="M77" s="194"/>
      <c r="N77" s="71">
        <v>1</v>
      </c>
      <c r="P77" s="69"/>
    </row>
    <row r="78" spans="2:57" ht="15.75" thickBot="1">
      <c r="B78" s="414" t="s">
        <v>161</v>
      </c>
      <c r="C78" s="65"/>
      <c r="D78" s="76"/>
      <c r="E78" s="76"/>
      <c r="F78" s="66">
        <v>4.8</v>
      </c>
      <c r="G78" s="282"/>
      <c r="H78" s="76"/>
      <c r="I78" s="76"/>
      <c r="J78" s="66">
        <v>4.8</v>
      </c>
      <c r="K78" s="67"/>
      <c r="L78" s="194"/>
      <c r="M78" s="194"/>
      <c r="N78" s="71">
        <v>1</v>
      </c>
      <c r="O78" s="74"/>
      <c r="P78" s="75"/>
    </row>
    <row r="79" spans="2:57" ht="15">
      <c r="D79" s="76">
        <v>5.9659261934862657</v>
      </c>
      <c r="E79" s="76">
        <v>6.4948968284338964</v>
      </c>
      <c r="F79" s="341">
        <v>5.5</v>
      </c>
      <c r="H79" s="76">
        <v>5.5057632008794792</v>
      </c>
      <c r="I79" s="76">
        <v>6.5661957508251243</v>
      </c>
      <c r="J79" s="341">
        <v>5.5</v>
      </c>
      <c r="L79" s="194">
        <v>0.87470422852001806</v>
      </c>
      <c r="M79" s="194">
        <v>0.59933749416832127</v>
      </c>
      <c r="N79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6:N26"/>
    <mergeCell ref="D27:E27"/>
    <mergeCell ref="B28:B39"/>
    <mergeCell ref="D28:E29"/>
    <mergeCell ref="D30:E31"/>
    <mergeCell ref="D32:E33"/>
    <mergeCell ref="D34:E35"/>
    <mergeCell ref="D36:E37"/>
    <mergeCell ref="D38:E39"/>
    <mergeCell ref="B40:B49"/>
    <mergeCell ref="D40:E41"/>
    <mergeCell ref="J40:K40"/>
    <mergeCell ref="L41:N41"/>
    <mergeCell ref="D42:E43"/>
    <mergeCell ref="D44:E45"/>
    <mergeCell ref="D46:E47"/>
    <mergeCell ref="D48:E49"/>
    <mergeCell ref="D50:E50"/>
    <mergeCell ref="B55:B56"/>
    <mergeCell ref="C55:C56"/>
    <mergeCell ref="D55:D56"/>
    <mergeCell ref="E55:E56"/>
    <mergeCell ref="M55:M56"/>
    <mergeCell ref="B68:F68"/>
    <mergeCell ref="G68:J68"/>
    <mergeCell ref="K68:N68"/>
    <mergeCell ref="G55:G56"/>
    <mergeCell ref="H55:H56"/>
    <mergeCell ref="I55:I56"/>
    <mergeCell ref="J55:J56"/>
    <mergeCell ref="K55:K56"/>
    <mergeCell ref="L55:L56"/>
    <mergeCell ref="F55:F56"/>
  </mergeCells>
  <conditionalFormatting sqref="B50:B51">
    <cfRule type="cellIs" dxfId="1203" priority="97" operator="notBetween">
      <formula>#REF!</formula>
      <formula>#REF!</formula>
    </cfRule>
  </conditionalFormatting>
  <conditionalFormatting sqref="C54">
    <cfRule type="cellIs" dxfId="1202" priority="191" stopIfTrue="1" operator="lessThan">
      <formula>96</formula>
    </cfRule>
    <cfRule type="cellIs" dxfId="1201" priority="192" stopIfTrue="1" operator="greaterThan">
      <formula>100</formula>
    </cfRule>
  </conditionalFormatting>
  <conditionalFormatting sqref="C70:C74">
    <cfRule type="cellIs" dxfId="1200" priority="160" stopIfTrue="1" operator="lessThanOrEqual">
      <formula>0</formula>
    </cfRule>
  </conditionalFormatting>
  <conditionalFormatting sqref="C70:C78">
    <cfRule type="cellIs" dxfId="1199" priority="159" stopIfTrue="1" operator="greaterThan">
      <formula>$F70</formula>
    </cfRule>
  </conditionalFormatting>
  <conditionalFormatting sqref="C71">
    <cfRule type="cellIs" dxfId="1198" priority="193" stopIfTrue="1" operator="greaterThan">
      <formula>$F70</formula>
    </cfRule>
  </conditionalFormatting>
  <conditionalFormatting sqref="C75">
    <cfRule type="cellIs" dxfId="1197" priority="122" stopIfTrue="1" operator="greaterThan">
      <formula>$F74</formula>
    </cfRule>
    <cfRule type="cellIs" dxfId="1196" priority="121" stopIfTrue="1" operator="lessThanOrEqual">
      <formula>0</formula>
    </cfRule>
  </conditionalFormatting>
  <conditionalFormatting sqref="C76:C78">
    <cfRule type="cellIs" dxfId="1195" priority="161" stopIfTrue="1" operator="lessThanOrEqual">
      <formula>0</formula>
    </cfRule>
  </conditionalFormatting>
  <conditionalFormatting sqref="C81:C85">
    <cfRule type="cellIs" dxfId="1194" priority="183" stopIfTrue="1" operator="lessThanOrEqual">
      <formula>0</formula>
    </cfRule>
  </conditionalFormatting>
  <conditionalFormatting sqref="C82:C85">
    <cfRule type="cellIs" dxfId="1193" priority="182" stopIfTrue="1" operator="greaterThan">
      <formula>$F$81</formula>
    </cfRule>
  </conditionalFormatting>
  <conditionalFormatting sqref="C87">
    <cfRule type="cellIs" dxfId="1192" priority="184" stopIfTrue="1" operator="greaterThan">
      <formula>$F$81</formula>
    </cfRule>
    <cfRule type="cellIs" dxfId="1191" priority="185" stopIfTrue="1" operator="lessThanOrEqual">
      <formula>0</formula>
    </cfRule>
  </conditionalFormatting>
  <conditionalFormatting sqref="C81:D81 D83:D89">
    <cfRule type="cellIs" dxfId="1190" priority="177" stopIfTrue="1" operator="greaterThan">
      <formula>4.5</formula>
    </cfRule>
  </conditionalFormatting>
  <conditionalFormatting sqref="D50:D51">
    <cfRule type="cellIs" dxfId="1189" priority="98" operator="notBetween">
      <formula>#REF!</formula>
      <formula>#REF!</formula>
    </cfRule>
  </conditionalFormatting>
  <conditionalFormatting sqref="D70:D77">
    <cfRule type="cellIs" dxfId="1188" priority="72" stopIfTrue="1" operator="lessThanOrEqual">
      <formula>0</formula>
    </cfRule>
  </conditionalFormatting>
  <conditionalFormatting sqref="D70:D79">
    <cfRule type="cellIs" dxfId="1187" priority="51" stopIfTrue="1" operator="lessThanOrEqual">
      <formula>0</formula>
    </cfRule>
  </conditionalFormatting>
  <conditionalFormatting sqref="D78">
    <cfRule type="cellIs" dxfId="1186" priority="71" stopIfTrue="1" operator="lessThanOrEqual">
      <formula>0</formula>
    </cfRule>
  </conditionalFormatting>
  <conditionalFormatting sqref="D79">
    <cfRule type="cellIs" dxfId="1185" priority="66" stopIfTrue="1" operator="lessThanOrEqual">
      <formula>0</formula>
    </cfRule>
  </conditionalFormatting>
  <conditionalFormatting sqref="D81 D83:D89">
    <cfRule type="cellIs" dxfId="1184" priority="178" stopIfTrue="1" operator="lessThanOrEqual">
      <formula>0</formula>
    </cfRule>
  </conditionalFormatting>
  <conditionalFormatting sqref="D82">
    <cfRule type="cellIs" dxfId="1183" priority="169" stopIfTrue="1" operator="greaterThan">
      <formula>$F$81</formula>
    </cfRule>
    <cfRule type="cellIs" dxfId="1182" priority="170" stopIfTrue="1" operator="lessThanOrEqual">
      <formula>0</formula>
    </cfRule>
  </conditionalFormatting>
  <conditionalFormatting sqref="D70:E79">
    <cfRule type="cellIs" dxfId="1181" priority="53" stopIfTrue="1" operator="greaterThan">
      <formula>$F70</formula>
    </cfRule>
  </conditionalFormatting>
  <conditionalFormatting sqref="D79:E79">
    <cfRule type="cellIs" dxfId="1180" priority="55" stopIfTrue="1" operator="lessThanOrEqual">
      <formula>0</formula>
    </cfRule>
  </conditionalFormatting>
  <conditionalFormatting sqref="E10:E25">
    <cfRule type="cellIs" dxfId="1179" priority="25" operator="lessThan">
      <formula>48</formula>
    </cfRule>
  </conditionalFormatting>
  <conditionalFormatting sqref="E53 E54:F54">
    <cfRule type="cellIs" dxfId="1178" priority="174" stopIfTrue="1" operator="greaterThan">
      <formula>100</formula>
    </cfRule>
  </conditionalFormatting>
  <conditionalFormatting sqref="E54">
    <cfRule type="cellIs" dxfId="1177" priority="171" stopIfTrue="1" operator="lessThan">
      <formula>96.8</formula>
    </cfRule>
    <cfRule type="cellIs" dxfId="1176" priority="172" stopIfTrue="1" operator="greaterThan">
      <formula>100</formula>
    </cfRule>
  </conditionalFormatting>
  <conditionalFormatting sqref="E70:E78">
    <cfRule type="cellIs" dxfId="1175" priority="52" stopIfTrue="1" operator="lessThanOrEqual">
      <formula>0</formula>
    </cfRule>
  </conditionalFormatting>
  <conditionalFormatting sqref="E70:E79">
    <cfRule type="cellIs" dxfId="1174" priority="54" stopIfTrue="1" operator="lessThanOrEqual">
      <formula>0</formula>
    </cfRule>
  </conditionalFormatting>
  <conditionalFormatting sqref="E81:E89">
    <cfRule type="cellIs" dxfId="1173" priority="163" stopIfTrue="1" operator="greaterThan">
      <formula>4.5</formula>
    </cfRule>
    <cfRule type="cellIs" dxfId="1172" priority="164" stopIfTrue="1" operator="lessThanOrEqual">
      <formula>0</formula>
    </cfRule>
  </conditionalFormatting>
  <conditionalFormatting sqref="E54:F54 E53">
    <cfRule type="cellIs" dxfId="1171" priority="173" stopIfTrue="1" operator="lessThan">
      <formula>96.5</formula>
    </cfRule>
  </conditionalFormatting>
  <conditionalFormatting sqref="F10:F25">
    <cfRule type="cellIs" dxfId="1170" priority="29" operator="greaterThan">
      <formula>60</formula>
    </cfRule>
  </conditionalFormatting>
  <conditionalFormatting sqref="F54">
    <cfRule type="cellIs" dxfId="1169" priority="189" stopIfTrue="1" operator="lessThan">
      <formula>96.8</formula>
    </cfRule>
    <cfRule type="cellIs" dxfId="1168" priority="190" stopIfTrue="1" operator="greaterThan">
      <formula>100</formula>
    </cfRule>
  </conditionalFormatting>
  <conditionalFormatting sqref="F79">
    <cfRule type="cellIs" dxfId="1167" priority="70" stopIfTrue="1" operator="lessThanOrEqual">
      <formula>0</formula>
    </cfRule>
    <cfRule type="cellIs" dxfId="1166" priority="69" stopIfTrue="1" operator="greaterThan">
      <formula>$F79</formula>
    </cfRule>
  </conditionalFormatting>
  <conditionalFormatting sqref="G10:G25">
    <cfRule type="expression" dxfId="1165" priority="26">
      <formula>IF(+(IF(G10&lt;S10,0,IF(G10&gt;T10,0,1)))=0,1)</formula>
    </cfRule>
  </conditionalFormatting>
  <conditionalFormatting sqref="G70:G71">
    <cfRule type="cellIs" dxfId="1164" priority="74" stopIfTrue="1" operator="lessThanOrEqual">
      <formula>0</formula>
    </cfRule>
    <cfRule type="cellIs" dxfId="1163" priority="73" stopIfTrue="1" operator="greaterThan">
      <formula>$F70</formula>
    </cfRule>
  </conditionalFormatting>
  <conditionalFormatting sqref="G70:G73">
    <cfRule type="cellIs" dxfId="1162" priority="4" stopIfTrue="1" operator="lessThanOrEqual">
      <formula>0</formula>
    </cfRule>
    <cfRule type="cellIs" dxfId="1161" priority="3" stopIfTrue="1" operator="greaterThan">
      <formula>$F70</formula>
    </cfRule>
  </conditionalFormatting>
  <conditionalFormatting sqref="G72">
    <cfRule type="cellIs" dxfId="1160" priority="1" stopIfTrue="1" operator="greaterThan">
      <formula>$F72</formula>
    </cfRule>
    <cfRule type="cellIs" dxfId="1159" priority="2" stopIfTrue="1" operator="lessThanOrEqual">
      <formula>0</formula>
    </cfRule>
  </conditionalFormatting>
  <conditionalFormatting sqref="G73">
    <cfRule type="cellIs" dxfId="1158" priority="61" stopIfTrue="1" operator="greaterThan">
      <formula>$F73</formula>
    </cfRule>
    <cfRule type="cellIs" dxfId="1157" priority="62" stopIfTrue="1" operator="lessThanOrEqual">
      <formula>0</formula>
    </cfRule>
  </conditionalFormatting>
  <conditionalFormatting sqref="G74:G78">
    <cfRule type="cellIs" dxfId="1156" priority="75" stopIfTrue="1" operator="greaterThan">
      <formula>$J74</formula>
    </cfRule>
    <cfRule type="cellIs" dxfId="1155" priority="76" stopIfTrue="1" operator="lessThanOrEqual">
      <formula>0</formula>
    </cfRule>
  </conditionalFormatting>
  <conditionalFormatting sqref="G83:G88 C86 C88">
    <cfRule type="cellIs" dxfId="1154" priority="187" stopIfTrue="1" operator="lessThanOrEqual">
      <formula>0</formula>
    </cfRule>
    <cfRule type="cellIs" dxfId="1153" priority="186" stopIfTrue="1" operator="greaterThan">
      <formula>4.5</formula>
    </cfRule>
  </conditionalFormatting>
  <conditionalFormatting sqref="G82:H82">
    <cfRule type="cellIs" dxfId="1152" priority="168" stopIfTrue="1" operator="lessThanOrEqual">
      <formula>0</formula>
    </cfRule>
    <cfRule type="cellIs" dxfId="1151" priority="167" stopIfTrue="1" operator="greaterThan">
      <formula>$F$81</formula>
    </cfRule>
  </conditionalFormatting>
  <conditionalFormatting sqref="H39:H40 H53">
    <cfRule type="cellIs" dxfId="1150" priority="165" stopIfTrue="1" operator="greaterThan">
      <formula>0</formula>
    </cfRule>
  </conditionalFormatting>
  <conditionalFormatting sqref="H57">
    <cfRule type="cellIs" dxfId="1149" priority="16" stopIfTrue="1" operator="lessThanOrEqual">
      <formula>0</formula>
    </cfRule>
    <cfRule type="cellIs" dxfId="1148" priority="6" stopIfTrue="1" operator="lessThanOrEqual">
      <formula>0</formula>
    </cfRule>
    <cfRule type="cellIs" dxfId="1147" priority="7" stopIfTrue="1" operator="greaterThan">
      <formula>$F$67</formula>
    </cfRule>
    <cfRule type="cellIs" dxfId="1146" priority="15" stopIfTrue="1" operator="greaterThan">
      <formula>$F$70</formula>
    </cfRule>
    <cfRule type="cellIs" dxfId="1145" priority="17" stopIfTrue="1" operator="greaterThan">
      <formula>$F$68</formula>
    </cfRule>
    <cfRule type="cellIs" dxfId="1144" priority="18" stopIfTrue="1" operator="lessThanOrEqual">
      <formula>0</formula>
    </cfRule>
  </conditionalFormatting>
  <conditionalFormatting sqref="H58:H61">
    <cfRule type="cellIs" dxfId="1143" priority="91" stopIfTrue="1" operator="greaterThan">
      <formula>$F$71</formula>
    </cfRule>
    <cfRule type="cellIs" dxfId="1142" priority="89" stopIfTrue="1" operator="greaterThan">
      <formula>$F$73</formula>
    </cfRule>
    <cfRule type="cellIs" dxfId="1141" priority="90" stopIfTrue="1" operator="lessThanOrEqual">
      <formula>0</formula>
    </cfRule>
    <cfRule type="cellIs" dxfId="1140" priority="80" stopIfTrue="1" operator="lessThanOrEqual">
      <formula>0</formula>
    </cfRule>
    <cfRule type="cellIs" dxfId="1139" priority="81" stopIfTrue="1" operator="greaterThan">
      <formula>$F$70</formula>
    </cfRule>
    <cfRule type="cellIs" dxfId="1138" priority="92" stopIfTrue="1" operator="lessThanOrEqual">
      <formula>0</formula>
    </cfRule>
  </conditionalFormatting>
  <conditionalFormatting sqref="H62:H63">
    <cfRule type="cellIs" dxfId="1137" priority="124" stopIfTrue="1" operator="lessThanOrEqual">
      <formula>0</formula>
    </cfRule>
    <cfRule type="cellIs" dxfId="1136" priority="136" stopIfTrue="1" operator="lessThanOrEqual">
      <formula>0</formula>
    </cfRule>
    <cfRule type="cellIs" dxfId="1135" priority="135" stopIfTrue="1" operator="greaterThan">
      <formula>#REF!</formula>
    </cfRule>
    <cfRule type="cellIs" dxfId="1134" priority="134" stopIfTrue="1" operator="lessThanOrEqual">
      <formula>0</formula>
    </cfRule>
    <cfRule type="cellIs" dxfId="1133" priority="125" stopIfTrue="1" operator="greaterThan">
      <formula>#REF!</formula>
    </cfRule>
    <cfRule type="cellIs" dxfId="1132" priority="133" stopIfTrue="1" operator="greaterThan">
      <formula>$F$25</formula>
    </cfRule>
  </conditionalFormatting>
  <conditionalFormatting sqref="H64">
    <cfRule type="cellIs" dxfId="1131" priority="149" stopIfTrue="1" operator="greaterThan">
      <formula>$F$39</formula>
    </cfRule>
    <cfRule type="cellIs" dxfId="1130" priority="150" stopIfTrue="1" operator="lessThanOrEqual">
      <formula>0</formula>
    </cfRule>
    <cfRule type="cellIs" dxfId="1129" priority="139" stopIfTrue="1" operator="greaterThan">
      <formula>$F$38</formula>
    </cfRule>
    <cfRule type="cellIs" dxfId="1128" priority="138" stopIfTrue="1" operator="lessThanOrEqual">
      <formula>0</formula>
    </cfRule>
    <cfRule type="cellIs" dxfId="1127" priority="147" stopIfTrue="1" operator="greaterThan">
      <formula>$F$41</formula>
    </cfRule>
    <cfRule type="cellIs" dxfId="1126" priority="148" stopIfTrue="1" operator="lessThanOrEqual">
      <formula>0</formula>
    </cfRule>
  </conditionalFormatting>
  <conditionalFormatting sqref="H65:H66">
    <cfRule type="cellIs" dxfId="1125" priority="117" stopIfTrue="1" operator="greaterThan">
      <formula>$F$25</formula>
    </cfRule>
    <cfRule type="cellIs" dxfId="1124" priority="109" stopIfTrue="1" operator="greaterThan">
      <formula>#REF!</formula>
    </cfRule>
    <cfRule type="cellIs" dxfId="1123" priority="118" stopIfTrue="1" operator="lessThanOrEqual">
      <formula>0</formula>
    </cfRule>
    <cfRule type="cellIs" dxfId="1122" priority="119" stopIfTrue="1" operator="greaterThan">
      <formula>#REF!</formula>
    </cfRule>
    <cfRule type="cellIs" dxfId="1121" priority="120" stopIfTrue="1" operator="lessThanOrEqual">
      <formula>0</formula>
    </cfRule>
    <cfRule type="cellIs" dxfId="1120" priority="108" stopIfTrue="1" operator="lessThanOrEqual">
      <formula>0</formula>
    </cfRule>
  </conditionalFormatting>
  <conditionalFormatting sqref="H81 H83:H89">
    <cfRule type="cellIs" dxfId="1119" priority="179" stopIfTrue="1" operator="greaterThan">
      <formula>4.5</formula>
    </cfRule>
    <cfRule type="cellIs" dxfId="1118" priority="180" stopIfTrue="1" operator="lessThanOrEqual">
      <formula>0</formula>
    </cfRule>
  </conditionalFormatting>
  <conditionalFormatting sqref="H57:I57">
    <cfRule type="cellIs" dxfId="1117" priority="8" stopIfTrue="1" operator="lessThanOrEqual">
      <formula>0</formula>
    </cfRule>
    <cfRule type="cellIs" dxfId="1116" priority="5" stopIfTrue="1" operator="greaterThan">
      <formula>$F$69</formula>
    </cfRule>
  </conditionalFormatting>
  <conditionalFormatting sqref="H58:I61">
    <cfRule type="cellIs" dxfId="1115" priority="79" stopIfTrue="1" operator="greaterThan">
      <formula>$F$72</formula>
    </cfRule>
    <cfRule type="cellIs" dxfId="1114" priority="82" stopIfTrue="1" operator="lessThanOrEqual">
      <formula>0</formula>
    </cfRule>
  </conditionalFormatting>
  <conditionalFormatting sqref="H62:I63">
    <cfRule type="cellIs" dxfId="1113" priority="123" stopIfTrue="1" operator="greaterThan">
      <formula>#REF!</formula>
    </cfRule>
    <cfRule type="cellIs" dxfId="1112" priority="126" stopIfTrue="1" operator="lessThanOrEqual">
      <formula>0</formula>
    </cfRule>
  </conditionalFormatting>
  <conditionalFormatting sqref="H64:I64">
    <cfRule type="cellIs" dxfId="1111" priority="137" stopIfTrue="1" operator="greaterThan">
      <formula>$F$40</formula>
    </cfRule>
    <cfRule type="cellIs" dxfId="1110" priority="140" stopIfTrue="1" operator="lessThanOrEqual">
      <formula>0</formula>
    </cfRule>
  </conditionalFormatting>
  <conditionalFormatting sqref="H65:I66">
    <cfRule type="cellIs" dxfId="1109" priority="107" stopIfTrue="1" operator="greaterThan">
      <formula>#REF!</formula>
    </cfRule>
    <cfRule type="cellIs" dxfId="1108" priority="110" stopIfTrue="1" operator="lessThanOrEqual">
      <formula>0</formula>
    </cfRule>
  </conditionalFormatting>
  <conditionalFormatting sqref="H70:I77">
    <cfRule type="cellIs" dxfId="1107" priority="49" stopIfTrue="1" operator="greaterThan">
      <formula>$J70</formula>
    </cfRule>
    <cfRule type="cellIs" dxfId="1106" priority="50" stopIfTrue="1" operator="lessThanOrEqual">
      <formula>0</formula>
    </cfRule>
  </conditionalFormatting>
  <conditionalFormatting sqref="H78:I78">
    <cfRule type="cellIs" dxfId="1105" priority="58" operator="greaterThan">
      <formula>5.3</formula>
    </cfRule>
  </conditionalFormatting>
  <conditionalFormatting sqref="H79:I79">
    <cfRule type="cellIs" dxfId="1104" priority="56" stopIfTrue="1" operator="greaterThan">
      <formula>$J79</formula>
    </cfRule>
    <cfRule type="cellIs" dxfId="1103" priority="57" stopIfTrue="1" operator="lessThanOrEqual">
      <formula>0</formula>
    </cfRule>
  </conditionalFormatting>
  <conditionalFormatting sqref="I57">
    <cfRule type="cellIs" dxfId="1102" priority="9" stopIfTrue="1" operator="greaterThan">
      <formula>$F$67</formula>
    </cfRule>
    <cfRule type="cellIs" dxfId="1101" priority="10" stopIfTrue="1" operator="lessThanOrEqual">
      <formula>0</formula>
    </cfRule>
    <cfRule type="cellIs" dxfId="1100" priority="11" stopIfTrue="1" operator="greaterThan">
      <formula>$F$69</formula>
    </cfRule>
    <cfRule type="cellIs" dxfId="1099" priority="12" stopIfTrue="1" operator="lessThanOrEqual">
      <formula>0</formula>
    </cfRule>
    <cfRule type="cellIs" dxfId="1098" priority="13" stopIfTrue="1" operator="greaterThan">
      <formula>$F$67</formula>
    </cfRule>
    <cfRule type="cellIs" dxfId="1097" priority="14" stopIfTrue="1" operator="lessThanOrEqual">
      <formula>0</formula>
    </cfRule>
  </conditionalFormatting>
  <conditionalFormatting sqref="I58:I61">
    <cfRule type="cellIs" dxfId="1096" priority="85" stopIfTrue="1" operator="greaterThan">
      <formula>$F$72</formula>
    </cfRule>
    <cfRule type="cellIs" dxfId="1095" priority="86" stopIfTrue="1" operator="lessThanOrEqual">
      <formula>0</formula>
    </cfRule>
    <cfRule type="cellIs" dxfId="1094" priority="83" stopIfTrue="1" operator="greaterThan">
      <formula>$F$70</formula>
    </cfRule>
    <cfRule type="cellIs" dxfId="1093" priority="88" stopIfTrue="1" operator="lessThanOrEqual">
      <formula>0</formula>
    </cfRule>
    <cfRule type="cellIs" dxfId="1092" priority="87" stopIfTrue="1" operator="greaterThan">
      <formula>$F$70</formula>
    </cfRule>
    <cfRule type="cellIs" dxfId="1091" priority="84" stopIfTrue="1" operator="lessThanOrEqual">
      <formula>0</formula>
    </cfRule>
  </conditionalFormatting>
  <conditionalFormatting sqref="I62:I63">
    <cfRule type="cellIs" dxfId="1090" priority="129" stopIfTrue="1" operator="greaterThan">
      <formula>#REF!</formula>
    </cfRule>
    <cfRule type="cellIs" dxfId="1089" priority="128" stopIfTrue="1" operator="lessThanOrEqual">
      <formula>0</formula>
    </cfRule>
    <cfRule type="cellIs" dxfId="1088" priority="130" stopIfTrue="1" operator="lessThanOrEqual">
      <formula>0</formula>
    </cfRule>
    <cfRule type="cellIs" dxfId="1087" priority="127" stopIfTrue="1" operator="greaterThan">
      <formula>#REF!</formula>
    </cfRule>
    <cfRule type="cellIs" dxfId="1086" priority="132" stopIfTrue="1" operator="lessThanOrEqual">
      <formula>0</formula>
    </cfRule>
    <cfRule type="cellIs" dxfId="1085" priority="131" stopIfTrue="1" operator="greaterThan">
      <formula>#REF!</formula>
    </cfRule>
  </conditionalFormatting>
  <conditionalFormatting sqref="I64">
    <cfRule type="cellIs" dxfId="1084" priority="145" stopIfTrue="1" operator="greaterThan">
      <formula>$F$38</formula>
    </cfRule>
    <cfRule type="cellIs" dxfId="1083" priority="141" stopIfTrue="1" operator="greaterThan">
      <formula>$F$38</formula>
    </cfRule>
    <cfRule type="cellIs" dxfId="1082" priority="142" stopIfTrue="1" operator="lessThanOrEqual">
      <formula>0</formula>
    </cfRule>
    <cfRule type="cellIs" dxfId="1081" priority="143" stopIfTrue="1" operator="greaterThan">
      <formula>$F$40</formula>
    </cfRule>
    <cfRule type="cellIs" dxfId="1080" priority="144" stopIfTrue="1" operator="lessThanOrEqual">
      <formula>0</formula>
    </cfRule>
    <cfRule type="cellIs" dxfId="1079" priority="146" stopIfTrue="1" operator="lessThanOrEqual">
      <formula>0</formula>
    </cfRule>
  </conditionalFormatting>
  <conditionalFormatting sqref="I65:I66">
    <cfRule type="cellIs" dxfId="1078" priority="111" stopIfTrue="1" operator="greaterThan">
      <formula>#REF!</formula>
    </cfRule>
    <cfRule type="cellIs" dxfId="1077" priority="116" stopIfTrue="1" operator="lessThanOrEqual">
      <formula>0</formula>
    </cfRule>
    <cfRule type="cellIs" dxfId="1076" priority="115" stopIfTrue="1" operator="greaterThan">
      <formula>#REF!</formula>
    </cfRule>
    <cfRule type="cellIs" dxfId="1075" priority="114" stopIfTrue="1" operator="lessThanOrEqual">
      <formula>0</formula>
    </cfRule>
    <cfRule type="cellIs" dxfId="1074" priority="113" stopIfTrue="1" operator="greaterThan">
      <formula>#REF!</formula>
    </cfRule>
    <cfRule type="cellIs" dxfId="1073" priority="112" stopIfTrue="1" operator="lessThanOrEqual">
      <formula>0</formula>
    </cfRule>
  </conditionalFormatting>
  <conditionalFormatting sqref="I81:I89">
    <cfRule type="cellIs" dxfId="1072" priority="176" stopIfTrue="1" operator="lessThanOrEqual">
      <formula>0</formula>
    </cfRule>
    <cfRule type="cellIs" dxfId="1071" priority="175" stopIfTrue="1" operator="greaterThan">
      <formula>4.5</formula>
    </cfRule>
  </conditionalFormatting>
  <conditionalFormatting sqref="I10:J25">
    <cfRule type="cellIs" dxfId="1070" priority="19" operator="lessThan">
      <formula>97.9</formula>
    </cfRule>
  </conditionalFormatting>
  <conditionalFormatting sqref="J28">
    <cfRule type="cellIs" dxfId="1069" priority="78" operator="lessThan">
      <formula>97.95</formula>
    </cfRule>
  </conditionalFormatting>
  <conditionalFormatting sqref="J30">
    <cfRule type="cellIs" dxfId="1068" priority="153" stopIfTrue="1" operator="greaterThan">
      <formula>100</formula>
    </cfRule>
    <cfRule type="cellIs" dxfId="1067" priority="154" operator="lessThan">
      <formula>98</formula>
    </cfRule>
    <cfRule type="cellIs" dxfId="1066" priority="152" stopIfTrue="1" operator="lessThan">
      <formula>96.8</formula>
    </cfRule>
  </conditionalFormatting>
  <conditionalFormatting sqref="J30:J32">
    <cfRule type="cellIs" dxfId="1065" priority="151" operator="lessThan">
      <formula>97.4</formula>
    </cfRule>
  </conditionalFormatting>
  <conditionalFormatting sqref="J33:J34">
    <cfRule type="cellIs" dxfId="1064" priority="155" operator="lessThan">
      <formula>98</formula>
    </cfRule>
  </conditionalFormatting>
  <conditionalFormatting sqref="J35:J36">
    <cfRule type="cellIs" dxfId="1063" priority="157" stopIfTrue="1" operator="greaterThan">
      <formula>100</formula>
    </cfRule>
    <cfRule type="cellIs" dxfId="1062" priority="156" stopIfTrue="1" operator="lessThan">
      <formula>96.8</formula>
    </cfRule>
  </conditionalFormatting>
  <conditionalFormatting sqref="J35:J37">
    <cfRule type="cellIs" dxfId="1061" priority="158" operator="lessThan">
      <formula>98</formula>
    </cfRule>
  </conditionalFormatting>
  <conditionalFormatting sqref="J66">
    <cfRule type="cellIs" dxfId="1060" priority="102" stopIfTrue="1" operator="lessThanOrEqual">
      <formula>0</formula>
    </cfRule>
    <cfRule type="cellIs" dxfId="1059" priority="99" stopIfTrue="1" operator="greaterThan">
      <formula>#REF!</formula>
    </cfRule>
    <cfRule type="cellIs" dxfId="1058" priority="104" stopIfTrue="1" operator="lessThanOrEqual">
      <formula>0</formula>
    </cfRule>
    <cfRule type="cellIs" dxfId="1057" priority="100" stopIfTrue="1" operator="lessThanOrEqual">
      <formula>0</formula>
    </cfRule>
    <cfRule type="cellIs" dxfId="1056" priority="103" stopIfTrue="1" operator="greaterThan">
      <formula>#REF!</formula>
    </cfRule>
    <cfRule type="cellIs" dxfId="1055" priority="106" stopIfTrue="1" operator="lessThanOrEqual">
      <formula>0</formula>
    </cfRule>
    <cfRule type="cellIs" dxfId="1054" priority="101" stopIfTrue="1" operator="greaterThan">
      <formula>#REF!</formula>
    </cfRule>
    <cfRule type="cellIs" dxfId="1053" priority="105" stopIfTrue="1" operator="greaterThan">
      <formula>#REF!</formula>
    </cfRule>
  </conditionalFormatting>
  <conditionalFormatting sqref="J79">
    <cfRule type="cellIs" dxfId="1052" priority="64" stopIfTrue="1" operator="lessThanOrEqual">
      <formula>0</formula>
    </cfRule>
    <cfRule type="cellIs" dxfId="1051" priority="63" stopIfTrue="1" operator="greaterThan">
      <formula>$F79</formula>
    </cfRule>
  </conditionalFormatting>
  <conditionalFormatting sqref="K10:K25">
    <cfRule type="cellIs" dxfId="1050" priority="21" operator="lessThan">
      <formula>4</formula>
    </cfRule>
    <cfRule type="cellIs" dxfId="1049" priority="22" operator="greaterThan">
      <formula>6.4</formula>
    </cfRule>
    <cfRule type="cellIs" dxfId="1048" priority="20" operator="greaterThan">
      <formula>6</formula>
    </cfRule>
  </conditionalFormatting>
  <conditionalFormatting sqref="K57:K66">
    <cfRule type="cellIs" dxfId="1047" priority="93" stopIfTrue="1" operator="lessThan">
      <formula>100%</formula>
    </cfRule>
  </conditionalFormatting>
  <conditionalFormatting sqref="K81:K86">
    <cfRule type="cellIs" dxfId="1046" priority="181" stopIfTrue="1" operator="lessThan">
      <formula>100%</formula>
    </cfRule>
  </conditionalFormatting>
  <conditionalFormatting sqref="K88:K89">
    <cfRule type="cellIs" dxfId="1045" priority="188" stopIfTrue="1" operator="lessThan">
      <formula>100%</formula>
    </cfRule>
  </conditionalFormatting>
  <conditionalFormatting sqref="K70:M78">
    <cfRule type="cellIs" dxfId="1044" priority="48" stopIfTrue="1" operator="lessThan">
      <formula>100%</formula>
    </cfRule>
  </conditionalFormatting>
  <conditionalFormatting sqref="L10:L25">
    <cfRule type="cellIs" dxfId="1043" priority="24" operator="greaterThan">
      <formula>65</formula>
    </cfRule>
    <cfRule type="cellIs" dxfId="1042" priority="23" operator="between">
      <formula>61</formula>
      <formula>65</formula>
    </cfRule>
  </conditionalFormatting>
  <conditionalFormatting sqref="L28:M39">
    <cfRule type="cellIs" dxfId="1041" priority="95" operator="lessThan">
      <formula>97.95</formula>
    </cfRule>
  </conditionalFormatting>
  <conditionalFormatting sqref="L79:M79">
    <cfRule type="cellIs" dxfId="1040" priority="65" stopIfTrue="1" operator="lessThan">
      <formula>100%</formula>
    </cfRule>
  </conditionalFormatting>
  <conditionalFormatting sqref="L43:N43">
    <cfRule type="cellIs" dxfId="1039" priority="96" operator="notEqual">
      <formula>#REF!</formula>
    </cfRule>
  </conditionalFormatting>
  <conditionalFormatting sqref="L81:N89">
    <cfRule type="cellIs" dxfId="1038" priority="166" stopIfTrue="1" operator="lessThan">
      <formula>100%</formula>
    </cfRule>
  </conditionalFormatting>
  <conditionalFormatting sqref="M10:M23">
    <cfRule type="expression" dxfId="1037" priority="28">
      <formula>IF(+(IF(M10&lt;U10,0,IF(M10&gt;V10,0,1)))=0,1)</formula>
    </cfRule>
  </conditionalFormatting>
  <conditionalFormatting sqref="M10:N22 H10:H25">
    <cfRule type="expression" dxfId="1036" priority="30">
      <formula>IF(+(IF(H10&lt;#REF!,0,IF(H10&gt;#REF!,0,1)))=0,1)</formula>
    </cfRule>
  </conditionalFormatting>
  <conditionalFormatting sqref="M24:N25">
    <cfRule type="expression" dxfId="1035" priority="94">
      <formula>IF(+(IF(M24&lt;#REF!,0,IF(M24&gt;#REF!,0,1)))=0,1)</formula>
    </cfRule>
  </conditionalFormatting>
  <conditionalFormatting sqref="N10:N23">
    <cfRule type="expression" dxfId="1034" priority="27">
      <formula>IF(+(IF(N10&lt;W10,0,IF(N10&gt;X10,0,1)))=0,1)</formula>
    </cfRule>
  </conditionalFormatting>
  <conditionalFormatting sqref="N70:N79">
    <cfRule type="cellIs" dxfId="1033" priority="77" stopIfTrue="1" operator="lessThan">
      <formula>100%</formula>
    </cfRule>
  </conditionalFormatting>
  <conditionalFormatting sqref="P6">
    <cfRule type="cellIs" dxfId="1032" priority="162" operator="greaterThanOrEqual">
      <formula>19</formula>
    </cfRule>
  </conditionalFormatting>
  <dataValidations count="1">
    <dataValidation type="list" allowBlank="1" showInputMessage="1" showErrorMessage="1" sqref="R8" xr:uid="{2BE1C12F-A89D-4C92-89FB-A9D63AF44DB6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3" max="16383" man="1"/>
  </rowBreaks>
  <colBreaks count="1" manualBreakCount="1">
    <brk id="15" max="89" man="1"/>
  </col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92329-BB1E-4C71-8F68-712E57EA5133}">
  <sheetPr>
    <pageSetUpPr fitToPage="1"/>
  </sheetPr>
  <dimension ref="A1:BE70"/>
  <sheetViews>
    <sheetView topLeftCell="A29" zoomScale="80" zoomScaleNormal="80" workbookViewId="0">
      <selection activeCell="J49" sqref="J49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8" width="16.5703125" style="275" customWidth="1"/>
    <col min="9" max="9" width="20.7109375" style="275" customWidth="1"/>
    <col min="10" max="10" width="24.140625" style="275" bestFit="1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5" t="s">
        <v>0</v>
      </c>
      <c r="T1" s="555"/>
      <c r="U1" s="555" t="s">
        <v>1</v>
      </c>
      <c r="V1" s="555"/>
      <c r="W1" s="555" t="s">
        <v>2</v>
      </c>
      <c r="X1" s="555"/>
      <c r="Y1" s="555" t="s">
        <v>124</v>
      </c>
      <c r="Z1" s="555"/>
    </row>
    <row r="2" spans="2:29" ht="15">
      <c r="B2" s="556" t="s">
        <v>3</v>
      </c>
      <c r="C2" s="556"/>
      <c r="D2" s="556"/>
      <c r="E2" s="556"/>
      <c r="F2" s="556"/>
      <c r="G2" s="556"/>
      <c r="H2" s="556"/>
      <c r="I2" s="556"/>
      <c r="J2" s="556"/>
      <c r="K2" s="556"/>
      <c r="L2" s="556"/>
      <c r="M2" s="556"/>
      <c r="N2" s="556"/>
      <c r="O2" s="556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46136</v>
      </c>
      <c r="J4" s="398" t="s">
        <v>167</v>
      </c>
      <c r="K4" s="398"/>
      <c r="L4" s="11"/>
      <c r="M4" s="553" t="s">
        <v>8</v>
      </c>
      <c r="N4" s="554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2"/>
      <c r="D5" s="542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6" t="s">
        <v>17</v>
      </c>
      <c r="C8" s="517" t="s">
        <v>18</v>
      </c>
      <c r="D8" s="517" t="s">
        <v>19</v>
      </c>
      <c r="E8" s="356" t="s">
        <v>20</v>
      </c>
      <c r="F8" s="356" t="s">
        <v>21</v>
      </c>
      <c r="G8" s="517" t="s">
        <v>22</v>
      </c>
      <c r="H8" s="544" t="s">
        <v>144</v>
      </c>
      <c r="I8" s="517" t="s">
        <v>165</v>
      </c>
      <c r="J8" s="546" t="s">
        <v>23</v>
      </c>
      <c r="K8" s="548" t="s">
        <v>142</v>
      </c>
      <c r="L8" s="550" t="s">
        <v>24</v>
      </c>
      <c r="M8" s="359" t="s">
        <v>25</v>
      </c>
      <c r="N8" s="17" t="s">
        <v>169</v>
      </c>
      <c r="O8" s="510" t="s">
        <v>155</v>
      </c>
      <c r="P8" s="540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43"/>
      <c r="C9" s="541"/>
      <c r="D9" s="541"/>
      <c r="E9" s="357" t="s">
        <v>30</v>
      </c>
      <c r="F9" s="357" t="s">
        <v>31</v>
      </c>
      <c r="G9" s="541"/>
      <c r="H9" s="545"/>
      <c r="I9" s="541"/>
      <c r="J9" s="547"/>
      <c r="K9" s="549"/>
      <c r="L9" s="551"/>
      <c r="M9" s="20" t="s">
        <v>32</v>
      </c>
      <c r="N9" s="21" t="s">
        <v>41</v>
      </c>
      <c r="O9" s="552"/>
      <c r="P9" s="541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>
      <c r="B10" s="29" t="s">
        <v>6</v>
      </c>
      <c r="C10" s="366" t="str">
        <f>[4]Brewhouse!$A349</f>
        <v>CA305</v>
      </c>
      <c r="D10" s="279">
        <f>[4]Brewhouse!$AF349</f>
        <v>52.8</v>
      </c>
      <c r="E10" s="279">
        <f>[4]Brewhouse!$AI349</f>
        <v>50.9</v>
      </c>
      <c r="F10" s="278">
        <f>[4]Brewhouse!$V349</f>
        <v>61</v>
      </c>
      <c r="G10" s="279">
        <f>[4]Brewhouse!AG349</f>
        <v>11.6</v>
      </c>
      <c r="H10" s="396">
        <v>11.8</v>
      </c>
      <c r="I10" s="368">
        <f>[4]Brewhouse!$AU349</f>
        <v>97.34537784324344</v>
      </c>
      <c r="J10" s="368">
        <f>[4]Brewhouse!$AV349</f>
        <v>98.926307646108697</v>
      </c>
      <c r="K10" s="281">
        <f>[4]Brewhouse!$Q349</f>
        <v>3.5555555555555589</v>
      </c>
      <c r="L10" s="276">
        <f>[4]Brewhouse!$P349</f>
        <v>57</v>
      </c>
      <c r="M10" s="397">
        <f>[4]Brewhouse!$U349-[4]Brewhouse!$T349</f>
        <v>0.10763888888888884</v>
      </c>
      <c r="N10" s="370">
        <f>[4]Brewhouse!$Z349</f>
        <v>0.90972222222222221</v>
      </c>
      <c r="O10" s="420" t="str">
        <f>[4]Brewhouse!$AX349</f>
        <v>K. Benjamin</v>
      </c>
      <c r="P10" s="418" t="s">
        <v>189</v>
      </c>
      <c r="R10" s="277" t="str">
        <f t="shared" ref="R10:R30" si="0">B10</f>
        <v>CARIB</v>
      </c>
      <c r="S10" s="472">
        <f t="shared" ref="S10:S30" si="1">VLOOKUP($B10,$R$3:$X$9,2,FALSE)</f>
        <v>11.6</v>
      </c>
      <c r="T10" s="472">
        <f t="shared" ref="T10:T30" si="2">VLOOKUP($B10,$R$3:$X$9,3,FALSE)</f>
        <v>12</v>
      </c>
      <c r="U10" s="297">
        <f t="shared" ref="U10:U30" si="3">VLOOKUP($B10,$R$3:$X$9,4,FALSE)</f>
        <v>0</v>
      </c>
      <c r="V10" s="297">
        <f t="shared" ref="V10:V30" si="4">VLOOKUP($B10,$R$3:$X$9,5,FALSE)</f>
        <v>0.118055555555556</v>
      </c>
      <c r="W10" s="297">
        <f t="shared" ref="W10:W30" si="5">VLOOKUP($B10,$R$3:$X$9,6,FALSE)</f>
        <v>0.22569444444444445</v>
      </c>
      <c r="X10" s="297">
        <f t="shared" ref="X10:X30" si="6">VLOOKUP($B10,$R$3:$X$9,7,FALSE)</f>
        <v>0.2638888888888889</v>
      </c>
      <c r="Y10" s="297">
        <f t="shared" ref="Y10:Y30" si="7">VLOOKUP($B10,$R$3:$Z$9,8,FALSE)</f>
        <v>0</v>
      </c>
      <c r="Z10" s="472">
        <f t="shared" ref="Z10:Z30" si="8">VLOOKUP($B10,$R$3:$Z$9,9,FALSE)</f>
        <v>60</v>
      </c>
    </row>
    <row r="11" spans="2:29" ht="15">
      <c r="B11" s="29" t="s">
        <v>6</v>
      </c>
      <c r="C11" s="366" t="str">
        <f>[4]Brewhouse!$A350</f>
        <v>CA306</v>
      </c>
      <c r="D11" s="279">
        <f>[4]Brewhouse!$AF350</f>
        <v>52.5</v>
      </c>
      <c r="E11" s="279">
        <f>[4]Brewhouse!$AI350</f>
        <v>50.7</v>
      </c>
      <c r="F11" s="278">
        <f>[4]Brewhouse!$V350</f>
        <v>53</v>
      </c>
      <c r="G11" s="279">
        <f>[4]Brewhouse!AG350</f>
        <v>11.9</v>
      </c>
      <c r="H11" s="482">
        <v>12.1</v>
      </c>
      <c r="I11" s="368">
        <f>[4]Brewhouse!$AU350</f>
        <v>98.987340911426685</v>
      </c>
      <c r="J11" s="368">
        <f>[4]Brewhouse!$AV350</f>
        <v>100.59546510355484</v>
      </c>
      <c r="K11" s="281">
        <f>[4]Brewhouse!$Q350</f>
        <v>4.8518518518518468</v>
      </c>
      <c r="L11" s="276">
        <f>[4]Brewhouse!$P350</f>
        <v>63</v>
      </c>
      <c r="M11" s="397">
        <f>[4]Brewhouse!$U350-[4]Brewhouse!$T350</f>
        <v>0.11736111111111103</v>
      </c>
      <c r="N11" s="370">
        <f>[4]Brewhouse!$Z350</f>
        <v>0.25138888888888888</v>
      </c>
      <c r="O11" s="420" t="str">
        <f>[4]Brewhouse!$AX350</f>
        <v>R. Sookram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>
      <c r="B12" s="34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97"/>
      <c r="N12" s="370"/>
      <c r="O12" s="420"/>
      <c r="P12" s="418"/>
      <c r="R12" s="277">
        <f t="shared" si="0"/>
        <v>0</v>
      </c>
      <c r="S12" s="472" t="e">
        <f t="shared" si="1"/>
        <v>#N/A</v>
      </c>
      <c r="T12" s="472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472" t="e">
        <f t="shared" si="8"/>
        <v>#N/A</v>
      </c>
    </row>
    <row r="13" spans="2:29" ht="15">
      <c r="B13" s="34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97"/>
      <c r="N13" s="370"/>
      <c r="O13" s="420"/>
      <c r="P13" s="418"/>
      <c r="R13" s="277">
        <f t="shared" si="0"/>
        <v>0</v>
      </c>
      <c r="S13" s="472" t="e">
        <f t="shared" si="1"/>
        <v>#N/A</v>
      </c>
      <c r="T13" s="472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472" t="e">
        <f t="shared" si="8"/>
        <v>#N/A</v>
      </c>
    </row>
    <row r="14" spans="2:29" ht="15">
      <c r="B14" s="34"/>
      <c r="C14" s="366"/>
      <c r="D14" s="279"/>
      <c r="E14" s="279"/>
      <c r="F14" s="278"/>
      <c r="G14" s="279"/>
      <c r="H14" s="396"/>
      <c r="I14" s="484"/>
      <c r="J14" s="484"/>
      <c r="K14" s="485"/>
      <c r="L14" s="276"/>
      <c r="M14" s="374"/>
      <c r="N14" s="370"/>
      <c r="O14" s="420"/>
      <c r="P14" s="418"/>
      <c r="R14" s="277">
        <f t="shared" si="0"/>
        <v>0</v>
      </c>
      <c r="S14" s="472" t="e">
        <f t="shared" si="1"/>
        <v>#N/A</v>
      </c>
      <c r="T14" s="472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2" t="e">
        <f t="shared" si="8"/>
        <v>#N/A</v>
      </c>
    </row>
    <row r="15" spans="2:29" ht="18" customHeight="1">
      <c r="B15" s="29"/>
      <c r="C15" s="366"/>
      <c r="D15" s="279"/>
      <c r="E15" s="279"/>
      <c r="F15" s="278"/>
      <c r="G15" s="279"/>
      <c r="H15" s="482"/>
      <c r="I15" s="368"/>
      <c r="J15" s="368"/>
      <c r="K15" s="281"/>
      <c r="L15" s="276"/>
      <c r="M15" s="374"/>
      <c r="N15" s="370"/>
      <c r="O15" s="371"/>
      <c r="P15" s="418"/>
      <c r="R15" s="277">
        <f t="shared" si="0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6.5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371"/>
      <c r="P16" s="418"/>
      <c r="R16" s="277">
        <f t="shared" si="0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7" ht="15.75" customHeight="1" thickBot="1">
      <c r="B17" s="358"/>
      <c r="C17" s="358"/>
      <c r="D17" s="358"/>
      <c r="E17" s="358"/>
      <c r="F17" s="294"/>
      <c r="G17" s="294"/>
      <c r="H17" s="348"/>
      <c r="I17" s="533"/>
      <c r="J17" s="533"/>
      <c r="K17" s="533"/>
      <c r="L17" s="533"/>
      <c r="M17" s="533"/>
      <c r="N17" s="533"/>
      <c r="O17" s="1"/>
      <c r="P17" s="12"/>
      <c r="R17" s="277">
        <f t="shared" si="0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7" ht="15.75" customHeight="1" thickBot="1">
      <c r="B18" s="388" t="s">
        <v>162</v>
      </c>
      <c r="C18" s="388"/>
      <c r="D18" s="534" t="s">
        <v>35</v>
      </c>
      <c r="E18" s="535"/>
      <c r="F18" s="294"/>
      <c r="G18" s="294"/>
      <c r="H18" s="348"/>
      <c r="I18" s="24" t="s">
        <v>17</v>
      </c>
      <c r="J18" s="25"/>
      <c r="K18" s="26" t="s">
        <v>138</v>
      </c>
      <c r="L18" s="25" t="s">
        <v>37</v>
      </c>
      <c r="M18" s="25" t="s">
        <v>38</v>
      </c>
      <c r="N18" s="27" t="s">
        <v>39</v>
      </c>
      <c r="O18" s="294"/>
      <c r="P18" s="12"/>
      <c r="R18" s="277" t="str">
        <f t="shared" si="0"/>
        <v xml:space="preserve">BRAND 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7" ht="15" customHeight="1">
      <c r="A19" s="28"/>
      <c r="B19" s="519"/>
      <c r="C19" s="362"/>
      <c r="D19" s="537"/>
      <c r="E19" s="538"/>
      <c r="F19" s="294"/>
      <c r="G19" s="294"/>
      <c r="H19" s="348"/>
      <c r="I19" s="29" t="s">
        <v>6</v>
      </c>
      <c r="J19" s="323">
        <f>AVERAGE(I10:I11)</f>
        <v>98.166359377335056</v>
      </c>
      <c r="K19" s="284">
        <f>COUNTA([4]Brewhouse!$B$292:$B$350)</f>
        <v>59</v>
      </c>
      <c r="L19" s="305">
        <f>AVERAGE([4]Brewhouse!$AU$292:$AU$350)</f>
        <v>98.560674041550527</v>
      </c>
      <c r="M19" s="305">
        <f>AVERAGE([4]Brewhouse!$AU$42:$AU$123,[4]Brewhouse!$AU$125:$AU$188,[4]Brewhouse!$AU$198:$AU$290,[4]Brewhouse!$AU$292:$AU$350)</f>
        <v>98.009616431868238</v>
      </c>
      <c r="N19" s="30">
        <v>98</v>
      </c>
      <c r="O19" s="11"/>
      <c r="P19" s="31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5" customHeight="1">
      <c r="A20" s="28"/>
      <c r="B20" s="520"/>
      <c r="C20" s="362"/>
      <c r="D20" s="539"/>
      <c r="E20" s="525"/>
      <c r="F20" s="294"/>
      <c r="G20" s="294"/>
      <c r="H20" s="348"/>
      <c r="I20" s="33" t="s">
        <v>9</v>
      </c>
      <c r="J20" s="280"/>
      <c r="K20" s="284">
        <f>COUNTA([3]Brewhouse!$A$179:$A$204)</f>
        <v>26</v>
      </c>
      <c r="L20" s="302">
        <f>AVERAGE([3]Brewhouse!$AS$179:$AS$204)</f>
        <v>98.921800051199881</v>
      </c>
      <c r="M20" s="302">
        <f>AVERAGE([3]Brewhouse!$AS$52:$AS$81,[3]Brewhouse!$AS$83:$AS$124,[3]Brewhouse!$AS$134:$AS$177,[3]Brewhouse!$AS$179:$AS$204)</f>
        <v>98.521025084594555</v>
      </c>
      <c r="N20" s="30">
        <v>98</v>
      </c>
      <c r="O20" s="11"/>
      <c r="P20" s="31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4.65" customHeight="1">
      <c r="A21" s="28"/>
      <c r="B21" s="520"/>
      <c r="C21" s="362"/>
      <c r="D21" s="529"/>
      <c r="E21" s="530"/>
      <c r="F21" s="294"/>
      <c r="G21" s="294"/>
      <c r="H21" s="348"/>
      <c r="I21" s="34" t="s">
        <v>12</v>
      </c>
      <c r="J21" s="280"/>
      <c r="K21" s="284">
        <f>COUNTA([5]Brewhouse!$A$43:$A$50)</f>
        <v>8</v>
      </c>
      <c r="L21" s="302">
        <f>AVERAGE([5]Brewhouse!$AU$43:$AU$50)</f>
        <v>96.223405821152667</v>
      </c>
      <c r="M21" s="302">
        <f>AVERAGE([5]Brewhouse!$AU$16:$AU$23,[5]Brewhouse!$AU$25:$AU$32,[5]Brewhouse!$AU$34:$AU$41,[5]Brewhouse!$AU$43:$AU$50)</f>
        <v>96.904441824349703</v>
      </c>
      <c r="N21" s="30">
        <v>98</v>
      </c>
      <c r="O21" s="11"/>
      <c r="P21" s="31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4.65" customHeight="1">
      <c r="A22" s="28"/>
      <c r="B22" s="520"/>
      <c r="C22" s="362"/>
      <c r="D22" s="524"/>
      <c r="E22" s="525"/>
      <c r="F22" s="294"/>
      <c r="G22" s="294"/>
      <c r="H22" s="348"/>
      <c r="I22" s="22" t="s">
        <v>33</v>
      </c>
      <c r="J22" s="280"/>
      <c r="K22" s="284"/>
      <c r="L22" s="302"/>
      <c r="M22" s="302">
        <f>AVERAGE([6]Brewhouse!$AV$23:$AV$34,[6]Brewhouse!$AV$36,[6]Brewhouse!$AV$38:$AV$52)</f>
        <v>97.639832259312456</v>
      </c>
      <c r="N22" s="30">
        <v>98</v>
      </c>
      <c r="O22" s="11"/>
      <c r="P22" s="31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4.65" customHeight="1">
      <c r="A23" s="28"/>
      <c r="B23" s="520"/>
      <c r="C23" s="362"/>
      <c r="D23" s="529"/>
      <c r="E23" s="530"/>
      <c r="F23" s="417"/>
      <c r="G23" s="294"/>
      <c r="H23" s="348"/>
      <c r="I23" s="35" t="s">
        <v>29</v>
      </c>
      <c r="J23" s="280"/>
      <c r="K23" s="284"/>
      <c r="L23" s="302"/>
      <c r="M23" s="302"/>
      <c r="N23" s="30">
        <v>98</v>
      </c>
      <c r="O23" s="11"/>
      <c r="P23" s="31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4.65" customHeight="1">
      <c r="A24" s="28"/>
      <c r="B24" s="520"/>
      <c r="C24" s="362"/>
      <c r="D24" s="524"/>
      <c r="E24" s="525"/>
      <c r="F24" s="417"/>
      <c r="G24" s="294"/>
      <c r="H24" s="348"/>
      <c r="I24" s="36" t="s">
        <v>15</v>
      </c>
      <c r="J24" s="323"/>
      <c r="K24" s="284"/>
      <c r="L24" s="302"/>
      <c r="M24" s="302">
        <f>AVERAGE([7]Brewhouse!$AT$4:$AT$11)</f>
        <v>92.826224508052405</v>
      </c>
      <c r="N24" s="30">
        <v>98</v>
      </c>
      <c r="O24" s="11"/>
      <c r="P24" s="31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4.65" customHeight="1">
      <c r="A25" s="28"/>
      <c r="B25" s="520"/>
      <c r="C25" s="362"/>
      <c r="D25" s="529"/>
      <c r="E25" s="530"/>
      <c r="F25" s="417"/>
      <c r="G25" s="294"/>
      <c r="H25" s="348"/>
      <c r="I25" s="37" t="s">
        <v>16</v>
      </c>
      <c r="J25" s="323"/>
      <c r="K25" s="284">
        <f>COUNTA([8]Brewhouse!$A$44:$A$51)</f>
        <v>8</v>
      </c>
      <c r="L25" s="302">
        <f>AVERAGE([8]Brewhouse!$AY$44:$AY$51)</f>
        <v>98.126000151084682</v>
      </c>
      <c r="M25" s="302">
        <f>AVERAGE([8]Brewhouse!$AY$5:$AY$14,[8]Brewhouse!$AY$16:$AY$23,[8]Brewhouse!$AY$42,[8]Brewhouse!$AY$44:$AY$51)</f>
        <v>97.608428475776392</v>
      </c>
      <c r="N25" s="30">
        <v>98</v>
      </c>
      <c r="O25" s="11"/>
      <c r="P25" s="31" t="s">
        <v>41</v>
      </c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65" customHeight="1">
      <c r="A26" s="28"/>
      <c r="B26" s="520"/>
      <c r="C26" s="362"/>
      <c r="D26" s="524"/>
      <c r="E26" s="525"/>
      <c r="F26" s="294"/>
      <c r="G26" s="294"/>
      <c r="H26" s="348"/>
      <c r="I26" s="411" t="s">
        <v>158</v>
      </c>
      <c r="J26" s="326"/>
      <c r="K26" s="284"/>
      <c r="L26" s="305"/>
      <c r="M26" s="305"/>
      <c r="N26" s="30">
        <v>98</v>
      </c>
      <c r="O26" s="11"/>
      <c r="P26" s="31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65" customHeight="1">
      <c r="A27" s="28"/>
      <c r="B27" s="520"/>
      <c r="C27" s="349"/>
      <c r="D27" s="529"/>
      <c r="E27" s="530"/>
      <c r="F27" s="294"/>
      <c r="G27" s="294"/>
      <c r="H27" s="348"/>
      <c r="I27" s="410" t="s">
        <v>157</v>
      </c>
      <c r="J27" s="326"/>
      <c r="K27" s="284"/>
      <c r="L27" s="305"/>
      <c r="M27" s="305"/>
      <c r="N27" s="30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  <c r="AA27" s="472"/>
    </row>
    <row r="28" spans="1:27" ht="15" customHeight="1" thickBot="1">
      <c r="A28" s="28"/>
      <c r="B28" s="520"/>
      <c r="C28" s="349"/>
      <c r="D28" s="524"/>
      <c r="E28" s="525"/>
      <c r="F28" s="294"/>
      <c r="G28" s="294"/>
      <c r="H28" s="348"/>
      <c r="I28" s="406" t="s">
        <v>156</v>
      </c>
      <c r="J28" s="327"/>
      <c r="K28" s="407"/>
      <c r="L28" s="408"/>
      <c r="M28" s="408"/>
      <c r="N28" s="409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  <c r="AA28" s="472"/>
    </row>
    <row r="29" spans="1:27" ht="15" customHeight="1" thickBot="1">
      <c r="A29" s="28"/>
      <c r="B29" s="520"/>
      <c r="C29" s="349"/>
      <c r="D29" s="537"/>
      <c r="E29" s="538"/>
      <c r="F29" s="294"/>
      <c r="G29" s="294"/>
      <c r="H29" s="348"/>
      <c r="I29" s="1"/>
      <c r="J29" s="39"/>
      <c r="K29" s="404">
        <f>SUM(K19:K28)</f>
        <v>101</v>
      </c>
      <c r="L29" s="405">
        <f>((L19*K19)+(L20*K20)+(L21*K21)+(L22*K22)+(L23*K23)+(K26*L26)+(L24*K24)+(L25*K25)+(L28*K28))/(K29)</f>
        <v>98.434077401589889</v>
      </c>
      <c r="M29" s="405">
        <f>AVERAGE('[9]Jan30th-31st'!$L$42,L29)</f>
        <v>98.131059568715671</v>
      </c>
      <c r="N29" s="4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  <c r="AA29" s="472"/>
    </row>
    <row r="30" spans="1:27" ht="15.75" thickBot="1">
      <c r="B30" s="536"/>
      <c r="C30" s="350"/>
      <c r="D30" s="539"/>
      <c r="E30" s="525"/>
      <c r="F30" s="294"/>
      <c r="G30" s="42"/>
      <c r="H30" s="41"/>
      <c r="I30" s="42"/>
      <c r="J30" s="42"/>
      <c r="K30" s="351"/>
      <c r="L30" s="348"/>
      <c r="M30" s="348"/>
      <c r="N30" s="11"/>
      <c r="O30" s="294"/>
      <c r="P30" s="12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  <c r="AA30" s="472"/>
    </row>
    <row r="31" spans="1:27" ht="15.75" thickBot="1">
      <c r="B31" s="519"/>
      <c r="C31" s="362"/>
      <c r="D31" s="522"/>
      <c r="E31" s="523"/>
      <c r="F31" s="294"/>
      <c r="G31" s="42"/>
      <c r="H31" s="41"/>
      <c r="I31" s="42"/>
      <c r="J31" s="526" t="s">
        <v>129</v>
      </c>
      <c r="K31" s="526"/>
      <c r="L31" s="294"/>
      <c r="M31" s="294"/>
      <c r="N31" s="294"/>
      <c r="O31" s="294"/>
      <c r="P31" s="12"/>
    </row>
    <row r="32" spans="1:27" ht="15.75" thickBot="1">
      <c r="B32" s="520"/>
      <c r="C32" s="362"/>
      <c r="D32" s="524"/>
      <c r="E32" s="525"/>
      <c r="F32" s="294"/>
      <c r="G32" s="42"/>
      <c r="H32" s="42"/>
      <c r="I32" s="42"/>
      <c r="J32" s="292" t="s">
        <v>17</v>
      </c>
      <c r="K32" s="293" t="s">
        <v>172</v>
      </c>
      <c r="L32" s="527" t="s">
        <v>136</v>
      </c>
      <c r="M32" s="527"/>
      <c r="N32" s="528"/>
      <c r="O32" s="294"/>
      <c r="P32" s="12"/>
    </row>
    <row r="33" spans="2:57" ht="15" customHeight="1" thickBot="1">
      <c r="B33" s="520"/>
      <c r="C33" s="349"/>
      <c r="D33" s="529"/>
      <c r="E33" s="530"/>
      <c r="F33" s="294"/>
      <c r="G33" s="42"/>
      <c r="H33" s="42"/>
      <c r="I33" s="42"/>
      <c r="J33" s="287" t="s">
        <v>6</v>
      </c>
      <c r="K33" s="324">
        <v>2</v>
      </c>
      <c r="L33" s="473" t="s">
        <v>37</v>
      </c>
      <c r="M33" s="474" t="s">
        <v>38</v>
      </c>
      <c r="N33" s="474" t="s">
        <v>84</v>
      </c>
      <c r="O33" s="294"/>
      <c r="P33" s="12"/>
    </row>
    <row r="34" spans="2:57" ht="15.75" customHeight="1" thickBot="1">
      <c r="B34" s="520"/>
      <c r="C34" s="349"/>
      <c r="D34" s="524"/>
      <c r="E34" s="525"/>
      <c r="F34" s="294"/>
      <c r="G34" s="42"/>
      <c r="H34" s="42"/>
      <c r="I34" s="42"/>
      <c r="J34" s="345" t="s">
        <v>9</v>
      </c>
      <c r="K34" s="324"/>
      <c r="L34" s="344">
        <f>AVERAGE('Apr 1st'!K50,K43,'Apr 2nd'!K48,'Apr 7th'!K50,'Apr 8th'!K50,'Apr 9th '!K58,'Apr 10th'!K55,'Apr 13th'!K66,'Apr 14th'!K60,'Apr 15th'!K51,'Apr 16th '!K53,'Apr 20th '!K59,'Apr 21st'!K54)</f>
        <v>7.0769230769230766</v>
      </c>
      <c r="M34" s="325">
        <f>AVERAGE('[9]Jan30th-31st'!$L$47,L34,'[10]Feb 26th '!$L$39,'[11]Mar 31st'!$L$47)</f>
        <v>6.5659698996655518</v>
      </c>
      <c r="N34" s="416">
        <v>9.1999999999999993</v>
      </c>
      <c r="O34" s="294"/>
      <c r="P34" s="12"/>
    </row>
    <row r="35" spans="2:57" ht="15" customHeight="1">
      <c r="B35" s="520"/>
      <c r="C35" s="349"/>
      <c r="D35" s="529"/>
      <c r="E35" s="530"/>
      <c r="F35" s="294"/>
      <c r="G35" s="42"/>
      <c r="H35" s="42"/>
      <c r="I35" s="42"/>
      <c r="J35" s="288" t="s">
        <v>40</v>
      </c>
      <c r="K35" s="324"/>
      <c r="L35" s="294"/>
      <c r="M35" s="294"/>
      <c r="N35" s="294"/>
      <c r="O35" s="294"/>
      <c r="P35" s="12"/>
    </row>
    <row r="36" spans="2:57" ht="15" customHeight="1">
      <c r="B36" s="520"/>
      <c r="C36" s="349"/>
      <c r="D36" s="524"/>
      <c r="E36" s="525"/>
      <c r="F36" s="294"/>
      <c r="G36" s="42"/>
      <c r="H36" s="42"/>
      <c r="I36" s="42"/>
      <c r="J36" s="289" t="s">
        <v>33</v>
      </c>
      <c r="K36" s="324"/>
      <c r="L36" s="294"/>
      <c r="M36" s="294"/>
      <c r="N36" s="294"/>
      <c r="O36" s="294"/>
      <c r="P36" s="12"/>
    </row>
    <row r="37" spans="2:57" ht="15">
      <c r="B37" s="520"/>
      <c r="C37" s="349"/>
      <c r="D37" s="529"/>
      <c r="E37" s="530"/>
      <c r="F37" s="294"/>
      <c r="G37" s="42"/>
      <c r="H37" s="42"/>
      <c r="I37" s="42"/>
      <c r="J37" s="290" t="s">
        <v>16</v>
      </c>
      <c r="K37" s="324"/>
      <c r="L37" s="294"/>
      <c r="M37" s="294"/>
      <c r="N37" s="294"/>
      <c r="O37" s="294"/>
      <c r="P37" s="12"/>
      <c r="BC37" s="44"/>
      <c r="BD37" s="44"/>
    </row>
    <row r="38" spans="2:57" ht="15">
      <c r="B38" s="520"/>
      <c r="C38" s="349"/>
      <c r="D38" s="524"/>
      <c r="E38" s="525"/>
      <c r="F38" s="294"/>
      <c r="G38" s="42"/>
      <c r="H38" s="42"/>
      <c r="I38" s="42"/>
      <c r="J38" s="291" t="s">
        <v>15</v>
      </c>
      <c r="K38" s="324"/>
      <c r="L38" s="294"/>
      <c r="M38" s="294"/>
      <c r="N38" s="294"/>
      <c r="O38" s="294"/>
      <c r="P38" s="12"/>
      <c r="BC38" s="44"/>
      <c r="BD38" s="44"/>
    </row>
    <row r="39" spans="2:57" ht="15">
      <c r="B39" s="520"/>
      <c r="C39" s="349"/>
      <c r="D39" s="529"/>
      <c r="E39" s="530"/>
      <c r="F39" s="294"/>
      <c r="G39" s="42"/>
      <c r="H39" s="42"/>
      <c r="I39" s="42"/>
      <c r="J39" s="291" t="s">
        <v>149</v>
      </c>
      <c r="K39" s="324"/>
      <c r="L39" s="294"/>
      <c r="M39" s="294"/>
      <c r="N39" s="294"/>
      <c r="O39" s="294"/>
      <c r="P39" s="12"/>
      <c r="BC39" s="44"/>
      <c r="BD39" s="44"/>
    </row>
    <row r="40" spans="2:57" ht="15.75" thickBot="1">
      <c r="B40" s="521"/>
      <c r="C40" s="350"/>
      <c r="D40" s="531"/>
      <c r="E40" s="532"/>
      <c r="F40" s="294" t="s">
        <v>166</v>
      </c>
      <c r="G40" s="42"/>
      <c r="H40" s="42"/>
      <c r="I40" s="42"/>
      <c r="J40" s="291" t="s">
        <v>148</v>
      </c>
      <c r="K40" s="324"/>
      <c r="L40" s="294"/>
      <c r="M40" s="294"/>
      <c r="N40" s="294" t="s">
        <v>41</v>
      </c>
      <c r="O40" s="294"/>
      <c r="P40" s="12"/>
      <c r="BC40" s="44"/>
      <c r="BD40" s="44"/>
    </row>
    <row r="41" spans="2:57" ht="17.649999999999999" customHeight="1" thickBot="1">
      <c r="B41" s="312" t="s">
        <v>139</v>
      </c>
      <c r="C41" s="313"/>
      <c r="D41" s="512"/>
      <c r="E41" s="513"/>
      <c r="F41" s="294"/>
      <c r="J41" s="295" t="s">
        <v>134</v>
      </c>
      <c r="K41" s="324"/>
      <c r="L41" s="294"/>
      <c r="M41" s="294"/>
      <c r="N41" s="294"/>
      <c r="O41" s="294"/>
      <c r="P41" s="12"/>
      <c r="BC41" s="44"/>
      <c r="BD41" s="44"/>
    </row>
    <row r="42" spans="2:57" ht="17.649999999999999" customHeight="1">
      <c r="B42" s="363"/>
      <c r="C42" s="364"/>
      <c r="D42" s="365"/>
      <c r="E42" s="365"/>
      <c r="F42" s="294"/>
      <c r="G42" s="42"/>
      <c r="H42" s="42"/>
      <c r="I42" s="42"/>
      <c r="J42" s="295" t="s">
        <v>131</v>
      </c>
      <c r="K42" s="324"/>
      <c r="L42" s="294"/>
      <c r="M42" s="294"/>
      <c r="N42" s="294"/>
      <c r="O42" s="294"/>
      <c r="P42" s="12"/>
      <c r="BC42" s="44"/>
      <c r="BD42" s="44"/>
    </row>
    <row r="43" spans="2:57" ht="15.6" customHeight="1">
      <c r="B43" s="45"/>
      <c r="C43" s="11"/>
      <c r="D43" s="11"/>
      <c r="E43" s="46"/>
      <c r="F43" s="294"/>
      <c r="G43" s="42"/>
      <c r="H43" s="42"/>
      <c r="I43" s="42"/>
      <c r="J43" s="346" t="s">
        <v>130</v>
      </c>
      <c r="K43" s="324">
        <f>SUM(K33:K42)</f>
        <v>2</v>
      </c>
      <c r="L43" s="294"/>
      <c r="M43" s="294"/>
      <c r="N43" s="294"/>
      <c r="O43" s="294"/>
      <c r="P43" s="12"/>
    </row>
    <row r="44" spans="2:57" ht="20.25" customHeight="1">
      <c r="B44" s="15" t="s">
        <v>42</v>
      </c>
      <c r="C44" s="1" t="s">
        <v>43</v>
      </c>
      <c r="D44" s="1"/>
      <c r="E44" s="1"/>
      <c r="F44" s="294"/>
      <c r="G44" s="42"/>
      <c r="H44" s="41"/>
      <c r="I44" s="42"/>
      <c r="L44" s="294"/>
      <c r="N44" s="315"/>
      <c r="P44" s="334"/>
    </row>
    <row r="45" spans="2:57" ht="15" customHeight="1" thickBot="1"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1"/>
      <c r="O45" s="48"/>
      <c r="P45" s="49"/>
    </row>
    <row r="46" spans="2:57" ht="15" customHeight="1" thickBot="1">
      <c r="B46" s="504" t="s">
        <v>17</v>
      </c>
      <c r="C46" s="504" t="s">
        <v>44</v>
      </c>
      <c r="D46" s="515" t="s">
        <v>45</v>
      </c>
      <c r="E46" s="517" t="s">
        <v>46</v>
      </c>
      <c r="F46" s="510" t="s">
        <v>47</v>
      </c>
      <c r="G46" s="502" t="s">
        <v>48</v>
      </c>
      <c r="H46" s="504" t="s">
        <v>49</v>
      </c>
      <c r="I46" s="504" t="s">
        <v>50</v>
      </c>
      <c r="J46" s="496" t="s">
        <v>28</v>
      </c>
      <c r="K46" s="506" t="s">
        <v>51</v>
      </c>
      <c r="L46" s="508" t="s">
        <v>52</v>
      </c>
      <c r="M46" s="496" t="s">
        <v>53</v>
      </c>
      <c r="N46" s="13"/>
      <c r="O46" s="13"/>
      <c r="P46" s="50"/>
    </row>
    <row r="47" spans="2:57" ht="28.5" customHeight="1" thickTop="1" thickBot="1">
      <c r="B47" s="505"/>
      <c r="C47" s="514"/>
      <c r="D47" s="516"/>
      <c r="E47" s="518"/>
      <c r="F47" s="511"/>
      <c r="G47" s="503"/>
      <c r="H47" s="505"/>
      <c r="I47" s="505"/>
      <c r="J47" s="497"/>
      <c r="K47" s="507"/>
      <c r="L47" s="509"/>
      <c r="M47" s="497"/>
      <c r="N47" s="13"/>
      <c r="O47" s="13"/>
      <c r="P47" s="50"/>
      <c r="Q47" s="355"/>
      <c r="AB47" s="475">
        <v>43474</v>
      </c>
      <c r="AC47" s="475">
        <v>43475</v>
      </c>
      <c r="AD47" s="475">
        <v>43476</v>
      </c>
      <c r="AE47" s="475">
        <v>43477</v>
      </c>
      <c r="AF47" s="475">
        <v>43478</v>
      </c>
      <c r="AG47" s="475">
        <v>43479</v>
      </c>
      <c r="AH47" s="475">
        <v>43480</v>
      </c>
      <c r="AI47" s="475">
        <v>43481</v>
      </c>
      <c r="AJ47" s="475">
        <v>43482</v>
      </c>
      <c r="AK47" s="475">
        <v>43483</v>
      </c>
      <c r="AL47" s="475">
        <v>43484</v>
      </c>
      <c r="AM47" s="475">
        <v>43485</v>
      </c>
      <c r="AN47" s="475">
        <v>43486</v>
      </c>
      <c r="AO47" s="475">
        <v>43487</v>
      </c>
      <c r="AP47" s="475">
        <v>43488</v>
      </c>
      <c r="AQ47" s="475">
        <v>43489</v>
      </c>
      <c r="AR47" s="475">
        <v>43490</v>
      </c>
      <c r="AS47" s="475">
        <v>43491</v>
      </c>
      <c r="AT47" s="475">
        <v>43492</v>
      </c>
      <c r="AU47" s="475">
        <v>43493</v>
      </c>
      <c r="AV47" s="475">
        <v>43494</v>
      </c>
      <c r="AW47" s="475">
        <v>43495</v>
      </c>
      <c r="AX47" s="475">
        <v>43496</v>
      </c>
    </row>
    <row r="48" spans="2:57" s="54" customFormat="1" ht="36.75" customHeight="1" thickBot="1">
      <c r="B48" s="480" t="str">
        <f>J33</f>
        <v>CARIB</v>
      </c>
      <c r="C48" s="479">
        <v>46135</v>
      </c>
      <c r="D48" s="442">
        <f>[12]April_2026!$Z$3</f>
        <v>506.00000000000006</v>
      </c>
      <c r="E48" s="443"/>
      <c r="F48" s="444"/>
      <c r="G48" s="445">
        <f>[12]April_2026!$Z$7</f>
        <v>471</v>
      </c>
      <c r="H48" s="458"/>
      <c r="I48" s="458"/>
      <c r="J48" s="448" t="s">
        <v>173</v>
      </c>
      <c r="K48" s="449">
        <f>[13]April_2026!$Z$18</f>
        <v>0.41315789473684211</v>
      </c>
      <c r="L48" s="457">
        <f>(((D48+E48)-G48)/(D48+E48))*100</f>
        <v>6.9169960474308398</v>
      </c>
      <c r="M48" s="455" t="s">
        <v>177</v>
      </c>
      <c r="N48" s="13"/>
      <c r="O48" s="13"/>
      <c r="P48" s="50"/>
      <c r="R48" s="275"/>
      <c r="S48" s="275"/>
      <c r="T48" s="275"/>
      <c r="U48" s="275"/>
      <c r="V48" s="275"/>
      <c r="W48" s="275"/>
      <c r="X48" s="275"/>
      <c r="Y48" s="275"/>
      <c r="Z48" s="275"/>
      <c r="AA48" s="275"/>
      <c r="AB48" s="57">
        <f>[14]January_2019!L5</f>
        <v>0</v>
      </c>
      <c r="AC48" s="57">
        <f>[14]January_2019!M5</f>
        <v>0</v>
      </c>
      <c r="AD48" s="57">
        <f>[14]January_2019!N5</f>
        <v>0</v>
      </c>
      <c r="AE48" s="57">
        <f>[14]January_2019!O5</f>
        <v>0</v>
      </c>
      <c r="AF48" s="57">
        <f>[14]January_2019!P5</f>
        <v>0</v>
      </c>
      <c r="AG48" s="57">
        <f>[14]January_2019!Q5</f>
        <v>0</v>
      </c>
      <c r="AH48" s="57">
        <f>[14]January_2019!R5</f>
        <v>0</v>
      </c>
      <c r="AI48" s="57">
        <f>[14]January_2019!S5</f>
        <v>0</v>
      </c>
      <c r="AJ48" s="57">
        <f>[14]January_2019!T5</f>
        <v>0</v>
      </c>
      <c r="AK48" s="57">
        <f>[14]January_2019!U5</f>
        <v>0</v>
      </c>
      <c r="AL48" s="57">
        <f>[14]January_2019!V5</f>
        <v>0</v>
      </c>
      <c r="AM48" s="57">
        <f>[14]January_2019!W5</f>
        <v>0</v>
      </c>
      <c r="AN48" s="57">
        <f>[14]January_2019!X5</f>
        <v>0</v>
      </c>
      <c r="AO48" s="57">
        <f>[14]January_2019!Y5</f>
        <v>0</v>
      </c>
      <c r="AP48" s="57">
        <f>[14]January_2019!Z5</f>
        <v>0</v>
      </c>
      <c r="AQ48" s="57">
        <f>[14]January_2019!AA5</f>
        <v>0</v>
      </c>
      <c r="AR48" s="57">
        <f>[14]January_2019!AB5</f>
        <v>0</v>
      </c>
      <c r="AS48" s="57">
        <f>[14]January_2019!AC5</f>
        <v>0</v>
      </c>
      <c r="AT48" s="57">
        <f>[14]January_2019!AD5</f>
        <v>0</v>
      </c>
      <c r="AU48" s="57">
        <f>[14]January_2019!AE5</f>
        <v>0</v>
      </c>
      <c r="AV48" s="57">
        <f>[14]January_2019!AF5</f>
        <v>0</v>
      </c>
      <c r="AW48" s="57">
        <f>[14]January_2019!AG5</f>
        <v>0</v>
      </c>
      <c r="AX48" s="277">
        <f>[14]January_2019!AH5</f>
        <v>0</v>
      </c>
      <c r="AY48" s="277"/>
      <c r="AZ48" s="277"/>
      <c r="BA48" s="277"/>
      <c r="BB48" s="277"/>
      <c r="BC48" s="277"/>
      <c r="BD48" s="277"/>
      <c r="BE48" s="277"/>
    </row>
    <row r="49" spans="1:57" s="54" customFormat="1" ht="14.25" customHeight="1" thickBot="1">
      <c r="B49" s="480"/>
      <c r="C49" s="479"/>
      <c r="D49" s="442"/>
      <c r="E49" s="443"/>
      <c r="F49" s="444"/>
      <c r="G49" s="445"/>
      <c r="H49" s="458"/>
      <c r="I49" s="458"/>
      <c r="J49" s="476"/>
      <c r="K49" s="449"/>
      <c r="L49" s="457"/>
      <c r="M49" s="455"/>
      <c r="N49" s="13"/>
      <c r="O49" s="13"/>
      <c r="P49" s="50"/>
      <c r="R49" s="275"/>
      <c r="S49" s="275"/>
      <c r="T49" s="275"/>
      <c r="U49" s="275"/>
      <c r="V49" s="275"/>
      <c r="W49" s="275"/>
      <c r="X49" s="275"/>
      <c r="Y49" s="275"/>
      <c r="Z49" s="275"/>
      <c r="AA49" s="275"/>
      <c r="AB49" s="57">
        <f>[14]January_2019!L6</f>
        <v>0</v>
      </c>
      <c r="AC49" s="57">
        <f>[14]January_2019!M6</f>
        <v>0</v>
      </c>
      <c r="AD49" s="57">
        <f>[14]January_2019!N6</f>
        <v>0</v>
      </c>
      <c r="AE49" s="57">
        <f>[14]January_2019!O6</f>
        <v>0</v>
      </c>
      <c r="AF49" s="57">
        <f>[14]January_2019!P6</f>
        <v>0</v>
      </c>
      <c r="AG49" s="57">
        <f>[14]January_2019!Q6</f>
        <v>0</v>
      </c>
      <c r="AH49" s="57">
        <f>[14]January_2019!R6</f>
        <v>0</v>
      </c>
      <c r="AI49" s="57">
        <f>[14]January_2019!S6</f>
        <v>0</v>
      </c>
      <c r="AJ49" s="57">
        <f>[14]January_2019!T6</f>
        <v>0</v>
      </c>
      <c r="AK49" s="57">
        <f>[14]January_2019!U6</f>
        <v>0</v>
      </c>
      <c r="AL49" s="57">
        <f>[14]January_2019!V6</f>
        <v>0</v>
      </c>
      <c r="AM49" s="57">
        <f>[14]January_2019!W6</f>
        <v>0</v>
      </c>
      <c r="AN49" s="57">
        <f>[14]January_2019!X6</f>
        <v>0</v>
      </c>
      <c r="AO49" s="57">
        <f>[14]January_2019!Y6</f>
        <v>0</v>
      </c>
      <c r="AP49" s="57">
        <f>[14]January_2019!Z6</f>
        <v>0</v>
      </c>
      <c r="AQ49" s="57">
        <f>[14]January_2019!AA6</f>
        <v>0</v>
      </c>
      <c r="AR49" s="57">
        <f>[14]January_2019!AB6</f>
        <v>0</v>
      </c>
      <c r="AS49" s="57">
        <f>[14]January_2019!AC6</f>
        <v>0</v>
      </c>
      <c r="AT49" s="57">
        <f>[14]January_2019!AD6</f>
        <v>0</v>
      </c>
      <c r="AU49" s="57">
        <f>[14]January_2019!AE6</f>
        <v>0</v>
      </c>
      <c r="AV49" s="57">
        <f>[14]January_2019!AF6</f>
        <v>0</v>
      </c>
      <c r="AW49" s="57">
        <f>[14]January_2019!AG6</f>
        <v>0</v>
      </c>
      <c r="AX49" s="277">
        <f>[14]January_2019!AH6</f>
        <v>0</v>
      </c>
      <c r="AY49" s="277"/>
      <c r="AZ49" s="277"/>
      <c r="BA49" s="277"/>
      <c r="BB49" s="277"/>
      <c r="BC49" s="277"/>
      <c r="BD49" s="277"/>
      <c r="BE49" s="277"/>
    </row>
    <row r="50" spans="1:57" s="54" customFormat="1" ht="37.15" hidden="1" customHeight="1" thickBot="1">
      <c r="A50" s="54" t="s">
        <v>168</v>
      </c>
      <c r="B50" s="486"/>
      <c r="C50" s="479"/>
      <c r="D50" s="442"/>
      <c r="E50" s="443"/>
      <c r="F50" s="444"/>
      <c r="G50" s="445"/>
      <c r="H50" s="458"/>
      <c r="I50" s="458"/>
      <c r="J50" s="448"/>
      <c r="K50" s="449"/>
      <c r="L50" s="457"/>
      <c r="M50" s="455"/>
      <c r="N50" s="13"/>
      <c r="O50" s="13"/>
      <c r="P50" s="50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57">
        <f>[14]January_2019!L7</f>
        <v>285.8</v>
      </c>
      <c r="AC50" s="57">
        <f>[14]January_2019!M7</f>
        <v>508.1</v>
      </c>
      <c r="AD50" s="57">
        <f>[14]January_2019!N7</f>
        <v>0</v>
      </c>
      <c r="AE50" s="57">
        <f>[14]January_2019!O7</f>
        <v>0</v>
      </c>
      <c r="AF50" s="57">
        <f>[14]January_2019!P7</f>
        <v>109.56666666666666</v>
      </c>
      <c r="AG50" s="57">
        <f>[14]January_2019!Q7</f>
        <v>297.64999999999998</v>
      </c>
      <c r="AH50" s="57">
        <f>[14]January_2019!R7</f>
        <v>122.3</v>
      </c>
      <c r="AI50" s="57">
        <f>[14]January_2019!S7</f>
        <v>0</v>
      </c>
      <c r="AJ50" s="57">
        <f>[14]January_2019!T7</f>
        <v>294.7</v>
      </c>
      <c r="AK50" s="57">
        <f>[14]January_2019!U7</f>
        <v>280.5</v>
      </c>
      <c r="AL50" s="57">
        <f>[14]January_2019!V7</f>
        <v>0</v>
      </c>
      <c r="AM50" s="57">
        <f>[14]January_2019!W7</f>
        <v>0</v>
      </c>
      <c r="AN50" s="57">
        <f>[14]January_2019!X7</f>
        <v>188.25</v>
      </c>
      <c r="AO50" s="57">
        <f>[14]January_2019!Y7</f>
        <v>295.7</v>
      </c>
      <c r="AP50" s="57">
        <f>[14]January_2019!Z7</f>
        <v>257.8</v>
      </c>
      <c r="AQ50" s="57">
        <f>[14]January_2019!AA7</f>
        <v>291.2</v>
      </c>
      <c r="AR50" s="57">
        <f>[14]January_2019!AB7</f>
        <v>187</v>
      </c>
      <c r="AS50" s="57">
        <f>[14]January_2019!AC7</f>
        <v>0</v>
      </c>
      <c r="AT50" s="57">
        <f>[14]January_2019!AD7</f>
        <v>0</v>
      </c>
      <c r="AU50" s="57">
        <f>[14]January_2019!AE7</f>
        <v>485.1</v>
      </c>
      <c r="AV50" s="57">
        <f>[14]January_2019!AF7</f>
        <v>171.55</v>
      </c>
      <c r="AW50" s="57">
        <f>[14]January_2019!AG7</f>
        <v>423.8</v>
      </c>
      <c r="AX50" s="277">
        <f>[14]January_2019!AH7</f>
        <v>0</v>
      </c>
      <c r="AY50" s="277"/>
      <c r="AZ50" s="277"/>
      <c r="BA50" s="277"/>
      <c r="BB50" s="277"/>
      <c r="BC50" s="277"/>
      <c r="BD50" s="277"/>
      <c r="BE50" s="277"/>
    </row>
    <row r="51" spans="1:57" s="54" customFormat="1" ht="19.5" hidden="1" customHeight="1" thickBot="1">
      <c r="B51" s="478"/>
      <c r="C51" s="430"/>
      <c r="D51" s="431"/>
      <c r="E51" s="432"/>
      <c r="F51" s="433"/>
      <c r="G51" s="434"/>
      <c r="H51" s="458"/>
      <c r="I51" s="458"/>
      <c r="J51" s="451"/>
      <c r="K51" s="436"/>
      <c r="L51" s="452"/>
      <c r="M51" s="421"/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277"/>
      <c r="AY51" s="277"/>
      <c r="AZ51" s="277"/>
      <c r="BA51" s="277"/>
      <c r="BB51" s="277"/>
      <c r="BC51" s="277"/>
      <c r="BD51" s="277"/>
      <c r="BE51" s="277"/>
    </row>
    <row r="52" spans="1:57" s="54" customFormat="1" ht="38.450000000000003" hidden="1" customHeight="1" thickBot="1">
      <c r="B52" s="480"/>
      <c r="C52" s="479"/>
      <c r="D52" s="442"/>
      <c r="E52" s="443"/>
      <c r="F52" s="444"/>
      <c r="G52" s="445"/>
      <c r="H52" s="458"/>
      <c r="I52" s="458"/>
      <c r="J52" s="448" t="s">
        <v>171</v>
      </c>
      <c r="K52" s="459"/>
      <c r="L52" s="457" t="e">
        <f>(((D52+E52)-G52)/(D52+E52))*100</f>
        <v>#DIV/0!</v>
      </c>
      <c r="M52" s="455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277"/>
      <c r="AY52" s="277"/>
      <c r="AZ52" s="277"/>
      <c r="BA52" s="277"/>
      <c r="BB52" s="277"/>
      <c r="BC52" s="277"/>
      <c r="BD52" s="277"/>
      <c r="BE52" s="277"/>
    </row>
    <row r="53" spans="1:57" s="54" customFormat="1" ht="15" hidden="1">
      <c r="B53" s="453"/>
      <c r="C53" s="430"/>
      <c r="D53" s="431"/>
      <c r="E53" s="432"/>
      <c r="F53" s="433"/>
      <c r="G53" s="434"/>
      <c r="H53" s="435"/>
      <c r="I53" s="450"/>
      <c r="J53" s="451"/>
      <c r="K53" s="436"/>
      <c r="L53" s="452"/>
      <c r="M53" s="421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1:57" s="54" customFormat="1" ht="37.15" hidden="1" customHeight="1" thickBot="1">
      <c r="B54" s="480"/>
      <c r="C54" s="479"/>
      <c r="D54" s="442"/>
      <c r="E54" s="443"/>
      <c r="F54" s="444"/>
      <c r="G54" s="445"/>
      <c r="H54" s="446"/>
      <c r="I54" s="447"/>
      <c r="J54" s="448"/>
      <c r="K54" s="44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1:57" s="54" customFormat="1" ht="16.5" hidden="1" customHeight="1" thickBot="1">
      <c r="B55" s="437"/>
      <c r="C55" s="423"/>
      <c r="D55" s="424"/>
      <c r="E55" s="425"/>
      <c r="F55" s="426"/>
      <c r="G55" s="427"/>
      <c r="H55" s="428"/>
      <c r="I55" s="438"/>
      <c r="J55" s="439"/>
      <c r="K55" s="429"/>
      <c r="L55" s="440"/>
      <c r="M55" s="422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415"/>
      <c r="AC55" s="415"/>
      <c r="AD55" s="415"/>
      <c r="AE55" s="415"/>
      <c r="AF55" s="415"/>
      <c r="AG55" s="415"/>
      <c r="AH55" s="415"/>
      <c r="AI55" s="415"/>
      <c r="AJ55" s="415"/>
      <c r="AK55" s="415"/>
      <c r="AL55" s="415"/>
      <c r="AM55" s="415"/>
      <c r="AN55" s="415"/>
      <c r="AO55" s="415"/>
      <c r="AP55" s="415"/>
      <c r="AQ55" s="415"/>
      <c r="AR55" s="415"/>
      <c r="AS55" s="415"/>
      <c r="AT55" s="415"/>
      <c r="AU55" s="415"/>
      <c r="AV55" s="415"/>
      <c r="AW55" s="415"/>
    </row>
    <row r="56" spans="1:57" s="54" customFormat="1" ht="37.15" hidden="1" customHeight="1" thickBot="1">
      <c r="B56" s="456"/>
      <c r="C56" s="441"/>
      <c r="D56" s="442"/>
      <c r="E56" s="443"/>
      <c r="F56" s="444"/>
      <c r="G56" s="445"/>
      <c r="H56" s="446"/>
      <c r="I56" s="447"/>
      <c r="J56" s="448"/>
      <c r="K56" s="449"/>
      <c r="L56" s="457"/>
      <c r="M56" s="454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1:57" s="54" customFormat="1" ht="37.15" customHeight="1">
      <c r="B57" s="466"/>
      <c r="C57" s="430"/>
      <c r="D57" s="460"/>
      <c r="E57" s="461"/>
      <c r="F57" s="462"/>
      <c r="G57" s="460"/>
      <c r="H57" s="463"/>
      <c r="I57" s="463"/>
      <c r="J57" s="463"/>
      <c r="K57" s="464"/>
      <c r="L57" s="465"/>
      <c r="M57" s="50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1:57" ht="18" customHeight="1" thickBot="1">
      <c r="B58" s="59"/>
      <c r="C58" s="30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 t="s">
        <v>41</v>
      </c>
      <c r="O58" s="56"/>
      <c r="P58" s="60"/>
    </row>
    <row r="59" spans="1:57" ht="15.75" thickBot="1">
      <c r="B59" s="498" t="s">
        <v>55</v>
      </c>
      <c r="C59" s="499"/>
      <c r="D59" s="499"/>
      <c r="E59" s="499"/>
      <c r="F59" s="500"/>
      <c r="G59" s="498" t="s">
        <v>56</v>
      </c>
      <c r="H59" s="499"/>
      <c r="I59" s="499"/>
      <c r="J59" s="500"/>
      <c r="K59" s="498" t="s">
        <v>51</v>
      </c>
      <c r="L59" s="499"/>
      <c r="M59" s="499"/>
      <c r="N59" s="501"/>
      <c r="O59" s="56"/>
      <c r="P59" s="50"/>
    </row>
    <row r="60" spans="1:57" ht="15">
      <c r="B60" s="61" t="s">
        <v>17</v>
      </c>
      <c r="C60" s="62" t="s">
        <v>36</v>
      </c>
      <c r="D60" s="62" t="s">
        <v>37</v>
      </c>
      <c r="E60" s="62" t="s">
        <v>38</v>
      </c>
      <c r="F60" s="63" t="s">
        <v>39</v>
      </c>
      <c r="G60" s="62" t="s">
        <v>36</v>
      </c>
      <c r="H60" s="62" t="s">
        <v>37</v>
      </c>
      <c r="I60" s="62" t="s">
        <v>38</v>
      </c>
      <c r="J60" s="63" t="s">
        <v>39</v>
      </c>
      <c r="K60" s="62"/>
      <c r="L60" s="62" t="s">
        <v>37</v>
      </c>
      <c r="M60" s="62" t="s">
        <v>38</v>
      </c>
      <c r="N60" s="63" t="s">
        <v>39</v>
      </c>
      <c r="O60" s="56"/>
      <c r="P60" s="64"/>
    </row>
    <row r="61" spans="1:57" ht="15">
      <c r="B61" s="29" t="s">
        <v>6</v>
      </c>
      <c r="C61" s="282">
        <f>L48</f>
        <v>6.9169960474308398</v>
      </c>
      <c r="D61" s="76">
        <v>5.9540000604467274</v>
      </c>
      <c r="E61" s="76">
        <v>6.641402233544599</v>
      </c>
      <c r="F61" s="66">
        <v>4.8</v>
      </c>
      <c r="G61" s="65">
        <f>[12]April_2026!$Z$11</f>
        <v>6.618413837478732</v>
      </c>
      <c r="H61" s="477">
        <v>5.1755094667740584</v>
      </c>
      <c r="I61" s="477">
        <v>6.3173615715345912</v>
      </c>
      <c r="J61" s="66">
        <v>4.8</v>
      </c>
      <c r="K61" s="67">
        <f>K48</f>
        <v>0.41315789473684211</v>
      </c>
      <c r="L61" s="194">
        <v>0.83891812865497073</v>
      </c>
      <c r="M61" s="194">
        <v>0.51665819044416872</v>
      </c>
      <c r="N61" s="68">
        <v>1</v>
      </c>
      <c r="O61" s="56"/>
      <c r="P61" s="69"/>
    </row>
    <row r="62" spans="1:57" ht="15">
      <c r="B62" s="33" t="s">
        <v>9</v>
      </c>
      <c r="C62" s="65"/>
      <c r="D62" s="76">
        <v>5.0820509908579874</v>
      </c>
      <c r="E62" s="76">
        <v>6.0381962328388186</v>
      </c>
      <c r="F62" s="66">
        <v>4.8</v>
      </c>
      <c r="G62" s="65"/>
      <c r="H62" s="76">
        <v>4.1850647594467709</v>
      </c>
      <c r="I62" s="76">
        <v>5.7352072273261401</v>
      </c>
      <c r="J62" s="66">
        <v>4.8</v>
      </c>
      <c r="K62" s="67"/>
      <c r="L62" s="194">
        <v>1.0770760233918131</v>
      </c>
      <c r="M62" s="194">
        <v>0.74373732819034111</v>
      </c>
      <c r="N62" s="68">
        <v>1</v>
      </c>
      <c r="P62" s="69"/>
    </row>
    <row r="63" spans="1:57" ht="15">
      <c r="B63" s="34" t="s">
        <v>40</v>
      </c>
      <c r="C63" s="65"/>
      <c r="D63" s="76">
        <v>10.917759237187118</v>
      </c>
      <c r="E63" s="76">
        <v>12.019739161085637</v>
      </c>
      <c r="F63" s="66">
        <v>5.5</v>
      </c>
      <c r="G63" s="65"/>
      <c r="H63" s="76">
        <v>10.858502880677971</v>
      </c>
      <c r="I63" s="76">
        <v>13.201587402597006</v>
      </c>
      <c r="J63" s="66">
        <v>5.5</v>
      </c>
      <c r="K63" s="67"/>
      <c r="L63" s="194">
        <v>0.16390350877192983</v>
      </c>
      <c r="M63" s="194">
        <v>0.2727383040935672</v>
      </c>
      <c r="N63" s="68">
        <v>1</v>
      </c>
      <c r="P63" s="69"/>
    </row>
    <row r="64" spans="1:57" ht="15">
      <c r="B64" s="22" t="s">
        <v>33</v>
      </c>
      <c r="C64" s="65"/>
      <c r="D64" s="76"/>
      <c r="E64" s="76">
        <v>4.601418358346991</v>
      </c>
      <c r="F64" s="66">
        <v>3.3</v>
      </c>
      <c r="G64" s="65"/>
      <c r="H64" s="76"/>
      <c r="I64" s="76">
        <v>4.3274739720788533</v>
      </c>
      <c r="J64" s="66">
        <v>3.3</v>
      </c>
      <c r="K64" s="67"/>
      <c r="L64" s="194"/>
      <c r="M64" s="194">
        <v>0.8292543859649123</v>
      </c>
      <c r="N64" s="68">
        <v>1</v>
      </c>
      <c r="P64" s="69"/>
    </row>
    <row r="65" spans="2:16" ht="15">
      <c r="B65" s="35" t="s">
        <v>164</v>
      </c>
      <c r="C65" s="65"/>
      <c r="D65" s="76"/>
      <c r="E65" s="76"/>
      <c r="F65" s="66">
        <v>3.3</v>
      </c>
      <c r="G65" s="282"/>
      <c r="H65" s="76"/>
      <c r="I65" s="76"/>
      <c r="J65" s="66">
        <v>3</v>
      </c>
      <c r="K65" s="67"/>
      <c r="L65" s="194"/>
      <c r="M65" s="194"/>
      <c r="N65" s="68">
        <v>1</v>
      </c>
      <c r="P65" s="69"/>
    </row>
    <row r="66" spans="2:16" ht="15">
      <c r="B66" s="36" t="s">
        <v>15</v>
      </c>
      <c r="C66" s="65"/>
      <c r="D66" s="76"/>
      <c r="E66" s="76">
        <v>5.1105651105651271</v>
      </c>
      <c r="F66" s="70">
        <f>[15]May_2022!$M$43</f>
        <v>3.4878406700073312</v>
      </c>
      <c r="G66" s="282"/>
      <c r="H66" s="76"/>
      <c r="I66" s="76">
        <v>7.9131369535794072</v>
      </c>
      <c r="J66" s="66">
        <v>5.5</v>
      </c>
      <c r="K66" s="67"/>
      <c r="L66" s="194"/>
      <c r="M66" s="194">
        <v>1.3550877192982456</v>
      </c>
      <c r="N66" s="68">
        <v>1</v>
      </c>
      <c r="P66" s="69"/>
    </row>
    <row r="67" spans="2:16" ht="15">
      <c r="B67" s="37" t="s">
        <v>16</v>
      </c>
      <c r="C67" s="65"/>
      <c r="D67" s="76"/>
      <c r="E67" s="76">
        <v>3.9654240950837312</v>
      </c>
      <c r="F67" s="66">
        <v>3.3</v>
      </c>
      <c r="G67" s="282"/>
      <c r="H67" s="76"/>
      <c r="I67" s="76">
        <v>5.0010391616318897</v>
      </c>
      <c r="J67" s="66">
        <v>3.3</v>
      </c>
      <c r="K67" s="67"/>
      <c r="L67" s="194"/>
      <c r="M67" s="194">
        <v>0.93295906432748543</v>
      </c>
      <c r="N67" s="71">
        <v>1</v>
      </c>
      <c r="P67" s="69"/>
    </row>
    <row r="68" spans="2:16" ht="15.75" thickBot="1">
      <c r="B68" s="38" t="s">
        <v>163</v>
      </c>
      <c r="C68" s="65"/>
      <c r="D68" s="76"/>
      <c r="E68" s="76"/>
      <c r="F68" s="66">
        <v>7.5</v>
      </c>
      <c r="G68" s="282"/>
      <c r="H68" s="76"/>
      <c r="I68" s="76"/>
      <c r="J68" s="66">
        <v>7.5</v>
      </c>
      <c r="K68" s="67"/>
      <c r="L68" s="194"/>
      <c r="M68" s="194"/>
      <c r="N68" s="71">
        <v>1</v>
      </c>
      <c r="P68" s="69"/>
    </row>
    <row r="69" spans="2:16" ht="15.75" thickBot="1">
      <c r="B69" s="414" t="s">
        <v>161</v>
      </c>
      <c r="C69" s="65"/>
      <c r="D69" s="76"/>
      <c r="E69" s="76"/>
      <c r="F69" s="66">
        <v>4.8</v>
      </c>
      <c r="G69" s="282"/>
      <c r="H69" s="76"/>
      <c r="I69" s="76"/>
      <c r="J69" s="66">
        <v>4.8</v>
      </c>
      <c r="K69" s="67"/>
      <c r="L69" s="194"/>
      <c r="M69" s="194"/>
      <c r="N69" s="71">
        <v>1</v>
      </c>
      <c r="O69" s="74"/>
      <c r="P69" s="75"/>
    </row>
    <row r="70" spans="2:16" ht="15">
      <c r="D70" s="76">
        <v>6.0535951760698437</v>
      </c>
      <c r="E70" s="76">
        <v>6.502930505163274</v>
      </c>
      <c r="F70" s="341">
        <v>5.5</v>
      </c>
      <c r="H70" s="76">
        <v>5.604993728751003</v>
      </c>
      <c r="I70" s="76">
        <v>6.5671101124408517</v>
      </c>
      <c r="J70" s="341">
        <v>5.5</v>
      </c>
      <c r="L70" s="194">
        <v>0.8417366332497912</v>
      </c>
      <c r="M70" s="194">
        <v>0.59695057622689207</v>
      </c>
      <c r="N70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17:N17"/>
    <mergeCell ref="D18:E18"/>
    <mergeCell ref="B19:B30"/>
    <mergeCell ref="D19:E20"/>
    <mergeCell ref="D21:E22"/>
    <mergeCell ref="D23:E24"/>
    <mergeCell ref="D25:E26"/>
    <mergeCell ref="D27:E28"/>
    <mergeCell ref="D29:E30"/>
    <mergeCell ref="B31:B40"/>
    <mergeCell ref="D31:E32"/>
    <mergeCell ref="J31:K31"/>
    <mergeCell ref="L32:N32"/>
    <mergeCell ref="D33:E34"/>
    <mergeCell ref="D35:E36"/>
    <mergeCell ref="D37:E38"/>
    <mergeCell ref="D39:E40"/>
    <mergeCell ref="D41:E41"/>
    <mergeCell ref="B46:B47"/>
    <mergeCell ref="C46:C47"/>
    <mergeCell ref="D46:D47"/>
    <mergeCell ref="E46:E47"/>
    <mergeCell ref="M46:M47"/>
    <mergeCell ref="B59:F59"/>
    <mergeCell ref="G59:J59"/>
    <mergeCell ref="K59:N59"/>
    <mergeCell ref="G46:G47"/>
    <mergeCell ref="H46:H47"/>
    <mergeCell ref="I46:I47"/>
    <mergeCell ref="J46:J47"/>
    <mergeCell ref="K46:K47"/>
    <mergeCell ref="L46:L47"/>
    <mergeCell ref="F46:F47"/>
  </mergeCells>
  <conditionalFormatting sqref="B41:B42">
    <cfRule type="cellIs" dxfId="1031" priority="78" operator="notBetween">
      <formula>#REF!</formula>
      <formula>#REF!</formula>
    </cfRule>
  </conditionalFormatting>
  <conditionalFormatting sqref="C45">
    <cfRule type="cellIs" dxfId="1030" priority="172" stopIfTrue="1" operator="lessThan">
      <formula>96</formula>
    </cfRule>
    <cfRule type="cellIs" dxfId="1029" priority="173" stopIfTrue="1" operator="greaterThan">
      <formula>100</formula>
    </cfRule>
  </conditionalFormatting>
  <conditionalFormatting sqref="C61:C65">
    <cfRule type="cellIs" dxfId="1028" priority="141" stopIfTrue="1" operator="lessThanOrEqual">
      <formula>0</formula>
    </cfRule>
  </conditionalFormatting>
  <conditionalFormatting sqref="C61:C69">
    <cfRule type="cellIs" dxfId="1027" priority="140" stopIfTrue="1" operator="greaterThan">
      <formula>$F61</formula>
    </cfRule>
  </conditionalFormatting>
  <conditionalFormatting sqref="C62">
    <cfRule type="cellIs" dxfId="1026" priority="174" stopIfTrue="1" operator="greaterThan">
      <formula>$F61</formula>
    </cfRule>
  </conditionalFormatting>
  <conditionalFormatting sqref="C66">
    <cfRule type="cellIs" dxfId="1025" priority="103" stopIfTrue="1" operator="greaterThan">
      <formula>$F65</formula>
    </cfRule>
    <cfRule type="cellIs" dxfId="1024" priority="102" stopIfTrue="1" operator="lessThanOrEqual">
      <formula>0</formula>
    </cfRule>
  </conditionalFormatting>
  <conditionalFormatting sqref="C67:C69">
    <cfRule type="cellIs" dxfId="1023" priority="142" stopIfTrue="1" operator="lessThanOrEqual">
      <formula>0</formula>
    </cfRule>
  </conditionalFormatting>
  <conditionalFormatting sqref="C72:C76">
    <cfRule type="cellIs" dxfId="1022" priority="164" stopIfTrue="1" operator="lessThanOrEqual">
      <formula>0</formula>
    </cfRule>
  </conditionalFormatting>
  <conditionalFormatting sqref="C73:C76">
    <cfRule type="cellIs" dxfId="1021" priority="163" stopIfTrue="1" operator="greaterThan">
      <formula>$F$72</formula>
    </cfRule>
  </conditionalFormatting>
  <conditionalFormatting sqref="C78">
    <cfRule type="cellIs" dxfId="1020" priority="165" stopIfTrue="1" operator="greaterThan">
      <formula>$F$72</formula>
    </cfRule>
    <cfRule type="cellIs" dxfId="1019" priority="166" stopIfTrue="1" operator="lessThanOrEqual">
      <formula>0</formula>
    </cfRule>
  </conditionalFormatting>
  <conditionalFormatting sqref="C72:D72 D74:D80">
    <cfRule type="cellIs" dxfId="1018" priority="158" stopIfTrue="1" operator="greaterThan">
      <formula>4.5</formula>
    </cfRule>
  </conditionalFormatting>
  <conditionalFormatting sqref="D41:D42">
    <cfRule type="cellIs" dxfId="1017" priority="79" operator="notBetween">
      <formula>#REF!</formula>
      <formula>#REF!</formula>
    </cfRule>
  </conditionalFormatting>
  <conditionalFormatting sqref="D61:D68">
    <cfRule type="cellIs" dxfId="1016" priority="53" stopIfTrue="1" operator="lessThanOrEqual">
      <formula>0</formula>
    </cfRule>
  </conditionalFormatting>
  <conditionalFormatting sqref="D61:D70">
    <cfRule type="cellIs" dxfId="1015" priority="36" stopIfTrue="1" operator="lessThanOrEqual">
      <formula>0</formula>
    </cfRule>
  </conditionalFormatting>
  <conditionalFormatting sqref="D69">
    <cfRule type="cellIs" dxfId="1014" priority="52" stopIfTrue="1" operator="lessThanOrEqual">
      <formula>0</formula>
    </cfRule>
  </conditionalFormatting>
  <conditionalFormatting sqref="D70">
    <cfRule type="cellIs" dxfId="1013" priority="49" stopIfTrue="1" operator="lessThanOrEqual">
      <formula>0</formula>
    </cfRule>
  </conditionalFormatting>
  <conditionalFormatting sqref="D72 D74:D80">
    <cfRule type="cellIs" dxfId="1012" priority="159" stopIfTrue="1" operator="lessThanOrEqual">
      <formula>0</formula>
    </cfRule>
  </conditionalFormatting>
  <conditionalFormatting sqref="D73">
    <cfRule type="cellIs" dxfId="1011" priority="150" stopIfTrue="1" operator="greaterThan">
      <formula>$F$72</formula>
    </cfRule>
    <cfRule type="cellIs" dxfId="1010" priority="151" stopIfTrue="1" operator="lessThanOrEqual">
      <formula>0</formula>
    </cfRule>
  </conditionalFormatting>
  <conditionalFormatting sqref="D61:E70">
    <cfRule type="cellIs" dxfId="1009" priority="38" stopIfTrue="1" operator="greaterThan">
      <formula>$F61</formula>
    </cfRule>
  </conditionalFormatting>
  <conditionalFormatting sqref="D70:E70">
    <cfRule type="cellIs" dxfId="1008" priority="40" stopIfTrue="1" operator="lessThanOrEqual">
      <formula>0</formula>
    </cfRule>
  </conditionalFormatting>
  <conditionalFormatting sqref="E10:E16">
    <cfRule type="cellIs" dxfId="1007" priority="25" operator="lessThan">
      <formula>48</formula>
    </cfRule>
  </conditionalFormatting>
  <conditionalFormatting sqref="E44 E45:F45">
    <cfRule type="cellIs" dxfId="1006" priority="155" stopIfTrue="1" operator="greaterThan">
      <formula>100</formula>
    </cfRule>
  </conditionalFormatting>
  <conditionalFormatting sqref="E45">
    <cfRule type="cellIs" dxfId="1005" priority="152" stopIfTrue="1" operator="lessThan">
      <formula>96.8</formula>
    </cfRule>
    <cfRule type="cellIs" dxfId="1004" priority="153" stopIfTrue="1" operator="greaterThan">
      <formula>100</formula>
    </cfRule>
  </conditionalFormatting>
  <conditionalFormatting sqref="E61:E69">
    <cfRule type="cellIs" dxfId="1003" priority="37" stopIfTrue="1" operator="lessThanOrEqual">
      <formula>0</formula>
    </cfRule>
  </conditionalFormatting>
  <conditionalFormatting sqref="E61:E70">
    <cfRule type="cellIs" dxfId="1002" priority="39" stopIfTrue="1" operator="lessThanOrEqual">
      <formula>0</formula>
    </cfRule>
  </conditionalFormatting>
  <conditionalFormatting sqref="E72:E80">
    <cfRule type="cellIs" dxfId="1001" priority="144" stopIfTrue="1" operator="greaterThan">
      <formula>4.5</formula>
    </cfRule>
    <cfRule type="cellIs" dxfId="1000" priority="145" stopIfTrue="1" operator="lessThanOrEqual">
      <formula>0</formula>
    </cfRule>
  </conditionalFormatting>
  <conditionalFormatting sqref="E45:F45 E44">
    <cfRule type="cellIs" dxfId="999" priority="154" stopIfTrue="1" operator="lessThan">
      <formula>96.5</formula>
    </cfRule>
  </conditionalFormatting>
  <conditionalFormatting sqref="F10:F16">
    <cfRule type="cellIs" dxfId="998" priority="29" operator="greaterThan">
      <formula>60</formula>
    </cfRule>
  </conditionalFormatting>
  <conditionalFormatting sqref="F45">
    <cfRule type="cellIs" dxfId="997" priority="170" stopIfTrue="1" operator="lessThan">
      <formula>96.8</formula>
    </cfRule>
    <cfRule type="cellIs" dxfId="996" priority="171" stopIfTrue="1" operator="greaterThan">
      <formula>100</formula>
    </cfRule>
  </conditionalFormatting>
  <conditionalFormatting sqref="F70">
    <cfRule type="cellIs" dxfId="995" priority="51" stopIfTrue="1" operator="lessThanOrEqual">
      <formula>0</formula>
    </cfRule>
    <cfRule type="cellIs" dxfId="994" priority="50" stopIfTrue="1" operator="greaterThan">
      <formula>$F70</formula>
    </cfRule>
  </conditionalFormatting>
  <conditionalFormatting sqref="G10:G16">
    <cfRule type="expression" dxfId="993" priority="26">
      <formula>IF(+(IF(G10&lt;S10,0,IF(G10&gt;T10,0,1)))=0,1)</formula>
    </cfRule>
  </conditionalFormatting>
  <conditionalFormatting sqref="G61:G62">
    <cfRule type="cellIs" dxfId="992" priority="55" stopIfTrue="1" operator="lessThanOrEqual">
      <formula>0</formula>
    </cfRule>
    <cfRule type="cellIs" dxfId="991" priority="54" stopIfTrue="1" operator="greaterThan">
      <formula>$F61</formula>
    </cfRule>
  </conditionalFormatting>
  <conditionalFormatting sqref="G61:G64">
    <cfRule type="cellIs" dxfId="990" priority="4" stopIfTrue="1" operator="lessThanOrEqual">
      <formula>0</formula>
    </cfRule>
    <cfRule type="cellIs" dxfId="989" priority="3" stopIfTrue="1" operator="greaterThan">
      <formula>$F61</formula>
    </cfRule>
  </conditionalFormatting>
  <conditionalFormatting sqref="G63">
    <cfRule type="cellIs" dxfId="988" priority="1" stopIfTrue="1" operator="greaterThan">
      <formula>$F63</formula>
    </cfRule>
    <cfRule type="cellIs" dxfId="987" priority="2" stopIfTrue="1" operator="lessThanOrEqual">
      <formula>0</formula>
    </cfRule>
  </conditionalFormatting>
  <conditionalFormatting sqref="G64">
    <cfRule type="cellIs" dxfId="986" priority="44" stopIfTrue="1" operator="greaterThan">
      <formula>$F64</formula>
    </cfRule>
    <cfRule type="cellIs" dxfId="985" priority="45" stopIfTrue="1" operator="lessThanOrEqual">
      <formula>0</formula>
    </cfRule>
  </conditionalFormatting>
  <conditionalFormatting sqref="G65:G69">
    <cfRule type="cellIs" dxfId="984" priority="56" stopIfTrue="1" operator="greaterThan">
      <formula>$J65</formula>
    </cfRule>
    <cfRule type="cellIs" dxfId="983" priority="57" stopIfTrue="1" operator="lessThanOrEqual">
      <formula>0</formula>
    </cfRule>
  </conditionalFormatting>
  <conditionalFormatting sqref="G74:G79 C77 C79">
    <cfRule type="cellIs" dxfId="982" priority="168" stopIfTrue="1" operator="lessThanOrEqual">
      <formula>0</formula>
    </cfRule>
    <cfRule type="cellIs" dxfId="981" priority="167" stopIfTrue="1" operator="greaterThan">
      <formula>4.5</formula>
    </cfRule>
  </conditionalFormatting>
  <conditionalFormatting sqref="G73:H73">
    <cfRule type="cellIs" dxfId="980" priority="149" stopIfTrue="1" operator="lessThanOrEqual">
      <formula>0</formula>
    </cfRule>
    <cfRule type="cellIs" dxfId="979" priority="148" stopIfTrue="1" operator="greaterThan">
      <formula>$F$72</formula>
    </cfRule>
  </conditionalFormatting>
  <conditionalFormatting sqref="H30:H31 H44">
    <cfRule type="cellIs" dxfId="978" priority="146" stopIfTrue="1" operator="greaterThan">
      <formula>0</formula>
    </cfRule>
  </conditionalFormatting>
  <conditionalFormatting sqref="H48">
    <cfRule type="cellIs" dxfId="977" priority="16" stopIfTrue="1" operator="lessThanOrEqual">
      <formula>0</formula>
    </cfRule>
    <cfRule type="cellIs" dxfId="976" priority="6" stopIfTrue="1" operator="lessThanOrEqual">
      <formula>0</formula>
    </cfRule>
    <cfRule type="cellIs" dxfId="975" priority="7" stopIfTrue="1" operator="greaterThan">
      <formula>$F$58</formula>
    </cfRule>
    <cfRule type="cellIs" dxfId="974" priority="15" stopIfTrue="1" operator="greaterThan">
      <formula>$F$61</formula>
    </cfRule>
    <cfRule type="cellIs" dxfId="973" priority="17" stopIfTrue="1" operator="greaterThan">
      <formula>$F$59</formula>
    </cfRule>
    <cfRule type="cellIs" dxfId="972" priority="18" stopIfTrue="1" operator="lessThanOrEqual">
      <formula>0</formula>
    </cfRule>
  </conditionalFormatting>
  <conditionalFormatting sqref="H49:H52">
    <cfRule type="cellIs" dxfId="971" priority="72" stopIfTrue="1" operator="greaterThan">
      <formula>$F$62</formula>
    </cfRule>
    <cfRule type="cellIs" dxfId="970" priority="70" stopIfTrue="1" operator="greaterThan">
      <formula>$F$64</formula>
    </cfRule>
    <cfRule type="cellIs" dxfId="969" priority="71" stopIfTrue="1" operator="lessThanOrEqual">
      <formula>0</formula>
    </cfRule>
    <cfRule type="cellIs" dxfId="968" priority="61" stopIfTrue="1" operator="lessThanOrEqual">
      <formula>0</formula>
    </cfRule>
    <cfRule type="cellIs" dxfId="967" priority="62" stopIfTrue="1" operator="greaterThan">
      <formula>$F$61</formula>
    </cfRule>
    <cfRule type="cellIs" dxfId="966" priority="73" stopIfTrue="1" operator="lessThanOrEqual">
      <formula>0</formula>
    </cfRule>
  </conditionalFormatting>
  <conditionalFormatting sqref="H53:H54">
    <cfRule type="cellIs" dxfId="965" priority="105" stopIfTrue="1" operator="lessThanOrEqual">
      <formula>0</formula>
    </cfRule>
    <cfRule type="cellIs" dxfId="964" priority="117" stopIfTrue="1" operator="lessThanOrEqual">
      <formula>0</formula>
    </cfRule>
    <cfRule type="cellIs" dxfId="963" priority="116" stopIfTrue="1" operator="greaterThan">
      <formula>#REF!</formula>
    </cfRule>
    <cfRule type="cellIs" dxfId="962" priority="115" stopIfTrue="1" operator="lessThanOrEqual">
      <formula>0</formula>
    </cfRule>
    <cfRule type="cellIs" dxfId="961" priority="106" stopIfTrue="1" operator="greaterThan">
      <formula>#REF!</formula>
    </cfRule>
    <cfRule type="cellIs" dxfId="960" priority="114" stopIfTrue="1" operator="greaterThan">
      <formula>$F$16</formula>
    </cfRule>
  </conditionalFormatting>
  <conditionalFormatting sqref="H55">
    <cfRule type="cellIs" dxfId="959" priority="130" stopIfTrue="1" operator="greaterThan">
      <formula>$F$30</formula>
    </cfRule>
    <cfRule type="cellIs" dxfId="958" priority="131" stopIfTrue="1" operator="lessThanOrEqual">
      <formula>0</formula>
    </cfRule>
    <cfRule type="cellIs" dxfId="957" priority="120" stopIfTrue="1" operator="greaterThan">
      <formula>$F$29</formula>
    </cfRule>
    <cfRule type="cellIs" dxfId="956" priority="119" stopIfTrue="1" operator="lessThanOrEqual">
      <formula>0</formula>
    </cfRule>
    <cfRule type="cellIs" dxfId="955" priority="128" stopIfTrue="1" operator="greaterThan">
      <formula>$F$32</formula>
    </cfRule>
    <cfRule type="cellIs" dxfId="954" priority="129" stopIfTrue="1" operator="lessThanOrEqual">
      <formula>0</formula>
    </cfRule>
  </conditionalFormatting>
  <conditionalFormatting sqref="H56:H57">
    <cfRule type="cellIs" dxfId="953" priority="98" stopIfTrue="1" operator="greaterThan">
      <formula>$F$16</formula>
    </cfRule>
    <cfRule type="cellIs" dxfId="952" priority="90" stopIfTrue="1" operator="greaterThan">
      <formula>#REF!</formula>
    </cfRule>
    <cfRule type="cellIs" dxfId="951" priority="99" stopIfTrue="1" operator="lessThanOrEqual">
      <formula>0</formula>
    </cfRule>
    <cfRule type="cellIs" dxfId="950" priority="100" stopIfTrue="1" operator="greaterThan">
      <formula>#REF!</formula>
    </cfRule>
    <cfRule type="cellIs" dxfId="949" priority="101" stopIfTrue="1" operator="lessThanOrEqual">
      <formula>0</formula>
    </cfRule>
    <cfRule type="cellIs" dxfId="948" priority="89" stopIfTrue="1" operator="lessThanOrEqual">
      <formula>0</formula>
    </cfRule>
  </conditionalFormatting>
  <conditionalFormatting sqref="H72 H74:H80">
    <cfRule type="cellIs" dxfId="947" priority="160" stopIfTrue="1" operator="greaterThan">
      <formula>4.5</formula>
    </cfRule>
    <cfRule type="cellIs" dxfId="946" priority="161" stopIfTrue="1" operator="lessThanOrEqual">
      <formula>0</formula>
    </cfRule>
  </conditionalFormatting>
  <conditionalFormatting sqref="H48:I48">
    <cfRule type="cellIs" dxfId="945" priority="8" stopIfTrue="1" operator="lessThanOrEqual">
      <formula>0</formula>
    </cfRule>
    <cfRule type="cellIs" dxfId="944" priority="5" stopIfTrue="1" operator="greaterThan">
      <formula>$F$60</formula>
    </cfRule>
  </conditionalFormatting>
  <conditionalFormatting sqref="H49:I52">
    <cfRule type="cellIs" dxfId="943" priority="60" stopIfTrue="1" operator="greaterThan">
      <formula>$F$63</formula>
    </cfRule>
    <cfRule type="cellIs" dxfId="942" priority="63" stopIfTrue="1" operator="lessThanOrEqual">
      <formula>0</formula>
    </cfRule>
  </conditionalFormatting>
  <conditionalFormatting sqref="H53:I54">
    <cfRule type="cellIs" dxfId="941" priority="104" stopIfTrue="1" operator="greaterThan">
      <formula>#REF!</formula>
    </cfRule>
    <cfRule type="cellIs" dxfId="940" priority="107" stopIfTrue="1" operator="lessThanOrEqual">
      <formula>0</formula>
    </cfRule>
  </conditionalFormatting>
  <conditionalFormatting sqref="H55:I55">
    <cfRule type="cellIs" dxfId="939" priority="118" stopIfTrue="1" operator="greaterThan">
      <formula>$F$31</formula>
    </cfRule>
    <cfRule type="cellIs" dxfId="938" priority="121" stopIfTrue="1" operator="lessThanOrEqual">
      <formula>0</formula>
    </cfRule>
  </conditionalFormatting>
  <conditionalFormatting sqref="H56:I57">
    <cfRule type="cellIs" dxfId="937" priority="88" stopIfTrue="1" operator="greaterThan">
      <formula>#REF!</formula>
    </cfRule>
    <cfRule type="cellIs" dxfId="936" priority="91" stopIfTrue="1" operator="lessThanOrEqual">
      <formula>0</formula>
    </cfRule>
  </conditionalFormatting>
  <conditionalFormatting sqref="H61:I68">
    <cfRule type="cellIs" dxfId="935" priority="34" stopIfTrue="1" operator="greaterThan">
      <formula>$J61</formula>
    </cfRule>
    <cfRule type="cellIs" dxfId="934" priority="35" stopIfTrue="1" operator="lessThanOrEqual">
      <formula>0</formula>
    </cfRule>
  </conditionalFormatting>
  <conditionalFormatting sqref="H69:I69">
    <cfRule type="cellIs" dxfId="933" priority="43" operator="greaterThan">
      <formula>5.3</formula>
    </cfRule>
  </conditionalFormatting>
  <conditionalFormatting sqref="H70:I70">
    <cfRule type="cellIs" dxfId="932" priority="41" stopIfTrue="1" operator="greaterThan">
      <formula>$J70</formula>
    </cfRule>
    <cfRule type="cellIs" dxfId="931" priority="42" stopIfTrue="1" operator="lessThanOrEqual">
      <formula>0</formula>
    </cfRule>
  </conditionalFormatting>
  <conditionalFormatting sqref="I48">
    <cfRule type="cellIs" dxfId="930" priority="9" stopIfTrue="1" operator="greaterThan">
      <formula>$F$58</formula>
    </cfRule>
    <cfRule type="cellIs" dxfId="929" priority="10" stopIfTrue="1" operator="lessThanOrEqual">
      <formula>0</formula>
    </cfRule>
    <cfRule type="cellIs" dxfId="928" priority="11" stopIfTrue="1" operator="greaterThan">
      <formula>$F$60</formula>
    </cfRule>
    <cfRule type="cellIs" dxfId="927" priority="12" stopIfTrue="1" operator="lessThanOrEqual">
      <formula>0</formula>
    </cfRule>
    <cfRule type="cellIs" dxfId="926" priority="13" stopIfTrue="1" operator="greaterThan">
      <formula>$F$58</formula>
    </cfRule>
    <cfRule type="cellIs" dxfId="925" priority="14" stopIfTrue="1" operator="lessThanOrEqual">
      <formula>0</formula>
    </cfRule>
  </conditionalFormatting>
  <conditionalFormatting sqref="I49:I52">
    <cfRule type="cellIs" dxfId="924" priority="66" stopIfTrue="1" operator="greaterThan">
      <formula>$F$63</formula>
    </cfRule>
    <cfRule type="cellIs" dxfId="923" priority="67" stopIfTrue="1" operator="lessThanOrEqual">
      <formula>0</formula>
    </cfRule>
    <cfRule type="cellIs" dxfId="922" priority="64" stopIfTrue="1" operator="greaterThan">
      <formula>$F$61</formula>
    </cfRule>
    <cfRule type="cellIs" dxfId="921" priority="69" stopIfTrue="1" operator="lessThanOrEqual">
      <formula>0</formula>
    </cfRule>
    <cfRule type="cellIs" dxfId="920" priority="68" stopIfTrue="1" operator="greaterThan">
      <formula>$F$61</formula>
    </cfRule>
    <cfRule type="cellIs" dxfId="919" priority="65" stopIfTrue="1" operator="lessThanOrEqual">
      <formula>0</formula>
    </cfRule>
  </conditionalFormatting>
  <conditionalFormatting sqref="I53:I54">
    <cfRule type="cellIs" dxfId="918" priority="110" stopIfTrue="1" operator="greaterThan">
      <formula>#REF!</formula>
    </cfRule>
    <cfRule type="cellIs" dxfId="917" priority="109" stopIfTrue="1" operator="lessThanOrEqual">
      <formula>0</formula>
    </cfRule>
    <cfRule type="cellIs" dxfId="916" priority="111" stopIfTrue="1" operator="lessThanOrEqual">
      <formula>0</formula>
    </cfRule>
    <cfRule type="cellIs" dxfId="915" priority="108" stopIfTrue="1" operator="greaterThan">
      <formula>#REF!</formula>
    </cfRule>
    <cfRule type="cellIs" dxfId="914" priority="113" stopIfTrue="1" operator="lessThanOrEqual">
      <formula>0</formula>
    </cfRule>
    <cfRule type="cellIs" dxfId="913" priority="112" stopIfTrue="1" operator="greaterThan">
      <formula>#REF!</formula>
    </cfRule>
  </conditionalFormatting>
  <conditionalFormatting sqref="I55">
    <cfRule type="cellIs" dxfId="912" priority="126" stopIfTrue="1" operator="greaterThan">
      <formula>$F$29</formula>
    </cfRule>
    <cfRule type="cellIs" dxfId="911" priority="122" stopIfTrue="1" operator="greaterThan">
      <formula>$F$29</formula>
    </cfRule>
    <cfRule type="cellIs" dxfId="910" priority="123" stopIfTrue="1" operator="lessThanOrEqual">
      <formula>0</formula>
    </cfRule>
    <cfRule type="cellIs" dxfId="909" priority="124" stopIfTrue="1" operator="greaterThan">
      <formula>$F$31</formula>
    </cfRule>
    <cfRule type="cellIs" dxfId="908" priority="125" stopIfTrue="1" operator="lessThanOrEqual">
      <formula>0</formula>
    </cfRule>
    <cfRule type="cellIs" dxfId="907" priority="127" stopIfTrue="1" operator="lessThanOrEqual">
      <formula>0</formula>
    </cfRule>
  </conditionalFormatting>
  <conditionalFormatting sqref="I56:I57">
    <cfRule type="cellIs" dxfId="906" priority="92" stopIfTrue="1" operator="greaterThan">
      <formula>#REF!</formula>
    </cfRule>
    <cfRule type="cellIs" dxfId="905" priority="97" stopIfTrue="1" operator="lessThanOrEqual">
      <formula>0</formula>
    </cfRule>
    <cfRule type="cellIs" dxfId="904" priority="96" stopIfTrue="1" operator="greaterThan">
      <formula>#REF!</formula>
    </cfRule>
    <cfRule type="cellIs" dxfId="903" priority="95" stopIfTrue="1" operator="lessThanOrEqual">
      <formula>0</formula>
    </cfRule>
    <cfRule type="cellIs" dxfId="902" priority="94" stopIfTrue="1" operator="greaterThan">
      <formula>#REF!</formula>
    </cfRule>
    <cfRule type="cellIs" dxfId="901" priority="93" stopIfTrue="1" operator="lessThanOrEqual">
      <formula>0</formula>
    </cfRule>
  </conditionalFormatting>
  <conditionalFormatting sqref="I72:I80">
    <cfRule type="cellIs" dxfId="900" priority="157" stopIfTrue="1" operator="lessThanOrEqual">
      <formula>0</formula>
    </cfRule>
    <cfRule type="cellIs" dxfId="899" priority="156" stopIfTrue="1" operator="greaterThan">
      <formula>4.5</formula>
    </cfRule>
  </conditionalFormatting>
  <conditionalFormatting sqref="I10:J16">
    <cfRule type="cellIs" dxfId="898" priority="19" operator="lessThan">
      <formula>97.9</formula>
    </cfRule>
  </conditionalFormatting>
  <conditionalFormatting sqref="J19">
    <cfRule type="cellIs" dxfId="897" priority="59" operator="lessThan">
      <formula>97.95</formula>
    </cfRule>
  </conditionalFormatting>
  <conditionalFormatting sqref="J21">
    <cfRule type="cellIs" dxfId="896" priority="134" stopIfTrue="1" operator="greaterThan">
      <formula>100</formula>
    </cfRule>
    <cfRule type="cellIs" dxfId="895" priority="135" operator="lessThan">
      <formula>98</formula>
    </cfRule>
    <cfRule type="cellIs" dxfId="894" priority="133" stopIfTrue="1" operator="lessThan">
      <formula>96.8</formula>
    </cfRule>
  </conditionalFormatting>
  <conditionalFormatting sqref="J21:J23">
    <cfRule type="cellIs" dxfId="893" priority="132" operator="lessThan">
      <formula>97.4</formula>
    </cfRule>
  </conditionalFormatting>
  <conditionalFormatting sqref="J24:J25">
    <cfRule type="cellIs" dxfId="892" priority="136" operator="lessThan">
      <formula>98</formula>
    </cfRule>
  </conditionalFormatting>
  <conditionalFormatting sqref="J26:J27">
    <cfRule type="cellIs" dxfId="891" priority="138" stopIfTrue="1" operator="greaterThan">
      <formula>100</formula>
    </cfRule>
    <cfRule type="cellIs" dxfId="890" priority="137" stopIfTrue="1" operator="lessThan">
      <formula>96.8</formula>
    </cfRule>
  </conditionalFormatting>
  <conditionalFormatting sqref="J26:J28">
    <cfRule type="cellIs" dxfId="889" priority="139" operator="lessThan">
      <formula>98</formula>
    </cfRule>
  </conditionalFormatting>
  <conditionalFormatting sqref="J57">
    <cfRule type="cellIs" dxfId="888" priority="83" stopIfTrue="1" operator="lessThanOrEqual">
      <formula>0</formula>
    </cfRule>
    <cfRule type="cellIs" dxfId="887" priority="80" stopIfTrue="1" operator="greaterThan">
      <formula>#REF!</formula>
    </cfRule>
    <cfRule type="cellIs" dxfId="886" priority="85" stopIfTrue="1" operator="lessThanOrEqual">
      <formula>0</formula>
    </cfRule>
    <cfRule type="cellIs" dxfId="885" priority="81" stopIfTrue="1" operator="lessThanOrEqual">
      <formula>0</formula>
    </cfRule>
    <cfRule type="cellIs" dxfId="884" priority="84" stopIfTrue="1" operator="greaterThan">
      <formula>#REF!</formula>
    </cfRule>
    <cfRule type="cellIs" dxfId="883" priority="87" stopIfTrue="1" operator="lessThanOrEqual">
      <formula>0</formula>
    </cfRule>
    <cfRule type="cellIs" dxfId="882" priority="82" stopIfTrue="1" operator="greaterThan">
      <formula>#REF!</formula>
    </cfRule>
    <cfRule type="cellIs" dxfId="881" priority="86" stopIfTrue="1" operator="greaterThan">
      <formula>#REF!</formula>
    </cfRule>
  </conditionalFormatting>
  <conditionalFormatting sqref="J70">
    <cfRule type="cellIs" dxfId="880" priority="47" stopIfTrue="1" operator="lessThanOrEqual">
      <formula>0</formula>
    </cfRule>
    <cfRule type="cellIs" dxfId="879" priority="46" stopIfTrue="1" operator="greaterThan">
      <formula>$F70</formula>
    </cfRule>
  </conditionalFormatting>
  <conditionalFormatting sqref="K10:K16">
    <cfRule type="cellIs" dxfId="878" priority="21" operator="lessThan">
      <formula>4</formula>
    </cfRule>
    <cfRule type="cellIs" dxfId="877" priority="22" operator="greaterThan">
      <formula>6.4</formula>
    </cfRule>
    <cfRule type="cellIs" dxfId="876" priority="20" operator="greaterThan">
      <formula>6</formula>
    </cfRule>
  </conditionalFormatting>
  <conditionalFormatting sqref="K48:K57">
    <cfRule type="cellIs" dxfId="875" priority="74" stopIfTrue="1" operator="lessThan">
      <formula>100%</formula>
    </cfRule>
  </conditionalFormatting>
  <conditionalFormatting sqref="K72:K77">
    <cfRule type="cellIs" dxfId="874" priority="162" stopIfTrue="1" operator="lessThan">
      <formula>100%</formula>
    </cfRule>
  </conditionalFormatting>
  <conditionalFormatting sqref="K79:K80">
    <cfRule type="cellIs" dxfId="873" priority="169" stopIfTrue="1" operator="lessThan">
      <formula>100%</formula>
    </cfRule>
  </conditionalFormatting>
  <conditionalFormatting sqref="K61:M69">
    <cfRule type="cellIs" dxfId="872" priority="33" stopIfTrue="1" operator="lessThan">
      <formula>100%</formula>
    </cfRule>
  </conditionalFormatting>
  <conditionalFormatting sqref="L10:L16">
    <cfRule type="cellIs" dxfId="871" priority="24" operator="greaterThan">
      <formula>65</formula>
    </cfRule>
    <cfRule type="cellIs" dxfId="870" priority="23" operator="between">
      <formula>61</formula>
      <formula>65</formula>
    </cfRule>
  </conditionalFormatting>
  <conditionalFormatting sqref="L19:M30">
    <cfRule type="cellIs" dxfId="869" priority="76" operator="lessThan">
      <formula>97.95</formula>
    </cfRule>
  </conditionalFormatting>
  <conditionalFormatting sqref="L70:M70">
    <cfRule type="cellIs" dxfId="868" priority="48" stopIfTrue="1" operator="lessThan">
      <formula>100%</formula>
    </cfRule>
  </conditionalFormatting>
  <conditionalFormatting sqref="L34:N34">
    <cfRule type="cellIs" dxfId="867" priority="77" operator="notEqual">
      <formula>#REF!</formula>
    </cfRule>
  </conditionalFormatting>
  <conditionalFormatting sqref="L72:N80">
    <cfRule type="cellIs" dxfId="866" priority="147" stopIfTrue="1" operator="lessThan">
      <formula>100%</formula>
    </cfRule>
  </conditionalFormatting>
  <conditionalFormatting sqref="M10:M14">
    <cfRule type="expression" dxfId="865" priority="28">
      <formula>IF(+(IF(M10&lt;U10,0,IF(M10&gt;V10,0,1)))=0,1)</formula>
    </cfRule>
  </conditionalFormatting>
  <conditionalFormatting sqref="M10:N13 H10:H16">
    <cfRule type="expression" dxfId="864" priority="30">
      <formula>IF(+(IF(H10&lt;#REF!,0,IF(H10&gt;#REF!,0,1)))=0,1)</formula>
    </cfRule>
  </conditionalFormatting>
  <conditionalFormatting sqref="M15:N16">
    <cfRule type="expression" dxfId="863" priority="75">
      <formula>IF(+(IF(M15&lt;#REF!,0,IF(M15&gt;#REF!,0,1)))=0,1)</formula>
    </cfRule>
  </conditionalFormatting>
  <conditionalFormatting sqref="N10:N14">
    <cfRule type="expression" dxfId="862" priority="27">
      <formula>IF(+(IF(N10&lt;W10,0,IF(N10&gt;X10,0,1)))=0,1)</formula>
    </cfRule>
  </conditionalFormatting>
  <conditionalFormatting sqref="N61:N70">
    <cfRule type="cellIs" dxfId="861" priority="58" stopIfTrue="1" operator="lessThan">
      <formula>100%</formula>
    </cfRule>
  </conditionalFormatting>
  <conditionalFormatting sqref="P6">
    <cfRule type="cellIs" dxfId="860" priority="143" operator="greaterThanOrEqual">
      <formula>19</formula>
    </cfRule>
  </conditionalFormatting>
  <dataValidations count="1">
    <dataValidation type="list" allowBlank="1" showInputMessage="1" showErrorMessage="1" sqref="R8" xr:uid="{C9E12663-4848-4245-927F-1275E23434F1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4" max="16383" man="1"/>
  </rowBreaks>
  <colBreaks count="1" manualBreakCount="1">
    <brk id="15" max="89" man="1"/>
  </col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619C3-C6BC-4D9D-B478-D5EEFE87E34B}">
  <sheetPr>
    <pageSetUpPr fitToPage="1"/>
  </sheetPr>
  <dimension ref="A1:BE100"/>
  <sheetViews>
    <sheetView topLeftCell="A47" zoomScale="80" zoomScaleNormal="80" workbookViewId="0">
      <selection activeCell="L78" sqref="L78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20.7109375" style="275" customWidth="1"/>
    <col min="10" max="10" width="24.140625" style="275" bestFit="1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5" t="s">
        <v>0</v>
      </c>
      <c r="T1" s="555"/>
      <c r="U1" s="555" t="s">
        <v>1</v>
      </c>
      <c r="V1" s="555"/>
      <c r="W1" s="555" t="s">
        <v>2</v>
      </c>
      <c r="X1" s="555"/>
      <c r="Y1" s="555" t="s">
        <v>124</v>
      </c>
      <c r="Z1" s="555"/>
    </row>
    <row r="2" spans="2:29" ht="15">
      <c r="B2" s="556" t="s">
        <v>3</v>
      </c>
      <c r="C2" s="556"/>
      <c r="D2" s="556"/>
      <c r="E2" s="556"/>
      <c r="F2" s="556"/>
      <c r="G2" s="556"/>
      <c r="H2" s="556"/>
      <c r="I2" s="556"/>
      <c r="J2" s="556"/>
      <c r="K2" s="556"/>
      <c r="L2" s="556"/>
      <c r="M2" s="556"/>
      <c r="N2" s="556"/>
      <c r="O2" s="556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46139</v>
      </c>
      <c r="J4" s="398" t="s">
        <v>167</v>
      </c>
      <c r="K4" s="398"/>
      <c r="L4" s="11"/>
      <c r="M4" s="553" t="s">
        <v>8</v>
      </c>
      <c r="N4" s="554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2"/>
      <c r="D5" s="542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6" t="s">
        <v>17</v>
      </c>
      <c r="C8" s="517" t="s">
        <v>18</v>
      </c>
      <c r="D8" s="517" t="s">
        <v>19</v>
      </c>
      <c r="E8" s="356" t="s">
        <v>20</v>
      </c>
      <c r="F8" s="356" t="s">
        <v>21</v>
      </c>
      <c r="G8" s="517" t="s">
        <v>22</v>
      </c>
      <c r="H8" s="544" t="s">
        <v>144</v>
      </c>
      <c r="I8" s="517" t="s">
        <v>165</v>
      </c>
      <c r="J8" s="546" t="s">
        <v>23</v>
      </c>
      <c r="K8" s="548" t="s">
        <v>142</v>
      </c>
      <c r="L8" s="550" t="s">
        <v>24</v>
      </c>
      <c r="M8" s="359" t="s">
        <v>25</v>
      </c>
      <c r="N8" s="17" t="s">
        <v>169</v>
      </c>
      <c r="O8" s="510" t="s">
        <v>155</v>
      </c>
      <c r="P8" s="540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43"/>
      <c r="C9" s="541"/>
      <c r="D9" s="541"/>
      <c r="E9" s="357" t="s">
        <v>30</v>
      </c>
      <c r="F9" s="357" t="s">
        <v>31</v>
      </c>
      <c r="G9" s="541"/>
      <c r="H9" s="545"/>
      <c r="I9" s="541"/>
      <c r="J9" s="547"/>
      <c r="K9" s="549"/>
      <c r="L9" s="551"/>
      <c r="M9" s="20" t="s">
        <v>32</v>
      </c>
      <c r="N9" s="21" t="s">
        <v>41</v>
      </c>
      <c r="O9" s="552"/>
      <c r="P9" s="541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>
      <c r="B10" s="33" t="s">
        <v>9</v>
      </c>
      <c r="C10" s="366" t="str">
        <f>[3]Brewhouse!$A205</f>
        <v>ST152</v>
      </c>
      <c r="D10" s="279">
        <f>[3]Brewhouse!$AB205</f>
        <v>53</v>
      </c>
      <c r="E10" s="279">
        <f>[3]Brewhouse!$AG205</f>
        <v>49.3</v>
      </c>
      <c r="F10" s="278">
        <f>[3]Brewhouse!$V205</f>
        <v>56</v>
      </c>
      <c r="G10" s="279">
        <f>[3]Brewhouse!$AE205</f>
        <v>11.7</v>
      </c>
      <c r="H10" s="396">
        <v>11.8</v>
      </c>
      <c r="I10" s="368">
        <f>[3]Brewhouse!$AS205</f>
        <v>96.544079383440874</v>
      </c>
      <c r="J10" s="368">
        <f>[3]Brewhouse!$AT205</f>
        <v>97.850486078865131</v>
      </c>
      <c r="K10" s="281">
        <f>[3]Brewhouse!$Q205</f>
        <v>5.6132075471698144</v>
      </c>
      <c r="L10" s="276">
        <f>[3]Brewhouse!$P205</f>
        <v>60</v>
      </c>
      <c r="M10" s="374">
        <f>[3]Brewhouse!$U205-[3]Brewhouse!$T205</f>
        <v>0.125</v>
      </c>
      <c r="N10" s="370">
        <f>[3]Brewhouse!$AW205</f>
        <v>0.29375000000000018</v>
      </c>
      <c r="O10" s="371" t="str">
        <f>[3]Brewhouse!$AV205</f>
        <v>K. Benjamin</v>
      </c>
      <c r="P10" s="418" t="s">
        <v>192</v>
      </c>
      <c r="R10" s="277" t="str">
        <f t="shared" ref="R10:R29" si="0">B10</f>
        <v>STAG</v>
      </c>
      <c r="S10" s="472">
        <f t="shared" ref="S10:S60" si="1">VLOOKUP($B10,$R$3:$X$9,2,FALSE)</f>
        <v>11.6</v>
      </c>
      <c r="T10" s="472">
        <f t="shared" ref="T10:T60" si="2">VLOOKUP($B10,$R$3:$X$9,3,FALSE)</f>
        <v>12</v>
      </c>
      <c r="U10" s="297">
        <f t="shared" ref="U10:U60" si="3">VLOOKUP($B10,$R$3:$X$9,4,FALSE)</f>
        <v>0</v>
      </c>
      <c r="V10" s="297">
        <f t="shared" ref="V10:V60" si="4">VLOOKUP($B10,$R$3:$X$9,5,FALSE)</f>
        <v>0.118055555555556</v>
      </c>
      <c r="W10" s="297">
        <f t="shared" ref="W10:W60" si="5">VLOOKUP($B10,$R$3:$X$9,6,FALSE)</f>
        <v>0.22569444444444445</v>
      </c>
      <c r="X10" s="297">
        <f t="shared" ref="X10:X60" si="6">VLOOKUP($B10,$R$3:$X$9,7,FALSE)</f>
        <v>0.2638888888888889</v>
      </c>
      <c r="Y10" s="297">
        <f t="shared" ref="Y10:Y60" si="7">VLOOKUP($B10,$R$3:$Z$9,8,FALSE)</f>
        <v>0</v>
      </c>
      <c r="Z10" s="472">
        <f t="shared" ref="Z10:Z60" si="8">VLOOKUP($B10,$R$3:$Z$9,9,FALSE)</f>
        <v>60</v>
      </c>
    </row>
    <row r="11" spans="2:29" ht="15">
      <c r="B11" s="33" t="s">
        <v>9</v>
      </c>
      <c r="C11" s="366" t="str">
        <f>[3]Brewhouse!$A206</f>
        <v>ST153</v>
      </c>
      <c r="D11" s="279">
        <f>[3]Brewhouse!$AB206</f>
        <v>53</v>
      </c>
      <c r="E11" s="279">
        <f>[3]Brewhouse!$AG206</f>
        <v>49.9</v>
      </c>
      <c r="F11" s="278">
        <f>[3]Brewhouse!$V206</f>
        <v>52</v>
      </c>
      <c r="G11" s="279">
        <f>[3]Brewhouse!$AE206</f>
        <v>11.6</v>
      </c>
      <c r="H11" s="396">
        <v>11.9</v>
      </c>
      <c r="I11" s="368">
        <f>[3]Brewhouse!$AS206</f>
        <v>96.962529497843647</v>
      </c>
      <c r="J11" s="368">
        <f>[3]Brewhouse!$AT206</f>
        <v>98.274162274140409</v>
      </c>
      <c r="K11" s="281">
        <f>[3]Brewhouse!$Q206</f>
        <v>3.5377358490566038</v>
      </c>
      <c r="L11" s="276">
        <f>[3]Brewhouse!$P206</f>
        <v>60</v>
      </c>
      <c r="M11" s="374">
        <f>[3]Brewhouse!$U206-[3]Brewhouse!$T206</f>
        <v>0.11458333333333331</v>
      </c>
      <c r="N11" s="370">
        <f>[3]Brewhouse!$AW206</f>
        <v>0.28958333333333336</v>
      </c>
      <c r="O11" s="371" t="str">
        <f>[3]Brewhouse!$AV206</f>
        <v>K. Benjamin</v>
      </c>
      <c r="P11" s="418" t="s">
        <v>192</v>
      </c>
      <c r="R11" s="277" t="str">
        <f t="shared" si="0"/>
        <v>STAG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>
      <c r="B12" s="33" t="s">
        <v>9</v>
      </c>
      <c r="C12" s="366" t="str">
        <f>[3]Brewhouse!$A207</f>
        <v>ST154</v>
      </c>
      <c r="D12" s="279">
        <f>[3]Brewhouse!$AB207</f>
        <v>54.1</v>
      </c>
      <c r="E12" s="279">
        <f>[3]Brewhouse!$AG207</f>
        <v>51.4</v>
      </c>
      <c r="F12" s="278">
        <f>[3]Brewhouse!$V207</f>
        <v>61</v>
      </c>
      <c r="G12" s="279">
        <f>[3]Brewhouse!$AE207</f>
        <v>11.6</v>
      </c>
      <c r="H12" s="396">
        <v>11.8</v>
      </c>
      <c r="I12" s="368">
        <f>[3]Brewhouse!$AS207</f>
        <v>99.877234793370022</v>
      </c>
      <c r="J12" s="368">
        <f>[3]Brewhouse!$AT207</f>
        <v>101.22829540863361</v>
      </c>
      <c r="K12" s="281">
        <f>[3]Brewhouse!$Q207</f>
        <v>3.8354898336414096</v>
      </c>
      <c r="L12" s="276">
        <f>[3]Brewhouse!$P207</f>
        <v>60</v>
      </c>
      <c r="M12" s="374">
        <f>[3]Brewhouse!$U207-[3]Brewhouse!$T207</f>
        <v>0.11736111111111114</v>
      </c>
      <c r="N12" s="370">
        <f>[3]Brewhouse!$AW207</f>
        <v>0.27361111111111114</v>
      </c>
      <c r="O12" s="371" t="str">
        <f>[3]Brewhouse!$AV207</f>
        <v>K. Benjamin</v>
      </c>
      <c r="P12" s="418"/>
      <c r="R12" s="277" t="str">
        <f t="shared" si="0"/>
        <v>STAG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>
      <c r="B13" s="33" t="s">
        <v>9</v>
      </c>
      <c r="C13" s="366" t="str">
        <f>[3]Brewhouse!$A208</f>
        <v>ST155</v>
      </c>
      <c r="D13" s="279">
        <f>[3]Brewhouse!$AB208</f>
        <v>53.1</v>
      </c>
      <c r="E13" s="279">
        <f>[3]Brewhouse!$AG208</f>
        <v>49.8</v>
      </c>
      <c r="F13" s="278">
        <f>[3]Brewhouse!$V208</f>
        <v>58</v>
      </c>
      <c r="G13" s="279">
        <f>[3]Brewhouse!$AE208</f>
        <v>11.7</v>
      </c>
      <c r="H13" s="396">
        <v>12</v>
      </c>
      <c r="I13" s="368">
        <f>[3]Brewhouse!$AS208</f>
        <v>97.646475195902809</v>
      </c>
      <c r="J13" s="368">
        <f>[3]Brewhouse!$AT208</f>
        <v>98.967359851244268</v>
      </c>
      <c r="K13" s="281">
        <f>[3]Brewhouse!$Q208</f>
        <v>4.2843691148775873</v>
      </c>
      <c r="L13" s="276">
        <f>[3]Brewhouse!$P208</f>
        <v>60</v>
      </c>
      <c r="M13" s="374">
        <f>[3]Brewhouse!$U208-[3]Brewhouse!$T208</f>
        <v>0.11319444444444449</v>
      </c>
      <c r="N13" s="370">
        <f>[3]Brewhouse!$AW208</f>
        <v>0.25555555555555559</v>
      </c>
      <c r="O13" s="371" t="str">
        <f>[3]Brewhouse!$AV208</f>
        <v>R. Regis</v>
      </c>
      <c r="P13" s="418"/>
      <c r="R13" s="277" t="str">
        <f t="shared" si="0"/>
        <v>STAG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>
      <c r="B14" s="33" t="s">
        <v>9</v>
      </c>
      <c r="C14" s="366" t="str">
        <f>[3]Brewhouse!$A209</f>
        <v>ST156</v>
      </c>
      <c r="D14" s="279">
        <f>[3]Brewhouse!$AB209</f>
        <v>53.1</v>
      </c>
      <c r="E14" s="279">
        <f>[3]Brewhouse!$AG209</f>
        <v>50</v>
      </c>
      <c r="F14" s="278">
        <f>[3]Brewhouse!$V209</f>
        <v>62</v>
      </c>
      <c r="G14" s="279">
        <f>[3]Brewhouse!$AE209</f>
        <v>11.7</v>
      </c>
      <c r="H14" s="396">
        <v>11.8</v>
      </c>
      <c r="I14" s="368">
        <f>[3]Brewhouse!$AS209</f>
        <v>98.038629714761868</v>
      </c>
      <c r="J14" s="368">
        <f>[3]Brewhouse!$AT209</f>
        <v>99.364819127755283</v>
      </c>
      <c r="K14" s="281">
        <f>[3]Brewhouse!$Q209</f>
        <v>3.5310734463276838</v>
      </c>
      <c r="L14" s="276">
        <f>[3]Brewhouse!$P209</f>
        <v>62</v>
      </c>
      <c r="M14" s="374">
        <f>[3]Brewhouse!$U209-[3]Brewhouse!$T209</f>
        <v>0.11458333333333337</v>
      </c>
      <c r="N14" s="370">
        <f>[3]Brewhouse!$AW209</f>
        <v>0.25833333333333336</v>
      </c>
      <c r="O14" s="371" t="str">
        <f>[3]Brewhouse!$AV209</f>
        <v>R. Regis</v>
      </c>
      <c r="P14" s="418"/>
      <c r="R14" s="277" t="str">
        <f t="shared" si="0"/>
        <v>STAG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>
      <c r="B15" s="33" t="s">
        <v>9</v>
      </c>
      <c r="C15" s="366" t="str">
        <f>[3]Brewhouse!$A210</f>
        <v>ST157</v>
      </c>
      <c r="D15" s="279">
        <f>[3]Brewhouse!$AB210</f>
        <v>53.1</v>
      </c>
      <c r="E15" s="279">
        <f>[3]Brewhouse!$AG210</f>
        <v>49.8</v>
      </c>
      <c r="F15" s="278">
        <f>[3]Brewhouse!$V210</f>
        <v>58</v>
      </c>
      <c r="G15" s="279">
        <f>[3]Brewhouse!$AE210</f>
        <v>11.9</v>
      </c>
      <c r="H15" s="396">
        <v>11.8</v>
      </c>
      <c r="I15" s="368">
        <f>[3]Brewhouse!$AS210</f>
        <v>99.402993964757954</v>
      </c>
      <c r="J15" s="368">
        <f>[3]Brewhouse!$AT210</f>
        <v>100.74763942338438</v>
      </c>
      <c r="K15" s="281">
        <f>[3]Brewhouse!$Q210</f>
        <v>4.096045197740108</v>
      </c>
      <c r="L15" s="276">
        <f>[3]Brewhouse!$P210</f>
        <v>59</v>
      </c>
      <c r="M15" s="374">
        <f>[3]Brewhouse!$U210-[3]Brewhouse!$T210</f>
        <v>0.11041666666666672</v>
      </c>
      <c r="N15" s="370">
        <f>[3]Brewhouse!$AW210</f>
        <v>0.25347222222222221</v>
      </c>
      <c r="O15" s="371" t="str">
        <f>[3]Brewhouse!$AV210</f>
        <v>R. Regis</v>
      </c>
      <c r="P15" s="418"/>
      <c r="R15" s="277" t="str">
        <f t="shared" si="0"/>
        <v>STAG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>
      <c r="B16" s="33" t="s">
        <v>9</v>
      </c>
      <c r="C16" s="366" t="str">
        <f>[3]Brewhouse!$A211</f>
        <v>ST158</v>
      </c>
      <c r="D16" s="279">
        <f>[3]Brewhouse!$AB211</f>
        <v>53.1</v>
      </c>
      <c r="E16" s="279">
        <f>[3]Brewhouse!$AG211</f>
        <v>50.1</v>
      </c>
      <c r="F16" s="278">
        <f>[3]Brewhouse!$V211</f>
        <v>56</v>
      </c>
      <c r="G16" s="279">
        <f>[3]Brewhouse!$AE211</f>
        <v>11.8</v>
      </c>
      <c r="H16" s="396">
        <v>11.8</v>
      </c>
      <c r="I16" s="368">
        <f>[3]Brewhouse!$AS211</f>
        <v>99.243678265310521</v>
      </c>
      <c r="J16" s="368">
        <f>[3]Brewhouse!$AT211</f>
        <v>100.58572097122654</v>
      </c>
      <c r="K16" s="281">
        <f>[3]Brewhouse!$Q211</f>
        <v>3.5310734463276838</v>
      </c>
      <c r="L16" s="276">
        <f>[3]Brewhouse!$P211</f>
        <v>58</v>
      </c>
      <c r="M16" s="374">
        <f>[3]Brewhouse!$U211-[3]Brewhouse!$T211</f>
        <v>0.10763888888888895</v>
      </c>
      <c r="N16" s="370">
        <f>[3]Brewhouse!$AW211</f>
        <v>0.24861111111111112</v>
      </c>
      <c r="O16" s="371" t="str">
        <f>[3]Brewhouse!$AV211</f>
        <v>R. Sookram</v>
      </c>
      <c r="P16" s="418"/>
      <c r="R16" s="277" t="str">
        <f t="shared" si="0"/>
        <v>STAG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2:26" ht="15">
      <c r="B17" s="33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371"/>
      <c r="P17" s="418"/>
      <c r="R17" s="277">
        <f t="shared" si="0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2:26" ht="15">
      <c r="B18" s="492">
        <v>46137</v>
      </c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>
        <f t="shared" si="0"/>
        <v>46137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2:26" ht="15">
      <c r="B19" s="33" t="s">
        <v>9</v>
      </c>
      <c r="C19" s="366" t="str">
        <f>[3]Brewhouse!$A212</f>
        <v>ST159</v>
      </c>
      <c r="D19" s="367"/>
      <c r="E19" s="279">
        <f>[3]Brewhouse!$AG212</f>
        <v>48.6</v>
      </c>
      <c r="F19" s="278">
        <f>[3]Brewhouse!$V212</f>
        <v>20</v>
      </c>
      <c r="G19" s="279">
        <f>[3]Brewhouse!$AE212</f>
        <v>11.6</v>
      </c>
      <c r="H19" s="396">
        <v>12</v>
      </c>
      <c r="I19" s="368">
        <f>[3]Brewhouse!$AS212</f>
        <v>94.436451575054136</v>
      </c>
      <c r="J19" s="368">
        <f>[3]Brewhouse!$AT212</f>
        <v>95.71391355757963</v>
      </c>
      <c r="K19" s="392"/>
      <c r="L19" s="276">
        <f>[3]Brewhouse!$P212</f>
        <v>58</v>
      </c>
      <c r="M19" s="374">
        <f>[3]Brewhouse!$U212-[3]Brewhouse!$T212</f>
        <v>0.12152777777777779</v>
      </c>
      <c r="N19" s="370">
        <f>[3]Brewhouse!$AW212</f>
        <v>0.26041666666666669</v>
      </c>
      <c r="O19" s="371" t="str">
        <f>[3]Brewhouse!$AV212</f>
        <v>R. Sookram</v>
      </c>
      <c r="P19" s="418"/>
      <c r="R19" s="277" t="str">
        <f t="shared" si="0"/>
        <v>STAG</v>
      </c>
      <c r="S19" s="472">
        <f t="shared" si="1"/>
        <v>11.6</v>
      </c>
      <c r="T19" s="472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472">
        <f t="shared" si="8"/>
        <v>60</v>
      </c>
    </row>
    <row r="20" spans="2:26" ht="15">
      <c r="B20" s="29"/>
      <c r="C20" s="366"/>
      <c r="D20" s="279"/>
      <c r="E20" s="279"/>
      <c r="F20" s="278"/>
      <c r="G20" s="279"/>
      <c r="H20" s="482"/>
      <c r="I20" s="368"/>
      <c r="J20" s="368"/>
      <c r="K20" s="281"/>
      <c r="L20" s="276"/>
      <c r="M20" s="397"/>
      <c r="N20" s="370"/>
      <c r="O20" s="420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2:26" ht="15">
      <c r="B21" s="29" t="s">
        <v>6</v>
      </c>
      <c r="C21" s="366" t="str">
        <f>[4]Brewhouse!$A351</f>
        <v>CA307</v>
      </c>
      <c r="D21" s="279">
        <f>[4]Brewhouse!$AF351</f>
        <v>52.8</v>
      </c>
      <c r="E21" s="279">
        <f>[4]Brewhouse!$AI351</f>
        <v>50.9</v>
      </c>
      <c r="F21" s="278">
        <f>[4]Brewhouse!$V351</f>
        <v>86</v>
      </c>
      <c r="G21" s="279">
        <f>[4]Brewhouse!AG351</f>
        <v>11.7</v>
      </c>
      <c r="H21" s="396">
        <v>11.8</v>
      </c>
      <c r="I21" s="368">
        <f>[4]Brewhouse!$AU351</f>
        <v>98.106846922939908</v>
      </c>
      <c r="J21" s="368">
        <f>[4]Brewhouse!$AV351</f>
        <v>99.700248527422247</v>
      </c>
      <c r="K21" s="281">
        <f>[4]Brewhouse!$Q351</f>
        <v>4.4731977818854007</v>
      </c>
      <c r="L21" s="276">
        <f>[4]Brewhouse!$P351</f>
        <v>58</v>
      </c>
      <c r="M21" s="397">
        <f>[4]Brewhouse!$U351-[4]Brewhouse!$T351</f>
        <v>0.13125000000000009</v>
      </c>
      <c r="N21" s="370">
        <f>[4]Brewhouse!$Z351</f>
        <v>0.28888888888888892</v>
      </c>
      <c r="O21" s="420" t="str">
        <f>[4]Brewhouse!$AX351</f>
        <v>R. Sookram</v>
      </c>
      <c r="P21" s="418"/>
      <c r="R21" s="277" t="str">
        <f t="shared" si="0"/>
        <v>CARIB</v>
      </c>
      <c r="S21" s="472">
        <f t="shared" si="1"/>
        <v>11.6</v>
      </c>
      <c r="T21" s="472">
        <f t="shared" si="2"/>
        <v>12</v>
      </c>
      <c r="U21" s="297">
        <f t="shared" si="3"/>
        <v>0</v>
      </c>
      <c r="V21" s="297">
        <f t="shared" si="4"/>
        <v>0.118055555555556</v>
      </c>
      <c r="W21" s="297">
        <f t="shared" si="5"/>
        <v>0.22569444444444445</v>
      </c>
      <c r="X21" s="297">
        <f t="shared" si="6"/>
        <v>0.2638888888888889</v>
      </c>
      <c r="Y21" s="297">
        <f t="shared" si="7"/>
        <v>0</v>
      </c>
      <c r="Z21" s="472">
        <f t="shared" si="8"/>
        <v>60</v>
      </c>
    </row>
    <row r="22" spans="2:26" ht="15">
      <c r="B22" s="29" t="s">
        <v>6</v>
      </c>
      <c r="C22" s="366" t="str">
        <f>[4]Brewhouse!$A352</f>
        <v>CA308</v>
      </c>
      <c r="D22" s="279">
        <f>[4]Brewhouse!$AF352</f>
        <v>52.5</v>
      </c>
      <c r="E22" s="279">
        <f>[4]Brewhouse!$AI352</f>
        <v>50.8</v>
      </c>
      <c r="F22" s="278">
        <f>[4]Brewhouse!$V352</f>
        <v>61</v>
      </c>
      <c r="G22" s="279">
        <f>[4]Brewhouse!AG352</f>
        <v>11.8</v>
      </c>
      <c r="H22" s="396">
        <v>11.8</v>
      </c>
      <c r="I22" s="368">
        <f>[4]Brewhouse!$AU352</f>
        <v>98.794769125933016</v>
      </c>
      <c r="J22" s="368">
        <f>[4]Brewhouse!$AV352</f>
        <v>100.39934361361757</v>
      </c>
      <c r="K22" s="281">
        <f>[4]Brewhouse!$Q352</f>
        <v>5.0277264325323454</v>
      </c>
      <c r="L22" s="276">
        <f>[4]Brewhouse!$P352</f>
        <v>60</v>
      </c>
      <c r="M22" s="397">
        <f>[4]Brewhouse!$U352-[4]Brewhouse!$T352</f>
        <v>0.11666666666666659</v>
      </c>
      <c r="N22" s="370">
        <f>[4]Brewhouse!$Z352</f>
        <v>0.2715277777777777</v>
      </c>
      <c r="O22" s="420" t="str">
        <f>[4]Brewhouse!$AX352</f>
        <v>R. Sookram</v>
      </c>
      <c r="P22" s="418"/>
      <c r="R22" s="277" t="str">
        <f t="shared" si="0"/>
        <v>CARIB</v>
      </c>
      <c r="S22" s="472">
        <f t="shared" si="1"/>
        <v>11.6</v>
      </c>
      <c r="T22" s="472">
        <f t="shared" si="2"/>
        <v>12</v>
      </c>
      <c r="U22" s="297">
        <f t="shared" si="3"/>
        <v>0</v>
      </c>
      <c r="V22" s="297">
        <f t="shared" si="4"/>
        <v>0.118055555555556</v>
      </c>
      <c r="W22" s="297">
        <f t="shared" si="5"/>
        <v>0.22569444444444445</v>
      </c>
      <c r="X22" s="297">
        <f t="shared" si="6"/>
        <v>0.2638888888888889</v>
      </c>
      <c r="Y22" s="297">
        <f t="shared" si="7"/>
        <v>0</v>
      </c>
      <c r="Z22" s="472">
        <f t="shared" si="8"/>
        <v>60</v>
      </c>
    </row>
    <row r="23" spans="2:26" ht="15">
      <c r="B23" s="29" t="s">
        <v>6</v>
      </c>
      <c r="C23" s="366" t="str">
        <f>[4]Brewhouse!$A353</f>
        <v>CA309</v>
      </c>
      <c r="D23" s="279">
        <f>[4]Brewhouse!$AF353</f>
        <v>53.2</v>
      </c>
      <c r="E23" s="279">
        <f>[4]Brewhouse!$AI353</f>
        <v>51.4</v>
      </c>
      <c r="F23" s="278">
        <f>[4]Brewhouse!$V353</f>
        <v>64</v>
      </c>
      <c r="G23" s="279">
        <f>[4]Brewhouse!AG353</f>
        <v>11.6</v>
      </c>
      <c r="H23" s="396">
        <v>11.7</v>
      </c>
      <c r="I23" s="368">
        <f>[4]Brewhouse!$AU353</f>
        <v>98.17950033315293</v>
      </c>
      <c r="J23" s="368">
        <f>[4]Brewhouse!$AV353</f>
        <v>99.774081937441963</v>
      </c>
      <c r="K23" s="281">
        <f>[4]Brewhouse!$Q353</f>
        <v>4.6580406654343864</v>
      </c>
      <c r="L23" s="276">
        <f>[4]Brewhouse!$P353</f>
        <v>57</v>
      </c>
      <c r="M23" s="397">
        <f>[4]Brewhouse!$U353-[4]Brewhouse!$T353</f>
        <v>0.11874999999999991</v>
      </c>
      <c r="N23" s="370">
        <f>[4]Brewhouse!$Z353</f>
        <v>0.2631944444444444</v>
      </c>
      <c r="O23" s="420" t="str">
        <f>[4]Brewhouse!$AX353</f>
        <v>R. Sookram</v>
      </c>
      <c r="P23" s="418"/>
      <c r="R23" s="277" t="str">
        <f t="shared" si="0"/>
        <v>CARIB</v>
      </c>
      <c r="S23" s="472">
        <f t="shared" si="1"/>
        <v>11.6</v>
      </c>
      <c r="T23" s="472">
        <f t="shared" si="2"/>
        <v>12</v>
      </c>
      <c r="U23" s="297">
        <f t="shared" si="3"/>
        <v>0</v>
      </c>
      <c r="V23" s="297">
        <f t="shared" si="4"/>
        <v>0.118055555555556</v>
      </c>
      <c r="W23" s="297">
        <f t="shared" si="5"/>
        <v>0.22569444444444445</v>
      </c>
      <c r="X23" s="297">
        <f t="shared" si="6"/>
        <v>0.2638888888888889</v>
      </c>
      <c r="Y23" s="297">
        <f t="shared" si="7"/>
        <v>0</v>
      </c>
      <c r="Z23" s="472">
        <f t="shared" si="8"/>
        <v>60</v>
      </c>
    </row>
    <row r="24" spans="2:26" ht="15">
      <c r="B24" s="29" t="s">
        <v>6</v>
      </c>
      <c r="C24" s="366" t="str">
        <f>[4]Brewhouse!$A354</f>
        <v>CA310</v>
      </c>
      <c r="D24" s="279">
        <f>[4]Brewhouse!$AF354</f>
        <v>52.5</v>
      </c>
      <c r="E24" s="279">
        <f>[4]Brewhouse!$AI354</f>
        <v>50.8</v>
      </c>
      <c r="F24" s="278">
        <f>[4]Brewhouse!$V354</f>
        <v>64</v>
      </c>
      <c r="G24" s="279">
        <f>[4]Brewhouse!AG354</f>
        <v>11.6</v>
      </c>
      <c r="H24" s="396">
        <v>11.8</v>
      </c>
      <c r="I24" s="368">
        <f>[4]Brewhouse!$AU354</f>
        <v>96.913042197128789</v>
      </c>
      <c r="J24" s="368">
        <f>[4]Brewhouse!$AV354</f>
        <v>98.487158317243185</v>
      </c>
      <c r="K24" s="281">
        <f>[4]Brewhouse!$Q354</f>
        <v>4.288354898336415</v>
      </c>
      <c r="L24" s="276">
        <f>[4]Brewhouse!$P354</f>
        <v>60</v>
      </c>
      <c r="M24" s="397">
        <f>[4]Brewhouse!$U354-[4]Brewhouse!$T354</f>
        <v>0.1118055555555556</v>
      </c>
      <c r="N24" s="370">
        <f>[4]Brewhouse!$Z354</f>
        <v>0.27430555555555558</v>
      </c>
      <c r="O24" s="420" t="str">
        <f>[4]Brewhouse!$AX354</f>
        <v>R. Sookram</v>
      </c>
      <c r="P24" s="418"/>
      <c r="R24" s="277" t="str">
        <f t="shared" si="0"/>
        <v>CARIB</v>
      </c>
      <c r="S24" s="472">
        <f t="shared" si="1"/>
        <v>11.6</v>
      </c>
      <c r="T24" s="472">
        <f t="shared" si="2"/>
        <v>12</v>
      </c>
      <c r="U24" s="297">
        <f t="shared" si="3"/>
        <v>0</v>
      </c>
      <c r="V24" s="297">
        <f t="shared" si="4"/>
        <v>0.118055555555556</v>
      </c>
      <c r="W24" s="297">
        <f t="shared" si="5"/>
        <v>0.22569444444444445</v>
      </c>
      <c r="X24" s="297">
        <f t="shared" si="6"/>
        <v>0.2638888888888889</v>
      </c>
      <c r="Y24" s="297">
        <f t="shared" si="7"/>
        <v>0</v>
      </c>
      <c r="Z24" s="472">
        <f t="shared" si="8"/>
        <v>60</v>
      </c>
    </row>
    <row r="25" spans="2:26" ht="15">
      <c r="B25" s="29" t="s">
        <v>6</v>
      </c>
      <c r="C25" s="366" t="str">
        <f>[4]Brewhouse!$A355</f>
        <v>CA311</v>
      </c>
      <c r="D25" s="279">
        <f>[4]Brewhouse!$AF355</f>
        <v>52.7</v>
      </c>
      <c r="E25" s="279">
        <f>[4]Brewhouse!$AI355</f>
        <v>50.9</v>
      </c>
      <c r="F25" s="278">
        <f>[4]Brewhouse!$V355</f>
        <v>63</v>
      </c>
      <c r="G25" s="279">
        <f>[4]Brewhouse!AG355</f>
        <v>11.8</v>
      </c>
      <c r="H25" s="396">
        <v>11.8</v>
      </c>
      <c r="I25" s="368">
        <f>[4]Brewhouse!$AU355</f>
        <v>98.866426421918902</v>
      </c>
      <c r="J25" s="368">
        <f>[4]Brewhouse!$AV355</f>
        <v>100.47227050689034</v>
      </c>
      <c r="K25" s="281">
        <f>[4]Brewhouse!$Q355</f>
        <v>3.9186691312384427</v>
      </c>
      <c r="L25" s="276">
        <f>[4]Brewhouse!$P355</f>
        <v>61</v>
      </c>
      <c r="M25" s="397">
        <f>[4]Brewhouse!$U355-[4]Brewhouse!$T355</f>
        <v>0.10972222222222217</v>
      </c>
      <c r="N25" s="370">
        <f>[4]Brewhouse!$Z355</f>
        <v>0.25555555555555554</v>
      </c>
      <c r="O25" s="420" t="str">
        <f>[4]Brewhouse!$AX355</f>
        <v>D. Gomaz</v>
      </c>
      <c r="P25" s="418"/>
      <c r="R25" s="277" t="str">
        <f t="shared" si="0"/>
        <v>CARIB</v>
      </c>
      <c r="S25" s="472">
        <f t="shared" si="1"/>
        <v>11.6</v>
      </c>
      <c r="T25" s="472">
        <f t="shared" si="2"/>
        <v>12</v>
      </c>
      <c r="U25" s="297">
        <f t="shared" si="3"/>
        <v>0</v>
      </c>
      <c r="V25" s="297">
        <f t="shared" si="4"/>
        <v>0.118055555555556</v>
      </c>
      <c r="W25" s="297">
        <f t="shared" si="5"/>
        <v>0.22569444444444445</v>
      </c>
      <c r="X25" s="297">
        <f t="shared" si="6"/>
        <v>0.2638888888888889</v>
      </c>
      <c r="Y25" s="297">
        <f t="shared" si="7"/>
        <v>0</v>
      </c>
      <c r="Z25" s="472">
        <f t="shared" si="8"/>
        <v>60</v>
      </c>
    </row>
    <row r="26" spans="2:26" ht="15">
      <c r="B26" s="29" t="s">
        <v>6</v>
      </c>
      <c r="C26" s="366" t="str">
        <f>[4]Brewhouse!$A356</f>
        <v>CA312</v>
      </c>
      <c r="D26" s="279">
        <f>[4]Brewhouse!$AF356</f>
        <v>52.4</v>
      </c>
      <c r="E26" s="279">
        <f>[4]Brewhouse!$AI356</f>
        <v>50.6</v>
      </c>
      <c r="F26" s="278">
        <f>[4]Brewhouse!$V356</f>
        <v>68</v>
      </c>
      <c r="G26" s="279">
        <f>[4]Brewhouse!AG356</f>
        <v>11.8</v>
      </c>
      <c r="H26" s="396">
        <v>11.7</v>
      </c>
      <c r="I26" s="368">
        <f>[4]Brewhouse!$AU356</f>
        <v>98.283716639471436</v>
      </c>
      <c r="J26" s="368">
        <f>[4]Brewhouse!$AV356</f>
        <v>99.880096024531468</v>
      </c>
      <c r="K26" s="281">
        <f>[4]Brewhouse!$Q356</f>
        <v>4.4731977818854007</v>
      </c>
      <c r="L26" s="276">
        <f>[4]Brewhouse!$P356</f>
        <v>62</v>
      </c>
      <c r="M26" s="397">
        <f>[4]Brewhouse!$U356-[4]Brewhouse!$T356</f>
        <v>0.1166666666666667</v>
      </c>
      <c r="N26" s="370">
        <f>[4]Brewhouse!$Z356</f>
        <v>0.26319444444444451</v>
      </c>
      <c r="O26" s="420" t="str">
        <f>[4]Brewhouse!$AX356</f>
        <v>D. Gomaz</v>
      </c>
      <c r="P26" s="418"/>
      <c r="R26" s="277" t="str">
        <f t="shared" si="0"/>
        <v>CARIB</v>
      </c>
      <c r="S26" s="472">
        <f t="shared" si="1"/>
        <v>11.6</v>
      </c>
      <c r="T26" s="472">
        <f t="shared" si="2"/>
        <v>12</v>
      </c>
      <c r="U26" s="297">
        <f t="shared" si="3"/>
        <v>0</v>
      </c>
      <c r="V26" s="297">
        <f t="shared" si="4"/>
        <v>0.118055555555556</v>
      </c>
      <c r="W26" s="297">
        <f t="shared" si="5"/>
        <v>0.22569444444444445</v>
      </c>
      <c r="X26" s="297">
        <f t="shared" si="6"/>
        <v>0.2638888888888889</v>
      </c>
      <c r="Y26" s="297">
        <f t="shared" si="7"/>
        <v>0</v>
      </c>
      <c r="Z26" s="472">
        <f t="shared" si="8"/>
        <v>60</v>
      </c>
    </row>
    <row r="27" spans="2:26" ht="15">
      <c r="B27" s="492">
        <v>46138</v>
      </c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420"/>
      <c r="P27" s="418"/>
      <c r="R27" s="277">
        <f t="shared" si="0"/>
        <v>46138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2:26" ht="15">
      <c r="B28" s="29" t="s">
        <v>6</v>
      </c>
      <c r="C28" s="366" t="str">
        <f>[4]Brewhouse!$A357</f>
        <v>CA313</v>
      </c>
      <c r="D28" s="279">
        <f>[4]Brewhouse!$AF357</f>
        <v>52</v>
      </c>
      <c r="E28" s="279">
        <f>[4]Brewhouse!$AI357</f>
        <v>50.2</v>
      </c>
      <c r="F28" s="278">
        <f>[4]Brewhouse!$V357</f>
        <v>69</v>
      </c>
      <c r="G28" s="279">
        <f>[4]Brewhouse!AG357</f>
        <v>11.8</v>
      </c>
      <c r="H28" s="396">
        <v>11.9</v>
      </c>
      <c r="I28" s="368">
        <f>[4]Brewhouse!$AU357</f>
        <v>97.627901774051935</v>
      </c>
      <c r="J28" s="368">
        <f>[4]Brewhouse!$AV357</f>
        <v>99.213524594559132</v>
      </c>
      <c r="K28" s="281">
        <f>[4]Brewhouse!$Q357</f>
        <v>5.2125693160813311</v>
      </c>
      <c r="L28" s="276">
        <f>[4]Brewhouse!$P357</f>
        <v>61</v>
      </c>
      <c r="M28" s="397">
        <f>[4]Brewhouse!$U357-[4]Brewhouse!$T357</f>
        <v>0.1333333333333333</v>
      </c>
      <c r="N28" s="370">
        <f>[4]Brewhouse!$Z357</f>
        <v>0.26875000000000004</v>
      </c>
      <c r="O28" s="420" t="str">
        <f>[4]Brewhouse!$AX357</f>
        <v>D. Gomaz</v>
      </c>
      <c r="P28" s="418"/>
      <c r="R28" s="277" t="str">
        <f t="shared" si="0"/>
        <v>CARIB</v>
      </c>
      <c r="S28" s="472">
        <f t="shared" si="1"/>
        <v>11.6</v>
      </c>
      <c r="T28" s="472">
        <f t="shared" si="2"/>
        <v>12</v>
      </c>
      <c r="U28" s="297">
        <f t="shared" si="3"/>
        <v>0</v>
      </c>
      <c r="V28" s="297">
        <f t="shared" si="4"/>
        <v>0.118055555555556</v>
      </c>
      <c r="W28" s="297">
        <f t="shared" si="5"/>
        <v>0.22569444444444445</v>
      </c>
      <c r="X28" s="297">
        <f t="shared" si="6"/>
        <v>0.2638888888888889</v>
      </c>
      <c r="Y28" s="297">
        <f t="shared" si="7"/>
        <v>0</v>
      </c>
      <c r="Z28" s="472">
        <f t="shared" si="8"/>
        <v>60</v>
      </c>
    </row>
    <row r="29" spans="2:26" ht="15">
      <c r="B29" s="29" t="s">
        <v>6</v>
      </c>
      <c r="C29" s="366" t="str">
        <f>[4]Brewhouse!$A358</f>
        <v>CA314</v>
      </c>
      <c r="D29" s="279">
        <f>[4]Brewhouse!$AF358</f>
        <v>52.6</v>
      </c>
      <c r="E29" s="279">
        <f>[4]Brewhouse!$AI358</f>
        <v>51</v>
      </c>
      <c r="F29" s="278">
        <f>[4]Brewhouse!$V358</f>
        <v>73</v>
      </c>
      <c r="G29" s="279">
        <f>[4]Brewhouse!AG358</f>
        <v>11.8</v>
      </c>
      <c r="H29" s="396">
        <v>11.6</v>
      </c>
      <c r="I29" s="368">
        <f>[4]Brewhouse!$AU358</f>
        <v>99.060663016068062</v>
      </c>
      <c r="J29" s="368">
        <f>[4]Brewhouse!$AV358</f>
        <v>100.66966200100997</v>
      </c>
      <c r="K29" s="281">
        <f>[4]Brewhouse!$Q358</f>
        <v>4.1035120147874284</v>
      </c>
      <c r="L29" s="276">
        <f>[4]Brewhouse!$P358</f>
        <v>60</v>
      </c>
      <c r="M29" s="397">
        <f>[4]Brewhouse!$U358-[4]Brewhouse!$T358</f>
        <v>0.11805555555555558</v>
      </c>
      <c r="N29" s="370">
        <f>[4]Brewhouse!$Z358</f>
        <v>0.32569444444444445</v>
      </c>
      <c r="O29" s="420" t="str">
        <f>[4]Brewhouse!$AX358</f>
        <v>D. Gomaz</v>
      </c>
      <c r="P29" s="418"/>
      <c r="R29" s="277" t="str">
        <f t="shared" si="0"/>
        <v>CARIB</v>
      </c>
      <c r="S29" s="472">
        <f t="shared" si="1"/>
        <v>11.6</v>
      </c>
      <c r="T29" s="472">
        <f t="shared" si="2"/>
        <v>12</v>
      </c>
      <c r="U29" s="297">
        <f t="shared" si="3"/>
        <v>0</v>
      </c>
      <c r="V29" s="297">
        <f t="shared" si="4"/>
        <v>0.118055555555556</v>
      </c>
      <c r="W29" s="297">
        <f t="shared" si="5"/>
        <v>0.22569444444444445</v>
      </c>
      <c r="X29" s="297">
        <f t="shared" si="6"/>
        <v>0.2638888888888889</v>
      </c>
      <c r="Y29" s="297">
        <f t="shared" si="7"/>
        <v>0</v>
      </c>
      <c r="Z29" s="472">
        <f t="shared" si="8"/>
        <v>60</v>
      </c>
    </row>
    <row r="30" spans="2:26" ht="15">
      <c r="B30" s="29"/>
      <c r="C30" s="366"/>
      <c r="D30" s="279"/>
      <c r="E30" s="279"/>
      <c r="F30" s="278"/>
      <c r="G30" s="279"/>
      <c r="H30" s="482"/>
      <c r="I30" s="368"/>
      <c r="J30" s="368"/>
      <c r="K30" s="281"/>
      <c r="L30" s="276"/>
      <c r="M30" s="397"/>
      <c r="N30" s="370"/>
      <c r="O30" s="420"/>
      <c r="P30" s="418"/>
      <c r="R30" s="277">
        <f t="shared" ref="R30:R46" si="9">B30</f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2:26" ht="15">
      <c r="B31" s="29"/>
      <c r="C31" s="366"/>
      <c r="D31" s="279"/>
      <c r="E31" s="279"/>
      <c r="F31" s="278"/>
      <c r="G31" s="279"/>
      <c r="H31" s="482"/>
      <c r="I31" s="368"/>
      <c r="J31" s="368"/>
      <c r="K31" s="281"/>
      <c r="L31" s="276"/>
      <c r="M31" s="397"/>
      <c r="N31" s="370"/>
      <c r="O31" s="420"/>
      <c r="P31" s="418"/>
      <c r="R31" s="277">
        <f t="shared" si="9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2:26" ht="15">
      <c r="B32" s="29"/>
      <c r="C32" s="366"/>
      <c r="D32" s="279"/>
      <c r="E32" s="279"/>
      <c r="F32" s="278"/>
      <c r="G32" s="279"/>
      <c r="H32" s="482"/>
      <c r="I32" s="368"/>
      <c r="J32" s="368"/>
      <c r="K32" s="281"/>
      <c r="L32" s="276"/>
      <c r="M32" s="397"/>
      <c r="N32" s="370"/>
      <c r="O32" s="420"/>
      <c r="P32" s="418"/>
      <c r="R32" s="277">
        <f t="shared" si="9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2:26" ht="15" hidden="1">
      <c r="B33" s="29"/>
      <c r="C33" s="366"/>
      <c r="D33" s="279"/>
      <c r="E33" s="279"/>
      <c r="F33" s="278"/>
      <c r="G33" s="279"/>
      <c r="H33" s="482"/>
      <c r="I33" s="368"/>
      <c r="J33" s="368"/>
      <c r="K33" s="281"/>
      <c r="L33" s="276"/>
      <c r="M33" s="397"/>
      <c r="N33" s="370"/>
      <c r="O33" s="420"/>
      <c r="P33" s="418"/>
      <c r="R33" s="277">
        <f t="shared" si="9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2:26" ht="15" hidden="1">
      <c r="B34" s="29"/>
      <c r="C34" s="366"/>
      <c r="D34" s="279"/>
      <c r="E34" s="279"/>
      <c r="F34" s="278"/>
      <c r="G34" s="279"/>
      <c r="H34" s="482"/>
      <c r="I34" s="368"/>
      <c r="J34" s="368"/>
      <c r="K34" s="281"/>
      <c r="L34" s="276"/>
      <c r="M34" s="397"/>
      <c r="N34" s="370"/>
      <c r="O34" s="420"/>
      <c r="P34" s="418"/>
      <c r="R34" s="277">
        <f t="shared" si="9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2:26" ht="15" hidden="1">
      <c r="B35" s="29"/>
      <c r="C35" s="366"/>
      <c r="D35" s="279"/>
      <c r="E35" s="279"/>
      <c r="F35" s="278"/>
      <c r="G35" s="279"/>
      <c r="H35" s="482"/>
      <c r="I35" s="368"/>
      <c r="J35" s="368"/>
      <c r="K35" s="281"/>
      <c r="L35" s="276"/>
      <c r="M35" s="397"/>
      <c r="N35" s="370"/>
      <c r="O35" s="420"/>
      <c r="P35" s="418"/>
      <c r="R35" s="277">
        <f t="shared" si="9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</row>
    <row r="36" spans="2:26" ht="15" hidden="1">
      <c r="B36" s="29"/>
      <c r="C36" s="366"/>
      <c r="D36" s="279"/>
      <c r="E36" s="279"/>
      <c r="F36" s="278"/>
      <c r="G36" s="279"/>
      <c r="H36" s="482"/>
      <c r="I36" s="368"/>
      <c r="J36" s="368"/>
      <c r="K36" s="281"/>
      <c r="L36" s="276"/>
      <c r="M36" s="397"/>
      <c r="N36" s="370"/>
      <c r="O36" s="420"/>
      <c r="P36" s="418"/>
      <c r="R36" s="277">
        <f t="shared" si="9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</row>
    <row r="37" spans="2:26" ht="15" hidden="1">
      <c r="B37" s="29"/>
      <c r="C37" s="366"/>
      <c r="D37" s="279"/>
      <c r="E37" s="279"/>
      <c r="F37" s="278"/>
      <c r="G37" s="279"/>
      <c r="H37" s="482"/>
      <c r="I37" s="368"/>
      <c r="J37" s="368"/>
      <c r="K37" s="281"/>
      <c r="L37" s="276"/>
      <c r="M37" s="397"/>
      <c r="N37" s="370"/>
      <c r="O37" s="420"/>
      <c r="P37" s="418"/>
      <c r="R37" s="277">
        <f t="shared" si="9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</row>
    <row r="38" spans="2:26" ht="15" hidden="1">
      <c r="B38" s="29"/>
      <c r="C38" s="366"/>
      <c r="D38" s="279"/>
      <c r="E38" s="279"/>
      <c r="F38" s="278"/>
      <c r="G38" s="279"/>
      <c r="H38" s="482"/>
      <c r="I38" s="368"/>
      <c r="J38" s="368"/>
      <c r="K38" s="281"/>
      <c r="L38" s="276"/>
      <c r="M38" s="397"/>
      <c r="N38" s="370"/>
      <c r="O38" s="420"/>
      <c r="P38" s="418"/>
      <c r="R38" s="277">
        <f t="shared" si="9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</row>
    <row r="39" spans="2:26" ht="15" hidden="1">
      <c r="B39" s="29"/>
      <c r="C39" s="366"/>
      <c r="D39" s="279"/>
      <c r="E39" s="279"/>
      <c r="F39" s="278"/>
      <c r="G39" s="279"/>
      <c r="H39" s="482"/>
      <c r="I39" s="368"/>
      <c r="J39" s="368"/>
      <c r="K39" s="281"/>
      <c r="L39" s="276"/>
      <c r="M39" s="397"/>
      <c r="N39" s="370"/>
      <c r="O39" s="420"/>
      <c r="P39" s="418"/>
      <c r="R39" s="277">
        <f t="shared" si="9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</row>
    <row r="40" spans="2:26" ht="15" hidden="1">
      <c r="B40" s="29"/>
      <c r="C40" s="366"/>
      <c r="D40" s="279"/>
      <c r="E40" s="279"/>
      <c r="F40" s="278"/>
      <c r="G40" s="279"/>
      <c r="H40" s="482"/>
      <c r="I40" s="368"/>
      <c r="J40" s="368"/>
      <c r="K40" s="281"/>
      <c r="L40" s="276"/>
      <c r="M40" s="397"/>
      <c r="N40" s="370"/>
      <c r="O40" s="420"/>
      <c r="P40" s="418"/>
      <c r="R40" s="277">
        <f t="shared" si="9"/>
        <v>0</v>
      </c>
      <c r="S40" s="472" t="e">
        <f t="shared" si="1"/>
        <v>#N/A</v>
      </c>
      <c r="T40" s="472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2" t="e">
        <f t="shared" si="8"/>
        <v>#N/A</v>
      </c>
    </row>
    <row r="41" spans="2:26" ht="15" hidden="1">
      <c r="B41" s="29"/>
      <c r="C41" s="366"/>
      <c r="D41" s="279"/>
      <c r="E41" s="279"/>
      <c r="F41" s="278"/>
      <c r="G41" s="279"/>
      <c r="H41" s="482"/>
      <c r="I41" s="368"/>
      <c r="J41" s="368"/>
      <c r="K41" s="281"/>
      <c r="L41" s="276"/>
      <c r="M41" s="397"/>
      <c r="N41" s="370"/>
      <c r="O41" s="420"/>
      <c r="P41" s="418"/>
      <c r="R41" s="277">
        <f t="shared" si="9"/>
        <v>0</v>
      </c>
      <c r="S41" s="472" t="e">
        <f t="shared" si="1"/>
        <v>#N/A</v>
      </c>
      <c r="T41" s="472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472" t="e">
        <f t="shared" si="8"/>
        <v>#N/A</v>
      </c>
    </row>
    <row r="42" spans="2:26" ht="15" hidden="1">
      <c r="B42" s="34"/>
      <c r="C42" s="366"/>
      <c r="D42" s="279"/>
      <c r="E42" s="279"/>
      <c r="F42" s="278"/>
      <c r="G42" s="279"/>
      <c r="H42" s="396"/>
      <c r="I42" s="368"/>
      <c r="J42" s="368"/>
      <c r="K42" s="281"/>
      <c r="L42" s="276"/>
      <c r="M42" s="397"/>
      <c r="N42" s="370"/>
      <c r="O42" s="420"/>
      <c r="P42" s="418"/>
      <c r="R42" s="277">
        <f t="shared" si="9"/>
        <v>0</v>
      </c>
      <c r="S42" s="472" t="e">
        <f t="shared" si="1"/>
        <v>#N/A</v>
      </c>
      <c r="T42" s="472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472" t="e">
        <f t="shared" si="8"/>
        <v>#N/A</v>
      </c>
    </row>
    <row r="43" spans="2:26" ht="15" hidden="1">
      <c r="B43" s="34"/>
      <c r="C43" s="366"/>
      <c r="D43" s="279"/>
      <c r="E43" s="279"/>
      <c r="F43" s="278"/>
      <c r="G43" s="279"/>
      <c r="H43" s="396"/>
      <c r="I43" s="368"/>
      <c r="J43" s="368"/>
      <c r="K43" s="281"/>
      <c r="L43" s="276"/>
      <c r="M43" s="397"/>
      <c r="N43" s="370"/>
      <c r="O43" s="420"/>
      <c r="P43" s="418"/>
      <c r="R43" s="277">
        <f t="shared" si="9"/>
        <v>0</v>
      </c>
      <c r="S43" s="472" t="e">
        <f t="shared" si="1"/>
        <v>#N/A</v>
      </c>
      <c r="T43" s="472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472" t="e">
        <f t="shared" si="8"/>
        <v>#N/A</v>
      </c>
    </row>
    <row r="44" spans="2:26" ht="15" hidden="1">
      <c r="B44" s="34"/>
      <c r="C44" s="366"/>
      <c r="D44" s="279"/>
      <c r="E44" s="279"/>
      <c r="F44" s="278"/>
      <c r="G44" s="279"/>
      <c r="H44" s="396"/>
      <c r="I44" s="484"/>
      <c r="J44" s="484"/>
      <c r="K44" s="485"/>
      <c r="L44" s="276"/>
      <c r="M44" s="374"/>
      <c r="N44" s="370"/>
      <c r="O44" s="420"/>
      <c r="P44" s="418"/>
      <c r="R44" s="277">
        <f t="shared" si="9"/>
        <v>0</v>
      </c>
      <c r="S44" s="472" t="e">
        <f t="shared" si="1"/>
        <v>#N/A</v>
      </c>
      <c r="T44" s="472" t="e">
        <f t="shared" si="2"/>
        <v>#N/A</v>
      </c>
      <c r="U44" s="297" t="e">
        <f t="shared" si="3"/>
        <v>#N/A</v>
      </c>
      <c r="V44" s="297" t="e">
        <f t="shared" si="4"/>
        <v>#N/A</v>
      </c>
      <c r="W44" s="297" t="e">
        <f t="shared" si="5"/>
        <v>#N/A</v>
      </c>
      <c r="X44" s="297" t="e">
        <f t="shared" si="6"/>
        <v>#N/A</v>
      </c>
      <c r="Y44" s="297" t="e">
        <f t="shared" si="7"/>
        <v>#N/A</v>
      </c>
      <c r="Z44" s="472" t="e">
        <f t="shared" si="8"/>
        <v>#N/A</v>
      </c>
    </row>
    <row r="45" spans="2:26" ht="18" hidden="1" customHeight="1">
      <c r="B45" s="29"/>
      <c r="C45" s="366"/>
      <c r="D45" s="279"/>
      <c r="E45" s="279"/>
      <c r="F45" s="278"/>
      <c r="G45" s="279"/>
      <c r="H45" s="482"/>
      <c r="I45" s="368"/>
      <c r="J45" s="368"/>
      <c r="K45" s="281"/>
      <c r="L45" s="276"/>
      <c r="M45" s="374"/>
      <c r="N45" s="370"/>
      <c r="O45" s="371"/>
      <c r="P45" s="418"/>
      <c r="R45" s="277">
        <f t="shared" si="9"/>
        <v>0</v>
      </c>
      <c r="S45" s="472" t="e">
        <f t="shared" si="1"/>
        <v>#N/A</v>
      </c>
      <c r="T45" s="472" t="e">
        <f t="shared" si="2"/>
        <v>#N/A</v>
      </c>
      <c r="U45" s="297" t="e">
        <f t="shared" si="3"/>
        <v>#N/A</v>
      </c>
      <c r="V45" s="297" t="e">
        <f t="shared" si="4"/>
        <v>#N/A</v>
      </c>
      <c r="W45" s="297" t="e">
        <f t="shared" si="5"/>
        <v>#N/A</v>
      </c>
      <c r="X45" s="297" t="e">
        <f t="shared" si="6"/>
        <v>#N/A</v>
      </c>
      <c r="Y45" s="297" t="e">
        <f t="shared" si="7"/>
        <v>#N/A</v>
      </c>
      <c r="Z45" s="472" t="e">
        <f t="shared" si="8"/>
        <v>#N/A</v>
      </c>
    </row>
    <row r="46" spans="2:26" ht="16.5" hidden="1" customHeight="1">
      <c r="B46" s="29"/>
      <c r="C46" s="366"/>
      <c r="D46" s="279"/>
      <c r="E46" s="279"/>
      <c r="F46" s="278"/>
      <c r="G46" s="279"/>
      <c r="H46" s="396"/>
      <c r="I46" s="368"/>
      <c r="J46" s="368"/>
      <c r="K46" s="281"/>
      <c r="L46" s="276"/>
      <c r="M46" s="397"/>
      <c r="N46" s="370"/>
      <c r="O46" s="371"/>
      <c r="P46" s="418"/>
      <c r="R46" s="277">
        <f t="shared" si="9"/>
        <v>0</v>
      </c>
      <c r="S46" s="472" t="e">
        <f t="shared" si="1"/>
        <v>#N/A</v>
      </c>
      <c r="T46" s="472" t="e">
        <f t="shared" si="2"/>
        <v>#N/A</v>
      </c>
      <c r="U46" s="297" t="e">
        <f t="shared" si="3"/>
        <v>#N/A</v>
      </c>
      <c r="V46" s="297" t="e">
        <f t="shared" si="4"/>
        <v>#N/A</v>
      </c>
      <c r="W46" s="297" t="e">
        <f t="shared" si="5"/>
        <v>#N/A</v>
      </c>
      <c r="X46" s="297" t="e">
        <f t="shared" si="6"/>
        <v>#N/A</v>
      </c>
      <c r="Y46" s="297" t="e">
        <f t="shared" si="7"/>
        <v>#N/A</v>
      </c>
      <c r="Z46" s="472" t="e">
        <f t="shared" si="8"/>
        <v>#N/A</v>
      </c>
    </row>
    <row r="47" spans="2:26" ht="15.75" customHeight="1" thickBot="1">
      <c r="B47" s="358"/>
      <c r="C47" s="358"/>
      <c r="D47" s="358"/>
      <c r="E47" s="358"/>
      <c r="F47" s="294"/>
      <c r="G47" s="294"/>
      <c r="H47" s="348"/>
      <c r="I47" s="533"/>
      <c r="J47" s="533"/>
      <c r="K47" s="533"/>
      <c r="L47" s="533"/>
      <c r="M47" s="533"/>
      <c r="N47" s="533"/>
      <c r="O47" s="1"/>
      <c r="P47" s="12"/>
      <c r="R47" s="277">
        <f t="shared" ref="R47:R60" si="10">B47</f>
        <v>0</v>
      </c>
      <c r="S47" s="472" t="e">
        <f t="shared" si="1"/>
        <v>#N/A</v>
      </c>
      <c r="T47" s="472" t="e">
        <f t="shared" si="2"/>
        <v>#N/A</v>
      </c>
      <c r="U47" s="297" t="e">
        <f t="shared" si="3"/>
        <v>#N/A</v>
      </c>
      <c r="V47" s="297" t="e">
        <f t="shared" si="4"/>
        <v>#N/A</v>
      </c>
      <c r="W47" s="297" t="e">
        <f t="shared" si="5"/>
        <v>#N/A</v>
      </c>
      <c r="X47" s="297" t="e">
        <f t="shared" si="6"/>
        <v>#N/A</v>
      </c>
      <c r="Y47" s="297" t="e">
        <f t="shared" si="7"/>
        <v>#N/A</v>
      </c>
      <c r="Z47" s="472" t="e">
        <f t="shared" si="8"/>
        <v>#N/A</v>
      </c>
    </row>
    <row r="48" spans="2:26" ht="15.75" customHeight="1" thickBot="1">
      <c r="B48" s="388" t="s">
        <v>162</v>
      </c>
      <c r="C48" s="388"/>
      <c r="D48" s="534" t="s">
        <v>35</v>
      </c>
      <c r="E48" s="535"/>
      <c r="F48" s="294"/>
      <c r="G48" s="294"/>
      <c r="H48" s="348"/>
      <c r="I48" s="24" t="s">
        <v>17</v>
      </c>
      <c r="J48" s="25"/>
      <c r="K48" s="26" t="s">
        <v>138</v>
      </c>
      <c r="L48" s="25" t="s">
        <v>37</v>
      </c>
      <c r="M48" s="25" t="s">
        <v>38</v>
      </c>
      <c r="N48" s="27" t="s">
        <v>39</v>
      </c>
      <c r="O48" s="294"/>
      <c r="P48" s="12"/>
      <c r="R48" s="277" t="str">
        <f t="shared" si="10"/>
        <v xml:space="preserve">BRAND </v>
      </c>
      <c r="S48" s="472" t="e">
        <f t="shared" si="1"/>
        <v>#N/A</v>
      </c>
      <c r="T48" s="472" t="e">
        <f t="shared" si="2"/>
        <v>#N/A</v>
      </c>
      <c r="U48" s="297" t="e">
        <f t="shared" si="3"/>
        <v>#N/A</v>
      </c>
      <c r="V48" s="297" t="e">
        <f t="shared" si="4"/>
        <v>#N/A</v>
      </c>
      <c r="W48" s="297" t="e">
        <f t="shared" si="5"/>
        <v>#N/A</v>
      </c>
      <c r="X48" s="297" t="e">
        <f t="shared" si="6"/>
        <v>#N/A</v>
      </c>
      <c r="Y48" s="297" t="e">
        <f t="shared" si="7"/>
        <v>#N/A</v>
      </c>
      <c r="Z48" s="472" t="e">
        <f t="shared" si="8"/>
        <v>#N/A</v>
      </c>
    </row>
    <row r="49" spans="1:27" ht="15" customHeight="1">
      <c r="A49" s="28"/>
      <c r="B49" s="519"/>
      <c r="C49" s="362"/>
      <c r="D49" s="537"/>
      <c r="E49" s="538"/>
      <c r="F49" s="294"/>
      <c r="G49" s="294"/>
      <c r="H49" s="348"/>
      <c r="I49" s="29" t="s">
        <v>6</v>
      </c>
      <c r="J49" s="323">
        <f>AVERAGE(I21:I29)</f>
        <v>98.229108303833115</v>
      </c>
      <c r="K49" s="284">
        <f>COUNTA([4]Brewhouse!$B$292:$B$358)</f>
        <v>67</v>
      </c>
      <c r="L49" s="305">
        <f>AVERAGE([4]Brewhouse!$AU$292:$AU$358)</f>
        <v>98.520484255160525</v>
      </c>
      <c r="M49" s="305">
        <f>AVERAGE([4]Brewhouse!$AU$42:$AU$123,[4]Brewhouse!$AU$125:$AU$188,[4]Brewhouse!$AU$198:$AU$290,[4]Brewhouse!$AU$292:$AU$358)</f>
        <v>98.015373595723062</v>
      </c>
      <c r="N49" s="30">
        <v>98</v>
      </c>
      <c r="O49" s="11"/>
      <c r="P49" s="31"/>
      <c r="R49" s="277">
        <f t="shared" si="10"/>
        <v>0</v>
      </c>
      <c r="S49" s="472" t="e">
        <f t="shared" si="1"/>
        <v>#N/A</v>
      </c>
      <c r="T49" s="472" t="e">
        <f t="shared" si="2"/>
        <v>#N/A</v>
      </c>
      <c r="U49" s="297" t="e">
        <f t="shared" si="3"/>
        <v>#N/A</v>
      </c>
      <c r="V49" s="297" t="e">
        <f t="shared" si="4"/>
        <v>#N/A</v>
      </c>
      <c r="W49" s="297" t="e">
        <f t="shared" si="5"/>
        <v>#N/A</v>
      </c>
      <c r="X49" s="297" t="e">
        <f t="shared" si="6"/>
        <v>#N/A</v>
      </c>
      <c r="Y49" s="297" t="e">
        <f t="shared" si="7"/>
        <v>#N/A</v>
      </c>
      <c r="Z49" s="472" t="e">
        <f t="shared" si="8"/>
        <v>#N/A</v>
      </c>
    </row>
    <row r="50" spans="1:27" ht="15" customHeight="1">
      <c r="A50" s="28"/>
      <c r="B50" s="520"/>
      <c r="C50" s="362"/>
      <c r="D50" s="539"/>
      <c r="E50" s="525"/>
      <c r="F50" s="294"/>
      <c r="G50" s="294"/>
      <c r="H50" s="348"/>
      <c r="I50" s="33" t="s">
        <v>9</v>
      </c>
      <c r="J50" s="280">
        <f>AVERAGE(I10:I19)</f>
        <v>97.769009048805231</v>
      </c>
      <c r="K50" s="284">
        <f>COUNTA([3]Brewhouse!$A$179:$A$212)</f>
        <v>34</v>
      </c>
      <c r="L50" s="302">
        <f>AVERAGE([3]Brewhouse!$AS$179:$AS$212)</f>
        <v>98.650555109459972</v>
      </c>
      <c r="M50" s="302">
        <f>AVERAGE([3]Brewhouse!$AS$52:$AS$81,[3]Brewhouse!$AS$83:$AS$124,[3]Brewhouse!$AS$134:$AS$177,[3]Brewhouse!$AS$22:$AS$179)</f>
        <v>97.946757744825319</v>
      </c>
      <c r="N50" s="30">
        <v>98</v>
      </c>
      <c r="O50" s="11"/>
      <c r="P50" s="31"/>
      <c r="R50" s="277">
        <f t="shared" si="10"/>
        <v>0</v>
      </c>
      <c r="S50" s="472" t="e">
        <f t="shared" si="1"/>
        <v>#N/A</v>
      </c>
      <c r="T50" s="472" t="e">
        <f t="shared" si="2"/>
        <v>#N/A</v>
      </c>
      <c r="U50" s="297" t="e">
        <f t="shared" si="3"/>
        <v>#N/A</v>
      </c>
      <c r="V50" s="297" t="e">
        <f t="shared" si="4"/>
        <v>#N/A</v>
      </c>
      <c r="W50" s="297" t="e">
        <f t="shared" si="5"/>
        <v>#N/A</v>
      </c>
      <c r="X50" s="297" t="e">
        <f t="shared" si="6"/>
        <v>#N/A</v>
      </c>
      <c r="Y50" s="297" t="e">
        <f t="shared" si="7"/>
        <v>#N/A</v>
      </c>
      <c r="Z50" s="472" t="e">
        <f t="shared" si="8"/>
        <v>#N/A</v>
      </c>
    </row>
    <row r="51" spans="1:27" ht="14.65" customHeight="1">
      <c r="A51" s="28"/>
      <c r="B51" s="520"/>
      <c r="C51" s="362"/>
      <c r="D51" s="529"/>
      <c r="E51" s="530"/>
      <c r="F51" s="294"/>
      <c r="G51" s="294"/>
      <c r="H51" s="348"/>
      <c r="I51" s="34" t="s">
        <v>12</v>
      </c>
      <c r="J51" s="280"/>
      <c r="K51" s="284">
        <f>COUNTA([5]Brewhouse!$A$43:$A$50)</f>
        <v>8</v>
      </c>
      <c r="L51" s="302">
        <f>AVERAGE([5]Brewhouse!$AU$43:$AU$50)</f>
        <v>96.223405821152667</v>
      </c>
      <c r="M51" s="302">
        <f>AVERAGE([5]Brewhouse!$AU$16:$AU$23,[5]Brewhouse!$AU$25:$AU$32,[5]Brewhouse!$AU$34:$AU$41,[5]Brewhouse!$AU$43:$AU$50)</f>
        <v>96.904441824349703</v>
      </c>
      <c r="N51" s="30">
        <v>98</v>
      </c>
      <c r="O51" s="11"/>
      <c r="P51" s="31"/>
      <c r="R51" s="277">
        <f t="shared" si="10"/>
        <v>0</v>
      </c>
      <c r="S51" s="472" t="e">
        <f t="shared" si="1"/>
        <v>#N/A</v>
      </c>
      <c r="T51" s="472" t="e">
        <f t="shared" si="2"/>
        <v>#N/A</v>
      </c>
      <c r="U51" s="297" t="e">
        <f t="shared" si="3"/>
        <v>#N/A</v>
      </c>
      <c r="V51" s="297" t="e">
        <f t="shared" si="4"/>
        <v>#N/A</v>
      </c>
      <c r="W51" s="297" t="e">
        <f t="shared" si="5"/>
        <v>#N/A</v>
      </c>
      <c r="X51" s="297" t="e">
        <f t="shared" si="6"/>
        <v>#N/A</v>
      </c>
      <c r="Y51" s="297" t="e">
        <f t="shared" si="7"/>
        <v>#N/A</v>
      </c>
      <c r="Z51" s="472" t="e">
        <f t="shared" si="8"/>
        <v>#N/A</v>
      </c>
    </row>
    <row r="52" spans="1:27" ht="14.65" customHeight="1">
      <c r="A52" s="28"/>
      <c r="B52" s="520"/>
      <c r="C52" s="362"/>
      <c r="D52" s="524"/>
      <c r="E52" s="525"/>
      <c r="F52" s="294"/>
      <c r="G52" s="294"/>
      <c r="H52" s="348"/>
      <c r="I52" s="22" t="s">
        <v>33</v>
      </c>
      <c r="J52" s="280"/>
      <c r="K52" s="284"/>
      <c r="L52" s="302"/>
      <c r="M52" s="302">
        <f>AVERAGE([6]Brewhouse!$AV$23:$AV$34,[6]Brewhouse!$AV$36,[6]Brewhouse!$AV$38:$AV$52)</f>
        <v>97.639832259312456</v>
      </c>
      <c r="N52" s="30">
        <v>98</v>
      </c>
      <c r="O52" s="11"/>
      <c r="P52" s="31"/>
      <c r="R52" s="277">
        <f t="shared" si="10"/>
        <v>0</v>
      </c>
      <c r="S52" s="472" t="e">
        <f t="shared" si="1"/>
        <v>#N/A</v>
      </c>
      <c r="T52" s="472" t="e">
        <f t="shared" si="2"/>
        <v>#N/A</v>
      </c>
      <c r="U52" s="297" t="e">
        <f t="shared" si="3"/>
        <v>#N/A</v>
      </c>
      <c r="V52" s="297" t="e">
        <f t="shared" si="4"/>
        <v>#N/A</v>
      </c>
      <c r="W52" s="297" t="e">
        <f t="shared" si="5"/>
        <v>#N/A</v>
      </c>
      <c r="X52" s="297" t="e">
        <f t="shared" si="6"/>
        <v>#N/A</v>
      </c>
      <c r="Y52" s="297" t="e">
        <f t="shared" si="7"/>
        <v>#N/A</v>
      </c>
      <c r="Z52" s="472" t="e">
        <f t="shared" si="8"/>
        <v>#N/A</v>
      </c>
    </row>
    <row r="53" spans="1:27" ht="14.65" customHeight="1">
      <c r="A53" s="28"/>
      <c r="B53" s="520"/>
      <c r="C53" s="362"/>
      <c r="D53" s="529"/>
      <c r="E53" s="530"/>
      <c r="F53" s="417"/>
      <c r="G53" s="294"/>
      <c r="H53" s="348"/>
      <c r="I53" s="35" t="s">
        <v>29</v>
      </c>
      <c r="J53" s="280"/>
      <c r="K53" s="284"/>
      <c r="L53" s="302"/>
      <c r="M53" s="302"/>
      <c r="N53" s="30">
        <v>98</v>
      </c>
      <c r="O53" s="11"/>
      <c r="P53" s="31"/>
      <c r="R53" s="277">
        <f t="shared" si="10"/>
        <v>0</v>
      </c>
      <c r="S53" s="472" t="e">
        <f t="shared" si="1"/>
        <v>#N/A</v>
      </c>
      <c r="T53" s="472" t="e">
        <f t="shared" si="2"/>
        <v>#N/A</v>
      </c>
      <c r="U53" s="297" t="e">
        <f t="shared" si="3"/>
        <v>#N/A</v>
      </c>
      <c r="V53" s="297" t="e">
        <f t="shared" si="4"/>
        <v>#N/A</v>
      </c>
      <c r="W53" s="297" t="e">
        <f t="shared" si="5"/>
        <v>#N/A</v>
      </c>
      <c r="X53" s="297" t="e">
        <f t="shared" si="6"/>
        <v>#N/A</v>
      </c>
      <c r="Y53" s="297" t="e">
        <f t="shared" si="7"/>
        <v>#N/A</v>
      </c>
      <c r="Z53" s="472" t="e">
        <f t="shared" si="8"/>
        <v>#N/A</v>
      </c>
    </row>
    <row r="54" spans="1:27" ht="14.65" customHeight="1">
      <c r="A54" s="28"/>
      <c r="B54" s="520"/>
      <c r="C54" s="362"/>
      <c r="D54" s="524"/>
      <c r="E54" s="525"/>
      <c r="F54" s="417"/>
      <c r="G54" s="294"/>
      <c r="H54" s="348"/>
      <c r="I54" s="36" t="s">
        <v>15</v>
      </c>
      <c r="J54" s="323"/>
      <c r="K54" s="284"/>
      <c r="L54" s="302"/>
      <c r="M54" s="302">
        <f>AVERAGE([7]Brewhouse!$AT$4:$AT$11)</f>
        <v>92.826224508052405</v>
      </c>
      <c r="N54" s="30">
        <v>98</v>
      </c>
      <c r="O54" s="11"/>
      <c r="P54" s="31"/>
      <c r="R54" s="277">
        <f t="shared" si="10"/>
        <v>0</v>
      </c>
      <c r="S54" s="472" t="e">
        <f t="shared" si="1"/>
        <v>#N/A</v>
      </c>
      <c r="T54" s="472" t="e">
        <f t="shared" si="2"/>
        <v>#N/A</v>
      </c>
      <c r="U54" s="297" t="e">
        <f t="shared" si="3"/>
        <v>#N/A</v>
      </c>
      <c r="V54" s="297" t="e">
        <f t="shared" si="4"/>
        <v>#N/A</v>
      </c>
      <c r="W54" s="297" t="e">
        <f t="shared" si="5"/>
        <v>#N/A</v>
      </c>
      <c r="X54" s="297" t="e">
        <f t="shared" si="6"/>
        <v>#N/A</v>
      </c>
      <c r="Y54" s="297" t="e">
        <f t="shared" si="7"/>
        <v>#N/A</v>
      </c>
      <c r="Z54" s="472" t="e">
        <f t="shared" si="8"/>
        <v>#N/A</v>
      </c>
    </row>
    <row r="55" spans="1:27" ht="14.65" customHeight="1">
      <c r="A55" s="28"/>
      <c r="B55" s="520"/>
      <c r="C55" s="362"/>
      <c r="D55" s="529"/>
      <c r="E55" s="530"/>
      <c r="F55" s="417"/>
      <c r="G55" s="294"/>
      <c r="H55" s="348"/>
      <c r="I55" s="37" t="s">
        <v>16</v>
      </c>
      <c r="J55" s="323"/>
      <c r="K55" s="284">
        <f>COUNTA([8]Brewhouse!$A$44:$A$51)</f>
        <v>8</v>
      </c>
      <c r="L55" s="302">
        <f>AVERAGE([8]Brewhouse!$AY$44:$AY$51)</f>
        <v>98.126000151084682</v>
      </c>
      <c r="M55" s="302">
        <f>AVERAGE([8]Brewhouse!$AY$5:$AY$14,[8]Brewhouse!$AY$16:$AY$23,[8]Brewhouse!$AY$42,[8]Brewhouse!$AY$44:$AY$51)</f>
        <v>97.608428475776392</v>
      </c>
      <c r="N55" s="30">
        <v>98</v>
      </c>
      <c r="O55" s="11"/>
      <c r="P55" s="31" t="s">
        <v>41</v>
      </c>
      <c r="R55" s="277">
        <f t="shared" si="10"/>
        <v>0</v>
      </c>
      <c r="S55" s="472" t="e">
        <f t="shared" si="1"/>
        <v>#N/A</v>
      </c>
      <c r="T55" s="472" t="e">
        <f t="shared" si="2"/>
        <v>#N/A</v>
      </c>
      <c r="U55" s="297" t="e">
        <f t="shared" si="3"/>
        <v>#N/A</v>
      </c>
      <c r="V55" s="297" t="e">
        <f t="shared" si="4"/>
        <v>#N/A</v>
      </c>
      <c r="W55" s="297" t="e">
        <f t="shared" si="5"/>
        <v>#N/A</v>
      </c>
      <c r="X55" s="297" t="e">
        <f t="shared" si="6"/>
        <v>#N/A</v>
      </c>
      <c r="Y55" s="297" t="e">
        <f t="shared" si="7"/>
        <v>#N/A</v>
      </c>
      <c r="Z55" s="472" t="e">
        <f t="shared" si="8"/>
        <v>#N/A</v>
      </c>
    </row>
    <row r="56" spans="1:27" ht="14.65" customHeight="1">
      <c r="A56" s="28"/>
      <c r="B56" s="520"/>
      <c r="C56" s="362"/>
      <c r="D56" s="524"/>
      <c r="E56" s="525"/>
      <c r="F56" s="294"/>
      <c r="G56" s="294"/>
      <c r="H56" s="348"/>
      <c r="I56" s="411" t="s">
        <v>158</v>
      </c>
      <c r="J56" s="326"/>
      <c r="K56" s="284"/>
      <c r="L56" s="305"/>
      <c r="M56" s="305"/>
      <c r="N56" s="30">
        <v>98</v>
      </c>
      <c r="O56" s="11"/>
      <c r="P56" s="31"/>
      <c r="R56" s="277">
        <f t="shared" si="10"/>
        <v>0</v>
      </c>
      <c r="S56" s="472" t="e">
        <f t="shared" si="1"/>
        <v>#N/A</v>
      </c>
      <c r="T56" s="472" t="e">
        <f t="shared" si="2"/>
        <v>#N/A</v>
      </c>
      <c r="U56" s="297" t="e">
        <f t="shared" si="3"/>
        <v>#N/A</v>
      </c>
      <c r="V56" s="297" t="e">
        <f t="shared" si="4"/>
        <v>#N/A</v>
      </c>
      <c r="W56" s="297" t="e">
        <f t="shared" si="5"/>
        <v>#N/A</v>
      </c>
      <c r="X56" s="297" t="e">
        <f t="shared" si="6"/>
        <v>#N/A</v>
      </c>
      <c r="Y56" s="297" t="e">
        <f t="shared" si="7"/>
        <v>#N/A</v>
      </c>
      <c r="Z56" s="472" t="e">
        <f t="shared" si="8"/>
        <v>#N/A</v>
      </c>
    </row>
    <row r="57" spans="1:27" ht="14.65" customHeight="1">
      <c r="A57" s="28"/>
      <c r="B57" s="520"/>
      <c r="C57" s="349"/>
      <c r="D57" s="529"/>
      <c r="E57" s="530"/>
      <c r="F57" s="294"/>
      <c r="G57" s="294"/>
      <c r="H57" s="348"/>
      <c r="I57" s="410" t="s">
        <v>157</v>
      </c>
      <c r="J57" s="326"/>
      <c r="K57" s="284"/>
      <c r="L57" s="305"/>
      <c r="M57" s="305"/>
      <c r="N57" s="30">
        <v>98</v>
      </c>
      <c r="O57" s="11"/>
      <c r="P57" s="31"/>
      <c r="R57" s="277">
        <f t="shared" si="10"/>
        <v>0</v>
      </c>
      <c r="S57" s="472" t="e">
        <f t="shared" si="1"/>
        <v>#N/A</v>
      </c>
      <c r="T57" s="472" t="e">
        <f t="shared" si="2"/>
        <v>#N/A</v>
      </c>
      <c r="U57" s="297" t="e">
        <f t="shared" si="3"/>
        <v>#N/A</v>
      </c>
      <c r="V57" s="297" t="e">
        <f t="shared" si="4"/>
        <v>#N/A</v>
      </c>
      <c r="W57" s="297" t="e">
        <f t="shared" si="5"/>
        <v>#N/A</v>
      </c>
      <c r="X57" s="297" t="e">
        <f t="shared" si="6"/>
        <v>#N/A</v>
      </c>
      <c r="Y57" s="297" t="e">
        <f t="shared" si="7"/>
        <v>#N/A</v>
      </c>
      <c r="Z57" s="472" t="e">
        <f t="shared" si="8"/>
        <v>#N/A</v>
      </c>
      <c r="AA57" s="472"/>
    </row>
    <row r="58" spans="1:27" ht="15" customHeight="1" thickBot="1">
      <c r="A58" s="28"/>
      <c r="B58" s="520"/>
      <c r="C58" s="349"/>
      <c r="D58" s="524"/>
      <c r="E58" s="525"/>
      <c r="F58" s="294"/>
      <c r="G58" s="294"/>
      <c r="H58" s="348"/>
      <c r="I58" s="406" t="s">
        <v>156</v>
      </c>
      <c r="J58" s="327"/>
      <c r="K58" s="407"/>
      <c r="L58" s="408"/>
      <c r="M58" s="408"/>
      <c r="N58" s="409">
        <v>98</v>
      </c>
      <c r="O58" s="11"/>
      <c r="P58" s="31"/>
      <c r="R58" s="277">
        <f t="shared" si="10"/>
        <v>0</v>
      </c>
      <c r="S58" s="472" t="e">
        <f t="shared" si="1"/>
        <v>#N/A</v>
      </c>
      <c r="T58" s="472" t="e">
        <f t="shared" si="2"/>
        <v>#N/A</v>
      </c>
      <c r="U58" s="297" t="e">
        <f t="shared" si="3"/>
        <v>#N/A</v>
      </c>
      <c r="V58" s="297" t="e">
        <f t="shared" si="4"/>
        <v>#N/A</v>
      </c>
      <c r="W58" s="297" t="e">
        <f t="shared" si="5"/>
        <v>#N/A</v>
      </c>
      <c r="X58" s="297" t="e">
        <f t="shared" si="6"/>
        <v>#N/A</v>
      </c>
      <c r="Y58" s="297" t="e">
        <f t="shared" si="7"/>
        <v>#N/A</v>
      </c>
      <c r="Z58" s="472" t="e">
        <f t="shared" si="8"/>
        <v>#N/A</v>
      </c>
      <c r="AA58" s="472"/>
    </row>
    <row r="59" spans="1:27" ht="15" customHeight="1" thickBot="1">
      <c r="A59" s="28"/>
      <c r="B59" s="520"/>
      <c r="C59" s="349"/>
      <c r="D59" s="537"/>
      <c r="E59" s="538"/>
      <c r="F59" s="294"/>
      <c r="G59" s="294"/>
      <c r="H59" s="348"/>
      <c r="I59" s="1"/>
      <c r="J59" s="39"/>
      <c r="K59" s="404">
        <f>SUM(K49:K58)</f>
        <v>117</v>
      </c>
      <c r="L59" s="405">
        <f>((L49*K49)+(L50*K50)+(L51*K51)+(L52*K52)+(L53*K53)+(K56*L56)+(L54*K54)+(L55*K55)+(L58*K58))/(K59)</f>
        <v>98.374244158934133</v>
      </c>
      <c r="M59" s="405">
        <f>AVERAGE('[9]Jan30th-31st'!$L$42,L59)</f>
        <v>98.1011429473878</v>
      </c>
      <c r="N59" s="40">
        <v>98</v>
      </c>
      <c r="O59" s="11"/>
      <c r="P59" s="31"/>
      <c r="R59" s="277">
        <f t="shared" si="10"/>
        <v>0</v>
      </c>
      <c r="S59" s="472" t="e">
        <f t="shared" si="1"/>
        <v>#N/A</v>
      </c>
      <c r="T59" s="472" t="e">
        <f t="shared" si="2"/>
        <v>#N/A</v>
      </c>
      <c r="U59" s="297" t="e">
        <f t="shared" si="3"/>
        <v>#N/A</v>
      </c>
      <c r="V59" s="297" t="e">
        <f t="shared" si="4"/>
        <v>#N/A</v>
      </c>
      <c r="W59" s="297" t="e">
        <f t="shared" si="5"/>
        <v>#N/A</v>
      </c>
      <c r="X59" s="297" t="e">
        <f t="shared" si="6"/>
        <v>#N/A</v>
      </c>
      <c r="Y59" s="297" t="e">
        <f t="shared" si="7"/>
        <v>#N/A</v>
      </c>
      <c r="Z59" s="472" t="e">
        <f t="shared" si="8"/>
        <v>#N/A</v>
      </c>
      <c r="AA59" s="472"/>
    </row>
    <row r="60" spans="1:27" ht="15.75" thickBot="1">
      <c r="B60" s="536"/>
      <c r="C60" s="350"/>
      <c r="D60" s="539"/>
      <c r="E60" s="525"/>
      <c r="F60" s="294"/>
      <c r="G60" s="42"/>
      <c r="H60" s="41"/>
      <c r="I60" s="42"/>
      <c r="J60" s="42"/>
      <c r="K60" s="351"/>
      <c r="L60" s="348"/>
      <c r="M60" s="348"/>
      <c r="N60" s="11"/>
      <c r="O60" s="294"/>
      <c r="P60" s="12"/>
      <c r="R60" s="277">
        <f t="shared" si="10"/>
        <v>0</v>
      </c>
      <c r="S60" s="472" t="e">
        <f t="shared" si="1"/>
        <v>#N/A</v>
      </c>
      <c r="T60" s="472" t="e">
        <f t="shared" si="2"/>
        <v>#N/A</v>
      </c>
      <c r="U60" s="297" t="e">
        <f t="shared" si="3"/>
        <v>#N/A</v>
      </c>
      <c r="V60" s="297" t="e">
        <f t="shared" si="4"/>
        <v>#N/A</v>
      </c>
      <c r="W60" s="297" t="e">
        <f t="shared" si="5"/>
        <v>#N/A</v>
      </c>
      <c r="X60" s="297" t="e">
        <f t="shared" si="6"/>
        <v>#N/A</v>
      </c>
      <c r="Y60" s="297" t="e">
        <f t="shared" si="7"/>
        <v>#N/A</v>
      </c>
      <c r="Z60" s="472" t="e">
        <f t="shared" si="8"/>
        <v>#N/A</v>
      </c>
      <c r="AA60" s="472"/>
    </row>
    <row r="61" spans="1:27" ht="15.75" thickBot="1">
      <c r="B61" s="519"/>
      <c r="C61" s="362"/>
      <c r="D61" s="522"/>
      <c r="E61" s="523"/>
      <c r="F61" s="294"/>
      <c r="G61" s="42"/>
      <c r="H61" s="41"/>
      <c r="I61" s="42"/>
      <c r="J61" s="526" t="s">
        <v>129</v>
      </c>
      <c r="K61" s="526"/>
      <c r="L61" s="294"/>
      <c r="M61" s="294"/>
      <c r="N61" s="294"/>
      <c r="O61" s="294"/>
      <c r="P61" s="12"/>
    </row>
    <row r="62" spans="1:27" ht="30.75" thickBot="1">
      <c r="B62" s="520"/>
      <c r="C62" s="362"/>
      <c r="D62" s="524"/>
      <c r="E62" s="525"/>
      <c r="F62" s="294"/>
      <c r="G62" s="42"/>
      <c r="H62" s="292" t="s">
        <v>17</v>
      </c>
      <c r="I62" s="293" t="s">
        <v>172</v>
      </c>
      <c r="J62" s="293" t="s">
        <v>190</v>
      </c>
      <c r="K62" s="293" t="s">
        <v>191</v>
      </c>
      <c r="L62" s="527" t="s">
        <v>136</v>
      </c>
      <c r="M62" s="527"/>
      <c r="N62" s="528"/>
      <c r="O62" s="294"/>
      <c r="P62" s="12"/>
    </row>
    <row r="63" spans="1:27" ht="15" customHeight="1" thickBot="1">
      <c r="B63" s="520"/>
      <c r="C63" s="349"/>
      <c r="D63" s="529"/>
      <c r="E63" s="530"/>
      <c r="F63" s="294"/>
      <c r="G63" s="42"/>
      <c r="H63" s="287" t="s">
        <v>6</v>
      </c>
      <c r="I63" s="324"/>
      <c r="J63" s="324">
        <v>6</v>
      </c>
      <c r="K63" s="324">
        <v>2</v>
      </c>
      <c r="L63" s="473" t="s">
        <v>37</v>
      </c>
      <c r="M63" s="474" t="s">
        <v>38</v>
      </c>
      <c r="N63" s="474" t="s">
        <v>84</v>
      </c>
      <c r="O63" s="294"/>
      <c r="P63" s="12"/>
    </row>
    <row r="64" spans="1:27" ht="15.75" customHeight="1" thickBot="1">
      <c r="B64" s="520"/>
      <c r="C64" s="349"/>
      <c r="D64" s="524"/>
      <c r="E64" s="525"/>
      <c r="F64" s="294"/>
      <c r="G64" s="42"/>
      <c r="H64" s="345" t="s">
        <v>9</v>
      </c>
      <c r="I64" s="324">
        <v>7</v>
      </c>
      <c r="J64" s="324">
        <v>1</v>
      </c>
      <c r="K64" s="324"/>
      <c r="L64" s="344">
        <f>AVERAGE('Apr 1st'!K50,K73,'Apr 2nd'!K48,'Apr 7th'!K50,'Apr 8th'!K50,'Apr 9th '!K58,'Apr 10th'!K55,'Apr 13th'!K66,'Apr 14th'!K60,'Apr 15th'!K51,'Apr 16th '!K53,'Apr 20th '!K59,'Apr 21st'!K54,'Apr 23rd'!K43,'Apr 24th-26th'!J73,'Apr 24th-26th'!I73)</f>
        <v>6.75</v>
      </c>
      <c r="M64" s="325">
        <f>AVERAGE('[9]Jan30th-31st'!$L$47,L64,'[10]Feb 26th '!$L$39,'[11]Mar 31st'!$L$47)</f>
        <v>6.4842391304347826</v>
      </c>
      <c r="N64" s="416">
        <v>9.1999999999999993</v>
      </c>
      <c r="O64" s="294"/>
      <c r="P64" s="12"/>
    </row>
    <row r="65" spans="1:57" ht="15" customHeight="1">
      <c r="B65" s="520"/>
      <c r="C65" s="349"/>
      <c r="D65" s="529"/>
      <c r="E65" s="530"/>
      <c r="F65" s="294"/>
      <c r="G65" s="42"/>
      <c r="H65" s="288" t="s">
        <v>40</v>
      </c>
      <c r="I65" s="324"/>
      <c r="J65" s="324"/>
      <c r="K65" s="324"/>
      <c r="L65" s="294"/>
      <c r="M65" s="294"/>
      <c r="N65" s="294"/>
      <c r="O65" s="294"/>
      <c r="P65" s="12"/>
    </row>
    <row r="66" spans="1:57" ht="15" customHeight="1">
      <c r="B66" s="520"/>
      <c r="C66" s="349"/>
      <c r="D66" s="524"/>
      <c r="E66" s="525"/>
      <c r="F66" s="294"/>
      <c r="G66" s="42"/>
      <c r="H66" s="289" t="s">
        <v>33</v>
      </c>
      <c r="I66" s="324"/>
      <c r="J66" s="324"/>
      <c r="K66" s="324"/>
      <c r="L66" s="294"/>
      <c r="M66" s="294"/>
      <c r="N66" s="294"/>
      <c r="O66" s="294"/>
      <c r="P66" s="12"/>
    </row>
    <row r="67" spans="1:57" ht="15">
      <c r="B67" s="520"/>
      <c r="C67" s="349"/>
      <c r="D67" s="529"/>
      <c r="E67" s="530"/>
      <c r="F67" s="294"/>
      <c r="G67" s="42"/>
      <c r="H67" s="290" t="s">
        <v>16</v>
      </c>
      <c r="I67" s="324"/>
      <c r="J67" s="324"/>
      <c r="K67" s="324"/>
      <c r="L67" s="294"/>
      <c r="M67" s="294"/>
      <c r="N67" s="294"/>
      <c r="O67" s="294"/>
      <c r="P67" s="12"/>
      <c r="BC67" s="44"/>
      <c r="BD67" s="44"/>
    </row>
    <row r="68" spans="1:57" ht="15">
      <c r="B68" s="520"/>
      <c r="C68" s="349"/>
      <c r="D68" s="524"/>
      <c r="E68" s="525"/>
      <c r="F68" s="294"/>
      <c r="G68" s="42"/>
      <c r="H68" s="291" t="s">
        <v>15</v>
      </c>
      <c r="I68" s="324"/>
      <c r="J68" s="324"/>
      <c r="K68" s="324"/>
      <c r="L68" s="294"/>
      <c r="M68" s="294"/>
      <c r="N68" s="294"/>
      <c r="O68" s="294"/>
      <c r="P68" s="12"/>
      <c r="BC68" s="44"/>
      <c r="BD68" s="44"/>
    </row>
    <row r="69" spans="1:57" ht="15">
      <c r="B69" s="520"/>
      <c r="C69" s="349"/>
      <c r="D69" s="529"/>
      <c r="E69" s="530"/>
      <c r="F69" s="294"/>
      <c r="G69" s="42"/>
      <c r="H69" s="291" t="s">
        <v>149</v>
      </c>
      <c r="I69" s="324"/>
      <c r="J69" s="324"/>
      <c r="K69" s="324"/>
      <c r="L69" s="294"/>
      <c r="M69" s="294"/>
      <c r="N69" s="294"/>
      <c r="O69" s="294"/>
      <c r="P69" s="12"/>
      <c r="BC69" s="44"/>
      <c r="BD69" s="44"/>
    </row>
    <row r="70" spans="1:57" ht="15.75" thickBot="1">
      <c r="B70" s="521"/>
      <c r="C70" s="350"/>
      <c r="D70" s="531"/>
      <c r="E70" s="532"/>
      <c r="F70" s="294" t="s">
        <v>166</v>
      </c>
      <c r="G70" s="42"/>
      <c r="H70" s="291" t="s">
        <v>148</v>
      </c>
      <c r="I70" s="324"/>
      <c r="J70" s="324"/>
      <c r="K70" s="324"/>
      <c r="L70" s="294"/>
      <c r="M70" s="294"/>
      <c r="N70" s="294" t="s">
        <v>41</v>
      </c>
      <c r="O70" s="294"/>
      <c r="P70" s="12"/>
      <c r="BC70" s="44"/>
      <c r="BD70" s="44"/>
    </row>
    <row r="71" spans="1:57" ht="17.649999999999999" customHeight="1" thickBot="1">
      <c r="B71" s="312" t="s">
        <v>139</v>
      </c>
      <c r="C71" s="313"/>
      <c r="D71" s="512"/>
      <c r="E71" s="513"/>
      <c r="F71" s="294"/>
      <c r="H71" s="295" t="s">
        <v>134</v>
      </c>
      <c r="I71" s="324"/>
      <c r="J71" s="324"/>
      <c r="K71" s="324"/>
      <c r="L71" s="294"/>
      <c r="M71" s="294"/>
      <c r="N71" s="294"/>
      <c r="O71" s="294"/>
      <c r="P71" s="12"/>
      <c r="BC71" s="44"/>
      <c r="BD71" s="44"/>
    </row>
    <row r="72" spans="1:57" ht="17.649999999999999" customHeight="1">
      <c r="B72" s="363"/>
      <c r="C72" s="364"/>
      <c r="D72" s="365"/>
      <c r="E72" s="365"/>
      <c r="F72" s="294"/>
      <c r="G72" s="42"/>
      <c r="H72" s="295" t="s">
        <v>131</v>
      </c>
      <c r="I72" s="324"/>
      <c r="J72" s="324"/>
      <c r="K72" s="324"/>
      <c r="L72" s="294"/>
      <c r="M72" s="294"/>
      <c r="N72" s="294"/>
      <c r="O72" s="294"/>
      <c r="P72" s="12"/>
      <c r="BC72" s="44"/>
      <c r="BD72" s="44"/>
    </row>
    <row r="73" spans="1:57" ht="15.6" customHeight="1">
      <c r="B73" s="45"/>
      <c r="C73" s="11"/>
      <c r="D73" s="11"/>
      <c r="E73" s="46"/>
      <c r="F73" s="294"/>
      <c r="G73" s="42"/>
      <c r="H73" s="346" t="s">
        <v>130</v>
      </c>
      <c r="I73" s="324">
        <f>SUM(I63:I72)</f>
        <v>7</v>
      </c>
      <c r="J73" s="324">
        <f>SUM(J63:J72)</f>
        <v>7</v>
      </c>
      <c r="K73" s="324">
        <f>SUM(K63:K72)</f>
        <v>2</v>
      </c>
      <c r="L73" s="294"/>
      <c r="M73" s="294"/>
      <c r="N73" s="294"/>
      <c r="O73" s="294"/>
      <c r="P73" s="12"/>
    </row>
    <row r="74" spans="1:57" ht="20.25" customHeight="1">
      <c r="B74" s="15" t="s">
        <v>42</v>
      </c>
      <c r="C74" s="1" t="s">
        <v>43</v>
      </c>
      <c r="D74" s="1"/>
      <c r="E74" s="1"/>
      <c r="F74" s="294"/>
      <c r="G74" s="42"/>
      <c r="H74" s="41"/>
      <c r="I74" s="42"/>
      <c r="L74" s="294"/>
      <c r="N74" s="315"/>
      <c r="P74" s="334"/>
    </row>
    <row r="75" spans="1:57" ht="15" customHeight="1" thickBot="1"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1"/>
      <c r="O75" s="48"/>
      <c r="P75" s="49"/>
    </row>
    <row r="76" spans="1:57" ht="15" customHeight="1" thickBot="1">
      <c r="B76" s="504" t="s">
        <v>17</v>
      </c>
      <c r="C76" s="504" t="s">
        <v>44</v>
      </c>
      <c r="D76" s="515" t="s">
        <v>45</v>
      </c>
      <c r="E76" s="517" t="s">
        <v>46</v>
      </c>
      <c r="F76" s="510" t="s">
        <v>47</v>
      </c>
      <c r="G76" s="502" t="s">
        <v>48</v>
      </c>
      <c r="H76" s="504" t="s">
        <v>49</v>
      </c>
      <c r="I76" s="504" t="s">
        <v>50</v>
      </c>
      <c r="J76" s="496" t="s">
        <v>28</v>
      </c>
      <c r="K76" s="506" t="s">
        <v>51</v>
      </c>
      <c r="L76" s="508" t="s">
        <v>52</v>
      </c>
      <c r="M76" s="496" t="s">
        <v>53</v>
      </c>
      <c r="N76" s="13"/>
      <c r="O76" s="13"/>
      <c r="P76" s="50"/>
    </row>
    <row r="77" spans="1:57" ht="28.5" customHeight="1" thickTop="1" thickBot="1">
      <c r="B77" s="505"/>
      <c r="C77" s="514"/>
      <c r="D77" s="516"/>
      <c r="E77" s="518"/>
      <c r="F77" s="511"/>
      <c r="G77" s="503"/>
      <c r="H77" s="505"/>
      <c r="I77" s="505"/>
      <c r="J77" s="497"/>
      <c r="K77" s="507"/>
      <c r="L77" s="509"/>
      <c r="M77" s="497"/>
      <c r="N77" s="13"/>
      <c r="O77" s="13"/>
      <c r="P77" s="50"/>
      <c r="Q77" s="355"/>
      <c r="AB77" s="475">
        <v>43474</v>
      </c>
      <c r="AC77" s="475">
        <v>43475</v>
      </c>
      <c r="AD77" s="475">
        <v>43476</v>
      </c>
      <c r="AE77" s="475">
        <v>43477</v>
      </c>
      <c r="AF77" s="475">
        <v>43478</v>
      </c>
      <c r="AG77" s="475">
        <v>43479</v>
      </c>
      <c r="AH77" s="475">
        <v>43480</v>
      </c>
      <c r="AI77" s="475">
        <v>43481</v>
      </c>
      <c r="AJ77" s="475">
        <v>43482</v>
      </c>
      <c r="AK77" s="475">
        <v>43483</v>
      </c>
      <c r="AL77" s="475">
        <v>43484</v>
      </c>
      <c r="AM77" s="475">
        <v>43485</v>
      </c>
      <c r="AN77" s="475">
        <v>43486</v>
      </c>
      <c r="AO77" s="475">
        <v>43487</v>
      </c>
      <c r="AP77" s="475">
        <v>43488</v>
      </c>
      <c r="AQ77" s="475">
        <v>43489</v>
      </c>
      <c r="AR77" s="475">
        <v>43490</v>
      </c>
      <c r="AS77" s="475">
        <v>43491</v>
      </c>
      <c r="AT77" s="475">
        <v>43492</v>
      </c>
      <c r="AU77" s="475">
        <v>43493</v>
      </c>
      <c r="AV77" s="475">
        <v>43494</v>
      </c>
      <c r="AW77" s="475">
        <v>43495</v>
      </c>
      <c r="AX77" s="475">
        <v>43496</v>
      </c>
    </row>
    <row r="78" spans="1:57" s="54" customFormat="1" ht="36.75" customHeight="1" thickBot="1">
      <c r="B78" s="491" t="str">
        <f>I55</f>
        <v>STARMALT</v>
      </c>
      <c r="C78" s="479">
        <v>46136</v>
      </c>
      <c r="D78" s="442">
        <f>[12]April_2026!$AA$55</f>
        <v>411.8</v>
      </c>
      <c r="E78" s="443"/>
      <c r="F78" s="444"/>
      <c r="G78" s="445">
        <f>[12]April_2026!$AA$59</f>
        <v>400.5</v>
      </c>
      <c r="H78" s="458"/>
      <c r="I78" s="458"/>
      <c r="J78" s="448" t="s">
        <v>171</v>
      </c>
      <c r="K78" s="449">
        <f>[13]April_2026!$AA$53</f>
        <v>0.70263157894736838</v>
      </c>
      <c r="L78" s="476">
        <f>(((D78+E78)-G78)/(D78+E78))*100</f>
        <v>2.744050509956292</v>
      </c>
      <c r="M78" s="455" t="s">
        <v>174</v>
      </c>
      <c r="N78" s="13"/>
      <c r="O78" s="13"/>
      <c r="P78" s="50"/>
      <c r="R78" s="275"/>
      <c r="S78" s="275"/>
      <c r="T78" s="275"/>
      <c r="U78" s="275"/>
      <c r="V78" s="275"/>
      <c r="W78" s="275"/>
      <c r="X78" s="275"/>
      <c r="Y78" s="275"/>
      <c r="Z78" s="275"/>
      <c r="AA78" s="275"/>
      <c r="AB78" s="57">
        <f>[14]January_2019!L5</f>
        <v>0</v>
      </c>
      <c r="AC78" s="57">
        <f>[14]January_2019!M5</f>
        <v>0</v>
      </c>
      <c r="AD78" s="57">
        <f>[14]January_2019!N5</f>
        <v>0</v>
      </c>
      <c r="AE78" s="57">
        <f>[14]January_2019!O5</f>
        <v>0</v>
      </c>
      <c r="AF78" s="57">
        <f>[14]January_2019!P5</f>
        <v>0</v>
      </c>
      <c r="AG78" s="57">
        <f>[14]January_2019!Q5</f>
        <v>0</v>
      </c>
      <c r="AH78" s="57">
        <f>[14]January_2019!R5</f>
        <v>0</v>
      </c>
      <c r="AI78" s="57">
        <f>[14]January_2019!S5</f>
        <v>0</v>
      </c>
      <c r="AJ78" s="57">
        <f>[14]January_2019!T5</f>
        <v>0</v>
      </c>
      <c r="AK78" s="57">
        <f>[14]January_2019!U5</f>
        <v>0</v>
      </c>
      <c r="AL78" s="57">
        <f>[14]January_2019!V5</f>
        <v>0</v>
      </c>
      <c r="AM78" s="57">
        <f>[14]January_2019!W5</f>
        <v>0</v>
      </c>
      <c r="AN78" s="57">
        <f>[14]January_2019!X5</f>
        <v>0</v>
      </c>
      <c r="AO78" s="57">
        <f>[14]January_2019!Y5</f>
        <v>0</v>
      </c>
      <c r="AP78" s="57">
        <f>[14]January_2019!Z5</f>
        <v>0</v>
      </c>
      <c r="AQ78" s="57">
        <f>[14]January_2019!AA5</f>
        <v>0</v>
      </c>
      <c r="AR78" s="57">
        <f>[14]January_2019!AB5</f>
        <v>0</v>
      </c>
      <c r="AS78" s="57">
        <f>[14]January_2019!AC5</f>
        <v>0</v>
      </c>
      <c r="AT78" s="57">
        <f>[14]January_2019!AD5</f>
        <v>0</v>
      </c>
      <c r="AU78" s="57">
        <f>[14]January_2019!AE5</f>
        <v>0</v>
      </c>
      <c r="AV78" s="57">
        <f>[14]January_2019!AF5</f>
        <v>0</v>
      </c>
      <c r="AW78" s="57">
        <f>[14]January_2019!AG5</f>
        <v>0</v>
      </c>
      <c r="AX78" s="277">
        <f>[14]January_2019!AH5</f>
        <v>0</v>
      </c>
      <c r="AY78" s="277"/>
      <c r="AZ78" s="277"/>
      <c r="BA78" s="277"/>
      <c r="BB78" s="277"/>
      <c r="BC78" s="277"/>
      <c r="BD78" s="277"/>
      <c r="BE78" s="277"/>
    </row>
    <row r="79" spans="1:57" s="54" customFormat="1" ht="14.25" customHeight="1" thickBot="1">
      <c r="B79" s="480"/>
      <c r="C79" s="479"/>
      <c r="D79" s="442"/>
      <c r="E79" s="443"/>
      <c r="F79" s="444"/>
      <c r="G79" s="445"/>
      <c r="H79" s="458"/>
      <c r="I79" s="458"/>
      <c r="J79" s="476"/>
      <c r="K79" s="449"/>
      <c r="L79" s="457"/>
      <c r="M79" s="455"/>
      <c r="N79" s="13"/>
      <c r="O79" s="13"/>
      <c r="P79" s="50"/>
      <c r="R79" s="275"/>
      <c r="S79" s="275"/>
      <c r="T79" s="275"/>
      <c r="U79" s="275"/>
      <c r="V79" s="275"/>
      <c r="W79" s="275"/>
      <c r="X79" s="275"/>
      <c r="Y79" s="275"/>
      <c r="Z79" s="275"/>
      <c r="AA79" s="275"/>
      <c r="AB79" s="57">
        <f>[14]January_2019!L6</f>
        <v>0</v>
      </c>
      <c r="AC79" s="57">
        <f>[14]January_2019!M6</f>
        <v>0</v>
      </c>
      <c r="AD79" s="57">
        <f>[14]January_2019!N6</f>
        <v>0</v>
      </c>
      <c r="AE79" s="57">
        <f>[14]January_2019!O6</f>
        <v>0</v>
      </c>
      <c r="AF79" s="57">
        <f>[14]January_2019!P6</f>
        <v>0</v>
      </c>
      <c r="AG79" s="57">
        <f>[14]January_2019!Q6</f>
        <v>0</v>
      </c>
      <c r="AH79" s="57">
        <f>[14]January_2019!R6</f>
        <v>0</v>
      </c>
      <c r="AI79" s="57">
        <f>[14]January_2019!S6</f>
        <v>0</v>
      </c>
      <c r="AJ79" s="57">
        <f>[14]January_2019!T6</f>
        <v>0</v>
      </c>
      <c r="AK79" s="57">
        <f>[14]January_2019!U6</f>
        <v>0</v>
      </c>
      <c r="AL79" s="57">
        <f>[14]January_2019!V6</f>
        <v>0</v>
      </c>
      <c r="AM79" s="57">
        <f>[14]January_2019!W6</f>
        <v>0</v>
      </c>
      <c r="AN79" s="57">
        <f>[14]January_2019!X6</f>
        <v>0</v>
      </c>
      <c r="AO79" s="57">
        <f>[14]January_2019!Y6</f>
        <v>0</v>
      </c>
      <c r="AP79" s="57">
        <f>[14]January_2019!Z6</f>
        <v>0</v>
      </c>
      <c r="AQ79" s="57">
        <f>[14]January_2019!AA6</f>
        <v>0</v>
      </c>
      <c r="AR79" s="57">
        <f>[14]January_2019!AB6</f>
        <v>0</v>
      </c>
      <c r="AS79" s="57">
        <f>[14]January_2019!AC6</f>
        <v>0</v>
      </c>
      <c r="AT79" s="57">
        <f>[14]January_2019!AD6</f>
        <v>0</v>
      </c>
      <c r="AU79" s="57">
        <f>[14]January_2019!AE6</f>
        <v>0</v>
      </c>
      <c r="AV79" s="57">
        <f>[14]January_2019!AF6</f>
        <v>0</v>
      </c>
      <c r="AW79" s="57">
        <f>[14]January_2019!AG6</f>
        <v>0</v>
      </c>
      <c r="AX79" s="277">
        <f>[14]January_2019!AH6</f>
        <v>0</v>
      </c>
      <c r="AY79" s="277"/>
      <c r="AZ79" s="277"/>
      <c r="BA79" s="277"/>
      <c r="BB79" s="277"/>
      <c r="BC79" s="277"/>
      <c r="BD79" s="277"/>
      <c r="BE79" s="277"/>
    </row>
    <row r="80" spans="1:57" s="54" customFormat="1" ht="37.15" hidden="1" customHeight="1" thickBot="1">
      <c r="A80" s="54" t="s">
        <v>168</v>
      </c>
      <c r="B80" s="486"/>
      <c r="C80" s="479"/>
      <c r="D80" s="442"/>
      <c r="E80" s="443"/>
      <c r="F80" s="444"/>
      <c r="G80" s="445"/>
      <c r="H80" s="458"/>
      <c r="I80" s="458"/>
      <c r="J80" s="448"/>
      <c r="K80" s="449"/>
      <c r="L80" s="457"/>
      <c r="M80" s="455"/>
      <c r="N80" s="13"/>
      <c r="O80" s="13"/>
      <c r="P80" s="50"/>
      <c r="R80" s="275"/>
      <c r="S80" s="275"/>
      <c r="T80" s="275"/>
      <c r="U80" s="275"/>
      <c r="V80" s="275"/>
      <c r="W80" s="275"/>
      <c r="X80" s="275"/>
      <c r="Y80" s="275"/>
      <c r="Z80" s="275"/>
      <c r="AA80" s="275"/>
      <c r="AB80" s="57">
        <f>[14]January_2019!L7</f>
        <v>285.8</v>
      </c>
      <c r="AC80" s="57">
        <f>[14]January_2019!M7</f>
        <v>508.1</v>
      </c>
      <c r="AD80" s="57">
        <f>[14]January_2019!N7</f>
        <v>0</v>
      </c>
      <c r="AE80" s="57">
        <f>[14]January_2019!O7</f>
        <v>0</v>
      </c>
      <c r="AF80" s="57">
        <f>[14]January_2019!P7</f>
        <v>109.56666666666666</v>
      </c>
      <c r="AG80" s="57">
        <f>[14]January_2019!Q7</f>
        <v>297.64999999999998</v>
      </c>
      <c r="AH80" s="57">
        <f>[14]January_2019!R7</f>
        <v>122.3</v>
      </c>
      <c r="AI80" s="57">
        <f>[14]January_2019!S7</f>
        <v>0</v>
      </c>
      <c r="AJ80" s="57">
        <f>[14]January_2019!T7</f>
        <v>294.7</v>
      </c>
      <c r="AK80" s="57">
        <f>[14]January_2019!U7</f>
        <v>280.5</v>
      </c>
      <c r="AL80" s="57">
        <f>[14]January_2019!V7</f>
        <v>0</v>
      </c>
      <c r="AM80" s="57">
        <f>[14]January_2019!W7</f>
        <v>0</v>
      </c>
      <c r="AN80" s="57">
        <f>[14]January_2019!X7</f>
        <v>188.25</v>
      </c>
      <c r="AO80" s="57">
        <f>[14]January_2019!Y7</f>
        <v>295.7</v>
      </c>
      <c r="AP80" s="57">
        <f>[14]January_2019!Z7</f>
        <v>257.8</v>
      </c>
      <c r="AQ80" s="57">
        <f>[14]January_2019!AA7</f>
        <v>291.2</v>
      </c>
      <c r="AR80" s="57">
        <f>[14]January_2019!AB7</f>
        <v>187</v>
      </c>
      <c r="AS80" s="57">
        <f>[14]January_2019!AC7</f>
        <v>0</v>
      </c>
      <c r="AT80" s="57">
        <f>[14]January_2019!AD7</f>
        <v>0</v>
      </c>
      <c r="AU80" s="57">
        <f>[14]January_2019!AE7</f>
        <v>485.1</v>
      </c>
      <c r="AV80" s="57">
        <f>[14]January_2019!AF7</f>
        <v>171.55</v>
      </c>
      <c r="AW80" s="57">
        <f>[14]January_2019!AG7</f>
        <v>423.8</v>
      </c>
      <c r="AX80" s="277">
        <f>[14]January_2019!AH7</f>
        <v>0</v>
      </c>
      <c r="AY80" s="277"/>
      <c r="AZ80" s="277"/>
      <c r="BA80" s="277"/>
      <c r="BB80" s="277"/>
      <c r="BC80" s="277"/>
      <c r="BD80" s="277"/>
      <c r="BE80" s="277"/>
    </row>
    <row r="81" spans="2:57" s="54" customFormat="1" ht="19.5" hidden="1" customHeight="1" thickBot="1">
      <c r="B81" s="478"/>
      <c r="C81" s="430"/>
      <c r="D81" s="431"/>
      <c r="E81" s="432"/>
      <c r="F81" s="433"/>
      <c r="G81" s="434"/>
      <c r="H81" s="458"/>
      <c r="I81" s="458"/>
      <c r="J81" s="451"/>
      <c r="K81" s="436"/>
      <c r="L81" s="452"/>
      <c r="M81" s="421"/>
      <c r="N81" s="13"/>
      <c r="O81" s="13"/>
      <c r="P81" s="50"/>
      <c r="R81" s="275"/>
      <c r="S81" s="275"/>
      <c r="T81" s="275"/>
      <c r="U81" s="275"/>
      <c r="V81" s="275"/>
      <c r="W81" s="275"/>
      <c r="X81" s="275"/>
      <c r="Y81" s="275"/>
      <c r="Z81" s="275"/>
      <c r="AA81" s="275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277"/>
      <c r="AY81" s="277"/>
      <c r="AZ81" s="277"/>
      <c r="BA81" s="277"/>
      <c r="BB81" s="277"/>
      <c r="BC81" s="277"/>
      <c r="BD81" s="277"/>
      <c r="BE81" s="277"/>
    </row>
    <row r="82" spans="2:57" s="54" customFormat="1" ht="38.450000000000003" hidden="1" customHeight="1" thickBot="1">
      <c r="B82" s="480"/>
      <c r="C82" s="479"/>
      <c r="D82" s="442"/>
      <c r="E82" s="443"/>
      <c r="F82" s="444"/>
      <c r="G82" s="445"/>
      <c r="H82" s="458"/>
      <c r="I82" s="458"/>
      <c r="J82" s="448" t="s">
        <v>171</v>
      </c>
      <c r="K82" s="459"/>
      <c r="L82" s="457" t="e">
        <f>(((D82+E82)-G82)/(D82+E82))*100</f>
        <v>#DIV/0!</v>
      </c>
      <c r="M82" s="455"/>
      <c r="N82" s="13"/>
      <c r="O82" s="13"/>
      <c r="P82" s="50"/>
      <c r="R82" s="275"/>
      <c r="S82" s="275"/>
      <c r="T82" s="275"/>
      <c r="U82" s="275"/>
      <c r="V82" s="275"/>
      <c r="W82" s="275"/>
      <c r="X82" s="275"/>
      <c r="Y82" s="275"/>
      <c r="Z82" s="275"/>
      <c r="AA82" s="275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277"/>
      <c r="AY82" s="277"/>
      <c r="AZ82" s="277"/>
      <c r="BA82" s="277"/>
      <c r="BB82" s="277"/>
      <c r="BC82" s="277"/>
      <c r="BD82" s="277"/>
      <c r="BE82" s="277"/>
    </row>
    <row r="83" spans="2:57" s="54" customFormat="1" ht="15" hidden="1">
      <c r="B83" s="453"/>
      <c r="C83" s="430"/>
      <c r="D83" s="431"/>
      <c r="E83" s="432"/>
      <c r="F83" s="433"/>
      <c r="G83" s="434"/>
      <c r="H83" s="435"/>
      <c r="I83" s="450"/>
      <c r="J83" s="451"/>
      <c r="K83" s="436"/>
      <c r="L83" s="452"/>
      <c r="M83" s="421"/>
      <c r="N83" s="13"/>
      <c r="O83" s="13"/>
      <c r="P83" s="50"/>
      <c r="R83" s="275"/>
      <c r="S83" s="275"/>
      <c r="T83" s="275"/>
      <c r="U83" s="275"/>
      <c r="V83" s="275"/>
      <c r="W83" s="275"/>
      <c r="X83" s="275"/>
      <c r="Y83" s="275"/>
      <c r="Z83" s="275"/>
      <c r="AA83" s="275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277"/>
      <c r="AY83" s="277"/>
      <c r="AZ83" s="277"/>
      <c r="BA83" s="277"/>
      <c r="BB83" s="277"/>
      <c r="BC83" s="277"/>
      <c r="BD83" s="277"/>
      <c r="BE83" s="277"/>
    </row>
    <row r="84" spans="2:57" s="54" customFormat="1" ht="37.15" hidden="1" customHeight="1" thickBot="1">
      <c r="B84" s="480"/>
      <c r="C84" s="479"/>
      <c r="D84" s="442"/>
      <c r="E84" s="443"/>
      <c r="F84" s="444"/>
      <c r="G84" s="445"/>
      <c r="H84" s="446"/>
      <c r="I84" s="447"/>
      <c r="J84" s="448"/>
      <c r="K84" s="449"/>
      <c r="L84" s="457"/>
      <c r="M84" s="455"/>
      <c r="N84" s="13"/>
      <c r="O84" s="13"/>
      <c r="P84" s="50"/>
      <c r="R84" s="275"/>
      <c r="S84" s="275"/>
      <c r="T84" s="275"/>
      <c r="U84" s="275"/>
      <c r="V84" s="275"/>
      <c r="W84" s="275"/>
      <c r="X84" s="275"/>
      <c r="Y84" s="275"/>
      <c r="Z84" s="275"/>
      <c r="AA84" s="275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277"/>
      <c r="AY84" s="277"/>
      <c r="AZ84" s="277"/>
      <c r="BA84" s="277"/>
      <c r="BB84" s="277"/>
      <c r="BC84" s="277"/>
      <c r="BD84" s="277"/>
      <c r="BE84" s="277"/>
    </row>
    <row r="85" spans="2:57" s="54" customFormat="1" ht="16.5" hidden="1" customHeight="1" thickBot="1">
      <c r="B85" s="437"/>
      <c r="C85" s="423"/>
      <c r="D85" s="424"/>
      <c r="E85" s="425"/>
      <c r="F85" s="426"/>
      <c r="G85" s="427"/>
      <c r="H85" s="428"/>
      <c r="I85" s="438"/>
      <c r="J85" s="439"/>
      <c r="K85" s="429"/>
      <c r="L85" s="440"/>
      <c r="M85" s="422"/>
      <c r="N85" s="13"/>
      <c r="O85" s="13"/>
      <c r="P85" s="50"/>
      <c r="R85" s="275"/>
      <c r="S85" s="275"/>
      <c r="T85" s="275"/>
      <c r="U85" s="275"/>
      <c r="V85" s="275"/>
      <c r="W85" s="275"/>
      <c r="X85" s="275"/>
      <c r="Y85" s="275"/>
      <c r="Z85" s="275"/>
      <c r="AA85" s="275"/>
      <c r="AB85" s="415"/>
      <c r="AC85" s="415"/>
      <c r="AD85" s="415"/>
      <c r="AE85" s="415"/>
      <c r="AF85" s="415"/>
      <c r="AG85" s="415"/>
      <c r="AH85" s="415"/>
      <c r="AI85" s="415"/>
      <c r="AJ85" s="415"/>
      <c r="AK85" s="415"/>
      <c r="AL85" s="415"/>
      <c r="AM85" s="415"/>
      <c r="AN85" s="415"/>
      <c r="AO85" s="415"/>
      <c r="AP85" s="415"/>
      <c r="AQ85" s="415"/>
      <c r="AR85" s="415"/>
      <c r="AS85" s="415"/>
      <c r="AT85" s="415"/>
      <c r="AU85" s="415"/>
      <c r="AV85" s="415"/>
      <c r="AW85" s="415"/>
    </row>
    <row r="86" spans="2:57" s="54" customFormat="1" ht="37.15" hidden="1" customHeight="1" thickBot="1">
      <c r="B86" s="456"/>
      <c r="C86" s="441"/>
      <c r="D86" s="442"/>
      <c r="E86" s="443"/>
      <c r="F86" s="444"/>
      <c r="G86" s="445"/>
      <c r="H86" s="446"/>
      <c r="I86" s="447"/>
      <c r="J86" s="448"/>
      <c r="K86" s="449"/>
      <c r="L86" s="457"/>
      <c r="M86" s="454"/>
      <c r="N86" s="13"/>
      <c r="O86" s="13"/>
      <c r="P86" s="50"/>
      <c r="R86" s="275"/>
      <c r="S86" s="275"/>
      <c r="T86" s="275"/>
      <c r="U86" s="275"/>
      <c r="V86" s="275"/>
      <c r="W86" s="275"/>
      <c r="X86" s="275"/>
      <c r="Y86" s="275"/>
      <c r="Z86" s="275"/>
      <c r="AA86" s="275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57"/>
      <c r="AW86" s="57"/>
      <c r="AX86" s="277"/>
      <c r="AY86" s="277"/>
      <c r="AZ86" s="277"/>
      <c r="BA86" s="277"/>
      <c r="BB86" s="277"/>
      <c r="BC86" s="277"/>
      <c r="BD86" s="277"/>
      <c r="BE86" s="277"/>
    </row>
    <row r="87" spans="2:57" s="54" customFormat="1" ht="37.15" customHeight="1">
      <c r="B87" s="466"/>
      <c r="C87" s="430"/>
      <c r="D87" s="460"/>
      <c r="E87" s="461"/>
      <c r="F87" s="462"/>
      <c r="G87" s="460"/>
      <c r="H87" s="463"/>
      <c r="I87" s="463"/>
      <c r="J87" s="463"/>
      <c r="K87" s="464"/>
      <c r="L87" s="465"/>
      <c r="M87" s="50"/>
      <c r="N87" s="13"/>
      <c r="O87" s="13"/>
      <c r="P87" s="50"/>
      <c r="R87" s="275"/>
      <c r="S87" s="275"/>
      <c r="T87" s="275"/>
      <c r="U87" s="275"/>
      <c r="V87" s="275"/>
      <c r="W87" s="275"/>
      <c r="X87" s="275"/>
      <c r="Y87" s="275"/>
      <c r="Z87" s="275"/>
      <c r="AA87" s="275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277"/>
      <c r="AY87" s="277"/>
      <c r="AZ87" s="277"/>
      <c r="BA87" s="277"/>
      <c r="BB87" s="277"/>
      <c r="BC87" s="277"/>
      <c r="BD87" s="277"/>
      <c r="BE87" s="277"/>
    </row>
    <row r="88" spans="2:57" ht="18" customHeight="1" thickBot="1">
      <c r="B88" s="59"/>
      <c r="C88" s="30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 t="s">
        <v>41</v>
      </c>
      <c r="O88" s="56"/>
      <c r="P88" s="60"/>
    </row>
    <row r="89" spans="2:57" ht="15.75" thickBot="1">
      <c r="B89" s="498" t="s">
        <v>55</v>
      </c>
      <c r="C89" s="499"/>
      <c r="D89" s="499"/>
      <c r="E89" s="499"/>
      <c r="F89" s="500"/>
      <c r="G89" s="498" t="s">
        <v>56</v>
      </c>
      <c r="H89" s="499"/>
      <c r="I89" s="499"/>
      <c r="J89" s="500"/>
      <c r="K89" s="498" t="s">
        <v>51</v>
      </c>
      <c r="L89" s="499"/>
      <c r="M89" s="499"/>
      <c r="N89" s="501"/>
      <c r="O89" s="56"/>
      <c r="P89" s="50"/>
    </row>
    <row r="90" spans="2:57" ht="15">
      <c r="B90" s="61" t="s">
        <v>17</v>
      </c>
      <c r="C90" s="62" t="s">
        <v>36</v>
      </c>
      <c r="D90" s="62" t="s">
        <v>37</v>
      </c>
      <c r="E90" s="62" t="s">
        <v>38</v>
      </c>
      <c r="F90" s="63" t="s">
        <v>39</v>
      </c>
      <c r="G90" s="62" t="s">
        <v>36</v>
      </c>
      <c r="H90" s="62" t="s">
        <v>37</v>
      </c>
      <c r="I90" s="62" t="s">
        <v>38</v>
      </c>
      <c r="J90" s="63" t="s">
        <v>39</v>
      </c>
      <c r="K90" s="62"/>
      <c r="L90" s="62" t="s">
        <v>37</v>
      </c>
      <c r="M90" s="62" t="s">
        <v>38</v>
      </c>
      <c r="N90" s="63" t="s">
        <v>39</v>
      </c>
      <c r="O90" s="56"/>
      <c r="P90" s="64"/>
    </row>
    <row r="91" spans="2:57" ht="15">
      <c r="B91" s="29" t="s">
        <v>6</v>
      </c>
      <c r="C91" s="282"/>
      <c r="D91" s="76">
        <v>5.9540000604467274</v>
      </c>
      <c r="E91" s="76">
        <v>6.641402233544599</v>
      </c>
      <c r="F91" s="66">
        <v>4.8</v>
      </c>
      <c r="G91" s="65"/>
      <c r="H91" s="477">
        <v>5.1755094667740584</v>
      </c>
      <c r="I91" s="477">
        <v>6.3173615715345912</v>
      </c>
      <c r="J91" s="66">
        <v>4.8</v>
      </c>
      <c r="K91" s="67">
        <f>K78</f>
        <v>0.70263157894736838</v>
      </c>
      <c r="L91" s="194">
        <v>0.83891812865497073</v>
      </c>
      <c r="M91" s="194">
        <v>0.51665819044416872</v>
      </c>
      <c r="N91" s="68">
        <v>1</v>
      </c>
      <c r="O91" s="56"/>
      <c r="P91" s="69"/>
    </row>
    <row r="92" spans="2:57" ht="15">
      <c r="B92" s="33" t="s">
        <v>9</v>
      </c>
      <c r="C92" s="65"/>
      <c r="D92" s="76">
        <v>5.0820509908579874</v>
      </c>
      <c r="E92" s="76">
        <v>6.0381962328388186</v>
      </c>
      <c r="F92" s="66">
        <v>4.8</v>
      </c>
      <c r="G92" s="65"/>
      <c r="H92" s="76">
        <v>4.1850647594467709</v>
      </c>
      <c r="I92" s="76">
        <v>5.7352072273261401</v>
      </c>
      <c r="J92" s="66">
        <v>4.8</v>
      </c>
      <c r="K92" s="67"/>
      <c r="L92" s="194">
        <v>1.0770760233918131</v>
      </c>
      <c r="M92" s="194">
        <v>0.74373732819034111</v>
      </c>
      <c r="N92" s="68">
        <v>1</v>
      </c>
      <c r="P92" s="69"/>
    </row>
    <row r="93" spans="2:57" ht="15">
      <c r="B93" s="34" t="s">
        <v>40</v>
      </c>
      <c r="C93" s="65"/>
      <c r="D93" s="76">
        <v>10.917759237187118</v>
      </c>
      <c r="E93" s="76">
        <v>12.019739161085637</v>
      </c>
      <c r="F93" s="66">
        <v>5.5</v>
      </c>
      <c r="G93" s="65"/>
      <c r="H93" s="76">
        <v>10.858502880677971</v>
      </c>
      <c r="I93" s="76">
        <v>13.201587402597006</v>
      </c>
      <c r="J93" s="66">
        <v>5.5</v>
      </c>
      <c r="K93" s="67"/>
      <c r="L93" s="194">
        <v>0.16390350877192983</v>
      </c>
      <c r="M93" s="194">
        <v>0.2727383040935672</v>
      </c>
      <c r="N93" s="68">
        <v>1</v>
      </c>
      <c r="P93" s="69"/>
    </row>
    <row r="94" spans="2:57" ht="15">
      <c r="B94" s="22" t="s">
        <v>33</v>
      </c>
      <c r="C94" s="65"/>
      <c r="D94" s="76"/>
      <c r="E94" s="76">
        <v>4.601418358346991</v>
      </c>
      <c r="F94" s="66">
        <v>3.3</v>
      </c>
      <c r="G94" s="65"/>
      <c r="H94" s="76"/>
      <c r="I94" s="76">
        <v>4.3274739720788533</v>
      </c>
      <c r="J94" s="66">
        <v>3.3</v>
      </c>
      <c r="K94" s="67"/>
      <c r="L94" s="194"/>
      <c r="M94" s="194">
        <v>0.8292543859649123</v>
      </c>
      <c r="N94" s="68">
        <v>1</v>
      </c>
      <c r="P94" s="69"/>
    </row>
    <row r="95" spans="2:57" ht="15">
      <c r="B95" s="35" t="s">
        <v>164</v>
      </c>
      <c r="C95" s="65"/>
      <c r="D95" s="76"/>
      <c r="E95" s="76"/>
      <c r="F95" s="66">
        <v>3.3</v>
      </c>
      <c r="G95" s="282"/>
      <c r="H95" s="76"/>
      <c r="I95" s="76"/>
      <c r="J95" s="66">
        <v>3</v>
      </c>
      <c r="K95" s="67"/>
      <c r="L95" s="194"/>
      <c r="M95" s="194"/>
      <c r="N95" s="68">
        <v>1</v>
      </c>
      <c r="P95" s="69"/>
    </row>
    <row r="96" spans="2:57" ht="15">
      <c r="B96" s="36" t="s">
        <v>15</v>
      </c>
      <c r="C96" s="65"/>
      <c r="D96" s="76"/>
      <c r="E96" s="76">
        <v>5.1105651105651271</v>
      </c>
      <c r="F96" s="70">
        <f>[15]May_2022!$M$43</f>
        <v>3.4878406700073312</v>
      </c>
      <c r="G96" s="282"/>
      <c r="H96" s="76"/>
      <c r="I96" s="76">
        <v>7.9131369535794072</v>
      </c>
      <c r="J96" s="66">
        <v>5.5</v>
      </c>
      <c r="K96" s="67"/>
      <c r="L96" s="194"/>
      <c r="M96" s="194">
        <v>1.3550877192982456</v>
      </c>
      <c r="N96" s="68">
        <v>1</v>
      </c>
      <c r="P96" s="69"/>
    </row>
    <row r="97" spans="2:16" ht="15">
      <c r="B97" s="37" t="s">
        <v>16</v>
      </c>
      <c r="C97" s="65">
        <f>L78</f>
        <v>2.744050509956292</v>
      </c>
      <c r="D97" s="76">
        <v>2.744050509956292</v>
      </c>
      <c r="E97" s="76">
        <v>3.7431500795474548</v>
      </c>
      <c r="F97" s="66">
        <v>3.3</v>
      </c>
      <c r="G97" s="282">
        <f>[12]April_2026!$AA$63</f>
        <v>4.0188417648776724</v>
      </c>
      <c r="H97" s="76">
        <v>4.0188417648776724</v>
      </c>
      <c r="I97" s="76">
        <v>4.8236555171494695</v>
      </c>
      <c r="J97" s="66">
        <v>3.3</v>
      </c>
      <c r="K97" s="67">
        <f>K78</f>
        <v>0.70263157894736838</v>
      </c>
      <c r="L97" s="194">
        <v>0.70263157894736838</v>
      </c>
      <c r="M97" s="194">
        <v>0.89457115009746591</v>
      </c>
      <c r="N97" s="71">
        <v>1</v>
      </c>
      <c r="P97" s="69"/>
    </row>
    <row r="98" spans="2:16" ht="15.75" thickBot="1">
      <c r="B98" s="38" t="s">
        <v>163</v>
      </c>
      <c r="C98" s="65"/>
      <c r="D98" s="76"/>
      <c r="E98" s="76"/>
      <c r="F98" s="66">
        <v>7.5</v>
      </c>
      <c r="G98" s="282"/>
      <c r="H98" s="76"/>
      <c r="I98" s="76"/>
      <c r="J98" s="66">
        <v>7.5</v>
      </c>
      <c r="K98" s="67"/>
      <c r="L98" s="194"/>
      <c r="M98" s="194"/>
      <c r="N98" s="71">
        <v>1</v>
      </c>
      <c r="P98" s="69"/>
    </row>
    <row r="99" spans="2:16" ht="15.75" thickBot="1">
      <c r="B99" s="414" t="s">
        <v>161</v>
      </c>
      <c r="C99" s="65"/>
      <c r="D99" s="76"/>
      <c r="E99" s="76"/>
      <c r="F99" s="66">
        <v>4.8</v>
      </c>
      <c r="G99" s="282"/>
      <c r="H99" s="76"/>
      <c r="I99" s="76"/>
      <c r="J99" s="66">
        <v>4.8</v>
      </c>
      <c r="K99" s="67"/>
      <c r="L99" s="194"/>
      <c r="M99" s="194"/>
      <c r="N99" s="71">
        <v>1</v>
      </c>
      <c r="O99" s="74"/>
      <c r="P99" s="75"/>
    </row>
    <row r="100" spans="2:16" ht="15">
      <c r="D100" s="76">
        <v>5.8226432360068818</v>
      </c>
      <c r="E100" s="76">
        <v>6.4455956553271774</v>
      </c>
      <c r="F100" s="341">
        <v>5.5</v>
      </c>
      <c r="H100" s="76">
        <v>5.452233883616123</v>
      </c>
      <c r="I100" s="76">
        <v>6.5148817644873889</v>
      </c>
      <c r="J100" s="341">
        <v>5.5</v>
      </c>
      <c r="L100" s="194">
        <v>0.83246296296296296</v>
      </c>
      <c r="M100" s="194">
        <v>0.59828831043854369</v>
      </c>
      <c r="N100" s="386">
        <v>1</v>
      </c>
    </row>
  </sheetData>
  <mergeCells count="51">
    <mergeCell ref="M76:M77"/>
    <mergeCell ref="B89:F89"/>
    <mergeCell ref="G89:J89"/>
    <mergeCell ref="K89:N89"/>
    <mergeCell ref="G76:G77"/>
    <mergeCell ref="H76:H77"/>
    <mergeCell ref="I76:I77"/>
    <mergeCell ref="J76:J77"/>
    <mergeCell ref="K76:K77"/>
    <mergeCell ref="L76:L77"/>
    <mergeCell ref="F76:F77"/>
    <mergeCell ref="D71:E71"/>
    <mergeCell ref="B76:B77"/>
    <mergeCell ref="C76:C77"/>
    <mergeCell ref="D76:D77"/>
    <mergeCell ref="E76:E77"/>
    <mergeCell ref="B61:B70"/>
    <mergeCell ref="D61:E62"/>
    <mergeCell ref="J61:K61"/>
    <mergeCell ref="L62:N62"/>
    <mergeCell ref="D63:E64"/>
    <mergeCell ref="D65:E66"/>
    <mergeCell ref="D67:E68"/>
    <mergeCell ref="D69:E70"/>
    <mergeCell ref="I47:N47"/>
    <mergeCell ref="D48:E48"/>
    <mergeCell ref="B49:B60"/>
    <mergeCell ref="D49:E50"/>
    <mergeCell ref="D51:E52"/>
    <mergeCell ref="D53:E54"/>
    <mergeCell ref="D55:E56"/>
    <mergeCell ref="D57:E58"/>
    <mergeCell ref="D59:E60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71:B72">
    <cfRule type="cellIs" dxfId="859" priority="86" operator="notBetween">
      <formula>#REF!</formula>
      <formula>#REF!</formula>
    </cfRule>
  </conditionalFormatting>
  <conditionalFormatting sqref="C75">
    <cfRule type="cellIs" dxfId="858" priority="180" stopIfTrue="1" operator="lessThan">
      <formula>96</formula>
    </cfRule>
    <cfRule type="cellIs" dxfId="857" priority="181" stopIfTrue="1" operator="greaterThan">
      <formula>100</formula>
    </cfRule>
  </conditionalFormatting>
  <conditionalFormatting sqref="C91:C95">
    <cfRule type="cellIs" dxfId="856" priority="149" stopIfTrue="1" operator="lessThanOrEqual">
      <formula>0</formula>
    </cfRule>
  </conditionalFormatting>
  <conditionalFormatting sqref="C91:C99">
    <cfRule type="cellIs" dxfId="855" priority="148" stopIfTrue="1" operator="greaterThan">
      <formula>$F91</formula>
    </cfRule>
  </conditionalFormatting>
  <conditionalFormatting sqref="C92">
    <cfRule type="cellIs" dxfId="854" priority="182" stopIfTrue="1" operator="greaterThan">
      <formula>$F91</formula>
    </cfRule>
  </conditionalFormatting>
  <conditionalFormatting sqref="C96">
    <cfRule type="cellIs" dxfId="853" priority="111" stopIfTrue="1" operator="greaterThan">
      <formula>$F95</formula>
    </cfRule>
    <cfRule type="cellIs" dxfId="852" priority="110" stopIfTrue="1" operator="lessThanOrEqual">
      <formula>0</formula>
    </cfRule>
  </conditionalFormatting>
  <conditionalFormatting sqref="C97:C99">
    <cfRule type="cellIs" dxfId="851" priority="150" stopIfTrue="1" operator="lessThanOrEqual">
      <formula>0</formula>
    </cfRule>
  </conditionalFormatting>
  <conditionalFormatting sqref="C102:C106">
    <cfRule type="cellIs" dxfId="850" priority="172" stopIfTrue="1" operator="lessThanOrEqual">
      <formula>0</formula>
    </cfRule>
  </conditionalFormatting>
  <conditionalFormatting sqref="C103:C106">
    <cfRule type="cellIs" dxfId="849" priority="171" stopIfTrue="1" operator="greaterThan">
      <formula>$F$102</formula>
    </cfRule>
  </conditionalFormatting>
  <conditionalFormatting sqref="C108">
    <cfRule type="cellIs" dxfId="848" priority="173" stopIfTrue="1" operator="greaterThan">
      <formula>$F$102</formula>
    </cfRule>
    <cfRule type="cellIs" dxfId="847" priority="174" stopIfTrue="1" operator="lessThanOrEqual">
      <formula>0</formula>
    </cfRule>
  </conditionalFormatting>
  <conditionalFormatting sqref="C102:D102 D104:D110">
    <cfRule type="cellIs" dxfId="846" priority="166" stopIfTrue="1" operator="greaterThan">
      <formula>4.5</formula>
    </cfRule>
  </conditionalFormatting>
  <conditionalFormatting sqref="D71:D72">
    <cfRule type="cellIs" dxfId="845" priority="87" operator="notBetween">
      <formula>#REF!</formula>
      <formula>#REF!</formula>
    </cfRule>
  </conditionalFormatting>
  <conditionalFormatting sqref="D91:D98">
    <cfRule type="cellIs" dxfId="844" priority="61" stopIfTrue="1" operator="lessThanOrEqual">
      <formula>0</formula>
    </cfRule>
  </conditionalFormatting>
  <conditionalFormatting sqref="D91:D100">
    <cfRule type="cellIs" dxfId="843" priority="44" stopIfTrue="1" operator="lessThanOrEqual">
      <formula>0</formula>
    </cfRule>
  </conditionalFormatting>
  <conditionalFormatting sqref="D99">
    <cfRule type="cellIs" dxfId="842" priority="60" stopIfTrue="1" operator="lessThanOrEqual">
      <formula>0</formula>
    </cfRule>
  </conditionalFormatting>
  <conditionalFormatting sqref="D100">
    <cfRule type="cellIs" dxfId="841" priority="57" stopIfTrue="1" operator="lessThanOrEqual">
      <formula>0</formula>
    </cfRule>
  </conditionalFormatting>
  <conditionalFormatting sqref="D102 D104:D110">
    <cfRule type="cellIs" dxfId="840" priority="167" stopIfTrue="1" operator="lessThanOrEqual">
      <formula>0</formula>
    </cfRule>
  </conditionalFormatting>
  <conditionalFormatting sqref="D103">
    <cfRule type="cellIs" dxfId="839" priority="158" stopIfTrue="1" operator="greaterThan">
      <formula>$F$102</formula>
    </cfRule>
    <cfRule type="cellIs" dxfId="838" priority="159" stopIfTrue="1" operator="lessThanOrEqual">
      <formula>0</formula>
    </cfRule>
  </conditionalFormatting>
  <conditionalFormatting sqref="D91:E100">
    <cfRule type="cellIs" dxfId="837" priority="46" stopIfTrue="1" operator="greaterThan">
      <formula>$F91</formula>
    </cfRule>
  </conditionalFormatting>
  <conditionalFormatting sqref="D100:E100">
    <cfRule type="cellIs" dxfId="836" priority="48" stopIfTrue="1" operator="lessThanOrEqual">
      <formula>0</formula>
    </cfRule>
  </conditionalFormatting>
  <conditionalFormatting sqref="E10:E46">
    <cfRule type="cellIs" dxfId="835" priority="35" operator="lessThan">
      <formula>48</formula>
    </cfRule>
  </conditionalFormatting>
  <conditionalFormatting sqref="E74 E75:F75">
    <cfRule type="cellIs" dxfId="834" priority="163" stopIfTrue="1" operator="greaterThan">
      <formula>100</formula>
    </cfRule>
  </conditionalFormatting>
  <conditionalFormatting sqref="E75">
    <cfRule type="cellIs" dxfId="833" priority="160" stopIfTrue="1" operator="lessThan">
      <formula>96.8</formula>
    </cfRule>
    <cfRule type="cellIs" dxfId="832" priority="161" stopIfTrue="1" operator="greaterThan">
      <formula>100</formula>
    </cfRule>
  </conditionalFormatting>
  <conditionalFormatting sqref="E91:E99">
    <cfRule type="cellIs" dxfId="831" priority="45" stopIfTrue="1" operator="lessThanOrEqual">
      <formula>0</formula>
    </cfRule>
  </conditionalFormatting>
  <conditionalFormatting sqref="E91:E100">
    <cfRule type="cellIs" dxfId="830" priority="47" stopIfTrue="1" operator="lessThanOrEqual">
      <formula>0</formula>
    </cfRule>
  </conditionalFormatting>
  <conditionalFormatting sqref="E102:E110">
    <cfRule type="cellIs" dxfId="829" priority="152" stopIfTrue="1" operator="greaterThan">
      <formula>4.5</formula>
    </cfRule>
    <cfRule type="cellIs" dxfId="828" priority="153" stopIfTrue="1" operator="lessThanOrEqual">
      <formula>0</formula>
    </cfRule>
  </conditionalFormatting>
  <conditionalFormatting sqref="E75:F75 E74">
    <cfRule type="cellIs" dxfId="827" priority="162" stopIfTrue="1" operator="lessThan">
      <formula>96.5</formula>
    </cfRule>
  </conditionalFormatting>
  <conditionalFormatting sqref="F20:F46">
    <cfRule type="cellIs" dxfId="826" priority="39" operator="greaterThan">
      <formula>60</formula>
    </cfRule>
  </conditionalFormatting>
  <conditionalFormatting sqref="F75">
    <cfRule type="cellIs" dxfId="825" priority="178" stopIfTrue="1" operator="lessThan">
      <formula>96.8</formula>
    </cfRule>
    <cfRule type="cellIs" dxfId="824" priority="179" stopIfTrue="1" operator="greaterThan">
      <formula>100</formula>
    </cfRule>
  </conditionalFormatting>
  <conditionalFormatting sqref="F100">
    <cfRule type="cellIs" dxfId="823" priority="59" stopIfTrue="1" operator="lessThanOrEqual">
      <formula>0</formula>
    </cfRule>
    <cfRule type="cellIs" dxfId="822" priority="58" stopIfTrue="1" operator="greaterThan">
      <formula>$F100</formula>
    </cfRule>
  </conditionalFormatting>
  <conditionalFormatting sqref="G10:G46">
    <cfRule type="expression" dxfId="821" priority="36">
      <formula>IF(+(IF(G10&lt;S10,0,IF(G10&gt;T10,0,1)))=0,1)</formula>
    </cfRule>
  </conditionalFormatting>
  <conditionalFormatting sqref="G91:G92">
    <cfRule type="cellIs" dxfId="820" priority="63" stopIfTrue="1" operator="lessThanOrEqual">
      <formula>0</formula>
    </cfRule>
    <cfRule type="cellIs" dxfId="819" priority="62" stopIfTrue="1" operator="greaterThan">
      <formula>$F91</formula>
    </cfRule>
  </conditionalFormatting>
  <conditionalFormatting sqref="G91:G94">
    <cfRule type="cellIs" dxfId="818" priority="14" stopIfTrue="1" operator="lessThanOrEqual">
      <formula>0</formula>
    </cfRule>
    <cfRule type="cellIs" dxfId="817" priority="13" stopIfTrue="1" operator="greaterThan">
      <formula>$F91</formula>
    </cfRule>
  </conditionalFormatting>
  <conditionalFormatting sqref="G93">
    <cfRule type="cellIs" dxfId="816" priority="11" stopIfTrue="1" operator="greaterThan">
      <formula>$F93</formula>
    </cfRule>
    <cfRule type="cellIs" dxfId="815" priority="12" stopIfTrue="1" operator="lessThanOrEqual">
      <formula>0</formula>
    </cfRule>
  </conditionalFormatting>
  <conditionalFormatting sqref="G94">
    <cfRule type="cellIs" dxfId="814" priority="52" stopIfTrue="1" operator="greaterThan">
      <formula>$F94</formula>
    </cfRule>
    <cfRule type="cellIs" dxfId="813" priority="53" stopIfTrue="1" operator="lessThanOrEqual">
      <formula>0</formula>
    </cfRule>
  </conditionalFormatting>
  <conditionalFormatting sqref="G95:G99">
    <cfRule type="cellIs" dxfId="812" priority="64" stopIfTrue="1" operator="greaterThan">
      <formula>$J95</formula>
    </cfRule>
    <cfRule type="cellIs" dxfId="811" priority="65" stopIfTrue="1" operator="lessThanOrEqual">
      <formula>0</formula>
    </cfRule>
  </conditionalFormatting>
  <conditionalFormatting sqref="G104:G109 C107 C109">
    <cfRule type="cellIs" dxfId="810" priority="176" stopIfTrue="1" operator="lessThanOrEqual">
      <formula>0</formula>
    </cfRule>
    <cfRule type="cellIs" dxfId="809" priority="175" stopIfTrue="1" operator="greaterThan">
      <formula>4.5</formula>
    </cfRule>
  </conditionalFormatting>
  <conditionalFormatting sqref="G103:H103">
    <cfRule type="cellIs" dxfId="808" priority="157" stopIfTrue="1" operator="lessThanOrEqual">
      <formula>0</formula>
    </cfRule>
    <cfRule type="cellIs" dxfId="807" priority="156" stopIfTrue="1" operator="greaterThan">
      <formula>$F$102</formula>
    </cfRule>
  </conditionalFormatting>
  <conditionalFormatting sqref="H60:H61 H74">
    <cfRule type="cellIs" dxfId="806" priority="154" stopIfTrue="1" operator="greaterThan">
      <formula>0</formula>
    </cfRule>
  </conditionalFormatting>
  <conditionalFormatting sqref="H78">
    <cfRule type="cellIs" dxfId="805" priority="26" stopIfTrue="1" operator="lessThanOrEqual">
      <formula>0</formula>
    </cfRule>
    <cfRule type="cellIs" dxfId="804" priority="16" stopIfTrue="1" operator="lessThanOrEqual">
      <formula>0</formula>
    </cfRule>
    <cfRule type="cellIs" dxfId="803" priority="17" stopIfTrue="1" operator="greaterThan">
      <formula>$F$88</formula>
    </cfRule>
    <cfRule type="cellIs" dxfId="802" priority="25" stopIfTrue="1" operator="greaterThan">
      <formula>$F$91</formula>
    </cfRule>
    <cfRule type="cellIs" dxfId="801" priority="27" stopIfTrue="1" operator="greaterThan">
      <formula>$F$89</formula>
    </cfRule>
    <cfRule type="cellIs" dxfId="800" priority="28" stopIfTrue="1" operator="lessThanOrEqual">
      <formula>0</formula>
    </cfRule>
  </conditionalFormatting>
  <conditionalFormatting sqref="H79:H82">
    <cfRule type="cellIs" dxfId="799" priority="80" stopIfTrue="1" operator="greaterThan">
      <formula>$F$92</formula>
    </cfRule>
    <cfRule type="cellIs" dxfId="798" priority="78" stopIfTrue="1" operator="greaterThan">
      <formula>$F$94</formula>
    </cfRule>
    <cfRule type="cellIs" dxfId="797" priority="79" stopIfTrue="1" operator="lessThanOrEqual">
      <formula>0</formula>
    </cfRule>
    <cfRule type="cellIs" dxfId="796" priority="69" stopIfTrue="1" operator="lessThanOrEqual">
      <formula>0</formula>
    </cfRule>
    <cfRule type="cellIs" dxfId="795" priority="70" stopIfTrue="1" operator="greaterThan">
      <formula>$F$91</formula>
    </cfRule>
    <cfRule type="cellIs" dxfId="794" priority="81" stopIfTrue="1" operator="lessThanOrEqual">
      <formula>0</formula>
    </cfRule>
  </conditionalFormatting>
  <conditionalFormatting sqref="H83:H84">
    <cfRule type="cellIs" dxfId="793" priority="113" stopIfTrue="1" operator="lessThanOrEqual">
      <formula>0</formula>
    </cfRule>
    <cfRule type="cellIs" dxfId="792" priority="125" stopIfTrue="1" operator="lessThanOrEqual">
      <formula>0</formula>
    </cfRule>
    <cfRule type="cellIs" dxfId="791" priority="124" stopIfTrue="1" operator="greaterThan">
      <formula>#REF!</formula>
    </cfRule>
    <cfRule type="cellIs" dxfId="790" priority="123" stopIfTrue="1" operator="lessThanOrEqual">
      <formula>0</formula>
    </cfRule>
    <cfRule type="cellIs" dxfId="789" priority="114" stopIfTrue="1" operator="greaterThan">
      <formula>#REF!</formula>
    </cfRule>
    <cfRule type="cellIs" dxfId="788" priority="122" stopIfTrue="1" operator="greaterThan">
      <formula>$F$46</formula>
    </cfRule>
  </conditionalFormatting>
  <conditionalFormatting sqref="H85">
    <cfRule type="cellIs" dxfId="787" priority="138" stopIfTrue="1" operator="greaterThan">
      <formula>$F$60</formula>
    </cfRule>
    <cfRule type="cellIs" dxfId="786" priority="139" stopIfTrue="1" operator="lessThanOrEqual">
      <formula>0</formula>
    </cfRule>
    <cfRule type="cellIs" dxfId="785" priority="128" stopIfTrue="1" operator="greaterThan">
      <formula>$F$59</formula>
    </cfRule>
    <cfRule type="cellIs" dxfId="784" priority="127" stopIfTrue="1" operator="lessThanOrEqual">
      <formula>0</formula>
    </cfRule>
    <cfRule type="cellIs" dxfId="783" priority="136" stopIfTrue="1" operator="greaterThan">
      <formula>$F$62</formula>
    </cfRule>
    <cfRule type="cellIs" dxfId="782" priority="137" stopIfTrue="1" operator="lessThanOrEqual">
      <formula>0</formula>
    </cfRule>
  </conditionalFormatting>
  <conditionalFormatting sqref="H86:H87">
    <cfRule type="cellIs" dxfId="781" priority="106" stopIfTrue="1" operator="greaterThan">
      <formula>$F$46</formula>
    </cfRule>
    <cfRule type="cellIs" dxfId="780" priority="98" stopIfTrue="1" operator="greaterThan">
      <formula>#REF!</formula>
    </cfRule>
    <cfRule type="cellIs" dxfId="779" priority="107" stopIfTrue="1" operator="lessThanOrEqual">
      <formula>0</formula>
    </cfRule>
    <cfRule type="cellIs" dxfId="778" priority="108" stopIfTrue="1" operator="greaterThan">
      <formula>#REF!</formula>
    </cfRule>
    <cfRule type="cellIs" dxfId="777" priority="109" stopIfTrue="1" operator="lessThanOrEqual">
      <formula>0</formula>
    </cfRule>
    <cfRule type="cellIs" dxfId="776" priority="97" stopIfTrue="1" operator="lessThanOrEqual">
      <formula>0</formula>
    </cfRule>
  </conditionalFormatting>
  <conditionalFormatting sqref="H102 H104:H110">
    <cfRule type="cellIs" dxfId="775" priority="168" stopIfTrue="1" operator="greaterThan">
      <formula>4.5</formula>
    </cfRule>
    <cfRule type="cellIs" dxfId="774" priority="169" stopIfTrue="1" operator="lessThanOrEqual">
      <formula>0</formula>
    </cfRule>
  </conditionalFormatting>
  <conditionalFormatting sqref="H78:I78">
    <cfRule type="cellIs" dxfId="773" priority="18" stopIfTrue="1" operator="lessThanOrEqual">
      <formula>0</formula>
    </cfRule>
    <cfRule type="cellIs" dxfId="772" priority="15" stopIfTrue="1" operator="greaterThan">
      <formula>$F$90</formula>
    </cfRule>
  </conditionalFormatting>
  <conditionalFormatting sqref="H79:I82">
    <cfRule type="cellIs" dxfId="771" priority="68" stopIfTrue="1" operator="greaterThan">
      <formula>$F$93</formula>
    </cfRule>
    <cfRule type="cellIs" dxfId="770" priority="71" stopIfTrue="1" operator="lessThanOrEqual">
      <formula>0</formula>
    </cfRule>
  </conditionalFormatting>
  <conditionalFormatting sqref="H83:I84">
    <cfRule type="cellIs" dxfId="769" priority="112" stopIfTrue="1" operator="greaterThan">
      <formula>#REF!</formula>
    </cfRule>
    <cfRule type="cellIs" dxfId="768" priority="115" stopIfTrue="1" operator="lessThanOrEqual">
      <formula>0</formula>
    </cfRule>
  </conditionalFormatting>
  <conditionalFormatting sqref="H85:I85">
    <cfRule type="cellIs" dxfId="767" priority="126" stopIfTrue="1" operator="greaterThan">
      <formula>$F$61</formula>
    </cfRule>
    <cfRule type="cellIs" dxfId="766" priority="129" stopIfTrue="1" operator="lessThanOrEqual">
      <formula>0</formula>
    </cfRule>
  </conditionalFormatting>
  <conditionalFormatting sqref="H86:I87">
    <cfRule type="cellIs" dxfId="765" priority="96" stopIfTrue="1" operator="greaterThan">
      <formula>#REF!</formula>
    </cfRule>
    <cfRule type="cellIs" dxfId="764" priority="99" stopIfTrue="1" operator="lessThanOrEqual">
      <formula>0</formula>
    </cfRule>
  </conditionalFormatting>
  <conditionalFormatting sqref="H91:I98">
    <cfRule type="cellIs" dxfId="763" priority="42" stopIfTrue="1" operator="greaterThan">
      <formula>$J91</formula>
    </cfRule>
    <cfRule type="cellIs" dxfId="762" priority="43" stopIfTrue="1" operator="lessThanOrEqual">
      <formula>0</formula>
    </cfRule>
  </conditionalFormatting>
  <conditionalFormatting sqref="H99:I99">
    <cfRule type="cellIs" dxfId="761" priority="51" operator="greaterThan">
      <formula>5.3</formula>
    </cfRule>
  </conditionalFormatting>
  <conditionalFormatting sqref="H100:I100">
    <cfRule type="cellIs" dxfId="760" priority="49" stopIfTrue="1" operator="greaterThan">
      <formula>$J100</formula>
    </cfRule>
    <cfRule type="cellIs" dxfId="759" priority="50" stopIfTrue="1" operator="lessThanOrEqual">
      <formula>0</formula>
    </cfRule>
  </conditionalFormatting>
  <conditionalFormatting sqref="I78">
    <cfRule type="cellIs" dxfId="758" priority="19" stopIfTrue="1" operator="greaterThan">
      <formula>$F$88</formula>
    </cfRule>
    <cfRule type="cellIs" dxfId="757" priority="20" stopIfTrue="1" operator="lessThanOrEqual">
      <formula>0</formula>
    </cfRule>
    <cfRule type="cellIs" dxfId="756" priority="21" stopIfTrue="1" operator="greaterThan">
      <formula>$F$90</formula>
    </cfRule>
    <cfRule type="cellIs" dxfId="755" priority="22" stopIfTrue="1" operator="lessThanOrEqual">
      <formula>0</formula>
    </cfRule>
    <cfRule type="cellIs" dxfId="754" priority="23" stopIfTrue="1" operator="greaterThan">
      <formula>$F$88</formula>
    </cfRule>
    <cfRule type="cellIs" dxfId="753" priority="24" stopIfTrue="1" operator="lessThanOrEqual">
      <formula>0</formula>
    </cfRule>
  </conditionalFormatting>
  <conditionalFormatting sqref="I79:I82">
    <cfRule type="cellIs" dxfId="752" priority="74" stopIfTrue="1" operator="greaterThan">
      <formula>$F$93</formula>
    </cfRule>
    <cfRule type="cellIs" dxfId="751" priority="75" stopIfTrue="1" operator="lessThanOrEqual">
      <formula>0</formula>
    </cfRule>
    <cfRule type="cellIs" dxfId="750" priority="72" stopIfTrue="1" operator="greaterThan">
      <formula>$F$91</formula>
    </cfRule>
    <cfRule type="cellIs" dxfId="749" priority="77" stopIfTrue="1" operator="lessThanOrEqual">
      <formula>0</formula>
    </cfRule>
    <cfRule type="cellIs" dxfId="748" priority="76" stopIfTrue="1" operator="greaterThan">
      <formula>$F$91</formula>
    </cfRule>
    <cfRule type="cellIs" dxfId="747" priority="73" stopIfTrue="1" operator="lessThanOrEqual">
      <formula>0</formula>
    </cfRule>
  </conditionalFormatting>
  <conditionalFormatting sqref="I83:I84">
    <cfRule type="cellIs" dxfId="746" priority="118" stopIfTrue="1" operator="greaterThan">
      <formula>#REF!</formula>
    </cfRule>
    <cfRule type="cellIs" dxfId="745" priority="117" stopIfTrue="1" operator="lessThanOrEqual">
      <formula>0</formula>
    </cfRule>
    <cfRule type="cellIs" dxfId="744" priority="119" stopIfTrue="1" operator="lessThanOrEqual">
      <formula>0</formula>
    </cfRule>
    <cfRule type="cellIs" dxfId="743" priority="116" stopIfTrue="1" operator="greaterThan">
      <formula>#REF!</formula>
    </cfRule>
    <cfRule type="cellIs" dxfId="742" priority="121" stopIfTrue="1" operator="lessThanOrEqual">
      <formula>0</formula>
    </cfRule>
    <cfRule type="cellIs" dxfId="741" priority="120" stopIfTrue="1" operator="greaterThan">
      <formula>#REF!</formula>
    </cfRule>
  </conditionalFormatting>
  <conditionalFormatting sqref="I85">
    <cfRule type="cellIs" dxfId="740" priority="134" stopIfTrue="1" operator="greaterThan">
      <formula>$F$59</formula>
    </cfRule>
    <cfRule type="cellIs" dxfId="739" priority="130" stopIfTrue="1" operator="greaterThan">
      <formula>$F$59</formula>
    </cfRule>
    <cfRule type="cellIs" dxfId="738" priority="131" stopIfTrue="1" operator="lessThanOrEqual">
      <formula>0</formula>
    </cfRule>
    <cfRule type="cellIs" dxfId="737" priority="132" stopIfTrue="1" operator="greaterThan">
      <formula>$F$61</formula>
    </cfRule>
    <cfRule type="cellIs" dxfId="736" priority="133" stopIfTrue="1" operator="lessThanOrEqual">
      <formula>0</formula>
    </cfRule>
    <cfRule type="cellIs" dxfId="735" priority="135" stopIfTrue="1" operator="lessThanOrEqual">
      <formula>0</formula>
    </cfRule>
  </conditionalFormatting>
  <conditionalFormatting sqref="I86:I87">
    <cfRule type="cellIs" dxfId="734" priority="100" stopIfTrue="1" operator="greaterThan">
      <formula>#REF!</formula>
    </cfRule>
    <cfRule type="cellIs" dxfId="733" priority="105" stopIfTrue="1" operator="lessThanOrEqual">
      <formula>0</formula>
    </cfRule>
    <cfRule type="cellIs" dxfId="732" priority="104" stopIfTrue="1" operator="greaterThan">
      <formula>#REF!</formula>
    </cfRule>
    <cfRule type="cellIs" dxfId="731" priority="103" stopIfTrue="1" operator="lessThanOrEqual">
      <formula>0</formula>
    </cfRule>
    <cfRule type="cellIs" dxfId="730" priority="102" stopIfTrue="1" operator="greaterThan">
      <formula>#REF!</formula>
    </cfRule>
    <cfRule type="cellIs" dxfId="729" priority="101" stopIfTrue="1" operator="lessThanOrEqual">
      <formula>0</formula>
    </cfRule>
  </conditionalFormatting>
  <conditionalFormatting sqref="I102:I110">
    <cfRule type="cellIs" dxfId="728" priority="165" stopIfTrue="1" operator="lessThanOrEqual">
      <formula>0</formula>
    </cfRule>
    <cfRule type="cellIs" dxfId="727" priority="164" stopIfTrue="1" operator="greaterThan">
      <formula>4.5</formula>
    </cfRule>
  </conditionalFormatting>
  <conditionalFormatting sqref="I10:J46">
    <cfRule type="cellIs" dxfId="726" priority="29" operator="lessThan">
      <formula>97.9</formula>
    </cfRule>
  </conditionalFormatting>
  <conditionalFormatting sqref="J49">
    <cfRule type="cellIs" dxfId="725" priority="67" operator="lessThan">
      <formula>97.95</formula>
    </cfRule>
  </conditionalFormatting>
  <conditionalFormatting sqref="J51">
    <cfRule type="cellIs" dxfId="724" priority="142" stopIfTrue="1" operator="greaterThan">
      <formula>100</formula>
    </cfRule>
    <cfRule type="cellIs" dxfId="723" priority="143" operator="lessThan">
      <formula>98</formula>
    </cfRule>
    <cfRule type="cellIs" dxfId="722" priority="141" stopIfTrue="1" operator="lessThan">
      <formula>96.8</formula>
    </cfRule>
  </conditionalFormatting>
  <conditionalFormatting sqref="J51:J53">
    <cfRule type="cellIs" dxfId="721" priority="140" operator="lessThan">
      <formula>97.4</formula>
    </cfRule>
  </conditionalFormatting>
  <conditionalFormatting sqref="J54:J55">
    <cfRule type="cellIs" dxfId="720" priority="144" operator="lessThan">
      <formula>98</formula>
    </cfRule>
  </conditionalFormatting>
  <conditionalFormatting sqref="J56:J57">
    <cfRule type="cellIs" dxfId="719" priority="146" stopIfTrue="1" operator="greaterThan">
      <formula>100</formula>
    </cfRule>
    <cfRule type="cellIs" dxfId="718" priority="145" stopIfTrue="1" operator="lessThan">
      <formula>96.8</formula>
    </cfRule>
  </conditionalFormatting>
  <conditionalFormatting sqref="J56:J58">
    <cfRule type="cellIs" dxfId="717" priority="147" operator="lessThan">
      <formula>98</formula>
    </cfRule>
  </conditionalFormatting>
  <conditionalFormatting sqref="J87">
    <cfRule type="cellIs" dxfId="716" priority="91" stopIfTrue="1" operator="lessThanOrEqual">
      <formula>0</formula>
    </cfRule>
    <cfRule type="cellIs" dxfId="715" priority="88" stopIfTrue="1" operator="greaterThan">
      <formula>#REF!</formula>
    </cfRule>
    <cfRule type="cellIs" dxfId="714" priority="93" stopIfTrue="1" operator="lessThanOrEqual">
      <formula>0</formula>
    </cfRule>
    <cfRule type="cellIs" dxfId="713" priority="89" stopIfTrue="1" operator="lessThanOrEqual">
      <formula>0</formula>
    </cfRule>
    <cfRule type="cellIs" dxfId="712" priority="92" stopIfTrue="1" operator="greaterThan">
      <formula>#REF!</formula>
    </cfRule>
    <cfRule type="cellIs" dxfId="711" priority="95" stopIfTrue="1" operator="lessThanOrEqual">
      <formula>0</formula>
    </cfRule>
    <cfRule type="cellIs" dxfId="710" priority="90" stopIfTrue="1" operator="greaterThan">
      <formula>#REF!</formula>
    </cfRule>
    <cfRule type="cellIs" dxfId="709" priority="94" stopIfTrue="1" operator="greaterThan">
      <formula>#REF!</formula>
    </cfRule>
  </conditionalFormatting>
  <conditionalFormatting sqref="J100">
    <cfRule type="cellIs" dxfId="708" priority="55" stopIfTrue="1" operator="lessThanOrEqual">
      <formula>0</formula>
    </cfRule>
    <cfRule type="cellIs" dxfId="707" priority="54" stopIfTrue="1" operator="greaterThan">
      <formula>$F100</formula>
    </cfRule>
  </conditionalFormatting>
  <conditionalFormatting sqref="K10:K46">
    <cfRule type="cellIs" dxfId="706" priority="31" operator="lessThan">
      <formula>4</formula>
    </cfRule>
    <cfRule type="cellIs" dxfId="705" priority="32" operator="greaterThan">
      <formula>6.4</formula>
    </cfRule>
    <cfRule type="cellIs" dxfId="704" priority="30" operator="greaterThan">
      <formula>6</formula>
    </cfRule>
  </conditionalFormatting>
  <conditionalFormatting sqref="K78:K87">
    <cfRule type="cellIs" dxfId="703" priority="82" stopIfTrue="1" operator="lessThan">
      <formula>100%</formula>
    </cfRule>
  </conditionalFormatting>
  <conditionalFormatting sqref="K102:K107">
    <cfRule type="cellIs" dxfId="702" priority="170" stopIfTrue="1" operator="lessThan">
      <formula>100%</formula>
    </cfRule>
  </conditionalFormatting>
  <conditionalFormatting sqref="K109:K110">
    <cfRule type="cellIs" dxfId="701" priority="177" stopIfTrue="1" operator="lessThan">
      <formula>100%</formula>
    </cfRule>
  </conditionalFormatting>
  <conditionalFormatting sqref="K91:M99">
    <cfRule type="cellIs" dxfId="700" priority="41" stopIfTrue="1" operator="lessThan">
      <formula>100%</formula>
    </cfRule>
  </conditionalFormatting>
  <conditionalFormatting sqref="L10:L46">
    <cfRule type="cellIs" dxfId="699" priority="34" operator="greaterThan">
      <formula>65</formula>
    </cfRule>
    <cfRule type="cellIs" dxfId="698" priority="33" operator="between">
      <formula>61</formula>
      <formula>65</formula>
    </cfRule>
  </conditionalFormatting>
  <conditionalFormatting sqref="L49:M60">
    <cfRule type="cellIs" dxfId="697" priority="84" operator="lessThan">
      <formula>97.95</formula>
    </cfRule>
  </conditionalFormatting>
  <conditionalFormatting sqref="L100:M100">
    <cfRule type="cellIs" dxfId="696" priority="56" stopIfTrue="1" operator="lessThan">
      <formula>100%</formula>
    </cfRule>
  </conditionalFormatting>
  <conditionalFormatting sqref="L64:N64">
    <cfRule type="cellIs" dxfId="695" priority="85" operator="notEqual">
      <formula>#REF!</formula>
    </cfRule>
  </conditionalFormatting>
  <conditionalFormatting sqref="L102:N110">
    <cfRule type="cellIs" dxfId="694" priority="155" stopIfTrue="1" operator="lessThan">
      <formula>100%</formula>
    </cfRule>
  </conditionalFormatting>
  <conditionalFormatting sqref="M20:M44">
    <cfRule type="expression" dxfId="693" priority="38">
      <formula>IF(+(IF(M20&lt;U20,0,IF(M20&gt;V20,0,1)))=0,1)</formula>
    </cfRule>
  </conditionalFormatting>
  <conditionalFormatting sqref="M10:N43 H10:H46">
    <cfRule type="expression" dxfId="692" priority="40">
      <formula>IF(+(IF(H10&lt;#REF!,0,IF(H10&gt;#REF!,0,1)))=0,1)</formula>
    </cfRule>
  </conditionalFormatting>
  <conditionalFormatting sqref="M45:N46">
    <cfRule type="expression" dxfId="691" priority="83">
      <formula>IF(+(IF(M45&lt;#REF!,0,IF(M45&gt;#REF!,0,1)))=0,1)</formula>
    </cfRule>
  </conditionalFormatting>
  <conditionalFormatting sqref="N10:N44">
    <cfRule type="expression" dxfId="690" priority="37">
      <formula>IF(+(IF(N10&lt;W10,0,IF(N10&gt;X10,0,1)))=0,1)</formula>
    </cfRule>
  </conditionalFormatting>
  <conditionalFormatting sqref="N91:N100">
    <cfRule type="cellIs" dxfId="689" priority="66" stopIfTrue="1" operator="lessThan">
      <formula>100%</formula>
    </cfRule>
  </conditionalFormatting>
  <conditionalFormatting sqref="P6">
    <cfRule type="cellIs" dxfId="688" priority="151" operator="greaterThanOrEqual">
      <formula>19</formula>
    </cfRule>
  </conditionalFormatting>
  <dataValidations count="1">
    <dataValidation type="list" allowBlank="1" showInputMessage="1" showErrorMessage="1" sqref="R8" xr:uid="{D3CF7574-3366-4664-9963-EA7D4F758BC5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104" max="16383" man="1"/>
  </rowBreaks>
  <colBreaks count="1" manualBreakCount="1">
    <brk id="15" max="89" man="1"/>
  </colBreak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8EB34-1B29-46EC-BD24-73FF5F5A9E72}">
  <sheetPr>
    <pageSetUpPr fitToPage="1"/>
  </sheetPr>
  <dimension ref="A1:BE80"/>
  <sheetViews>
    <sheetView topLeftCell="A26" zoomScale="80" zoomScaleNormal="80" workbookViewId="0">
      <selection activeCell="E10" sqref="E10:E18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20.7109375" style="275" customWidth="1"/>
    <col min="10" max="10" width="24.140625" style="275" bestFit="1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5" t="s">
        <v>0</v>
      </c>
      <c r="T1" s="555"/>
      <c r="U1" s="555" t="s">
        <v>1</v>
      </c>
      <c r="V1" s="555"/>
      <c r="W1" s="555" t="s">
        <v>2</v>
      </c>
      <c r="X1" s="555"/>
      <c r="Y1" s="555" t="s">
        <v>124</v>
      </c>
      <c r="Z1" s="555"/>
    </row>
    <row r="2" spans="2:29" ht="15">
      <c r="B2" s="556" t="s">
        <v>3</v>
      </c>
      <c r="C2" s="556"/>
      <c r="D2" s="556"/>
      <c r="E2" s="556"/>
      <c r="F2" s="556"/>
      <c r="G2" s="556"/>
      <c r="H2" s="556"/>
      <c r="I2" s="556"/>
      <c r="J2" s="556"/>
      <c r="K2" s="556"/>
      <c r="L2" s="556"/>
      <c r="M2" s="556"/>
      <c r="N2" s="556"/>
      <c r="O2" s="556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46140</v>
      </c>
      <c r="J4" s="398" t="s">
        <v>167</v>
      </c>
      <c r="K4" s="398"/>
      <c r="L4" s="11"/>
      <c r="M4" s="553" t="s">
        <v>8</v>
      </c>
      <c r="N4" s="554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2"/>
      <c r="D5" s="542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6" t="s">
        <v>17</v>
      </c>
      <c r="C8" s="517" t="s">
        <v>18</v>
      </c>
      <c r="D8" s="517" t="s">
        <v>19</v>
      </c>
      <c r="E8" s="356" t="s">
        <v>20</v>
      </c>
      <c r="F8" s="356" t="s">
        <v>21</v>
      </c>
      <c r="G8" s="517" t="s">
        <v>22</v>
      </c>
      <c r="H8" s="544" t="s">
        <v>144</v>
      </c>
      <c r="I8" s="517" t="s">
        <v>165</v>
      </c>
      <c r="J8" s="546" t="s">
        <v>23</v>
      </c>
      <c r="K8" s="548" t="s">
        <v>142</v>
      </c>
      <c r="L8" s="550" t="s">
        <v>24</v>
      </c>
      <c r="M8" s="359" t="s">
        <v>25</v>
      </c>
      <c r="N8" s="17" t="s">
        <v>169</v>
      </c>
      <c r="O8" s="510" t="s">
        <v>155</v>
      </c>
      <c r="P8" s="540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43"/>
      <c r="C9" s="541"/>
      <c r="D9" s="541"/>
      <c r="E9" s="357" t="s">
        <v>30</v>
      </c>
      <c r="F9" s="357" t="s">
        <v>31</v>
      </c>
      <c r="G9" s="541"/>
      <c r="H9" s="545"/>
      <c r="I9" s="541"/>
      <c r="J9" s="547"/>
      <c r="K9" s="549"/>
      <c r="L9" s="551"/>
      <c r="M9" s="20" t="s">
        <v>32</v>
      </c>
      <c r="N9" s="21" t="s">
        <v>41</v>
      </c>
      <c r="O9" s="552"/>
      <c r="P9" s="541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>
      <c r="B10" s="29" t="s">
        <v>6</v>
      </c>
      <c r="C10" s="366" t="str">
        <f>[4]Brewhouse!$A359</f>
        <v>CA315</v>
      </c>
      <c r="D10" s="279">
        <f>[4]Brewhouse!$AF359</f>
        <v>52.1</v>
      </c>
      <c r="E10" s="279">
        <f>[4]Brewhouse!$AI359</f>
        <v>50.1</v>
      </c>
      <c r="F10" s="278">
        <f>[4]Brewhouse!$V359</f>
        <v>62</v>
      </c>
      <c r="G10" s="279">
        <f>[4]Brewhouse!AG359</f>
        <v>11.9</v>
      </c>
      <c r="H10" s="396">
        <v>11.8</v>
      </c>
      <c r="I10" s="368">
        <f>[4]Brewhouse!$AU359</f>
        <v>98.301955213273345</v>
      </c>
      <c r="J10" s="368">
        <f>[4]Brewhouse!$AV359</f>
        <v>99.898525667561969</v>
      </c>
      <c r="K10" s="281">
        <f>[4]Brewhouse!$Q359</f>
        <v>5.0277264325323454</v>
      </c>
      <c r="L10" s="276">
        <f>[4]Brewhouse!$P359</f>
        <v>58</v>
      </c>
      <c r="M10" s="397">
        <f>[4]Brewhouse!$U359-[4]Brewhouse!$T359</f>
        <v>0.11458333333333337</v>
      </c>
      <c r="N10" s="370">
        <f>[4]Brewhouse!$Z359</f>
        <v>0.25277777777777782</v>
      </c>
      <c r="O10" s="420" t="str">
        <f>[4]Brewhouse!$AX359</f>
        <v>R. Sookram</v>
      </c>
      <c r="P10" s="418"/>
      <c r="R10" s="277" t="str">
        <f t="shared" ref="R10:R40" si="0">B10</f>
        <v>CARIB</v>
      </c>
      <c r="S10" s="472">
        <f t="shared" ref="S10:S40" si="1">VLOOKUP($B10,$R$3:$X$9,2,FALSE)</f>
        <v>11.6</v>
      </c>
      <c r="T10" s="472">
        <f t="shared" ref="T10:T40" si="2">VLOOKUP($B10,$R$3:$X$9,3,FALSE)</f>
        <v>12</v>
      </c>
      <c r="U10" s="297">
        <f t="shared" ref="U10:U40" si="3">VLOOKUP($B10,$R$3:$X$9,4,FALSE)</f>
        <v>0</v>
      </c>
      <c r="V10" s="297">
        <f t="shared" ref="V10:V40" si="4">VLOOKUP($B10,$R$3:$X$9,5,FALSE)</f>
        <v>0.118055555555556</v>
      </c>
      <c r="W10" s="297">
        <f t="shared" ref="W10:W40" si="5">VLOOKUP($B10,$R$3:$X$9,6,FALSE)</f>
        <v>0.22569444444444445</v>
      </c>
      <c r="X10" s="297">
        <f t="shared" ref="X10:X40" si="6">VLOOKUP($B10,$R$3:$X$9,7,FALSE)</f>
        <v>0.2638888888888889</v>
      </c>
      <c r="Y10" s="297">
        <f t="shared" ref="Y10:Y40" si="7">VLOOKUP($B10,$R$3:$Z$9,8,FALSE)</f>
        <v>0</v>
      </c>
      <c r="Z10" s="472">
        <f t="shared" ref="Z10:Z40" si="8">VLOOKUP($B10,$R$3:$Z$9,9,FALSE)</f>
        <v>60</v>
      </c>
    </row>
    <row r="11" spans="2:29" ht="15">
      <c r="B11" s="29" t="s">
        <v>6</v>
      </c>
      <c r="C11" s="366" t="str">
        <f>[4]Brewhouse!$A360</f>
        <v>CA316</v>
      </c>
      <c r="D11" s="279">
        <f>[4]Brewhouse!$AF360</f>
        <v>52.6</v>
      </c>
      <c r="E11" s="279">
        <f>[4]Brewhouse!$AI360</f>
        <v>50.9</v>
      </c>
      <c r="F11" s="278">
        <f>[4]Brewhouse!$V360</f>
        <v>61</v>
      </c>
      <c r="G11" s="279">
        <f>[4]Brewhouse!AG360</f>
        <v>11.7</v>
      </c>
      <c r="H11" s="396">
        <v>11.8</v>
      </c>
      <c r="I11" s="368">
        <f>[4]Brewhouse!$AU360</f>
        <v>98.106846922939908</v>
      </c>
      <c r="J11" s="368">
        <f>[4]Brewhouse!$AV360</f>
        <v>99.700248527422247</v>
      </c>
      <c r="K11" s="281">
        <f>[4]Brewhouse!$Q360</f>
        <v>4.666666666666659</v>
      </c>
      <c r="L11" s="276">
        <f>[4]Brewhouse!$P360</f>
        <v>60</v>
      </c>
      <c r="M11" s="397">
        <f>[4]Brewhouse!$U360-[4]Brewhouse!$T360</f>
        <v>0.1166666666666667</v>
      </c>
      <c r="N11" s="370">
        <f>[4]Brewhouse!$Z360</f>
        <v>0.26597222222222228</v>
      </c>
      <c r="O11" s="420" t="str">
        <f>[4]Brewhouse!$AX360</f>
        <v>R. Sookram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>
      <c r="B12" s="29" t="s">
        <v>6</v>
      </c>
      <c r="C12" s="366" t="str">
        <f>[4]Brewhouse!$A361</f>
        <v>CA317</v>
      </c>
      <c r="D12" s="279">
        <f>[4]Brewhouse!$AF361</f>
        <v>51.1</v>
      </c>
      <c r="E12" s="279">
        <f>[4]Brewhouse!$AI361</f>
        <v>50.1</v>
      </c>
      <c r="F12" s="278">
        <f>[4]Brewhouse!$V361</f>
        <v>56</v>
      </c>
      <c r="G12" s="279">
        <f>[4]Brewhouse!AG361</f>
        <v>11.7</v>
      </c>
      <c r="H12" s="396">
        <v>11.7</v>
      </c>
      <c r="I12" s="368">
        <f>[4]Brewhouse!$AU361</f>
        <v>96.325564324938568</v>
      </c>
      <c r="J12" s="368">
        <f>[4]Brewhouse!$AV361</f>
        <v>97.890241101371387</v>
      </c>
      <c r="K12" s="281">
        <f>[4]Brewhouse!$Q361</f>
        <v>6.7037037037036988</v>
      </c>
      <c r="L12" s="276">
        <f>[4]Brewhouse!$P361</f>
        <v>60</v>
      </c>
      <c r="M12" s="397">
        <f>[4]Brewhouse!$U361-[4]Brewhouse!$T361</f>
        <v>0.11319444444444449</v>
      </c>
      <c r="N12" s="370">
        <f>[4]Brewhouse!$Z361</f>
        <v>0.26805555555555555</v>
      </c>
      <c r="O12" s="420" t="str">
        <f>[4]Brewhouse!$AX361</f>
        <v>R. Sookram</v>
      </c>
      <c r="P12" s="418"/>
      <c r="R12" s="277" t="str">
        <f t="shared" si="0"/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>
      <c r="B13" s="29" t="s">
        <v>6</v>
      </c>
      <c r="C13" s="366" t="str">
        <f>[4]Brewhouse!$A362</f>
        <v>CA318</v>
      </c>
      <c r="D13" s="279">
        <f>[4]Brewhouse!$AF362</f>
        <v>52.5</v>
      </c>
      <c r="E13" s="279">
        <f>[4]Brewhouse!$AI362</f>
        <v>50.7</v>
      </c>
      <c r="F13" s="278">
        <f>[4]Brewhouse!$V362</f>
        <v>73</v>
      </c>
      <c r="G13" s="279">
        <f>[4]Brewhouse!AG362</f>
        <v>11.7</v>
      </c>
      <c r="H13" s="396">
        <v>12</v>
      </c>
      <c r="I13" s="368">
        <f>[4]Brewhouse!$AU362</f>
        <v>97.842907420327492</v>
      </c>
      <c r="J13" s="368">
        <f>[4]Brewhouse!$AV362</f>
        <v>99.431917312393111</v>
      </c>
      <c r="K13" s="281">
        <f>[4]Brewhouse!$Q362</f>
        <v>4.1111111111111089</v>
      </c>
      <c r="L13" s="276">
        <f>[4]Brewhouse!$P362</f>
        <v>60</v>
      </c>
      <c r="M13" s="397">
        <f>[4]Brewhouse!$U362-[4]Brewhouse!$T362</f>
        <v>0.12708333333333333</v>
      </c>
      <c r="N13" s="370">
        <f>[4]Brewhouse!$Z362</f>
        <v>0.28124999999999994</v>
      </c>
      <c r="O13" s="420" t="str">
        <f>[4]Brewhouse!$AX362</f>
        <v>K. Benjamin</v>
      </c>
      <c r="P13" s="418" t="s">
        <v>193</v>
      </c>
      <c r="R13" s="277" t="str">
        <f t="shared" si="0"/>
        <v>CARIB</v>
      </c>
      <c r="S13" s="472">
        <f t="shared" si="1"/>
        <v>11.6</v>
      </c>
      <c r="T13" s="472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2">
        <f t="shared" si="8"/>
        <v>60</v>
      </c>
    </row>
    <row r="14" spans="2:29" ht="15">
      <c r="B14" s="29" t="s">
        <v>6</v>
      </c>
      <c r="C14" s="366" t="str">
        <f>[4]Brewhouse!$A363</f>
        <v>CA319</v>
      </c>
      <c r="D14" s="279">
        <f>[4]Brewhouse!$AF363</f>
        <v>52.3</v>
      </c>
      <c r="E14" s="279">
        <f>[4]Brewhouse!$AI363</f>
        <v>51.3</v>
      </c>
      <c r="F14" s="278">
        <f>[4]Brewhouse!$V363</f>
        <v>79</v>
      </c>
      <c r="G14" s="279">
        <f>[4]Brewhouse!AG363</f>
        <v>11.6</v>
      </c>
      <c r="H14" s="396">
        <v>11.6</v>
      </c>
      <c r="I14" s="368">
        <f>[4]Brewhouse!$AU363</f>
        <v>98.232555924411713</v>
      </c>
      <c r="J14" s="368">
        <f>[4]Brewhouse!$AV363</f>
        <v>99.82778825064328</v>
      </c>
      <c r="K14" s="281">
        <f>[4]Brewhouse!$Q363</f>
        <v>4.4814814814814845</v>
      </c>
      <c r="L14" s="276">
        <f>[4]Brewhouse!$P363</f>
        <v>61</v>
      </c>
      <c r="M14" s="397">
        <f>[4]Brewhouse!$U363-[4]Brewhouse!$T363</f>
        <v>0.12916666666666665</v>
      </c>
      <c r="N14" s="370">
        <f>[4]Brewhouse!$Z363</f>
        <v>0.27569444444444441</v>
      </c>
      <c r="O14" s="420" t="str">
        <f>[4]Brewhouse!$AX363</f>
        <v>K. Benjamin</v>
      </c>
      <c r="P14" s="418" t="s">
        <v>193</v>
      </c>
      <c r="R14" s="277" t="str">
        <f t="shared" si="0"/>
        <v>CARIB</v>
      </c>
      <c r="S14" s="472">
        <f t="shared" si="1"/>
        <v>11.6</v>
      </c>
      <c r="T14" s="472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2">
        <f t="shared" si="8"/>
        <v>60</v>
      </c>
    </row>
    <row r="15" spans="2:29" ht="15">
      <c r="B15" s="29" t="s">
        <v>6</v>
      </c>
      <c r="C15" s="366" t="str">
        <f>[4]Brewhouse!$A364</f>
        <v>CA320</v>
      </c>
      <c r="D15" s="279">
        <f>[4]Brewhouse!$AF364</f>
        <v>52.4</v>
      </c>
      <c r="E15" s="279">
        <f>[4]Brewhouse!$AI364</f>
        <v>51.4</v>
      </c>
      <c r="F15" s="278">
        <f>[4]Brewhouse!$V364</f>
        <v>81</v>
      </c>
      <c r="G15" s="279">
        <f>[4]Brewhouse!AG364</f>
        <v>11.7</v>
      </c>
      <c r="H15" s="396">
        <v>11.6</v>
      </c>
      <c r="I15" s="368">
        <f>[4]Brewhouse!$AU364</f>
        <v>99.070568405483513</v>
      </c>
      <c r="J15" s="368">
        <f>[4]Brewhouse!$AV364</f>
        <v>100.67962228505903</v>
      </c>
      <c r="K15" s="281">
        <f>[4]Brewhouse!$Q364</f>
        <v>6.0254083484573506</v>
      </c>
      <c r="L15" s="276">
        <f>[4]Brewhouse!$P364</f>
        <v>61</v>
      </c>
      <c r="M15" s="397">
        <f>[4]Brewhouse!$U364-[4]Brewhouse!$T364</f>
        <v>0.13541666666666663</v>
      </c>
      <c r="N15" s="370">
        <f>[4]Brewhouse!$Z364</f>
        <v>0.28125</v>
      </c>
      <c r="O15" s="420" t="str">
        <f>[4]Brewhouse!$AX364</f>
        <v>K. Benjamin</v>
      </c>
      <c r="P15" s="418" t="s">
        <v>193</v>
      </c>
      <c r="R15" s="277" t="str">
        <f t="shared" si="0"/>
        <v>CARIB</v>
      </c>
      <c r="S15" s="472">
        <f t="shared" si="1"/>
        <v>11.6</v>
      </c>
      <c r="T15" s="472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2">
        <f t="shared" si="8"/>
        <v>60</v>
      </c>
    </row>
    <row r="16" spans="2:29" ht="15">
      <c r="B16" s="29" t="s">
        <v>6</v>
      </c>
      <c r="C16" s="366" t="str">
        <f>[4]Brewhouse!$A365</f>
        <v>CA321</v>
      </c>
      <c r="D16" s="279">
        <f>[4]Brewhouse!$AF365</f>
        <v>52.2</v>
      </c>
      <c r="E16" s="279">
        <f>[4]Brewhouse!$AI365</f>
        <v>50.4</v>
      </c>
      <c r="F16" s="278">
        <f>[4]Brewhouse!$V365</f>
        <v>76</v>
      </c>
      <c r="G16" s="279">
        <f>[4]Brewhouse!AG365</f>
        <v>11.7</v>
      </c>
      <c r="H16" s="396">
        <v>11.8</v>
      </c>
      <c r="I16" s="368">
        <f>[4]Brewhouse!$AU365</f>
        <v>97.022595413926055</v>
      </c>
      <c r="J16" s="368">
        <f>[4]Brewhouse!$AV365</f>
        <v>98.598490958983291</v>
      </c>
      <c r="K16" s="281">
        <f>[4]Brewhouse!$Q365</f>
        <v>4.8428835489833597</v>
      </c>
      <c r="L16" s="276">
        <f>[4]Brewhouse!$P365</f>
        <v>60</v>
      </c>
      <c r="M16" s="397">
        <f>[4]Brewhouse!$U365-[4]Brewhouse!$T365</f>
        <v>0.13402777777777786</v>
      </c>
      <c r="N16" s="370">
        <f>[4]Brewhouse!$Z365</f>
        <v>0.27569444444444446</v>
      </c>
      <c r="O16" s="420" t="str">
        <f>[4]Brewhouse!$AX365</f>
        <v>R. Regis</v>
      </c>
      <c r="P16" s="418" t="s">
        <v>193</v>
      </c>
      <c r="R16" s="277" t="str">
        <f t="shared" si="0"/>
        <v>CARIB</v>
      </c>
      <c r="S16" s="472">
        <f t="shared" si="1"/>
        <v>11.6</v>
      </c>
      <c r="T16" s="472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2">
        <f t="shared" si="8"/>
        <v>60</v>
      </c>
    </row>
    <row r="17" spans="1:26" ht="15">
      <c r="B17" s="29" t="s">
        <v>6</v>
      </c>
      <c r="C17" s="366" t="str">
        <f>[4]Brewhouse!$A366</f>
        <v>CA322</v>
      </c>
      <c r="D17" s="279">
        <f>[4]Brewhouse!$AF366</f>
        <v>52.7</v>
      </c>
      <c r="E17" s="279">
        <f>[4]Brewhouse!$AI366</f>
        <v>50.9</v>
      </c>
      <c r="F17" s="278">
        <f>[4]Brewhouse!$V366</f>
        <v>98</v>
      </c>
      <c r="G17" s="279">
        <f>[4]Brewhouse!AG366</f>
        <v>11.7</v>
      </c>
      <c r="H17" s="396">
        <v>11.7</v>
      </c>
      <c r="I17" s="368">
        <f>[4]Brewhouse!$AU366</f>
        <v>97.985121162080063</v>
      </c>
      <c r="J17" s="368">
        <f>[4]Brewhouse!$AV366</f>
        <v>99.576650591512873</v>
      </c>
      <c r="K17" s="281">
        <f>[4]Brewhouse!$Q366</f>
        <v>3.9186691312384427</v>
      </c>
      <c r="L17" s="276">
        <f>[4]Brewhouse!$P366</f>
        <v>60</v>
      </c>
      <c r="M17" s="397">
        <f>[4]Brewhouse!$U366-[4]Brewhouse!$T366</f>
        <v>0.13888888888888884</v>
      </c>
      <c r="N17" s="370">
        <f>[4]Brewhouse!$Z366</f>
        <v>0.28402777777777777</v>
      </c>
      <c r="O17" s="420" t="str">
        <f>[4]Brewhouse!$AX366</f>
        <v>R. Regis</v>
      </c>
      <c r="P17" s="418" t="s">
        <v>193</v>
      </c>
      <c r="R17" s="277" t="str">
        <f t="shared" si="0"/>
        <v>CARIB</v>
      </c>
      <c r="S17" s="472">
        <f t="shared" si="1"/>
        <v>11.6</v>
      </c>
      <c r="T17" s="472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2">
        <f t="shared" si="8"/>
        <v>60</v>
      </c>
    </row>
    <row r="18" spans="1:26" ht="15">
      <c r="B18" s="29" t="s">
        <v>6</v>
      </c>
      <c r="C18" s="366" t="str">
        <f>[4]Brewhouse!$A367</f>
        <v>CA323</v>
      </c>
      <c r="D18" s="279">
        <f>[4]Brewhouse!$AF367</f>
        <v>52.4</v>
      </c>
      <c r="E18" s="279">
        <f>[4]Brewhouse!$AI367</f>
        <v>49.2</v>
      </c>
      <c r="F18" s="278">
        <f>[4]Brewhouse!$V367</f>
        <v>74</v>
      </c>
      <c r="G18" s="279">
        <f>[4]Brewhouse!AG367</f>
        <v>11.9</v>
      </c>
      <c r="H18" s="396">
        <v>11.9</v>
      </c>
      <c r="I18" s="368">
        <f>[4]Brewhouse!$AU367</f>
        <v>96.656126592782627</v>
      </c>
      <c r="J18" s="368">
        <f>[4]Brewhouse!$AV367</f>
        <v>98.22586266598492</v>
      </c>
      <c r="K18" s="281">
        <f>[4]Brewhouse!$Q367</f>
        <v>4.2962962962962967</v>
      </c>
      <c r="L18" s="276">
        <f>[4]Brewhouse!$P367</f>
        <v>58</v>
      </c>
      <c r="M18" s="397">
        <f>[4]Brewhouse!$U367-[4]Brewhouse!$T367</f>
        <v>0.14027777777777772</v>
      </c>
      <c r="N18" s="370">
        <f>[4]Brewhouse!$Z367</f>
        <v>0.31041666666666667</v>
      </c>
      <c r="O18" s="420" t="str">
        <f>[4]Brewhouse!$AX367</f>
        <v>R. Regis</v>
      </c>
      <c r="P18" s="418" t="s">
        <v>194</v>
      </c>
      <c r="R18" s="277" t="str">
        <f t="shared" si="0"/>
        <v>CARIB</v>
      </c>
      <c r="S18" s="472">
        <f t="shared" si="1"/>
        <v>11.6</v>
      </c>
      <c r="T18" s="472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2">
        <f t="shared" si="8"/>
        <v>60</v>
      </c>
    </row>
    <row r="19" spans="1:26" ht="15">
      <c r="B19" s="29"/>
      <c r="C19" s="366"/>
      <c r="D19" s="279"/>
      <c r="E19" s="279"/>
      <c r="F19" s="278"/>
      <c r="G19" s="279"/>
      <c r="H19" s="482"/>
      <c r="I19" s="368"/>
      <c r="J19" s="368"/>
      <c r="K19" s="281"/>
      <c r="L19" s="276"/>
      <c r="M19" s="397"/>
      <c r="N19" s="370"/>
      <c r="O19" s="420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5" hidden="1">
      <c r="B20" s="29"/>
      <c r="C20" s="366"/>
      <c r="D20" s="279"/>
      <c r="E20" s="279"/>
      <c r="F20" s="278"/>
      <c r="G20" s="279"/>
      <c r="H20" s="482"/>
      <c r="I20" s="368"/>
      <c r="J20" s="368"/>
      <c r="K20" s="281"/>
      <c r="L20" s="276"/>
      <c r="M20" s="397"/>
      <c r="N20" s="370"/>
      <c r="O20" s="420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5" hidden="1">
      <c r="B21" s="29"/>
      <c r="C21" s="366"/>
      <c r="D21" s="279"/>
      <c r="E21" s="279"/>
      <c r="F21" s="278"/>
      <c r="G21" s="279"/>
      <c r="H21" s="482"/>
      <c r="I21" s="368"/>
      <c r="J21" s="368"/>
      <c r="K21" s="281"/>
      <c r="L21" s="276"/>
      <c r="M21" s="397"/>
      <c r="N21" s="370"/>
      <c r="O21" s="420"/>
      <c r="P21" s="418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5" hidden="1">
      <c r="B22" s="34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0"/>
      <c r="P22" s="418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5" hidden="1">
      <c r="B23" s="34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420"/>
      <c r="P23" s="418"/>
      <c r="R23" s="277">
        <f t="shared" si="0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5" hidden="1">
      <c r="B24" s="34"/>
      <c r="C24" s="366"/>
      <c r="D24" s="279"/>
      <c r="E24" s="279"/>
      <c r="F24" s="278"/>
      <c r="G24" s="279"/>
      <c r="H24" s="396"/>
      <c r="I24" s="484"/>
      <c r="J24" s="484"/>
      <c r="K24" s="485"/>
      <c r="L24" s="276"/>
      <c r="M24" s="374"/>
      <c r="N24" s="370"/>
      <c r="O24" s="420"/>
      <c r="P24" s="418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8" hidden="1" customHeight="1">
      <c r="B25" s="29"/>
      <c r="C25" s="366"/>
      <c r="D25" s="279"/>
      <c r="E25" s="279"/>
      <c r="F25" s="278"/>
      <c r="G25" s="279"/>
      <c r="H25" s="482"/>
      <c r="I25" s="368"/>
      <c r="J25" s="368"/>
      <c r="K25" s="281"/>
      <c r="L25" s="276"/>
      <c r="M25" s="374"/>
      <c r="N25" s="370"/>
      <c r="O25" s="371"/>
      <c r="P25" s="418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6.5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18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5.75" customHeight="1" thickBot="1">
      <c r="B27" s="358"/>
      <c r="C27" s="358"/>
      <c r="D27" s="358"/>
      <c r="E27" s="358"/>
      <c r="F27" s="294"/>
      <c r="G27" s="294"/>
      <c r="H27" s="348"/>
      <c r="I27" s="533"/>
      <c r="J27" s="533"/>
      <c r="K27" s="533"/>
      <c r="L27" s="533"/>
      <c r="M27" s="533"/>
      <c r="N27" s="533"/>
      <c r="O27" s="1"/>
      <c r="P27" s="12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5.75" customHeight="1" thickBot="1">
      <c r="B28" s="388" t="s">
        <v>162</v>
      </c>
      <c r="C28" s="388"/>
      <c r="D28" s="534" t="s">
        <v>35</v>
      </c>
      <c r="E28" s="535"/>
      <c r="F28" s="294"/>
      <c r="G28" s="294"/>
      <c r="H28" s="348"/>
      <c r="I28" s="24" t="s">
        <v>17</v>
      </c>
      <c r="J28" s="25"/>
      <c r="K28" s="26" t="s">
        <v>138</v>
      </c>
      <c r="L28" s="25" t="s">
        <v>37</v>
      </c>
      <c r="M28" s="25" t="s">
        <v>38</v>
      </c>
      <c r="N28" s="27" t="s">
        <v>39</v>
      </c>
      <c r="O28" s="294"/>
      <c r="P28" s="12"/>
      <c r="R28" s="277" t="str">
        <f t="shared" si="0"/>
        <v xml:space="preserve">BRAND 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5" customHeight="1">
      <c r="A29" s="28"/>
      <c r="B29" s="519"/>
      <c r="C29" s="362"/>
      <c r="D29" s="537"/>
      <c r="E29" s="538"/>
      <c r="F29" s="294"/>
      <c r="G29" s="294"/>
      <c r="H29" s="348"/>
      <c r="I29" s="29" t="s">
        <v>6</v>
      </c>
      <c r="J29" s="323">
        <f>AVERAGE(I10:I18)</f>
        <v>97.727137931129249</v>
      </c>
      <c r="K29" s="284">
        <f>COUNTA([4]Brewhouse!$B$292:$B$367)</f>
        <v>76</v>
      </c>
      <c r="L29" s="305">
        <f>AVERAGE([4]Brewhouse!$AU$292:$AU$367)</f>
        <v>98.425282696276795</v>
      </c>
      <c r="M29" s="305">
        <f>AVERAGE([4]Brewhouse!$AU$42:$AU$123,[4]Brewhouse!$AU$125:$AU$188,[4]Brewhouse!$AU$198:$AU$290,[4]Brewhouse!$AU$292:$AU$367)</f>
        <v>98.007112063935338</v>
      </c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5" customHeight="1">
      <c r="A30" s="28"/>
      <c r="B30" s="520"/>
      <c r="C30" s="362"/>
      <c r="D30" s="539"/>
      <c r="E30" s="525"/>
      <c r="F30" s="294"/>
      <c r="G30" s="294"/>
      <c r="H30" s="348"/>
      <c r="I30" s="33" t="s">
        <v>9</v>
      </c>
      <c r="J30" s="280"/>
      <c r="K30" s="284">
        <f>COUNTA([3]Brewhouse!$A$179:$A$212)</f>
        <v>34</v>
      </c>
      <c r="L30" s="302">
        <f>AVERAGE([3]Brewhouse!$AS$179:$AS$212)</f>
        <v>98.650555109459972</v>
      </c>
      <c r="M30" s="302">
        <f>AVERAGE([3]Brewhouse!$AS$52:$AS$81,[3]Brewhouse!$AS$83:$AS$124,[3]Brewhouse!$AS$134:$AS$177,[3]Brewhouse!$AS$22:$AS$179)</f>
        <v>97.946757744825319</v>
      </c>
      <c r="N30" s="30">
        <v>98</v>
      </c>
      <c r="O30" s="11"/>
      <c r="P30" s="31"/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4.65" customHeight="1">
      <c r="A31" s="28"/>
      <c r="B31" s="520"/>
      <c r="C31" s="362"/>
      <c r="D31" s="529"/>
      <c r="E31" s="530"/>
      <c r="F31" s="294"/>
      <c r="G31" s="294"/>
      <c r="H31" s="348"/>
      <c r="I31" s="34" t="s">
        <v>12</v>
      </c>
      <c r="J31" s="280"/>
      <c r="K31" s="284">
        <f>COUNTA([5]Brewhouse!$A$43:$A$50)</f>
        <v>8</v>
      </c>
      <c r="L31" s="302">
        <f>AVERAGE([5]Brewhouse!$AU$43:$AU$50)</f>
        <v>96.223405821152667</v>
      </c>
      <c r="M31" s="302">
        <f>AVERAGE([5]Brewhouse!$AU$16:$AU$23,[5]Brewhouse!$AU$25:$AU$32,[5]Brewhouse!$AU$34:$AU$41,[5]Brewhouse!$AU$43:$AU$50)</f>
        <v>96.904441824349703</v>
      </c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4.65" customHeight="1">
      <c r="A32" s="28"/>
      <c r="B32" s="520"/>
      <c r="C32" s="362"/>
      <c r="D32" s="524"/>
      <c r="E32" s="525"/>
      <c r="F32" s="294"/>
      <c r="G32" s="294"/>
      <c r="H32" s="348"/>
      <c r="I32" s="22" t="s">
        <v>33</v>
      </c>
      <c r="J32" s="280"/>
      <c r="K32" s="284"/>
      <c r="L32" s="302"/>
      <c r="M32" s="302">
        <f>AVERAGE([6]Brewhouse!$AV$23:$AV$34,[6]Brewhouse!$AV$36,[6]Brewhouse!$AV$38:$AV$52)</f>
        <v>97.639832259312456</v>
      </c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56" ht="14.65" customHeight="1">
      <c r="A33" s="28"/>
      <c r="B33" s="520"/>
      <c r="C33" s="362"/>
      <c r="D33" s="529"/>
      <c r="E33" s="530"/>
      <c r="F33" s="417"/>
      <c r="G33" s="294"/>
      <c r="H33" s="348"/>
      <c r="I33" s="35" t="s">
        <v>29</v>
      </c>
      <c r="J33" s="280"/>
      <c r="K33" s="284"/>
      <c r="L33" s="302"/>
      <c r="M33" s="302"/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56" ht="14.65" customHeight="1">
      <c r="A34" s="28"/>
      <c r="B34" s="520"/>
      <c r="C34" s="362"/>
      <c r="D34" s="524"/>
      <c r="E34" s="525"/>
      <c r="F34" s="417"/>
      <c r="G34" s="294"/>
      <c r="H34" s="348"/>
      <c r="I34" s="36" t="s">
        <v>15</v>
      </c>
      <c r="J34" s="323"/>
      <c r="K34" s="284"/>
      <c r="L34" s="302"/>
      <c r="M34" s="302">
        <f>AVERAGE([7]Brewhouse!$AT$4:$AT$11)</f>
        <v>92.826224508052405</v>
      </c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56" ht="14.65" customHeight="1">
      <c r="A35" s="28"/>
      <c r="B35" s="520"/>
      <c r="C35" s="362"/>
      <c r="D35" s="529"/>
      <c r="E35" s="530"/>
      <c r="F35" s="417"/>
      <c r="G35" s="294"/>
      <c r="H35" s="348"/>
      <c r="I35" s="37" t="s">
        <v>16</v>
      </c>
      <c r="J35" s="323"/>
      <c r="K35" s="284">
        <f>COUNTA([8]Brewhouse!$A$44:$A$51)</f>
        <v>8</v>
      </c>
      <c r="L35" s="302">
        <f>AVERAGE([8]Brewhouse!$AY$44:$AY$51)</f>
        <v>98.126000151084682</v>
      </c>
      <c r="M35" s="302">
        <f>AVERAGE([8]Brewhouse!$AY$5:$AY$14,[8]Brewhouse!$AY$16:$AY$23,[8]Brewhouse!$AY$42,[8]Brewhouse!$AY$44:$AY$51)</f>
        <v>97.608428475776392</v>
      </c>
      <c r="N35" s="30">
        <v>98</v>
      </c>
      <c r="O35" s="11"/>
      <c r="P35" s="31" t="s">
        <v>41</v>
      </c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</row>
    <row r="36" spans="1:56" ht="14.65" customHeight="1">
      <c r="A36" s="28"/>
      <c r="B36" s="520"/>
      <c r="C36" s="362"/>
      <c r="D36" s="524"/>
      <c r="E36" s="525"/>
      <c r="F36" s="294"/>
      <c r="G36" s="294"/>
      <c r="H36" s="348"/>
      <c r="I36" s="411" t="s">
        <v>158</v>
      </c>
      <c r="J36" s="326"/>
      <c r="K36" s="284"/>
      <c r="L36" s="305"/>
      <c r="M36" s="305"/>
      <c r="N36" s="3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</row>
    <row r="37" spans="1:56" ht="14.65" customHeight="1">
      <c r="A37" s="28"/>
      <c r="B37" s="520"/>
      <c r="C37" s="349"/>
      <c r="D37" s="529"/>
      <c r="E37" s="530"/>
      <c r="F37" s="294"/>
      <c r="G37" s="294"/>
      <c r="H37" s="348"/>
      <c r="I37" s="410" t="s">
        <v>157</v>
      </c>
      <c r="J37" s="326"/>
      <c r="K37" s="284"/>
      <c r="L37" s="305"/>
      <c r="M37" s="305"/>
      <c r="N37" s="30">
        <v>98</v>
      </c>
      <c r="O37" s="11"/>
      <c r="P37" s="31"/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  <c r="AA37" s="472"/>
    </row>
    <row r="38" spans="1:56" ht="15" customHeight="1" thickBot="1">
      <c r="A38" s="28"/>
      <c r="B38" s="520"/>
      <c r="C38" s="349"/>
      <c r="D38" s="524"/>
      <c r="E38" s="525"/>
      <c r="F38" s="294"/>
      <c r="G38" s="294"/>
      <c r="H38" s="348"/>
      <c r="I38" s="406" t="s">
        <v>156</v>
      </c>
      <c r="J38" s="327"/>
      <c r="K38" s="407"/>
      <c r="L38" s="408"/>
      <c r="M38" s="408"/>
      <c r="N38" s="409">
        <v>98</v>
      </c>
      <c r="O38" s="11"/>
      <c r="P38" s="31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  <c r="AA38" s="472"/>
    </row>
    <row r="39" spans="1:56" ht="15" customHeight="1" thickBot="1">
      <c r="A39" s="28"/>
      <c r="B39" s="520"/>
      <c r="C39" s="349"/>
      <c r="D39" s="537"/>
      <c r="E39" s="538"/>
      <c r="F39" s="294"/>
      <c r="G39" s="294"/>
      <c r="H39" s="348"/>
      <c r="I39" s="1"/>
      <c r="J39" s="39"/>
      <c r="K39" s="404">
        <f>SUM(K29:K38)</f>
        <v>126</v>
      </c>
      <c r="L39" s="405">
        <f>((L29*K29)+(L30*K30)+(L31*K31)+(L32*K32)+(L33*K33)+(K36*L36)+(L34*K34)+(L35*K35)+(L38*K38))/(K39)</f>
        <v>98.327266717591868</v>
      </c>
      <c r="M39" s="405">
        <f>AVERAGE('[9]Jan30th-31st'!$L$42,L39)</f>
        <v>98.077654226716675</v>
      </c>
      <c r="N39" s="40">
        <v>98</v>
      </c>
      <c r="O39" s="11"/>
      <c r="P39" s="31"/>
      <c r="R39" s="277">
        <f t="shared" si="0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  <c r="AA39" s="472"/>
    </row>
    <row r="40" spans="1:56" ht="15.75" thickBot="1">
      <c r="B40" s="536"/>
      <c r="C40" s="350"/>
      <c r="D40" s="539"/>
      <c r="E40" s="525"/>
      <c r="F40" s="294"/>
      <c r="G40" s="42"/>
      <c r="H40" s="41"/>
      <c r="I40" s="42"/>
      <c r="J40" s="42"/>
      <c r="K40" s="351"/>
      <c r="L40" s="348"/>
      <c r="M40" s="348"/>
      <c r="N40" s="11"/>
      <c r="O40" s="294"/>
      <c r="P40" s="12"/>
      <c r="R40" s="277">
        <f t="shared" si="0"/>
        <v>0</v>
      </c>
      <c r="S40" s="472" t="e">
        <f t="shared" si="1"/>
        <v>#N/A</v>
      </c>
      <c r="T40" s="472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2" t="e">
        <f t="shared" si="8"/>
        <v>#N/A</v>
      </c>
      <c r="AA40" s="472"/>
    </row>
    <row r="41" spans="1:56" ht="15.75" thickBot="1">
      <c r="B41" s="519"/>
      <c r="C41" s="362"/>
      <c r="D41" s="522"/>
      <c r="E41" s="523"/>
      <c r="F41" s="294"/>
      <c r="G41" s="42"/>
      <c r="H41" s="41"/>
      <c r="I41" s="42"/>
      <c r="J41" s="526" t="s">
        <v>129</v>
      </c>
      <c r="K41" s="526"/>
      <c r="L41" s="294"/>
      <c r="M41" s="294"/>
      <c r="N41" s="294"/>
      <c r="O41" s="294"/>
      <c r="P41" s="12"/>
    </row>
    <row r="42" spans="1:56" ht="15.75" thickBot="1">
      <c r="B42" s="520"/>
      <c r="C42" s="362"/>
      <c r="D42" s="524"/>
      <c r="E42" s="525"/>
      <c r="F42" s="294"/>
      <c r="G42" s="42"/>
      <c r="H42" s="42"/>
      <c r="I42" s="42"/>
      <c r="J42" s="292" t="s">
        <v>17</v>
      </c>
      <c r="K42" s="293" t="s">
        <v>172</v>
      </c>
      <c r="L42" s="527" t="s">
        <v>136</v>
      </c>
      <c r="M42" s="527"/>
      <c r="N42" s="528"/>
      <c r="O42" s="294"/>
      <c r="P42" s="12"/>
    </row>
    <row r="43" spans="1:56" ht="15" customHeight="1" thickBot="1">
      <c r="B43" s="520"/>
      <c r="C43" s="349"/>
      <c r="D43" s="529"/>
      <c r="E43" s="530"/>
      <c r="F43" s="294"/>
      <c r="G43" s="42"/>
      <c r="H43" s="42"/>
      <c r="I43" s="42"/>
      <c r="J43" s="287" t="s">
        <v>6</v>
      </c>
      <c r="K43" s="324">
        <v>9</v>
      </c>
      <c r="L43" s="473" t="s">
        <v>37</v>
      </c>
      <c r="M43" s="474" t="s">
        <v>38</v>
      </c>
      <c r="N43" s="474" t="s">
        <v>84</v>
      </c>
      <c r="O43" s="294"/>
      <c r="P43" s="12"/>
    </row>
    <row r="44" spans="1:56" ht="15.75" customHeight="1" thickBot="1">
      <c r="B44" s="520"/>
      <c r="C44" s="349"/>
      <c r="D44" s="524"/>
      <c r="E44" s="525"/>
      <c r="F44" s="294"/>
      <c r="G44" s="42"/>
      <c r="H44" s="42"/>
      <c r="I44" s="42"/>
      <c r="J44" s="345" t="s">
        <v>9</v>
      </c>
      <c r="K44" s="324"/>
      <c r="L44" s="344">
        <f>AVERAGE('Apr 1st'!K50,K53,'Apr 2nd'!K48,'Apr 7th'!K50,'Apr 8th'!K50,'Apr 9th '!K58,'Apr 10th'!K55,'Apr 13th'!K66,'Apr 14th'!K60,'Apr 15th'!K51,'Apr 16th '!K53,'Apr 20th '!K59,'Apr 21st'!K54,'Apr 23rd'!K43,'Apr 24th-26th'!I73,'Apr 24th-26th'!J73,'Apr 24th-26th'!K73)</f>
        <v>6.882352941176471</v>
      </c>
      <c r="M44" s="325">
        <f>AVERAGE('[9]Jan30th-31st'!$L$47,L44,'[10]Feb 26th '!$L$39,'[11]Mar 31st'!$L$47)</f>
        <v>6.5173273657289004</v>
      </c>
      <c r="N44" s="416">
        <v>9.1999999999999993</v>
      </c>
      <c r="O44" s="294"/>
      <c r="P44" s="12"/>
    </row>
    <row r="45" spans="1:56" ht="15" customHeight="1">
      <c r="B45" s="520"/>
      <c r="C45" s="349"/>
      <c r="D45" s="529"/>
      <c r="E45" s="530"/>
      <c r="F45" s="294"/>
      <c r="G45" s="42"/>
      <c r="H45" s="42"/>
      <c r="I45" s="42"/>
      <c r="J45" s="288" t="s">
        <v>40</v>
      </c>
      <c r="K45" s="324"/>
      <c r="L45" s="294"/>
      <c r="M45" s="294"/>
      <c r="N45" s="294"/>
      <c r="O45" s="294"/>
      <c r="P45" s="12"/>
    </row>
    <row r="46" spans="1:56" ht="15" customHeight="1">
      <c r="B46" s="520"/>
      <c r="C46" s="349"/>
      <c r="D46" s="524"/>
      <c r="E46" s="525"/>
      <c r="F46" s="294"/>
      <c r="G46" s="42"/>
      <c r="H46" s="42"/>
      <c r="I46" s="42"/>
      <c r="J46" s="289" t="s">
        <v>33</v>
      </c>
      <c r="K46" s="324"/>
      <c r="L46" s="294"/>
      <c r="M46" s="294"/>
      <c r="N46" s="294"/>
      <c r="O46" s="294"/>
      <c r="P46" s="12"/>
    </row>
    <row r="47" spans="1:56" ht="15">
      <c r="B47" s="520"/>
      <c r="C47" s="349"/>
      <c r="D47" s="529"/>
      <c r="E47" s="530"/>
      <c r="F47" s="294"/>
      <c r="G47" s="42"/>
      <c r="H47" s="42"/>
      <c r="I47" s="42"/>
      <c r="J47" s="290" t="s">
        <v>16</v>
      </c>
      <c r="K47" s="324"/>
      <c r="L47" s="294"/>
      <c r="M47" s="294"/>
      <c r="N47" s="294"/>
      <c r="O47" s="294"/>
      <c r="P47" s="12"/>
      <c r="BC47" s="44"/>
      <c r="BD47" s="44"/>
    </row>
    <row r="48" spans="1:56" ht="15">
      <c r="B48" s="520"/>
      <c r="C48" s="349"/>
      <c r="D48" s="524"/>
      <c r="E48" s="525"/>
      <c r="F48" s="294"/>
      <c r="G48" s="42"/>
      <c r="H48" s="42"/>
      <c r="I48" s="42"/>
      <c r="J48" s="291" t="s">
        <v>15</v>
      </c>
      <c r="K48" s="324"/>
      <c r="L48" s="294"/>
      <c r="M48" s="294"/>
      <c r="N48" s="294"/>
      <c r="O48" s="294"/>
      <c r="P48" s="12"/>
      <c r="BC48" s="44"/>
      <c r="BD48" s="44"/>
    </row>
    <row r="49" spans="1:57" ht="15">
      <c r="B49" s="520"/>
      <c r="C49" s="349"/>
      <c r="D49" s="529"/>
      <c r="E49" s="530"/>
      <c r="F49" s="294"/>
      <c r="G49" s="42"/>
      <c r="H49" s="42"/>
      <c r="I49" s="42"/>
      <c r="J49" s="291" t="s">
        <v>149</v>
      </c>
      <c r="K49" s="324"/>
      <c r="L49" s="294"/>
      <c r="M49" s="294"/>
      <c r="N49" s="294"/>
      <c r="O49" s="294"/>
      <c r="P49" s="12"/>
      <c r="BC49" s="44"/>
      <c r="BD49" s="44"/>
    </row>
    <row r="50" spans="1:57" ht="15.75" thickBot="1">
      <c r="B50" s="521"/>
      <c r="C50" s="350"/>
      <c r="D50" s="531"/>
      <c r="E50" s="532"/>
      <c r="F50" s="294" t="s">
        <v>166</v>
      </c>
      <c r="G50" s="42"/>
      <c r="H50" s="42"/>
      <c r="I50" s="42"/>
      <c r="J50" s="291" t="s">
        <v>148</v>
      </c>
      <c r="K50" s="324"/>
      <c r="L50" s="294"/>
      <c r="M50" s="294"/>
      <c r="N50" s="294" t="s">
        <v>41</v>
      </c>
      <c r="O50" s="294"/>
      <c r="P50" s="12"/>
      <c r="BC50" s="44"/>
      <c r="BD50" s="44"/>
    </row>
    <row r="51" spans="1:57" ht="17.649999999999999" customHeight="1" thickBot="1">
      <c r="B51" s="312" t="s">
        <v>139</v>
      </c>
      <c r="C51" s="313"/>
      <c r="D51" s="512"/>
      <c r="E51" s="513"/>
      <c r="F51" s="294"/>
      <c r="J51" s="295" t="s">
        <v>134</v>
      </c>
      <c r="K51" s="324"/>
      <c r="L51" s="294"/>
      <c r="M51" s="294"/>
      <c r="N51" s="294"/>
      <c r="O51" s="294"/>
      <c r="P51" s="12"/>
      <c r="BC51" s="44"/>
      <c r="BD51" s="44"/>
    </row>
    <row r="52" spans="1:57" ht="17.649999999999999" customHeight="1">
      <c r="B52" s="363"/>
      <c r="C52" s="364"/>
      <c r="D52" s="365"/>
      <c r="E52" s="365"/>
      <c r="F52" s="294"/>
      <c r="G52" s="42"/>
      <c r="H52" s="42"/>
      <c r="I52" s="42"/>
      <c r="J52" s="295" t="s">
        <v>131</v>
      </c>
      <c r="K52" s="324"/>
      <c r="L52" s="294"/>
      <c r="M52" s="294"/>
      <c r="N52" s="294"/>
      <c r="O52" s="294"/>
      <c r="P52" s="12"/>
      <c r="BC52" s="44"/>
      <c r="BD52" s="44"/>
    </row>
    <row r="53" spans="1:57" ht="15.6" customHeight="1">
      <c r="B53" s="45"/>
      <c r="C53" s="11"/>
      <c r="D53" s="11"/>
      <c r="E53" s="46"/>
      <c r="F53" s="294"/>
      <c r="G53" s="42"/>
      <c r="H53" s="42"/>
      <c r="I53" s="42"/>
      <c r="J53" s="346" t="s">
        <v>130</v>
      </c>
      <c r="K53" s="324">
        <f>SUM(K43:K52)</f>
        <v>9</v>
      </c>
      <c r="L53" s="294"/>
      <c r="M53" s="294"/>
      <c r="N53" s="294"/>
      <c r="O53" s="294"/>
      <c r="P53" s="12"/>
    </row>
    <row r="54" spans="1:57" ht="20.25" customHeight="1">
      <c r="B54" s="15" t="s">
        <v>42</v>
      </c>
      <c r="C54" s="1" t="s">
        <v>43</v>
      </c>
      <c r="D54" s="1"/>
      <c r="E54" s="1"/>
      <c r="F54" s="294"/>
      <c r="G54" s="42"/>
      <c r="H54" s="41"/>
      <c r="I54" s="42"/>
      <c r="L54" s="294"/>
      <c r="N54" s="315"/>
      <c r="P54" s="334"/>
    </row>
    <row r="55" spans="1:57" ht="15" customHeight="1" thickBot="1"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1"/>
      <c r="O55" s="48"/>
      <c r="P55" s="49"/>
    </row>
    <row r="56" spans="1:57" ht="15" customHeight="1" thickBot="1">
      <c r="B56" s="504" t="s">
        <v>17</v>
      </c>
      <c r="C56" s="504" t="s">
        <v>44</v>
      </c>
      <c r="D56" s="515" t="s">
        <v>45</v>
      </c>
      <c r="E56" s="517" t="s">
        <v>46</v>
      </c>
      <c r="F56" s="510" t="s">
        <v>47</v>
      </c>
      <c r="G56" s="502" t="s">
        <v>48</v>
      </c>
      <c r="H56" s="504" t="s">
        <v>49</v>
      </c>
      <c r="I56" s="504" t="s">
        <v>50</v>
      </c>
      <c r="J56" s="496" t="s">
        <v>28</v>
      </c>
      <c r="K56" s="506" t="s">
        <v>51</v>
      </c>
      <c r="L56" s="508" t="s">
        <v>52</v>
      </c>
      <c r="M56" s="496" t="s">
        <v>53</v>
      </c>
      <c r="N56" s="13"/>
      <c r="O56" s="13"/>
      <c r="P56" s="50"/>
    </row>
    <row r="57" spans="1:57" ht="28.5" customHeight="1" thickTop="1" thickBot="1">
      <c r="B57" s="505"/>
      <c r="C57" s="514"/>
      <c r="D57" s="516"/>
      <c r="E57" s="518"/>
      <c r="F57" s="511"/>
      <c r="G57" s="503"/>
      <c r="H57" s="505"/>
      <c r="I57" s="505"/>
      <c r="J57" s="497"/>
      <c r="K57" s="507"/>
      <c r="L57" s="509"/>
      <c r="M57" s="497"/>
      <c r="N57" s="13"/>
      <c r="O57" s="13"/>
      <c r="P57" s="50"/>
      <c r="Q57" s="355"/>
      <c r="AB57" s="475">
        <v>43474</v>
      </c>
      <c r="AC57" s="475">
        <v>43475</v>
      </c>
      <c r="AD57" s="475">
        <v>43476</v>
      </c>
      <c r="AE57" s="475">
        <v>43477</v>
      </c>
      <c r="AF57" s="475">
        <v>43478</v>
      </c>
      <c r="AG57" s="475">
        <v>43479</v>
      </c>
      <c r="AH57" s="475">
        <v>43480</v>
      </c>
      <c r="AI57" s="475">
        <v>43481</v>
      </c>
      <c r="AJ57" s="475">
        <v>43482</v>
      </c>
      <c r="AK57" s="475">
        <v>43483</v>
      </c>
      <c r="AL57" s="475">
        <v>43484</v>
      </c>
      <c r="AM57" s="475">
        <v>43485</v>
      </c>
      <c r="AN57" s="475">
        <v>43486</v>
      </c>
      <c r="AO57" s="475">
        <v>43487</v>
      </c>
      <c r="AP57" s="475">
        <v>43488</v>
      </c>
      <c r="AQ57" s="475">
        <v>43489</v>
      </c>
      <c r="AR57" s="475">
        <v>43490</v>
      </c>
      <c r="AS57" s="475">
        <v>43491</v>
      </c>
      <c r="AT57" s="475">
        <v>43492</v>
      </c>
      <c r="AU57" s="475">
        <v>43493</v>
      </c>
      <c r="AV57" s="475">
        <v>43494</v>
      </c>
      <c r="AW57" s="475">
        <v>43495</v>
      </c>
      <c r="AX57" s="475">
        <v>43496</v>
      </c>
    </row>
    <row r="58" spans="1:57" s="54" customFormat="1" ht="36.75" customHeight="1" thickBot="1">
      <c r="B58" s="491"/>
      <c r="C58" s="479"/>
      <c r="D58" s="442"/>
      <c r="E58" s="443"/>
      <c r="F58" s="444"/>
      <c r="G58" s="445"/>
      <c r="H58" s="458"/>
      <c r="I58" s="458"/>
      <c r="J58" s="448"/>
      <c r="K58" s="449"/>
      <c r="L58" s="476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[14]January_2019!L5</f>
        <v>0</v>
      </c>
      <c r="AC58" s="57">
        <f>[14]January_2019!M5</f>
        <v>0</v>
      </c>
      <c r="AD58" s="57">
        <f>[14]January_2019!N5</f>
        <v>0</v>
      </c>
      <c r="AE58" s="57">
        <f>[14]January_2019!O5</f>
        <v>0</v>
      </c>
      <c r="AF58" s="57">
        <f>[14]January_2019!P5</f>
        <v>0</v>
      </c>
      <c r="AG58" s="57">
        <f>[14]January_2019!Q5</f>
        <v>0</v>
      </c>
      <c r="AH58" s="57">
        <f>[14]January_2019!R5</f>
        <v>0</v>
      </c>
      <c r="AI58" s="57">
        <f>[14]January_2019!S5</f>
        <v>0</v>
      </c>
      <c r="AJ58" s="57">
        <f>[14]January_2019!T5</f>
        <v>0</v>
      </c>
      <c r="AK58" s="57">
        <f>[14]January_2019!U5</f>
        <v>0</v>
      </c>
      <c r="AL58" s="57">
        <f>[14]January_2019!V5</f>
        <v>0</v>
      </c>
      <c r="AM58" s="57">
        <f>[14]January_2019!W5</f>
        <v>0</v>
      </c>
      <c r="AN58" s="57">
        <f>[14]January_2019!X5</f>
        <v>0</v>
      </c>
      <c r="AO58" s="57">
        <f>[14]January_2019!Y5</f>
        <v>0</v>
      </c>
      <c r="AP58" s="57">
        <f>[14]January_2019!Z5</f>
        <v>0</v>
      </c>
      <c r="AQ58" s="57">
        <f>[14]January_2019!AA5</f>
        <v>0</v>
      </c>
      <c r="AR58" s="57">
        <f>[14]January_2019!AB5</f>
        <v>0</v>
      </c>
      <c r="AS58" s="57">
        <f>[14]January_2019!AC5</f>
        <v>0</v>
      </c>
      <c r="AT58" s="57">
        <f>[14]January_2019!AD5</f>
        <v>0</v>
      </c>
      <c r="AU58" s="57">
        <f>[14]January_2019!AE5</f>
        <v>0</v>
      </c>
      <c r="AV58" s="57">
        <f>[14]January_2019!AF5</f>
        <v>0</v>
      </c>
      <c r="AW58" s="57">
        <f>[14]January_2019!AG5</f>
        <v>0</v>
      </c>
      <c r="AX58" s="277">
        <f>[14]January_2019!AH5</f>
        <v>0</v>
      </c>
      <c r="AY58" s="277"/>
      <c r="AZ58" s="277"/>
      <c r="BA58" s="277"/>
      <c r="BB58" s="277"/>
      <c r="BC58" s="277"/>
      <c r="BD58" s="277"/>
      <c r="BE58" s="277"/>
    </row>
    <row r="59" spans="1:57" s="54" customFormat="1" ht="14.25" customHeight="1" thickBot="1">
      <c r="B59" s="480"/>
      <c r="C59" s="479"/>
      <c r="D59" s="442"/>
      <c r="E59" s="443"/>
      <c r="F59" s="444"/>
      <c r="G59" s="445"/>
      <c r="H59" s="458"/>
      <c r="I59" s="458"/>
      <c r="J59" s="476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>
        <f>[14]January_2019!L6</f>
        <v>0</v>
      </c>
      <c r="AC59" s="57">
        <f>[14]January_2019!M6</f>
        <v>0</v>
      </c>
      <c r="AD59" s="57">
        <f>[14]January_2019!N6</f>
        <v>0</v>
      </c>
      <c r="AE59" s="57">
        <f>[14]January_2019!O6</f>
        <v>0</v>
      </c>
      <c r="AF59" s="57">
        <f>[14]January_2019!P6</f>
        <v>0</v>
      </c>
      <c r="AG59" s="57">
        <f>[14]January_2019!Q6</f>
        <v>0</v>
      </c>
      <c r="AH59" s="57">
        <f>[14]January_2019!R6</f>
        <v>0</v>
      </c>
      <c r="AI59" s="57">
        <f>[14]January_2019!S6</f>
        <v>0</v>
      </c>
      <c r="AJ59" s="57">
        <f>[14]January_2019!T6</f>
        <v>0</v>
      </c>
      <c r="AK59" s="57">
        <f>[14]January_2019!U6</f>
        <v>0</v>
      </c>
      <c r="AL59" s="57">
        <f>[14]January_2019!V6</f>
        <v>0</v>
      </c>
      <c r="AM59" s="57">
        <f>[14]January_2019!W6</f>
        <v>0</v>
      </c>
      <c r="AN59" s="57">
        <f>[14]January_2019!X6</f>
        <v>0</v>
      </c>
      <c r="AO59" s="57">
        <f>[14]January_2019!Y6</f>
        <v>0</v>
      </c>
      <c r="AP59" s="57">
        <f>[14]January_2019!Z6</f>
        <v>0</v>
      </c>
      <c r="AQ59" s="57">
        <f>[14]January_2019!AA6</f>
        <v>0</v>
      </c>
      <c r="AR59" s="57">
        <f>[14]January_2019!AB6</f>
        <v>0</v>
      </c>
      <c r="AS59" s="57">
        <f>[14]January_2019!AC6</f>
        <v>0</v>
      </c>
      <c r="AT59" s="57">
        <f>[14]January_2019!AD6</f>
        <v>0</v>
      </c>
      <c r="AU59" s="57">
        <f>[14]January_2019!AE6</f>
        <v>0</v>
      </c>
      <c r="AV59" s="57">
        <f>[14]January_2019!AF6</f>
        <v>0</v>
      </c>
      <c r="AW59" s="57">
        <f>[14]January_2019!AG6</f>
        <v>0</v>
      </c>
      <c r="AX59" s="277">
        <f>[14]January_2019!AH6</f>
        <v>0</v>
      </c>
      <c r="AY59" s="277"/>
      <c r="AZ59" s="277"/>
      <c r="BA59" s="277"/>
      <c r="BB59" s="277"/>
      <c r="BC59" s="277"/>
      <c r="BD59" s="277"/>
      <c r="BE59" s="277"/>
    </row>
    <row r="60" spans="1:57" s="54" customFormat="1" ht="37.15" hidden="1" customHeight="1" thickBot="1">
      <c r="A60" s="54" t="s">
        <v>168</v>
      </c>
      <c r="B60" s="486"/>
      <c r="C60" s="479"/>
      <c r="D60" s="442"/>
      <c r="E60" s="443"/>
      <c r="F60" s="444"/>
      <c r="G60" s="445"/>
      <c r="H60" s="458"/>
      <c r="I60" s="458"/>
      <c r="J60" s="448"/>
      <c r="K60" s="449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>
        <f>[14]January_2019!L7</f>
        <v>285.8</v>
      </c>
      <c r="AC60" s="57">
        <f>[14]January_2019!M7</f>
        <v>508.1</v>
      </c>
      <c r="AD60" s="57">
        <f>[14]January_2019!N7</f>
        <v>0</v>
      </c>
      <c r="AE60" s="57">
        <f>[14]January_2019!O7</f>
        <v>0</v>
      </c>
      <c r="AF60" s="57">
        <f>[14]January_2019!P7</f>
        <v>109.56666666666666</v>
      </c>
      <c r="AG60" s="57">
        <f>[14]January_2019!Q7</f>
        <v>297.64999999999998</v>
      </c>
      <c r="AH60" s="57">
        <f>[14]January_2019!R7</f>
        <v>122.3</v>
      </c>
      <c r="AI60" s="57">
        <f>[14]January_2019!S7</f>
        <v>0</v>
      </c>
      <c r="AJ60" s="57">
        <f>[14]January_2019!T7</f>
        <v>294.7</v>
      </c>
      <c r="AK60" s="57">
        <f>[14]January_2019!U7</f>
        <v>280.5</v>
      </c>
      <c r="AL60" s="57">
        <f>[14]January_2019!V7</f>
        <v>0</v>
      </c>
      <c r="AM60" s="57">
        <f>[14]January_2019!W7</f>
        <v>0</v>
      </c>
      <c r="AN60" s="57">
        <f>[14]January_2019!X7</f>
        <v>188.25</v>
      </c>
      <c r="AO60" s="57">
        <f>[14]January_2019!Y7</f>
        <v>295.7</v>
      </c>
      <c r="AP60" s="57">
        <f>[14]January_2019!Z7</f>
        <v>257.8</v>
      </c>
      <c r="AQ60" s="57">
        <f>[14]January_2019!AA7</f>
        <v>291.2</v>
      </c>
      <c r="AR60" s="57">
        <f>[14]January_2019!AB7</f>
        <v>187</v>
      </c>
      <c r="AS60" s="57">
        <f>[14]January_2019!AC7</f>
        <v>0</v>
      </c>
      <c r="AT60" s="57">
        <f>[14]January_2019!AD7</f>
        <v>0</v>
      </c>
      <c r="AU60" s="57">
        <f>[14]January_2019!AE7</f>
        <v>485.1</v>
      </c>
      <c r="AV60" s="57">
        <f>[14]January_2019!AF7</f>
        <v>171.55</v>
      </c>
      <c r="AW60" s="57">
        <f>[14]January_2019!AG7</f>
        <v>423.8</v>
      </c>
      <c r="AX60" s="277">
        <f>[14]January_2019!AH7</f>
        <v>0</v>
      </c>
      <c r="AY60" s="277"/>
      <c r="AZ60" s="277"/>
      <c r="BA60" s="277"/>
      <c r="BB60" s="277"/>
      <c r="BC60" s="277"/>
      <c r="BD60" s="277"/>
      <c r="BE60" s="277"/>
    </row>
    <row r="61" spans="1:57" s="54" customFormat="1" ht="19.5" hidden="1" customHeight="1" thickBot="1">
      <c r="B61" s="478"/>
      <c r="C61" s="430"/>
      <c r="D61" s="431"/>
      <c r="E61" s="432"/>
      <c r="F61" s="433"/>
      <c r="G61" s="434"/>
      <c r="H61" s="458"/>
      <c r="I61" s="458"/>
      <c r="J61" s="451"/>
      <c r="K61" s="436"/>
      <c r="L61" s="452"/>
      <c r="M61" s="421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1:57" s="54" customFormat="1" ht="38.450000000000003" hidden="1" customHeight="1" thickBot="1">
      <c r="B62" s="480"/>
      <c r="C62" s="479"/>
      <c r="D62" s="442"/>
      <c r="E62" s="443"/>
      <c r="F62" s="444"/>
      <c r="G62" s="445"/>
      <c r="H62" s="458"/>
      <c r="I62" s="458"/>
      <c r="J62" s="448" t="s">
        <v>171</v>
      </c>
      <c r="K62" s="459"/>
      <c r="L62" s="457" t="e">
        <f>(((D62+E62)-G62)/(D62+E62))*100</f>
        <v>#DIV/0!</v>
      </c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1:57" s="54" customFormat="1" ht="15" hidden="1">
      <c r="B63" s="453"/>
      <c r="C63" s="430"/>
      <c r="D63" s="431"/>
      <c r="E63" s="432"/>
      <c r="F63" s="433"/>
      <c r="G63" s="434"/>
      <c r="H63" s="435"/>
      <c r="I63" s="450"/>
      <c r="J63" s="451"/>
      <c r="K63" s="436"/>
      <c r="L63" s="452"/>
      <c r="M63" s="421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1:57" s="54" customFormat="1" ht="37.15" hidden="1" customHeight="1" thickBot="1">
      <c r="B64" s="480"/>
      <c r="C64" s="479"/>
      <c r="D64" s="442"/>
      <c r="E64" s="443"/>
      <c r="F64" s="444"/>
      <c r="G64" s="445"/>
      <c r="H64" s="446"/>
      <c r="I64" s="447"/>
      <c r="J64" s="448"/>
      <c r="K64" s="449"/>
      <c r="L64" s="457"/>
      <c r="M64" s="455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16.5" hidden="1" customHeight="1" thickBot="1">
      <c r="B65" s="437"/>
      <c r="C65" s="423"/>
      <c r="D65" s="424"/>
      <c r="E65" s="425"/>
      <c r="F65" s="426"/>
      <c r="G65" s="427"/>
      <c r="H65" s="428"/>
      <c r="I65" s="438"/>
      <c r="J65" s="439"/>
      <c r="K65" s="429"/>
      <c r="L65" s="440"/>
      <c r="M65" s="422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415"/>
      <c r="AC65" s="415"/>
      <c r="AD65" s="415"/>
      <c r="AE65" s="415"/>
      <c r="AF65" s="415"/>
      <c r="AG65" s="415"/>
      <c r="AH65" s="415"/>
      <c r="AI65" s="415"/>
      <c r="AJ65" s="415"/>
      <c r="AK65" s="415"/>
      <c r="AL65" s="415"/>
      <c r="AM65" s="415"/>
      <c r="AN65" s="415"/>
      <c r="AO65" s="415"/>
      <c r="AP65" s="415"/>
      <c r="AQ65" s="415"/>
      <c r="AR65" s="415"/>
      <c r="AS65" s="415"/>
      <c r="AT65" s="415"/>
      <c r="AU65" s="415"/>
      <c r="AV65" s="415"/>
      <c r="AW65" s="415"/>
    </row>
    <row r="66" spans="2:57" s="54" customFormat="1" ht="37.15" hidden="1" customHeight="1" thickBot="1">
      <c r="B66" s="456"/>
      <c r="C66" s="441"/>
      <c r="D66" s="442"/>
      <c r="E66" s="443"/>
      <c r="F66" s="444"/>
      <c r="G66" s="445"/>
      <c r="H66" s="446"/>
      <c r="I66" s="447"/>
      <c r="J66" s="448"/>
      <c r="K66" s="449"/>
      <c r="L66" s="457"/>
      <c r="M66" s="454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37.15" customHeight="1">
      <c r="B67" s="466"/>
      <c r="C67" s="430"/>
      <c r="D67" s="460"/>
      <c r="E67" s="461"/>
      <c r="F67" s="462"/>
      <c r="G67" s="460"/>
      <c r="H67" s="463"/>
      <c r="I67" s="463"/>
      <c r="J67" s="463"/>
      <c r="K67" s="464"/>
      <c r="L67" s="465"/>
      <c r="M67" s="50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ht="18" customHeight="1" thickBot="1">
      <c r="B68" s="59"/>
      <c r="C68" s="30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 t="s">
        <v>41</v>
      </c>
      <c r="O68" s="56"/>
      <c r="P68" s="60"/>
    </row>
    <row r="69" spans="2:57" ht="15.75" thickBot="1">
      <c r="B69" s="498" t="s">
        <v>55</v>
      </c>
      <c r="C69" s="499"/>
      <c r="D69" s="499"/>
      <c r="E69" s="499"/>
      <c r="F69" s="500"/>
      <c r="G69" s="498" t="s">
        <v>56</v>
      </c>
      <c r="H69" s="499"/>
      <c r="I69" s="499"/>
      <c r="J69" s="500"/>
      <c r="K69" s="498" t="s">
        <v>51</v>
      </c>
      <c r="L69" s="499"/>
      <c r="M69" s="499"/>
      <c r="N69" s="501"/>
      <c r="O69" s="56"/>
      <c r="P69" s="50"/>
    </row>
    <row r="70" spans="2:57" ht="15">
      <c r="B70" s="61" t="s">
        <v>17</v>
      </c>
      <c r="C70" s="62" t="s">
        <v>36</v>
      </c>
      <c r="D70" s="62" t="s">
        <v>37</v>
      </c>
      <c r="E70" s="62" t="s">
        <v>38</v>
      </c>
      <c r="F70" s="63" t="s">
        <v>39</v>
      </c>
      <c r="G70" s="62" t="s">
        <v>36</v>
      </c>
      <c r="H70" s="62" t="s">
        <v>37</v>
      </c>
      <c r="I70" s="62" t="s">
        <v>38</v>
      </c>
      <c r="J70" s="63" t="s">
        <v>39</v>
      </c>
      <c r="K70" s="62"/>
      <c r="L70" s="62" t="s">
        <v>37</v>
      </c>
      <c r="M70" s="62" t="s">
        <v>38</v>
      </c>
      <c r="N70" s="63" t="s">
        <v>39</v>
      </c>
      <c r="O70" s="56"/>
      <c r="P70" s="64"/>
    </row>
    <row r="71" spans="2:57" ht="15">
      <c r="B71" s="29" t="s">
        <v>6</v>
      </c>
      <c r="C71" s="282"/>
      <c r="D71" s="76">
        <v>5.9540000604467274</v>
      </c>
      <c r="E71" s="76">
        <v>6.641402233544599</v>
      </c>
      <c r="F71" s="66">
        <v>4.8</v>
      </c>
      <c r="G71" s="65"/>
      <c r="H71" s="477">
        <v>5.1755094667740584</v>
      </c>
      <c r="I71" s="477">
        <v>6.3173615715345912</v>
      </c>
      <c r="J71" s="66">
        <v>4.8</v>
      </c>
      <c r="K71" s="67"/>
      <c r="L71" s="194">
        <v>0.83891812865497073</v>
      </c>
      <c r="M71" s="194">
        <v>0.51665819044416872</v>
      </c>
      <c r="N71" s="68">
        <v>1</v>
      </c>
      <c r="O71" s="56"/>
      <c r="P71" s="69"/>
    </row>
    <row r="72" spans="2:57" ht="15">
      <c r="B72" s="33" t="s">
        <v>9</v>
      </c>
      <c r="C72" s="65"/>
      <c r="D72" s="76">
        <v>5.0820509908579874</v>
      </c>
      <c r="E72" s="76">
        <v>6.0381962328388186</v>
      </c>
      <c r="F72" s="66">
        <v>4.8</v>
      </c>
      <c r="G72" s="65"/>
      <c r="H72" s="76">
        <v>4.1850647594467709</v>
      </c>
      <c r="I72" s="76">
        <v>5.7352072273261401</v>
      </c>
      <c r="J72" s="66">
        <v>4.8</v>
      </c>
      <c r="K72" s="67"/>
      <c r="L72" s="194">
        <v>1.0770760233918131</v>
      </c>
      <c r="M72" s="194">
        <v>0.74373732819034111</v>
      </c>
      <c r="N72" s="68">
        <v>1</v>
      </c>
      <c r="P72" s="69"/>
    </row>
    <row r="73" spans="2:57" ht="15">
      <c r="B73" s="34" t="s">
        <v>40</v>
      </c>
      <c r="C73" s="65"/>
      <c r="D73" s="76">
        <v>10.917759237187118</v>
      </c>
      <c r="E73" s="76">
        <v>12.019739161085637</v>
      </c>
      <c r="F73" s="66">
        <v>5.5</v>
      </c>
      <c r="G73" s="65"/>
      <c r="H73" s="76">
        <v>10.858502880677971</v>
      </c>
      <c r="I73" s="76">
        <v>13.201587402597006</v>
      </c>
      <c r="J73" s="66">
        <v>5.5</v>
      </c>
      <c r="K73" s="67"/>
      <c r="L73" s="194">
        <v>0.16390350877192983</v>
      </c>
      <c r="M73" s="194">
        <v>0.2727383040935672</v>
      </c>
      <c r="N73" s="68">
        <v>1</v>
      </c>
      <c r="P73" s="69"/>
    </row>
    <row r="74" spans="2:57" ht="15">
      <c r="B74" s="22" t="s">
        <v>33</v>
      </c>
      <c r="C74" s="65"/>
      <c r="D74" s="76"/>
      <c r="E74" s="76">
        <v>4.601418358346991</v>
      </c>
      <c r="F74" s="66">
        <v>3.3</v>
      </c>
      <c r="G74" s="65"/>
      <c r="H74" s="76"/>
      <c r="I74" s="76">
        <v>4.3274739720788533</v>
      </c>
      <c r="J74" s="66">
        <v>3.3</v>
      </c>
      <c r="K74" s="67"/>
      <c r="L74" s="194"/>
      <c r="M74" s="194">
        <v>0.8292543859649123</v>
      </c>
      <c r="N74" s="68">
        <v>1</v>
      </c>
      <c r="P74" s="69"/>
    </row>
    <row r="75" spans="2:57" ht="15">
      <c r="B75" s="35" t="s">
        <v>164</v>
      </c>
      <c r="C75" s="65"/>
      <c r="D75" s="76"/>
      <c r="E75" s="76"/>
      <c r="F75" s="66">
        <v>3.3</v>
      </c>
      <c r="G75" s="282"/>
      <c r="H75" s="76"/>
      <c r="I75" s="76"/>
      <c r="J75" s="66">
        <v>3</v>
      </c>
      <c r="K75" s="67"/>
      <c r="L75" s="194"/>
      <c r="M75" s="194"/>
      <c r="N75" s="68">
        <v>1</v>
      </c>
      <c r="P75" s="69"/>
    </row>
    <row r="76" spans="2:57" ht="15">
      <c r="B76" s="36" t="s">
        <v>15</v>
      </c>
      <c r="C76" s="65"/>
      <c r="D76" s="76"/>
      <c r="E76" s="76">
        <v>5.1105651105651271</v>
      </c>
      <c r="F76" s="70">
        <f>[15]May_2022!$M$43</f>
        <v>3.4878406700073312</v>
      </c>
      <c r="G76" s="282"/>
      <c r="H76" s="76"/>
      <c r="I76" s="76">
        <v>7.9131369535794072</v>
      </c>
      <c r="J76" s="66">
        <v>5.5</v>
      </c>
      <c r="K76" s="67"/>
      <c r="L76" s="194"/>
      <c r="M76" s="194">
        <v>1.3550877192982456</v>
      </c>
      <c r="N76" s="68">
        <v>1</v>
      </c>
      <c r="P76" s="69"/>
    </row>
    <row r="77" spans="2:57" ht="15">
      <c r="B77" s="37" t="s">
        <v>16</v>
      </c>
      <c r="C77" s="65"/>
      <c r="D77" s="76">
        <v>2.744050509956292</v>
      </c>
      <c r="E77" s="76">
        <v>3.7431500795474548</v>
      </c>
      <c r="F77" s="66">
        <v>3.3</v>
      </c>
      <c r="G77" s="282"/>
      <c r="H77" s="76">
        <v>4.0188417648776724</v>
      </c>
      <c r="I77" s="76">
        <v>4.8236555171494695</v>
      </c>
      <c r="J77" s="66">
        <v>3.3</v>
      </c>
      <c r="K77" s="67"/>
      <c r="L77" s="194">
        <v>0.70263157894736838</v>
      </c>
      <c r="M77" s="194">
        <v>0.89457115009746591</v>
      </c>
      <c r="N77" s="71">
        <v>1</v>
      </c>
      <c r="P77" s="69"/>
    </row>
    <row r="78" spans="2:57" ht="15.75" thickBot="1">
      <c r="B78" s="38" t="s">
        <v>163</v>
      </c>
      <c r="C78" s="65"/>
      <c r="D78" s="76"/>
      <c r="E78" s="76"/>
      <c r="F78" s="66">
        <v>7.5</v>
      </c>
      <c r="G78" s="282"/>
      <c r="H78" s="76"/>
      <c r="I78" s="76"/>
      <c r="J78" s="66">
        <v>7.5</v>
      </c>
      <c r="K78" s="67"/>
      <c r="L78" s="194"/>
      <c r="M78" s="194"/>
      <c r="N78" s="71">
        <v>1</v>
      </c>
      <c r="P78" s="69"/>
    </row>
    <row r="79" spans="2:57" ht="15.75" thickBot="1">
      <c r="B79" s="414" t="s">
        <v>161</v>
      </c>
      <c r="C79" s="65"/>
      <c r="D79" s="76"/>
      <c r="E79" s="76"/>
      <c r="F79" s="66">
        <v>4.8</v>
      </c>
      <c r="G79" s="282"/>
      <c r="H79" s="76"/>
      <c r="I79" s="76"/>
      <c r="J79" s="66">
        <v>4.8</v>
      </c>
      <c r="K79" s="67"/>
      <c r="L79" s="194"/>
      <c r="M79" s="194"/>
      <c r="N79" s="71">
        <v>1</v>
      </c>
      <c r="O79" s="74"/>
      <c r="P79" s="75"/>
    </row>
    <row r="80" spans="2:57" ht="15">
      <c r="D80" s="76">
        <v>5.8226432360068818</v>
      </c>
      <c r="E80" s="76">
        <v>6.4455956553271774</v>
      </c>
      <c r="F80" s="341">
        <v>5.5</v>
      </c>
      <c r="H80" s="76">
        <v>5.452233883616123</v>
      </c>
      <c r="I80" s="76">
        <v>6.5148817644873889</v>
      </c>
      <c r="J80" s="341">
        <v>5.5</v>
      </c>
      <c r="L80" s="194">
        <v>0.83246296296296296</v>
      </c>
      <c r="M80" s="194">
        <v>0.59828831043854369</v>
      </c>
      <c r="N80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7:N27"/>
    <mergeCell ref="D28:E28"/>
    <mergeCell ref="B29:B40"/>
    <mergeCell ref="D29:E30"/>
    <mergeCell ref="D31:E32"/>
    <mergeCell ref="D33:E34"/>
    <mergeCell ref="D35:E36"/>
    <mergeCell ref="D37:E38"/>
    <mergeCell ref="D39:E40"/>
    <mergeCell ref="B41:B50"/>
    <mergeCell ref="D41:E42"/>
    <mergeCell ref="J41:K41"/>
    <mergeCell ref="L42:N42"/>
    <mergeCell ref="D43:E44"/>
    <mergeCell ref="D45:E46"/>
    <mergeCell ref="D47:E48"/>
    <mergeCell ref="D49:E50"/>
    <mergeCell ref="D51:E51"/>
    <mergeCell ref="B56:B57"/>
    <mergeCell ref="C56:C57"/>
    <mergeCell ref="D56:D57"/>
    <mergeCell ref="E56:E57"/>
    <mergeCell ref="M56:M57"/>
    <mergeCell ref="B69:F69"/>
    <mergeCell ref="G69:J69"/>
    <mergeCell ref="K69:N69"/>
    <mergeCell ref="G56:G57"/>
    <mergeCell ref="H56:H57"/>
    <mergeCell ref="I56:I57"/>
    <mergeCell ref="J56:J57"/>
    <mergeCell ref="K56:K57"/>
    <mergeCell ref="L56:L57"/>
    <mergeCell ref="F56:F57"/>
  </mergeCells>
  <conditionalFormatting sqref="B51:B52">
    <cfRule type="cellIs" dxfId="687" priority="76" operator="notBetween">
      <formula>#REF!</formula>
      <formula>#REF!</formula>
    </cfRule>
  </conditionalFormatting>
  <conditionalFormatting sqref="C55">
    <cfRule type="cellIs" dxfId="686" priority="170" stopIfTrue="1" operator="lessThan">
      <formula>96</formula>
    </cfRule>
    <cfRule type="cellIs" dxfId="685" priority="171" stopIfTrue="1" operator="greaterThan">
      <formula>100</formula>
    </cfRule>
  </conditionalFormatting>
  <conditionalFormatting sqref="C71:C75">
    <cfRule type="cellIs" dxfId="684" priority="139" stopIfTrue="1" operator="lessThanOrEqual">
      <formula>0</formula>
    </cfRule>
  </conditionalFormatting>
  <conditionalFormatting sqref="C71:C79">
    <cfRule type="cellIs" dxfId="683" priority="138" stopIfTrue="1" operator="greaterThan">
      <formula>$F71</formula>
    </cfRule>
  </conditionalFormatting>
  <conditionalFormatting sqref="C72">
    <cfRule type="cellIs" dxfId="682" priority="172" stopIfTrue="1" operator="greaterThan">
      <formula>$F71</formula>
    </cfRule>
  </conditionalFormatting>
  <conditionalFormatting sqref="C76">
    <cfRule type="cellIs" dxfId="681" priority="101" stopIfTrue="1" operator="greaterThan">
      <formula>$F75</formula>
    </cfRule>
    <cfRule type="cellIs" dxfId="680" priority="100" stopIfTrue="1" operator="lessThanOrEqual">
      <formula>0</formula>
    </cfRule>
  </conditionalFormatting>
  <conditionalFormatting sqref="C77:C79">
    <cfRule type="cellIs" dxfId="679" priority="140" stopIfTrue="1" operator="lessThanOrEqual">
      <formula>0</formula>
    </cfRule>
  </conditionalFormatting>
  <conditionalFormatting sqref="C82:C86">
    <cfRule type="cellIs" dxfId="678" priority="162" stopIfTrue="1" operator="lessThanOrEqual">
      <formula>0</formula>
    </cfRule>
  </conditionalFormatting>
  <conditionalFormatting sqref="C83:C86">
    <cfRule type="cellIs" dxfId="677" priority="161" stopIfTrue="1" operator="greaterThan">
      <formula>$F$82</formula>
    </cfRule>
  </conditionalFormatting>
  <conditionalFormatting sqref="C88">
    <cfRule type="cellIs" dxfId="676" priority="163" stopIfTrue="1" operator="greaterThan">
      <formula>$F$82</formula>
    </cfRule>
    <cfRule type="cellIs" dxfId="675" priority="164" stopIfTrue="1" operator="lessThanOrEqual">
      <formula>0</formula>
    </cfRule>
  </conditionalFormatting>
  <conditionalFormatting sqref="C82:D82 D84:D90">
    <cfRule type="cellIs" dxfId="674" priority="156" stopIfTrue="1" operator="greaterThan">
      <formula>4.5</formula>
    </cfRule>
  </conditionalFormatting>
  <conditionalFormatting sqref="D51:D52">
    <cfRule type="cellIs" dxfId="673" priority="77" operator="notBetween">
      <formula>#REF!</formula>
      <formula>#REF!</formula>
    </cfRule>
  </conditionalFormatting>
  <conditionalFormatting sqref="D71:D78">
    <cfRule type="cellIs" dxfId="672" priority="51" stopIfTrue="1" operator="lessThanOrEqual">
      <formula>0</formula>
    </cfRule>
  </conditionalFormatting>
  <conditionalFormatting sqref="D71:D80">
    <cfRule type="cellIs" dxfId="671" priority="34" stopIfTrue="1" operator="lessThanOrEqual">
      <formula>0</formula>
    </cfRule>
  </conditionalFormatting>
  <conditionalFormatting sqref="D79">
    <cfRule type="cellIs" dxfId="670" priority="50" stopIfTrue="1" operator="lessThanOrEqual">
      <formula>0</formula>
    </cfRule>
  </conditionalFormatting>
  <conditionalFormatting sqref="D80">
    <cfRule type="cellIs" dxfId="669" priority="47" stopIfTrue="1" operator="lessThanOrEqual">
      <formula>0</formula>
    </cfRule>
  </conditionalFormatting>
  <conditionalFormatting sqref="D82 D84:D90">
    <cfRule type="cellIs" dxfId="668" priority="157" stopIfTrue="1" operator="lessThanOrEqual">
      <formula>0</formula>
    </cfRule>
  </conditionalFormatting>
  <conditionalFormatting sqref="D83">
    <cfRule type="cellIs" dxfId="667" priority="148" stopIfTrue="1" operator="greaterThan">
      <formula>$F$82</formula>
    </cfRule>
    <cfRule type="cellIs" dxfId="666" priority="149" stopIfTrue="1" operator="lessThanOrEqual">
      <formula>0</formula>
    </cfRule>
  </conditionalFormatting>
  <conditionalFormatting sqref="D71:E80">
    <cfRule type="cellIs" dxfId="665" priority="36" stopIfTrue="1" operator="greaterThan">
      <formula>$F71</formula>
    </cfRule>
  </conditionalFormatting>
  <conditionalFormatting sqref="D80:E80">
    <cfRule type="cellIs" dxfId="664" priority="38" stopIfTrue="1" operator="lessThanOrEqual">
      <formula>0</formula>
    </cfRule>
  </conditionalFormatting>
  <conditionalFormatting sqref="E10:E26">
    <cfRule type="cellIs" dxfId="663" priority="25" operator="lessThan">
      <formula>48</formula>
    </cfRule>
  </conditionalFormatting>
  <conditionalFormatting sqref="E54 E55:F55">
    <cfRule type="cellIs" dxfId="662" priority="153" stopIfTrue="1" operator="greaterThan">
      <formula>100</formula>
    </cfRule>
  </conditionalFormatting>
  <conditionalFormatting sqref="E55">
    <cfRule type="cellIs" dxfId="661" priority="150" stopIfTrue="1" operator="lessThan">
      <formula>96.8</formula>
    </cfRule>
    <cfRule type="cellIs" dxfId="660" priority="151" stopIfTrue="1" operator="greaterThan">
      <formula>100</formula>
    </cfRule>
  </conditionalFormatting>
  <conditionalFormatting sqref="E71:E79">
    <cfRule type="cellIs" dxfId="659" priority="35" stopIfTrue="1" operator="lessThanOrEqual">
      <formula>0</formula>
    </cfRule>
  </conditionalFormatting>
  <conditionalFormatting sqref="E71:E80">
    <cfRule type="cellIs" dxfId="658" priority="37" stopIfTrue="1" operator="lessThanOrEqual">
      <formula>0</formula>
    </cfRule>
  </conditionalFormatting>
  <conditionalFormatting sqref="E82:E90">
    <cfRule type="cellIs" dxfId="657" priority="142" stopIfTrue="1" operator="greaterThan">
      <formula>4.5</formula>
    </cfRule>
    <cfRule type="cellIs" dxfId="656" priority="143" stopIfTrue="1" operator="lessThanOrEqual">
      <formula>0</formula>
    </cfRule>
  </conditionalFormatting>
  <conditionalFormatting sqref="E55:F55 E54">
    <cfRule type="cellIs" dxfId="655" priority="152" stopIfTrue="1" operator="lessThan">
      <formula>96.5</formula>
    </cfRule>
  </conditionalFormatting>
  <conditionalFormatting sqref="F10:F26">
    <cfRule type="cellIs" dxfId="654" priority="29" operator="greaterThan">
      <formula>60</formula>
    </cfRule>
  </conditionalFormatting>
  <conditionalFormatting sqref="F55">
    <cfRule type="cellIs" dxfId="653" priority="168" stopIfTrue="1" operator="lessThan">
      <formula>96.8</formula>
    </cfRule>
    <cfRule type="cellIs" dxfId="652" priority="169" stopIfTrue="1" operator="greaterThan">
      <formula>100</formula>
    </cfRule>
  </conditionalFormatting>
  <conditionalFormatting sqref="F80">
    <cfRule type="cellIs" dxfId="651" priority="49" stopIfTrue="1" operator="lessThanOrEqual">
      <formula>0</formula>
    </cfRule>
    <cfRule type="cellIs" dxfId="650" priority="48" stopIfTrue="1" operator="greaterThan">
      <formula>$F80</formula>
    </cfRule>
  </conditionalFormatting>
  <conditionalFormatting sqref="G10:G26">
    <cfRule type="expression" dxfId="649" priority="26">
      <formula>IF(+(IF(G10&lt;S10,0,IF(G10&gt;T10,0,1)))=0,1)</formula>
    </cfRule>
  </conditionalFormatting>
  <conditionalFormatting sqref="G71:G72">
    <cfRule type="cellIs" dxfId="648" priority="53" stopIfTrue="1" operator="lessThanOrEqual">
      <formula>0</formula>
    </cfRule>
    <cfRule type="cellIs" dxfId="647" priority="52" stopIfTrue="1" operator="greaterThan">
      <formula>$F71</formula>
    </cfRule>
  </conditionalFormatting>
  <conditionalFormatting sqref="G71:G74">
    <cfRule type="cellIs" dxfId="646" priority="4" stopIfTrue="1" operator="lessThanOrEqual">
      <formula>0</formula>
    </cfRule>
    <cfRule type="cellIs" dxfId="645" priority="3" stopIfTrue="1" operator="greaterThan">
      <formula>$F71</formula>
    </cfRule>
  </conditionalFormatting>
  <conditionalFormatting sqref="G73">
    <cfRule type="cellIs" dxfId="644" priority="1" stopIfTrue="1" operator="greaterThan">
      <formula>$F73</formula>
    </cfRule>
    <cfRule type="cellIs" dxfId="643" priority="2" stopIfTrue="1" operator="lessThanOrEqual">
      <formula>0</formula>
    </cfRule>
  </conditionalFormatting>
  <conditionalFormatting sqref="G74">
    <cfRule type="cellIs" dxfId="642" priority="42" stopIfTrue="1" operator="greaterThan">
      <formula>$F74</formula>
    </cfRule>
    <cfRule type="cellIs" dxfId="641" priority="43" stopIfTrue="1" operator="lessThanOrEqual">
      <formula>0</formula>
    </cfRule>
  </conditionalFormatting>
  <conditionalFormatting sqref="G75:G79">
    <cfRule type="cellIs" dxfId="640" priority="54" stopIfTrue="1" operator="greaterThan">
      <formula>$J75</formula>
    </cfRule>
    <cfRule type="cellIs" dxfId="639" priority="55" stopIfTrue="1" operator="lessThanOrEqual">
      <formula>0</formula>
    </cfRule>
  </conditionalFormatting>
  <conditionalFormatting sqref="G84:G89 C87 C89">
    <cfRule type="cellIs" dxfId="638" priority="166" stopIfTrue="1" operator="lessThanOrEqual">
      <formula>0</formula>
    </cfRule>
    <cfRule type="cellIs" dxfId="637" priority="165" stopIfTrue="1" operator="greaterThan">
      <formula>4.5</formula>
    </cfRule>
  </conditionalFormatting>
  <conditionalFormatting sqref="G83:H83">
    <cfRule type="cellIs" dxfId="636" priority="147" stopIfTrue="1" operator="lessThanOrEqual">
      <formula>0</formula>
    </cfRule>
    <cfRule type="cellIs" dxfId="635" priority="146" stopIfTrue="1" operator="greaterThan">
      <formula>$F$82</formula>
    </cfRule>
  </conditionalFormatting>
  <conditionalFormatting sqref="H40:H41 H54">
    <cfRule type="cellIs" dxfId="634" priority="144" stopIfTrue="1" operator="greaterThan">
      <formula>0</formula>
    </cfRule>
  </conditionalFormatting>
  <conditionalFormatting sqref="H58">
    <cfRule type="cellIs" dxfId="633" priority="16" stopIfTrue="1" operator="lessThanOrEqual">
      <formula>0</formula>
    </cfRule>
    <cfRule type="cellIs" dxfId="632" priority="6" stopIfTrue="1" operator="lessThanOrEqual">
      <formula>0</formula>
    </cfRule>
    <cfRule type="cellIs" dxfId="631" priority="7" stopIfTrue="1" operator="greaterThan">
      <formula>$F$68</formula>
    </cfRule>
    <cfRule type="cellIs" dxfId="630" priority="15" stopIfTrue="1" operator="greaterThan">
      <formula>$F$71</formula>
    </cfRule>
    <cfRule type="cellIs" dxfId="629" priority="17" stopIfTrue="1" operator="greaterThan">
      <formula>$F$69</formula>
    </cfRule>
    <cfRule type="cellIs" dxfId="628" priority="18" stopIfTrue="1" operator="lessThanOrEqual">
      <formula>0</formula>
    </cfRule>
  </conditionalFormatting>
  <conditionalFormatting sqref="H59:H62">
    <cfRule type="cellIs" dxfId="627" priority="70" stopIfTrue="1" operator="greaterThan">
      <formula>$F$72</formula>
    </cfRule>
    <cfRule type="cellIs" dxfId="626" priority="68" stopIfTrue="1" operator="greaterThan">
      <formula>$F$74</formula>
    </cfRule>
    <cfRule type="cellIs" dxfId="625" priority="69" stopIfTrue="1" operator="lessThanOrEqual">
      <formula>0</formula>
    </cfRule>
    <cfRule type="cellIs" dxfId="624" priority="59" stopIfTrue="1" operator="lessThanOrEqual">
      <formula>0</formula>
    </cfRule>
    <cfRule type="cellIs" dxfId="623" priority="60" stopIfTrue="1" operator="greaterThan">
      <formula>$F$71</formula>
    </cfRule>
    <cfRule type="cellIs" dxfId="622" priority="71" stopIfTrue="1" operator="lessThanOrEqual">
      <formula>0</formula>
    </cfRule>
  </conditionalFormatting>
  <conditionalFormatting sqref="H63:H64">
    <cfRule type="cellIs" dxfId="621" priority="103" stopIfTrue="1" operator="lessThanOrEqual">
      <formula>0</formula>
    </cfRule>
    <cfRule type="cellIs" dxfId="620" priority="115" stopIfTrue="1" operator="lessThanOrEqual">
      <formula>0</formula>
    </cfRule>
    <cfRule type="cellIs" dxfId="619" priority="114" stopIfTrue="1" operator="greaterThan">
      <formula>#REF!</formula>
    </cfRule>
    <cfRule type="cellIs" dxfId="618" priority="113" stopIfTrue="1" operator="lessThanOrEqual">
      <formula>0</formula>
    </cfRule>
    <cfRule type="cellIs" dxfId="617" priority="104" stopIfTrue="1" operator="greaterThan">
      <formula>#REF!</formula>
    </cfRule>
    <cfRule type="cellIs" dxfId="616" priority="112" stopIfTrue="1" operator="greaterThan">
      <formula>$F$26</formula>
    </cfRule>
  </conditionalFormatting>
  <conditionalFormatting sqref="H65">
    <cfRule type="cellIs" dxfId="615" priority="128" stopIfTrue="1" operator="greaterThan">
      <formula>$F$40</formula>
    </cfRule>
    <cfRule type="cellIs" dxfId="614" priority="129" stopIfTrue="1" operator="lessThanOrEqual">
      <formula>0</formula>
    </cfRule>
    <cfRule type="cellIs" dxfId="613" priority="118" stopIfTrue="1" operator="greaterThan">
      <formula>$F$39</formula>
    </cfRule>
    <cfRule type="cellIs" dxfId="612" priority="117" stopIfTrue="1" operator="lessThanOrEqual">
      <formula>0</formula>
    </cfRule>
    <cfRule type="cellIs" dxfId="611" priority="126" stopIfTrue="1" operator="greaterThan">
      <formula>$F$42</formula>
    </cfRule>
    <cfRule type="cellIs" dxfId="610" priority="127" stopIfTrue="1" operator="lessThanOrEqual">
      <formula>0</formula>
    </cfRule>
  </conditionalFormatting>
  <conditionalFormatting sqref="H66:H67">
    <cfRule type="cellIs" dxfId="609" priority="96" stopIfTrue="1" operator="greaterThan">
      <formula>$F$26</formula>
    </cfRule>
    <cfRule type="cellIs" dxfId="608" priority="88" stopIfTrue="1" operator="greaterThan">
      <formula>#REF!</formula>
    </cfRule>
    <cfRule type="cellIs" dxfId="607" priority="97" stopIfTrue="1" operator="lessThanOrEqual">
      <formula>0</formula>
    </cfRule>
    <cfRule type="cellIs" dxfId="606" priority="98" stopIfTrue="1" operator="greaterThan">
      <formula>#REF!</formula>
    </cfRule>
    <cfRule type="cellIs" dxfId="605" priority="99" stopIfTrue="1" operator="lessThanOrEqual">
      <formula>0</formula>
    </cfRule>
    <cfRule type="cellIs" dxfId="604" priority="87" stopIfTrue="1" operator="lessThanOrEqual">
      <formula>0</formula>
    </cfRule>
  </conditionalFormatting>
  <conditionalFormatting sqref="H82 H84:H90">
    <cfRule type="cellIs" dxfId="603" priority="158" stopIfTrue="1" operator="greaterThan">
      <formula>4.5</formula>
    </cfRule>
    <cfRule type="cellIs" dxfId="602" priority="159" stopIfTrue="1" operator="lessThanOrEqual">
      <formula>0</formula>
    </cfRule>
  </conditionalFormatting>
  <conditionalFormatting sqref="H58:I58">
    <cfRule type="cellIs" dxfId="601" priority="8" stopIfTrue="1" operator="lessThanOrEqual">
      <formula>0</formula>
    </cfRule>
    <cfRule type="cellIs" dxfId="600" priority="5" stopIfTrue="1" operator="greaterThan">
      <formula>$F$70</formula>
    </cfRule>
  </conditionalFormatting>
  <conditionalFormatting sqref="H59:I62">
    <cfRule type="cellIs" dxfId="599" priority="58" stopIfTrue="1" operator="greaterThan">
      <formula>$F$73</formula>
    </cfRule>
    <cfRule type="cellIs" dxfId="598" priority="61" stopIfTrue="1" operator="lessThanOrEqual">
      <formula>0</formula>
    </cfRule>
  </conditionalFormatting>
  <conditionalFormatting sqref="H63:I64">
    <cfRule type="cellIs" dxfId="597" priority="102" stopIfTrue="1" operator="greaterThan">
      <formula>#REF!</formula>
    </cfRule>
    <cfRule type="cellIs" dxfId="596" priority="105" stopIfTrue="1" operator="lessThanOrEqual">
      <formula>0</formula>
    </cfRule>
  </conditionalFormatting>
  <conditionalFormatting sqref="H65:I65">
    <cfRule type="cellIs" dxfId="595" priority="116" stopIfTrue="1" operator="greaterThan">
      <formula>$F$41</formula>
    </cfRule>
    <cfRule type="cellIs" dxfId="594" priority="119" stopIfTrue="1" operator="lessThanOrEqual">
      <formula>0</formula>
    </cfRule>
  </conditionalFormatting>
  <conditionalFormatting sqref="H66:I67">
    <cfRule type="cellIs" dxfId="593" priority="86" stopIfTrue="1" operator="greaterThan">
      <formula>#REF!</formula>
    </cfRule>
    <cfRule type="cellIs" dxfId="592" priority="89" stopIfTrue="1" operator="lessThanOrEqual">
      <formula>0</formula>
    </cfRule>
  </conditionalFormatting>
  <conditionalFormatting sqref="H71:I78">
    <cfRule type="cellIs" dxfId="591" priority="32" stopIfTrue="1" operator="greaterThan">
      <formula>$J71</formula>
    </cfRule>
    <cfRule type="cellIs" dxfId="590" priority="33" stopIfTrue="1" operator="lessThanOrEqual">
      <formula>0</formula>
    </cfRule>
  </conditionalFormatting>
  <conditionalFormatting sqref="H79:I79">
    <cfRule type="cellIs" dxfId="589" priority="41" operator="greaterThan">
      <formula>5.3</formula>
    </cfRule>
  </conditionalFormatting>
  <conditionalFormatting sqref="H80:I80">
    <cfRule type="cellIs" dxfId="588" priority="39" stopIfTrue="1" operator="greaterThan">
      <formula>$J80</formula>
    </cfRule>
    <cfRule type="cellIs" dxfId="587" priority="40" stopIfTrue="1" operator="lessThanOrEqual">
      <formula>0</formula>
    </cfRule>
  </conditionalFormatting>
  <conditionalFormatting sqref="I58">
    <cfRule type="cellIs" dxfId="586" priority="9" stopIfTrue="1" operator="greaterThan">
      <formula>$F$68</formula>
    </cfRule>
    <cfRule type="cellIs" dxfId="585" priority="10" stopIfTrue="1" operator="lessThanOrEqual">
      <formula>0</formula>
    </cfRule>
    <cfRule type="cellIs" dxfId="584" priority="11" stopIfTrue="1" operator="greaterThan">
      <formula>$F$70</formula>
    </cfRule>
    <cfRule type="cellIs" dxfId="583" priority="12" stopIfTrue="1" operator="lessThanOrEqual">
      <formula>0</formula>
    </cfRule>
    <cfRule type="cellIs" dxfId="582" priority="13" stopIfTrue="1" operator="greaterThan">
      <formula>$F$68</formula>
    </cfRule>
    <cfRule type="cellIs" dxfId="581" priority="14" stopIfTrue="1" operator="lessThanOrEqual">
      <formula>0</formula>
    </cfRule>
  </conditionalFormatting>
  <conditionalFormatting sqref="I59:I62">
    <cfRule type="cellIs" dxfId="580" priority="64" stopIfTrue="1" operator="greaterThan">
      <formula>$F$73</formula>
    </cfRule>
    <cfRule type="cellIs" dxfId="579" priority="65" stopIfTrue="1" operator="lessThanOrEqual">
      <formula>0</formula>
    </cfRule>
    <cfRule type="cellIs" dxfId="578" priority="62" stopIfTrue="1" operator="greaterThan">
      <formula>$F$71</formula>
    </cfRule>
    <cfRule type="cellIs" dxfId="577" priority="67" stopIfTrue="1" operator="lessThanOrEqual">
      <formula>0</formula>
    </cfRule>
    <cfRule type="cellIs" dxfId="576" priority="66" stopIfTrue="1" operator="greaterThan">
      <formula>$F$71</formula>
    </cfRule>
    <cfRule type="cellIs" dxfId="575" priority="63" stopIfTrue="1" operator="lessThanOrEqual">
      <formula>0</formula>
    </cfRule>
  </conditionalFormatting>
  <conditionalFormatting sqref="I63:I64">
    <cfRule type="cellIs" dxfId="574" priority="108" stopIfTrue="1" operator="greaterThan">
      <formula>#REF!</formula>
    </cfRule>
    <cfRule type="cellIs" dxfId="573" priority="107" stopIfTrue="1" operator="lessThanOrEqual">
      <formula>0</formula>
    </cfRule>
    <cfRule type="cellIs" dxfId="572" priority="109" stopIfTrue="1" operator="lessThanOrEqual">
      <formula>0</formula>
    </cfRule>
    <cfRule type="cellIs" dxfId="571" priority="106" stopIfTrue="1" operator="greaterThan">
      <formula>#REF!</formula>
    </cfRule>
    <cfRule type="cellIs" dxfId="570" priority="111" stopIfTrue="1" operator="lessThanOrEqual">
      <formula>0</formula>
    </cfRule>
    <cfRule type="cellIs" dxfId="569" priority="110" stopIfTrue="1" operator="greaterThan">
      <formula>#REF!</formula>
    </cfRule>
  </conditionalFormatting>
  <conditionalFormatting sqref="I65">
    <cfRule type="cellIs" dxfId="568" priority="124" stopIfTrue="1" operator="greaterThan">
      <formula>$F$39</formula>
    </cfRule>
    <cfRule type="cellIs" dxfId="567" priority="120" stopIfTrue="1" operator="greaterThan">
      <formula>$F$39</formula>
    </cfRule>
    <cfRule type="cellIs" dxfId="566" priority="121" stopIfTrue="1" operator="lessThanOrEqual">
      <formula>0</formula>
    </cfRule>
    <cfRule type="cellIs" dxfId="565" priority="122" stopIfTrue="1" operator="greaterThan">
      <formula>$F$41</formula>
    </cfRule>
    <cfRule type="cellIs" dxfId="564" priority="123" stopIfTrue="1" operator="lessThanOrEqual">
      <formula>0</formula>
    </cfRule>
    <cfRule type="cellIs" dxfId="563" priority="125" stopIfTrue="1" operator="lessThanOrEqual">
      <formula>0</formula>
    </cfRule>
  </conditionalFormatting>
  <conditionalFormatting sqref="I66:I67">
    <cfRule type="cellIs" dxfId="562" priority="90" stopIfTrue="1" operator="greaterThan">
      <formula>#REF!</formula>
    </cfRule>
    <cfRule type="cellIs" dxfId="561" priority="95" stopIfTrue="1" operator="lessThanOrEqual">
      <formula>0</formula>
    </cfRule>
    <cfRule type="cellIs" dxfId="560" priority="94" stopIfTrue="1" operator="greaterThan">
      <formula>#REF!</formula>
    </cfRule>
    <cfRule type="cellIs" dxfId="559" priority="93" stopIfTrue="1" operator="lessThanOrEqual">
      <formula>0</formula>
    </cfRule>
    <cfRule type="cellIs" dxfId="558" priority="92" stopIfTrue="1" operator="greaterThan">
      <formula>#REF!</formula>
    </cfRule>
    <cfRule type="cellIs" dxfId="557" priority="91" stopIfTrue="1" operator="lessThanOrEqual">
      <formula>0</formula>
    </cfRule>
  </conditionalFormatting>
  <conditionalFormatting sqref="I82:I90">
    <cfRule type="cellIs" dxfId="556" priority="155" stopIfTrue="1" operator="lessThanOrEqual">
      <formula>0</formula>
    </cfRule>
    <cfRule type="cellIs" dxfId="555" priority="154" stopIfTrue="1" operator="greaterThan">
      <formula>4.5</formula>
    </cfRule>
  </conditionalFormatting>
  <conditionalFormatting sqref="I10:J26">
    <cfRule type="cellIs" dxfId="554" priority="19" operator="lessThan">
      <formula>97.9</formula>
    </cfRule>
  </conditionalFormatting>
  <conditionalFormatting sqref="J29">
    <cfRule type="cellIs" dxfId="553" priority="57" operator="lessThan">
      <formula>97.95</formula>
    </cfRule>
  </conditionalFormatting>
  <conditionalFormatting sqref="J31">
    <cfRule type="cellIs" dxfId="552" priority="132" stopIfTrue="1" operator="greaterThan">
      <formula>100</formula>
    </cfRule>
    <cfRule type="cellIs" dxfId="551" priority="133" operator="lessThan">
      <formula>98</formula>
    </cfRule>
    <cfRule type="cellIs" dxfId="550" priority="131" stopIfTrue="1" operator="lessThan">
      <formula>96.8</formula>
    </cfRule>
  </conditionalFormatting>
  <conditionalFormatting sqref="J31:J33">
    <cfRule type="cellIs" dxfId="549" priority="130" operator="lessThan">
      <formula>97.4</formula>
    </cfRule>
  </conditionalFormatting>
  <conditionalFormatting sqref="J34:J35">
    <cfRule type="cellIs" dxfId="548" priority="134" operator="lessThan">
      <formula>98</formula>
    </cfRule>
  </conditionalFormatting>
  <conditionalFormatting sqref="J36:J37">
    <cfRule type="cellIs" dxfId="547" priority="136" stopIfTrue="1" operator="greaterThan">
      <formula>100</formula>
    </cfRule>
    <cfRule type="cellIs" dxfId="546" priority="135" stopIfTrue="1" operator="lessThan">
      <formula>96.8</formula>
    </cfRule>
  </conditionalFormatting>
  <conditionalFormatting sqref="J36:J38">
    <cfRule type="cellIs" dxfId="545" priority="137" operator="lessThan">
      <formula>98</formula>
    </cfRule>
  </conditionalFormatting>
  <conditionalFormatting sqref="J67">
    <cfRule type="cellIs" dxfId="544" priority="81" stopIfTrue="1" operator="lessThanOrEqual">
      <formula>0</formula>
    </cfRule>
    <cfRule type="cellIs" dxfId="543" priority="78" stopIfTrue="1" operator="greaterThan">
      <formula>#REF!</formula>
    </cfRule>
    <cfRule type="cellIs" dxfId="542" priority="83" stopIfTrue="1" operator="lessThanOrEqual">
      <formula>0</formula>
    </cfRule>
    <cfRule type="cellIs" dxfId="541" priority="79" stopIfTrue="1" operator="lessThanOrEqual">
      <formula>0</formula>
    </cfRule>
    <cfRule type="cellIs" dxfId="540" priority="82" stopIfTrue="1" operator="greaterThan">
      <formula>#REF!</formula>
    </cfRule>
    <cfRule type="cellIs" dxfId="539" priority="85" stopIfTrue="1" operator="lessThanOrEqual">
      <formula>0</formula>
    </cfRule>
    <cfRule type="cellIs" dxfId="538" priority="80" stopIfTrue="1" operator="greaterThan">
      <formula>#REF!</formula>
    </cfRule>
    <cfRule type="cellIs" dxfId="537" priority="84" stopIfTrue="1" operator="greaterThan">
      <formula>#REF!</formula>
    </cfRule>
  </conditionalFormatting>
  <conditionalFormatting sqref="J80">
    <cfRule type="cellIs" dxfId="536" priority="45" stopIfTrue="1" operator="lessThanOrEqual">
      <formula>0</formula>
    </cfRule>
    <cfRule type="cellIs" dxfId="535" priority="44" stopIfTrue="1" operator="greaterThan">
      <formula>$F80</formula>
    </cfRule>
  </conditionalFormatting>
  <conditionalFormatting sqref="K10:K26">
    <cfRule type="cellIs" dxfId="534" priority="21" operator="lessThan">
      <formula>4</formula>
    </cfRule>
    <cfRule type="cellIs" dxfId="533" priority="22" operator="greaterThan">
      <formula>6.4</formula>
    </cfRule>
    <cfRule type="cellIs" dxfId="532" priority="20" operator="greaterThan">
      <formula>6</formula>
    </cfRule>
  </conditionalFormatting>
  <conditionalFormatting sqref="K58:K67">
    <cfRule type="cellIs" dxfId="531" priority="72" stopIfTrue="1" operator="lessThan">
      <formula>100%</formula>
    </cfRule>
  </conditionalFormatting>
  <conditionalFormatting sqref="K82:K87">
    <cfRule type="cellIs" dxfId="530" priority="160" stopIfTrue="1" operator="lessThan">
      <formula>100%</formula>
    </cfRule>
  </conditionalFormatting>
  <conditionalFormatting sqref="K89:K90">
    <cfRule type="cellIs" dxfId="529" priority="167" stopIfTrue="1" operator="lessThan">
      <formula>100%</formula>
    </cfRule>
  </conditionalFormatting>
  <conditionalFormatting sqref="K71:M79">
    <cfRule type="cellIs" dxfId="528" priority="31" stopIfTrue="1" operator="lessThan">
      <formula>100%</formula>
    </cfRule>
  </conditionalFormatting>
  <conditionalFormatting sqref="L10:L26">
    <cfRule type="cellIs" dxfId="527" priority="24" operator="greaterThan">
      <formula>65</formula>
    </cfRule>
    <cfRule type="cellIs" dxfId="526" priority="23" operator="between">
      <formula>61</formula>
      <formula>65</formula>
    </cfRule>
  </conditionalFormatting>
  <conditionalFormatting sqref="L29:M40">
    <cfRule type="cellIs" dxfId="525" priority="74" operator="lessThan">
      <formula>97.95</formula>
    </cfRule>
  </conditionalFormatting>
  <conditionalFormatting sqref="L80:M80">
    <cfRule type="cellIs" dxfId="524" priority="46" stopIfTrue="1" operator="lessThan">
      <formula>100%</formula>
    </cfRule>
  </conditionalFormatting>
  <conditionalFormatting sqref="L44:N44">
    <cfRule type="cellIs" dxfId="523" priority="75" operator="notEqual">
      <formula>#REF!</formula>
    </cfRule>
  </conditionalFormatting>
  <conditionalFormatting sqref="L82:N90">
    <cfRule type="cellIs" dxfId="522" priority="145" stopIfTrue="1" operator="lessThan">
      <formula>100%</formula>
    </cfRule>
  </conditionalFormatting>
  <conditionalFormatting sqref="M10:M24">
    <cfRule type="expression" dxfId="521" priority="28">
      <formula>IF(+(IF(M10&lt;U10,0,IF(M10&gt;V10,0,1)))=0,1)</formula>
    </cfRule>
  </conditionalFormatting>
  <conditionalFormatting sqref="M10:N23 H10:H26">
    <cfRule type="expression" dxfId="520" priority="30">
      <formula>IF(+(IF(H10&lt;#REF!,0,IF(H10&gt;#REF!,0,1)))=0,1)</formula>
    </cfRule>
  </conditionalFormatting>
  <conditionalFormatting sqref="M25:N26">
    <cfRule type="expression" dxfId="519" priority="73">
      <formula>IF(+(IF(M25&lt;#REF!,0,IF(M25&gt;#REF!,0,1)))=0,1)</formula>
    </cfRule>
  </conditionalFormatting>
  <conditionalFormatting sqref="N10:N24">
    <cfRule type="expression" dxfId="518" priority="27">
      <formula>IF(+(IF(N10&lt;W10,0,IF(N10&gt;X10,0,1)))=0,1)</formula>
    </cfRule>
  </conditionalFormatting>
  <conditionalFormatting sqref="N71:N80">
    <cfRule type="cellIs" dxfId="517" priority="56" stopIfTrue="1" operator="lessThan">
      <formula>100%</formula>
    </cfRule>
  </conditionalFormatting>
  <conditionalFormatting sqref="P6">
    <cfRule type="cellIs" dxfId="516" priority="141" operator="greaterThanOrEqual">
      <formula>19</formula>
    </cfRule>
  </conditionalFormatting>
  <dataValidations count="1">
    <dataValidation type="list" allowBlank="1" showInputMessage="1" showErrorMessage="1" sqref="R8" xr:uid="{B4581E85-9DEF-4FEA-975F-C8F17A073BD5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4" max="16383" man="1"/>
  </rowBreaks>
  <colBreaks count="1" manualBreakCount="1">
    <brk id="15" max="89" man="1"/>
  </colBreak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4050E-68CF-4D63-9135-6BA32C53A76C}">
  <sheetPr>
    <pageSetUpPr fitToPage="1"/>
  </sheetPr>
  <dimension ref="A1:BE75"/>
  <sheetViews>
    <sheetView topLeftCell="A19" zoomScale="80" zoomScaleNormal="80" workbookViewId="0">
      <selection activeCell="P16" sqref="P16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20.7109375" style="275" customWidth="1"/>
    <col min="10" max="10" width="24.140625" style="275" bestFit="1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5" t="s">
        <v>0</v>
      </c>
      <c r="T1" s="555"/>
      <c r="U1" s="555" t="s">
        <v>1</v>
      </c>
      <c r="V1" s="555"/>
      <c r="W1" s="555" t="s">
        <v>2</v>
      </c>
      <c r="X1" s="555"/>
      <c r="Y1" s="555" t="s">
        <v>124</v>
      </c>
      <c r="Z1" s="555"/>
    </row>
    <row r="2" spans="2:29" ht="15">
      <c r="B2" s="556" t="s">
        <v>3</v>
      </c>
      <c r="C2" s="556"/>
      <c r="D2" s="556"/>
      <c r="E2" s="556"/>
      <c r="F2" s="556"/>
      <c r="G2" s="556"/>
      <c r="H2" s="556"/>
      <c r="I2" s="556"/>
      <c r="J2" s="556"/>
      <c r="K2" s="556"/>
      <c r="L2" s="556"/>
      <c r="M2" s="556"/>
      <c r="N2" s="556"/>
      <c r="O2" s="556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46141</v>
      </c>
      <c r="J4" s="398" t="s">
        <v>167</v>
      </c>
      <c r="K4" s="398"/>
      <c r="L4" s="11"/>
      <c r="M4" s="553" t="s">
        <v>8</v>
      </c>
      <c r="N4" s="554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2"/>
      <c r="D5" s="542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6" t="s">
        <v>17</v>
      </c>
      <c r="C8" s="517" t="s">
        <v>18</v>
      </c>
      <c r="D8" s="517" t="s">
        <v>19</v>
      </c>
      <c r="E8" s="356" t="s">
        <v>20</v>
      </c>
      <c r="F8" s="356" t="s">
        <v>21</v>
      </c>
      <c r="G8" s="517" t="s">
        <v>22</v>
      </c>
      <c r="H8" s="544" t="s">
        <v>144</v>
      </c>
      <c r="I8" s="517" t="s">
        <v>165</v>
      </c>
      <c r="J8" s="546" t="s">
        <v>23</v>
      </c>
      <c r="K8" s="548" t="s">
        <v>142</v>
      </c>
      <c r="L8" s="550" t="s">
        <v>24</v>
      </c>
      <c r="M8" s="359" t="s">
        <v>25</v>
      </c>
      <c r="N8" s="17" t="s">
        <v>169</v>
      </c>
      <c r="O8" s="510" t="s">
        <v>155</v>
      </c>
      <c r="P8" s="540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43"/>
      <c r="C9" s="541"/>
      <c r="D9" s="541"/>
      <c r="E9" s="357" t="s">
        <v>30</v>
      </c>
      <c r="F9" s="357" t="s">
        <v>31</v>
      </c>
      <c r="G9" s="541"/>
      <c r="H9" s="545"/>
      <c r="I9" s="541"/>
      <c r="J9" s="547"/>
      <c r="K9" s="549"/>
      <c r="L9" s="551"/>
      <c r="M9" s="20" t="s">
        <v>32</v>
      </c>
      <c r="N9" s="21" t="s">
        <v>41</v>
      </c>
      <c r="O9" s="552"/>
      <c r="P9" s="541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>
      <c r="B10" s="29" t="s">
        <v>6</v>
      </c>
      <c r="C10" s="366" t="str">
        <f>[4]Brewhouse!$A368</f>
        <v>CA324</v>
      </c>
      <c r="D10" s="279">
        <f>[4]Brewhouse!$AF368</f>
        <v>52.5</v>
      </c>
      <c r="E10" s="279">
        <f>[4]Brewhouse!$AI368</f>
        <v>50.5</v>
      </c>
      <c r="F10" s="278">
        <f>[4]Brewhouse!$V368</f>
        <v>67</v>
      </c>
      <c r="G10" s="279">
        <f>[4]Brewhouse!AG368</f>
        <v>12</v>
      </c>
      <c r="H10" s="396">
        <v>12</v>
      </c>
      <c r="I10" s="368">
        <f>[4]Brewhouse!$AU368</f>
        <v>99.467995204961397</v>
      </c>
      <c r="J10" s="368">
        <f>[4]Brewhouse!$AV368</f>
        <v>101.08392798948496</v>
      </c>
      <c r="K10" s="281">
        <f>[4]Brewhouse!$Q368</f>
        <v>5.0277264325323454</v>
      </c>
      <c r="L10" s="276">
        <f>[4]Brewhouse!$P368</f>
        <v>58</v>
      </c>
      <c r="M10" s="397">
        <f>[4]Brewhouse!$U368-[4]Brewhouse!$T368</f>
        <v>0.12083333333333332</v>
      </c>
      <c r="N10" s="370">
        <f>[4]Brewhouse!$Z368</f>
        <v>0.26805555555555555</v>
      </c>
      <c r="O10" s="420" t="str">
        <f>[4]Brewhouse!$AX368</f>
        <v>R. Sookram</v>
      </c>
      <c r="P10" s="418" t="s">
        <v>198</v>
      </c>
      <c r="R10" s="277" t="str">
        <f t="shared" ref="R10:R35" si="0">B10</f>
        <v>CARIB</v>
      </c>
      <c r="S10" s="472">
        <f t="shared" ref="S10:S35" si="1">VLOOKUP($B10,$R$3:$X$9,2,FALSE)</f>
        <v>11.6</v>
      </c>
      <c r="T10" s="472">
        <f t="shared" ref="T10:T35" si="2">VLOOKUP($B10,$R$3:$X$9,3,FALSE)</f>
        <v>12</v>
      </c>
      <c r="U10" s="297">
        <f t="shared" ref="U10:U35" si="3">VLOOKUP($B10,$R$3:$X$9,4,FALSE)</f>
        <v>0</v>
      </c>
      <c r="V10" s="297">
        <f t="shared" ref="V10:V35" si="4">VLOOKUP($B10,$R$3:$X$9,5,FALSE)</f>
        <v>0.118055555555556</v>
      </c>
      <c r="W10" s="297">
        <f t="shared" ref="W10:W35" si="5">VLOOKUP($B10,$R$3:$X$9,6,FALSE)</f>
        <v>0.22569444444444445</v>
      </c>
      <c r="X10" s="297">
        <f t="shared" ref="X10:X35" si="6">VLOOKUP($B10,$R$3:$X$9,7,FALSE)</f>
        <v>0.2638888888888889</v>
      </c>
      <c r="Y10" s="297">
        <f t="shared" ref="Y10:Y35" si="7">VLOOKUP($B10,$R$3:$Z$9,8,FALSE)</f>
        <v>0</v>
      </c>
      <c r="Z10" s="472">
        <f t="shared" ref="Z10:Z35" si="8">VLOOKUP($B10,$R$3:$Z$9,9,FALSE)</f>
        <v>60</v>
      </c>
    </row>
    <row r="11" spans="2:29" ht="15">
      <c r="B11" s="29" t="s">
        <v>6</v>
      </c>
      <c r="C11" s="366" t="str">
        <f>[4]Brewhouse!$A369</f>
        <v>CA325</v>
      </c>
      <c r="D11" s="279">
        <f>[4]Brewhouse!$AF369</f>
        <v>51</v>
      </c>
      <c r="E11" s="279">
        <f>[4]Brewhouse!$AI369</f>
        <v>49.4</v>
      </c>
      <c r="F11" s="278">
        <f>[4]Brewhouse!$V369</f>
        <v>57</v>
      </c>
      <c r="G11" s="279">
        <f>[4]Brewhouse!AG369</f>
        <v>11.8</v>
      </c>
      <c r="H11" s="396">
        <v>11.9</v>
      </c>
      <c r="I11" s="368">
        <f>[4]Brewhouse!$AU369</f>
        <v>96.072078638210456</v>
      </c>
      <c r="J11" s="368">
        <f>[4]Brewhouse!$AV369</f>
        <v>97.632432569147824</v>
      </c>
      <c r="K11" s="281">
        <f>[4]Brewhouse!$Q369</f>
        <v>7.0609981515711642</v>
      </c>
      <c r="L11" s="276">
        <f>[4]Brewhouse!$P369</f>
        <v>62</v>
      </c>
      <c r="M11" s="397">
        <f>[4]Brewhouse!$U369-[4]Brewhouse!$T369</f>
        <v>0.11527777777777776</v>
      </c>
      <c r="N11" s="370">
        <f>[4]Brewhouse!$Z369</f>
        <v>0.28472222222222221</v>
      </c>
      <c r="O11" s="420" t="str">
        <f>[4]Brewhouse!$AX369</f>
        <v>R. Sookram</v>
      </c>
      <c r="P11" s="418"/>
      <c r="R11" s="277" t="str">
        <f t="shared" si="0"/>
        <v>CARIB</v>
      </c>
      <c r="S11" s="472">
        <f t="shared" si="1"/>
        <v>11.6</v>
      </c>
      <c r="T11" s="472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2">
        <f t="shared" si="8"/>
        <v>60</v>
      </c>
    </row>
    <row r="12" spans="2:29" ht="15">
      <c r="B12" s="29" t="s">
        <v>6</v>
      </c>
      <c r="C12" s="366" t="str">
        <f>[4]Brewhouse!$A370</f>
        <v>CA326</v>
      </c>
      <c r="D12" s="279">
        <f>[4]Brewhouse!$AF370</f>
        <v>51.8</v>
      </c>
      <c r="E12" s="279">
        <f>[4]Brewhouse!$AI370</f>
        <v>50.3</v>
      </c>
      <c r="F12" s="278">
        <f>[4]Brewhouse!$V370</f>
        <v>65</v>
      </c>
      <c r="G12" s="279">
        <f>[4]Brewhouse!AG370</f>
        <v>11.8</v>
      </c>
      <c r="H12" s="396">
        <v>12</v>
      </c>
      <c r="I12" s="368">
        <f>[4]Brewhouse!$AU370</f>
        <v>97.701006857023984</v>
      </c>
      <c r="J12" s="368">
        <f>[4]Brewhouse!$AV370</f>
        <v>99.287921542172583</v>
      </c>
      <c r="K12" s="281">
        <f>[4]Brewhouse!$Q370</f>
        <v>5.407407407407411</v>
      </c>
      <c r="L12" s="276">
        <f>[4]Brewhouse!$P370</f>
        <v>60</v>
      </c>
      <c r="M12" s="397">
        <f>[4]Brewhouse!$U370-[4]Brewhouse!$T370</f>
        <v>0.11805555555555558</v>
      </c>
      <c r="N12" s="370">
        <f>[4]Brewhouse!$Z370</f>
        <v>0.27361111111111114</v>
      </c>
      <c r="O12" s="420" t="str">
        <f>[4]Brewhouse!$AX370</f>
        <v>R. Sookram</v>
      </c>
      <c r="P12" s="418"/>
      <c r="R12" s="277" t="str">
        <f t="shared" ref="R12:R19" si="9">B12</f>
        <v>CARIB</v>
      </c>
      <c r="S12" s="472">
        <f t="shared" si="1"/>
        <v>11.6</v>
      </c>
      <c r="T12" s="472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2">
        <f t="shared" si="8"/>
        <v>60</v>
      </c>
    </row>
    <row r="13" spans="2:29" ht="15">
      <c r="B13" s="29"/>
      <c r="C13" s="366"/>
      <c r="D13" s="279"/>
      <c r="E13" s="279"/>
      <c r="F13" s="278"/>
      <c r="G13" s="279"/>
      <c r="H13" s="482"/>
      <c r="I13" s="368"/>
      <c r="J13" s="368"/>
      <c r="K13" s="281"/>
      <c r="L13" s="276"/>
      <c r="M13" s="397"/>
      <c r="N13" s="370"/>
      <c r="O13" s="420"/>
      <c r="P13" s="418"/>
      <c r="R13" s="277">
        <f t="shared" si="9"/>
        <v>0</v>
      </c>
      <c r="S13" s="472" t="e">
        <f t="shared" si="1"/>
        <v>#N/A</v>
      </c>
      <c r="T13" s="472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472" t="e">
        <f t="shared" si="8"/>
        <v>#N/A</v>
      </c>
    </row>
    <row r="14" spans="2:29" ht="15">
      <c r="B14" s="34" t="s">
        <v>12</v>
      </c>
      <c r="C14" s="366" t="str">
        <f>[5]Brewhouse!$A51</f>
        <v>GU033</v>
      </c>
      <c r="D14" s="279">
        <f>[5]Brewhouse!$AF51</f>
        <v>58.2</v>
      </c>
      <c r="E14" s="279">
        <f>[5]Brewhouse!$AI51</f>
        <v>54.1</v>
      </c>
      <c r="F14" s="278">
        <f>[5]Brewhouse!$V51</f>
        <v>62</v>
      </c>
      <c r="G14" s="279">
        <f>[5]Brewhouse!$AG51</f>
        <v>16.600000000000001</v>
      </c>
      <c r="H14" s="482">
        <v>16.600000000000001</v>
      </c>
      <c r="I14" s="484">
        <f>[5]Brewhouse!$AU51</f>
        <v>96.505256206141482</v>
      </c>
      <c r="J14" s="484">
        <f>[5]Brewhouse!$AV51</f>
        <v>97.861011752682671</v>
      </c>
      <c r="K14" s="485">
        <f>[5]Brewhouse!$R51</f>
        <v>6.7500000000000018</v>
      </c>
      <c r="L14" s="276">
        <f>[5]Brewhouse!$O51</f>
        <v>59</v>
      </c>
      <c r="M14" s="374">
        <f>[5]Brewhouse!$U51-[5]Brewhouse!$T51</f>
        <v>0.15138888888888891</v>
      </c>
      <c r="N14" s="370">
        <f>[5]Brewhouse!$Z51</f>
        <v>0.30000000000000004</v>
      </c>
      <c r="O14" s="420" t="str">
        <f>[5]Brewhouse!$AW51</f>
        <v>K. Benjamin</v>
      </c>
      <c r="P14" s="418"/>
      <c r="R14" s="277" t="str">
        <f t="shared" si="9"/>
        <v>GUINNESS</v>
      </c>
      <c r="S14" s="472">
        <f t="shared" si="1"/>
        <v>17</v>
      </c>
      <c r="T14" s="472">
        <f t="shared" si="2"/>
        <v>17.5</v>
      </c>
      <c r="U14" s="297">
        <f t="shared" si="3"/>
        <v>0</v>
      </c>
      <c r="V14" s="297">
        <f t="shared" si="4"/>
        <v>0.1076388888888889</v>
      </c>
      <c r="W14" s="297">
        <f t="shared" si="5"/>
        <v>0.24652777777777779</v>
      </c>
      <c r="X14" s="297">
        <f t="shared" si="6"/>
        <v>0.28472222222222221</v>
      </c>
      <c r="Y14" s="297">
        <f t="shared" si="7"/>
        <v>0</v>
      </c>
      <c r="Z14" s="472">
        <f t="shared" si="8"/>
        <v>60</v>
      </c>
    </row>
    <row r="15" spans="2:29" ht="15">
      <c r="B15" s="34" t="s">
        <v>12</v>
      </c>
      <c r="C15" s="366" t="str">
        <f>[5]Brewhouse!$A52</f>
        <v>GU034</v>
      </c>
      <c r="D15" s="279">
        <f>[5]Brewhouse!$AF52</f>
        <v>54.8</v>
      </c>
      <c r="E15" s="279">
        <f>[5]Brewhouse!$AI52</f>
        <v>50.9</v>
      </c>
      <c r="F15" s="278">
        <f>[5]Brewhouse!$V52</f>
        <v>59</v>
      </c>
      <c r="G15" s="279">
        <f>[5]Brewhouse!$AG52</f>
        <v>17.2</v>
      </c>
      <c r="H15" s="396">
        <v>17.2</v>
      </c>
      <c r="I15" s="484">
        <f>[5]Brewhouse!$AU52</f>
        <v>94.58580500070201</v>
      </c>
      <c r="J15" s="484">
        <f>[5]Brewhouse!$AV52</f>
        <v>95.913676440434685</v>
      </c>
      <c r="K15" s="485">
        <f>[5]Brewhouse!$R52</f>
        <v>7.5387263339070616</v>
      </c>
      <c r="L15" s="276">
        <f>[5]Brewhouse!$O52</f>
        <v>61</v>
      </c>
      <c r="M15" s="374">
        <f>[5]Brewhouse!$U52-[5]Brewhouse!$T52</f>
        <v>0.13194444444444442</v>
      </c>
      <c r="N15" s="370">
        <f>[5]Brewhouse!$Z52</f>
        <v>0.30277777777777781</v>
      </c>
      <c r="O15" s="420" t="str">
        <f>[5]Brewhouse!$AW52</f>
        <v>K. Benjamin</v>
      </c>
      <c r="P15" s="418"/>
      <c r="R15" s="277" t="str">
        <f t="shared" si="9"/>
        <v>GUINNESS</v>
      </c>
      <c r="S15" s="472">
        <f t="shared" si="1"/>
        <v>17</v>
      </c>
      <c r="T15" s="472">
        <f t="shared" si="2"/>
        <v>17.5</v>
      </c>
      <c r="U15" s="297">
        <f t="shared" si="3"/>
        <v>0</v>
      </c>
      <c r="V15" s="297">
        <f t="shared" si="4"/>
        <v>0.1076388888888889</v>
      </c>
      <c r="W15" s="297">
        <f t="shared" si="5"/>
        <v>0.24652777777777779</v>
      </c>
      <c r="X15" s="297">
        <f t="shared" si="6"/>
        <v>0.28472222222222221</v>
      </c>
      <c r="Y15" s="297">
        <f t="shared" si="7"/>
        <v>0</v>
      </c>
      <c r="Z15" s="472">
        <f t="shared" si="8"/>
        <v>60</v>
      </c>
    </row>
    <row r="16" spans="2:29" ht="15">
      <c r="B16" s="34" t="s">
        <v>12</v>
      </c>
      <c r="C16" s="366" t="str">
        <f>[5]Brewhouse!$A53</f>
        <v>GU035</v>
      </c>
      <c r="D16" s="279">
        <f>[5]Brewhouse!$AF53</f>
        <v>56.1</v>
      </c>
      <c r="E16" s="279">
        <f>[5]Brewhouse!$AI53</f>
        <v>52.4</v>
      </c>
      <c r="F16" s="278">
        <f>[5]Brewhouse!$V53</f>
        <v>60</v>
      </c>
      <c r="G16" s="279">
        <f>[5]Brewhouse!$AG53</f>
        <v>17.399999999999999</v>
      </c>
      <c r="H16" s="396">
        <v>17.5</v>
      </c>
      <c r="I16" s="484">
        <f>[5]Brewhouse!$AU53</f>
        <v>98.906990347725127</v>
      </c>
      <c r="J16" s="484">
        <f>[5]Brewhouse!$AV53</f>
        <v>100.29455929239947</v>
      </c>
      <c r="K16" s="485">
        <f>[5]Brewhouse!$R53</f>
        <v>5.3012048192771051</v>
      </c>
      <c r="L16" s="276">
        <f>[5]Brewhouse!$O53</f>
        <v>58</v>
      </c>
      <c r="M16" s="374">
        <f>[5]Brewhouse!$U53-[5]Brewhouse!$T53</f>
        <v>0.12361111111111112</v>
      </c>
      <c r="N16" s="370">
        <f>[5]Brewhouse!$Z53</f>
        <v>0.28958333333333341</v>
      </c>
      <c r="O16" s="420" t="str">
        <f>[5]Brewhouse!$AW53</f>
        <v>R. Regis</v>
      </c>
      <c r="P16" s="418" t="s">
        <v>197</v>
      </c>
      <c r="R16" s="277" t="str">
        <f t="shared" si="9"/>
        <v>GUINNESS</v>
      </c>
      <c r="S16" s="472">
        <f t="shared" si="1"/>
        <v>17</v>
      </c>
      <c r="T16" s="472">
        <f t="shared" si="2"/>
        <v>17.5</v>
      </c>
      <c r="U16" s="297">
        <f t="shared" si="3"/>
        <v>0</v>
      </c>
      <c r="V16" s="297">
        <f t="shared" si="4"/>
        <v>0.1076388888888889</v>
      </c>
      <c r="W16" s="297">
        <f t="shared" si="5"/>
        <v>0.24652777777777779</v>
      </c>
      <c r="X16" s="297">
        <f t="shared" si="6"/>
        <v>0.28472222222222221</v>
      </c>
      <c r="Y16" s="297">
        <f t="shared" si="7"/>
        <v>0</v>
      </c>
      <c r="Z16" s="472">
        <f t="shared" si="8"/>
        <v>60</v>
      </c>
    </row>
    <row r="17" spans="1:27" ht="15">
      <c r="B17" s="34" t="s">
        <v>12</v>
      </c>
      <c r="C17" s="366" t="str">
        <f>[5]Brewhouse!$A54</f>
        <v>GU036</v>
      </c>
      <c r="D17" s="279">
        <f>[5]Brewhouse!$AF54</f>
        <v>54.2</v>
      </c>
      <c r="E17" s="279">
        <f>[5]Brewhouse!$AI54</f>
        <v>50.6</v>
      </c>
      <c r="F17" s="278">
        <f>[5]Brewhouse!$V54</f>
        <v>61</v>
      </c>
      <c r="G17" s="279">
        <f>[5]Brewhouse!$AG54</f>
        <v>17.3</v>
      </c>
      <c r="H17" s="396">
        <v>17.3</v>
      </c>
      <c r="I17" s="484">
        <f>[5]Brewhouse!$AU54</f>
        <v>94.944884823994201</v>
      </c>
      <c r="J17" s="484">
        <f>[5]Brewhouse!$AV54</f>
        <v>96.276869279029114</v>
      </c>
      <c r="K17" s="485">
        <f>[5]Brewhouse!$R54</f>
        <v>6.3814616755793194</v>
      </c>
      <c r="L17" s="276">
        <f>[5]Brewhouse!$O54</f>
        <v>57</v>
      </c>
      <c r="M17" s="374">
        <f>[5]Brewhouse!$U54-[5]Brewhouse!$T54</f>
        <v>0.1166666666666667</v>
      </c>
      <c r="N17" s="370">
        <f>[5]Brewhouse!$Z54</f>
        <v>0.28749999999999998</v>
      </c>
      <c r="O17" s="420" t="str">
        <f>[5]Brewhouse!$AW54</f>
        <v>R. Regis</v>
      </c>
      <c r="P17" s="418"/>
      <c r="R17" s="277" t="str">
        <f t="shared" si="9"/>
        <v>GUINNESS</v>
      </c>
      <c r="S17" s="472">
        <f t="shared" si="1"/>
        <v>17</v>
      </c>
      <c r="T17" s="472">
        <f t="shared" si="2"/>
        <v>17.5</v>
      </c>
      <c r="U17" s="297">
        <f t="shared" si="3"/>
        <v>0</v>
      </c>
      <c r="V17" s="297">
        <f t="shared" si="4"/>
        <v>0.1076388888888889</v>
      </c>
      <c r="W17" s="297">
        <f t="shared" si="5"/>
        <v>0.24652777777777779</v>
      </c>
      <c r="X17" s="297">
        <f t="shared" si="6"/>
        <v>0.28472222222222221</v>
      </c>
      <c r="Y17" s="297">
        <f t="shared" si="7"/>
        <v>0</v>
      </c>
      <c r="Z17" s="472">
        <f t="shared" si="8"/>
        <v>60</v>
      </c>
    </row>
    <row r="18" spans="1:27" ht="15">
      <c r="B18" s="34" t="s">
        <v>12</v>
      </c>
      <c r="C18" s="366" t="str">
        <f>[5]Brewhouse!$A55</f>
        <v>GU037</v>
      </c>
      <c r="D18" s="279">
        <f>[5]Brewhouse!$AF55</f>
        <v>54.4</v>
      </c>
      <c r="E18" s="279">
        <f>[5]Brewhouse!$AI55</f>
        <v>50.8</v>
      </c>
      <c r="F18" s="278">
        <f>[5]Brewhouse!$V55</f>
        <v>60</v>
      </c>
      <c r="G18" s="279">
        <f>[5]Brewhouse!$AG55</f>
        <v>17.3</v>
      </c>
      <c r="H18" s="396">
        <v>17.3</v>
      </c>
      <c r="I18" s="484">
        <f>[5]Brewhouse!$AU55</f>
        <v>95.472821437606697</v>
      </c>
      <c r="J18" s="484">
        <f>[5]Brewhouse!$AV55</f>
        <v>96.811743497295893</v>
      </c>
      <c r="K18" s="485">
        <f>[5]Brewhouse!$R55</f>
        <v>4.9554367201426048</v>
      </c>
      <c r="L18" s="276">
        <f>[5]Brewhouse!$O55</f>
        <v>56</v>
      </c>
      <c r="M18" s="374">
        <f>[5]Brewhouse!$U55-[5]Brewhouse!$T55</f>
        <v>0.11527777777777781</v>
      </c>
      <c r="N18" s="370">
        <f>[5]Brewhouse!$Z55</f>
        <v>0.26875000000000004</v>
      </c>
      <c r="O18" s="420" t="str">
        <f>[5]Brewhouse!$AW55</f>
        <v>R. Regis</v>
      </c>
      <c r="P18" s="418"/>
      <c r="R18" s="277" t="str">
        <f t="shared" si="9"/>
        <v>GUINNESS</v>
      </c>
      <c r="S18" s="472">
        <f t="shared" si="1"/>
        <v>17</v>
      </c>
      <c r="T18" s="472">
        <f t="shared" si="2"/>
        <v>17.5</v>
      </c>
      <c r="U18" s="297">
        <f t="shared" si="3"/>
        <v>0</v>
      </c>
      <c r="V18" s="297">
        <f t="shared" si="4"/>
        <v>0.1076388888888889</v>
      </c>
      <c r="W18" s="297">
        <f t="shared" si="5"/>
        <v>0.24652777777777779</v>
      </c>
      <c r="X18" s="297">
        <f t="shared" si="6"/>
        <v>0.28472222222222221</v>
      </c>
      <c r="Y18" s="297">
        <f t="shared" si="7"/>
        <v>0</v>
      </c>
      <c r="Z18" s="472">
        <f t="shared" si="8"/>
        <v>60</v>
      </c>
    </row>
    <row r="19" spans="1:27" ht="15">
      <c r="B19" s="34"/>
      <c r="C19" s="366"/>
      <c r="D19" s="279"/>
      <c r="E19" s="279"/>
      <c r="F19" s="278"/>
      <c r="G19" s="279"/>
      <c r="H19" s="396"/>
      <c r="I19" s="484"/>
      <c r="J19" s="484"/>
      <c r="K19" s="485"/>
      <c r="L19" s="276"/>
      <c r="M19" s="374"/>
      <c r="N19" s="370"/>
      <c r="O19" s="420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7" ht="18" customHeight="1">
      <c r="B20" s="29"/>
      <c r="C20" s="366"/>
      <c r="D20" s="279"/>
      <c r="E20" s="279"/>
      <c r="F20" s="278"/>
      <c r="G20" s="279"/>
      <c r="H20" s="482"/>
      <c r="I20" s="368"/>
      <c r="J20" s="368"/>
      <c r="K20" s="281"/>
      <c r="L20" s="276"/>
      <c r="M20" s="374"/>
      <c r="N20" s="370"/>
      <c r="O20" s="371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7" ht="16.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18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7" ht="15.75" customHeight="1" thickBot="1">
      <c r="B22" s="358"/>
      <c r="C22" s="358"/>
      <c r="D22" s="358"/>
      <c r="E22" s="358"/>
      <c r="F22" s="294"/>
      <c r="G22" s="294"/>
      <c r="H22" s="348"/>
      <c r="I22" s="533"/>
      <c r="J22" s="533"/>
      <c r="K22" s="533"/>
      <c r="L22" s="533"/>
      <c r="M22" s="533"/>
      <c r="N22" s="533"/>
      <c r="O22" s="1"/>
      <c r="P22" s="12"/>
      <c r="R22" s="277">
        <f t="shared" si="0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7" ht="15.75" customHeight="1" thickBot="1">
      <c r="B23" s="388" t="s">
        <v>162</v>
      </c>
      <c r="C23" s="388"/>
      <c r="D23" s="534" t="s">
        <v>35</v>
      </c>
      <c r="E23" s="535"/>
      <c r="F23" s="294"/>
      <c r="G23" s="294"/>
      <c r="H23" s="348"/>
      <c r="I23" s="24" t="s">
        <v>17</v>
      </c>
      <c r="J23" s="25"/>
      <c r="K23" s="26" t="s">
        <v>138</v>
      </c>
      <c r="L23" s="25" t="s">
        <v>37</v>
      </c>
      <c r="M23" s="25" t="s">
        <v>38</v>
      </c>
      <c r="N23" s="27" t="s">
        <v>39</v>
      </c>
      <c r="O23" s="294"/>
      <c r="P23" s="12"/>
      <c r="R23" s="277" t="str">
        <f t="shared" si="0"/>
        <v xml:space="preserve">BRAND 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7" ht="15" customHeight="1">
      <c r="A24" s="28"/>
      <c r="B24" s="519"/>
      <c r="C24" s="362"/>
      <c r="D24" s="537"/>
      <c r="E24" s="538"/>
      <c r="F24" s="294"/>
      <c r="G24" s="294"/>
      <c r="H24" s="348"/>
      <c r="I24" s="29" t="s">
        <v>6</v>
      </c>
      <c r="J24" s="323">
        <f>AVERAGE(I10:I12)</f>
        <v>97.747026900065279</v>
      </c>
      <c r="K24" s="284">
        <f>COUNTA([4]Brewhouse!$B$292:$B$370)</f>
        <v>79</v>
      </c>
      <c r="L24" s="305">
        <f>AVERAGE([4]Brewhouse!$AU$292:$AU$370)</f>
        <v>98.399195934884048</v>
      </c>
      <c r="M24" s="305">
        <f>AVERAGE([4]Brewhouse!$AU$42:$AU$123,[4]Brewhouse!$AU$125:$AU$188,[4]Brewhouse!$AU$198:$AU$290,[4]Brewhouse!$AU$292:$AU$370)</f>
        <v>98.004650690144786</v>
      </c>
      <c r="N24" s="30">
        <v>98</v>
      </c>
      <c r="O24" s="11"/>
      <c r="P24" s="31"/>
      <c r="R24" s="277">
        <f t="shared" si="0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7" ht="15" customHeight="1">
      <c r="A25" s="28"/>
      <c r="B25" s="520"/>
      <c r="C25" s="362"/>
      <c r="D25" s="539"/>
      <c r="E25" s="525"/>
      <c r="F25" s="294"/>
      <c r="G25" s="294"/>
      <c r="H25" s="348"/>
      <c r="I25" s="33" t="s">
        <v>9</v>
      </c>
      <c r="J25" s="280"/>
      <c r="K25" s="284">
        <f>COUNTA([3]Brewhouse!$A$179:$A$212)</f>
        <v>34</v>
      </c>
      <c r="L25" s="302">
        <f>AVERAGE([3]Brewhouse!$AS$179:$AS$212)</f>
        <v>98.650555109459972</v>
      </c>
      <c r="M25" s="302">
        <f>AVERAGE([3]Brewhouse!$AS$52:$AS$81,[3]Brewhouse!$AS$83:$AS$124,[3]Brewhouse!$AS$134:$AS$177,[3]Brewhouse!$AS$22:$AS$179)</f>
        <v>97.946757744825319</v>
      </c>
      <c r="N25" s="30">
        <v>98</v>
      </c>
      <c r="O25" s="11"/>
      <c r="P25" s="31"/>
      <c r="R25" s="277">
        <f t="shared" si="0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7" ht="14.65" customHeight="1">
      <c r="A26" s="28"/>
      <c r="B26" s="520"/>
      <c r="C26" s="362"/>
      <c r="D26" s="529"/>
      <c r="E26" s="530"/>
      <c r="F26" s="294"/>
      <c r="G26" s="294"/>
      <c r="H26" s="348"/>
      <c r="I26" s="34" t="s">
        <v>12</v>
      </c>
      <c r="J26" s="280">
        <f>AVERAGE(I14:I18)</f>
        <v>96.083151563233898</v>
      </c>
      <c r="K26" s="284">
        <f>COUNTA([5]Brewhouse!$A$43:$A$55)</f>
        <v>13</v>
      </c>
      <c r="L26" s="302">
        <f>AVERAGE([5]Brewhouse!$AU$43:$AU$55)</f>
        <v>96.169461875799271</v>
      </c>
      <c r="M26" s="302">
        <f>AVERAGE([5]Brewhouse!$AU$16:$AU$23,[5]Brewhouse!$AU$25:$AU$32,[5]Brewhouse!$AU$34:$AU$41,[5]Brewhouse!$AU$43:$AU$55)</f>
        <v>96.793456653928644</v>
      </c>
      <c r="N26" s="30">
        <v>98</v>
      </c>
      <c r="O26" s="11"/>
      <c r="P26" s="31"/>
      <c r="R26" s="277">
        <f t="shared" si="0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7" ht="14.65" customHeight="1">
      <c r="A27" s="28"/>
      <c r="B27" s="520"/>
      <c r="C27" s="362"/>
      <c r="D27" s="524"/>
      <c r="E27" s="525"/>
      <c r="F27" s="294"/>
      <c r="G27" s="294"/>
      <c r="H27" s="348"/>
      <c r="I27" s="22" t="s">
        <v>33</v>
      </c>
      <c r="J27" s="280"/>
      <c r="K27" s="284"/>
      <c r="L27" s="302"/>
      <c r="M27" s="302">
        <f>AVERAGE([6]Brewhouse!$AV$23:$AV$34,[6]Brewhouse!$AV$36,[6]Brewhouse!$AV$38:$AV$52)</f>
        <v>97.639832259312456</v>
      </c>
      <c r="N27" s="30">
        <v>98</v>
      </c>
      <c r="O27" s="11"/>
      <c r="P27" s="31"/>
      <c r="R27" s="277">
        <f t="shared" si="0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7" ht="14.65" customHeight="1">
      <c r="A28" s="28"/>
      <c r="B28" s="520"/>
      <c r="C28" s="362"/>
      <c r="D28" s="529"/>
      <c r="E28" s="530"/>
      <c r="F28" s="417"/>
      <c r="G28" s="294"/>
      <c r="H28" s="348"/>
      <c r="I28" s="35" t="s">
        <v>29</v>
      </c>
      <c r="J28" s="280"/>
      <c r="K28" s="284"/>
      <c r="L28" s="302"/>
      <c r="M28" s="302"/>
      <c r="N28" s="30">
        <v>98</v>
      </c>
      <c r="O28" s="11"/>
      <c r="P28" s="31"/>
      <c r="R28" s="277">
        <f t="shared" si="0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7" ht="14.65" customHeight="1">
      <c r="A29" s="28"/>
      <c r="B29" s="520"/>
      <c r="C29" s="362"/>
      <c r="D29" s="524"/>
      <c r="E29" s="525"/>
      <c r="F29" s="417"/>
      <c r="G29" s="294"/>
      <c r="H29" s="348"/>
      <c r="I29" s="36" t="s">
        <v>15</v>
      </c>
      <c r="J29" s="323"/>
      <c r="K29" s="284"/>
      <c r="L29" s="302"/>
      <c r="M29" s="302">
        <f>AVERAGE([7]Brewhouse!$AT$4:$AT$11)</f>
        <v>92.826224508052405</v>
      </c>
      <c r="N29" s="30">
        <v>98</v>
      </c>
      <c r="O29" s="11"/>
      <c r="P29" s="31"/>
      <c r="R29" s="277">
        <f t="shared" si="0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7" ht="14.65" customHeight="1">
      <c r="A30" s="28"/>
      <c r="B30" s="520"/>
      <c r="C30" s="362"/>
      <c r="D30" s="529"/>
      <c r="E30" s="530"/>
      <c r="F30" s="417"/>
      <c r="G30" s="294"/>
      <c r="H30" s="348"/>
      <c r="I30" s="37" t="s">
        <v>16</v>
      </c>
      <c r="J30" s="323"/>
      <c r="K30" s="284">
        <f>COUNTA([8]Brewhouse!$A$44:$A$51)</f>
        <v>8</v>
      </c>
      <c r="L30" s="302">
        <f>AVERAGE([8]Brewhouse!$AY$44:$AY$51)</f>
        <v>98.126000151084682</v>
      </c>
      <c r="M30" s="302">
        <f>AVERAGE([8]Brewhouse!$AY$5:$AY$14,[8]Brewhouse!$AY$16:$AY$23,[8]Brewhouse!$AY$42,[8]Brewhouse!$AY$44:$AY$51)</f>
        <v>97.608428475776392</v>
      </c>
      <c r="N30" s="30">
        <v>98</v>
      </c>
      <c r="O30" s="11"/>
      <c r="P30" s="31" t="s">
        <v>41</v>
      </c>
      <c r="R30" s="277">
        <f t="shared" si="0"/>
        <v>0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7" ht="14.65" customHeight="1">
      <c r="A31" s="28"/>
      <c r="B31" s="520"/>
      <c r="C31" s="362"/>
      <c r="D31" s="524"/>
      <c r="E31" s="525"/>
      <c r="F31" s="294"/>
      <c r="G31" s="294"/>
      <c r="H31" s="348"/>
      <c r="I31" s="411" t="s">
        <v>158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7" ht="14.65" customHeight="1">
      <c r="A32" s="28"/>
      <c r="B32" s="520"/>
      <c r="C32" s="349"/>
      <c r="D32" s="529"/>
      <c r="E32" s="530"/>
      <c r="F32" s="294"/>
      <c r="G32" s="294"/>
      <c r="H32" s="348"/>
      <c r="I32" s="410" t="s">
        <v>157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  <c r="AA32" s="472"/>
    </row>
    <row r="33" spans="1:56" ht="15" customHeight="1" thickBot="1">
      <c r="A33" s="28"/>
      <c r="B33" s="520"/>
      <c r="C33" s="349"/>
      <c r="D33" s="524"/>
      <c r="E33" s="525"/>
      <c r="F33" s="294"/>
      <c r="G33" s="294"/>
      <c r="H33" s="348"/>
      <c r="I33" s="406" t="s">
        <v>156</v>
      </c>
      <c r="J33" s="327"/>
      <c r="K33" s="407"/>
      <c r="L33" s="408"/>
      <c r="M33" s="408"/>
      <c r="N33" s="409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  <c r="AA33" s="472"/>
    </row>
    <row r="34" spans="1:56" ht="15" customHeight="1" thickBot="1">
      <c r="A34" s="28"/>
      <c r="B34" s="520"/>
      <c r="C34" s="349"/>
      <c r="D34" s="537"/>
      <c r="E34" s="538"/>
      <c r="F34" s="294"/>
      <c r="G34" s="294"/>
      <c r="H34" s="348"/>
      <c r="I34" s="1"/>
      <c r="J34" s="39"/>
      <c r="K34" s="404">
        <f>SUM(K24:K33)</f>
        <v>134</v>
      </c>
      <c r="L34" s="405">
        <f>((L24*K24)+(L25*K25)+(L26*K26)+(L27*K27)+(L28*K28)+(K31*L31)+(L29*K29)+(L30*K30)+(L33*K33))/(K34)</f>
        <v>98.230345956504095</v>
      </c>
      <c r="M34" s="405">
        <f>AVERAGE('[9]Jan30th-31st'!$L$42,L34)</f>
        <v>98.029193846172774</v>
      </c>
      <c r="N34" s="4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  <c r="AA34" s="472"/>
    </row>
    <row r="35" spans="1:56" ht="15.75" thickBot="1">
      <c r="B35" s="536"/>
      <c r="C35" s="350"/>
      <c r="D35" s="539"/>
      <c r="E35" s="525"/>
      <c r="F35" s="294"/>
      <c r="G35" s="42"/>
      <c r="H35" s="41"/>
      <c r="I35" s="42"/>
      <c r="J35" s="42"/>
      <c r="K35" s="351"/>
      <c r="L35" s="348"/>
      <c r="M35" s="348"/>
      <c r="N35" s="11"/>
      <c r="O35" s="294"/>
      <c r="P35" s="12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  <c r="AA35" s="472"/>
    </row>
    <row r="36" spans="1:56" ht="15.75" thickBot="1">
      <c r="B36" s="519"/>
      <c r="C36" s="362"/>
      <c r="D36" s="522"/>
      <c r="E36" s="523"/>
      <c r="F36" s="294"/>
      <c r="G36" s="42"/>
      <c r="H36" s="41"/>
      <c r="I36" s="42"/>
      <c r="J36" s="526" t="s">
        <v>129</v>
      </c>
      <c r="K36" s="526"/>
      <c r="L36" s="294"/>
      <c r="M36" s="294"/>
      <c r="N36" s="294"/>
      <c r="O36" s="294"/>
      <c r="P36" s="12"/>
    </row>
    <row r="37" spans="1:56" ht="15.75" thickBot="1">
      <c r="B37" s="520"/>
      <c r="C37" s="362"/>
      <c r="D37" s="524"/>
      <c r="E37" s="525"/>
      <c r="F37" s="294"/>
      <c r="G37" s="42"/>
      <c r="H37" s="42"/>
      <c r="I37" s="42"/>
      <c r="J37" s="292" t="s">
        <v>17</v>
      </c>
      <c r="K37" s="293" t="s">
        <v>172</v>
      </c>
      <c r="L37" s="527" t="s">
        <v>136</v>
      </c>
      <c r="M37" s="527"/>
      <c r="N37" s="528"/>
      <c r="O37" s="294"/>
      <c r="P37" s="12"/>
    </row>
    <row r="38" spans="1:56" ht="15" customHeight="1" thickBot="1">
      <c r="B38" s="520"/>
      <c r="C38" s="349"/>
      <c r="D38" s="529"/>
      <c r="E38" s="530"/>
      <c r="F38" s="294"/>
      <c r="G38" s="42"/>
      <c r="H38" s="42"/>
      <c r="I38" s="42"/>
      <c r="J38" s="287" t="s">
        <v>6</v>
      </c>
      <c r="K38" s="324">
        <v>3</v>
      </c>
      <c r="L38" s="473" t="s">
        <v>37</v>
      </c>
      <c r="M38" s="474" t="s">
        <v>38</v>
      </c>
      <c r="N38" s="474" t="s">
        <v>84</v>
      </c>
      <c r="O38" s="294"/>
      <c r="P38" s="12"/>
    </row>
    <row r="39" spans="1:56" ht="15.75" customHeight="1" thickBot="1">
      <c r="B39" s="520"/>
      <c r="C39" s="349"/>
      <c r="D39" s="524"/>
      <c r="E39" s="525"/>
      <c r="F39" s="294"/>
      <c r="G39" s="42"/>
      <c r="H39" s="42"/>
      <c r="I39" s="42"/>
      <c r="J39" s="345" t="s">
        <v>9</v>
      </c>
      <c r="K39" s="324"/>
      <c r="L39" s="344">
        <f>AVERAGE('Apr 1st'!K50,K48,'Apr 2nd'!K48,'Apr 7th'!K50,'Apr 8th'!K50,'Apr 9th '!K58,'Apr 10th'!K55,'Apr 13th'!K66,'Apr 14th'!K60,'Apr 15th'!K51,'Apr 16th '!K53,'Apr 20th '!K59,'Apr 21st'!K54,'Apr 23rd'!K43,'Apr 24th-26th'!I73,'Apr 24th-26th'!J73,'Apr 24th-26th'!K73,'Apr 27th'!K53)</f>
        <v>6.9444444444444446</v>
      </c>
      <c r="M39" s="325">
        <f>AVERAGE('[9]Jan30th-31st'!$L$47,L39,'[10]Feb 26th '!$L$39,'[11]Mar 31st'!$L$47)</f>
        <v>6.5328502415458942</v>
      </c>
      <c r="N39" s="416">
        <v>9.1999999999999993</v>
      </c>
      <c r="O39" s="294"/>
      <c r="P39" s="12"/>
    </row>
    <row r="40" spans="1:56" ht="15" customHeight="1">
      <c r="B40" s="520"/>
      <c r="C40" s="349"/>
      <c r="D40" s="529"/>
      <c r="E40" s="530"/>
      <c r="F40" s="294"/>
      <c r="G40" s="42"/>
      <c r="H40" s="42"/>
      <c r="I40" s="42"/>
      <c r="J40" s="288" t="s">
        <v>40</v>
      </c>
      <c r="K40" s="324">
        <v>5</v>
      </c>
      <c r="L40" s="294"/>
      <c r="M40" s="294"/>
      <c r="N40" s="294"/>
      <c r="O40" s="294"/>
      <c r="P40" s="12"/>
    </row>
    <row r="41" spans="1:56" ht="15" customHeight="1">
      <c r="B41" s="520"/>
      <c r="C41" s="349"/>
      <c r="D41" s="524"/>
      <c r="E41" s="525"/>
      <c r="F41" s="294"/>
      <c r="G41" s="42"/>
      <c r="H41" s="42"/>
      <c r="I41" s="42"/>
      <c r="J41" s="289" t="s">
        <v>33</v>
      </c>
      <c r="K41" s="324"/>
      <c r="L41" s="294"/>
      <c r="M41" s="294"/>
      <c r="N41" s="294"/>
      <c r="O41" s="294"/>
      <c r="P41" s="12"/>
    </row>
    <row r="42" spans="1:56" ht="15">
      <c r="B42" s="520"/>
      <c r="C42" s="349"/>
      <c r="D42" s="529"/>
      <c r="E42" s="530"/>
      <c r="F42" s="294"/>
      <c r="G42" s="42"/>
      <c r="H42" s="42"/>
      <c r="I42" s="42"/>
      <c r="J42" s="290" t="s">
        <v>16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20"/>
      <c r="C43" s="349"/>
      <c r="D43" s="524"/>
      <c r="E43" s="525"/>
      <c r="F43" s="294"/>
      <c r="G43" s="42"/>
      <c r="H43" s="42"/>
      <c r="I43" s="42"/>
      <c r="J43" s="291" t="s">
        <v>15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20"/>
      <c r="C44" s="349"/>
      <c r="D44" s="529"/>
      <c r="E44" s="530"/>
      <c r="F44" s="294"/>
      <c r="G44" s="42"/>
      <c r="H44" s="42"/>
      <c r="I44" s="42"/>
      <c r="J44" s="291" t="s">
        <v>149</v>
      </c>
      <c r="K44" s="324"/>
      <c r="L44" s="294"/>
      <c r="M44" s="294"/>
      <c r="N44" s="294"/>
      <c r="O44" s="294"/>
      <c r="P44" s="12"/>
      <c r="BC44" s="44"/>
      <c r="BD44" s="44"/>
    </row>
    <row r="45" spans="1:56" ht="15.75" thickBot="1">
      <c r="B45" s="521"/>
      <c r="C45" s="350"/>
      <c r="D45" s="531"/>
      <c r="E45" s="532"/>
      <c r="F45" s="294" t="s">
        <v>166</v>
      </c>
      <c r="G45" s="42"/>
      <c r="H45" s="42"/>
      <c r="I45" s="42"/>
      <c r="J45" s="291" t="s">
        <v>148</v>
      </c>
      <c r="K45" s="324"/>
      <c r="L45" s="294"/>
      <c r="M45" s="294"/>
      <c r="N45" s="294" t="s">
        <v>41</v>
      </c>
      <c r="O45" s="294"/>
      <c r="P45" s="12"/>
      <c r="BC45" s="44"/>
      <c r="BD45" s="44"/>
    </row>
    <row r="46" spans="1:56" ht="17.649999999999999" customHeight="1" thickBot="1">
      <c r="B46" s="312" t="s">
        <v>139</v>
      </c>
      <c r="C46" s="313"/>
      <c r="D46" s="512"/>
      <c r="E46" s="513"/>
      <c r="F46" s="294"/>
      <c r="J46" s="295" t="s">
        <v>134</v>
      </c>
      <c r="K46" s="324"/>
      <c r="L46" s="294"/>
      <c r="M46" s="294"/>
      <c r="N46" s="294"/>
      <c r="O46" s="294"/>
      <c r="P46" s="12"/>
      <c r="BC46" s="44"/>
      <c r="BD46" s="44"/>
    </row>
    <row r="47" spans="1:56" ht="17.649999999999999" customHeight="1">
      <c r="B47" s="363"/>
      <c r="C47" s="364"/>
      <c r="D47" s="365"/>
      <c r="E47" s="365"/>
      <c r="F47" s="294"/>
      <c r="G47" s="42"/>
      <c r="H47" s="42"/>
      <c r="I47" s="42"/>
      <c r="J47" s="295" t="s">
        <v>131</v>
      </c>
      <c r="K47" s="324"/>
      <c r="L47" s="294"/>
      <c r="M47" s="294"/>
      <c r="N47" s="294"/>
      <c r="O47" s="294"/>
      <c r="P47" s="12"/>
      <c r="BC47" s="44"/>
      <c r="BD47" s="44"/>
    </row>
    <row r="48" spans="1:56" ht="15.6" customHeight="1">
      <c r="B48" s="45"/>
      <c r="C48" s="11"/>
      <c r="D48" s="11"/>
      <c r="E48" s="46"/>
      <c r="F48" s="294"/>
      <c r="G48" s="42"/>
      <c r="H48" s="42"/>
      <c r="I48" s="42"/>
      <c r="J48" s="346" t="s">
        <v>130</v>
      </c>
      <c r="K48" s="324">
        <f>SUM(K38:K47)</f>
        <v>8</v>
      </c>
      <c r="L48" s="294"/>
      <c r="M48" s="294"/>
      <c r="N48" s="294"/>
      <c r="O48" s="294"/>
      <c r="P48" s="12"/>
    </row>
    <row r="49" spans="1:57" ht="20.25" customHeight="1">
      <c r="B49" s="15" t="s">
        <v>42</v>
      </c>
      <c r="C49" s="1" t="s">
        <v>43</v>
      </c>
      <c r="D49" s="1"/>
      <c r="E49" s="1"/>
      <c r="F49" s="294"/>
      <c r="G49" s="42"/>
      <c r="H49" s="41"/>
      <c r="I49" s="42"/>
      <c r="L49" s="294"/>
      <c r="N49" s="315"/>
      <c r="P49" s="334"/>
    </row>
    <row r="50" spans="1:57" ht="15" customHeight="1" thickBot="1"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1"/>
      <c r="O50" s="48"/>
      <c r="P50" s="49"/>
    </row>
    <row r="51" spans="1:57" ht="15" customHeight="1" thickBot="1">
      <c r="B51" s="504" t="s">
        <v>17</v>
      </c>
      <c r="C51" s="504" t="s">
        <v>44</v>
      </c>
      <c r="D51" s="515" t="s">
        <v>45</v>
      </c>
      <c r="E51" s="517" t="s">
        <v>46</v>
      </c>
      <c r="F51" s="510" t="s">
        <v>47</v>
      </c>
      <c r="G51" s="502" t="s">
        <v>48</v>
      </c>
      <c r="H51" s="504" t="s">
        <v>49</v>
      </c>
      <c r="I51" s="504" t="s">
        <v>50</v>
      </c>
      <c r="J51" s="496" t="s">
        <v>28</v>
      </c>
      <c r="K51" s="506" t="s">
        <v>51</v>
      </c>
      <c r="L51" s="508" t="s">
        <v>52</v>
      </c>
      <c r="M51" s="496" t="s">
        <v>53</v>
      </c>
      <c r="N51" s="13"/>
      <c r="O51" s="13"/>
      <c r="P51" s="50"/>
    </row>
    <row r="52" spans="1:57" ht="28.5" customHeight="1" thickTop="1" thickBot="1">
      <c r="B52" s="505"/>
      <c r="C52" s="514"/>
      <c r="D52" s="516"/>
      <c r="E52" s="518"/>
      <c r="F52" s="511"/>
      <c r="G52" s="503"/>
      <c r="H52" s="505"/>
      <c r="I52" s="505"/>
      <c r="J52" s="497"/>
      <c r="K52" s="507"/>
      <c r="L52" s="509"/>
      <c r="M52" s="497"/>
      <c r="N52" s="13"/>
      <c r="O52" s="13"/>
      <c r="P52" s="50"/>
      <c r="Q52" s="355"/>
      <c r="AB52" s="475">
        <v>43474</v>
      </c>
      <c r="AC52" s="475">
        <v>43475</v>
      </c>
      <c r="AD52" s="475">
        <v>43476</v>
      </c>
      <c r="AE52" s="475">
        <v>43477</v>
      </c>
      <c r="AF52" s="475">
        <v>43478</v>
      </c>
      <c r="AG52" s="475">
        <v>43479</v>
      </c>
      <c r="AH52" s="475">
        <v>43480</v>
      </c>
      <c r="AI52" s="475">
        <v>43481</v>
      </c>
      <c r="AJ52" s="475">
        <v>43482</v>
      </c>
      <c r="AK52" s="475">
        <v>43483</v>
      </c>
      <c r="AL52" s="475">
        <v>43484</v>
      </c>
      <c r="AM52" s="475">
        <v>43485</v>
      </c>
      <c r="AN52" s="475">
        <v>43486</v>
      </c>
      <c r="AO52" s="475">
        <v>43487</v>
      </c>
      <c r="AP52" s="475">
        <v>43488</v>
      </c>
      <c r="AQ52" s="475">
        <v>43489</v>
      </c>
      <c r="AR52" s="475">
        <v>43490</v>
      </c>
      <c r="AS52" s="475">
        <v>43491</v>
      </c>
      <c r="AT52" s="475">
        <v>43492</v>
      </c>
      <c r="AU52" s="475">
        <v>43493</v>
      </c>
      <c r="AV52" s="475">
        <v>43494</v>
      </c>
      <c r="AW52" s="475">
        <v>43495</v>
      </c>
      <c r="AX52" s="475">
        <v>43496</v>
      </c>
    </row>
    <row r="53" spans="1:57" s="54" customFormat="1" ht="36.75" customHeight="1" thickBot="1">
      <c r="B53" s="480" t="str">
        <f>I24</f>
        <v>CARIB</v>
      </c>
      <c r="C53" s="479">
        <v>46140</v>
      </c>
      <c r="D53" s="442">
        <f>[12]April_2026!$AE$3</f>
        <v>512.60000000000014</v>
      </c>
      <c r="E53" s="443"/>
      <c r="F53" s="444"/>
      <c r="G53" s="445">
        <f>[12]April_2026!$AE$7</f>
        <v>474.1</v>
      </c>
      <c r="H53" s="458"/>
      <c r="I53" s="458"/>
      <c r="J53" s="448" t="s">
        <v>196</v>
      </c>
      <c r="K53" s="449">
        <f>[13]April_2026!$AD$18</f>
        <v>0.26547368421052631</v>
      </c>
      <c r="L53" s="457">
        <f>(((D53+E53)-G53)/(D53+E53))*100</f>
        <v>7.5107296137339254</v>
      </c>
      <c r="M53" s="455" t="s">
        <v>180</v>
      </c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>
        <f>[14]January_2019!L5</f>
        <v>0</v>
      </c>
      <c r="AC53" s="57">
        <f>[14]January_2019!M5</f>
        <v>0</v>
      </c>
      <c r="AD53" s="57">
        <f>[14]January_2019!N5</f>
        <v>0</v>
      </c>
      <c r="AE53" s="57">
        <f>[14]January_2019!O5</f>
        <v>0</v>
      </c>
      <c r="AF53" s="57">
        <f>[14]January_2019!P5</f>
        <v>0</v>
      </c>
      <c r="AG53" s="57">
        <f>[14]January_2019!Q5</f>
        <v>0</v>
      </c>
      <c r="AH53" s="57">
        <f>[14]January_2019!R5</f>
        <v>0</v>
      </c>
      <c r="AI53" s="57">
        <f>[14]January_2019!S5</f>
        <v>0</v>
      </c>
      <c r="AJ53" s="57">
        <f>[14]January_2019!T5</f>
        <v>0</v>
      </c>
      <c r="AK53" s="57">
        <f>[14]January_2019!U5</f>
        <v>0</v>
      </c>
      <c r="AL53" s="57">
        <f>[14]January_2019!V5</f>
        <v>0</v>
      </c>
      <c r="AM53" s="57">
        <f>[14]January_2019!W5</f>
        <v>0</v>
      </c>
      <c r="AN53" s="57">
        <f>[14]January_2019!X5</f>
        <v>0</v>
      </c>
      <c r="AO53" s="57">
        <f>[14]January_2019!Y5</f>
        <v>0</v>
      </c>
      <c r="AP53" s="57">
        <f>[14]January_2019!Z5</f>
        <v>0</v>
      </c>
      <c r="AQ53" s="57">
        <f>[14]January_2019!AA5</f>
        <v>0</v>
      </c>
      <c r="AR53" s="57">
        <f>[14]January_2019!AB5</f>
        <v>0</v>
      </c>
      <c r="AS53" s="57">
        <f>[14]January_2019!AC5</f>
        <v>0</v>
      </c>
      <c r="AT53" s="57">
        <f>[14]January_2019!AD5</f>
        <v>0</v>
      </c>
      <c r="AU53" s="57">
        <f>[14]January_2019!AE5</f>
        <v>0</v>
      </c>
      <c r="AV53" s="57">
        <f>[14]January_2019!AF5</f>
        <v>0</v>
      </c>
      <c r="AW53" s="57">
        <f>[14]January_2019!AG5</f>
        <v>0</v>
      </c>
      <c r="AX53" s="277">
        <f>[14]January_2019!AH5</f>
        <v>0</v>
      </c>
      <c r="AY53" s="277"/>
      <c r="AZ53" s="277"/>
      <c r="BA53" s="277"/>
      <c r="BB53" s="277"/>
      <c r="BC53" s="277"/>
      <c r="BD53" s="277"/>
      <c r="BE53" s="277"/>
    </row>
    <row r="54" spans="1:57" s="54" customFormat="1" ht="14.25" customHeight="1" thickBot="1">
      <c r="B54" s="480"/>
      <c r="C54" s="479"/>
      <c r="D54" s="442"/>
      <c r="E54" s="443"/>
      <c r="F54" s="444"/>
      <c r="G54" s="445"/>
      <c r="H54" s="458"/>
      <c r="I54" s="458"/>
      <c r="J54" s="476"/>
      <c r="K54" s="44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[14]January_2019!L6</f>
        <v>0</v>
      </c>
      <c r="AC54" s="57">
        <f>[14]January_2019!M6</f>
        <v>0</v>
      </c>
      <c r="AD54" s="57">
        <f>[14]January_2019!N6</f>
        <v>0</v>
      </c>
      <c r="AE54" s="57">
        <f>[14]January_2019!O6</f>
        <v>0</v>
      </c>
      <c r="AF54" s="57">
        <f>[14]January_2019!P6</f>
        <v>0</v>
      </c>
      <c r="AG54" s="57">
        <f>[14]January_2019!Q6</f>
        <v>0</v>
      </c>
      <c r="AH54" s="57">
        <f>[14]January_2019!R6</f>
        <v>0</v>
      </c>
      <c r="AI54" s="57">
        <f>[14]January_2019!S6</f>
        <v>0</v>
      </c>
      <c r="AJ54" s="57">
        <f>[14]January_2019!T6</f>
        <v>0</v>
      </c>
      <c r="AK54" s="57">
        <f>[14]January_2019!U6</f>
        <v>0</v>
      </c>
      <c r="AL54" s="57">
        <f>[14]January_2019!V6</f>
        <v>0</v>
      </c>
      <c r="AM54" s="57">
        <f>[14]January_2019!W6</f>
        <v>0</v>
      </c>
      <c r="AN54" s="57">
        <f>[14]January_2019!X6</f>
        <v>0</v>
      </c>
      <c r="AO54" s="57">
        <f>[14]January_2019!Y6</f>
        <v>0</v>
      </c>
      <c r="AP54" s="57">
        <f>[14]January_2019!Z6</f>
        <v>0</v>
      </c>
      <c r="AQ54" s="57">
        <f>[14]January_2019!AA6</f>
        <v>0</v>
      </c>
      <c r="AR54" s="57">
        <f>[14]January_2019!AB6</f>
        <v>0</v>
      </c>
      <c r="AS54" s="57">
        <f>[14]January_2019!AC6</f>
        <v>0</v>
      </c>
      <c r="AT54" s="57">
        <f>[14]January_2019!AD6</f>
        <v>0</v>
      </c>
      <c r="AU54" s="57">
        <f>[14]January_2019!AE6</f>
        <v>0</v>
      </c>
      <c r="AV54" s="57">
        <f>[14]January_2019!AF6</f>
        <v>0</v>
      </c>
      <c r="AW54" s="57">
        <f>[14]January_2019!AG6</f>
        <v>0</v>
      </c>
      <c r="AX54" s="277">
        <f>[14]January_2019!AH6</f>
        <v>0</v>
      </c>
      <c r="AY54" s="277"/>
      <c r="AZ54" s="277"/>
      <c r="BA54" s="277"/>
      <c r="BB54" s="277"/>
      <c r="BC54" s="277"/>
      <c r="BD54" s="277"/>
      <c r="BE54" s="277"/>
    </row>
    <row r="55" spans="1:57" s="54" customFormat="1" ht="37.15" customHeight="1" thickBot="1">
      <c r="A55" s="54" t="s">
        <v>168</v>
      </c>
      <c r="B55" s="480" t="str">
        <f>I24</f>
        <v>CARIB</v>
      </c>
      <c r="C55" s="479">
        <v>46140</v>
      </c>
      <c r="D55" s="442">
        <f>[12]April_2026!$AD$3</f>
        <v>404.8</v>
      </c>
      <c r="E55" s="443"/>
      <c r="F55" s="444"/>
      <c r="G55" s="445">
        <f>[12]April_2026!$AD$7</f>
        <v>378.3</v>
      </c>
      <c r="H55" s="458"/>
      <c r="I55" s="458"/>
      <c r="J55" s="448" t="s">
        <v>195</v>
      </c>
      <c r="K55" s="449">
        <f>[13]April_2026!$AE$18</f>
        <v>0.83175438596491236</v>
      </c>
      <c r="L55" s="457">
        <f>(((D55+E55)-G55)/(D55+E55))*100</f>
        <v>6.5464426877470352</v>
      </c>
      <c r="M55" s="455" t="s">
        <v>176</v>
      </c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[14]January_2019!L7</f>
        <v>285.8</v>
      </c>
      <c r="AC55" s="57">
        <f>[14]January_2019!M7</f>
        <v>508.1</v>
      </c>
      <c r="AD55" s="57">
        <f>[14]January_2019!N7</f>
        <v>0</v>
      </c>
      <c r="AE55" s="57">
        <f>[14]January_2019!O7</f>
        <v>0</v>
      </c>
      <c r="AF55" s="57">
        <f>[14]January_2019!P7</f>
        <v>109.56666666666666</v>
      </c>
      <c r="AG55" s="57">
        <f>[14]January_2019!Q7</f>
        <v>297.64999999999998</v>
      </c>
      <c r="AH55" s="57">
        <f>[14]January_2019!R7</f>
        <v>122.3</v>
      </c>
      <c r="AI55" s="57">
        <f>[14]January_2019!S7</f>
        <v>0</v>
      </c>
      <c r="AJ55" s="57">
        <f>[14]January_2019!T7</f>
        <v>294.7</v>
      </c>
      <c r="AK55" s="57">
        <f>[14]January_2019!U7</f>
        <v>280.5</v>
      </c>
      <c r="AL55" s="57">
        <f>[14]January_2019!V7</f>
        <v>0</v>
      </c>
      <c r="AM55" s="57">
        <f>[14]January_2019!W7</f>
        <v>0</v>
      </c>
      <c r="AN55" s="57">
        <f>[14]January_2019!X7</f>
        <v>188.25</v>
      </c>
      <c r="AO55" s="57">
        <f>[14]January_2019!Y7</f>
        <v>295.7</v>
      </c>
      <c r="AP55" s="57">
        <f>[14]January_2019!Z7</f>
        <v>257.8</v>
      </c>
      <c r="AQ55" s="57">
        <f>[14]January_2019!AA7</f>
        <v>291.2</v>
      </c>
      <c r="AR55" s="57">
        <f>[14]January_2019!AB7</f>
        <v>187</v>
      </c>
      <c r="AS55" s="57">
        <f>[14]January_2019!AC7</f>
        <v>0</v>
      </c>
      <c r="AT55" s="57">
        <f>[14]January_2019!AD7</f>
        <v>0</v>
      </c>
      <c r="AU55" s="57">
        <f>[14]January_2019!AE7</f>
        <v>485.1</v>
      </c>
      <c r="AV55" s="57">
        <f>[14]January_2019!AF7</f>
        <v>171.55</v>
      </c>
      <c r="AW55" s="57">
        <f>[14]January_2019!AG7</f>
        <v>423.8</v>
      </c>
      <c r="AX55" s="277">
        <f>[14]January_2019!AH7</f>
        <v>0</v>
      </c>
      <c r="AY55" s="277"/>
      <c r="AZ55" s="277"/>
      <c r="BA55" s="277"/>
      <c r="BB55" s="277"/>
      <c r="BC55" s="277"/>
      <c r="BD55" s="277"/>
      <c r="BE55" s="277"/>
    </row>
    <row r="56" spans="1:57" s="54" customFormat="1" ht="19.5" hidden="1" customHeight="1" thickBot="1">
      <c r="B56" s="478"/>
      <c r="C56" s="430"/>
      <c r="D56" s="431"/>
      <c r="E56" s="432"/>
      <c r="F56" s="433"/>
      <c r="G56" s="434"/>
      <c r="H56" s="458"/>
      <c r="I56" s="458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1:57" s="54" customFormat="1" ht="38.450000000000003" hidden="1" customHeight="1" thickBot="1">
      <c r="B57" s="480"/>
      <c r="C57" s="479"/>
      <c r="D57" s="442"/>
      <c r="E57" s="443"/>
      <c r="F57" s="444"/>
      <c r="G57" s="445"/>
      <c r="H57" s="458"/>
      <c r="I57" s="458"/>
      <c r="J57" s="448" t="s">
        <v>171</v>
      </c>
      <c r="K57" s="459"/>
      <c r="L57" s="457" t="e">
        <f>(((D57+E57)-G57)/(D57+E57))*100</f>
        <v>#DIV/0!</v>
      </c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1:57" s="54" customFormat="1" ht="15.75" hidden="1" thickBot="1">
      <c r="B58" s="453"/>
      <c r="C58" s="430"/>
      <c r="D58" s="431"/>
      <c r="E58" s="432"/>
      <c r="F58" s="433"/>
      <c r="G58" s="434"/>
      <c r="H58" s="435"/>
      <c r="I58" s="450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1:57" s="54" customFormat="1" ht="37.15" hidden="1" customHeight="1" thickBot="1">
      <c r="B59" s="480"/>
      <c r="C59" s="479"/>
      <c r="D59" s="442"/>
      <c r="E59" s="443"/>
      <c r="F59" s="444"/>
      <c r="G59" s="445"/>
      <c r="H59" s="446"/>
      <c r="I59" s="447"/>
      <c r="J59" s="448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1:57" s="54" customFormat="1" ht="16.5" hidden="1" customHeight="1" thickBot="1">
      <c r="B60" s="437"/>
      <c r="C60" s="423"/>
      <c r="D60" s="424"/>
      <c r="E60" s="425"/>
      <c r="F60" s="426"/>
      <c r="G60" s="427"/>
      <c r="H60" s="428"/>
      <c r="I60" s="438"/>
      <c r="J60" s="439"/>
      <c r="K60" s="429"/>
      <c r="L60" s="440"/>
      <c r="M60" s="422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415"/>
      <c r="AC60" s="415"/>
      <c r="AD60" s="415"/>
      <c r="AE60" s="415"/>
      <c r="AF60" s="415"/>
      <c r="AG60" s="415"/>
      <c r="AH60" s="415"/>
      <c r="AI60" s="415"/>
      <c r="AJ60" s="415"/>
      <c r="AK60" s="415"/>
      <c r="AL60" s="415"/>
      <c r="AM60" s="415"/>
      <c r="AN60" s="415"/>
      <c r="AO60" s="415"/>
      <c r="AP60" s="415"/>
      <c r="AQ60" s="415"/>
      <c r="AR60" s="415"/>
      <c r="AS60" s="415"/>
      <c r="AT60" s="415"/>
      <c r="AU60" s="415"/>
      <c r="AV60" s="415"/>
      <c r="AW60" s="415"/>
    </row>
    <row r="61" spans="1:57" s="54" customFormat="1" ht="37.15" hidden="1" customHeight="1" thickBot="1">
      <c r="B61" s="456"/>
      <c r="C61" s="441"/>
      <c r="D61" s="442"/>
      <c r="E61" s="443"/>
      <c r="F61" s="444"/>
      <c r="G61" s="445"/>
      <c r="H61" s="446"/>
      <c r="I61" s="447"/>
      <c r="J61" s="448"/>
      <c r="K61" s="449"/>
      <c r="L61" s="457"/>
      <c r="M61" s="454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1:57" s="54" customFormat="1" ht="37.15" customHeight="1">
      <c r="B62" s="466"/>
      <c r="C62" s="430"/>
      <c r="D62" s="460"/>
      <c r="E62" s="461"/>
      <c r="F62" s="462"/>
      <c r="G62" s="460"/>
      <c r="H62" s="463"/>
      <c r="I62" s="463"/>
      <c r="J62" s="463"/>
      <c r="K62" s="464"/>
      <c r="L62" s="465"/>
      <c r="M62" s="50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1:57" ht="18" customHeight="1" thickBot="1">
      <c r="B63" s="59"/>
      <c r="C63" s="30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 t="s">
        <v>41</v>
      </c>
      <c r="O63" s="56"/>
      <c r="P63" s="60"/>
    </row>
    <row r="64" spans="1:57" ht="15.75" thickBot="1">
      <c r="B64" s="498" t="s">
        <v>55</v>
      </c>
      <c r="C64" s="499"/>
      <c r="D64" s="499"/>
      <c r="E64" s="499"/>
      <c r="F64" s="500"/>
      <c r="G64" s="498" t="s">
        <v>56</v>
      </c>
      <c r="H64" s="499"/>
      <c r="I64" s="499"/>
      <c r="J64" s="500"/>
      <c r="K64" s="498" t="s">
        <v>51</v>
      </c>
      <c r="L64" s="499"/>
      <c r="M64" s="499"/>
      <c r="N64" s="501"/>
      <c r="O64" s="56"/>
      <c r="P64" s="50"/>
    </row>
    <row r="65" spans="2:16" ht="15">
      <c r="B65" s="61" t="s">
        <v>17</v>
      </c>
      <c r="C65" s="62" t="s">
        <v>36</v>
      </c>
      <c r="D65" s="62" t="s">
        <v>37</v>
      </c>
      <c r="E65" s="62" t="s">
        <v>38</v>
      </c>
      <c r="F65" s="63" t="s">
        <v>39</v>
      </c>
      <c r="G65" s="62" t="s">
        <v>36</v>
      </c>
      <c r="H65" s="62" t="s">
        <v>37</v>
      </c>
      <c r="I65" s="62" t="s">
        <v>38</v>
      </c>
      <c r="J65" s="63" t="s">
        <v>39</v>
      </c>
      <c r="K65" s="62"/>
      <c r="L65" s="62" t="s">
        <v>37</v>
      </c>
      <c r="M65" s="62" t="s">
        <v>38</v>
      </c>
      <c r="N65" s="63" t="s">
        <v>39</v>
      </c>
      <c r="O65" s="56"/>
      <c r="P65" s="64"/>
    </row>
    <row r="66" spans="2:16" ht="15">
      <c r="B66" s="29" t="s">
        <v>6</v>
      </c>
      <c r="C66" s="282">
        <f>AVERAGE(L53,L55)</f>
        <v>7.0285861507404803</v>
      </c>
      <c r="D66" s="76">
        <v>6.1995693428930156</v>
      </c>
      <c r="E66" s="76">
        <v>6.6688605778438586</v>
      </c>
      <c r="F66" s="66">
        <v>4.8</v>
      </c>
      <c r="G66" s="65">
        <f>AVERAGE([12]April_2026!$AD$11:$AE$11)</f>
        <v>6.9494915380109532</v>
      </c>
      <c r="H66" s="477">
        <v>5.5404180500469851</v>
      </c>
      <c r="I66" s="477">
        <v>6.3637936742130208</v>
      </c>
      <c r="J66" s="66">
        <v>4.8</v>
      </c>
      <c r="K66" s="67">
        <f>AVERAGE(K53,K55)</f>
        <v>0.54861403508771933</v>
      </c>
      <c r="L66" s="194">
        <v>0.79053411306042887</v>
      </c>
      <c r="M66" s="194">
        <v>0.51798031256288712</v>
      </c>
      <c r="N66" s="68">
        <v>1</v>
      </c>
      <c r="O66" s="56"/>
      <c r="P66" s="69"/>
    </row>
    <row r="67" spans="2:16" ht="15">
      <c r="B67" s="33" t="s">
        <v>9</v>
      </c>
      <c r="C67" s="65"/>
      <c r="D67" s="76">
        <v>5.0820509908579874</v>
      </c>
      <c r="E67" s="76">
        <v>6.0381962328388186</v>
      </c>
      <c r="F67" s="66">
        <v>4.8</v>
      </c>
      <c r="G67" s="65"/>
      <c r="H67" s="76">
        <v>4.1850647594467709</v>
      </c>
      <c r="I67" s="76">
        <v>5.7352072273261401</v>
      </c>
      <c r="J67" s="66">
        <v>4.8</v>
      </c>
      <c r="K67" s="67"/>
      <c r="L67" s="194">
        <v>1.0770760233918131</v>
      </c>
      <c r="M67" s="194">
        <v>0.74373732819034111</v>
      </c>
      <c r="N67" s="68">
        <v>1</v>
      </c>
      <c r="P67" s="69"/>
    </row>
    <row r="68" spans="2:16" ht="15">
      <c r="B68" s="34" t="s">
        <v>40</v>
      </c>
      <c r="C68" s="65"/>
      <c r="D68" s="76">
        <v>10.917759237187118</v>
      </c>
      <c r="E68" s="76">
        <v>12.019739161085637</v>
      </c>
      <c r="F68" s="66">
        <v>5.5</v>
      </c>
      <c r="G68" s="65"/>
      <c r="H68" s="76">
        <v>10.858502880677971</v>
      </c>
      <c r="I68" s="76">
        <v>13.201587402597006</v>
      </c>
      <c r="J68" s="66">
        <v>5.5</v>
      </c>
      <c r="K68" s="67"/>
      <c r="L68" s="194">
        <v>0.16390350877192983</v>
      </c>
      <c r="M68" s="194">
        <v>0.2727383040935672</v>
      </c>
      <c r="N68" s="68">
        <v>1</v>
      </c>
      <c r="P68" s="69"/>
    </row>
    <row r="69" spans="2:16" ht="15">
      <c r="B69" s="22" t="s">
        <v>33</v>
      </c>
      <c r="C69" s="65"/>
      <c r="D69" s="76"/>
      <c r="E69" s="76">
        <v>4.601418358346991</v>
      </c>
      <c r="F69" s="66">
        <v>3.3</v>
      </c>
      <c r="G69" s="65"/>
      <c r="H69" s="76"/>
      <c r="I69" s="76">
        <v>4.3274739720788533</v>
      </c>
      <c r="J69" s="66">
        <v>3.3</v>
      </c>
      <c r="K69" s="67"/>
      <c r="L69" s="194"/>
      <c r="M69" s="194">
        <v>0.8292543859649123</v>
      </c>
      <c r="N69" s="68">
        <v>1</v>
      </c>
      <c r="P69" s="69"/>
    </row>
    <row r="70" spans="2:16" ht="15">
      <c r="B70" s="35" t="s">
        <v>164</v>
      </c>
      <c r="C70" s="65"/>
      <c r="D70" s="76"/>
      <c r="E70" s="76"/>
      <c r="F70" s="66">
        <v>3.3</v>
      </c>
      <c r="G70" s="282"/>
      <c r="H70" s="76"/>
      <c r="I70" s="76"/>
      <c r="J70" s="66">
        <v>3</v>
      </c>
      <c r="K70" s="67"/>
      <c r="L70" s="194"/>
      <c r="M70" s="194"/>
      <c r="N70" s="68">
        <v>1</v>
      </c>
      <c r="P70" s="69"/>
    </row>
    <row r="71" spans="2:16" ht="15">
      <c r="B71" s="36" t="s">
        <v>15</v>
      </c>
      <c r="C71" s="65"/>
      <c r="D71" s="76"/>
      <c r="E71" s="76">
        <v>5.1105651105651271</v>
      </c>
      <c r="F71" s="70">
        <f>[15]May_2022!$M$43</f>
        <v>3.4878406700073312</v>
      </c>
      <c r="G71" s="282"/>
      <c r="H71" s="76"/>
      <c r="I71" s="76">
        <v>7.9131369535794072</v>
      </c>
      <c r="J71" s="66">
        <v>5.5</v>
      </c>
      <c r="K71" s="67"/>
      <c r="L71" s="194"/>
      <c r="M71" s="194">
        <v>1.3550877192982456</v>
      </c>
      <c r="N71" s="68">
        <v>1</v>
      </c>
      <c r="P71" s="69"/>
    </row>
    <row r="72" spans="2:16" ht="15">
      <c r="B72" s="37" t="s">
        <v>16</v>
      </c>
      <c r="C72" s="65"/>
      <c r="D72" s="76">
        <v>2.744050509956292</v>
      </c>
      <c r="E72" s="76">
        <v>3.7431500795474548</v>
      </c>
      <c r="F72" s="66">
        <v>3.3</v>
      </c>
      <c r="G72" s="282"/>
      <c r="H72" s="76">
        <v>4.0188417648776724</v>
      </c>
      <c r="I72" s="76">
        <v>4.8236555171494695</v>
      </c>
      <c r="J72" s="66">
        <v>3.3</v>
      </c>
      <c r="K72" s="67"/>
      <c r="L72" s="194">
        <v>0.70263157894736838</v>
      </c>
      <c r="M72" s="194">
        <v>0.89457115009746591</v>
      </c>
      <c r="N72" s="71">
        <v>1</v>
      </c>
      <c r="P72" s="69"/>
    </row>
    <row r="73" spans="2:16" ht="15.75" thickBot="1">
      <c r="B73" s="38" t="s">
        <v>163</v>
      </c>
      <c r="C73" s="65"/>
      <c r="D73" s="76"/>
      <c r="E73" s="76"/>
      <c r="F73" s="66">
        <v>7.5</v>
      </c>
      <c r="G73" s="282"/>
      <c r="H73" s="76"/>
      <c r="I73" s="76"/>
      <c r="J73" s="66">
        <v>7.5</v>
      </c>
      <c r="K73" s="67"/>
      <c r="L73" s="194"/>
      <c r="M73" s="194"/>
      <c r="N73" s="71">
        <v>1</v>
      </c>
      <c r="P73" s="69"/>
    </row>
    <row r="74" spans="2:16" ht="15.75" thickBot="1">
      <c r="B74" s="414" t="s">
        <v>161</v>
      </c>
      <c r="C74" s="65"/>
      <c r="D74" s="76"/>
      <c r="E74" s="76"/>
      <c r="F74" s="66">
        <v>4.8</v>
      </c>
      <c r="G74" s="282"/>
      <c r="H74" s="76"/>
      <c r="I74" s="76"/>
      <c r="J74" s="66">
        <v>4.8</v>
      </c>
      <c r="K74" s="67"/>
      <c r="L74" s="194"/>
      <c r="M74" s="194"/>
      <c r="N74" s="71">
        <v>1</v>
      </c>
      <c r="O74" s="74"/>
      <c r="P74" s="75"/>
    </row>
    <row r="75" spans="2:16" ht="15">
      <c r="D75" s="76">
        <v>5.9925203490504089</v>
      </c>
      <c r="E75" s="76">
        <v>6.4666169444020536</v>
      </c>
      <c r="F75" s="341">
        <v>5.5</v>
      </c>
      <c r="H75" s="76">
        <v>5.6604234795186548</v>
      </c>
      <c r="I75" s="76">
        <v>6.5324003565831052</v>
      </c>
      <c r="J75" s="341">
        <v>5.5</v>
      </c>
      <c r="L75" s="194">
        <v>0.79906897144822842</v>
      </c>
      <c r="M75" s="194">
        <v>0.59706178512123942</v>
      </c>
      <c r="N75" s="386">
        <v>1</v>
      </c>
    </row>
  </sheetData>
  <mergeCells count="51">
    <mergeCell ref="M51:M52"/>
    <mergeCell ref="B64:F64"/>
    <mergeCell ref="G64:J64"/>
    <mergeCell ref="K64:N64"/>
    <mergeCell ref="G51:G52"/>
    <mergeCell ref="H51:H52"/>
    <mergeCell ref="I51:I52"/>
    <mergeCell ref="J51:J52"/>
    <mergeCell ref="K51:K52"/>
    <mergeCell ref="L51:L52"/>
    <mergeCell ref="F51:F52"/>
    <mergeCell ref="D46:E46"/>
    <mergeCell ref="B51:B52"/>
    <mergeCell ref="C51:C52"/>
    <mergeCell ref="D51:D52"/>
    <mergeCell ref="E51:E52"/>
    <mergeCell ref="B36:B45"/>
    <mergeCell ref="D36:E37"/>
    <mergeCell ref="J36:K36"/>
    <mergeCell ref="L37:N37"/>
    <mergeCell ref="D38:E39"/>
    <mergeCell ref="D40:E41"/>
    <mergeCell ref="D42:E43"/>
    <mergeCell ref="D44:E45"/>
    <mergeCell ref="I22:N22"/>
    <mergeCell ref="D23:E23"/>
    <mergeCell ref="B24:B35"/>
    <mergeCell ref="D24:E25"/>
    <mergeCell ref="D26:E27"/>
    <mergeCell ref="D28:E29"/>
    <mergeCell ref="D30:E31"/>
    <mergeCell ref="D32:E33"/>
    <mergeCell ref="D34:E35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6:B47">
    <cfRule type="cellIs" dxfId="515" priority="88" operator="notBetween">
      <formula>#REF!</formula>
      <formula>#REF!</formula>
    </cfRule>
  </conditionalFormatting>
  <conditionalFormatting sqref="C50">
    <cfRule type="cellIs" dxfId="514" priority="182" stopIfTrue="1" operator="lessThan">
      <formula>96</formula>
    </cfRule>
    <cfRule type="cellIs" dxfId="513" priority="183" stopIfTrue="1" operator="greaterThan">
      <formula>100</formula>
    </cfRule>
  </conditionalFormatting>
  <conditionalFormatting sqref="C66:C70">
    <cfRule type="cellIs" dxfId="512" priority="151" stopIfTrue="1" operator="lessThanOrEqual">
      <formula>0</formula>
    </cfRule>
  </conditionalFormatting>
  <conditionalFormatting sqref="C66:C74">
    <cfRule type="cellIs" dxfId="511" priority="150" stopIfTrue="1" operator="greaterThan">
      <formula>$F66</formula>
    </cfRule>
  </conditionalFormatting>
  <conditionalFormatting sqref="C67">
    <cfRule type="cellIs" dxfId="510" priority="184" stopIfTrue="1" operator="greaterThan">
      <formula>$F66</formula>
    </cfRule>
  </conditionalFormatting>
  <conditionalFormatting sqref="C71">
    <cfRule type="cellIs" dxfId="509" priority="113" stopIfTrue="1" operator="greaterThan">
      <formula>$F70</formula>
    </cfRule>
    <cfRule type="cellIs" dxfId="508" priority="112" stopIfTrue="1" operator="lessThanOrEqual">
      <formula>0</formula>
    </cfRule>
  </conditionalFormatting>
  <conditionalFormatting sqref="C72:C74">
    <cfRule type="cellIs" dxfId="507" priority="152" stopIfTrue="1" operator="lessThanOrEqual">
      <formula>0</formula>
    </cfRule>
  </conditionalFormatting>
  <conditionalFormatting sqref="C77:C81">
    <cfRule type="cellIs" dxfId="506" priority="174" stopIfTrue="1" operator="lessThanOrEqual">
      <formula>0</formula>
    </cfRule>
  </conditionalFormatting>
  <conditionalFormatting sqref="C78:C81">
    <cfRule type="cellIs" dxfId="505" priority="173" stopIfTrue="1" operator="greaterThan">
      <formula>$F$77</formula>
    </cfRule>
  </conditionalFormatting>
  <conditionalFormatting sqref="C83">
    <cfRule type="cellIs" dxfId="504" priority="175" stopIfTrue="1" operator="greaterThan">
      <formula>$F$77</formula>
    </cfRule>
    <cfRule type="cellIs" dxfId="503" priority="176" stopIfTrue="1" operator="lessThanOrEqual">
      <formula>0</formula>
    </cfRule>
  </conditionalFormatting>
  <conditionalFormatting sqref="C77:D77 D79:D85">
    <cfRule type="cellIs" dxfId="502" priority="168" stopIfTrue="1" operator="greaterThan">
      <formula>4.5</formula>
    </cfRule>
  </conditionalFormatting>
  <conditionalFormatting sqref="D46:D47">
    <cfRule type="cellIs" dxfId="501" priority="89" operator="notBetween">
      <formula>#REF!</formula>
      <formula>#REF!</formula>
    </cfRule>
  </conditionalFormatting>
  <conditionalFormatting sqref="D66:D73">
    <cfRule type="cellIs" dxfId="500" priority="63" stopIfTrue="1" operator="lessThanOrEqual">
      <formula>0</formula>
    </cfRule>
  </conditionalFormatting>
  <conditionalFormatting sqref="D66:D75">
    <cfRule type="cellIs" dxfId="499" priority="46" stopIfTrue="1" operator="lessThanOrEqual">
      <formula>0</formula>
    </cfRule>
  </conditionalFormatting>
  <conditionalFormatting sqref="D74">
    <cfRule type="cellIs" dxfId="498" priority="62" stopIfTrue="1" operator="lessThanOrEqual">
      <formula>0</formula>
    </cfRule>
  </conditionalFormatting>
  <conditionalFormatting sqref="D75">
    <cfRule type="cellIs" dxfId="497" priority="59" stopIfTrue="1" operator="lessThanOrEqual">
      <formula>0</formula>
    </cfRule>
  </conditionalFormatting>
  <conditionalFormatting sqref="D77 D79:D85">
    <cfRule type="cellIs" dxfId="496" priority="169" stopIfTrue="1" operator="lessThanOrEqual">
      <formula>0</formula>
    </cfRule>
  </conditionalFormatting>
  <conditionalFormatting sqref="D78">
    <cfRule type="cellIs" dxfId="495" priority="160" stopIfTrue="1" operator="greaterThan">
      <formula>$F$77</formula>
    </cfRule>
    <cfRule type="cellIs" dxfId="494" priority="161" stopIfTrue="1" operator="lessThanOrEqual">
      <formula>0</formula>
    </cfRule>
  </conditionalFormatting>
  <conditionalFormatting sqref="D66:E75">
    <cfRule type="cellIs" dxfId="493" priority="48" stopIfTrue="1" operator="greaterThan">
      <formula>$F66</formula>
    </cfRule>
  </conditionalFormatting>
  <conditionalFormatting sqref="D75:E75">
    <cfRule type="cellIs" dxfId="492" priority="50" stopIfTrue="1" operator="lessThanOrEqual">
      <formula>0</formula>
    </cfRule>
  </conditionalFormatting>
  <conditionalFormatting sqref="E10:E21">
    <cfRule type="cellIs" dxfId="491" priority="37" operator="lessThan">
      <formula>48</formula>
    </cfRule>
  </conditionalFormatting>
  <conditionalFormatting sqref="E49 E50:F50">
    <cfRule type="cellIs" dxfId="490" priority="165" stopIfTrue="1" operator="greaterThan">
      <formula>100</formula>
    </cfRule>
  </conditionalFormatting>
  <conditionalFormatting sqref="E50">
    <cfRule type="cellIs" dxfId="489" priority="162" stopIfTrue="1" operator="lessThan">
      <formula>96.8</formula>
    </cfRule>
    <cfRule type="cellIs" dxfId="488" priority="163" stopIfTrue="1" operator="greaterThan">
      <formula>100</formula>
    </cfRule>
  </conditionalFormatting>
  <conditionalFormatting sqref="E66:E74">
    <cfRule type="cellIs" dxfId="487" priority="47" stopIfTrue="1" operator="lessThanOrEqual">
      <formula>0</formula>
    </cfRule>
  </conditionalFormatting>
  <conditionalFormatting sqref="E66:E75">
    <cfRule type="cellIs" dxfId="486" priority="49" stopIfTrue="1" operator="lessThanOrEqual">
      <formula>0</formula>
    </cfRule>
  </conditionalFormatting>
  <conditionalFormatting sqref="E77:E85">
    <cfRule type="cellIs" dxfId="485" priority="154" stopIfTrue="1" operator="greaterThan">
      <formula>4.5</formula>
    </cfRule>
    <cfRule type="cellIs" dxfId="484" priority="155" stopIfTrue="1" operator="lessThanOrEqual">
      <formula>0</formula>
    </cfRule>
  </conditionalFormatting>
  <conditionalFormatting sqref="E50:F50 E49">
    <cfRule type="cellIs" dxfId="483" priority="164" stopIfTrue="1" operator="lessThan">
      <formula>96.5</formula>
    </cfRule>
  </conditionalFormatting>
  <conditionalFormatting sqref="F10:F21">
    <cfRule type="cellIs" dxfId="482" priority="41" operator="greaterThan">
      <formula>60</formula>
    </cfRule>
  </conditionalFormatting>
  <conditionalFormatting sqref="F50">
    <cfRule type="cellIs" dxfId="481" priority="180" stopIfTrue="1" operator="lessThan">
      <formula>96.8</formula>
    </cfRule>
    <cfRule type="cellIs" dxfId="480" priority="181" stopIfTrue="1" operator="greaterThan">
      <formula>100</formula>
    </cfRule>
  </conditionalFormatting>
  <conditionalFormatting sqref="F75">
    <cfRule type="cellIs" dxfId="479" priority="61" stopIfTrue="1" operator="lessThanOrEqual">
      <formula>0</formula>
    </cfRule>
    <cfRule type="cellIs" dxfId="478" priority="60" stopIfTrue="1" operator="greaterThan">
      <formula>$F75</formula>
    </cfRule>
  </conditionalFormatting>
  <conditionalFormatting sqref="G10:G21">
    <cfRule type="expression" dxfId="477" priority="38">
      <formula>IF(+(IF(G10&lt;S10,0,IF(G10&gt;T10,0,1)))=0,1)</formula>
    </cfRule>
  </conditionalFormatting>
  <conditionalFormatting sqref="G66:G67">
    <cfRule type="cellIs" dxfId="476" priority="65" stopIfTrue="1" operator="lessThanOrEqual">
      <formula>0</formula>
    </cfRule>
    <cfRule type="cellIs" dxfId="475" priority="64" stopIfTrue="1" operator="greaterThan">
      <formula>$F66</formula>
    </cfRule>
  </conditionalFormatting>
  <conditionalFormatting sqref="G66:G69">
    <cfRule type="cellIs" dxfId="474" priority="16" stopIfTrue="1" operator="lessThanOrEqual">
      <formula>0</formula>
    </cfRule>
    <cfRule type="cellIs" dxfId="473" priority="15" stopIfTrue="1" operator="greaterThan">
      <formula>$F66</formula>
    </cfRule>
  </conditionalFormatting>
  <conditionalFormatting sqref="G68">
    <cfRule type="cellIs" dxfId="472" priority="13" stopIfTrue="1" operator="greaterThan">
      <formula>$F68</formula>
    </cfRule>
    <cfRule type="cellIs" dxfId="471" priority="14" stopIfTrue="1" operator="lessThanOrEqual">
      <formula>0</formula>
    </cfRule>
  </conditionalFormatting>
  <conditionalFormatting sqref="G69">
    <cfRule type="cellIs" dxfId="470" priority="54" stopIfTrue="1" operator="greaterThan">
      <formula>$F69</formula>
    </cfRule>
    <cfRule type="cellIs" dxfId="469" priority="55" stopIfTrue="1" operator="lessThanOrEqual">
      <formula>0</formula>
    </cfRule>
  </conditionalFormatting>
  <conditionalFormatting sqref="G70:G74">
    <cfRule type="cellIs" dxfId="468" priority="66" stopIfTrue="1" operator="greaterThan">
      <formula>$J70</formula>
    </cfRule>
    <cfRule type="cellIs" dxfId="467" priority="67" stopIfTrue="1" operator="lessThanOrEqual">
      <formula>0</formula>
    </cfRule>
  </conditionalFormatting>
  <conditionalFormatting sqref="G79:G84 C82 C84">
    <cfRule type="cellIs" dxfId="466" priority="178" stopIfTrue="1" operator="lessThanOrEqual">
      <formula>0</formula>
    </cfRule>
    <cfRule type="cellIs" dxfId="465" priority="177" stopIfTrue="1" operator="greaterThan">
      <formula>4.5</formula>
    </cfRule>
  </conditionalFormatting>
  <conditionalFormatting sqref="G78:H78">
    <cfRule type="cellIs" dxfId="464" priority="159" stopIfTrue="1" operator="lessThanOrEqual">
      <formula>0</formula>
    </cfRule>
    <cfRule type="cellIs" dxfId="463" priority="158" stopIfTrue="1" operator="greaterThan">
      <formula>$F$77</formula>
    </cfRule>
  </conditionalFormatting>
  <conditionalFormatting sqref="H35:H36 H49">
    <cfRule type="cellIs" dxfId="462" priority="156" stopIfTrue="1" operator="greaterThan">
      <formula>0</formula>
    </cfRule>
  </conditionalFormatting>
  <conditionalFormatting sqref="H53">
    <cfRule type="cellIs" dxfId="461" priority="28" stopIfTrue="1" operator="lessThanOrEqual">
      <formula>0</formula>
    </cfRule>
    <cfRule type="cellIs" dxfId="460" priority="18" stopIfTrue="1" operator="lessThanOrEqual">
      <formula>0</formula>
    </cfRule>
    <cfRule type="cellIs" dxfId="459" priority="19" stopIfTrue="1" operator="greaterThan">
      <formula>$F$63</formula>
    </cfRule>
    <cfRule type="cellIs" dxfId="458" priority="27" stopIfTrue="1" operator="greaterThan">
      <formula>$F$66</formula>
    </cfRule>
    <cfRule type="cellIs" dxfId="457" priority="29" stopIfTrue="1" operator="greaterThan">
      <formula>$F$64</formula>
    </cfRule>
    <cfRule type="cellIs" dxfId="456" priority="30" stopIfTrue="1" operator="lessThanOrEqual">
      <formula>0</formula>
    </cfRule>
  </conditionalFormatting>
  <conditionalFormatting sqref="H54:H57">
    <cfRule type="cellIs" dxfId="455" priority="82" stopIfTrue="1" operator="greaterThan">
      <formula>$F$67</formula>
    </cfRule>
    <cfRule type="cellIs" dxfId="454" priority="80" stopIfTrue="1" operator="greaterThan">
      <formula>$F$69</formula>
    </cfRule>
    <cfRule type="cellIs" dxfId="453" priority="81" stopIfTrue="1" operator="lessThanOrEqual">
      <formula>0</formula>
    </cfRule>
    <cfRule type="cellIs" dxfId="452" priority="71" stopIfTrue="1" operator="lessThanOrEqual">
      <formula>0</formula>
    </cfRule>
    <cfRule type="cellIs" dxfId="451" priority="72" stopIfTrue="1" operator="greaterThan">
      <formula>$F$66</formula>
    </cfRule>
    <cfRule type="cellIs" dxfId="450" priority="83" stopIfTrue="1" operator="lessThanOrEqual">
      <formula>0</formula>
    </cfRule>
  </conditionalFormatting>
  <conditionalFormatting sqref="H58:H59">
    <cfRule type="cellIs" dxfId="449" priority="115" stopIfTrue="1" operator="lessThanOrEqual">
      <formula>0</formula>
    </cfRule>
    <cfRule type="cellIs" dxfId="448" priority="127" stopIfTrue="1" operator="lessThanOrEqual">
      <formula>0</formula>
    </cfRule>
    <cfRule type="cellIs" dxfId="447" priority="126" stopIfTrue="1" operator="greaterThan">
      <formula>#REF!</formula>
    </cfRule>
    <cfRule type="cellIs" dxfId="446" priority="125" stopIfTrue="1" operator="lessThanOrEqual">
      <formula>0</formula>
    </cfRule>
    <cfRule type="cellIs" dxfId="445" priority="116" stopIfTrue="1" operator="greaterThan">
      <formula>#REF!</formula>
    </cfRule>
    <cfRule type="cellIs" dxfId="444" priority="124" stopIfTrue="1" operator="greaterThan">
      <formula>$F$21</formula>
    </cfRule>
  </conditionalFormatting>
  <conditionalFormatting sqref="H60">
    <cfRule type="cellIs" dxfId="443" priority="140" stopIfTrue="1" operator="greaterThan">
      <formula>$F$35</formula>
    </cfRule>
    <cfRule type="cellIs" dxfId="442" priority="141" stopIfTrue="1" operator="lessThanOrEqual">
      <formula>0</formula>
    </cfRule>
    <cfRule type="cellIs" dxfId="441" priority="130" stopIfTrue="1" operator="greaterThan">
      <formula>$F$34</formula>
    </cfRule>
    <cfRule type="cellIs" dxfId="440" priority="129" stopIfTrue="1" operator="lessThanOrEqual">
      <formula>0</formula>
    </cfRule>
    <cfRule type="cellIs" dxfId="439" priority="138" stopIfTrue="1" operator="greaterThan">
      <formula>$F$37</formula>
    </cfRule>
    <cfRule type="cellIs" dxfId="438" priority="139" stopIfTrue="1" operator="lessThanOrEqual">
      <formula>0</formula>
    </cfRule>
  </conditionalFormatting>
  <conditionalFormatting sqref="H61:H62">
    <cfRule type="cellIs" dxfId="437" priority="108" stopIfTrue="1" operator="greaterThan">
      <formula>$F$21</formula>
    </cfRule>
    <cfRule type="cellIs" dxfId="436" priority="100" stopIfTrue="1" operator="greaterThan">
      <formula>#REF!</formula>
    </cfRule>
    <cfRule type="cellIs" dxfId="435" priority="109" stopIfTrue="1" operator="lessThanOrEqual">
      <formula>0</formula>
    </cfRule>
    <cfRule type="cellIs" dxfId="434" priority="110" stopIfTrue="1" operator="greaterThan">
      <formula>#REF!</formula>
    </cfRule>
    <cfRule type="cellIs" dxfId="433" priority="111" stopIfTrue="1" operator="lessThanOrEqual">
      <formula>0</formula>
    </cfRule>
    <cfRule type="cellIs" dxfId="432" priority="99" stopIfTrue="1" operator="lessThanOrEqual">
      <formula>0</formula>
    </cfRule>
  </conditionalFormatting>
  <conditionalFormatting sqref="H77 H79:H85">
    <cfRule type="cellIs" dxfId="431" priority="170" stopIfTrue="1" operator="greaterThan">
      <formula>4.5</formula>
    </cfRule>
    <cfRule type="cellIs" dxfId="430" priority="171" stopIfTrue="1" operator="lessThanOrEqual">
      <formula>0</formula>
    </cfRule>
  </conditionalFormatting>
  <conditionalFormatting sqref="H53:I53">
    <cfRule type="cellIs" dxfId="429" priority="20" stopIfTrue="1" operator="lessThanOrEqual">
      <formula>0</formula>
    </cfRule>
    <cfRule type="cellIs" dxfId="428" priority="17" stopIfTrue="1" operator="greaterThan">
      <formula>$F$65</formula>
    </cfRule>
  </conditionalFormatting>
  <conditionalFormatting sqref="H54:I57">
    <cfRule type="cellIs" dxfId="427" priority="70" stopIfTrue="1" operator="greaterThan">
      <formula>$F$68</formula>
    </cfRule>
    <cfRule type="cellIs" dxfId="426" priority="73" stopIfTrue="1" operator="lessThanOrEqual">
      <formula>0</formula>
    </cfRule>
  </conditionalFormatting>
  <conditionalFormatting sqref="H58:I59">
    <cfRule type="cellIs" dxfId="425" priority="114" stopIfTrue="1" operator="greaterThan">
      <formula>#REF!</formula>
    </cfRule>
    <cfRule type="cellIs" dxfId="424" priority="117" stopIfTrue="1" operator="lessThanOrEqual">
      <formula>0</formula>
    </cfRule>
  </conditionalFormatting>
  <conditionalFormatting sqref="H60:I60">
    <cfRule type="cellIs" dxfId="423" priority="128" stopIfTrue="1" operator="greaterThan">
      <formula>$F$36</formula>
    </cfRule>
    <cfRule type="cellIs" dxfId="422" priority="131" stopIfTrue="1" operator="lessThanOrEqual">
      <formula>0</formula>
    </cfRule>
  </conditionalFormatting>
  <conditionalFormatting sqref="H61:I62">
    <cfRule type="cellIs" dxfId="421" priority="98" stopIfTrue="1" operator="greaterThan">
      <formula>#REF!</formula>
    </cfRule>
    <cfRule type="cellIs" dxfId="420" priority="101" stopIfTrue="1" operator="lessThanOrEqual">
      <formula>0</formula>
    </cfRule>
  </conditionalFormatting>
  <conditionalFormatting sqref="H66:I73">
    <cfRule type="cellIs" dxfId="419" priority="44" stopIfTrue="1" operator="greaterThan">
      <formula>$J66</formula>
    </cfRule>
    <cfRule type="cellIs" dxfId="418" priority="45" stopIfTrue="1" operator="lessThanOrEqual">
      <formula>0</formula>
    </cfRule>
  </conditionalFormatting>
  <conditionalFormatting sqref="H74:I74">
    <cfRule type="cellIs" dxfId="417" priority="53" operator="greaterThan">
      <formula>5.3</formula>
    </cfRule>
  </conditionalFormatting>
  <conditionalFormatting sqref="H75:I75">
    <cfRule type="cellIs" dxfId="416" priority="51" stopIfTrue="1" operator="greaterThan">
      <formula>$J75</formula>
    </cfRule>
    <cfRule type="cellIs" dxfId="415" priority="52" stopIfTrue="1" operator="lessThanOrEqual">
      <formula>0</formula>
    </cfRule>
  </conditionalFormatting>
  <conditionalFormatting sqref="I53">
    <cfRule type="cellIs" dxfId="414" priority="21" stopIfTrue="1" operator="greaterThan">
      <formula>$F$63</formula>
    </cfRule>
    <cfRule type="cellIs" dxfId="413" priority="22" stopIfTrue="1" operator="lessThanOrEqual">
      <formula>0</formula>
    </cfRule>
    <cfRule type="cellIs" dxfId="412" priority="23" stopIfTrue="1" operator="greaterThan">
      <formula>$F$65</formula>
    </cfRule>
    <cfRule type="cellIs" dxfId="411" priority="24" stopIfTrue="1" operator="lessThanOrEqual">
      <formula>0</formula>
    </cfRule>
    <cfRule type="cellIs" dxfId="410" priority="25" stopIfTrue="1" operator="greaterThan">
      <formula>$F$63</formula>
    </cfRule>
    <cfRule type="cellIs" dxfId="409" priority="26" stopIfTrue="1" operator="lessThanOrEqual">
      <formula>0</formula>
    </cfRule>
  </conditionalFormatting>
  <conditionalFormatting sqref="I54:I57">
    <cfRule type="cellIs" dxfId="408" priority="76" stopIfTrue="1" operator="greaterThan">
      <formula>$F$68</formula>
    </cfRule>
    <cfRule type="cellIs" dxfId="407" priority="77" stopIfTrue="1" operator="lessThanOrEqual">
      <formula>0</formula>
    </cfRule>
    <cfRule type="cellIs" dxfId="406" priority="74" stopIfTrue="1" operator="greaterThan">
      <formula>$F$66</formula>
    </cfRule>
    <cfRule type="cellIs" dxfId="405" priority="79" stopIfTrue="1" operator="lessThanOrEqual">
      <formula>0</formula>
    </cfRule>
    <cfRule type="cellIs" dxfId="404" priority="78" stopIfTrue="1" operator="greaterThan">
      <formula>$F$66</formula>
    </cfRule>
    <cfRule type="cellIs" dxfId="403" priority="75" stopIfTrue="1" operator="lessThanOrEqual">
      <formula>0</formula>
    </cfRule>
  </conditionalFormatting>
  <conditionalFormatting sqref="I58:I59">
    <cfRule type="cellIs" dxfId="402" priority="120" stopIfTrue="1" operator="greaterThan">
      <formula>#REF!</formula>
    </cfRule>
    <cfRule type="cellIs" dxfId="401" priority="119" stopIfTrue="1" operator="lessThanOrEqual">
      <formula>0</formula>
    </cfRule>
    <cfRule type="cellIs" dxfId="400" priority="121" stopIfTrue="1" operator="lessThanOrEqual">
      <formula>0</formula>
    </cfRule>
    <cfRule type="cellIs" dxfId="399" priority="118" stopIfTrue="1" operator="greaterThan">
      <formula>#REF!</formula>
    </cfRule>
    <cfRule type="cellIs" dxfId="398" priority="123" stopIfTrue="1" operator="lessThanOrEqual">
      <formula>0</formula>
    </cfRule>
    <cfRule type="cellIs" dxfId="397" priority="122" stopIfTrue="1" operator="greaterThan">
      <formula>#REF!</formula>
    </cfRule>
  </conditionalFormatting>
  <conditionalFormatting sqref="I60">
    <cfRule type="cellIs" dxfId="396" priority="136" stopIfTrue="1" operator="greaterThan">
      <formula>$F$34</formula>
    </cfRule>
    <cfRule type="cellIs" dxfId="395" priority="132" stopIfTrue="1" operator="greaterThan">
      <formula>$F$34</formula>
    </cfRule>
    <cfRule type="cellIs" dxfId="394" priority="133" stopIfTrue="1" operator="lessThanOrEqual">
      <formula>0</formula>
    </cfRule>
    <cfRule type="cellIs" dxfId="393" priority="134" stopIfTrue="1" operator="greaterThan">
      <formula>$F$36</formula>
    </cfRule>
    <cfRule type="cellIs" dxfId="392" priority="135" stopIfTrue="1" operator="lessThanOrEqual">
      <formula>0</formula>
    </cfRule>
    <cfRule type="cellIs" dxfId="391" priority="137" stopIfTrue="1" operator="lessThanOrEqual">
      <formula>0</formula>
    </cfRule>
  </conditionalFormatting>
  <conditionalFormatting sqref="I61:I62">
    <cfRule type="cellIs" dxfId="390" priority="102" stopIfTrue="1" operator="greaterThan">
      <formula>#REF!</formula>
    </cfRule>
    <cfRule type="cellIs" dxfId="389" priority="107" stopIfTrue="1" operator="lessThanOrEqual">
      <formula>0</formula>
    </cfRule>
    <cfRule type="cellIs" dxfId="388" priority="106" stopIfTrue="1" operator="greaterThan">
      <formula>#REF!</formula>
    </cfRule>
    <cfRule type="cellIs" dxfId="387" priority="105" stopIfTrue="1" operator="lessThanOrEqual">
      <formula>0</formula>
    </cfRule>
    <cfRule type="cellIs" dxfId="386" priority="104" stopIfTrue="1" operator="greaterThan">
      <formula>#REF!</formula>
    </cfRule>
    <cfRule type="cellIs" dxfId="385" priority="103" stopIfTrue="1" operator="lessThanOrEqual">
      <formula>0</formula>
    </cfRule>
  </conditionalFormatting>
  <conditionalFormatting sqref="I77:I85">
    <cfRule type="cellIs" dxfId="384" priority="167" stopIfTrue="1" operator="lessThanOrEqual">
      <formula>0</formula>
    </cfRule>
    <cfRule type="cellIs" dxfId="383" priority="166" stopIfTrue="1" operator="greaterThan">
      <formula>4.5</formula>
    </cfRule>
  </conditionalFormatting>
  <conditionalFormatting sqref="I10:J21">
    <cfRule type="cellIs" dxfId="382" priority="31" operator="lessThan">
      <formula>97.9</formula>
    </cfRule>
  </conditionalFormatting>
  <conditionalFormatting sqref="J24">
    <cfRule type="cellIs" dxfId="381" priority="69" operator="lessThan">
      <formula>97.95</formula>
    </cfRule>
  </conditionalFormatting>
  <conditionalFormatting sqref="J26">
    <cfRule type="cellIs" dxfId="380" priority="144" stopIfTrue="1" operator="greaterThan">
      <formula>100</formula>
    </cfRule>
    <cfRule type="cellIs" dxfId="379" priority="145" operator="lessThan">
      <formula>98</formula>
    </cfRule>
    <cfRule type="cellIs" dxfId="378" priority="143" stopIfTrue="1" operator="lessThan">
      <formula>96.8</formula>
    </cfRule>
  </conditionalFormatting>
  <conditionalFormatting sqref="J26:J28">
    <cfRule type="cellIs" dxfId="377" priority="142" operator="lessThan">
      <formula>97.4</formula>
    </cfRule>
  </conditionalFormatting>
  <conditionalFormatting sqref="J29:J30">
    <cfRule type="cellIs" dxfId="376" priority="146" operator="lessThan">
      <formula>98</formula>
    </cfRule>
  </conditionalFormatting>
  <conditionalFormatting sqref="J31:J32">
    <cfRule type="cellIs" dxfId="375" priority="148" stopIfTrue="1" operator="greaterThan">
      <formula>100</formula>
    </cfRule>
    <cfRule type="cellIs" dxfId="374" priority="147" stopIfTrue="1" operator="lessThan">
      <formula>96.8</formula>
    </cfRule>
  </conditionalFormatting>
  <conditionalFormatting sqref="J31:J33">
    <cfRule type="cellIs" dxfId="373" priority="149" operator="lessThan">
      <formula>98</formula>
    </cfRule>
  </conditionalFormatting>
  <conditionalFormatting sqref="J62">
    <cfRule type="cellIs" dxfId="372" priority="93" stopIfTrue="1" operator="lessThanOrEqual">
      <formula>0</formula>
    </cfRule>
    <cfRule type="cellIs" dxfId="371" priority="90" stopIfTrue="1" operator="greaterThan">
      <formula>#REF!</formula>
    </cfRule>
    <cfRule type="cellIs" dxfId="370" priority="95" stopIfTrue="1" operator="lessThanOrEqual">
      <formula>0</formula>
    </cfRule>
    <cfRule type="cellIs" dxfId="369" priority="91" stopIfTrue="1" operator="lessThanOrEqual">
      <formula>0</formula>
    </cfRule>
    <cfRule type="cellIs" dxfId="368" priority="94" stopIfTrue="1" operator="greaterThan">
      <formula>#REF!</formula>
    </cfRule>
    <cfRule type="cellIs" dxfId="367" priority="97" stopIfTrue="1" operator="lessThanOrEqual">
      <formula>0</formula>
    </cfRule>
    <cfRule type="cellIs" dxfId="366" priority="92" stopIfTrue="1" operator="greaterThan">
      <formula>#REF!</formula>
    </cfRule>
    <cfRule type="cellIs" dxfId="365" priority="96" stopIfTrue="1" operator="greaterThan">
      <formula>#REF!</formula>
    </cfRule>
  </conditionalFormatting>
  <conditionalFormatting sqref="J75">
    <cfRule type="cellIs" dxfId="364" priority="57" stopIfTrue="1" operator="lessThanOrEqual">
      <formula>0</formula>
    </cfRule>
    <cfRule type="cellIs" dxfId="363" priority="56" stopIfTrue="1" operator="greaterThan">
      <formula>$F75</formula>
    </cfRule>
  </conditionalFormatting>
  <conditionalFormatting sqref="K10:K21">
    <cfRule type="cellIs" dxfId="362" priority="33" operator="lessThan">
      <formula>4</formula>
    </cfRule>
    <cfRule type="cellIs" dxfId="361" priority="34" operator="greaterThan">
      <formula>6.4</formula>
    </cfRule>
    <cfRule type="cellIs" dxfId="360" priority="32" operator="greaterThan">
      <formula>6</formula>
    </cfRule>
  </conditionalFormatting>
  <conditionalFormatting sqref="K53:K62">
    <cfRule type="cellIs" dxfId="359" priority="84" stopIfTrue="1" operator="lessThan">
      <formula>100%</formula>
    </cfRule>
  </conditionalFormatting>
  <conditionalFormatting sqref="K77:K82">
    <cfRule type="cellIs" dxfId="358" priority="172" stopIfTrue="1" operator="lessThan">
      <formula>100%</formula>
    </cfRule>
  </conditionalFormatting>
  <conditionalFormatting sqref="K84:K85">
    <cfRule type="cellIs" dxfId="357" priority="179" stopIfTrue="1" operator="lessThan">
      <formula>100%</formula>
    </cfRule>
  </conditionalFormatting>
  <conditionalFormatting sqref="K66:M74">
    <cfRule type="cellIs" dxfId="356" priority="43" stopIfTrue="1" operator="lessThan">
      <formula>100%</formula>
    </cfRule>
  </conditionalFormatting>
  <conditionalFormatting sqref="L10:L21">
    <cfRule type="cellIs" dxfId="355" priority="36" operator="greaterThan">
      <formula>65</formula>
    </cfRule>
    <cfRule type="cellIs" dxfId="354" priority="35" operator="between">
      <formula>61</formula>
      <formula>65</formula>
    </cfRule>
  </conditionalFormatting>
  <conditionalFormatting sqref="L24:M35">
    <cfRule type="cellIs" dxfId="353" priority="86" operator="lessThan">
      <formula>97.95</formula>
    </cfRule>
  </conditionalFormatting>
  <conditionalFormatting sqref="L75:M75">
    <cfRule type="cellIs" dxfId="352" priority="58" stopIfTrue="1" operator="lessThan">
      <formula>100%</formula>
    </cfRule>
  </conditionalFormatting>
  <conditionalFormatting sqref="L39:N39">
    <cfRule type="cellIs" dxfId="351" priority="87" operator="notEqual">
      <formula>#REF!</formula>
    </cfRule>
  </conditionalFormatting>
  <conditionalFormatting sqref="L77:N85">
    <cfRule type="cellIs" dxfId="350" priority="157" stopIfTrue="1" operator="lessThan">
      <formula>100%</formula>
    </cfRule>
  </conditionalFormatting>
  <conditionalFormatting sqref="M10:M19">
    <cfRule type="expression" dxfId="349" priority="40">
      <formula>IF(+(IF(M10&lt;U10,0,IF(M10&gt;V10,0,1)))=0,1)</formula>
    </cfRule>
  </conditionalFormatting>
  <conditionalFormatting sqref="M10:N13 H10:H21">
    <cfRule type="expression" dxfId="348" priority="42">
      <formula>IF(+(IF(H10&lt;#REF!,0,IF(H10&gt;#REF!,0,1)))=0,1)</formula>
    </cfRule>
  </conditionalFormatting>
  <conditionalFormatting sqref="M20:N21">
    <cfRule type="expression" dxfId="347" priority="85">
      <formula>IF(+(IF(M20&lt;#REF!,0,IF(M20&gt;#REF!,0,1)))=0,1)</formula>
    </cfRule>
  </conditionalFormatting>
  <conditionalFormatting sqref="N10:N19">
    <cfRule type="expression" dxfId="346" priority="39">
      <formula>IF(+(IF(N10&lt;W10,0,IF(N10&gt;X10,0,1)))=0,1)</formula>
    </cfRule>
  </conditionalFormatting>
  <conditionalFormatting sqref="N66:N75">
    <cfRule type="cellIs" dxfId="345" priority="68" stopIfTrue="1" operator="lessThan">
      <formula>100%</formula>
    </cfRule>
  </conditionalFormatting>
  <conditionalFormatting sqref="P6">
    <cfRule type="cellIs" dxfId="344" priority="153" operator="greaterThanOrEqual">
      <formula>19</formula>
    </cfRule>
  </conditionalFormatting>
  <dataValidations count="1">
    <dataValidation type="list" allowBlank="1" showInputMessage="1" showErrorMessage="1" sqref="R8" xr:uid="{850F4BDC-50CF-4025-B7EF-E9F6EBC2B13D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9" max="16383" man="1"/>
  </rowBreaks>
  <colBreaks count="1" manualBreakCount="1">
    <brk id="15" max="89" man="1"/>
  </colBreak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1C13B-0DCE-4DC0-9934-20E4EFAD100E}">
  <sheetPr>
    <pageSetUpPr fitToPage="1"/>
  </sheetPr>
  <dimension ref="A1:BE78"/>
  <sheetViews>
    <sheetView topLeftCell="A7" zoomScale="85" zoomScaleNormal="85" workbookViewId="0">
      <selection activeCell="J56" sqref="J56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20.7109375" style="275" customWidth="1"/>
    <col min="10" max="10" width="24.140625" style="275" bestFit="1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5" t="s">
        <v>0</v>
      </c>
      <c r="T1" s="555"/>
      <c r="U1" s="555" t="s">
        <v>1</v>
      </c>
      <c r="V1" s="555"/>
      <c r="W1" s="555" t="s">
        <v>2</v>
      </c>
      <c r="X1" s="555"/>
      <c r="Y1" s="555" t="s">
        <v>124</v>
      </c>
      <c r="Z1" s="555"/>
    </row>
    <row r="2" spans="2:29" ht="15">
      <c r="B2" s="556" t="s">
        <v>3</v>
      </c>
      <c r="C2" s="556"/>
      <c r="D2" s="556"/>
      <c r="E2" s="556"/>
      <c r="F2" s="556"/>
      <c r="G2" s="556"/>
      <c r="H2" s="556"/>
      <c r="I2" s="556"/>
      <c r="J2" s="556"/>
      <c r="K2" s="556"/>
      <c r="L2" s="556"/>
      <c r="M2" s="556"/>
      <c r="N2" s="556"/>
      <c r="O2" s="556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46142</v>
      </c>
      <c r="J4" s="398" t="s">
        <v>167</v>
      </c>
      <c r="K4" s="398"/>
      <c r="L4" s="11"/>
      <c r="M4" s="553" t="s">
        <v>8</v>
      </c>
      <c r="N4" s="554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2"/>
      <c r="D5" s="542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6" t="s">
        <v>17</v>
      </c>
      <c r="C8" s="517" t="s">
        <v>18</v>
      </c>
      <c r="D8" s="517" t="s">
        <v>19</v>
      </c>
      <c r="E8" s="356" t="s">
        <v>20</v>
      </c>
      <c r="F8" s="356" t="s">
        <v>21</v>
      </c>
      <c r="G8" s="517" t="s">
        <v>22</v>
      </c>
      <c r="H8" s="544" t="s">
        <v>144</v>
      </c>
      <c r="I8" s="517" t="s">
        <v>165</v>
      </c>
      <c r="J8" s="546" t="s">
        <v>23</v>
      </c>
      <c r="K8" s="548" t="s">
        <v>142</v>
      </c>
      <c r="L8" s="550" t="s">
        <v>24</v>
      </c>
      <c r="M8" s="359" t="s">
        <v>25</v>
      </c>
      <c r="N8" s="17" t="s">
        <v>169</v>
      </c>
      <c r="O8" s="510" t="s">
        <v>155</v>
      </c>
      <c r="P8" s="540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43"/>
      <c r="C9" s="541"/>
      <c r="D9" s="541"/>
      <c r="E9" s="357" t="s">
        <v>30</v>
      </c>
      <c r="F9" s="357" t="s">
        <v>31</v>
      </c>
      <c r="G9" s="541"/>
      <c r="H9" s="545"/>
      <c r="I9" s="541"/>
      <c r="J9" s="547"/>
      <c r="K9" s="549"/>
      <c r="L9" s="551"/>
      <c r="M9" s="20" t="s">
        <v>32</v>
      </c>
      <c r="N9" s="21" t="s">
        <v>41</v>
      </c>
      <c r="O9" s="552"/>
      <c r="P9" s="541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>
      <c r="B10" s="34" t="s">
        <v>12</v>
      </c>
      <c r="C10" s="366" t="str">
        <f>[5]Brewhouse!$A56</f>
        <v>GU038</v>
      </c>
      <c r="D10" s="279">
        <f>[5]Brewhouse!$AF56</f>
        <v>54.4</v>
      </c>
      <c r="E10" s="279">
        <f>[5]Brewhouse!$AI56</f>
        <v>51</v>
      </c>
      <c r="F10" s="278">
        <f>[5]Brewhouse!$V56</f>
        <v>60</v>
      </c>
      <c r="G10" s="279">
        <f>[5]Brewhouse!$AG56</f>
        <v>17.2</v>
      </c>
      <c r="H10" s="396">
        <v>17.2</v>
      </c>
      <c r="I10" s="484">
        <f>[5]Brewhouse!$AU56</f>
        <v>95.226977398578171</v>
      </c>
      <c r="J10" s="484">
        <f>[5]Brewhouse!$AV56</f>
        <v>96.562451712593358</v>
      </c>
      <c r="K10" s="485">
        <f>[5]Brewhouse!$R56</f>
        <v>4.9554367201426048</v>
      </c>
      <c r="L10" s="276">
        <f>[5]Brewhouse!$O56</f>
        <v>62</v>
      </c>
      <c r="M10" s="374">
        <f>[5]Brewhouse!$U56-[5]Brewhouse!$T56</f>
        <v>0.13124999999999998</v>
      </c>
      <c r="N10" s="370">
        <f>[5]Brewhouse!$Z56</f>
        <v>0.28888888888888886</v>
      </c>
      <c r="O10" s="420" t="str">
        <f>[5]Brewhouse!$AW56</f>
        <v>R. Sookram</v>
      </c>
      <c r="P10" s="418"/>
      <c r="R10" s="277" t="str">
        <f t="shared" ref="R10:R21" si="0">B10</f>
        <v>GUINNESS</v>
      </c>
      <c r="S10" s="472">
        <f t="shared" ref="S10:S21" si="1">VLOOKUP($B10,$R$3:$X$9,2,FALSE)</f>
        <v>17</v>
      </c>
      <c r="T10" s="472">
        <f t="shared" ref="T10:T21" si="2">VLOOKUP($B10,$R$3:$X$9,3,FALSE)</f>
        <v>17.5</v>
      </c>
      <c r="U10" s="297">
        <f t="shared" ref="U10:U21" si="3">VLOOKUP($B10,$R$3:$X$9,4,FALSE)</f>
        <v>0</v>
      </c>
      <c r="V10" s="297">
        <f t="shared" ref="V10:V21" si="4">VLOOKUP($B10,$R$3:$X$9,5,FALSE)</f>
        <v>0.1076388888888889</v>
      </c>
      <c r="W10" s="297">
        <f t="shared" ref="W10:W21" si="5">VLOOKUP($B10,$R$3:$X$9,6,FALSE)</f>
        <v>0.24652777777777779</v>
      </c>
      <c r="X10" s="297">
        <f t="shared" ref="X10:X21" si="6">VLOOKUP($B10,$R$3:$X$9,7,FALSE)</f>
        <v>0.28472222222222221</v>
      </c>
      <c r="Y10" s="297">
        <f t="shared" ref="Y10:Y21" si="7">VLOOKUP($B10,$R$3:$Z$9,8,FALSE)</f>
        <v>0</v>
      </c>
      <c r="Z10" s="472">
        <f t="shared" ref="Z10:Z21" si="8">VLOOKUP($B10,$R$3:$Z$9,9,FALSE)</f>
        <v>60</v>
      </c>
    </row>
    <row r="11" spans="2:29" ht="15">
      <c r="B11" s="34" t="s">
        <v>12</v>
      </c>
      <c r="C11" s="366" t="str">
        <f>[5]Brewhouse!$A57</f>
        <v>GU039</v>
      </c>
      <c r="D11" s="279">
        <f>[5]Brewhouse!$AF57</f>
        <v>55</v>
      </c>
      <c r="E11" s="279">
        <f>[5]Brewhouse!$AI57</f>
        <v>51.3</v>
      </c>
      <c r="F11" s="278">
        <f>[5]Brewhouse!$V57</f>
        <v>60</v>
      </c>
      <c r="G11" s="279">
        <f>[5]Brewhouse!$AG57</f>
        <v>17</v>
      </c>
      <c r="H11" s="396">
        <v>17.399999999999999</v>
      </c>
      <c r="I11" s="484">
        <f>[5]Brewhouse!$AU57</f>
        <v>94.66429901148345</v>
      </c>
      <c r="J11" s="484">
        <f>[5]Brewhouse!$AV57</f>
        <v>95.991649269311068</v>
      </c>
      <c r="K11" s="485">
        <f>[5]Brewhouse!$R57</f>
        <v>3.7142857142857109</v>
      </c>
      <c r="L11" s="276">
        <f>[5]Brewhouse!$O57</f>
        <v>58</v>
      </c>
      <c r="M11" s="374">
        <f>[5]Brewhouse!$U57-[5]Brewhouse!$T57</f>
        <v>0.14166666666666666</v>
      </c>
      <c r="N11" s="370">
        <f>[5]Brewhouse!$Z57</f>
        <v>0.28819444444444448</v>
      </c>
      <c r="O11" s="420" t="str">
        <f>[5]Brewhouse!$AW57</f>
        <v>R. Sookram</v>
      </c>
      <c r="P11" s="418"/>
      <c r="R11" s="277" t="str">
        <f t="shared" si="0"/>
        <v>GUINNESS</v>
      </c>
      <c r="S11" s="472">
        <f t="shared" si="1"/>
        <v>17</v>
      </c>
      <c r="T11" s="472">
        <f t="shared" si="2"/>
        <v>17.5</v>
      </c>
      <c r="U11" s="297">
        <f t="shared" si="3"/>
        <v>0</v>
      </c>
      <c r="V11" s="297">
        <f t="shared" si="4"/>
        <v>0.1076388888888889</v>
      </c>
      <c r="W11" s="297">
        <f t="shared" si="5"/>
        <v>0.24652777777777779</v>
      </c>
      <c r="X11" s="297">
        <f t="shared" si="6"/>
        <v>0.28472222222222221</v>
      </c>
      <c r="Y11" s="297">
        <f t="shared" si="7"/>
        <v>0</v>
      </c>
      <c r="Z11" s="472">
        <f t="shared" si="8"/>
        <v>60</v>
      </c>
    </row>
    <row r="12" spans="2:29" ht="15">
      <c r="B12" s="34" t="s">
        <v>12</v>
      </c>
      <c r="C12" s="366" t="str">
        <f>[5]Brewhouse!$A58</f>
        <v>GU040</v>
      </c>
      <c r="D12" s="279">
        <f>[5]Brewhouse!$AF58</f>
        <v>56.9</v>
      </c>
      <c r="E12" s="279">
        <f>[5]Brewhouse!$AI58</f>
        <v>53.2</v>
      </c>
      <c r="F12" s="278">
        <f>[5]Brewhouse!$V58</f>
        <v>64</v>
      </c>
      <c r="G12" s="279">
        <f>[5]Brewhouse!$AG58</f>
        <v>17.399999999999999</v>
      </c>
      <c r="H12" s="396">
        <v>17.7</v>
      </c>
      <c r="I12" s="484">
        <f>[5]Brewhouse!$AU58</f>
        <v>100.57784401994616</v>
      </c>
      <c r="J12" s="484">
        <f>[5]Brewhouse!$AV58</f>
        <v>101.98835951583827</v>
      </c>
      <c r="K12" s="485">
        <f>[5]Brewhouse!$R58</f>
        <v>0.3214285714285709</v>
      </c>
      <c r="L12" s="276">
        <f>[5]Brewhouse!$O58</f>
        <v>58</v>
      </c>
      <c r="M12" s="374">
        <f>[5]Brewhouse!$U58-[5]Brewhouse!$T58</f>
        <v>0.13263888888888892</v>
      </c>
      <c r="N12" s="370">
        <f>[5]Brewhouse!$Z58</f>
        <v>0.28333333333333338</v>
      </c>
      <c r="O12" s="420" t="str">
        <f>[5]Brewhouse!$AW58</f>
        <v>K. Benjamin</v>
      </c>
      <c r="P12" s="418"/>
      <c r="R12" s="277" t="str">
        <f t="shared" si="0"/>
        <v>GUINNESS</v>
      </c>
      <c r="S12" s="472">
        <f t="shared" si="1"/>
        <v>17</v>
      </c>
      <c r="T12" s="472">
        <f t="shared" si="2"/>
        <v>17.5</v>
      </c>
      <c r="U12" s="297">
        <f t="shared" si="3"/>
        <v>0</v>
      </c>
      <c r="V12" s="297">
        <f t="shared" si="4"/>
        <v>0.1076388888888889</v>
      </c>
      <c r="W12" s="297">
        <f t="shared" si="5"/>
        <v>0.24652777777777779</v>
      </c>
      <c r="X12" s="297">
        <f t="shared" si="6"/>
        <v>0.28472222222222221</v>
      </c>
      <c r="Y12" s="297">
        <f t="shared" si="7"/>
        <v>0</v>
      </c>
      <c r="Z12" s="472">
        <f t="shared" si="8"/>
        <v>60</v>
      </c>
    </row>
    <row r="13" spans="2:29" ht="15">
      <c r="B13" s="34" t="s">
        <v>12</v>
      </c>
      <c r="C13" s="366" t="str">
        <f>[5]Brewhouse!$A59</f>
        <v>GU041</v>
      </c>
      <c r="D13" s="279">
        <f>[5]Brewhouse!$AF59</f>
        <v>56.5</v>
      </c>
      <c r="E13" s="279">
        <f>[5]Brewhouse!$AI59</f>
        <v>52.7</v>
      </c>
      <c r="F13" s="278">
        <f>[5]Brewhouse!$V59</f>
        <v>62</v>
      </c>
      <c r="G13" s="279">
        <f>[5]Brewhouse!$AG59</f>
        <v>17</v>
      </c>
      <c r="H13" s="482">
        <v>16.899999999999999</v>
      </c>
      <c r="I13" s="484">
        <f>[5]Brewhouse!$AU59</f>
        <v>98.401209978530773</v>
      </c>
      <c r="J13" s="484">
        <f>[5]Brewhouse!$AV59</f>
        <v>99.781200103013134</v>
      </c>
      <c r="K13" s="485">
        <f>[5]Brewhouse!$R59</f>
        <v>1.0357142857142827</v>
      </c>
      <c r="L13" s="276">
        <f>[5]Brewhouse!$O59</f>
        <v>59</v>
      </c>
      <c r="M13" s="374">
        <f>[5]Brewhouse!$U59-[5]Brewhouse!$T59</f>
        <v>0.19305555555555554</v>
      </c>
      <c r="N13" s="370">
        <f>[5]Brewhouse!$Z59</f>
        <v>0.34583333333333338</v>
      </c>
      <c r="O13" s="420" t="str">
        <f>[5]Brewhouse!$AW59</f>
        <v>K. Benjamin</v>
      </c>
      <c r="P13" s="418"/>
      <c r="R13" s="277" t="str">
        <f t="shared" si="0"/>
        <v>GUINNESS</v>
      </c>
      <c r="S13" s="472">
        <f t="shared" si="1"/>
        <v>17</v>
      </c>
      <c r="T13" s="472">
        <f t="shared" si="2"/>
        <v>17.5</v>
      </c>
      <c r="U13" s="297">
        <f t="shared" si="3"/>
        <v>0</v>
      </c>
      <c r="V13" s="297">
        <f t="shared" si="4"/>
        <v>0.1076388888888889</v>
      </c>
      <c r="W13" s="297">
        <f t="shared" si="5"/>
        <v>0.24652777777777779</v>
      </c>
      <c r="X13" s="297">
        <f t="shared" si="6"/>
        <v>0.28472222222222221</v>
      </c>
      <c r="Y13" s="297">
        <f t="shared" si="7"/>
        <v>0</v>
      </c>
      <c r="Z13" s="472">
        <f t="shared" si="8"/>
        <v>60</v>
      </c>
    </row>
    <row r="14" spans="2:29" ht="15">
      <c r="B14" s="34" t="s">
        <v>12</v>
      </c>
      <c r="C14" s="366" t="str">
        <f>[5]Brewhouse!$A60</f>
        <v>GU042</v>
      </c>
      <c r="D14" s="279">
        <f>[5]Brewhouse!$AF60</f>
        <v>57.2</v>
      </c>
      <c r="E14" s="279">
        <f>[5]Brewhouse!$AI60</f>
        <v>53.4</v>
      </c>
      <c r="F14" s="278">
        <f>[5]Brewhouse!$V60</f>
        <v>60</v>
      </c>
      <c r="G14" s="279">
        <f>[5]Brewhouse!$AG60</f>
        <v>17.100000000000001</v>
      </c>
      <c r="H14" s="396">
        <v>17.2</v>
      </c>
      <c r="I14" s="484">
        <f>[5]Brewhouse!$AU60</f>
        <v>99.190946222442903</v>
      </c>
      <c r="J14" s="484">
        <f>[5]Brewhouse!$AV60</f>
        <v>100.58176757132915</v>
      </c>
      <c r="K14" s="485">
        <f>[5]Brewhouse!$R60</f>
        <v>-3.5650623885923577E-2</v>
      </c>
      <c r="L14" s="276">
        <f>[5]Brewhouse!$O60</f>
        <v>61</v>
      </c>
      <c r="M14" s="374">
        <f>[5]Brewhouse!$U60-[5]Brewhouse!$T60</f>
        <v>0.18263888888888891</v>
      </c>
      <c r="N14" s="370">
        <f>[5]Brewhouse!$Z60</f>
        <v>0.34027777777777779</v>
      </c>
      <c r="O14" s="420" t="str">
        <f>[5]Brewhouse!$AW60</f>
        <v>K. Benjamin</v>
      </c>
      <c r="P14" s="418"/>
      <c r="R14" s="277" t="str">
        <f t="shared" si="0"/>
        <v>GUINNESS</v>
      </c>
      <c r="S14" s="472">
        <f t="shared" si="1"/>
        <v>17</v>
      </c>
      <c r="T14" s="472">
        <f t="shared" si="2"/>
        <v>17.5</v>
      </c>
      <c r="U14" s="297">
        <f t="shared" si="3"/>
        <v>0</v>
      </c>
      <c r="V14" s="297">
        <f t="shared" si="4"/>
        <v>0.1076388888888889</v>
      </c>
      <c r="W14" s="297">
        <f t="shared" si="5"/>
        <v>0.24652777777777779</v>
      </c>
      <c r="X14" s="297">
        <f t="shared" si="6"/>
        <v>0.28472222222222221</v>
      </c>
      <c r="Y14" s="297">
        <f t="shared" si="7"/>
        <v>0</v>
      </c>
      <c r="Z14" s="472">
        <f t="shared" si="8"/>
        <v>60</v>
      </c>
    </row>
    <row r="15" spans="2:29" ht="15">
      <c r="B15" s="34"/>
      <c r="C15" s="366"/>
      <c r="D15" s="279"/>
      <c r="E15" s="279"/>
      <c r="F15" s="278"/>
      <c r="G15" s="279"/>
      <c r="H15" s="396"/>
      <c r="I15" s="484"/>
      <c r="J15" s="484"/>
      <c r="K15" s="485"/>
      <c r="L15" s="276"/>
      <c r="M15" s="374"/>
      <c r="N15" s="370"/>
      <c r="O15" s="420"/>
      <c r="P15" s="418"/>
      <c r="R15" s="277">
        <f t="shared" si="0"/>
        <v>0</v>
      </c>
      <c r="S15" s="472" t="e">
        <f t="shared" si="1"/>
        <v>#N/A</v>
      </c>
      <c r="T15" s="472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2" t="e">
        <f t="shared" si="8"/>
        <v>#N/A</v>
      </c>
    </row>
    <row r="16" spans="2:29" ht="15">
      <c r="B16" s="34"/>
      <c r="C16" s="366"/>
      <c r="D16" s="279"/>
      <c r="E16" s="279"/>
      <c r="F16" s="278"/>
      <c r="G16" s="279"/>
      <c r="H16" s="396"/>
      <c r="I16" s="484"/>
      <c r="J16" s="484"/>
      <c r="K16" s="485"/>
      <c r="L16" s="276"/>
      <c r="M16" s="374"/>
      <c r="N16" s="370"/>
      <c r="O16" s="420"/>
      <c r="P16" s="418"/>
      <c r="R16" s="277">
        <f t="shared" si="0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6" ht="15">
      <c r="B17" s="22" t="s">
        <v>33</v>
      </c>
      <c r="C17" s="366" t="str">
        <f>[6]Brewhouse!A54</f>
        <v>VM029</v>
      </c>
      <c r="D17" s="279">
        <f>[6]Brewhouse!AE54</f>
        <v>50.1</v>
      </c>
      <c r="E17" s="279">
        <f>[6]Brewhouse!AJ54</f>
        <v>47.3</v>
      </c>
      <c r="F17" s="278">
        <f>[6]Brewhouse!X54</f>
        <v>84</v>
      </c>
      <c r="G17" s="279">
        <f>[6]Brewhouse!AH54</f>
        <v>14.5</v>
      </c>
      <c r="H17" s="396">
        <v>14.5</v>
      </c>
      <c r="I17" s="368">
        <f>[6]Brewhouse!AV54</f>
        <v>97.205782019322555</v>
      </c>
      <c r="J17" s="368">
        <f>[6]Brewhouse!AW54</f>
        <v>97.538578672290498</v>
      </c>
      <c r="K17" s="281">
        <f>[6]Brewhouse!S54</f>
        <v>5.7085828343313505</v>
      </c>
      <c r="L17" s="276">
        <f>[6]Brewhouse!R54</f>
        <v>58</v>
      </c>
      <c r="M17" s="374">
        <f>[6]Brewhouse!$W54-[6]Brewhouse!$V54</f>
        <v>0.14444444444444438</v>
      </c>
      <c r="N17" s="370">
        <f>[6]Brewhouse!AB54</f>
        <v>0.41111111111111109</v>
      </c>
      <c r="O17" s="371" t="str">
        <f>[6]Brewhouse!$AZ54</f>
        <v>R. Regis</v>
      </c>
      <c r="P17" s="418"/>
      <c r="R17" s="277" t="str">
        <f t="shared" si="0"/>
        <v>VITAMALT</v>
      </c>
      <c r="S17" s="472">
        <f t="shared" si="1"/>
        <v>14.2</v>
      </c>
      <c r="T17" s="472">
        <f t="shared" si="2"/>
        <v>14.6</v>
      </c>
      <c r="U17" s="297">
        <f t="shared" si="3"/>
        <v>0</v>
      </c>
      <c r="V17" s="297">
        <f t="shared" si="4"/>
        <v>0.13905092592592591</v>
      </c>
      <c r="W17" s="297">
        <f t="shared" si="5"/>
        <v>0.26041666666666669</v>
      </c>
      <c r="X17" s="297">
        <f t="shared" si="6"/>
        <v>0.2951388888888889</v>
      </c>
      <c r="Y17" s="297">
        <f t="shared" si="7"/>
        <v>0</v>
      </c>
      <c r="Z17" s="472">
        <f t="shared" si="8"/>
        <v>75</v>
      </c>
    </row>
    <row r="18" spans="1:26" ht="15">
      <c r="B18" s="34"/>
      <c r="C18" s="366"/>
      <c r="D18" s="279"/>
      <c r="E18" s="279"/>
      <c r="F18" s="278"/>
      <c r="G18" s="279"/>
      <c r="H18" s="396"/>
      <c r="I18" s="484"/>
      <c r="J18" s="484"/>
      <c r="K18" s="485"/>
      <c r="L18" s="276"/>
      <c r="M18" s="374"/>
      <c r="N18" s="370"/>
      <c r="O18" s="420"/>
      <c r="P18" s="418"/>
      <c r="R18" s="277">
        <f t="shared" si="0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5">
      <c r="B19" s="34"/>
      <c r="C19" s="366"/>
      <c r="D19" s="279"/>
      <c r="E19" s="279"/>
      <c r="F19" s="278"/>
      <c r="G19" s="279"/>
      <c r="H19" s="396"/>
      <c r="I19" s="484"/>
      <c r="J19" s="484"/>
      <c r="K19" s="485"/>
      <c r="L19" s="276"/>
      <c r="M19" s="374"/>
      <c r="N19" s="370"/>
      <c r="O19" s="420"/>
      <c r="P19" s="418"/>
      <c r="R19" s="277">
        <f t="shared" si="0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5" hidden="1">
      <c r="B20" s="34"/>
      <c r="C20" s="366"/>
      <c r="D20" s="279"/>
      <c r="E20" s="279"/>
      <c r="F20" s="278"/>
      <c r="G20" s="279"/>
      <c r="H20" s="396"/>
      <c r="I20" s="484"/>
      <c r="J20" s="484"/>
      <c r="K20" s="485"/>
      <c r="L20" s="276"/>
      <c r="M20" s="374"/>
      <c r="N20" s="370"/>
      <c r="O20" s="420"/>
      <c r="P20" s="418"/>
      <c r="R20" s="277">
        <f t="shared" si="0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5" hidden="1">
      <c r="B21" s="34"/>
      <c r="C21" s="366"/>
      <c r="D21" s="279"/>
      <c r="E21" s="279"/>
      <c r="F21" s="278"/>
      <c r="G21" s="279"/>
      <c r="H21" s="396"/>
      <c r="I21" s="484"/>
      <c r="J21" s="484"/>
      <c r="K21" s="485"/>
      <c r="L21" s="276"/>
      <c r="M21" s="374"/>
      <c r="N21" s="370"/>
      <c r="O21" s="420"/>
      <c r="P21" s="418"/>
      <c r="R21" s="277">
        <f t="shared" si="0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5" hidden="1">
      <c r="B22" s="34"/>
      <c r="C22" s="366"/>
      <c r="D22" s="279"/>
      <c r="E22" s="279"/>
      <c r="F22" s="278"/>
      <c r="G22" s="279"/>
      <c r="H22" s="396"/>
      <c r="I22" s="484"/>
      <c r="J22" s="484"/>
      <c r="K22" s="485"/>
      <c r="L22" s="276"/>
      <c r="M22" s="374"/>
      <c r="N22" s="370"/>
      <c r="O22" s="420"/>
      <c r="P22" s="418"/>
      <c r="R22" s="277">
        <f t="shared" ref="R22:R38" si="9">B22</f>
        <v>0</v>
      </c>
      <c r="S22" s="472" t="e">
        <f t="shared" ref="S22:S38" si="10">VLOOKUP($B22,$R$3:$X$9,2,FALSE)</f>
        <v>#N/A</v>
      </c>
      <c r="T22" s="472" t="e">
        <f t="shared" ref="T22:T38" si="11">VLOOKUP($B22,$R$3:$X$9,3,FALSE)</f>
        <v>#N/A</v>
      </c>
      <c r="U22" s="297" t="e">
        <f t="shared" ref="U22:U38" si="12">VLOOKUP($B22,$R$3:$X$9,4,FALSE)</f>
        <v>#N/A</v>
      </c>
      <c r="V22" s="297" t="e">
        <f t="shared" ref="V22:V38" si="13">VLOOKUP($B22,$R$3:$X$9,5,FALSE)</f>
        <v>#N/A</v>
      </c>
      <c r="W22" s="297" t="e">
        <f t="shared" ref="W22:W38" si="14">VLOOKUP($B22,$R$3:$X$9,6,FALSE)</f>
        <v>#N/A</v>
      </c>
      <c r="X22" s="297" t="e">
        <f t="shared" ref="X22:X38" si="15">VLOOKUP($B22,$R$3:$X$9,7,FALSE)</f>
        <v>#N/A</v>
      </c>
      <c r="Y22" s="297" t="e">
        <f t="shared" ref="Y22:Y38" si="16">VLOOKUP($B22,$R$3:$Z$9,8,FALSE)</f>
        <v>#N/A</v>
      </c>
      <c r="Z22" s="472" t="e">
        <f t="shared" ref="Z22:Z38" si="17">VLOOKUP($B22,$R$3:$Z$9,9,FALSE)</f>
        <v>#N/A</v>
      </c>
    </row>
    <row r="23" spans="1:26" ht="18" hidden="1" customHeight="1">
      <c r="B23" s="29"/>
      <c r="C23" s="366"/>
      <c r="D23" s="279"/>
      <c r="E23" s="279"/>
      <c r="F23" s="278"/>
      <c r="G23" s="279"/>
      <c r="H23" s="482"/>
      <c r="I23" s="368"/>
      <c r="J23" s="368"/>
      <c r="K23" s="281"/>
      <c r="L23" s="276"/>
      <c r="M23" s="374"/>
      <c r="N23" s="370"/>
      <c r="O23" s="371"/>
      <c r="P23" s="418"/>
      <c r="R23" s="277">
        <f t="shared" si="9"/>
        <v>0</v>
      </c>
      <c r="S23" s="472" t="e">
        <f t="shared" si="10"/>
        <v>#N/A</v>
      </c>
      <c r="T23" s="472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2" t="e">
        <f t="shared" si="17"/>
        <v>#N/A</v>
      </c>
    </row>
    <row r="24" spans="1:26" ht="16.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18"/>
      <c r="R24" s="277">
        <f t="shared" si="9"/>
        <v>0</v>
      </c>
      <c r="S24" s="472" t="e">
        <f t="shared" si="10"/>
        <v>#N/A</v>
      </c>
      <c r="T24" s="472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2" t="e">
        <f t="shared" si="17"/>
        <v>#N/A</v>
      </c>
    </row>
    <row r="25" spans="1:26" ht="15.75" customHeight="1" thickBot="1">
      <c r="B25" s="358"/>
      <c r="C25" s="358"/>
      <c r="D25" s="358"/>
      <c r="E25" s="358"/>
      <c r="F25" s="294"/>
      <c r="G25" s="294"/>
      <c r="H25" s="348"/>
      <c r="I25" s="533"/>
      <c r="J25" s="533"/>
      <c r="K25" s="533"/>
      <c r="L25" s="533"/>
      <c r="M25" s="533"/>
      <c r="N25" s="533"/>
      <c r="O25" s="1"/>
      <c r="P25" s="12"/>
      <c r="R25" s="277">
        <f t="shared" si="9"/>
        <v>0</v>
      </c>
      <c r="S25" s="472" t="e">
        <f t="shared" si="10"/>
        <v>#N/A</v>
      </c>
      <c r="T25" s="472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2" t="e">
        <f t="shared" si="17"/>
        <v>#N/A</v>
      </c>
    </row>
    <row r="26" spans="1:26" ht="15.75" customHeight="1" thickBot="1">
      <c r="B26" s="388" t="s">
        <v>162</v>
      </c>
      <c r="C26" s="388"/>
      <c r="D26" s="534" t="s">
        <v>35</v>
      </c>
      <c r="E26" s="535"/>
      <c r="F26" s="294"/>
      <c r="G26" s="294"/>
      <c r="H26" s="348"/>
      <c r="I26" s="24" t="s">
        <v>17</v>
      </c>
      <c r="J26" s="25"/>
      <c r="K26" s="26" t="s">
        <v>138</v>
      </c>
      <c r="L26" s="25" t="s">
        <v>37</v>
      </c>
      <c r="M26" s="25" t="s">
        <v>38</v>
      </c>
      <c r="N26" s="27" t="s">
        <v>39</v>
      </c>
      <c r="O26" s="294"/>
      <c r="P26" s="12"/>
      <c r="R26" s="277" t="str">
        <f t="shared" si="9"/>
        <v xml:space="preserve">BRAND </v>
      </c>
      <c r="S26" s="472" t="e">
        <f t="shared" si="10"/>
        <v>#N/A</v>
      </c>
      <c r="T26" s="472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2" t="e">
        <f t="shared" si="17"/>
        <v>#N/A</v>
      </c>
    </row>
    <row r="27" spans="1:26" ht="15" customHeight="1">
      <c r="A27" s="28"/>
      <c r="B27" s="519"/>
      <c r="C27" s="362"/>
      <c r="D27" s="537"/>
      <c r="E27" s="538"/>
      <c r="F27" s="294"/>
      <c r="G27" s="294"/>
      <c r="H27" s="348"/>
      <c r="I27" s="29" t="s">
        <v>6</v>
      </c>
      <c r="J27" s="323"/>
      <c r="K27" s="284">
        <f>COUNTA([4]Brewhouse!$B$292:$B$370)</f>
        <v>79</v>
      </c>
      <c r="L27" s="305">
        <f>AVERAGE([4]Brewhouse!$AU$292:$AU$370)</f>
        <v>98.399195934884048</v>
      </c>
      <c r="M27" s="305">
        <f>AVERAGE([4]Brewhouse!$AU$42:$AU$123,[4]Brewhouse!$AU$125:$AU$188,[4]Brewhouse!$AU$198:$AU$290,[4]Brewhouse!$AU$292:$AU$370)</f>
        <v>98.004650690144786</v>
      </c>
      <c r="N27" s="30">
        <v>98</v>
      </c>
      <c r="O27" s="11"/>
      <c r="P27" s="31"/>
      <c r="R27" s="277">
        <f t="shared" si="9"/>
        <v>0</v>
      </c>
      <c r="S27" s="472" t="e">
        <f t="shared" si="10"/>
        <v>#N/A</v>
      </c>
      <c r="T27" s="472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2" t="e">
        <f t="shared" si="17"/>
        <v>#N/A</v>
      </c>
    </row>
    <row r="28" spans="1:26" ht="15" customHeight="1">
      <c r="A28" s="28"/>
      <c r="B28" s="520"/>
      <c r="C28" s="362"/>
      <c r="D28" s="539"/>
      <c r="E28" s="525"/>
      <c r="F28" s="294"/>
      <c r="G28" s="294"/>
      <c r="H28" s="348"/>
      <c r="I28" s="33" t="s">
        <v>9</v>
      </c>
      <c r="J28" s="280"/>
      <c r="K28" s="284">
        <f>COUNTA([3]Brewhouse!$A$179:$A$212)</f>
        <v>34</v>
      </c>
      <c r="L28" s="302">
        <f>AVERAGE([3]Brewhouse!$AS$179:$AS$212)</f>
        <v>98.650555109459972</v>
      </c>
      <c r="M28" s="302">
        <f>AVERAGE([3]Brewhouse!$AS$52:$AS$81,[3]Brewhouse!$AS$83:$AS$124,[3]Brewhouse!$AS$134:$AS$177,[3]Brewhouse!$AS$22:$AS$179)</f>
        <v>97.946757744825319</v>
      </c>
      <c r="N28" s="30">
        <v>98</v>
      </c>
      <c r="O28" s="11"/>
      <c r="P28" s="31"/>
      <c r="R28" s="277">
        <f t="shared" si="9"/>
        <v>0</v>
      </c>
      <c r="S28" s="472" t="e">
        <f t="shared" si="10"/>
        <v>#N/A</v>
      </c>
      <c r="T28" s="472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2" t="e">
        <f t="shared" si="17"/>
        <v>#N/A</v>
      </c>
    </row>
    <row r="29" spans="1:26" ht="14.65" customHeight="1">
      <c r="A29" s="28"/>
      <c r="B29" s="520"/>
      <c r="C29" s="362"/>
      <c r="D29" s="529"/>
      <c r="E29" s="530"/>
      <c r="F29" s="294"/>
      <c r="G29" s="294"/>
      <c r="H29" s="348"/>
      <c r="I29" s="34" t="s">
        <v>12</v>
      </c>
      <c r="J29" s="280">
        <f>AVERAGE(I10:I14)</f>
        <v>97.612255326196276</v>
      </c>
      <c r="K29" s="284">
        <f>COUNTA([5]Brewhouse!$A$43:$A$55)</f>
        <v>13</v>
      </c>
      <c r="L29" s="302">
        <f>AVERAGE([5]Brewhouse!$AU$43:$AU$55)</f>
        <v>96.169461875799271</v>
      </c>
      <c r="M29" s="302">
        <f>AVERAGE([5]Brewhouse!$AU$16:$AU$23,[5]Brewhouse!$AU$25:$AU$32,[5]Brewhouse!$AU$34:$AU$41,[5]Brewhouse!$AU$43:$AU$55)</f>
        <v>96.793456653928644</v>
      </c>
      <c r="N29" s="30">
        <v>98</v>
      </c>
      <c r="O29" s="11"/>
      <c r="P29" s="31"/>
      <c r="R29" s="277">
        <f t="shared" si="9"/>
        <v>0</v>
      </c>
      <c r="S29" s="472" t="e">
        <f t="shared" si="10"/>
        <v>#N/A</v>
      </c>
      <c r="T29" s="472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2" t="e">
        <f t="shared" si="17"/>
        <v>#N/A</v>
      </c>
    </row>
    <row r="30" spans="1:26" ht="14.65" customHeight="1">
      <c r="A30" s="28"/>
      <c r="B30" s="520"/>
      <c r="C30" s="362"/>
      <c r="D30" s="524"/>
      <c r="E30" s="525"/>
      <c r="F30" s="294"/>
      <c r="G30" s="294"/>
      <c r="H30" s="348"/>
      <c r="I30" s="22" t="s">
        <v>33</v>
      </c>
      <c r="J30" s="280"/>
      <c r="K30" s="284">
        <f>COUNTA([6]Brewhouse!$A$54)</f>
        <v>1</v>
      </c>
      <c r="L30" s="302">
        <f>AVERAGE([6]Brewhouse!$AV$54)</f>
        <v>97.205782019322555</v>
      </c>
      <c r="M30" s="302">
        <f>AVERAGE([6]Brewhouse!$AV$23:$AV$34,[6]Brewhouse!$AV$36,[6]Brewhouse!$AV$38:$AV$52,[6]Brewhouse!$AV$54)</f>
        <v>97.62486500965764</v>
      </c>
      <c r="N30" s="30">
        <v>98</v>
      </c>
      <c r="O30" s="11"/>
      <c r="P30" s="31"/>
      <c r="R30" s="277">
        <f t="shared" si="9"/>
        <v>0</v>
      </c>
      <c r="S30" s="472" t="e">
        <f t="shared" si="10"/>
        <v>#N/A</v>
      </c>
      <c r="T30" s="472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2" t="e">
        <f t="shared" si="17"/>
        <v>#N/A</v>
      </c>
    </row>
    <row r="31" spans="1:26" ht="14.65" customHeight="1">
      <c r="A31" s="28"/>
      <c r="B31" s="520"/>
      <c r="C31" s="362"/>
      <c r="D31" s="529"/>
      <c r="E31" s="530"/>
      <c r="F31" s="417"/>
      <c r="G31" s="294"/>
      <c r="H31" s="348"/>
      <c r="I31" s="35" t="s">
        <v>29</v>
      </c>
      <c r="J31" s="280"/>
      <c r="K31" s="284"/>
      <c r="L31" s="302"/>
      <c r="M31" s="302"/>
      <c r="N31" s="30">
        <v>98</v>
      </c>
      <c r="O31" s="11"/>
      <c r="P31" s="31"/>
      <c r="R31" s="277">
        <f t="shared" si="9"/>
        <v>0</v>
      </c>
      <c r="S31" s="472" t="e">
        <f t="shared" si="10"/>
        <v>#N/A</v>
      </c>
      <c r="T31" s="472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2" t="e">
        <f t="shared" si="17"/>
        <v>#N/A</v>
      </c>
    </row>
    <row r="32" spans="1:26" ht="14.65" customHeight="1">
      <c r="A32" s="28"/>
      <c r="B32" s="520"/>
      <c r="C32" s="362"/>
      <c r="D32" s="524"/>
      <c r="E32" s="525"/>
      <c r="F32" s="417"/>
      <c r="G32" s="294"/>
      <c r="H32" s="348"/>
      <c r="I32" s="36" t="s">
        <v>15</v>
      </c>
      <c r="J32" s="323"/>
      <c r="K32" s="284"/>
      <c r="L32" s="302"/>
      <c r="M32" s="302">
        <f>AVERAGE([7]Brewhouse!$AT$4:$AT$11)</f>
        <v>92.826224508052405</v>
      </c>
      <c r="N32" s="30">
        <v>98</v>
      </c>
      <c r="O32" s="11"/>
      <c r="P32" s="31"/>
      <c r="R32" s="277">
        <f t="shared" si="9"/>
        <v>0</v>
      </c>
      <c r="S32" s="472" t="e">
        <f t="shared" si="10"/>
        <v>#N/A</v>
      </c>
      <c r="T32" s="472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2" t="e">
        <f t="shared" si="17"/>
        <v>#N/A</v>
      </c>
    </row>
    <row r="33" spans="1:56" ht="14.65" customHeight="1">
      <c r="A33" s="28"/>
      <c r="B33" s="520"/>
      <c r="C33" s="362"/>
      <c r="D33" s="529"/>
      <c r="E33" s="530"/>
      <c r="F33" s="417"/>
      <c r="G33" s="294"/>
      <c r="H33" s="348"/>
      <c r="I33" s="37" t="s">
        <v>16</v>
      </c>
      <c r="J33" s="323"/>
      <c r="K33" s="284">
        <f>COUNTA([8]Brewhouse!$A$44:$A$51)</f>
        <v>8</v>
      </c>
      <c r="L33" s="302">
        <f>AVERAGE([8]Brewhouse!$AY$44:$AY$51)</f>
        <v>98.126000151084682</v>
      </c>
      <c r="M33" s="302">
        <f>AVERAGE([8]Brewhouse!$AY$5:$AY$14,[8]Brewhouse!$AY$16:$AY$23,[8]Brewhouse!$AY$42,[8]Brewhouse!$AY$44:$AY$51)</f>
        <v>97.608428475776392</v>
      </c>
      <c r="N33" s="30">
        <v>98</v>
      </c>
      <c r="O33" s="11"/>
      <c r="P33" s="31" t="s">
        <v>41</v>
      </c>
      <c r="R33" s="277">
        <f t="shared" si="9"/>
        <v>0</v>
      </c>
      <c r="S33" s="472" t="e">
        <f t="shared" si="10"/>
        <v>#N/A</v>
      </c>
      <c r="T33" s="472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2" t="e">
        <f t="shared" si="17"/>
        <v>#N/A</v>
      </c>
    </row>
    <row r="34" spans="1:56" ht="14.65" customHeight="1">
      <c r="A34" s="28"/>
      <c r="B34" s="520"/>
      <c r="C34" s="362"/>
      <c r="D34" s="524"/>
      <c r="E34" s="525"/>
      <c r="F34" s="294"/>
      <c r="G34" s="294"/>
      <c r="H34" s="348"/>
      <c r="I34" s="411" t="s">
        <v>158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9"/>
        <v>0</v>
      </c>
      <c r="S34" s="472" t="e">
        <f t="shared" si="10"/>
        <v>#N/A</v>
      </c>
      <c r="T34" s="472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2" t="e">
        <f t="shared" si="17"/>
        <v>#N/A</v>
      </c>
    </row>
    <row r="35" spans="1:56" ht="14.65" customHeight="1">
      <c r="A35" s="28"/>
      <c r="B35" s="520"/>
      <c r="C35" s="349"/>
      <c r="D35" s="529"/>
      <c r="E35" s="530"/>
      <c r="F35" s="294"/>
      <c r="G35" s="294"/>
      <c r="H35" s="348"/>
      <c r="I35" s="410" t="s">
        <v>157</v>
      </c>
      <c r="J35" s="326"/>
      <c r="K35" s="284"/>
      <c r="L35" s="305"/>
      <c r="M35" s="305"/>
      <c r="N35" s="30">
        <v>98</v>
      </c>
      <c r="O35" s="11"/>
      <c r="P35" s="31"/>
      <c r="R35" s="277">
        <f t="shared" si="9"/>
        <v>0</v>
      </c>
      <c r="S35" s="472" t="e">
        <f t="shared" si="10"/>
        <v>#N/A</v>
      </c>
      <c r="T35" s="472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2" t="e">
        <f t="shared" si="17"/>
        <v>#N/A</v>
      </c>
      <c r="AA35" s="472"/>
    </row>
    <row r="36" spans="1:56" ht="15" customHeight="1" thickBot="1">
      <c r="A36" s="28"/>
      <c r="B36" s="520"/>
      <c r="C36" s="349"/>
      <c r="D36" s="524"/>
      <c r="E36" s="525"/>
      <c r="F36" s="294"/>
      <c r="G36" s="294"/>
      <c r="H36" s="348"/>
      <c r="I36" s="406" t="s">
        <v>156</v>
      </c>
      <c r="J36" s="327"/>
      <c r="K36" s="407"/>
      <c r="L36" s="408"/>
      <c r="M36" s="408"/>
      <c r="N36" s="409">
        <v>98</v>
      </c>
      <c r="O36" s="11"/>
      <c r="P36" s="31"/>
      <c r="R36" s="277">
        <f t="shared" si="9"/>
        <v>0</v>
      </c>
      <c r="S36" s="472" t="e">
        <f t="shared" si="10"/>
        <v>#N/A</v>
      </c>
      <c r="T36" s="472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472" t="e">
        <f t="shared" si="17"/>
        <v>#N/A</v>
      </c>
      <c r="AA36" s="472"/>
    </row>
    <row r="37" spans="1:56" ht="15" customHeight="1" thickBot="1">
      <c r="A37" s="28"/>
      <c r="B37" s="520"/>
      <c r="C37" s="349"/>
      <c r="D37" s="537"/>
      <c r="E37" s="538"/>
      <c r="F37" s="294"/>
      <c r="G37" s="294"/>
      <c r="H37" s="348"/>
      <c r="I37" s="1"/>
      <c r="J37" s="39"/>
      <c r="K37" s="404">
        <f>SUM(K27:K36)</f>
        <v>135</v>
      </c>
      <c r="L37" s="405">
        <f>((L27*K27)+(L28*K28)+(L29*K29)+(L30*K30)+(L31*K31)+(K34*L34)+(L32*K32)+(L33*K33)+(L36*K36))/(K37)</f>
        <v>98.222756594006441</v>
      </c>
      <c r="M37" s="405">
        <f>AVERAGE('[9]Jan30th-31st'!$L$42,L37)</f>
        <v>98.025399164923954</v>
      </c>
      <c r="N37" s="40">
        <v>98</v>
      </c>
      <c r="O37" s="11"/>
      <c r="P37" s="31"/>
      <c r="R37" s="277">
        <f t="shared" si="9"/>
        <v>0</v>
      </c>
      <c r="S37" s="472" t="e">
        <f t="shared" si="10"/>
        <v>#N/A</v>
      </c>
      <c r="T37" s="472" t="e">
        <f t="shared" si="11"/>
        <v>#N/A</v>
      </c>
      <c r="U37" s="297" t="e">
        <f t="shared" si="12"/>
        <v>#N/A</v>
      </c>
      <c r="V37" s="297" t="e">
        <f t="shared" si="13"/>
        <v>#N/A</v>
      </c>
      <c r="W37" s="297" t="e">
        <f t="shared" si="14"/>
        <v>#N/A</v>
      </c>
      <c r="X37" s="297" t="e">
        <f t="shared" si="15"/>
        <v>#N/A</v>
      </c>
      <c r="Y37" s="297" t="e">
        <f t="shared" si="16"/>
        <v>#N/A</v>
      </c>
      <c r="Z37" s="472" t="e">
        <f t="shared" si="17"/>
        <v>#N/A</v>
      </c>
      <c r="AA37" s="472"/>
    </row>
    <row r="38" spans="1:56" ht="15.75" thickBot="1">
      <c r="B38" s="536"/>
      <c r="C38" s="350"/>
      <c r="D38" s="539"/>
      <c r="E38" s="525"/>
      <c r="F38" s="294"/>
      <c r="G38" s="42"/>
      <c r="H38" s="41"/>
      <c r="I38" s="42"/>
      <c r="J38" s="42"/>
      <c r="K38" s="351"/>
      <c r="L38" s="348"/>
      <c r="M38" s="348"/>
      <c r="N38" s="11"/>
      <c r="O38" s="294"/>
      <c r="P38" s="12"/>
      <c r="R38" s="277">
        <f t="shared" si="9"/>
        <v>0</v>
      </c>
      <c r="S38" s="472" t="e">
        <f t="shared" si="10"/>
        <v>#N/A</v>
      </c>
      <c r="T38" s="472" t="e">
        <f t="shared" si="11"/>
        <v>#N/A</v>
      </c>
      <c r="U38" s="297" t="e">
        <f t="shared" si="12"/>
        <v>#N/A</v>
      </c>
      <c r="V38" s="297" t="e">
        <f t="shared" si="13"/>
        <v>#N/A</v>
      </c>
      <c r="W38" s="297" t="e">
        <f t="shared" si="14"/>
        <v>#N/A</v>
      </c>
      <c r="X38" s="297" t="e">
        <f t="shared" si="15"/>
        <v>#N/A</v>
      </c>
      <c r="Y38" s="297" t="e">
        <f t="shared" si="16"/>
        <v>#N/A</v>
      </c>
      <c r="Z38" s="472" t="e">
        <f t="shared" si="17"/>
        <v>#N/A</v>
      </c>
      <c r="AA38" s="472"/>
    </row>
    <row r="39" spans="1:56" ht="15.75" thickBot="1">
      <c r="B39" s="519"/>
      <c r="C39" s="362"/>
      <c r="D39" s="522"/>
      <c r="E39" s="523"/>
      <c r="F39" s="294"/>
      <c r="G39" s="42"/>
      <c r="H39" s="41"/>
      <c r="I39" s="42"/>
      <c r="J39" s="526" t="s">
        <v>129</v>
      </c>
      <c r="K39" s="526"/>
      <c r="L39" s="294"/>
      <c r="M39" s="294"/>
      <c r="N39" s="294"/>
      <c r="O39" s="294"/>
      <c r="P39" s="12"/>
    </row>
    <row r="40" spans="1:56" ht="15.75" thickBot="1">
      <c r="B40" s="520"/>
      <c r="C40" s="362"/>
      <c r="D40" s="524"/>
      <c r="E40" s="525"/>
      <c r="F40" s="294"/>
      <c r="G40" s="42"/>
      <c r="H40" s="42"/>
      <c r="I40" s="42"/>
      <c r="J40" s="292" t="s">
        <v>17</v>
      </c>
      <c r="K40" s="293" t="s">
        <v>172</v>
      </c>
      <c r="L40" s="527" t="s">
        <v>136</v>
      </c>
      <c r="M40" s="527"/>
      <c r="N40" s="528"/>
      <c r="O40" s="294"/>
      <c r="P40" s="12"/>
    </row>
    <row r="41" spans="1:56" ht="15" customHeight="1" thickBot="1">
      <c r="B41" s="520"/>
      <c r="C41" s="349"/>
      <c r="D41" s="529"/>
      <c r="E41" s="530"/>
      <c r="F41" s="294"/>
      <c r="G41" s="42"/>
      <c r="H41" s="42"/>
      <c r="I41" s="42"/>
      <c r="J41" s="287" t="s">
        <v>6</v>
      </c>
      <c r="K41" s="324"/>
      <c r="L41" s="473" t="s">
        <v>37</v>
      </c>
      <c r="M41" s="474" t="s">
        <v>38</v>
      </c>
      <c r="N41" s="474" t="s">
        <v>84</v>
      </c>
      <c r="O41" s="294"/>
      <c r="P41" s="12"/>
    </row>
    <row r="42" spans="1:56" ht="15.75" customHeight="1" thickBot="1">
      <c r="B42" s="520"/>
      <c r="C42" s="349"/>
      <c r="D42" s="524"/>
      <c r="E42" s="525"/>
      <c r="F42" s="294"/>
      <c r="G42" s="42"/>
      <c r="H42" s="42"/>
      <c r="I42" s="42"/>
      <c r="J42" s="345" t="s">
        <v>9</v>
      </c>
      <c r="K42" s="324"/>
      <c r="L42" s="344">
        <f>AVERAGE('Apr 1st'!K50,K51,'Apr 2nd'!K48,'Apr 7th'!K50,'Apr 8th'!K50,'Apr 9th '!K58,'Apr 10th'!K55,'Apr 13th'!K66,'Apr 14th'!K60,'Apr 15th'!K51,'Apr 16th '!K53,'Apr 20th '!K59,'Apr 21st'!K54,'Apr 23rd'!K43,'Apr 24th-26th'!I73,'Apr 24th-26th'!J73,'Apr 24th-26th'!K73,'Apr 27th'!K53,'Apr 28th'!K48)</f>
        <v>6.8947368421052628</v>
      </c>
      <c r="M42" s="325">
        <f>AVERAGE('[9]Jan30th-31st'!$L$47,L42,'[10]Feb 26th '!$L$39,'[11]Mar 31st'!$L$47)</f>
        <v>6.5204233409610985</v>
      </c>
      <c r="N42" s="416">
        <v>9.1999999999999993</v>
      </c>
      <c r="O42" s="294"/>
      <c r="P42" s="12"/>
    </row>
    <row r="43" spans="1:56" ht="15" customHeight="1">
      <c r="B43" s="520"/>
      <c r="C43" s="349"/>
      <c r="D43" s="529"/>
      <c r="E43" s="530"/>
      <c r="F43" s="294"/>
      <c r="G43" s="42"/>
      <c r="H43" s="42"/>
      <c r="I43" s="42"/>
      <c r="J43" s="288" t="s">
        <v>40</v>
      </c>
      <c r="K43" s="324">
        <v>5</v>
      </c>
      <c r="L43" s="294"/>
      <c r="M43" s="294"/>
      <c r="N43" s="294"/>
      <c r="O43" s="294"/>
      <c r="P43" s="12"/>
    </row>
    <row r="44" spans="1:56" ht="15" customHeight="1">
      <c r="B44" s="520"/>
      <c r="C44" s="349"/>
      <c r="D44" s="524"/>
      <c r="E44" s="525"/>
      <c r="F44" s="294"/>
      <c r="G44" s="42"/>
      <c r="H44" s="42"/>
      <c r="I44" s="42"/>
      <c r="J44" s="289" t="s">
        <v>33</v>
      </c>
      <c r="K44" s="324">
        <v>1</v>
      </c>
      <c r="L44" s="294"/>
      <c r="M44" s="294"/>
      <c r="N44" s="294"/>
      <c r="O44" s="294"/>
      <c r="P44" s="12"/>
    </row>
    <row r="45" spans="1:56" ht="15">
      <c r="B45" s="520"/>
      <c r="C45" s="349"/>
      <c r="D45" s="529"/>
      <c r="E45" s="530"/>
      <c r="F45" s="294"/>
      <c r="G45" s="42"/>
      <c r="H45" s="42"/>
      <c r="I45" s="42"/>
      <c r="J45" s="290" t="s">
        <v>16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20"/>
      <c r="C46" s="349"/>
      <c r="D46" s="524"/>
      <c r="E46" s="525"/>
      <c r="F46" s="294"/>
      <c r="G46" s="42"/>
      <c r="H46" s="42"/>
      <c r="I46" s="42"/>
      <c r="J46" s="291" t="s">
        <v>15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20"/>
      <c r="C47" s="349"/>
      <c r="D47" s="529"/>
      <c r="E47" s="530"/>
      <c r="F47" s="294"/>
      <c r="G47" s="42"/>
      <c r="H47" s="42"/>
      <c r="I47" s="42"/>
      <c r="J47" s="291" t="s">
        <v>149</v>
      </c>
      <c r="K47" s="324"/>
      <c r="L47" s="294"/>
      <c r="M47" s="294"/>
      <c r="N47" s="294"/>
      <c r="O47" s="294"/>
      <c r="P47" s="12"/>
      <c r="BC47" s="44"/>
      <c r="BD47" s="44"/>
    </row>
    <row r="48" spans="1:56" ht="15.75" thickBot="1">
      <c r="B48" s="521"/>
      <c r="C48" s="350"/>
      <c r="D48" s="531"/>
      <c r="E48" s="532"/>
      <c r="F48" s="294" t="s">
        <v>166</v>
      </c>
      <c r="G48" s="42"/>
      <c r="H48" s="42"/>
      <c r="I48" s="42"/>
      <c r="J48" s="291" t="s">
        <v>148</v>
      </c>
      <c r="K48" s="324"/>
      <c r="L48" s="294"/>
      <c r="M48" s="294"/>
      <c r="N48" s="294" t="s">
        <v>41</v>
      </c>
      <c r="O48" s="294"/>
      <c r="P48" s="12"/>
      <c r="BC48" s="44"/>
      <c r="BD48" s="44"/>
    </row>
    <row r="49" spans="1:57" ht="17.649999999999999" customHeight="1" thickBot="1">
      <c r="B49" s="312" t="s">
        <v>139</v>
      </c>
      <c r="C49" s="313"/>
      <c r="D49" s="512"/>
      <c r="E49" s="513"/>
      <c r="F49" s="294"/>
      <c r="J49" s="295" t="s">
        <v>134</v>
      </c>
      <c r="K49" s="324"/>
      <c r="L49" s="294"/>
      <c r="M49" s="294"/>
      <c r="N49" s="294"/>
      <c r="O49" s="294"/>
      <c r="P49" s="12"/>
      <c r="BC49" s="44"/>
      <c r="BD49" s="44"/>
    </row>
    <row r="50" spans="1:57" ht="17.649999999999999" customHeight="1">
      <c r="B50" s="363"/>
      <c r="C50" s="364"/>
      <c r="D50" s="365"/>
      <c r="E50" s="365"/>
      <c r="F50" s="294"/>
      <c r="G50" s="42"/>
      <c r="H50" s="42"/>
      <c r="I50" s="42"/>
      <c r="J50" s="295" t="s">
        <v>131</v>
      </c>
      <c r="K50" s="324"/>
      <c r="L50" s="294"/>
      <c r="M50" s="294"/>
      <c r="N50" s="294"/>
      <c r="O50" s="294"/>
      <c r="P50" s="12"/>
      <c r="BC50" s="44"/>
      <c r="BD50" s="44"/>
    </row>
    <row r="51" spans="1:57" ht="15.6" customHeight="1">
      <c r="B51" s="45"/>
      <c r="C51" s="11"/>
      <c r="D51" s="11"/>
      <c r="E51" s="46"/>
      <c r="F51" s="294"/>
      <c r="G51" s="42"/>
      <c r="H51" s="42"/>
      <c r="I51" s="42"/>
      <c r="J51" s="346" t="s">
        <v>130</v>
      </c>
      <c r="K51" s="324">
        <f>SUM(K41:K50)</f>
        <v>6</v>
      </c>
      <c r="L51" s="294"/>
      <c r="M51" s="294"/>
      <c r="N51" s="294"/>
      <c r="O51" s="294"/>
      <c r="P51" s="12"/>
    </row>
    <row r="52" spans="1:57" ht="20.25" customHeight="1">
      <c r="B52" s="15" t="s">
        <v>42</v>
      </c>
      <c r="C52" s="1" t="s">
        <v>43</v>
      </c>
      <c r="D52" s="1"/>
      <c r="E52" s="1"/>
      <c r="F52" s="294"/>
      <c r="G52" s="42"/>
      <c r="H52" s="41"/>
      <c r="I52" s="42"/>
      <c r="L52" s="294"/>
      <c r="N52" s="315"/>
      <c r="P52" s="334"/>
    </row>
    <row r="53" spans="1:57" ht="15" customHeight="1" thickBot="1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1"/>
      <c r="O53" s="48"/>
      <c r="P53" s="49"/>
    </row>
    <row r="54" spans="1:57" ht="15" customHeight="1" thickBot="1">
      <c r="B54" s="504" t="s">
        <v>17</v>
      </c>
      <c r="C54" s="504" t="s">
        <v>44</v>
      </c>
      <c r="D54" s="515" t="s">
        <v>45</v>
      </c>
      <c r="E54" s="517" t="s">
        <v>46</v>
      </c>
      <c r="F54" s="510" t="s">
        <v>47</v>
      </c>
      <c r="G54" s="502" t="s">
        <v>48</v>
      </c>
      <c r="H54" s="504" t="s">
        <v>49</v>
      </c>
      <c r="I54" s="504" t="s">
        <v>50</v>
      </c>
      <c r="J54" s="496" t="s">
        <v>28</v>
      </c>
      <c r="K54" s="506" t="s">
        <v>51</v>
      </c>
      <c r="L54" s="508" t="s">
        <v>52</v>
      </c>
      <c r="M54" s="496" t="s">
        <v>53</v>
      </c>
      <c r="N54" s="13"/>
      <c r="O54" s="13"/>
      <c r="P54" s="50"/>
    </row>
    <row r="55" spans="1:57" ht="28.5" customHeight="1" thickTop="1" thickBot="1">
      <c r="B55" s="505"/>
      <c r="C55" s="514"/>
      <c r="D55" s="516"/>
      <c r="E55" s="518"/>
      <c r="F55" s="511"/>
      <c r="G55" s="503"/>
      <c r="H55" s="505"/>
      <c r="I55" s="505"/>
      <c r="J55" s="497"/>
      <c r="K55" s="507"/>
      <c r="L55" s="509"/>
      <c r="M55" s="497"/>
      <c r="N55" s="13"/>
      <c r="O55" s="13"/>
      <c r="P55" s="50"/>
      <c r="Q55" s="355"/>
      <c r="AB55" s="475">
        <v>43474</v>
      </c>
      <c r="AC55" s="475">
        <v>43475</v>
      </c>
      <c r="AD55" s="475">
        <v>43476</v>
      </c>
      <c r="AE55" s="475">
        <v>43477</v>
      </c>
      <c r="AF55" s="475">
        <v>43478</v>
      </c>
      <c r="AG55" s="475">
        <v>43479</v>
      </c>
      <c r="AH55" s="475">
        <v>43480</v>
      </c>
      <c r="AI55" s="475">
        <v>43481</v>
      </c>
      <c r="AJ55" s="475">
        <v>43482</v>
      </c>
      <c r="AK55" s="475">
        <v>43483</v>
      </c>
      <c r="AL55" s="475">
        <v>43484</v>
      </c>
      <c r="AM55" s="475">
        <v>43485</v>
      </c>
      <c r="AN55" s="475">
        <v>43486</v>
      </c>
      <c r="AO55" s="475">
        <v>43487</v>
      </c>
      <c r="AP55" s="475">
        <v>43488</v>
      </c>
      <c r="AQ55" s="475">
        <v>43489</v>
      </c>
      <c r="AR55" s="475">
        <v>43490</v>
      </c>
      <c r="AS55" s="475">
        <v>43491</v>
      </c>
      <c r="AT55" s="475">
        <v>43492</v>
      </c>
      <c r="AU55" s="475">
        <v>43493</v>
      </c>
      <c r="AV55" s="475">
        <v>43494</v>
      </c>
      <c r="AW55" s="475">
        <v>43495</v>
      </c>
      <c r="AX55" s="475">
        <v>43496</v>
      </c>
    </row>
    <row r="56" spans="1:57" s="54" customFormat="1" ht="36.75" customHeight="1" thickBot="1">
      <c r="B56" s="486" t="str">
        <f>J42</f>
        <v>STAG</v>
      </c>
      <c r="C56" s="479">
        <v>46141</v>
      </c>
      <c r="D56" s="442">
        <f>[12]April_2026!$AF$13</f>
        <v>395.5</v>
      </c>
      <c r="E56" s="443"/>
      <c r="F56" s="444"/>
      <c r="G56" s="445">
        <f>[12]April_2026!$AF$17</f>
        <v>368.1</v>
      </c>
      <c r="H56" s="458"/>
      <c r="I56" s="458"/>
      <c r="J56" s="448" t="s">
        <v>199</v>
      </c>
      <c r="K56" s="449">
        <f>[13]April_2026!$AF$25</f>
        <v>0.4305263157894737</v>
      </c>
      <c r="L56" s="457">
        <f>(((D56+E56)-G56)/(D56+E56))*100</f>
        <v>6.9279393173198418</v>
      </c>
      <c r="M56" s="455" t="s">
        <v>178</v>
      </c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[14]January_2019!L5</f>
        <v>0</v>
      </c>
      <c r="AC56" s="57">
        <f>[14]January_2019!M5</f>
        <v>0</v>
      </c>
      <c r="AD56" s="57">
        <f>[14]January_2019!N5</f>
        <v>0</v>
      </c>
      <c r="AE56" s="57">
        <f>[14]January_2019!O5</f>
        <v>0</v>
      </c>
      <c r="AF56" s="57">
        <f>[14]January_2019!P5</f>
        <v>0</v>
      </c>
      <c r="AG56" s="57">
        <f>[14]January_2019!Q5</f>
        <v>0</v>
      </c>
      <c r="AH56" s="57">
        <f>[14]January_2019!R5</f>
        <v>0</v>
      </c>
      <c r="AI56" s="57">
        <f>[14]January_2019!S5</f>
        <v>0</v>
      </c>
      <c r="AJ56" s="57">
        <f>[14]January_2019!T5</f>
        <v>0</v>
      </c>
      <c r="AK56" s="57">
        <f>[14]January_2019!U5</f>
        <v>0</v>
      </c>
      <c r="AL56" s="57">
        <f>[14]January_2019!V5</f>
        <v>0</v>
      </c>
      <c r="AM56" s="57">
        <f>[14]January_2019!W5</f>
        <v>0</v>
      </c>
      <c r="AN56" s="57">
        <f>[14]January_2019!X5</f>
        <v>0</v>
      </c>
      <c r="AO56" s="57">
        <f>[14]January_2019!Y5</f>
        <v>0</v>
      </c>
      <c r="AP56" s="57">
        <f>[14]January_2019!Z5</f>
        <v>0</v>
      </c>
      <c r="AQ56" s="57">
        <f>[14]January_2019!AA5</f>
        <v>0</v>
      </c>
      <c r="AR56" s="57">
        <f>[14]January_2019!AB5</f>
        <v>0</v>
      </c>
      <c r="AS56" s="57">
        <f>[14]January_2019!AC5</f>
        <v>0</v>
      </c>
      <c r="AT56" s="57">
        <f>[14]January_2019!AD5</f>
        <v>0</v>
      </c>
      <c r="AU56" s="57">
        <f>[14]January_2019!AE5</f>
        <v>0</v>
      </c>
      <c r="AV56" s="57">
        <f>[14]January_2019!AF5</f>
        <v>0</v>
      </c>
      <c r="AW56" s="57">
        <f>[14]January_2019!AG5</f>
        <v>0</v>
      </c>
      <c r="AX56" s="277">
        <f>[14]January_2019!AH5</f>
        <v>0</v>
      </c>
      <c r="AY56" s="277"/>
      <c r="AZ56" s="277"/>
      <c r="BA56" s="277"/>
      <c r="BB56" s="277"/>
      <c r="BC56" s="277"/>
      <c r="BD56" s="277"/>
      <c r="BE56" s="277"/>
    </row>
    <row r="57" spans="1:57" s="54" customFormat="1" ht="14.25" customHeight="1" thickBot="1">
      <c r="B57" s="480"/>
      <c r="C57" s="479"/>
      <c r="D57" s="442"/>
      <c r="E57" s="443"/>
      <c r="F57" s="444"/>
      <c r="G57" s="445"/>
      <c r="H57" s="458"/>
      <c r="I57" s="458"/>
      <c r="J57" s="476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[14]January_2019!L6</f>
        <v>0</v>
      </c>
      <c r="AC57" s="57">
        <f>[14]January_2019!M6</f>
        <v>0</v>
      </c>
      <c r="AD57" s="57">
        <f>[14]January_2019!N6</f>
        <v>0</v>
      </c>
      <c r="AE57" s="57">
        <f>[14]January_2019!O6</f>
        <v>0</v>
      </c>
      <c r="AF57" s="57">
        <f>[14]January_2019!P6</f>
        <v>0</v>
      </c>
      <c r="AG57" s="57">
        <f>[14]January_2019!Q6</f>
        <v>0</v>
      </c>
      <c r="AH57" s="57">
        <f>[14]January_2019!R6</f>
        <v>0</v>
      </c>
      <c r="AI57" s="57">
        <f>[14]January_2019!S6</f>
        <v>0</v>
      </c>
      <c r="AJ57" s="57">
        <f>[14]January_2019!T6</f>
        <v>0</v>
      </c>
      <c r="AK57" s="57">
        <f>[14]January_2019!U6</f>
        <v>0</v>
      </c>
      <c r="AL57" s="57">
        <f>[14]January_2019!V6</f>
        <v>0</v>
      </c>
      <c r="AM57" s="57">
        <f>[14]January_2019!W6</f>
        <v>0</v>
      </c>
      <c r="AN57" s="57">
        <f>[14]January_2019!X6</f>
        <v>0</v>
      </c>
      <c r="AO57" s="57">
        <f>[14]January_2019!Y6</f>
        <v>0</v>
      </c>
      <c r="AP57" s="57">
        <f>[14]January_2019!Z6</f>
        <v>0</v>
      </c>
      <c r="AQ57" s="57">
        <f>[14]January_2019!AA6</f>
        <v>0</v>
      </c>
      <c r="AR57" s="57">
        <f>[14]January_2019!AB6</f>
        <v>0</v>
      </c>
      <c r="AS57" s="57">
        <f>[14]January_2019!AC6</f>
        <v>0</v>
      </c>
      <c r="AT57" s="57">
        <f>[14]January_2019!AD6</f>
        <v>0</v>
      </c>
      <c r="AU57" s="57">
        <f>[14]January_2019!AE6</f>
        <v>0</v>
      </c>
      <c r="AV57" s="57">
        <f>[14]January_2019!AF6</f>
        <v>0</v>
      </c>
      <c r="AW57" s="57">
        <f>[14]January_2019!AG6</f>
        <v>0</v>
      </c>
      <c r="AX57" s="277">
        <f>[14]January_2019!AH6</f>
        <v>0</v>
      </c>
      <c r="AY57" s="277"/>
      <c r="AZ57" s="277"/>
      <c r="BA57" s="277"/>
      <c r="BB57" s="277"/>
      <c r="BC57" s="277"/>
      <c r="BD57" s="277"/>
      <c r="BE57" s="277"/>
    </row>
    <row r="58" spans="1:57" s="54" customFormat="1" ht="37.15" hidden="1" customHeight="1" thickBot="1">
      <c r="A58" s="54" t="s">
        <v>168</v>
      </c>
      <c r="B58" s="480"/>
      <c r="C58" s="479"/>
      <c r="D58" s="442"/>
      <c r="E58" s="443"/>
      <c r="F58" s="444"/>
      <c r="G58" s="445"/>
      <c r="H58" s="458"/>
      <c r="I58" s="458"/>
      <c r="J58" s="448"/>
      <c r="K58" s="44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[14]January_2019!L7</f>
        <v>285.8</v>
      </c>
      <c r="AC58" s="57">
        <f>[14]January_2019!M7</f>
        <v>508.1</v>
      </c>
      <c r="AD58" s="57">
        <f>[14]January_2019!N7</f>
        <v>0</v>
      </c>
      <c r="AE58" s="57">
        <f>[14]January_2019!O7</f>
        <v>0</v>
      </c>
      <c r="AF58" s="57">
        <f>[14]January_2019!P7</f>
        <v>109.56666666666666</v>
      </c>
      <c r="AG58" s="57">
        <f>[14]January_2019!Q7</f>
        <v>297.64999999999998</v>
      </c>
      <c r="AH58" s="57">
        <f>[14]January_2019!R7</f>
        <v>122.3</v>
      </c>
      <c r="AI58" s="57">
        <f>[14]January_2019!S7</f>
        <v>0</v>
      </c>
      <c r="AJ58" s="57">
        <f>[14]January_2019!T7</f>
        <v>294.7</v>
      </c>
      <c r="AK58" s="57">
        <f>[14]January_2019!U7</f>
        <v>280.5</v>
      </c>
      <c r="AL58" s="57">
        <f>[14]January_2019!V7</f>
        <v>0</v>
      </c>
      <c r="AM58" s="57">
        <f>[14]January_2019!W7</f>
        <v>0</v>
      </c>
      <c r="AN58" s="57">
        <f>[14]January_2019!X7</f>
        <v>188.25</v>
      </c>
      <c r="AO58" s="57">
        <f>[14]January_2019!Y7</f>
        <v>295.7</v>
      </c>
      <c r="AP58" s="57">
        <f>[14]January_2019!Z7</f>
        <v>257.8</v>
      </c>
      <c r="AQ58" s="57">
        <f>[14]January_2019!AA7</f>
        <v>291.2</v>
      </c>
      <c r="AR58" s="57">
        <f>[14]January_2019!AB7</f>
        <v>187</v>
      </c>
      <c r="AS58" s="57">
        <f>[14]January_2019!AC7</f>
        <v>0</v>
      </c>
      <c r="AT58" s="57">
        <f>[14]January_2019!AD7</f>
        <v>0</v>
      </c>
      <c r="AU58" s="57">
        <f>[14]January_2019!AE7</f>
        <v>485.1</v>
      </c>
      <c r="AV58" s="57">
        <f>[14]January_2019!AF7</f>
        <v>171.55</v>
      </c>
      <c r="AW58" s="57">
        <f>[14]January_2019!AG7</f>
        <v>423.8</v>
      </c>
      <c r="AX58" s="277">
        <f>[14]January_2019!AH7</f>
        <v>0</v>
      </c>
      <c r="AY58" s="277"/>
      <c r="AZ58" s="277"/>
      <c r="BA58" s="277"/>
      <c r="BB58" s="277"/>
      <c r="BC58" s="277"/>
      <c r="BD58" s="277"/>
      <c r="BE58" s="277"/>
    </row>
    <row r="59" spans="1:57" s="54" customFormat="1" ht="19.5" hidden="1" customHeight="1" thickBot="1">
      <c r="B59" s="478"/>
      <c r="C59" s="430"/>
      <c r="D59" s="431"/>
      <c r="E59" s="432"/>
      <c r="F59" s="433"/>
      <c r="G59" s="434"/>
      <c r="H59" s="458"/>
      <c r="I59" s="458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1:57" s="54" customFormat="1" ht="38.450000000000003" hidden="1" customHeight="1" thickBot="1">
      <c r="B60" s="480"/>
      <c r="C60" s="479"/>
      <c r="D60" s="442"/>
      <c r="E60" s="443"/>
      <c r="F60" s="444"/>
      <c r="G60" s="445"/>
      <c r="H60" s="458"/>
      <c r="I60" s="458"/>
      <c r="J60" s="448" t="s">
        <v>171</v>
      </c>
      <c r="K60" s="459"/>
      <c r="L60" s="457" t="e">
        <f>(((D60+E60)-G60)/(D60+E60))*100</f>
        <v>#DIV/0!</v>
      </c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1:57" s="54" customFormat="1" ht="15" hidden="1">
      <c r="B61" s="453"/>
      <c r="C61" s="430"/>
      <c r="D61" s="431"/>
      <c r="E61" s="432"/>
      <c r="F61" s="433"/>
      <c r="G61" s="434"/>
      <c r="H61" s="435"/>
      <c r="I61" s="450"/>
      <c r="J61" s="451"/>
      <c r="K61" s="436"/>
      <c r="L61" s="452"/>
      <c r="M61" s="421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1:57" s="54" customFormat="1" ht="37.15" hidden="1" customHeight="1" thickBot="1">
      <c r="B62" s="480"/>
      <c r="C62" s="479"/>
      <c r="D62" s="442"/>
      <c r="E62" s="443"/>
      <c r="F62" s="444"/>
      <c r="G62" s="445"/>
      <c r="H62" s="446"/>
      <c r="I62" s="447"/>
      <c r="J62" s="448"/>
      <c r="K62" s="449"/>
      <c r="L62" s="457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1:57" s="54" customFormat="1" ht="16.5" hidden="1" customHeight="1" thickBot="1">
      <c r="B63" s="437"/>
      <c r="C63" s="423"/>
      <c r="D63" s="424"/>
      <c r="E63" s="425"/>
      <c r="F63" s="426"/>
      <c r="G63" s="427"/>
      <c r="H63" s="428"/>
      <c r="I63" s="438"/>
      <c r="J63" s="439"/>
      <c r="K63" s="429"/>
      <c r="L63" s="440"/>
      <c r="M63" s="422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415"/>
      <c r="AC63" s="415"/>
      <c r="AD63" s="415"/>
      <c r="AE63" s="415"/>
      <c r="AF63" s="415"/>
      <c r="AG63" s="415"/>
      <c r="AH63" s="415"/>
      <c r="AI63" s="415"/>
      <c r="AJ63" s="415"/>
      <c r="AK63" s="415"/>
      <c r="AL63" s="415"/>
      <c r="AM63" s="415"/>
      <c r="AN63" s="415"/>
      <c r="AO63" s="415"/>
      <c r="AP63" s="415"/>
      <c r="AQ63" s="415"/>
      <c r="AR63" s="415"/>
      <c r="AS63" s="415"/>
      <c r="AT63" s="415"/>
      <c r="AU63" s="415"/>
      <c r="AV63" s="415"/>
      <c r="AW63" s="415"/>
    </row>
    <row r="64" spans="1:57" s="54" customFormat="1" ht="37.15" hidden="1" customHeight="1" thickBot="1">
      <c r="B64" s="456"/>
      <c r="C64" s="441"/>
      <c r="D64" s="442"/>
      <c r="E64" s="443"/>
      <c r="F64" s="444"/>
      <c r="G64" s="445"/>
      <c r="H64" s="446"/>
      <c r="I64" s="447"/>
      <c r="J64" s="448"/>
      <c r="K64" s="449"/>
      <c r="L64" s="457"/>
      <c r="M64" s="454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7.15" customHeight="1">
      <c r="B65" s="466"/>
      <c r="C65" s="430"/>
      <c r="D65" s="460"/>
      <c r="E65" s="461"/>
      <c r="F65" s="462"/>
      <c r="G65" s="460"/>
      <c r="H65" s="463"/>
      <c r="I65" s="463"/>
      <c r="J65" s="463"/>
      <c r="K65" s="464"/>
      <c r="L65" s="465"/>
      <c r="M65" s="50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ht="18" customHeight="1" thickBot="1">
      <c r="B66" s="59"/>
      <c r="C66" s="30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 t="s">
        <v>41</v>
      </c>
      <c r="O66" s="56"/>
      <c r="P66" s="60"/>
    </row>
    <row r="67" spans="2:57" ht="15.75" thickBot="1">
      <c r="B67" s="498" t="s">
        <v>55</v>
      </c>
      <c r="C67" s="499"/>
      <c r="D67" s="499"/>
      <c r="E67" s="499"/>
      <c r="F67" s="500"/>
      <c r="G67" s="498" t="s">
        <v>56</v>
      </c>
      <c r="H67" s="499"/>
      <c r="I67" s="499"/>
      <c r="J67" s="500"/>
      <c r="K67" s="498" t="s">
        <v>51</v>
      </c>
      <c r="L67" s="499"/>
      <c r="M67" s="499"/>
      <c r="N67" s="501"/>
      <c r="O67" s="56"/>
      <c r="P67" s="50"/>
    </row>
    <row r="68" spans="2:57" ht="15">
      <c r="B68" s="61" t="s">
        <v>17</v>
      </c>
      <c r="C68" s="62" t="s">
        <v>36</v>
      </c>
      <c r="D68" s="62" t="s">
        <v>37</v>
      </c>
      <c r="E68" s="62" t="s">
        <v>38</v>
      </c>
      <c r="F68" s="63" t="s">
        <v>39</v>
      </c>
      <c r="G68" s="62" t="s">
        <v>36</v>
      </c>
      <c r="H68" s="62" t="s">
        <v>37</v>
      </c>
      <c r="I68" s="62" t="s">
        <v>38</v>
      </c>
      <c r="J68" s="63" t="s">
        <v>39</v>
      </c>
      <c r="K68" s="62"/>
      <c r="L68" s="62" t="s">
        <v>37</v>
      </c>
      <c r="M68" s="62" t="s">
        <v>38</v>
      </c>
      <c r="N68" s="63" t="s">
        <v>39</v>
      </c>
      <c r="O68" s="56"/>
      <c r="P68" s="64"/>
    </row>
    <row r="69" spans="2:57" ht="15">
      <c r="B69" s="29" t="s">
        <v>6</v>
      </c>
      <c r="C69" s="282"/>
      <c r="D69" s="76">
        <v>6.1995693428930156</v>
      </c>
      <c r="E69" s="76">
        <v>6.6688605778438586</v>
      </c>
      <c r="F69" s="66">
        <v>4.8</v>
      </c>
      <c r="G69" s="65"/>
      <c r="H69" s="477">
        <v>5.5404180500469851</v>
      </c>
      <c r="I69" s="477">
        <v>6.3637936742130208</v>
      </c>
      <c r="J69" s="66">
        <v>4.8</v>
      </c>
      <c r="K69" s="67"/>
      <c r="L69" s="194">
        <v>0.79053411306042887</v>
      </c>
      <c r="M69" s="194">
        <v>0.51798031256288712</v>
      </c>
      <c r="N69" s="68">
        <v>1</v>
      </c>
      <c r="O69" s="56"/>
      <c r="P69" s="69"/>
    </row>
    <row r="70" spans="2:57" ht="15">
      <c r="B70" s="33" t="s">
        <v>9</v>
      </c>
      <c r="C70" s="65">
        <f>L56</f>
        <v>6.9279393173198418</v>
      </c>
      <c r="D70" s="76">
        <v>5.4205694148196484</v>
      </c>
      <c r="E70" s="76">
        <v>6.0838074055063762</v>
      </c>
      <c r="F70" s="66">
        <v>4.8</v>
      </c>
      <c r="G70" s="65">
        <f>[12]April_2026!$AF$21</f>
        <v>6.2545883959821271</v>
      </c>
      <c r="H70" s="76">
        <v>4.7095292144811189</v>
      </c>
      <c r="I70" s="76">
        <v>5.7641608626401819</v>
      </c>
      <c r="J70" s="66">
        <v>4.8</v>
      </c>
      <c r="K70" s="67">
        <f>K56</f>
        <v>0.4305263157894737</v>
      </c>
      <c r="L70" s="194">
        <v>0.91543859649122816</v>
      </c>
      <c r="M70" s="194">
        <v>0.72493688613389817</v>
      </c>
      <c r="N70" s="68">
        <v>1</v>
      </c>
      <c r="P70" s="69"/>
    </row>
    <row r="71" spans="2:57" ht="15">
      <c r="B71" s="34" t="s">
        <v>40</v>
      </c>
      <c r="C71" s="65"/>
      <c r="D71" s="76">
        <v>10.917759237187118</v>
      </c>
      <c r="E71" s="76">
        <v>12.019739161085637</v>
      </c>
      <c r="F71" s="66">
        <v>5.5</v>
      </c>
      <c r="G71" s="65"/>
      <c r="H71" s="76">
        <v>10.858502880677971</v>
      </c>
      <c r="I71" s="76">
        <v>13.201587402597006</v>
      </c>
      <c r="J71" s="66">
        <v>5.5</v>
      </c>
      <c r="K71" s="67"/>
      <c r="L71" s="194">
        <v>0.16390350877192983</v>
      </c>
      <c r="M71" s="194">
        <v>0.2727383040935672</v>
      </c>
      <c r="N71" s="68">
        <v>1</v>
      </c>
      <c r="P71" s="69"/>
    </row>
    <row r="72" spans="2:57" ht="15">
      <c r="B72" s="22" t="s">
        <v>33</v>
      </c>
      <c r="C72" s="65"/>
      <c r="D72" s="76"/>
      <c r="E72" s="76">
        <v>4.601418358346991</v>
      </c>
      <c r="F72" s="66">
        <v>3.3</v>
      </c>
      <c r="G72" s="65"/>
      <c r="H72" s="76"/>
      <c r="I72" s="76">
        <v>4.3274739720788533</v>
      </c>
      <c r="J72" s="66">
        <v>3.3</v>
      </c>
      <c r="K72" s="67"/>
      <c r="L72" s="194"/>
      <c r="M72" s="194">
        <v>0.8292543859649123</v>
      </c>
      <c r="N72" s="68">
        <v>1</v>
      </c>
      <c r="P72" s="69"/>
    </row>
    <row r="73" spans="2:57" ht="15">
      <c r="B73" s="35" t="s">
        <v>164</v>
      </c>
      <c r="C73" s="65"/>
      <c r="D73" s="76"/>
      <c r="E73" s="76"/>
      <c r="F73" s="66">
        <v>3.3</v>
      </c>
      <c r="G73" s="282"/>
      <c r="H73" s="76"/>
      <c r="I73" s="76"/>
      <c r="J73" s="66">
        <v>3</v>
      </c>
      <c r="K73" s="67"/>
      <c r="L73" s="194"/>
      <c r="M73" s="194"/>
      <c r="N73" s="68">
        <v>1</v>
      </c>
      <c r="P73" s="69"/>
    </row>
    <row r="74" spans="2:57" ht="15">
      <c r="B74" s="36" t="s">
        <v>15</v>
      </c>
      <c r="C74" s="65"/>
      <c r="D74" s="76"/>
      <c r="E74" s="76">
        <v>5.1105651105651271</v>
      </c>
      <c r="F74" s="70">
        <f>[15]May_2022!$M$43</f>
        <v>3.4878406700073312</v>
      </c>
      <c r="G74" s="282"/>
      <c r="H74" s="76"/>
      <c r="I74" s="76">
        <v>7.9131369535794072</v>
      </c>
      <c r="J74" s="66">
        <v>5.5</v>
      </c>
      <c r="K74" s="67"/>
      <c r="L74" s="194"/>
      <c r="M74" s="194">
        <v>1.3550877192982456</v>
      </c>
      <c r="N74" s="68">
        <v>1</v>
      </c>
      <c r="P74" s="69"/>
    </row>
    <row r="75" spans="2:57" ht="15">
      <c r="B75" s="37" t="s">
        <v>16</v>
      </c>
      <c r="C75" s="65"/>
      <c r="D75" s="76">
        <v>2.744050509956292</v>
      </c>
      <c r="E75" s="76">
        <v>3.7431500795474548</v>
      </c>
      <c r="F75" s="66">
        <v>3.3</v>
      </c>
      <c r="G75" s="282"/>
      <c r="H75" s="76">
        <v>4.0188417648776724</v>
      </c>
      <c r="I75" s="76">
        <v>4.8236555171494695</v>
      </c>
      <c r="J75" s="66">
        <v>3.3</v>
      </c>
      <c r="K75" s="67"/>
      <c r="L75" s="194">
        <v>0.70263157894736838</v>
      </c>
      <c r="M75" s="194">
        <v>0.89457115009746591</v>
      </c>
      <c r="N75" s="71">
        <v>1</v>
      </c>
      <c r="P75" s="69"/>
    </row>
    <row r="76" spans="2:57" ht="15.75" thickBot="1">
      <c r="B76" s="38" t="s">
        <v>163</v>
      </c>
      <c r="C76" s="65"/>
      <c r="D76" s="76"/>
      <c r="E76" s="76"/>
      <c r="F76" s="66">
        <v>7.5</v>
      </c>
      <c r="G76" s="282"/>
      <c r="H76" s="76"/>
      <c r="I76" s="76"/>
      <c r="J76" s="66">
        <v>7.5</v>
      </c>
      <c r="K76" s="67"/>
      <c r="L76" s="194"/>
      <c r="M76" s="194"/>
      <c r="N76" s="71">
        <v>1</v>
      </c>
      <c r="P76" s="69"/>
    </row>
    <row r="77" spans="2:57" ht="15.75" thickBot="1">
      <c r="B77" s="414" t="s">
        <v>161</v>
      </c>
      <c r="C77" s="65"/>
      <c r="D77" s="76"/>
      <c r="E77" s="76"/>
      <c r="F77" s="66">
        <v>4.8</v>
      </c>
      <c r="G77" s="282"/>
      <c r="H77" s="76"/>
      <c r="I77" s="76"/>
      <c r="J77" s="66">
        <v>4.8</v>
      </c>
      <c r="K77" s="67"/>
      <c r="L77" s="194"/>
      <c r="M77" s="194"/>
      <c r="N77" s="71">
        <v>1</v>
      </c>
      <c r="O77" s="74"/>
      <c r="P77" s="75"/>
    </row>
    <row r="78" spans="2:57" ht="15">
      <c r="D78" s="76">
        <v>6.0438037149986501</v>
      </c>
      <c r="E78" s="76">
        <v>6.4730616420162699</v>
      </c>
      <c r="F78" s="341">
        <v>5.5</v>
      </c>
      <c r="H78" s="76">
        <v>5.6913539691620514</v>
      </c>
      <c r="I78" s="76">
        <v>6.528841873126626</v>
      </c>
      <c r="J78" s="341">
        <v>5.5</v>
      </c>
      <c r="L78" s="194">
        <v>0.77859437946718646</v>
      </c>
      <c r="M78" s="194">
        <v>0.59503086476353495</v>
      </c>
      <c r="N78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5:N25"/>
    <mergeCell ref="D26:E26"/>
    <mergeCell ref="B27:B38"/>
    <mergeCell ref="D27:E28"/>
    <mergeCell ref="D29:E30"/>
    <mergeCell ref="D31:E32"/>
    <mergeCell ref="D33:E34"/>
    <mergeCell ref="D35:E36"/>
    <mergeCell ref="D37:E38"/>
    <mergeCell ref="B39:B48"/>
    <mergeCell ref="D39:E40"/>
    <mergeCell ref="J39:K39"/>
    <mergeCell ref="L40:N40"/>
    <mergeCell ref="D41:E42"/>
    <mergeCell ref="D43:E44"/>
    <mergeCell ref="D45:E46"/>
    <mergeCell ref="D47:E48"/>
    <mergeCell ref="D49:E49"/>
    <mergeCell ref="B54:B55"/>
    <mergeCell ref="C54:C55"/>
    <mergeCell ref="D54:D55"/>
    <mergeCell ref="E54:E55"/>
    <mergeCell ref="M54:M55"/>
    <mergeCell ref="B67:F67"/>
    <mergeCell ref="G67:J67"/>
    <mergeCell ref="K67:N67"/>
    <mergeCell ref="G54:G55"/>
    <mergeCell ref="H54:H55"/>
    <mergeCell ref="I54:I55"/>
    <mergeCell ref="J54:J55"/>
    <mergeCell ref="K54:K55"/>
    <mergeCell ref="L54:L55"/>
    <mergeCell ref="F54:F55"/>
  </mergeCells>
  <conditionalFormatting sqref="B49:B50">
    <cfRule type="cellIs" dxfId="343" priority="88" operator="notBetween">
      <formula>#REF!</formula>
      <formula>#REF!</formula>
    </cfRule>
  </conditionalFormatting>
  <conditionalFormatting sqref="C53">
    <cfRule type="cellIs" dxfId="342" priority="182" stopIfTrue="1" operator="lessThan">
      <formula>96</formula>
    </cfRule>
    <cfRule type="cellIs" dxfId="341" priority="183" stopIfTrue="1" operator="greaterThan">
      <formula>100</formula>
    </cfRule>
  </conditionalFormatting>
  <conditionalFormatting sqref="C69:C73">
    <cfRule type="cellIs" dxfId="340" priority="151" stopIfTrue="1" operator="lessThanOrEqual">
      <formula>0</formula>
    </cfRule>
  </conditionalFormatting>
  <conditionalFormatting sqref="C69:C77">
    <cfRule type="cellIs" dxfId="339" priority="150" stopIfTrue="1" operator="greaterThan">
      <formula>$F69</formula>
    </cfRule>
  </conditionalFormatting>
  <conditionalFormatting sqref="C70">
    <cfRule type="cellIs" dxfId="338" priority="184" stopIfTrue="1" operator="greaterThan">
      <formula>$F69</formula>
    </cfRule>
  </conditionalFormatting>
  <conditionalFormatting sqref="C74">
    <cfRule type="cellIs" dxfId="337" priority="113" stopIfTrue="1" operator="greaterThan">
      <formula>$F73</formula>
    </cfRule>
    <cfRule type="cellIs" dxfId="336" priority="112" stopIfTrue="1" operator="lessThanOrEqual">
      <formula>0</formula>
    </cfRule>
  </conditionalFormatting>
  <conditionalFormatting sqref="C75:C77">
    <cfRule type="cellIs" dxfId="335" priority="152" stopIfTrue="1" operator="lessThanOrEqual">
      <formula>0</formula>
    </cfRule>
  </conditionalFormatting>
  <conditionalFormatting sqref="C80:C84">
    <cfRule type="cellIs" dxfId="334" priority="174" stopIfTrue="1" operator="lessThanOrEqual">
      <formula>0</formula>
    </cfRule>
  </conditionalFormatting>
  <conditionalFormatting sqref="C81:C84">
    <cfRule type="cellIs" dxfId="333" priority="173" stopIfTrue="1" operator="greaterThan">
      <formula>$F$80</formula>
    </cfRule>
  </conditionalFormatting>
  <conditionalFormatting sqref="C86">
    <cfRule type="cellIs" dxfId="332" priority="175" stopIfTrue="1" operator="greaterThan">
      <formula>$F$80</formula>
    </cfRule>
    <cfRule type="cellIs" dxfId="331" priority="176" stopIfTrue="1" operator="lessThanOrEqual">
      <formula>0</formula>
    </cfRule>
  </conditionalFormatting>
  <conditionalFormatting sqref="C80:D80 D82:D88">
    <cfRule type="cellIs" dxfId="330" priority="168" stopIfTrue="1" operator="greaterThan">
      <formula>4.5</formula>
    </cfRule>
  </conditionalFormatting>
  <conditionalFormatting sqref="D49:D50">
    <cfRule type="cellIs" dxfId="329" priority="89" operator="notBetween">
      <formula>#REF!</formula>
      <formula>#REF!</formula>
    </cfRule>
  </conditionalFormatting>
  <conditionalFormatting sqref="D69:D76">
    <cfRule type="cellIs" dxfId="328" priority="63" stopIfTrue="1" operator="lessThanOrEqual">
      <formula>0</formula>
    </cfRule>
  </conditionalFormatting>
  <conditionalFormatting sqref="D69:D78">
    <cfRule type="cellIs" dxfId="327" priority="46" stopIfTrue="1" operator="lessThanOrEqual">
      <formula>0</formula>
    </cfRule>
  </conditionalFormatting>
  <conditionalFormatting sqref="D77">
    <cfRule type="cellIs" dxfId="326" priority="62" stopIfTrue="1" operator="lessThanOrEqual">
      <formula>0</formula>
    </cfRule>
  </conditionalFormatting>
  <conditionalFormatting sqref="D78">
    <cfRule type="cellIs" dxfId="325" priority="59" stopIfTrue="1" operator="lessThanOrEqual">
      <formula>0</formula>
    </cfRule>
  </conditionalFormatting>
  <conditionalFormatting sqref="D80 D82:D88">
    <cfRule type="cellIs" dxfId="324" priority="169" stopIfTrue="1" operator="lessThanOrEqual">
      <formula>0</formula>
    </cfRule>
  </conditionalFormatting>
  <conditionalFormatting sqref="D81">
    <cfRule type="cellIs" dxfId="323" priority="161" stopIfTrue="1" operator="lessThanOrEqual">
      <formula>0</formula>
    </cfRule>
    <cfRule type="cellIs" dxfId="322" priority="160" stopIfTrue="1" operator="greaterThan">
      <formula>$F$80</formula>
    </cfRule>
  </conditionalFormatting>
  <conditionalFormatting sqref="D69:E78">
    <cfRule type="cellIs" dxfId="321" priority="48" stopIfTrue="1" operator="greaterThan">
      <formula>$F69</formula>
    </cfRule>
  </conditionalFormatting>
  <conditionalFormatting sqref="D78:E78">
    <cfRule type="cellIs" dxfId="320" priority="50" stopIfTrue="1" operator="lessThanOrEqual">
      <formula>0</formula>
    </cfRule>
  </conditionalFormatting>
  <conditionalFormatting sqref="E10:E24">
    <cfRule type="cellIs" dxfId="319" priority="7" operator="lessThan">
      <formula>48</formula>
    </cfRule>
  </conditionalFormatting>
  <conditionalFormatting sqref="E52 E53:F53">
    <cfRule type="cellIs" dxfId="318" priority="165" stopIfTrue="1" operator="greaterThan">
      <formula>100</formula>
    </cfRule>
  </conditionalFormatting>
  <conditionalFormatting sqref="E53">
    <cfRule type="cellIs" dxfId="317" priority="162" stopIfTrue="1" operator="lessThan">
      <formula>96.8</formula>
    </cfRule>
    <cfRule type="cellIs" dxfId="316" priority="163" stopIfTrue="1" operator="greaterThan">
      <formula>100</formula>
    </cfRule>
  </conditionalFormatting>
  <conditionalFormatting sqref="E69:E77">
    <cfRule type="cellIs" dxfId="315" priority="47" stopIfTrue="1" operator="lessThanOrEqual">
      <formula>0</formula>
    </cfRule>
  </conditionalFormatting>
  <conditionalFormatting sqref="E69:E78">
    <cfRule type="cellIs" dxfId="314" priority="49" stopIfTrue="1" operator="lessThanOrEqual">
      <formula>0</formula>
    </cfRule>
  </conditionalFormatting>
  <conditionalFormatting sqref="E80:E88">
    <cfRule type="cellIs" dxfId="313" priority="154" stopIfTrue="1" operator="greaterThan">
      <formula>4.5</formula>
    </cfRule>
    <cfRule type="cellIs" dxfId="312" priority="155" stopIfTrue="1" operator="lessThanOrEqual">
      <formula>0</formula>
    </cfRule>
  </conditionalFormatting>
  <conditionalFormatting sqref="E53:F53 E52">
    <cfRule type="cellIs" dxfId="311" priority="164" stopIfTrue="1" operator="lessThan">
      <formula>96.5</formula>
    </cfRule>
  </conditionalFormatting>
  <conditionalFormatting sqref="F10:F24">
    <cfRule type="cellIs" dxfId="310" priority="12" operator="greaterThan">
      <formula>60</formula>
    </cfRule>
  </conditionalFormatting>
  <conditionalFormatting sqref="F53">
    <cfRule type="cellIs" dxfId="309" priority="180" stopIfTrue="1" operator="lessThan">
      <formula>96.8</formula>
    </cfRule>
    <cfRule type="cellIs" dxfId="308" priority="181" stopIfTrue="1" operator="greaterThan">
      <formula>100</formula>
    </cfRule>
  </conditionalFormatting>
  <conditionalFormatting sqref="F78">
    <cfRule type="cellIs" dxfId="307" priority="60" stopIfTrue="1" operator="greaterThan">
      <formula>$F78</formula>
    </cfRule>
    <cfRule type="cellIs" dxfId="306" priority="61" stopIfTrue="1" operator="lessThanOrEqual">
      <formula>0</formula>
    </cfRule>
  </conditionalFormatting>
  <conditionalFormatting sqref="G10:G24">
    <cfRule type="expression" dxfId="305" priority="9">
      <formula>IF(+(IF(G10&lt;S10,0,IF(G10&gt;T10,0,1)))=0,1)</formula>
    </cfRule>
  </conditionalFormatting>
  <conditionalFormatting sqref="G69:G70">
    <cfRule type="cellIs" dxfId="304" priority="65" stopIfTrue="1" operator="lessThanOrEqual">
      <formula>0</formula>
    </cfRule>
    <cfRule type="cellIs" dxfId="303" priority="64" stopIfTrue="1" operator="greaterThan">
      <formula>$F69</formula>
    </cfRule>
  </conditionalFormatting>
  <conditionalFormatting sqref="G69:G72">
    <cfRule type="cellIs" dxfId="302" priority="16" stopIfTrue="1" operator="lessThanOrEqual">
      <formula>0</formula>
    </cfRule>
    <cfRule type="cellIs" dxfId="301" priority="15" stopIfTrue="1" operator="greaterThan">
      <formula>$F69</formula>
    </cfRule>
  </conditionalFormatting>
  <conditionalFormatting sqref="G71">
    <cfRule type="cellIs" dxfId="300" priority="13" stopIfTrue="1" operator="greaterThan">
      <formula>$F71</formula>
    </cfRule>
    <cfRule type="cellIs" dxfId="299" priority="14" stopIfTrue="1" operator="lessThanOrEqual">
      <formula>0</formula>
    </cfRule>
  </conditionalFormatting>
  <conditionalFormatting sqref="G72">
    <cfRule type="cellIs" dxfId="298" priority="55" stopIfTrue="1" operator="lessThanOrEqual">
      <formula>0</formula>
    </cfRule>
    <cfRule type="cellIs" dxfId="297" priority="54" stopIfTrue="1" operator="greaterThan">
      <formula>$F72</formula>
    </cfRule>
  </conditionalFormatting>
  <conditionalFormatting sqref="G73:G77">
    <cfRule type="cellIs" dxfId="296" priority="66" stopIfTrue="1" operator="greaterThan">
      <formula>$J73</formula>
    </cfRule>
    <cfRule type="cellIs" dxfId="295" priority="67" stopIfTrue="1" operator="lessThanOrEqual">
      <formula>0</formula>
    </cfRule>
  </conditionalFormatting>
  <conditionalFormatting sqref="G82:G87 C85 C87">
    <cfRule type="cellIs" dxfId="294" priority="177" stopIfTrue="1" operator="greaterThan">
      <formula>4.5</formula>
    </cfRule>
    <cfRule type="cellIs" dxfId="293" priority="178" stopIfTrue="1" operator="lessThanOrEqual">
      <formula>0</formula>
    </cfRule>
  </conditionalFormatting>
  <conditionalFormatting sqref="G81:H81">
    <cfRule type="cellIs" dxfId="292" priority="159" stopIfTrue="1" operator="lessThanOrEqual">
      <formula>0</formula>
    </cfRule>
    <cfRule type="cellIs" dxfId="291" priority="158" stopIfTrue="1" operator="greaterThan">
      <formula>$F$80</formula>
    </cfRule>
  </conditionalFormatting>
  <conditionalFormatting sqref="H10:H24">
    <cfRule type="expression" dxfId="290" priority="8">
      <formula>IF(+(IF(H10&lt;#REF!,0,IF(H10&gt;#REF!,0,1)))=0,1)</formula>
    </cfRule>
  </conditionalFormatting>
  <conditionalFormatting sqref="H38:H39 H52">
    <cfRule type="cellIs" dxfId="289" priority="156" stopIfTrue="1" operator="greaterThan">
      <formula>0</formula>
    </cfRule>
  </conditionalFormatting>
  <conditionalFormatting sqref="H56">
    <cfRule type="cellIs" dxfId="288" priority="30" stopIfTrue="1" operator="lessThanOrEqual">
      <formula>0</formula>
    </cfRule>
    <cfRule type="cellIs" dxfId="287" priority="18" stopIfTrue="1" operator="lessThanOrEqual">
      <formula>0</formula>
    </cfRule>
    <cfRule type="cellIs" dxfId="286" priority="19" stopIfTrue="1" operator="greaterThan">
      <formula>$F$66</formula>
    </cfRule>
    <cfRule type="cellIs" dxfId="285" priority="29" stopIfTrue="1" operator="greaterThan">
      <formula>$F$67</formula>
    </cfRule>
    <cfRule type="cellIs" dxfId="284" priority="28" stopIfTrue="1" operator="lessThanOrEqual">
      <formula>0</formula>
    </cfRule>
    <cfRule type="cellIs" dxfId="283" priority="27" stopIfTrue="1" operator="greaterThan">
      <formula>$F$69</formula>
    </cfRule>
  </conditionalFormatting>
  <conditionalFormatting sqref="H57:H60">
    <cfRule type="cellIs" dxfId="282" priority="71" stopIfTrue="1" operator="lessThanOrEqual">
      <formula>0</formula>
    </cfRule>
    <cfRule type="cellIs" dxfId="281" priority="72" stopIfTrue="1" operator="greaterThan">
      <formula>$F$69</formula>
    </cfRule>
    <cfRule type="cellIs" dxfId="280" priority="80" stopIfTrue="1" operator="greaterThan">
      <formula>$F$72</formula>
    </cfRule>
    <cfRule type="cellIs" dxfId="279" priority="81" stopIfTrue="1" operator="lessThanOrEqual">
      <formula>0</formula>
    </cfRule>
    <cfRule type="cellIs" dxfId="278" priority="82" stopIfTrue="1" operator="greaterThan">
      <formula>$F$70</formula>
    </cfRule>
    <cfRule type="cellIs" dxfId="277" priority="83" stopIfTrue="1" operator="lessThanOrEqual">
      <formula>0</formula>
    </cfRule>
  </conditionalFormatting>
  <conditionalFormatting sqref="H61:H62">
    <cfRule type="cellIs" dxfId="276" priority="127" stopIfTrue="1" operator="lessThanOrEqual">
      <formula>0</formula>
    </cfRule>
    <cfRule type="cellIs" dxfId="275" priority="125" stopIfTrue="1" operator="lessThanOrEqual">
      <formula>0</formula>
    </cfRule>
    <cfRule type="cellIs" dxfId="274" priority="115" stopIfTrue="1" operator="lessThanOrEqual">
      <formula>0</formula>
    </cfRule>
    <cfRule type="cellIs" dxfId="273" priority="124" stopIfTrue="1" operator="greaterThan">
      <formula>$F$24</formula>
    </cfRule>
    <cfRule type="cellIs" dxfId="272" priority="116" stopIfTrue="1" operator="greaterThan">
      <formula>#REF!</formula>
    </cfRule>
    <cfRule type="cellIs" dxfId="271" priority="126" stopIfTrue="1" operator="greaterThan">
      <formula>#REF!</formula>
    </cfRule>
  </conditionalFormatting>
  <conditionalFormatting sqref="H63">
    <cfRule type="cellIs" dxfId="270" priority="141" stopIfTrue="1" operator="lessThanOrEqual">
      <formula>0</formula>
    </cfRule>
    <cfRule type="cellIs" dxfId="269" priority="130" stopIfTrue="1" operator="greaterThan">
      <formula>$F$37</formula>
    </cfRule>
    <cfRule type="cellIs" dxfId="268" priority="129" stopIfTrue="1" operator="lessThanOrEqual">
      <formula>0</formula>
    </cfRule>
    <cfRule type="cellIs" dxfId="267" priority="140" stopIfTrue="1" operator="greaterThan">
      <formula>$F$38</formula>
    </cfRule>
    <cfRule type="cellIs" dxfId="266" priority="139" stopIfTrue="1" operator="lessThanOrEqual">
      <formula>0</formula>
    </cfRule>
    <cfRule type="cellIs" dxfId="265" priority="138" stopIfTrue="1" operator="greaterThan">
      <formula>$F$40</formula>
    </cfRule>
  </conditionalFormatting>
  <conditionalFormatting sqref="H64:H65">
    <cfRule type="cellIs" dxfId="264" priority="99" stopIfTrue="1" operator="lessThanOrEqual">
      <formula>0</formula>
    </cfRule>
    <cfRule type="cellIs" dxfId="263" priority="100" stopIfTrue="1" operator="greaterThan">
      <formula>#REF!</formula>
    </cfRule>
    <cfRule type="cellIs" dxfId="262" priority="110" stopIfTrue="1" operator="greaterThan">
      <formula>#REF!</formula>
    </cfRule>
    <cfRule type="cellIs" dxfId="261" priority="111" stopIfTrue="1" operator="lessThanOrEqual">
      <formula>0</formula>
    </cfRule>
    <cfRule type="cellIs" dxfId="260" priority="108" stopIfTrue="1" operator="greaterThan">
      <formula>$F$24</formula>
    </cfRule>
    <cfRule type="cellIs" dxfId="259" priority="109" stopIfTrue="1" operator="lessThanOrEqual">
      <formula>0</formula>
    </cfRule>
  </conditionalFormatting>
  <conditionalFormatting sqref="H80 H82:H88">
    <cfRule type="cellIs" dxfId="258" priority="170" stopIfTrue="1" operator="greaterThan">
      <formula>4.5</formula>
    </cfRule>
    <cfRule type="cellIs" dxfId="257" priority="171" stopIfTrue="1" operator="lessThanOrEqual">
      <formula>0</formula>
    </cfRule>
  </conditionalFormatting>
  <conditionalFormatting sqref="H56:I56">
    <cfRule type="cellIs" dxfId="256" priority="17" stopIfTrue="1" operator="greaterThan">
      <formula>$F$68</formula>
    </cfRule>
    <cfRule type="cellIs" dxfId="255" priority="20" stopIfTrue="1" operator="lessThanOrEqual">
      <formula>0</formula>
    </cfRule>
  </conditionalFormatting>
  <conditionalFormatting sqref="H57:I60">
    <cfRule type="cellIs" dxfId="254" priority="73" stopIfTrue="1" operator="lessThanOrEqual">
      <formula>0</formula>
    </cfRule>
    <cfRule type="cellIs" dxfId="253" priority="70" stopIfTrue="1" operator="greaterThan">
      <formula>$F$71</formula>
    </cfRule>
  </conditionalFormatting>
  <conditionalFormatting sqref="H61:I62">
    <cfRule type="cellIs" dxfId="252" priority="117" stopIfTrue="1" operator="lessThanOrEqual">
      <formula>0</formula>
    </cfRule>
    <cfRule type="cellIs" dxfId="251" priority="114" stopIfTrue="1" operator="greaterThan">
      <formula>#REF!</formula>
    </cfRule>
  </conditionalFormatting>
  <conditionalFormatting sqref="H63:I63">
    <cfRule type="cellIs" dxfId="250" priority="131" stopIfTrue="1" operator="lessThanOrEqual">
      <formula>0</formula>
    </cfRule>
    <cfRule type="cellIs" dxfId="249" priority="128" stopIfTrue="1" operator="greaterThan">
      <formula>$F$39</formula>
    </cfRule>
  </conditionalFormatting>
  <conditionalFormatting sqref="H64:I65">
    <cfRule type="cellIs" dxfId="248" priority="98" stopIfTrue="1" operator="greaterThan">
      <formula>#REF!</formula>
    </cfRule>
    <cfRule type="cellIs" dxfId="247" priority="101" stopIfTrue="1" operator="lessThanOrEqual">
      <formula>0</formula>
    </cfRule>
  </conditionalFormatting>
  <conditionalFormatting sqref="H69:I76">
    <cfRule type="cellIs" dxfId="246" priority="44" stopIfTrue="1" operator="greaterThan">
      <formula>$J69</formula>
    </cfRule>
    <cfRule type="cellIs" dxfId="245" priority="45" stopIfTrue="1" operator="lessThanOrEqual">
      <formula>0</formula>
    </cfRule>
  </conditionalFormatting>
  <conditionalFormatting sqref="H77:I77">
    <cfRule type="cellIs" dxfId="244" priority="53" operator="greaterThan">
      <formula>5.3</formula>
    </cfRule>
  </conditionalFormatting>
  <conditionalFormatting sqref="H78:I78">
    <cfRule type="cellIs" dxfId="243" priority="52" stopIfTrue="1" operator="lessThanOrEqual">
      <formula>0</formula>
    </cfRule>
    <cfRule type="cellIs" dxfId="242" priority="51" stopIfTrue="1" operator="greaterThan">
      <formula>$J78</formula>
    </cfRule>
  </conditionalFormatting>
  <conditionalFormatting sqref="I56">
    <cfRule type="cellIs" dxfId="241" priority="25" stopIfTrue="1" operator="greaterThan">
      <formula>$F$66</formula>
    </cfRule>
    <cfRule type="cellIs" dxfId="240" priority="26" stopIfTrue="1" operator="lessThanOrEqual">
      <formula>0</formula>
    </cfRule>
    <cfRule type="cellIs" dxfId="239" priority="22" stopIfTrue="1" operator="lessThanOrEqual">
      <formula>0</formula>
    </cfRule>
    <cfRule type="cellIs" dxfId="238" priority="21" stopIfTrue="1" operator="greaterThan">
      <formula>$F$66</formula>
    </cfRule>
    <cfRule type="cellIs" dxfId="237" priority="23" stopIfTrue="1" operator="greaterThan">
      <formula>$F$68</formula>
    </cfRule>
    <cfRule type="cellIs" dxfId="236" priority="24" stopIfTrue="1" operator="lessThanOrEqual">
      <formula>0</formula>
    </cfRule>
  </conditionalFormatting>
  <conditionalFormatting sqref="I57:I60">
    <cfRule type="cellIs" dxfId="235" priority="79" stopIfTrue="1" operator="lessThanOrEqual">
      <formula>0</formula>
    </cfRule>
    <cfRule type="cellIs" dxfId="234" priority="77" stopIfTrue="1" operator="lessThanOrEqual">
      <formula>0</formula>
    </cfRule>
    <cfRule type="cellIs" dxfId="233" priority="76" stopIfTrue="1" operator="greaterThan">
      <formula>$F$71</formula>
    </cfRule>
    <cfRule type="cellIs" dxfId="232" priority="75" stopIfTrue="1" operator="lessThanOrEqual">
      <formula>0</formula>
    </cfRule>
    <cfRule type="cellIs" dxfId="231" priority="74" stopIfTrue="1" operator="greaterThan">
      <formula>$F$69</formula>
    </cfRule>
    <cfRule type="cellIs" dxfId="230" priority="78" stopIfTrue="1" operator="greaterThan">
      <formula>$F$69</formula>
    </cfRule>
  </conditionalFormatting>
  <conditionalFormatting sqref="I61:I62">
    <cfRule type="cellIs" dxfId="229" priority="121" stopIfTrue="1" operator="lessThanOrEqual">
      <formula>0</formula>
    </cfRule>
    <cfRule type="cellIs" dxfId="228" priority="122" stopIfTrue="1" operator="greaterThan">
      <formula>#REF!</formula>
    </cfRule>
    <cfRule type="cellIs" dxfId="227" priority="123" stopIfTrue="1" operator="lessThanOrEqual">
      <formula>0</formula>
    </cfRule>
    <cfRule type="cellIs" dxfId="226" priority="120" stopIfTrue="1" operator="greaterThan">
      <formula>#REF!</formula>
    </cfRule>
    <cfRule type="cellIs" dxfId="225" priority="119" stopIfTrue="1" operator="lessThanOrEqual">
      <formula>0</formula>
    </cfRule>
    <cfRule type="cellIs" dxfId="224" priority="118" stopIfTrue="1" operator="greaterThan">
      <formula>#REF!</formula>
    </cfRule>
  </conditionalFormatting>
  <conditionalFormatting sqref="I63">
    <cfRule type="cellIs" dxfId="223" priority="137" stopIfTrue="1" operator="lessThanOrEqual">
      <formula>0</formula>
    </cfRule>
    <cfRule type="cellIs" dxfId="222" priority="132" stopIfTrue="1" operator="greaterThan">
      <formula>$F$37</formula>
    </cfRule>
    <cfRule type="cellIs" dxfId="221" priority="133" stopIfTrue="1" operator="lessThanOrEqual">
      <formula>0</formula>
    </cfRule>
    <cfRule type="cellIs" dxfId="220" priority="134" stopIfTrue="1" operator="greaterThan">
      <formula>$F$39</formula>
    </cfRule>
    <cfRule type="cellIs" dxfId="219" priority="135" stopIfTrue="1" operator="lessThanOrEqual">
      <formula>0</formula>
    </cfRule>
    <cfRule type="cellIs" dxfId="218" priority="136" stopIfTrue="1" operator="greaterThan">
      <formula>$F$37</formula>
    </cfRule>
  </conditionalFormatting>
  <conditionalFormatting sqref="I64:I65">
    <cfRule type="cellIs" dxfId="217" priority="105" stopIfTrue="1" operator="lessThanOrEqual">
      <formula>0</formula>
    </cfRule>
    <cfRule type="cellIs" dxfId="216" priority="107" stopIfTrue="1" operator="lessThanOrEqual">
      <formula>0</formula>
    </cfRule>
    <cfRule type="cellIs" dxfId="215" priority="104" stopIfTrue="1" operator="greaterThan">
      <formula>#REF!</formula>
    </cfRule>
    <cfRule type="cellIs" dxfId="214" priority="102" stopIfTrue="1" operator="greaterThan">
      <formula>#REF!</formula>
    </cfRule>
    <cfRule type="cellIs" dxfId="213" priority="103" stopIfTrue="1" operator="lessThanOrEqual">
      <formula>0</formula>
    </cfRule>
    <cfRule type="cellIs" dxfId="212" priority="106" stopIfTrue="1" operator="greaterThan">
      <formula>#REF!</formula>
    </cfRule>
  </conditionalFormatting>
  <conditionalFormatting sqref="I80:I88">
    <cfRule type="cellIs" dxfId="211" priority="167" stopIfTrue="1" operator="lessThanOrEqual">
      <formula>0</formula>
    </cfRule>
    <cfRule type="cellIs" dxfId="210" priority="166" stopIfTrue="1" operator="greaterThan">
      <formula>4.5</formula>
    </cfRule>
  </conditionalFormatting>
  <conditionalFormatting sqref="I10:J24">
    <cfRule type="cellIs" dxfId="209" priority="1" operator="lessThan">
      <formula>97.9</formula>
    </cfRule>
  </conditionalFormatting>
  <conditionalFormatting sqref="J27">
    <cfRule type="cellIs" dxfId="208" priority="69" operator="lessThan">
      <formula>97.95</formula>
    </cfRule>
  </conditionalFormatting>
  <conditionalFormatting sqref="J29">
    <cfRule type="cellIs" dxfId="207" priority="144" stopIfTrue="1" operator="greaterThan">
      <formula>100</formula>
    </cfRule>
    <cfRule type="cellIs" dxfId="206" priority="145" operator="lessThan">
      <formula>98</formula>
    </cfRule>
    <cfRule type="cellIs" dxfId="205" priority="143" stopIfTrue="1" operator="lessThan">
      <formula>96.8</formula>
    </cfRule>
  </conditionalFormatting>
  <conditionalFormatting sqref="J29:J31">
    <cfRule type="cellIs" dxfId="204" priority="142" operator="lessThan">
      <formula>97.4</formula>
    </cfRule>
  </conditionalFormatting>
  <conditionalFormatting sqref="J32:J33">
    <cfRule type="cellIs" dxfId="203" priority="146" operator="lessThan">
      <formula>98</formula>
    </cfRule>
  </conditionalFormatting>
  <conditionalFormatting sqref="J34:J35">
    <cfRule type="cellIs" dxfId="202" priority="148" stopIfTrue="1" operator="greaterThan">
      <formula>100</formula>
    </cfRule>
    <cfRule type="cellIs" dxfId="201" priority="147" stopIfTrue="1" operator="lessThan">
      <formula>96.8</formula>
    </cfRule>
  </conditionalFormatting>
  <conditionalFormatting sqref="J34:J36">
    <cfRule type="cellIs" dxfId="200" priority="149" operator="lessThan">
      <formula>98</formula>
    </cfRule>
  </conditionalFormatting>
  <conditionalFormatting sqref="J65">
    <cfRule type="cellIs" dxfId="199" priority="97" stopIfTrue="1" operator="lessThanOrEqual">
      <formula>0</formula>
    </cfRule>
    <cfRule type="cellIs" dxfId="198" priority="96" stopIfTrue="1" operator="greaterThan">
      <formula>#REF!</formula>
    </cfRule>
    <cfRule type="cellIs" dxfId="197" priority="94" stopIfTrue="1" operator="greaterThan">
      <formula>#REF!</formula>
    </cfRule>
    <cfRule type="cellIs" dxfId="196" priority="95" stopIfTrue="1" operator="lessThanOrEqual">
      <formula>0</formula>
    </cfRule>
    <cfRule type="cellIs" dxfId="195" priority="93" stopIfTrue="1" operator="lessThanOrEqual">
      <formula>0</formula>
    </cfRule>
    <cfRule type="cellIs" dxfId="194" priority="92" stopIfTrue="1" operator="greaterThan">
      <formula>#REF!</formula>
    </cfRule>
    <cfRule type="cellIs" dxfId="193" priority="91" stopIfTrue="1" operator="lessThanOrEqual">
      <formula>0</formula>
    </cfRule>
    <cfRule type="cellIs" dxfId="192" priority="90" stopIfTrue="1" operator="greaterThan">
      <formula>#REF!</formula>
    </cfRule>
  </conditionalFormatting>
  <conditionalFormatting sqref="J78">
    <cfRule type="cellIs" dxfId="191" priority="56" stopIfTrue="1" operator="greaterThan">
      <formula>$F78</formula>
    </cfRule>
    <cfRule type="cellIs" dxfId="190" priority="57" stopIfTrue="1" operator="lessThanOrEqual">
      <formula>0</formula>
    </cfRule>
  </conditionalFormatting>
  <conditionalFormatting sqref="K10:K24">
    <cfRule type="cellIs" dxfId="189" priority="4" operator="greaterThan">
      <formula>6.4</formula>
    </cfRule>
    <cfRule type="cellIs" dxfId="188" priority="3" operator="lessThan">
      <formula>4</formula>
    </cfRule>
    <cfRule type="cellIs" dxfId="187" priority="2" operator="greaterThan">
      <formula>6</formula>
    </cfRule>
  </conditionalFormatting>
  <conditionalFormatting sqref="K56:K65">
    <cfRule type="cellIs" dxfId="186" priority="84" stopIfTrue="1" operator="lessThan">
      <formula>100%</formula>
    </cfRule>
  </conditionalFormatting>
  <conditionalFormatting sqref="K80:K85">
    <cfRule type="cellIs" dxfId="185" priority="172" stopIfTrue="1" operator="lessThan">
      <formula>100%</formula>
    </cfRule>
  </conditionalFormatting>
  <conditionalFormatting sqref="K87:K88">
    <cfRule type="cellIs" dxfId="184" priority="179" stopIfTrue="1" operator="lessThan">
      <formula>100%</formula>
    </cfRule>
  </conditionalFormatting>
  <conditionalFormatting sqref="K69:M77">
    <cfRule type="cellIs" dxfId="183" priority="43" stopIfTrue="1" operator="lessThan">
      <formula>100%</formula>
    </cfRule>
  </conditionalFormatting>
  <conditionalFormatting sqref="L10:L24">
    <cfRule type="cellIs" dxfId="182" priority="5" operator="between">
      <formula>61</formula>
      <formula>65</formula>
    </cfRule>
    <cfRule type="cellIs" dxfId="181" priority="6" operator="greaterThan">
      <formula>65</formula>
    </cfRule>
  </conditionalFormatting>
  <conditionalFormatting sqref="L27:M38">
    <cfRule type="cellIs" dxfId="180" priority="86" operator="lessThan">
      <formula>97.95</formula>
    </cfRule>
  </conditionalFormatting>
  <conditionalFormatting sqref="L78:M78">
    <cfRule type="cellIs" dxfId="179" priority="58" stopIfTrue="1" operator="lessThan">
      <formula>100%</formula>
    </cfRule>
  </conditionalFormatting>
  <conditionalFormatting sqref="L42:N42">
    <cfRule type="cellIs" dxfId="178" priority="87" operator="notEqual">
      <formula>#REF!</formula>
    </cfRule>
  </conditionalFormatting>
  <conditionalFormatting sqref="L80:N88">
    <cfRule type="cellIs" dxfId="177" priority="157" stopIfTrue="1" operator="lessThan">
      <formula>100%</formula>
    </cfRule>
  </conditionalFormatting>
  <conditionalFormatting sqref="M10:M22">
    <cfRule type="expression" dxfId="176" priority="11">
      <formula>IF(+(IF(M10&lt;U10,0,IF(M10&gt;V10,0,1)))=0,1)</formula>
    </cfRule>
  </conditionalFormatting>
  <conditionalFormatting sqref="M23:N24">
    <cfRule type="expression" dxfId="175" priority="85">
      <formula>IF(+(IF(M23&lt;#REF!,0,IF(M23&gt;#REF!,0,1)))=0,1)</formula>
    </cfRule>
  </conditionalFormatting>
  <conditionalFormatting sqref="N10:N22">
    <cfRule type="expression" dxfId="174" priority="10">
      <formula>IF(+(IF(N10&lt;W10,0,IF(N10&gt;X10,0,1)))=0,1)</formula>
    </cfRule>
  </conditionalFormatting>
  <conditionalFormatting sqref="N69:N78">
    <cfRule type="cellIs" dxfId="173" priority="68" stopIfTrue="1" operator="lessThan">
      <formula>100%</formula>
    </cfRule>
  </conditionalFormatting>
  <conditionalFormatting sqref="P6">
    <cfRule type="cellIs" dxfId="172" priority="153" operator="greaterThanOrEqual">
      <formula>19</formula>
    </cfRule>
  </conditionalFormatting>
  <dataValidations count="1">
    <dataValidation type="list" allowBlank="1" showInputMessage="1" showErrorMessage="1" sqref="R8" xr:uid="{246AA7CC-BA0C-48D2-9D50-DBCCBBD39B1E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2" max="16383" man="1"/>
  </rowBreaks>
  <colBreaks count="1" manualBreakCount="1">
    <brk id="15" max="89" man="1"/>
  </colBreak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295D9-F24D-4FB9-A0BA-AB009C5B0D75}">
  <sheetPr>
    <pageSetUpPr fitToPage="1"/>
  </sheetPr>
  <dimension ref="A1:BE82"/>
  <sheetViews>
    <sheetView tabSelected="1" topLeftCell="A30" zoomScale="85" zoomScaleNormal="85" workbookViewId="0">
      <selection activeCell="L41" sqref="L41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7" width="16.5703125" style="275" customWidth="1"/>
    <col min="8" max="8" width="24.42578125" style="275" customWidth="1"/>
    <col min="9" max="9" width="20.7109375" style="275" customWidth="1"/>
    <col min="10" max="10" width="24.140625" style="275" bestFit="1" customWidth="1"/>
    <col min="11" max="11" width="19.42578125" style="275" bestFit="1" customWidth="1"/>
    <col min="12" max="12" width="17.140625" style="275" bestFit="1" customWidth="1"/>
    <col min="13" max="13" width="23.28515625" style="275" customWidth="1"/>
    <col min="14" max="14" width="13.85546875" style="275" bestFit="1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7"/>
      <c r="S1" s="555" t="s">
        <v>0</v>
      </c>
      <c r="T1" s="555"/>
      <c r="U1" s="555" t="s">
        <v>1</v>
      </c>
      <c r="V1" s="555"/>
      <c r="W1" s="555" t="s">
        <v>2</v>
      </c>
      <c r="X1" s="555"/>
      <c r="Y1" s="555" t="s">
        <v>124</v>
      </c>
      <c r="Z1" s="555"/>
    </row>
    <row r="2" spans="2:29" ht="15">
      <c r="B2" s="556" t="s">
        <v>3</v>
      </c>
      <c r="C2" s="556"/>
      <c r="D2" s="556"/>
      <c r="E2" s="556"/>
      <c r="F2" s="556"/>
      <c r="G2" s="556"/>
      <c r="H2" s="556"/>
      <c r="I2" s="556"/>
      <c r="J2" s="556"/>
      <c r="K2" s="556"/>
      <c r="L2" s="556"/>
      <c r="M2" s="556"/>
      <c r="N2" s="556"/>
      <c r="O2" s="556"/>
      <c r="P2" s="4"/>
      <c r="R2" s="467"/>
      <c r="S2" s="467" t="s">
        <v>4</v>
      </c>
      <c r="T2" s="467" t="s">
        <v>5</v>
      </c>
      <c r="U2" s="467" t="s">
        <v>4</v>
      </c>
      <c r="V2" s="467" t="s">
        <v>5</v>
      </c>
      <c r="W2" s="467" t="s">
        <v>4</v>
      </c>
      <c r="X2" s="467" t="s">
        <v>5</v>
      </c>
      <c r="Y2" s="467" t="s">
        <v>4</v>
      </c>
      <c r="Z2" s="467" t="s">
        <v>5</v>
      </c>
    </row>
    <row r="3" spans="2:29" ht="14.25" customHeight="1">
      <c r="B3" s="5"/>
      <c r="R3" s="467" t="s">
        <v>6</v>
      </c>
      <c r="S3" s="468">
        <v>11.6</v>
      </c>
      <c r="T3" s="469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0">
        <v>0</v>
      </c>
      <c r="Z3" s="468">
        <v>60</v>
      </c>
      <c r="AB3" s="275" t="s">
        <v>135</v>
      </c>
    </row>
    <row r="4" spans="2:29" ht="30.75" customHeight="1">
      <c r="B4" s="301" t="s">
        <v>133</v>
      </c>
      <c r="C4" s="419">
        <v>46146</v>
      </c>
      <c r="J4" s="398" t="s">
        <v>167</v>
      </c>
      <c r="K4" s="398"/>
      <c r="L4" s="11"/>
      <c r="M4" s="553" t="s">
        <v>8</v>
      </c>
      <c r="N4" s="554"/>
      <c r="P4" s="12"/>
      <c r="R4" s="467" t="s">
        <v>9</v>
      </c>
      <c r="S4" s="468">
        <v>11.6</v>
      </c>
      <c r="T4" s="469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0">
        <v>0</v>
      </c>
      <c r="Z4" s="468">
        <v>60</v>
      </c>
      <c r="AA4" s="13"/>
      <c r="AB4" s="13"/>
      <c r="AC4" s="13"/>
    </row>
    <row r="5" spans="2:29" ht="12.75" customHeight="1" thickBot="1">
      <c r="B5" s="1"/>
      <c r="C5" s="542"/>
      <c r="D5" s="542"/>
      <c r="J5" s="403"/>
      <c r="K5" s="403"/>
      <c r="L5" s="11"/>
      <c r="M5" s="14" t="s">
        <v>10</v>
      </c>
      <c r="N5" s="14" t="s">
        <v>11</v>
      </c>
      <c r="P5" s="12"/>
      <c r="R5" s="467" t="s">
        <v>12</v>
      </c>
      <c r="S5" s="468">
        <v>17</v>
      </c>
      <c r="T5" s="469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0">
        <v>0</v>
      </c>
      <c r="Z5" s="471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170</v>
      </c>
      <c r="K6" s="400"/>
      <c r="L6" s="311" t="s">
        <v>14</v>
      </c>
      <c r="M6" s="340"/>
      <c r="N6" s="340"/>
      <c r="P6" s="16"/>
      <c r="R6" s="467" t="s">
        <v>15</v>
      </c>
      <c r="S6" s="468">
        <v>13.3</v>
      </c>
      <c r="T6" s="469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0">
        <v>0</v>
      </c>
      <c r="Z6" s="471"/>
      <c r="AA6" s="13"/>
      <c r="AB6" s="13"/>
      <c r="AC6" s="13"/>
    </row>
    <row r="7" spans="2:29" ht="13.35" customHeight="1" thickBot="1">
      <c r="J7" s="401"/>
      <c r="K7" s="402"/>
      <c r="R7" s="467" t="s">
        <v>16</v>
      </c>
      <c r="S7" s="468">
        <v>17</v>
      </c>
      <c r="T7" s="469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0">
        <v>0</v>
      </c>
      <c r="Z7" s="471">
        <v>85</v>
      </c>
      <c r="AA7" s="13"/>
      <c r="AB7" s="13"/>
      <c r="AC7" s="13"/>
    </row>
    <row r="8" spans="2:29" ht="25.5" customHeight="1">
      <c r="B8" s="506" t="s">
        <v>17</v>
      </c>
      <c r="C8" s="517" t="s">
        <v>18</v>
      </c>
      <c r="D8" s="517" t="s">
        <v>19</v>
      </c>
      <c r="E8" s="356" t="s">
        <v>20</v>
      </c>
      <c r="F8" s="356" t="s">
        <v>21</v>
      </c>
      <c r="G8" s="517" t="s">
        <v>22</v>
      </c>
      <c r="H8" s="544" t="s">
        <v>144</v>
      </c>
      <c r="I8" s="517" t="s">
        <v>165</v>
      </c>
      <c r="J8" s="546" t="s">
        <v>23</v>
      </c>
      <c r="K8" s="548" t="s">
        <v>142</v>
      </c>
      <c r="L8" s="550" t="s">
        <v>24</v>
      </c>
      <c r="M8" s="359" t="s">
        <v>25</v>
      </c>
      <c r="N8" s="17" t="s">
        <v>169</v>
      </c>
      <c r="O8" s="510" t="s">
        <v>155</v>
      </c>
      <c r="P8" s="540"/>
      <c r="R8" s="467" t="s">
        <v>125</v>
      </c>
      <c r="S8" s="468">
        <v>16.600000000000001</v>
      </c>
      <c r="T8" s="469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0">
        <v>0</v>
      </c>
      <c r="Z8" s="471"/>
    </row>
    <row r="9" spans="2:29" ht="36" customHeight="1">
      <c r="B9" s="543"/>
      <c r="C9" s="541"/>
      <c r="D9" s="541"/>
      <c r="E9" s="357" t="s">
        <v>30</v>
      </c>
      <c r="F9" s="357" t="s">
        <v>31</v>
      </c>
      <c r="G9" s="541"/>
      <c r="H9" s="545"/>
      <c r="I9" s="541"/>
      <c r="J9" s="547"/>
      <c r="K9" s="549"/>
      <c r="L9" s="551"/>
      <c r="M9" s="20" t="s">
        <v>32</v>
      </c>
      <c r="N9" s="21" t="s">
        <v>41</v>
      </c>
      <c r="O9" s="552"/>
      <c r="P9" s="541"/>
      <c r="R9" s="467" t="s">
        <v>33</v>
      </c>
      <c r="S9" s="468">
        <v>14.2</v>
      </c>
      <c r="T9" s="469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0">
        <v>0</v>
      </c>
      <c r="Z9" s="471">
        <v>75</v>
      </c>
    </row>
    <row r="10" spans="2:29" ht="15">
      <c r="B10" s="22" t="s">
        <v>33</v>
      </c>
      <c r="C10" s="366" t="str">
        <f>[6]Brewhouse!A55</f>
        <v>VM030</v>
      </c>
      <c r="D10" s="279">
        <f>[6]Brewhouse!AE55</f>
        <v>50.1</v>
      </c>
      <c r="E10" s="279">
        <f>[6]Brewhouse!AJ55</f>
        <v>48.5</v>
      </c>
      <c r="F10" s="278">
        <f>[6]Brewhouse!X55</f>
        <v>81</v>
      </c>
      <c r="G10" s="279">
        <f>[6]Brewhouse!AH55</f>
        <v>14.6</v>
      </c>
      <c r="H10" s="396">
        <v>14.8</v>
      </c>
      <c r="I10" s="368">
        <f>[6]Brewhouse!AV55</f>
        <v>100.49327592303123</v>
      </c>
      <c r="J10" s="368">
        <f>[6]Brewhouse!AW55</f>
        <v>100.83589298020222</v>
      </c>
      <c r="K10" s="281">
        <f>[6]Brewhouse!S55</f>
        <v>9.9001996007984054</v>
      </c>
      <c r="L10" s="276">
        <f>[6]Brewhouse!R55</f>
        <v>63</v>
      </c>
      <c r="M10" s="374">
        <f>[6]Brewhouse!$W55-[6]Brewhouse!$V55</f>
        <v>0.15347222222222223</v>
      </c>
      <c r="N10" s="370">
        <f>[6]Brewhouse!AB55</f>
        <v>0.3125</v>
      </c>
      <c r="O10" s="371" t="str">
        <f>[6]Brewhouse!$AZ55</f>
        <v>R.Sookram</v>
      </c>
      <c r="P10" s="418"/>
      <c r="R10" s="277" t="str">
        <f t="shared" ref="R10:R42" si="0">B10</f>
        <v>VITAMALT</v>
      </c>
      <c r="S10" s="472">
        <f t="shared" ref="S10:S42" si="1">VLOOKUP($B10,$R$3:$X$9,2,FALSE)</f>
        <v>14.2</v>
      </c>
      <c r="T10" s="472">
        <f t="shared" ref="T10:T42" si="2">VLOOKUP($B10,$R$3:$X$9,3,FALSE)</f>
        <v>14.6</v>
      </c>
      <c r="U10" s="297">
        <f t="shared" ref="U10:U42" si="3">VLOOKUP($B10,$R$3:$X$9,4,FALSE)</f>
        <v>0</v>
      </c>
      <c r="V10" s="297">
        <f t="shared" ref="V10:V42" si="4">VLOOKUP($B10,$R$3:$X$9,5,FALSE)</f>
        <v>0.13905092592592591</v>
      </c>
      <c r="W10" s="297">
        <f t="shared" ref="W10:W42" si="5">VLOOKUP($B10,$R$3:$X$9,6,FALSE)</f>
        <v>0.26041666666666669</v>
      </c>
      <c r="X10" s="297">
        <f t="shared" ref="X10:X42" si="6">VLOOKUP($B10,$R$3:$X$9,7,FALSE)</f>
        <v>0.2951388888888889</v>
      </c>
      <c r="Y10" s="297">
        <f t="shared" ref="Y10:Y42" si="7">VLOOKUP($B10,$R$3:$Z$9,8,FALSE)</f>
        <v>0</v>
      </c>
      <c r="Z10" s="472">
        <f t="shared" ref="Z10:Z42" si="8">VLOOKUP($B10,$R$3:$Z$9,9,FALSE)</f>
        <v>75</v>
      </c>
    </row>
    <row r="11" spans="2:29" ht="15">
      <c r="B11" s="22" t="s">
        <v>33</v>
      </c>
      <c r="C11" s="366" t="str">
        <f>[6]Brewhouse!A56</f>
        <v>VM031</v>
      </c>
      <c r="D11" s="279">
        <f>[6]Brewhouse!AE56</f>
        <v>50</v>
      </c>
      <c r="E11" s="279">
        <f>[6]Brewhouse!AJ56</f>
        <v>47.5</v>
      </c>
      <c r="F11" s="278">
        <f>[6]Brewhouse!X56</f>
        <v>85</v>
      </c>
      <c r="G11" s="279">
        <f>[6]Brewhouse!AH56</f>
        <v>14.2</v>
      </c>
      <c r="H11" s="396">
        <v>14.6</v>
      </c>
      <c r="I11" s="368">
        <f>[6]Brewhouse!AV56</f>
        <v>95.451783031665798</v>
      </c>
      <c r="J11" s="368">
        <f>[6]Brewhouse!AW56</f>
        <v>95.778574640692142</v>
      </c>
      <c r="K11" s="281">
        <f>[6]Brewhouse!S56</f>
        <v>8.1200000000000045</v>
      </c>
      <c r="L11" s="276">
        <f>[6]Brewhouse!R56</f>
        <v>62</v>
      </c>
      <c r="M11" s="374">
        <f>[6]Brewhouse!$W56-[6]Brewhouse!$V56</f>
        <v>0.16944444444444451</v>
      </c>
      <c r="N11" s="370">
        <f>[6]Brewhouse!AB56</f>
        <v>0.32986111111111116</v>
      </c>
      <c r="O11" s="371" t="str">
        <f>[6]Brewhouse!$AZ56</f>
        <v>R.Sookram</v>
      </c>
      <c r="P11" s="418"/>
      <c r="R11" s="277" t="str">
        <f t="shared" ref="R11:R30" si="9">B11</f>
        <v>VITAMALT</v>
      </c>
      <c r="S11" s="472">
        <f t="shared" si="1"/>
        <v>14.2</v>
      </c>
      <c r="T11" s="472">
        <f t="shared" si="2"/>
        <v>14.6</v>
      </c>
      <c r="U11" s="297">
        <f t="shared" si="3"/>
        <v>0</v>
      </c>
      <c r="V11" s="297">
        <f t="shared" si="4"/>
        <v>0.13905092592592591</v>
      </c>
      <c r="W11" s="297">
        <f t="shared" si="5"/>
        <v>0.26041666666666669</v>
      </c>
      <c r="X11" s="297">
        <f t="shared" si="6"/>
        <v>0.2951388888888889</v>
      </c>
      <c r="Y11" s="297">
        <f t="shared" si="7"/>
        <v>0</v>
      </c>
      <c r="Z11" s="472">
        <f t="shared" si="8"/>
        <v>75</v>
      </c>
    </row>
    <row r="12" spans="2:29" ht="15">
      <c r="B12" s="22" t="s">
        <v>33</v>
      </c>
      <c r="C12" s="366" t="str">
        <f>[6]Brewhouse!A57</f>
        <v>VM032</v>
      </c>
      <c r="D12" s="279">
        <f>[6]Brewhouse!AE57</f>
        <v>50</v>
      </c>
      <c r="E12" s="279">
        <f>[6]Brewhouse!AJ57</f>
        <v>48.4</v>
      </c>
      <c r="F12" s="278">
        <f>[6]Brewhouse!X57</f>
        <v>77</v>
      </c>
      <c r="G12" s="279">
        <f>[6]Brewhouse!AH57</f>
        <v>14.2</v>
      </c>
      <c r="H12" s="396">
        <v>14.5</v>
      </c>
      <c r="I12" s="368">
        <f>[6]Brewhouse!AV57</f>
        <v>97.260343131213148</v>
      </c>
      <c r="J12" s="368">
        <f>[6]Brewhouse!AW57</f>
        <v>97.593326581252626</v>
      </c>
      <c r="K12" s="281">
        <f>[6]Brewhouse!S57</f>
        <v>4.9199999999999875</v>
      </c>
      <c r="L12" s="276">
        <f>[6]Brewhouse!R57</f>
        <v>61</v>
      </c>
      <c r="M12" s="374">
        <f>[6]Brewhouse!$W57-[6]Brewhouse!$V57</f>
        <v>0.14930555555555558</v>
      </c>
      <c r="N12" s="370">
        <f>[6]Brewhouse!AB57</f>
        <v>0.32152777777777775</v>
      </c>
      <c r="O12" s="371" t="str">
        <f>[6]Brewhouse!$AZ57</f>
        <v>K. Benjamin</v>
      </c>
      <c r="P12" s="418"/>
      <c r="R12" s="277" t="str">
        <f t="shared" si="9"/>
        <v>VITAMALT</v>
      </c>
      <c r="S12" s="472">
        <f t="shared" si="1"/>
        <v>14.2</v>
      </c>
      <c r="T12" s="472">
        <f t="shared" si="2"/>
        <v>14.6</v>
      </c>
      <c r="U12" s="297">
        <f t="shared" si="3"/>
        <v>0</v>
      </c>
      <c r="V12" s="297">
        <f t="shared" si="4"/>
        <v>0.13905092592592591</v>
      </c>
      <c r="W12" s="297">
        <f t="shared" si="5"/>
        <v>0.26041666666666669</v>
      </c>
      <c r="X12" s="297">
        <f t="shared" si="6"/>
        <v>0.2951388888888889</v>
      </c>
      <c r="Y12" s="297">
        <f t="shared" si="7"/>
        <v>0</v>
      </c>
      <c r="Z12" s="472">
        <f t="shared" si="8"/>
        <v>75</v>
      </c>
    </row>
    <row r="13" spans="2:29" ht="15">
      <c r="B13" s="22" t="s">
        <v>33</v>
      </c>
      <c r="C13" s="366" t="str">
        <f>[6]Brewhouse!A58</f>
        <v>VM033</v>
      </c>
      <c r="D13" s="279">
        <f>[6]Brewhouse!AE58</f>
        <v>50</v>
      </c>
      <c r="E13" s="279">
        <f>[6]Brewhouse!AJ58</f>
        <v>48.1</v>
      </c>
      <c r="F13" s="278">
        <f>[6]Brewhouse!X58</f>
        <v>86</v>
      </c>
      <c r="G13" s="279">
        <f>[6]Brewhouse!AH58</f>
        <v>14.2</v>
      </c>
      <c r="H13" s="396">
        <v>14.3</v>
      </c>
      <c r="I13" s="368">
        <f>[6]Brewhouse!AV58</f>
        <v>96.759736809930104</v>
      </c>
      <c r="J13" s="368">
        <f>[6]Brewhouse!AW58</f>
        <v>97.089624914123732</v>
      </c>
      <c r="K13" s="281">
        <f>[6]Brewhouse!S58</f>
        <v>3.9199999999999875</v>
      </c>
      <c r="L13" s="276">
        <f>[6]Brewhouse!R58</f>
        <v>61</v>
      </c>
      <c r="M13" s="374">
        <f>[6]Brewhouse!$W58-[6]Brewhouse!$V58</f>
        <v>0.14027777777777772</v>
      </c>
      <c r="N13" s="370">
        <f>[6]Brewhouse!AB58</f>
        <v>0.31458333333333327</v>
      </c>
      <c r="O13" s="371" t="str">
        <f>[6]Brewhouse!$AZ58</f>
        <v>K. Benjamin</v>
      </c>
      <c r="P13" s="418"/>
      <c r="R13" s="277" t="str">
        <f t="shared" si="9"/>
        <v>VITAMALT</v>
      </c>
      <c r="S13" s="472">
        <f t="shared" si="1"/>
        <v>14.2</v>
      </c>
      <c r="T13" s="472">
        <f t="shared" si="2"/>
        <v>14.6</v>
      </c>
      <c r="U13" s="297">
        <f t="shared" si="3"/>
        <v>0</v>
      </c>
      <c r="V13" s="297">
        <f t="shared" si="4"/>
        <v>0.13905092592592591</v>
      </c>
      <c r="W13" s="297">
        <f t="shared" si="5"/>
        <v>0.26041666666666669</v>
      </c>
      <c r="X13" s="297">
        <f t="shared" si="6"/>
        <v>0.2951388888888889</v>
      </c>
      <c r="Y13" s="297">
        <f t="shared" si="7"/>
        <v>0</v>
      </c>
      <c r="Z13" s="472">
        <f t="shared" si="8"/>
        <v>75</v>
      </c>
    </row>
    <row r="14" spans="2:29" ht="15">
      <c r="B14" s="22" t="s">
        <v>33</v>
      </c>
      <c r="C14" s="366" t="str">
        <f>[6]Brewhouse!A59</f>
        <v>VM034</v>
      </c>
      <c r="D14" s="279">
        <f>[6]Brewhouse!AE59</f>
        <v>50</v>
      </c>
      <c r="E14" s="279">
        <f>[6]Brewhouse!AJ59</f>
        <v>47.9</v>
      </c>
      <c r="F14" s="278">
        <f>[6]Brewhouse!X59</f>
        <v>68</v>
      </c>
      <c r="G14" s="279">
        <f>[6]Brewhouse!AH59</f>
        <v>14.3</v>
      </c>
      <c r="H14" s="396">
        <v>14.2</v>
      </c>
      <c r="I14" s="368">
        <f>[6]Brewhouse!AV59</f>
        <v>97.064501819306201</v>
      </c>
      <c r="J14" s="368">
        <f>[6]Brewhouse!AW59</f>
        <v>97.395428975015292</v>
      </c>
      <c r="K14" s="281">
        <f>[6]Brewhouse!S59</f>
        <v>3.7199999999999989</v>
      </c>
      <c r="L14" s="276">
        <f>[6]Brewhouse!R59</f>
        <v>61</v>
      </c>
      <c r="M14" s="374">
        <f>[6]Brewhouse!$W59-[6]Brewhouse!$V59</f>
        <v>0.13958333333333339</v>
      </c>
      <c r="N14" s="370">
        <f>[6]Brewhouse!AB59</f>
        <v>0.30625000000000002</v>
      </c>
      <c r="O14" s="371" t="str">
        <f>[6]Brewhouse!$AZ59</f>
        <v>K. Benjamin</v>
      </c>
      <c r="P14" s="418"/>
      <c r="R14" s="277" t="str">
        <f t="shared" si="9"/>
        <v>VITAMALT</v>
      </c>
      <c r="S14" s="472">
        <f t="shared" si="1"/>
        <v>14.2</v>
      </c>
      <c r="T14" s="472">
        <f t="shared" si="2"/>
        <v>14.6</v>
      </c>
      <c r="U14" s="297">
        <f t="shared" si="3"/>
        <v>0</v>
      </c>
      <c r="V14" s="297">
        <f t="shared" si="4"/>
        <v>0.13905092592592591</v>
      </c>
      <c r="W14" s="297">
        <f t="shared" si="5"/>
        <v>0.26041666666666669</v>
      </c>
      <c r="X14" s="297">
        <f t="shared" si="6"/>
        <v>0.2951388888888889</v>
      </c>
      <c r="Y14" s="297">
        <f t="shared" si="7"/>
        <v>0</v>
      </c>
      <c r="Z14" s="472">
        <f t="shared" si="8"/>
        <v>75</v>
      </c>
    </row>
    <row r="15" spans="2:29" ht="15">
      <c r="B15" s="22" t="s">
        <v>33</v>
      </c>
      <c r="C15" s="366" t="str">
        <f>[6]Brewhouse!A60</f>
        <v>VM035</v>
      </c>
      <c r="D15" s="279">
        <f>[6]Brewhouse!AE60</f>
        <v>50</v>
      </c>
      <c r="E15" s="279">
        <f>[6]Brewhouse!AJ60</f>
        <v>47.2</v>
      </c>
      <c r="F15" s="278">
        <f>[6]Brewhouse!X60</f>
        <v>53</v>
      </c>
      <c r="G15" s="279">
        <f>[6]Brewhouse!AH60</f>
        <v>13.8</v>
      </c>
      <c r="H15" s="396">
        <v>14</v>
      </c>
      <c r="I15" s="368">
        <f>[6]Brewhouse!AV60</f>
        <v>92.16222714184731</v>
      </c>
      <c r="J15" s="368">
        <f>[6]Brewhouse!AW60</f>
        <v>92.476440712413435</v>
      </c>
      <c r="K15" s="281">
        <f>[6]Brewhouse!S60</f>
        <v>4.1200000000000045</v>
      </c>
      <c r="L15" s="276">
        <f>[6]Brewhouse!R60</f>
        <v>59</v>
      </c>
      <c r="M15" s="374">
        <f>[6]Brewhouse!$W60-[6]Brewhouse!$V60</f>
        <v>0.11597222222222225</v>
      </c>
      <c r="N15" s="370">
        <f>[6]Brewhouse!AB60</f>
        <v>0.30208333333333337</v>
      </c>
      <c r="O15" s="371" t="str">
        <f>[6]Brewhouse!$AZ60</f>
        <v>K. Benjamin</v>
      </c>
      <c r="P15" s="418"/>
      <c r="R15" s="277" t="str">
        <f t="shared" si="9"/>
        <v>VITAMALT</v>
      </c>
      <c r="S15" s="472">
        <f t="shared" si="1"/>
        <v>14.2</v>
      </c>
      <c r="T15" s="472">
        <f t="shared" si="2"/>
        <v>14.6</v>
      </c>
      <c r="U15" s="297">
        <f t="shared" si="3"/>
        <v>0</v>
      </c>
      <c r="V15" s="297">
        <f t="shared" si="4"/>
        <v>0.13905092592592591</v>
      </c>
      <c r="W15" s="297">
        <f t="shared" si="5"/>
        <v>0.26041666666666669</v>
      </c>
      <c r="X15" s="297">
        <f t="shared" si="6"/>
        <v>0.2951388888888889</v>
      </c>
      <c r="Y15" s="297">
        <f t="shared" si="7"/>
        <v>0</v>
      </c>
      <c r="Z15" s="472">
        <f t="shared" si="8"/>
        <v>75</v>
      </c>
    </row>
    <row r="16" spans="2:29" ht="15">
      <c r="B16" s="22"/>
      <c r="C16" s="366"/>
      <c r="D16" s="279"/>
      <c r="E16" s="279"/>
      <c r="F16" s="278"/>
      <c r="G16" s="279"/>
      <c r="H16" s="396"/>
      <c r="I16" s="484"/>
      <c r="J16" s="484"/>
      <c r="K16" s="485"/>
      <c r="L16" s="276"/>
      <c r="M16" s="374"/>
      <c r="N16" s="370"/>
      <c r="O16" s="420"/>
      <c r="P16" s="418"/>
      <c r="R16" s="277">
        <f t="shared" si="9"/>
        <v>0</v>
      </c>
      <c r="S16" s="472" t="e">
        <f t="shared" si="1"/>
        <v>#N/A</v>
      </c>
      <c r="T16" s="472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2" t="e">
        <f t="shared" si="8"/>
        <v>#N/A</v>
      </c>
    </row>
    <row r="17" spans="1:26" ht="15" hidden="1">
      <c r="B17" s="22"/>
      <c r="C17" s="366"/>
      <c r="D17" s="279"/>
      <c r="E17" s="279"/>
      <c r="F17" s="278"/>
      <c r="G17" s="279"/>
      <c r="H17" s="396"/>
      <c r="I17" s="484"/>
      <c r="J17" s="484"/>
      <c r="K17" s="485"/>
      <c r="L17" s="276"/>
      <c r="M17" s="374"/>
      <c r="N17" s="370"/>
      <c r="O17" s="420"/>
      <c r="P17" s="418"/>
      <c r="R17" s="277">
        <f t="shared" si="9"/>
        <v>0</v>
      </c>
      <c r="S17" s="472" t="e">
        <f t="shared" si="1"/>
        <v>#N/A</v>
      </c>
      <c r="T17" s="472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2" t="e">
        <f t="shared" si="8"/>
        <v>#N/A</v>
      </c>
    </row>
    <row r="18" spans="1:26" ht="15" hidden="1">
      <c r="B18" s="34"/>
      <c r="C18" s="366"/>
      <c r="D18" s="279"/>
      <c r="E18" s="279"/>
      <c r="F18" s="278"/>
      <c r="G18" s="279"/>
      <c r="H18" s="396"/>
      <c r="I18" s="484"/>
      <c r="J18" s="484"/>
      <c r="K18" s="485"/>
      <c r="L18" s="276"/>
      <c r="M18" s="374"/>
      <c r="N18" s="370"/>
      <c r="O18" s="420"/>
      <c r="P18" s="418"/>
      <c r="R18" s="277">
        <f t="shared" si="9"/>
        <v>0</v>
      </c>
      <c r="S18" s="472" t="e">
        <f t="shared" si="1"/>
        <v>#N/A</v>
      </c>
      <c r="T18" s="472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2" t="e">
        <f t="shared" si="8"/>
        <v>#N/A</v>
      </c>
    </row>
    <row r="19" spans="1:26" ht="15" hidden="1">
      <c r="B19" s="34"/>
      <c r="C19" s="366"/>
      <c r="D19" s="279"/>
      <c r="E19" s="279"/>
      <c r="F19" s="278"/>
      <c r="G19" s="279"/>
      <c r="H19" s="396"/>
      <c r="I19" s="484"/>
      <c r="J19" s="484"/>
      <c r="K19" s="485"/>
      <c r="L19" s="276"/>
      <c r="M19" s="374"/>
      <c r="N19" s="370"/>
      <c r="O19" s="420"/>
      <c r="P19" s="418"/>
      <c r="R19" s="277">
        <f t="shared" si="9"/>
        <v>0</v>
      </c>
      <c r="S19" s="472" t="e">
        <f t="shared" si="1"/>
        <v>#N/A</v>
      </c>
      <c r="T19" s="472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2" t="e">
        <f t="shared" si="8"/>
        <v>#N/A</v>
      </c>
    </row>
    <row r="20" spans="1:26" ht="15" hidden="1">
      <c r="B20" s="34"/>
      <c r="C20" s="366"/>
      <c r="D20" s="279"/>
      <c r="E20" s="279"/>
      <c r="F20" s="278"/>
      <c r="G20" s="279"/>
      <c r="H20" s="396"/>
      <c r="I20" s="484"/>
      <c r="J20" s="484"/>
      <c r="K20" s="485"/>
      <c r="L20" s="276"/>
      <c r="M20" s="374"/>
      <c r="N20" s="370"/>
      <c r="O20" s="420"/>
      <c r="P20" s="418"/>
      <c r="R20" s="277">
        <f t="shared" si="9"/>
        <v>0</v>
      </c>
      <c r="S20" s="472" t="e">
        <f t="shared" si="1"/>
        <v>#N/A</v>
      </c>
      <c r="T20" s="472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2" t="e">
        <f t="shared" si="8"/>
        <v>#N/A</v>
      </c>
    </row>
    <row r="21" spans="1:26" ht="15" hidden="1">
      <c r="B21" s="34"/>
      <c r="C21" s="366"/>
      <c r="D21" s="279"/>
      <c r="E21" s="279"/>
      <c r="F21" s="278"/>
      <c r="G21" s="279"/>
      <c r="H21" s="396"/>
      <c r="I21" s="484"/>
      <c r="J21" s="484"/>
      <c r="K21" s="485"/>
      <c r="L21" s="276"/>
      <c r="M21" s="374"/>
      <c r="N21" s="370"/>
      <c r="O21" s="420"/>
      <c r="P21" s="418"/>
      <c r="R21" s="277">
        <f t="shared" si="9"/>
        <v>0</v>
      </c>
      <c r="S21" s="472" t="e">
        <f t="shared" si="1"/>
        <v>#N/A</v>
      </c>
      <c r="T21" s="472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2" t="e">
        <f t="shared" si="8"/>
        <v>#N/A</v>
      </c>
    </row>
    <row r="22" spans="1:26" ht="15" hidden="1">
      <c r="B22" s="34"/>
      <c r="C22" s="366"/>
      <c r="D22" s="279"/>
      <c r="E22" s="279"/>
      <c r="F22" s="278"/>
      <c r="G22" s="279"/>
      <c r="H22" s="396"/>
      <c r="I22" s="484"/>
      <c r="J22" s="484"/>
      <c r="K22" s="485"/>
      <c r="L22" s="276"/>
      <c r="M22" s="374"/>
      <c r="N22" s="370"/>
      <c r="O22" s="420"/>
      <c r="P22" s="418"/>
      <c r="R22" s="277">
        <f t="shared" si="9"/>
        <v>0</v>
      </c>
      <c r="S22" s="472" t="e">
        <f t="shared" si="1"/>
        <v>#N/A</v>
      </c>
      <c r="T22" s="472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2" t="e">
        <f t="shared" si="8"/>
        <v>#N/A</v>
      </c>
    </row>
    <row r="23" spans="1:26" ht="15" hidden="1">
      <c r="B23" s="34"/>
      <c r="C23" s="366"/>
      <c r="D23" s="279"/>
      <c r="E23" s="279"/>
      <c r="F23" s="278"/>
      <c r="G23" s="279"/>
      <c r="H23" s="396"/>
      <c r="I23" s="484"/>
      <c r="J23" s="484"/>
      <c r="K23" s="485"/>
      <c r="L23" s="276"/>
      <c r="M23" s="374"/>
      <c r="N23" s="370"/>
      <c r="O23" s="420"/>
      <c r="P23" s="418"/>
      <c r="R23" s="277">
        <f t="shared" si="9"/>
        <v>0</v>
      </c>
      <c r="S23" s="472" t="e">
        <f t="shared" si="1"/>
        <v>#N/A</v>
      </c>
      <c r="T23" s="472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2" t="e">
        <f t="shared" si="8"/>
        <v>#N/A</v>
      </c>
    </row>
    <row r="24" spans="1:26" ht="15" hidden="1">
      <c r="B24" s="34"/>
      <c r="C24" s="366"/>
      <c r="D24" s="279"/>
      <c r="E24" s="279"/>
      <c r="F24" s="278"/>
      <c r="G24" s="279"/>
      <c r="H24" s="396"/>
      <c r="I24" s="484"/>
      <c r="J24" s="484"/>
      <c r="K24" s="485"/>
      <c r="L24" s="276"/>
      <c r="M24" s="374"/>
      <c r="N24" s="370"/>
      <c r="O24" s="420"/>
      <c r="P24" s="418"/>
      <c r="R24" s="277">
        <f t="shared" si="9"/>
        <v>0</v>
      </c>
      <c r="S24" s="472" t="e">
        <f t="shared" si="1"/>
        <v>#N/A</v>
      </c>
      <c r="T24" s="472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2" t="e">
        <f t="shared" si="8"/>
        <v>#N/A</v>
      </c>
    </row>
    <row r="25" spans="1:26" ht="15" hidden="1">
      <c r="B25" s="34"/>
      <c r="C25" s="366"/>
      <c r="D25" s="279"/>
      <c r="E25" s="279"/>
      <c r="F25" s="278"/>
      <c r="G25" s="279"/>
      <c r="H25" s="396"/>
      <c r="I25" s="484"/>
      <c r="J25" s="484"/>
      <c r="K25" s="485"/>
      <c r="L25" s="276"/>
      <c r="M25" s="374"/>
      <c r="N25" s="370"/>
      <c r="O25" s="420"/>
      <c r="P25" s="418"/>
      <c r="R25" s="277">
        <f t="shared" si="9"/>
        <v>0</v>
      </c>
      <c r="S25" s="472" t="e">
        <f t="shared" si="1"/>
        <v>#N/A</v>
      </c>
      <c r="T25" s="472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2" t="e">
        <f t="shared" si="8"/>
        <v>#N/A</v>
      </c>
    </row>
    <row r="26" spans="1:26" ht="15" hidden="1">
      <c r="B26" s="34"/>
      <c r="C26" s="366"/>
      <c r="D26" s="279"/>
      <c r="E26" s="279"/>
      <c r="F26" s="278"/>
      <c r="G26" s="279"/>
      <c r="H26" s="396"/>
      <c r="I26" s="484"/>
      <c r="J26" s="484"/>
      <c r="K26" s="485"/>
      <c r="L26" s="276"/>
      <c r="M26" s="374"/>
      <c r="N26" s="370"/>
      <c r="O26" s="420"/>
      <c r="P26" s="418"/>
      <c r="R26" s="277">
        <f t="shared" si="9"/>
        <v>0</v>
      </c>
      <c r="S26" s="472" t="e">
        <f t="shared" si="1"/>
        <v>#N/A</v>
      </c>
      <c r="T26" s="472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2" t="e">
        <f t="shared" si="8"/>
        <v>#N/A</v>
      </c>
    </row>
    <row r="27" spans="1:26" ht="18" hidden="1" customHeight="1">
      <c r="B27" s="29"/>
      <c r="C27" s="366"/>
      <c r="D27" s="279"/>
      <c r="E27" s="279"/>
      <c r="F27" s="278"/>
      <c r="G27" s="279"/>
      <c r="H27" s="482"/>
      <c r="I27" s="368"/>
      <c r="J27" s="368"/>
      <c r="K27" s="281"/>
      <c r="L27" s="276"/>
      <c r="M27" s="374"/>
      <c r="N27" s="370"/>
      <c r="O27" s="371"/>
      <c r="P27" s="418"/>
      <c r="R27" s="277">
        <f t="shared" si="9"/>
        <v>0</v>
      </c>
      <c r="S27" s="472" t="e">
        <f t="shared" si="1"/>
        <v>#N/A</v>
      </c>
      <c r="T27" s="472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2" t="e">
        <f t="shared" si="8"/>
        <v>#N/A</v>
      </c>
    </row>
    <row r="28" spans="1:26" ht="16.5" hidden="1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371"/>
      <c r="P28" s="418"/>
      <c r="R28" s="277">
        <f t="shared" si="9"/>
        <v>0</v>
      </c>
      <c r="S28" s="472" t="e">
        <f t="shared" si="1"/>
        <v>#N/A</v>
      </c>
      <c r="T28" s="472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2" t="e">
        <f t="shared" si="8"/>
        <v>#N/A</v>
      </c>
    </row>
    <row r="29" spans="1:26" ht="15.75" customHeight="1" thickBot="1">
      <c r="B29" s="358"/>
      <c r="C29" s="358"/>
      <c r="D29" s="358"/>
      <c r="E29" s="358"/>
      <c r="F29" s="294"/>
      <c r="G29" s="294"/>
      <c r="H29" s="348"/>
      <c r="I29" s="533"/>
      <c r="J29" s="533"/>
      <c r="K29" s="533"/>
      <c r="L29" s="533"/>
      <c r="M29" s="533"/>
      <c r="N29" s="533"/>
      <c r="O29" s="1"/>
      <c r="P29" s="12"/>
      <c r="R29" s="277">
        <f t="shared" si="9"/>
        <v>0</v>
      </c>
      <c r="S29" s="472" t="e">
        <f t="shared" si="1"/>
        <v>#N/A</v>
      </c>
      <c r="T29" s="472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2" t="e">
        <f t="shared" si="8"/>
        <v>#N/A</v>
      </c>
    </row>
    <row r="30" spans="1:26" ht="15.75" customHeight="1" thickBot="1">
      <c r="B30" s="388" t="s">
        <v>162</v>
      </c>
      <c r="C30" s="388"/>
      <c r="D30" s="534" t="s">
        <v>35</v>
      </c>
      <c r="E30" s="535"/>
      <c r="F30" s="294"/>
      <c r="G30" s="294"/>
      <c r="H30" s="348"/>
      <c r="I30" s="24" t="s">
        <v>17</v>
      </c>
      <c r="J30" s="25"/>
      <c r="K30" s="26" t="s">
        <v>138</v>
      </c>
      <c r="L30" s="25" t="s">
        <v>37</v>
      </c>
      <c r="M30" s="25" t="s">
        <v>38</v>
      </c>
      <c r="N30" s="27" t="s">
        <v>39</v>
      </c>
      <c r="O30" s="294"/>
      <c r="P30" s="12"/>
      <c r="R30" s="277" t="str">
        <f t="shared" si="9"/>
        <v xml:space="preserve">BRAND </v>
      </c>
      <c r="S30" s="472" t="e">
        <f t="shared" si="1"/>
        <v>#N/A</v>
      </c>
      <c r="T30" s="472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2" t="e">
        <f t="shared" si="8"/>
        <v>#N/A</v>
      </c>
    </row>
    <row r="31" spans="1:26" ht="15" customHeight="1">
      <c r="A31" s="28"/>
      <c r="B31" s="519"/>
      <c r="C31" s="362"/>
      <c r="D31" s="537"/>
      <c r="E31" s="538"/>
      <c r="F31" s="294"/>
      <c r="G31" s="294"/>
      <c r="H31" s="348"/>
      <c r="I31" s="29" t="s">
        <v>6</v>
      </c>
      <c r="J31" s="323"/>
      <c r="K31" s="284">
        <f>COUNTA([4]Brewhouse!$B$292:$B$370)</f>
        <v>79</v>
      </c>
      <c r="L31" s="493">
        <f>AVERAGE([4]Brewhouse!$AU$292:$AU$370)</f>
        <v>98.399195934884048</v>
      </c>
      <c r="M31" s="305">
        <f>AVERAGE([4]Brewhouse!$AU$42:$AU$123,[4]Brewhouse!$AU$125:$AU$188,[4]Brewhouse!$AU$198:$AU$290,[4]Brewhouse!$AU$292:$AU$370)</f>
        <v>98.004650690144786</v>
      </c>
      <c r="N31" s="30">
        <v>98</v>
      </c>
      <c r="O31" s="11"/>
      <c r="P31" s="31"/>
      <c r="R31" s="277">
        <f t="shared" si="0"/>
        <v>0</v>
      </c>
      <c r="S31" s="472" t="e">
        <f t="shared" si="1"/>
        <v>#N/A</v>
      </c>
      <c r="T31" s="472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2" t="e">
        <f t="shared" si="8"/>
        <v>#N/A</v>
      </c>
    </row>
    <row r="32" spans="1:26" ht="15" customHeight="1">
      <c r="A32" s="28"/>
      <c r="B32" s="520"/>
      <c r="C32" s="362"/>
      <c r="D32" s="539"/>
      <c r="E32" s="525"/>
      <c r="F32" s="294"/>
      <c r="G32" s="294"/>
      <c r="H32" s="348"/>
      <c r="I32" s="33" t="s">
        <v>9</v>
      </c>
      <c r="J32" s="280"/>
      <c r="K32" s="284">
        <f>COUNTA([3]Brewhouse!$A$179:$A$212)</f>
        <v>34</v>
      </c>
      <c r="L32" s="282">
        <f>AVERAGE([3]Brewhouse!$AS$179:$AS$212)</f>
        <v>98.650555109459972</v>
      </c>
      <c r="M32" s="302">
        <f>AVERAGE([3]Brewhouse!$AS$52:$AS$81,[3]Brewhouse!$AS$83:$AS$124,[3]Brewhouse!$AS$134:$AS$177,[3]Brewhouse!$AS$22:$AS$179)</f>
        <v>97.946757744825319</v>
      </c>
      <c r="N32" s="30">
        <v>98</v>
      </c>
      <c r="O32" s="11"/>
      <c r="P32" s="31"/>
      <c r="R32" s="277">
        <f t="shared" si="0"/>
        <v>0</v>
      </c>
      <c r="S32" s="472" t="e">
        <f t="shared" si="1"/>
        <v>#N/A</v>
      </c>
      <c r="T32" s="472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2" t="e">
        <f t="shared" si="8"/>
        <v>#N/A</v>
      </c>
    </row>
    <row r="33" spans="1:27" ht="14.65" customHeight="1">
      <c r="A33" s="28"/>
      <c r="B33" s="520"/>
      <c r="C33" s="362"/>
      <c r="D33" s="529"/>
      <c r="E33" s="530"/>
      <c r="F33" s="294"/>
      <c r="G33" s="294"/>
      <c r="H33" s="348"/>
      <c r="I33" s="34" t="s">
        <v>12</v>
      </c>
      <c r="J33" s="280"/>
      <c r="K33" s="284">
        <f>COUNTA([5]Brewhouse!$A$43:$A$60)</f>
        <v>18</v>
      </c>
      <c r="L33" s="282">
        <f>AVERAGE([5]Brewhouse!$AU$43:$AU$60)</f>
        <v>96.570237834242889</v>
      </c>
      <c r="M33" s="302">
        <f>AVERAGE([5]Brewhouse!$AU$16:$AU$23,[5]Brewhouse!$AU$25:$AU$32,[5]Brewhouse!$AU$34:$AU$41,[5]Brewhouse!$AU$43:$AU$60)</f>
        <v>96.890932686341458</v>
      </c>
      <c r="N33" s="30">
        <v>98</v>
      </c>
      <c r="O33" s="11"/>
      <c r="P33" s="31"/>
      <c r="R33" s="277">
        <f t="shared" si="0"/>
        <v>0</v>
      </c>
      <c r="S33" s="472" t="e">
        <f t="shared" si="1"/>
        <v>#N/A</v>
      </c>
      <c r="T33" s="472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2" t="e">
        <f t="shared" si="8"/>
        <v>#N/A</v>
      </c>
    </row>
    <row r="34" spans="1:27" ht="14.65" customHeight="1">
      <c r="A34" s="28"/>
      <c r="B34" s="520"/>
      <c r="C34" s="362"/>
      <c r="D34" s="524"/>
      <c r="E34" s="525"/>
      <c r="F34" s="294"/>
      <c r="G34" s="294"/>
      <c r="H34" s="348"/>
      <c r="I34" s="22" t="s">
        <v>33</v>
      </c>
      <c r="J34" s="280">
        <f>AVERAGE(I10:I15)</f>
        <v>96.531977976165635</v>
      </c>
      <c r="K34" s="284">
        <f>COUNTA([6]Brewhouse!$A$54:$A$60)</f>
        <v>7</v>
      </c>
      <c r="L34" s="282">
        <f>AVERAGE([6]Brewhouse!$AV$54:$AV$60)</f>
        <v>96.628235696616642</v>
      </c>
      <c r="M34" s="302">
        <f>AVERAGE([6]Brewhouse!$AV$23:$AV$34,[6]Brewhouse!$AV$36,[6]Brewhouse!$AV$38:$AV$52,[6]Brewhouse!$AV$54:$AV$60)</f>
        <v>97.437512946773296</v>
      </c>
      <c r="N34" s="30">
        <v>98</v>
      </c>
      <c r="O34" s="11"/>
      <c r="P34" s="31"/>
      <c r="R34" s="277">
        <f t="shared" si="0"/>
        <v>0</v>
      </c>
      <c r="S34" s="472" t="e">
        <f t="shared" si="1"/>
        <v>#N/A</v>
      </c>
      <c r="T34" s="472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2" t="e">
        <f t="shared" si="8"/>
        <v>#N/A</v>
      </c>
    </row>
    <row r="35" spans="1:27" ht="14.65" customHeight="1">
      <c r="A35" s="28"/>
      <c r="B35" s="520"/>
      <c r="C35" s="362"/>
      <c r="D35" s="529"/>
      <c r="E35" s="530"/>
      <c r="F35" s="417"/>
      <c r="G35" s="294"/>
      <c r="H35" s="348"/>
      <c r="I35" s="35" t="s">
        <v>29</v>
      </c>
      <c r="J35" s="280"/>
      <c r="K35" s="284"/>
      <c r="L35" s="282"/>
      <c r="M35" s="302"/>
      <c r="N35" s="30">
        <v>98</v>
      </c>
      <c r="O35" s="11"/>
      <c r="P35" s="31"/>
      <c r="R35" s="277">
        <f t="shared" si="0"/>
        <v>0</v>
      </c>
      <c r="S35" s="472" t="e">
        <f t="shared" si="1"/>
        <v>#N/A</v>
      </c>
      <c r="T35" s="472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2" t="e">
        <f t="shared" si="8"/>
        <v>#N/A</v>
      </c>
    </row>
    <row r="36" spans="1:27" ht="14.65" customHeight="1">
      <c r="A36" s="28"/>
      <c r="B36" s="520"/>
      <c r="C36" s="362"/>
      <c r="D36" s="524"/>
      <c r="E36" s="525"/>
      <c r="F36" s="417"/>
      <c r="G36" s="294"/>
      <c r="H36" s="348"/>
      <c r="I36" s="36" t="s">
        <v>15</v>
      </c>
      <c r="J36" s="323"/>
      <c r="K36" s="284"/>
      <c r="L36" s="282"/>
      <c r="M36" s="302">
        <f>AVERAGE([7]Brewhouse!$AT$4:$AT$11)</f>
        <v>92.826224508052405</v>
      </c>
      <c r="N36" s="30">
        <v>98</v>
      </c>
      <c r="O36" s="11"/>
      <c r="P36" s="31"/>
      <c r="R36" s="277">
        <f t="shared" si="0"/>
        <v>0</v>
      </c>
      <c r="S36" s="472" t="e">
        <f t="shared" si="1"/>
        <v>#N/A</v>
      </c>
      <c r="T36" s="472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2" t="e">
        <f t="shared" si="8"/>
        <v>#N/A</v>
      </c>
    </row>
    <row r="37" spans="1:27" ht="14.65" customHeight="1">
      <c r="A37" s="28"/>
      <c r="B37" s="520"/>
      <c r="C37" s="362"/>
      <c r="D37" s="529"/>
      <c r="E37" s="530"/>
      <c r="F37" s="417"/>
      <c r="G37" s="294"/>
      <c r="H37" s="348"/>
      <c r="I37" s="37" t="s">
        <v>16</v>
      </c>
      <c r="J37" s="323"/>
      <c r="K37" s="284">
        <f>COUNTA([8]Brewhouse!$A$44:$A$51)</f>
        <v>8</v>
      </c>
      <c r="L37" s="282">
        <f>AVERAGE([8]Brewhouse!$AY$44:$AY$51)</f>
        <v>98.126000151084682</v>
      </c>
      <c r="M37" s="302">
        <f>AVERAGE([8]Brewhouse!$AY$5:$AY$14,[8]Brewhouse!$AY$16:$AY$23,[8]Brewhouse!$AY$42,[8]Brewhouse!$AY$44:$AY$51)</f>
        <v>97.608428475776392</v>
      </c>
      <c r="N37" s="30">
        <v>98</v>
      </c>
      <c r="O37" s="11"/>
      <c r="P37" s="31" t="s">
        <v>41</v>
      </c>
      <c r="R37" s="277">
        <f t="shared" si="0"/>
        <v>0</v>
      </c>
      <c r="S37" s="472" t="e">
        <f t="shared" si="1"/>
        <v>#N/A</v>
      </c>
      <c r="T37" s="472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2" t="e">
        <f t="shared" si="8"/>
        <v>#N/A</v>
      </c>
    </row>
    <row r="38" spans="1:27" ht="14.65" customHeight="1">
      <c r="A38" s="28"/>
      <c r="B38" s="520"/>
      <c r="C38" s="362"/>
      <c r="D38" s="524"/>
      <c r="E38" s="525"/>
      <c r="F38" s="294"/>
      <c r="G38" s="294"/>
      <c r="H38" s="348"/>
      <c r="I38" s="411" t="s">
        <v>158</v>
      </c>
      <c r="J38" s="326"/>
      <c r="K38" s="284"/>
      <c r="L38" s="493"/>
      <c r="M38" s="305"/>
      <c r="N38" s="30">
        <v>98</v>
      </c>
      <c r="O38" s="11"/>
      <c r="P38" s="31"/>
      <c r="R38" s="277">
        <f t="shared" si="0"/>
        <v>0</v>
      </c>
      <c r="S38" s="472" t="e">
        <f t="shared" si="1"/>
        <v>#N/A</v>
      </c>
      <c r="T38" s="472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2" t="e">
        <f t="shared" si="8"/>
        <v>#N/A</v>
      </c>
    </row>
    <row r="39" spans="1:27" ht="14.65" customHeight="1">
      <c r="A39" s="28"/>
      <c r="B39" s="520"/>
      <c r="C39" s="349"/>
      <c r="D39" s="529"/>
      <c r="E39" s="530"/>
      <c r="F39" s="294"/>
      <c r="G39" s="294"/>
      <c r="H39" s="348"/>
      <c r="I39" s="410" t="s">
        <v>157</v>
      </c>
      <c r="J39" s="326"/>
      <c r="K39" s="284"/>
      <c r="L39" s="493"/>
      <c r="M39" s="305"/>
      <c r="N39" s="30">
        <v>98</v>
      </c>
      <c r="O39" s="11"/>
      <c r="P39" s="31"/>
      <c r="R39" s="277">
        <f t="shared" si="0"/>
        <v>0</v>
      </c>
      <c r="S39" s="472" t="e">
        <f t="shared" si="1"/>
        <v>#N/A</v>
      </c>
      <c r="T39" s="472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2" t="e">
        <f t="shared" si="8"/>
        <v>#N/A</v>
      </c>
      <c r="AA39" s="472"/>
    </row>
    <row r="40" spans="1:27" ht="15" customHeight="1" thickBot="1">
      <c r="A40" s="28"/>
      <c r="B40" s="520"/>
      <c r="C40" s="349"/>
      <c r="D40" s="524"/>
      <c r="E40" s="525"/>
      <c r="F40" s="294"/>
      <c r="G40" s="294"/>
      <c r="H40" s="348"/>
      <c r="I40" s="406" t="s">
        <v>156</v>
      </c>
      <c r="J40" s="327"/>
      <c r="K40" s="407"/>
      <c r="L40" s="494"/>
      <c r="M40" s="408"/>
      <c r="N40" s="409">
        <v>98</v>
      </c>
      <c r="O40" s="11"/>
      <c r="P40" s="31"/>
      <c r="R40" s="277">
        <f t="shared" si="0"/>
        <v>0</v>
      </c>
      <c r="S40" s="472" t="e">
        <f t="shared" si="1"/>
        <v>#N/A</v>
      </c>
      <c r="T40" s="472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2" t="e">
        <f t="shared" si="8"/>
        <v>#N/A</v>
      </c>
      <c r="AA40" s="472"/>
    </row>
    <row r="41" spans="1:27" ht="15" customHeight="1" thickBot="1">
      <c r="A41" s="28"/>
      <c r="B41" s="520"/>
      <c r="C41" s="349"/>
      <c r="D41" s="537"/>
      <c r="E41" s="538"/>
      <c r="F41" s="294"/>
      <c r="G41" s="294"/>
      <c r="H41" s="348"/>
      <c r="I41" s="1"/>
      <c r="J41" s="39"/>
      <c r="K41" s="404">
        <f>SUM(K31:K40)</f>
        <v>146</v>
      </c>
      <c r="L41" s="495">
        <f>((L31*K31)+(L32*K32)+(L33*K33)+(L34*K34)+(L35*K35)+(K38*L38)+(L36*K36)+(L37*K37)+(L40*K40))/(K41)</f>
        <v>98.132364963553755</v>
      </c>
      <c r="M41" s="495">
        <f>AVERAGE('[9]Jan30th-31st'!$L$42,L41)</f>
        <v>97.980203349697604</v>
      </c>
      <c r="N41" s="40">
        <v>98</v>
      </c>
      <c r="O41" s="11"/>
      <c r="P41" s="31"/>
      <c r="R41" s="277">
        <f t="shared" si="0"/>
        <v>0</v>
      </c>
      <c r="S41" s="472" t="e">
        <f t="shared" si="1"/>
        <v>#N/A</v>
      </c>
      <c r="T41" s="472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472" t="e">
        <f t="shared" si="8"/>
        <v>#N/A</v>
      </c>
      <c r="AA41" s="472"/>
    </row>
    <row r="42" spans="1:27" ht="15.75" thickBot="1">
      <c r="B42" s="536"/>
      <c r="C42" s="350"/>
      <c r="D42" s="539"/>
      <c r="E42" s="525"/>
      <c r="F42" s="294"/>
      <c r="G42" s="42"/>
      <c r="H42" s="41"/>
      <c r="I42" s="42"/>
      <c r="J42" s="42"/>
      <c r="K42" s="351"/>
      <c r="L42" s="348"/>
      <c r="M42" s="348"/>
      <c r="N42" s="11"/>
      <c r="O42" s="294"/>
      <c r="P42" s="12"/>
      <c r="R42" s="277">
        <f t="shared" si="0"/>
        <v>0</v>
      </c>
      <c r="S42" s="472" t="e">
        <f t="shared" si="1"/>
        <v>#N/A</v>
      </c>
      <c r="T42" s="472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472" t="e">
        <f t="shared" si="8"/>
        <v>#N/A</v>
      </c>
      <c r="AA42" s="472"/>
    </row>
    <row r="43" spans="1:27" ht="15.75" thickBot="1">
      <c r="B43" s="519"/>
      <c r="C43" s="362"/>
      <c r="D43" s="522"/>
      <c r="E43" s="523"/>
      <c r="F43" s="294"/>
      <c r="G43" s="42"/>
      <c r="H43" s="41"/>
      <c r="I43" s="42"/>
      <c r="J43" s="526" t="s">
        <v>129</v>
      </c>
      <c r="K43" s="526"/>
      <c r="L43" s="294"/>
      <c r="M43" s="294"/>
      <c r="N43" s="294"/>
      <c r="O43" s="294"/>
      <c r="P43" s="12"/>
    </row>
    <row r="44" spans="1:27" ht="15.75" thickBot="1">
      <c r="B44" s="520"/>
      <c r="C44" s="362"/>
      <c r="D44" s="524"/>
      <c r="E44" s="525"/>
      <c r="F44" s="294"/>
      <c r="G44" s="42"/>
      <c r="H44" s="42"/>
      <c r="I44" s="42"/>
      <c r="J44" s="292" t="s">
        <v>17</v>
      </c>
      <c r="K44" s="293" t="s">
        <v>172</v>
      </c>
      <c r="L44" s="527" t="s">
        <v>136</v>
      </c>
      <c r="M44" s="527"/>
      <c r="N44" s="528"/>
      <c r="O44" s="294"/>
      <c r="P44" s="12"/>
    </row>
    <row r="45" spans="1:27" ht="15" customHeight="1" thickBot="1">
      <c r="B45" s="520"/>
      <c r="C45" s="349"/>
      <c r="D45" s="529"/>
      <c r="E45" s="530"/>
      <c r="F45" s="294"/>
      <c r="G45" s="42"/>
      <c r="H45" s="42"/>
      <c r="I45" s="42"/>
      <c r="J45" s="287" t="s">
        <v>6</v>
      </c>
      <c r="K45" s="324"/>
      <c r="L45" s="473" t="s">
        <v>37</v>
      </c>
      <c r="M45" s="474" t="s">
        <v>38</v>
      </c>
      <c r="N45" s="474" t="s">
        <v>84</v>
      </c>
      <c r="O45" s="294"/>
      <c r="P45" s="12"/>
    </row>
    <row r="46" spans="1:27" ht="15.75" customHeight="1" thickBot="1">
      <c r="B46" s="520"/>
      <c r="C46" s="349"/>
      <c r="D46" s="524"/>
      <c r="E46" s="525"/>
      <c r="F46" s="294"/>
      <c r="G46" s="42"/>
      <c r="H46" s="42"/>
      <c r="I46" s="42"/>
      <c r="J46" s="345" t="s">
        <v>9</v>
      </c>
      <c r="K46" s="324"/>
      <c r="L46" s="344">
        <f>AVERAGE('Apr 1st'!K50,K55,'Apr 2nd'!K48,'Apr 7th'!K50,'Apr 8th'!K50,'Apr 9th '!K58,'Apr 10th'!K55,'Apr 13th'!K66,'Apr 14th'!K60,'Apr 15th'!K51,'Apr 16th '!K53,'Apr 20th '!K59,'Apr 21st'!K54,'Apr 23rd'!K43,'Apr 24th-26th'!I73,'Apr 24th-26th'!J73,'Apr 24th-26th'!K73,'Apr 27th'!K53,'Apr 28th'!K48,'Apr 29th '!K51)</f>
        <v>6.85</v>
      </c>
      <c r="M46" s="325">
        <f>AVERAGE('[9]Jan30th-31st'!$L$47,L46,'[10]Feb 26th '!$L$39,'[11]Mar 31st'!$L$47)</f>
        <v>6.5092391304347821</v>
      </c>
      <c r="N46" s="416">
        <v>9.1999999999999993</v>
      </c>
      <c r="O46" s="294"/>
      <c r="P46" s="12"/>
    </row>
    <row r="47" spans="1:27" ht="15" customHeight="1">
      <c r="B47" s="520"/>
      <c r="C47" s="349"/>
      <c r="D47" s="529"/>
      <c r="E47" s="530"/>
      <c r="F47" s="294"/>
      <c r="G47" s="42"/>
      <c r="H47" s="42"/>
      <c r="I47" s="42"/>
      <c r="J47" s="288" t="s">
        <v>40</v>
      </c>
      <c r="K47" s="324"/>
      <c r="L47" s="294"/>
      <c r="M47" s="294"/>
      <c r="N47" s="294"/>
      <c r="O47" s="294"/>
      <c r="P47" s="12"/>
    </row>
    <row r="48" spans="1:27" ht="15" customHeight="1">
      <c r="B48" s="520"/>
      <c r="C48" s="349"/>
      <c r="D48" s="524"/>
      <c r="E48" s="525"/>
      <c r="F48" s="294"/>
      <c r="G48" s="42"/>
      <c r="H48" s="42"/>
      <c r="I48" s="42"/>
      <c r="J48" s="289" t="s">
        <v>33</v>
      </c>
      <c r="K48" s="324">
        <v>6</v>
      </c>
      <c r="L48" s="294"/>
      <c r="M48" s="294"/>
      <c r="N48" s="294"/>
      <c r="O48" s="294"/>
      <c r="P48" s="12"/>
    </row>
    <row r="49" spans="1:57" ht="15">
      <c r="B49" s="520"/>
      <c r="C49" s="349"/>
      <c r="D49" s="529"/>
      <c r="E49" s="530"/>
      <c r="F49" s="294"/>
      <c r="G49" s="42"/>
      <c r="H49" s="42"/>
      <c r="I49" s="42"/>
      <c r="J49" s="290" t="s">
        <v>16</v>
      </c>
      <c r="K49" s="324"/>
      <c r="L49" s="294"/>
      <c r="M49" s="294"/>
      <c r="N49" s="294"/>
      <c r="O49" s="294"/>
      <c r="P49" s="12"/>
      <c r="BC49" s="44"/>
      <c r="BD49" s="44"/>
    </row>
    <row r="50" spans="1:57" ht="15">
      <c r="B50" s="520"/>
      <c r="C50" s="349"/>
      <c r="D50" s="524"/>
      <c r="E50" s="525"/>
      <c r="F50" s="294"/>
      <c r="G50" s="42"/>
      <c r="H50" s="42"/>
      <c r="I50" s="42"/>
      <c r="J50" s="291" t="s">
        <v>15</v>
      </c>
      <c r="K50" s="324"/>
      <c r="L50" s="294"/>
      <c r="M50" s="294"/>
      <c r="N50" s="294"/>
      <c r="O50" s="294"/>
      <c r="P50" s="12"/>
      <c r="BC50" s="44"/>
      <c r="BD50" s="44"/>
    </row>
    <row r="51" spans="1:57" ht="15">
      <c r="B51" s="520"/>
      <c r="C51" s="349"/>
      <c r="D51" s="529"/>
      <c r="E51" s="530"/>
      <c r="F51" s="294"/>
      <c r="G51" s="42"/>
      <c r="H51" s="42"/>
      <c r="I51" s="42"/>
      <c r="J51" s="291" t="s">
        <v>149</v>
      </c>
      <c r="K51" s="324"/>
      <c r="L51" s="294"/>
      <c r="M51" s="294"/>
      <c r="N51" s="294"/>
      <c r="O51" s="294"/>
      <c r="P51" s="12"/>
      <c r="BC51" s="44"/>
      <c r="BD51" s="44"/>
    </row>
    <row r="52" spans="1:57" ht="15.75" thickBot="1">
      <c r="B52" s="521"/>
      <c r="C52" s="350"/>
      <c r="D52" s="531"/>
      <c r="E52" s="532"/>
      <c r="F52" s="294" t="s">
        <v>166</v>
      </c>
      <c r="G52" s="42"/>
      <c r="H52" s="42"/>
      <c r="I52" s="42"/>
      <c r="J52" s="291" t="s">
        <v>148</v>
      </c>
      <c r="K52" s="324"/>
      <c r="L52" s="294"/>
      <c r="M52" s="294"/>
      <c r="N52" s="294" t="s">
        <v>41</v>
      </c>
      <c r="O52" s="294"/>
      <c r="P52" s="12"/>
      <c r="BC52" s="44"/>
      <c r="BD52" s="44"/>
    </row>
    <row r="53" spans="1:57" ht="17.649999999999999" customHeight="1" thickBot="1">
      <c r="B53" s="312" t="s">
        <v>139</v>
      </c>
      <c r="C53" s="313"/>
      <c r="D53" s="512"/>
      <c r="E53" s="513"/>
      <c r="F53" s="294"/>
      <c r="J53" s="295" t="s">
        <v>134</v>
      </c>
      <c r="K53" s="324"/>
      <c r="L53" s="294"/>
      <c r="M53" s="294"/>
      <c r="N53" s="294"/>
      <c r="O53" s="294"/>
      <c r="P53" s="12"/>
      <c r="BC53" s="44"/>
      <c r="BD53" s="44"/>
    </row>
    <row r="54" spans="1:57" ht="17.649999999999999" customHeight="1">
      <c r="B54" s="363"/>
      <c r="C54" s="364"/>
      <c r="D54" s="365"/>
      <c r="E54" s="365"/>
      <c r="F54" s="294"/>
      <c r="G54" s="42"/>
      <c r="H54" s="42"/>
      <c r="I54" s="42"/>
      <c r="J54" s="295" t="s">
        <v>131</v>
      </c>
      <c r="K54" s="324"/>
      <c r="L54" s="294"/>
      <c r="M54" s="294"/>
      <c r="N54" s="294"/>
      <c r="O54" s="294"/>
      <c r="P54" s="12"/>
      <c r="BC54" s="44"/>
      <c r="BD54" s="44"/>
    </row>
    <row r="55" spans="1:57" ht="15.6" customHeight="1">
      <c r="B55" s="45"/>
      <c r="C55" s="11"/>
      <c r="D55" s="11"/>
      <c r="E55" s="46"/>
      <c r="F55" s="294"/>
      <c r="G55" s="42"/>
      <c r="H55" s="42"/>
      <c r="I55" s="42"/>
      <c r="J55" s="346" t="s">
        <v>130</v>
      </c>
      <c r="K55" s="324">
        <f>SUM(K45:K54)</f>
        <v>6</v>
      </c>
      <c r="L55" s="294"/>
      <c r="M55" s="294"/>
      <c r="N55" s="294"/>
      <c r="O55" s="294"/>
      <c r="P55" s="12"/>
    </row>
    <row r="56" spans="1:57" ht="20.25" customHeight="1">
      <c r="B56" s="15" t="s">
        <v>42</v>
      </c>
      <c r="C56" s="1" t="s">
        <v>43</v>
      </c>
      <c r="D56" s="1"/>
      <c r="E56" s="1"/>
      <c r="F56" s="294"/>
      <c r="G56" s="42"/>
      <c r="H56" s="41"/>
      <c r="I56" s="42"/>
      <c r="L56" s="294"/>
      <c r="N56" s="315"/>
      <c r="P56" s="334"/>
    </row>
    <row r="57" spans="1:57" ht="15" customHeight="1" thickBot="1"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1"/>
      <c r="O57" s="48"/>
      <c r="P57" s="49"/>
    </row>
    <row r="58" spans="1:57" ht="15" customHeight="1" thickBot="1">
      <c r="B58" s="504" t="s">
        <v>17</v>
      </c>
      <c r="C58" s="504" t="s">
        <v>44</v>
      </c>
      <c r="D58" s="515" t="s">
        <v>45</v>
      </c>
      <c r="E58" s="517" t="s">
        <v>46</v>
      </c>
      <c r="F58" s="510" t="s">
        <v>47</v>
      </c>
      <c r="G58" s="502" t="s">
        <v>48</v>
      </c>
      <c r="H58" s="504" t="s">
        <v>49</v>
      </c>
      <c r="I58" s="504" t="s">
        <v>50</v>
      </c>
      <c r="J58" s="496" t="s">
        <v>28</v>
      </c>
      <c r="K58" s="506" t="s">
        <v>51</v>
      </c>
      <c r="L58" s="508" t="s">
        <v>52</v>
      </c>
      <c r="M58" s="496" t="s">
        <v>53</v>
      </c>
      <c r="N58" s="13"/>
      <c r="O58" s="13"/>
      <c r="P58" s="50"/>
    </row>
    <row r="59" spans="1:57" ht="28.5" customHeight="1" thickTop="1" thickBot="1">
      <c r="B59" s="505"/>
      <c r="C59" s="514"/>
      <c r="D59" s="516"/>
      <c r="E59" s="518"/>
      <c r="F59" s="511"/>
      <c r="G59" s="503"/>
      <c r="H59" s="505"/>
      <c r="I59" s="505"/>
      <c r="J59" s="497"/>
      <c r="K59" s="507"/>
      <c r="L59" s="509"/>
      <c r="M59" s="497"/>
      <c r="N59" s="13"/>
      <c r="O59" s="13"/>
      <c r="P59" s="50"/>
      <c r="Q59" s="355"/>
      <c r="AB59" s="475">
        <v>43474</v>
      </c>
      <c r="AC59" s="475">
        <v>43475</v>
      </c>
      <c r="AD59" s="475">
        <v>43476</v>
      </c>
      <c r="AE59" s="475">
        <v>43477</v>
      </c>
      <c r="AF59" s="475">
        <v>43478</v>
      </c>
      <c r="AG59" s="475">
        <v>43479</v>
      </c>
      <c r="AH59" s="475">
        <v>43480</v>
      </c>
      <c r="AI59" s="475">
        <v>43481</v>
      </c>
      <c r="AJ59" s="475">
        <v>43482</v>
      </c>
      <c r="AK59" s="475">
        <v>43483</v>
      </c>
      <c r="AL59" s="475">
        <v>43484</v>
      </c>
      <c r="AM59" s="475">
        <v>43485</v>
      </c>
      <c r="AN59" s="475">
        <v>43486</v>
      </c>
      <c r="AO59" s="475">
        <v>43487</v>
      </c>
      <c r="AP59" s="475">
        <v>43488</v>
      </c>
      <c r="AQ59" s="475">
        <v>43489</v>
      </c>
      <c r="AR59" s="475">
        <v>43490</v>
      </c>
      <c r="AS59" s="475">
        <v>43491</v>
      </c>
      <c r="AT59" s="475">
        <v>43492</v>
      </c>
      <c r="AU59" s="475">
        <v>43493</v>
      </c>
      <c r="AV59" s="475">
        <v>43494</v>
      </c>
      <c r="AW59" s="475">
        <v>43495</v>
      </c>
      <c r="AX59" s="475">
        <v>43496</v>
      </c>
    </row>
    <row r="60" spans="1:57" s="54" customFormat="1" ht="36.75" customHeight="1" thickBot="1">
      <c r="B60" s="486"/>
      <c r="C60" s="479"/>
      <c r="D60" s="442"/>
      <c r="E60" s="443"/>
      <c r="F60" s="444"/>
      <c r="G60" s="445"/>
      <c r="H60" s="458"/>
      <c r="I60" s="458"/>
      <c r="J60" s="448"/>
      <c r="K60" s="449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>
        <f>[14]January_2019!L5</f>
        <v>0</v>
      </c>
      <c r="AC60" s="57">
        <f>[14]January_2019!M5</f>
        <v>0</v>
      </c>
      <c r="AD60" s="57">
        <f>[14]January_2019!N5</f>
        <v>0</v>
      </c>
      <c r="AE60" s="57">
        <f>[14]January_2019!O5</f>
        <v>0</v>
      </c>
      <c r="AF60" s="57">
        <f>[14]January_2019!P5</f>
        <v>0</v>
      </c>
      <c r="AG60" s="57">
        <f>[14]January_2019!Q5</f>
        <v>0</v>
      </c>
      <c r="AH60" s="57">
        <f>[14]January_2019!R5</f>
        <v>0</v>
      </c>
      <c r="AI60" s="57">
        <f>[14]January_2019!S5</f>
        <v>0</v>
      </c>
      <c r="AJ60" s="57">
        <f>[14]January_2019!T5</f>
        <v>0</v>
      </c>
      <c r="AK60" s="57">
        <f>[14]January_2019!U5</f>
        <v>0</v>
      </c>
      <c r="AL60" s="57">
        <f>[14]January_2019!V5</f>
        <v>0</v>
      </c>
      <c r="AM60" s="57">
        <f>[14]January_2019!W5</f>
        <v>0</v>
      </c>
      <c r="AN60" s="57">
        <f>[14]January_2019!X5</f>
        <v>0</v>
      </c>
      <c r="AO60" s="57">
        <f>[14]January_2019!Y5</f>
        <v>0</v>
      </c>
      <c r="AP60" s="57">
        <f>[14]January_2019!Z5</f>
        <v>0</v>
      </c>
      <c r="AQ60" s="57">
        <f>[14]January_2019!AA5</f>
        <v>0</v>
      </c>
      <c r="AR60" s="57">
        <f>[14]January_2019!AB5</f>
        <v>0</v>
      </c>
      <c r="AS60" s="57">
        <f>[14]January_2019!AC5</f>
        <v>0</v>
      </c>
      <c r="AT60" s="57">
        <f>[14]January_2019!AD5</f>
        <v>0</v>
      </c>
      <c r="AU60" s="57">
        <f>[14]January_2019!AE5</f>
        <v>0</v>
      </c>
      <c r="AV60" s="57">
        <f>[14]January_2019!AF5</f>
        <v>0</v>
      </c>
      <c r="AW60" s="57">
        <f>[14]January_2019!AG5</f>
        <v>0</v>
      </c>
      <c r="AX60" s="277">
        <f>[14]January_2019!AH5</f>
        <v>0</v>
      </c>
      <c r="AY60" s="277"/>
      <c r="AZ60" s="277"/>
      <c r="BA60" s="277"/>
      <c r="BB60" s="277"/>
      <c r="BC60" s="277"/>
      <c r="BD60" s="277"/>
      <c r="BE60" s="277"/>
    </row>
    <row r="61" spans="1:57" s="54" customFormat="1" ht="14.25" customHeight="1" thickBot="1">
      <c r="B61" s="480"/>
      <c r="C61" s="479"/>
      <c r="D61" s="442"/>
      <c r="E61" s="443"/>
      <c r="F61" s="444"/>
      <c r="G61" s="445"/>
      <c r="H61" s="458"/>
      <c r="I61" s="458"/>
      <c r="J61" s="476"/>
      <c r="K61" s="44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>
        <f>[14]January_2019!L6</f>
        <v>0</v>
      </c>
      <c r="AC61" s="57">
        <f>[14]January_2019!M6</f>
        <v>0</v>
      </c>
      <c r="AD61" s="57">
        <f>[14]January_2019!N6</f>
        <v>0</v>
      </c>
      <c r="AE61" s="57">
        <f>[14]January_2019!O6</f>
        <v>0</v>
      </c>
      <c r="AF61" s="57">
        <f>[14]January_2019!P6</f>
        <v>0</v>
      </c>
      <c r="AG61" s="57">
        <f>[14]January_2019!Q6</f>
        <v>0</v>
      </c>
      <c r="AH61" s="57">
        <f>[14]January_2019!R6</f>
        <v>0</v>
      </c>
      <c r="AI61" s="57">
        <f>[14]January_2019!S6</f>
        <v>0</v>
      </c>
      <c r="AJ61" s="57">
        <f>[14]January_2019!T6</f>
        <v>0</v>
      </c>
      <c r="AK61" s="57">
        <f>[14]January_2019!U6</f>
        <v>0</v>
      </c>
      <c r="AL61" s="57">
        <f>[14]January_2019!V6</f>
        <v>0</v>
      </c>
      <c r="AM61" s="57">
        <f>[14]January_2019!W6</f>
        <v>0</v>
      </c>
      <c r="AN61" s="57">
        <f>[14]January_2019!X6</f>
        <v>0</v>
      </c>
      <c r="AO61" s="57">
        <f>[14]January_2019!Y6</f>
        <v>0</v>
      </c>
      <c r="AP61" s="57">
        <f>[14]January_2019!Z6</f>
        <v>0</v>
      </c>
      <c r="AQ61" s="57">
        <f>[14]January_2019!AA6</f>
        <v>0</v>
      </c>
      <c r="AR61" s="57">
        <f>[14]January_2019!AB6</f>
        <v>0</v>
      </c>
      <c r="AS61" s="57">
        <f>[14]January_2019!AC6</f>
        <v>0</v>
      </c>
      <c r="AT61" s="57">
        <f>[14]January_2019!AD6</f>
        <v>0</v>
      </c>
      <c r="AU61" s="57">
        <f>[14]January_2019!AE6</f>
        <v>0</v>
      </c>
      <c r="AV61" s="57">
        <f>[14]January_2019!AF6</f>
        <v>0</v>
      </c>
      <c r="AW61" s="57">
        <f>[14]January_2019!AG6</f>
        <v>0</v>
      </c>
      <c r="AX61" s="277">
        <f>[14]January_2019!AH6</f>
        <v>0</v>
      </c>
      <c r="AY61" s="277"/>
      <c r="AZ61" s="277"/>
      <c r="BA61" s="277"/>
      <c r="BB61" s="277"/>
      <c r="BC61" s="277"/>
      <c r="BD61" s="277"/>
      <c r="BE61" s="277"/>
    </row>
    <row r="62" spans="1:57" s="54" customFormat="1" ht="37.15" hidden="1" customHeight="1" thickBot="1">
      <c r="A62" s="54" t="s">
        <v>168</v>
      </c>
      <c r="B62" s="480"/>
      <c r="C62" s="479"/>
      <c r="D62" s="442"/>
      <c r="E62" s="443"/>
      <c r="F62" s="444"/>
      <c r="G62" s="445"/>
      <c r="H62" s="458"/>
      <c r="I62" s="458"/>
      <c r="J62" s="448"/>
      <c r="K62" s="449"/>
      <c r="L62" s="457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>
        <f>[14]January_2019!L7</f>
        <v>285.8</v>
      </c>
      <c r="AC62" s="57">
        <f>[14]January_2019!M7</f>
        <v>508.1</v>
      </c>
      <c r="AD62" s="57">
        <f>[14]January_2019!N7</f>
        <v>0</v>
      </c>
      <c r="AE62" s="57">
        <f>[14]January_2019!O7</f>
        <v>0</v>
      </c>
      <c r="AF62" s="57">
        <f>[14]January_2019!P7</f>
        <v>109.56666666666666</v>
      </c>
      <c r="AG62" s="57">
        <f>[14]January_2019!Q7</f>
        <v>297.64999999999998</v>
      </c>
      <c r="AH62" s="57">
        <f>[14]January_2019!R7</f>
        <v>122.3</v>
      </c>
      <c r="AI62" s="57">
        <f>[14]January_2019!S7</f>
        <v>0</v>
      </c>
      <c r="AJ62" s="57">
        <f>[14]January_2019!T7</f>
        <v>294.7</v>
      </c>
      <c r="AK62" s="57">
        <f>[14]January_2019!U7</f>
        <v>280.5</v>
      </c>
      <c r="AL62" s="57">
        <f>[14]January_2019!V7</f>
        <v>0</v>
      </c>
      <c r="AM62" s="57">
        <f>[14]January_2019!W7</f>
        <v>0</v>
      </c>
      <c r="AN62" s="57">
        <f>[14]January_2019!X7</f>
        <v>188.25</v>
      </c>
      <c r="AO62" s="57">
        <f>[14]January_2019!Y7</f>
        <v>295.7</v>
      </c>
      <c r="AP62" s="57">
        <f>[14]January_2019!Z7</f>
        <v>257.8</v>
      </c>
      <c r="AQ62" s="57">
        <f>[14]January_2019!AA7</f>
        <v>291.2</v>
      </c>
      <c r="AR62" s="57">
        <f>[14]January_2019!AB7</f>
        <v>187</v>
      </c>
      <c r="AS62" s="57">
        <f>[14]January_2019!AC7</f>
        <v>0</v>
      </c>
      <c r="AT62" s="57">
        <f>[14]January_2019!AD7</f>
        <v>0</v>
      </c>
      <c r="AU62" s="57">
        <f>[14]January_2019!AE7</f>
        <v>485.1</v>
      </c>
      <c r="AV62" s="57">
        <f>[14]January_2019!AF7</f>
        <v>171.55</v>
      </c>
      <c r="AW62" s="57">
        <f>[14]January_2019!AG7</f>
        <v>423.8</v>
      </c>
      <c r="AX62" s="277">
        <f>[14]January_2019!AH7</f>
        <v>0</v>
      </c>
      <c r="AY62" s="277"/>
      <c r="AZ62" s="277"/>
      <c r="BA62" s="277"/>
      <c r="BB62" s="277"/>
      <c r="BC62" s="277"/>
      <c r="BD62" s="277"/>
      <c r="BE62" s="277"/>
    </row>
    <row r="63" spans="1:57" s="54" customFormat="1" ht="19.5" hidden="1" customHeight="1" thickBot="1">
      <c r="B63" s="478"/>
      <c r="C63" s="430"/>
      <c r="D63" s="431"/>
      <c r="E63" s="432"/>
      <c r="F63" s="433"/>
      <c r="G63" s="434"/>
      <c r="H63" s="458"/>
      <c r="I63" s="458"/>
      <c r="J63" s="451"/>
      <c r="K63" s="436"/>
      <c r="L63" s="452"/>
      <c r="M63" s="421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1:57" s="54" customFormat="1" ht="38.450000000000003" hidden="1" customHeight="1" thickBot="1">
      <c r="B64" s="480"/>
      <c r="C64" s="479"/>
      <c r="D64" s="442"/>
      <c r="E64" s="443"/>
      <c r="F64" s="444"/>
      <c r="G64" s="445"/>
      <c r="H64" s="458"/>
      <c r="I64" s="458"/>
      <c r="J64" s="448" t="s">
        <v>171</v>
      </c>
      <c r="K64" s="459"/>
      <c r="L64" s="457" t="e">
        <f>(((D64+E64)-G64)/(D64+E64))*100</f>
        <v>#DIV/0!</v>
      </c>
      <c r="M64" s="455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15" hidden="1">
      <c r="B65" s="453"/>
      <c r="C65" s="430"/>
      <c r="D65" s="431"/>
      <c r="E65" s="432"/>
      <c r="F65" s="433"/>
      <c r="G65" s="434"/>
      <c r="H65" s="435"/>
      <c r="I65" s="450"/>
      <c r="J65" s="451"/>
      <c r="K65" s="436"/>
      <c r="L65" s="452"/>
      <c r="M65" s="421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37.15" hidden="1" customHeight="1" thickBot="1">
      <c r="B66" s="480"/>
      <c r="C66" s="479"/>
      <c r="D66" s="442"/>
      <c r="E66" s="443"/>
      <c r="F66" s="444"/>
      <c r="G66" s="445"/>
      <c r="H66" s="446"/>
      <c r="I66" s="447"/>
      <c r="J66" s="448"/>
      <c r="K66" s="449"/>
      <c r="L66" s="457"/>
      <c r="M66" s="455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16.5" hidden="1" customHeight="1" thickBot="1">
      <c r="B67" s="437"/>
      <c r="C67" s="423"/>
      <c r="D67" s="424"/>
      <c r="E67" s="425"/>
      <c r="F67" s="426"/>
      <c r="G67" s="427"/>
      <c r="H67" s="428"/>
      <c r="I67" s="438"/>
      <c r="J67" s="439"/>
      <c r="K67" s="429"/>
      <c r="L67" s="440"/>
      <c r="M67" s="422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415"/>
      <c r="AC67" s="415"/>
      <c r="AD67" s="415"/>
      <c r="AE67" s="415"/>
      <c r="AF67" s="415"/>
      <c r="AG67" s="415"/>
      <c r="AH67" s="415"/>
      <c r="AI67" s="415"/>
      <c r="AJ67" s="415"/>
      <c r="AK67" s="415"/>
      <c r="AL67" s="415"/>
      <c r="AM67" s="415"/>
      <c r="AN67" s="415"/>
      <c r="AO67" s="415"/>
      <c r="AP67" s="415"/>
      <c r="AQ67" s="415"/>
      <c r="AR67" s="415"/>
      <c r="AS67" s="415"/>
      <c r="AT67" s="415"/>
      <c r="AU67" s="415"/>
      <c r="AV67" s="415"/>
      <c r="AW67" s="415"/>
    </row>
    <row r="68" spans="2:57" s="54" customFormat="1" ht="37.15" hidden="1" customHeight="1" thickBot="1">
      <c r="B68" s="456"/>
      <c r="C68" s="441"/>
      <c r="D68" s="442"/>
      <c r="E68" s="443"/>
      <c r="F68" s="444"/>
      <c r="G68" s="445"/>
      <c r="H68" s="446"/>
      <c r="I68" s="447"/>
      <c r="J68" s="448"/>
      <c r="K68" s="449"/>
      <c r="L68" s="457"/>
      <c r="M68" s="454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277"/>
      <c r="AY68" s="277"/>
      <c r="AZ68" s="277"/>
      <c r="BA68" s="277"/>
      <c r="BB68" s="277"/>
      <c r="BC68" s="277"/>
      <c r="BD68" s="277"/>
      <c r="BE68" s="277"/>
    </row>
    <row r="69" spans="2:57" s="54" customFormat="1" ht="37.15" customHeight="1">
      <c r="B69" s="466"/>
      <c r="C69" s="430"/>
      <c r="D69" s="460"/>
      <c r="E69" s="461"/>
      <c r="F69" s="462"/>
      <c r="G69" s="460"/>
      <c r="H69" s="463"/>
      <c r="I69" s="463"/>
      <c r="J69" s="463"/>
      <c r="K69" s="464"/>
      <c r="L69" s="465"/>
      <c r="M69" s="50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277"/>
      <c r="AY69" s="277"/>
      <c r="AZ69" s="277"/>
      <c r="BA69" s="277"/>
      <c r="BB69" s="277"/>
      <c r="BC69" s="277"/>
      <c r="BD69" s="277"/>
      <c r="BE69" s="277"/>
    </row>
    <row r="70" spans="2:57" ht="18" customHeight="1" thickBot="1">
      <c r="B70" s="59"/>
      <c r="C70" s="30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 t="s">
        <v>41</v>
      </c>
      <c r="O70" s="56"/>
      <c r="P70" s="60"/>
    </row>
    <row r="71" spans="2:57" ht="15.75" thickBot="1">
      <c r="B71" s="498" t="s">
        <v>55</v>
      </c>
      <c r="C71" s="499"/>
      <c r="D71" s="499"/>
      <c r="E71" s="499"/>
      <c r="F71" s="500"/>
      <c r="G71" s="498" t="s">
        <v>56</v>
      </c>
      <c r="H71" s="499"/>
      <c r="I71" s="499"/>
      <c r="J71" s="500"/>
      <c r="K71" s="498" t="s">
        <v>51</v>
      </c>
      <c r="L71" s="499"/>
      <c r="M71" s="499"/>
      <c r="N71" s="501"/>
      <c r="O71" s="56"/>
      <c r="P71" s="50"/>
    </row>
    <row r="72" spans="2:57" ht="15">
      <c r="B72" s="61" t="s">
        <v>17</v>
      </c>
      <c r="C72" s="62" t="s">
        <v>36</v>
      </c>
      <c r="D72" s="62" t="s">
        <v>37</v>
      </c>
      <c r="E72" s="62" t="s">
        <v>38</v>
      </c>
      <c r="F72" s="63" t="s">
        <v>39</v>
      </c>
      <c r="G72" s="62" t="s">
        <v>36</v>
      </c>
      <c r="H72" s="62" t="s">
        <v>37</v>
      </c>
      <c r="I72" s="62" t="s">
        <v>38</v>
      </c>
      <c r="J72" s="63" t="s">
        <v>39</v>
      </c>
      <c r="K72" s="62"/>
      <c r="L72" s="62" t="s">
        <v>37</v>
      </c>
      <c r="M72" s="62" t="s">
        <v>38</v>
      </c>
      <c r="N72" s="63" t="s">
        <v>39</v>
      </c>
      <c r="O72" s="56"/>
      <c r="P72" s="64"/>
    </row>
    <row r="73" spans="2:57" ht="15">
      <c r="B73" s="29" t="s">
        <v>6</v>
      </c>
      <c r="C73" s="282"/>
      <c r="D73" s="76">
        <v>6.1995693428930156</v>
      </c>
      <c r="E73" s="76">
        <v>6.6688605778438586</v>
      </c>
      <c r="F73" s="66">
        <v>4.8</v>
      </c>
      <c r="G73" s="65"/>
      <c r="H73" s="477">
        <v>5.5404180500469851</v>
      </c>
      <c r="I73" s="477">
        <v>6.3637936742130208</v>
      </c>
      <c r="J73" s="66">
        <v>4.8</v>
      </c>
      <c r="K73" s="67"/>
      <c r="L73" s="194">
        <v>0.79053411306042887</v>
      </c>
      <c r="M73" s="194">
        <v>0.51798031256288712</v>
      </c>
      <c r="N73" s="68">
        <v>1</v>
      </c>
      <c r="O73" s="56"/>
      <c r="P73" s="69"/>
    </row>
    <row r="74" spans="2:57" ht="15">
      <c r="B74" s="33" t="s">
        <v>9</v>
      </c>
      <c r="C74" s="65"/>
      <c r="D74" s="76">
        <v>5.4205694148196484</v>
      </c>
      <c r="E74" s="76">
        <v>6.0838074055063762</v>
      </c>
      <c r="F74" s="66">
        <v>4.8</v>
      </c>
      <c r="G74" s="65"/>
      <c r="H74" s="76">
        <v>4.7095292144811189</v>
      </c>
      <c r="I74" s="76">
        <v>5.7641608626401819</v>
      </c>
      <c r="J74" s="66">
        <v>4.8</v>
      </c>
      <c r="K74" s="67"/>
      <c r="L74" s="194">
        <v>0.91543859649122816</v>
      </c>
      <c r="M74" s="194">
        <v>0.72493688613389817</v>
      </c>
      <c r="N74" s="68">
        <v>1</v>
      </c>
      <c r="P74" s="69"/>
    </row>
    <row r="75" spans="2:57" ht="15">
      <c r="B75" s="34" t="s">
        <v>40</v>
      </c>
      <c r="C75" s="65"/>
      <c r="D75" s="76">
        <v>10.917759237187118</v>
      </c>
      <c r="E75" s="76">
        <v>12.019739161085637</v>
      </c>
      <c r="F75" s="66">
        <v>5.5</v>
      </c>
      <c r="G75" s="65"/>
      <c r="H75" s="76">
        <v>10.858502880677971</v>
      </c>
      <c r="I75" s="76">
        <v>13.201587402597006</v>
      </c>
      <c r="J75" s="66">
        <v>5.5</v>
      </c>
      <c r="K75" s="67"/>
      <c r="L75" s="194">
        <v>0.16390350877192983</v>
      </c>
      <c r="M75" s="194">
        <v>0.2727383040935672</v>
      </c>
      <c r="N75" s="68">
        <v>1</v>
      </c>
      <c r="P75" s="69"/>
    </row>
    <row r="76" spans="2:57" ht="15">
      <c r="B76" s="22" t="s">
        <v>33</v>
      </c>
      <c r="C76" s="65"/>
      <c r="D76" s="76"/>
      <c r="E76" s="76">
        <v>4.601418358346991</v>
      </c>
      <c r="F76" s="66">
        <v>3.3</v>
      </c>
      <c r="G76" s="65"/>
      <c r="H76" s="76"/>
      <c r="I76" s="76">
        <v>4.3274739720788533</v>
      </c>
      <c r="J76" s="66">
        <v>3.3</v>
      </c>
      <c r="K76" s="67"/>
      <c r="L76" s="194"/>
      <c r="M76" s="194">
        <v>0.8292543859649123</v>
      </c>
      <c r="N76" s="68">
        <v>1</v>
      </c>
      <c r="P76" s="69"/>
    </row>
    <row r="77" spans="2:57" ht="15">
      <c r="B77" s="35" t="s">
        <v>164</v>
      </c>
      <c r="C77" s="65"/>
      <c r="D77" s="76"/>
      <c r="E77" s="76"/>
      <c r="F77" s="66">
        <v>3.3</v>
      </c>
      <c r="G77" s="282"/>
      <c r="H77" s="76"/>
      <c r="I77" s="76"/>
      <c r="J77" s="66">
        <v>3</v>
      </c>
      <c r="K77" s="67"/>
      <c r="L77" s="194"/>
      <c r="M77" s="194"/>
      <c r="N77" s="68">
        <v>1</v>
      </c>
      <c r="P77" s="69"/>
    </row>
    <row r="78" spans="2:57" ht="15">
      <c r="B78" s="36" t="s">
        <v>15</v>
      </c>
      <c r="C78" s="65"/>
      <c r="D78" s="76"/>
      <c r="E78" s="76">
        <v>5.1105651105651271</v>
      </c>
      <c r="F78" s="70">
        <f>[15]May_2022!$M$43</f>
        <v>3.4878406700073312</v>
      </c>
      <c r="G78" s="282"/>
      <c r="H78" s="76"/>
      <c r="I78" s="76">
        <v>7.9131369535794072</v>
      </c>
      <c r="J78" s="66">
        <v>5.5</v>
      </c>
      <c r="K78" s="67"/>
      <c r="L78" s="194"/>
      <c r="M78" s="194">
        <v>1.3550877192982456</v>
      </c>
      <c r="N78" s="68">
        <v>1</v>
      </c>
      <c r="P78" s="69"/>
    </row>
    <row r="79" spans="2:57" ht="15">
      <c r="B79" s="37" t="s">
        <v>16</v>
      </c>
      <c r="C79" s="65"/>
      <c r="D79" s="76">
        <v>2.744050509956292</v>
      </c>
      <c r="E79" s="76">
        <v>3.7431500795474548</v>
      </c>
      <c r="F79" s="66">
        <v>3.3</v>
      </c>
      <c r="G79" s="282"/>
      <c r="H79" s="76">
        <v>4.0188417648776724</v>
      </c>
      <c r="I79" s="76">
        <v>4.8236555171494695</v>
      </c>
      <c r="J79" s="66">
        <v>3.3</v>
      </c>
      <c r="K79" s="67"/>
      <c r="L79" s="194">
        <v>0.70263157894736838</v>
      </c>
      <c r="M79" s="194">
        <v>0.89457115009746591</v>
      </c>
      <c r="N79" s="71">
        <v>1</v>
      </c>
      <c r="P79" s="69"/>
    </row>
    <row r="80" spans="2:57" ht="15.75" thickBot="1">
      <c r="B80" s="38" t="s">
        <v>163</v>
      </c>
      <c r="C80" s="65"/>
      <c r="D80" s="76"/>
      <c r="E80" s="76"/>
      <c r="F80" s="66">
        <v>7.5</v>
      </c>
      <c r="G80" s="282"/>
      <c r="H80" s="76"/>
      <c r="I80" s="76"/>
      <c r="J80" s="66">
        <v>7.5</v>
      </c>
      <c r="K80" s="67"/>
      <c r="L80" s="194"/>
      <c r="M80" s="194"/>
      <c r="N80" s="71">
        <v>1</v>
      </c>
      <c r="P80" s="69"/>
    </row>
    <row r="81" spans="2:16" ht="15.75" thickBot="1">
      <c r="B81" s="414" t="s">
        <v>161</v>
      </c>
      <c r="C81" s="65"/>
      <c r="D81" s="76"/>
      <c r="E81" s="76"/>
      <c r="F81" s="66">
        <v>4.8</v>
      </c>
      <c r="G81" s="282"/>
      <c r="H81" s="76"/>
      <c r="I81" s="76"/>
      <c r="J81" s="66">
        <v>4.8</v>
      </c>
      <c r="K81" s="67"/>
      <c r="L81" s="194"/>
      <c r="M81" s="194"/>
      <c r="N81" s="71">
        <v>1</v>
      </c>
      <c r="O81" s="74"/>
      <c r="P81" s="75"/>
    </row>
    <row r="82" spans="2:16" ht="15">
      <c r="D82" s="76">
        <v>6.0438037149986501</v>
      </c>
      <c r="E82" s="76">
        <v>6.4730616420162699</v>
      </c>
      <c r="F82" s="341">
        <v>5.5</v>
      </c>
      <c r="H82" s="76">
        <v>5.6913539691620514</v>
      </c>
      <c r="I82" s="76">
        <v>6.528841873126626</v>
      </c>
      <c r="J82" s="341">
        <v>5.5</v>
      </c>
      <c r="L82" s="194">
        <v>0.77859437946718646</v>
      </c>
      <c r="M82" s="194">
        <v>0.59503086476353495</v>
      </c>
      <c r="N82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9:N29"/>
    <mergeCell ref="D30:E30"/>
    <mergeCell ref="B31:B42"/>
    <mergeCell ref="D31:E32"/>
    <mergeCell ref="D33:E34"/>
    <mergeCell ref="D35:E36"/>
    <mergeCell ref="D37:E38"/>
    <mergeCell ref="D39:E40"/>
    <mergeCell ref="D41:E42"/>
    <mergeCell ref="B43:B52"/>
    <mergeCell ref="D43:E44"/>
    <mergeCell ref="J43:K43"/>
    <mergeCell ref="L44:N44"/>
    <mergeCell ref="D45:E46"/>
    <mergeCell ref="D47:E48"/>
    <mergeCell ref="D49:E50"/>
    <mergeCell ref="D51:E52"/>
    <mergeCell ref="D53:E53"/>
    <mergeCell ref="B58:B59"/>
    <mergeCell ref="C58:C59"/>
    <mergeCell ref="D58:D59"/>
    <mergeCell ref="E58:E59"/>
    <mergeCell ref="M58:M59"/>
    <mergeCell ref="B71:F71"/>
    <mergeCell ref="G71:J71"/>
    <mergeCell ref="K71:N71"/>
    <mergeCell ref="G58:G59"/>
    <mergeCell ref="H58:H59"/>
    <mergeCell ref="I58:I59"/>
    <mergeCell ref="J58:J59"/>
    <mergeCell ref="K58:K59"/>
    <mergeCell ref="L58:L59"/>
    <mergeCell ref="F58:F59"/>
  </mergeCells>
  <conditionalFormatting sqref="B53:B54">
    <cfRule type="cellIs" dxfId="171" priority="76" operator="notBetween">
      <formula>#REF!</formula>
      <formula>#REF!</formula>
    </cfRule>
  </conditionalFormatting>
  <conditionalFormatting sqref="C57">
    <cfRule type="cellIs" dxfId="170" priority="170" stopIfTrue="1" operator="lessThan">
      <formula>96</formula>
    </cfRule>
    <cfRule type="cellIs" dxfId="169" priority="171" stopIfTrue="1" operator="greaterThan">
      <formula>100</formula>
    </cfRule>
  </conditionalFormatting>
  <conditionalFormatting sqref="C73:C77">
    <cfRule type="cellIs" dxfId="168" priority="139" stopIfTrue="1" operator="lessThanOrEqual">
      <formula>0</formula>
    </cfRule>
  </conditionalFormatting>
  <conditionalFormatting sqref="C73:C81">
    <cfRule type="cellIs" dxfId="167" priority="138" stopIfTrue="1" operator="greaterThan">
      <formula>$F73</formula>
    </cfRule>
  </conditionalFormatting>
  <conditionalFormatting sqref="C74">
    <cfRule type="cellIs" dxfId="166" priority="172" stopIfTrue="1" operator="greaterThan">
      <formula>$F73</formula>
    </cfRule>
  </conditionalFormatting>
  <conditionalFormatting sqref="C78">
    <cfRule type="cellIs" dxfId="165" priority="101" stopIfTrue="1" operator="greaterThan">
      <formula>$F77</formula>
    </cfRule>
    <cfRule type="cellIs" dxfId="164" priority="100" stopIfTrue="1" operator="lessThanOrEqual">
      <formula>0</formula>
    </cfRule>
  </conditionalFormatting>
  <conditionalFormatting sqref="C79:C81">
    <cfRule type="cellIs" dxfId="163" priority="140" stopIfTrue="1" operator="lessThanOrEqual">
      <formula>0</formula>
    </cfRule>
  </conditionalFormatting>
  <conditionalFormatting sqref="C84:C88">
    <cfRule type="cellIs" dxfId="162" priority="162" stopIfTrue="1" operator="lessThanOrEqual">
      <formula>0</formula>
    </cfRule>
  </conditionalFormatting>
  <conditionalFormatting sqref="C85:C88">
    <cfRule type="cellIs" dxfId="161" priority="161" stopIfTrue="1" operator="greaterThan">
      <formula>$F$84</formula>
    </cfRule>
  </conditionalFormatting>
  <conditionalFormatting sqref="C90">
    <cfRule type="cellIs" dxfId="160" priority="163" stopIfTrue="1" operator="greaterThan">
      <formula>$F$84</formula>
    </cfRule>
    <cfRule type="cellIs" dxfId="159" priority="164" stopIfTrue="1" operator="lessThanOrEqual">
      <formula>0</formula>
    </cfRule>
  </conditionalFormatting>
  <conditionalFormatting sqref="C84:D84 D86:D92">
    <cfRule type="cellIs" dxfId="158" priority="156" stopIfTrue="1" operator="greaterThan">
      <formula>4.5</formula>
    </cfRule>
  </conditionalFormatting>
  <conditionalFormatting sqref="D53:D54">
    <cfRule type="cellIs" dxfId="157" priority="77" operator="notBetween">
      <formula>#REF!</formula>
      <formula>#REF!</formula>
    </cfRule>
  </conditionalFormatting>
  <conditionalFormatting sqref="D73:D80">
    <cfRule type="cellIs" dxfId="156" priority="51" stopIfTrue="1" operator="lessThanOrEqual">
      <formula>0</formula>
    </cfRule>
  </conditionalFormatting>
  <conditionalFormatting sqref="D73:D82">
    <cfRule type="cellIs" dxfId="155" priority="34" stopIfTrue="1" operator="lessThanOrEqual">
      <formula>0</formula>
    </cfRule>
  </conditionalFormatting>
  <conditionalFormatting sqref="D81">
    <cfRule type="cellIs" dxfId="154" priority="50" stopIfTrue="1" operator="lessThanOrEqual">
      <formula>0</formula>
    </cfRule>
  </conditionalFormatting>
  <conditionalFormatting sqref="D82">
    <cfRule type="cellIs" dxfId="153" priority="47" stopIfTrue="1" operator="lessThanOrEqual">
      <formula>0</formula>
    </cfRule>
  </conditionalFormatting>
  <conditionalFormatting sqref="D84 D86:D92">
    <cfRule type="cellIs" dxfId="152" priority="157" stopIfTrue="1" operator="lessThanOrEqual">
      <formula>0</formula>
    </cfRule>
  </conditionalFormatting>
  <conditionalFormatting sqref="D85">
    <cfRule type="cellIs" dxfId="151" priority="149" stopIfTrue="1" operator="lessThanOrEqual">
      <formula>0</formula>
    </cfRule>
    <cfRule type="cellIs" dxfId="150" priority="148" stopIfTrue="1" operator="greaterThan">
      <formula>$F$84</formula>
    </cfRule>
  </conditionalFormatting>
  <conditionalFormatting sqref="D73:E82">
    <cfRule type="cellIs" dxfId="149" priority="36" stopIfTrue="1" operator="greaterThan">
      <formula>$F73</formula>
    </cfRule>
  </conditionalFormatting>
  <conditionalFormatting sqref="D82:E82">
    <cfRule type="cellIs" dxfId="148" priority="38" stopIfTrue="1" operator="lessThanOrEqual">
      <formula>0</formula>
    </cfRule>
  </conditionalFormatting>
  <conditionalFormatting sqref="E10:E28">
    <cfRule type="cellIs" dxfId="147" priority="7" operator="lessThan">
      <formula>48</formula>
    </cfRule>
  </conditionalFormatting>
  <conditionalFormatting sqref="E56 E57:F57">
    <cfRule type="cellIs" dxfId="146" priority="153" stopIfTrue="1" operator="greaterThan">
      <formula>100</formula>
    </cfRule>
  </conditionalFormatting>
  <conditionalFormatting sqref="E57">
    <cfRule type="cellIs" dxfId="145" priority="150" stopIfTrue="1" operator="lessThan">
      <formula>96.8</formula>
    </cfRule>
    <cfRule type="cellIs" dxfId="144" priority="151" stopIfTrue="1" operator="greaterThan">
      <formula>100</formula>
    </cfRule>
  </conditionalFormatting>
  <conditionalFormatting sqref="E73:E81">
    <cfRule type="cellIs" dxfId="143" priority="35" stopIfTrue="1" operator="lessThanOrEqual">
      <formula>0</formula>
    </cfRule>
  </conditionalFormatting>
  <conditionalFormatting sqref="E73:E82">
    <cfRule type="cellIs" dxfId="142" priority="37" stopIfTrue="1" operator="lessThanOrEqual">
      <formula>0</formula>
    </cfRule>
  </conditionalFormatting>
  <conditionalFormatting sqref="E84:E92">
    <cfRule type="cellIs" dxfId="141" priority="142" stopIfTrue="1" operator="greaterThan">
      <formula>4.5</formula>
    </cfRule>
    <cfRule type="cellIs" dxfId="140" priority="143" stopIfTrue="1" operator="lessThanOrEqual">
      <formula>0</formula>
    </cfRule>
  </conditionalFormatting>
  <conditionalFormatting sqref="E57:F57 E56">
    <cfRule type="cellIs" dxfId="139" priority="152" stopIfTrue="1" operator="lessThan">
      <formula>96.5</formula>
    </cfRule>
  </conditionalFormatting>
  <conditionalFormatting sqref="F10:F28">
    <cfRule type="cellIs" dxfId="138" priority="12" operator="greaterThan">
      <formula>60</formula>
    </cfRule>
  </conditionalFormatting>
  <conditionalFormatting sqref="F57">
    <cfRule type="cellIs" dxfId="137" priority="168" stopIfTrue="1" operator="lessThan">
      <formula>96.8</formula>
    </cfRule>
    <cfRule type="cellIs" dxfId="136" priority="169" stopIfTrue="1" operator="greaterThan">
      <formula>100</formula>
    </cfRule>
  </conditionalFormatting>
  <conditionalFormatting sqref="F82">
    <cfRule type="cellIs" dxfId="135" priority="48" stopIfTrue="1" operator="greaterThan">
      <formula>$F82</formula>
    </cfRule>
    <cfRule type="cellIs" dxfId="134" priority="49" stopIfTrue="1" operator="lessThanOrEqual">
      <formula>0</formula>
    </cfRule>
  </conditionalFormatting>
  <conditionalFormatting sqref="G10:G28">
    <cfRule type="expression" dxfId="133" priority="9">
      <formula>IF(+(IF(G10&lt;S10,0,IF(G10&gt;T10,0,1)))=0,1)</formula>
    </cfRule>
  </conditionalFormatting>
  <conditionalFormatting sqref="G73:G74">
    <cfRule type="cellIs" dxfId="132" priority="53" stopIfTrue="1" operator="lessThanOrEqual">
      <formula>0</formula>
    </cfRule>
    <cfRule type="cellIs" dxfId="131" priority="52" stopIfTrue="1" operator="greaterThan">
      <formula>$F73</formula>
    </cfRule>
  </conditionalFormatting>
  <conditionalFormatting sqref="G73:G76">
    <cfRule type="cellIs" dxfId="130" priority="16" stopIfTrue="1" operator="lessThanOrEqual">
      <formula>0</formula>
    </cfRule>
    <cfRule type="cellIs" dxfId="129" priority="15" stopIfTrue="1" operator="greaterThan">
      <formula>$F73</formula>
    </cfRule>
  </conditionalFormatting>
  <conditionalFormatting sqref="G75">
    <cfRule type="cellIs" dxfId="128" priority="13" stopIfTrue="1" operator="greaterThan">
      <formula>$F75</formula>
    </cfRule>
    <cfRule type="cellIs" dxfId="127" priority="14" stopIfTrue="1" operator="lessThanOrEqual">
      <formula>0</formula>
    </cfRule>
  </conditionalFormatting>
  <conditionalFormatting sqref="G76">
    <cfRule type="cellIs" dxfId="126" priority="43" stopIfTrue="1" operator="lessThanOrEqual">
      <formula>0</formula>
    </cfRule>
    <cfRule type="cellIs" dxfId="125" priority="42" stopIfTrue="1" operator="greaterThan">
      <formula>$F76</formula>
    </cfRule>
  </conditionalFormatting>
  <conditionalFormatting sqref="G77:G81">
    <cfRule type="cellIs" dxfId="124" priority="54" stopIfTrue="1" operator="greaterThan">
      <formula>$J77</formula>
    </cfRule>
    <cfRule type="cellIs" dxfId="123" priority="55" stopIfTrue="1" operator="lessThanOrEqual">
      <formula>0</formula>
    </cfRule>
  </conditionalFormatting>
  <conditionalFormatting sqref="G86:G91 C89 C91">
    <cfRule type="cellIs" dxfId="122" priority="165" stopIfTrue="1" operator="greaterThan">
      <formula>4.5</formula>
    </cfRule>
    <cfRule type="cellIs" dxfId="121" priority="166" stopIfTrue="1" operator="lessThanOrEqual">
      <formula>0</formula>
    </cfRule>
  </conditionalFormatting>
  <conditionalFormatting sqref="G85:H85">
    <cfRule type="cellIs" dxfId="120" priority="147" stopIfTrue="1" operator="lessThanOrEqual">
      <formula>0</formula>
    </cfRule>
    <cfRule type="cellIs" dxfId="119" priority="146" stopIfTrue="1" operator="greaterThan">
      <formula>$F$84</formula>
    </cfRule>
  </conditionalFormatting>
  <conditionalFormatting sqref="H10:H28">
    <cfRule type="expression" dxfId="118" priority="8">
      <formula>IF(+(IF(H10&lt;#REF!,0,IF(H10&gt;#REF!,0,1)))=0,1)</formula>
    </cfRule>
  </conditionalFormatting>
  <conditionalFormatting sqref="H42:H43 H56">
    <cfRule type="cellIs" dxfId="117" priority="144" stopIfTrue="1" operator="greaterThan">
      <formula>0</formula>
    </cfRule>
  </conditionalFormatting>
  <conditionalFormatting sqref="H60">
    <cfRule type="cellIs" dxfId="116" priority="30" stopIfTrue="1" operator="lessThanOrEqual">
      <formula>0</formula>
    </cfRule>
    <cfRule type="cellIs" dxfId="115" priority="18" stopIfTrue="1" operator="lessThanOrEqual">
      <formula>0</formula>
    </cfRule>
    <cfRule type="cellIs" dxfId="114" priority="19" stopIfTrue="1" operator="greaterThan">
      <formula>$F$70</formula>
    </cfRule>
    <cfRule type="cellIs" dxfId="113" priority="29" stopIfTrue="1" operator="greaterThan">
      <formula>$F$71</formula>
    </cfRule>
    <cfRule type="cellIs" dxfId="112" priority="28" stopIfTrue="1" operator="lessThanOrEqual">
      <formula>0</formula>
    </cfRule>
    <cfRule type="cellIs" dxfId="111" priority="27" stopIfTrue="1" operator="greaterThan">
      <formula>$F$73</formula>
    </cfRule>
  </conditionalFormatting>
  <conditionalFormatting sqref="H61:H64">
    <cfRule type="cellIs" dxfId="110" priority="59" stopIfTrue="1" operator="lessThanOrEqual">
      <formula>0</formula>
    </cfRule>
    <cfRule type="cellIs" dxfId="109" priority="60" stopIfTrue="1" operator="greaterThan">
      <formula>$F$73</formula>
    </cfRule>
    <cfRule type="cellIs" dxfId="108" priority="68" stopIfTrue="1" operator="greaterThan">
      <formula>$F$76</formula>
    </cfRule>
    <cfRule type="cellIs" dxfId="107" priority="69" stopIfTrue="1" operator="lessThanOrEqual">
      <formula>0</formula>
    </cfRule>
    <cfRule type="cellIs" dxfId="106" priority="70" stopIfTrue="1" operator="greaterThan">
      <formula>$F$74</formula>
    </cfRule>
    <cfRule type="cellIs" dxfId="105" priority="71" stopIfTrue="1" operator="lessThanOrEqual">
      <formula>0</formula>
    </cfRule>
  </conditionalFormatting>
  <conditionalFormatting sqref="H65:H66">
    <cfRule type="cellIs" dxfId="104" priority="115" stopIfTrue="1" operator="lessThanOrEqual">
      <formula>0</formula>
    </cfRule>
    <cfRule type="cellIs" dxfId="103" priority="113" stopIfTrue="1" operator="lessThanOrEqual">
      <formula>0</formula>
    </cfRule>
    <cfRule type="cellIs" dxfId="102" priority="103" stopIfTrue="1" operator="lessThanOrEqual">
      <formula>0</formula>
    </cfRule>
    <cfRule type="cellIs" dxfId="101" priority="112" stopIfTrue="1" operator="greaterThan">
      <formula>$F$28</formula>
    </cfRule>
    <cfRule type="cellIs" dxfId="100" priority="104" stopIfTrue="1" operator="greaterThan">
      <formula>#REF!</formula>
    </cfRule>
    <cfRule type="cellIs" dxfId="99" priority="114" stopIfTrue="1" operator="greaterThan">
      <formula>#REF!</formula>
    </cfRule>
  </conditionalFormatting>
  <conditionalFormatting sqref="H67">
    <cfRule type="cellIs" dxfId="98" priority="129" stopIfTrue="1" operator="lessThanOrEqual">
      <formula>0</formula>
    </cfRule>
    <cfRule type="cellIs" dxfId="97" priority="118" stopIfTrue="1" operator="greaterThan">
      <formula>$F$41</formula>
    </cfRule>
    <cfRule type="cellIs" dxfId="96" priority="117" stopIfTrue="1" operator="lessThanOrEqual">
      <formula>0</formula>
    </cfRule>
    <cfRule type="cellIs" dxfId="95" priority="128" stopIfTrue="1" operator="greaterThan">
      <formula>$F$42</formula>
    </cfRule>
    <cfRule type="cellIs" dxfId="94" priority="127" stopIfTrue="1" operator="lessThanOrEqual">
      <formula>0</formula>
    </cfRule>
    <cfRule type="cellIs" dxfId="93" priority="126" stopIfTrue="1" operator="greaterThan">
      <formula>$F$44</formula>
    </cfRule>
  </conditionalFormatting>
  <conditionalFormatting sqref="H68:H69">
    <cfRule type="cellIs" dxfId="92" priority="87" stopIfTrue="1" operator="lessThanOrEqual">
      <formula>0</formula>
    </cfRule>
    <cfRule type="cellIs" dxfId="91" priority="88" stopIfTrue="1" operator="greaterThan">
      <formula>#REF!</formula>
    </cfRule>
    <cfRule type="cellIs" dxfId="90" priority="98" stopIfTrue="1" operator="greaterThan">
      <formula>#REF!</formula>
    </cfRule>
    <cfRule type="cellIs" dxfId="89" priority="99" stopIfTrue="1" operator="lessThanOrEqual">
      <formula>0</formula>
    </cfRule>
    <cfRule type="cellIs" dxfId="88" priority="96" stopIfTrue="1" operator="greaterThan">
      <formula>$F$28</formula>
    </cfRule>
    <cfRule type="cellIs" dxfId="87" priority="97" stopIfTrue="1" operator="lessThanOrEqual">
      <formula>0</formula>
    </cfRule>
  </conditionalFormatting>
  <conditionalFormatting sqref="H84 H86:H92">
    <cfRule type="cellIs" dxfId="86" priority="158" stopIfTrue="1" operator="greaterThan">
      <formula>4.5</formula>
    </cfRule>
    <cfRule type="cellIs" dxfId="85" priority="159" stopIfTrue="1" operator="lessThanOrEqual">
      <formula>0</formula>
    </cfRule>
  </conditionalFormatting>
  <conditionalFormatting sqref="H60:I60">
    <cfRule type="cellIs" dxfId="84" priority="17" stopIfTrue="1" operator="greaterThan">
      <formula>$F$72</formula>
    </cfRule>
    <cfRule type="cellIs" dxfId="83" priority="20" stopIfTrue="1" operator="lessThanOrEqual">
      <formula>0</formula>
    </cfRule>
  </conditionalFormatting>
  <conditionalFormatting sqref="H61:I64">
    <cfRule type="cellIs" dxfId="82" priority="61" stopIfTrue="1" operator="lessThanOrEqual">
      <formula>0</formula>
    </cfRule>
    <cfRule type="cellIs" dxfId="81" priority="58" stopIfTrue="1" operator="greaterThan">
      <formula>$F$75</formula>
    </cfRule>
  </conditionalFormatting>
  <conditionalFormatting sqref="H65:I66">
    <cfRule type="cellIs" dxfId="80" priority="105" stopIfTrue="1" operator="lessThanOrEqual">
      <formula>0</formula>
    </cfRule>
    <cfRule type="cellIs" dxfId="79" priority="102" stopIfTrue="1" operator="greaterThan">
      <formula>#REF!</formula>
    </cfRule>
  </conditionalFormatting>
  <conditionalFormatting sqref="H67:I67">
    <cfRule type="cellIs" dxfId="78" priority="119" stopIfTrue="1" operator="lessThanOrEqual">
      <formula>0</formula>
    </cfRule>
    <cfRule type="cellIs" dxfId="77" priority="116" stopIfTrue="1" operator="greaterThan">
      <formula>$F$43</formula>
    </cfRule>
  </conditionalFormatting>
  <conditionalFormatting sqref="H68:I69">
    <cfRule type="cellIs" dxfId="76" priority="86" stopIfTrue="1" operator="greaterThan">
      <formula>#REF!</formula>
    </cfRule>
    <cfRule type="cellIs" dxfId="75" priority="89" stopIfTrue="1" operator="lessThanOrEqual">
      <formula>0</formula>
    </cfRule>
  </conditionalFormatting>
  <conditionalFormatting sqref="H73:I80">
    <cfRule type="cellIs" dxfId="74" priority="32" stopIfTrue="1" operator="greaterThan">
      <formula>$J73</formula>
    </cfRule>
    <cfRule type="cellIs" dxfId="73" priority="33" stopIfTrue="1" operator="lessThanOrEqual">
      <formula>0</formula>
    </cfRule>
  </conditionalFormatting>
  <conditionalFormatting sqref="H81:I81">
    <cfRule type="cellIs" dxfId="72" priority="41" operator="greaterThan">
      <formula>5.3</formula>
    </cfRule>
  </conditionalFormatting>
  <conditionalFormatting sqref="H82:I82">
    <cfRule type="cellIs" dxfId="71" priority="40" stopIfTrue="1" operator="lessThanOrEqual">
      <formula>0</formula>
    </cfRule>
    <cfRule type="cellIs" dxfId="70" priority="39" stopIfTrue="1" operator="greaterThan">
      <formula>$J82</formula>
    </cfRule>
  </conditionalFormatting>
  <conditionalFormatting sqref="I60">
    <cfRule type="cellIs" dxfId="69" priority="25" stopIfTrue="1" operator="greaterThan">
      <formula>$F$70</formula>
    </cfRule>
    <cfRule type="cellIs" dxfId="68" priority="26" stopIfTrue="1" operator="lessThanOrEqual">
      <formula>0</formula>
    </cfRule>
    <cfRule type="cellIs" dxfId="67" priority="22" stopIfTrue="1" operator="lessThanOrEqual">
      <formula>0</formula>
    </cfRule>
    <cfRule type="cellIs" dxfId="66" priority="21" stopIfTrue="1" operator="greaterThan">
      <formula>$F$70</formula>
    </cfRule>
    <cfRule type="cellIs" dxfId="65" priority="23" stopIfTrue="1" operator="greaterThan">
      <formula>$F$72</formula>
    </cfRule>
    <cfRule type="cellIs" dxfId="64" priority="24" stopIfTrue="1" operator="lessThanOrEqual">
      <formula>0</formula>
    </cfRule>
  </conditionalFormatting>
  <conditionalFormatting sqref="I61:I64">
    <cfRule type="cellIs" dxfId="63" priority="67" stopIfTrue="1" operator="lessThanOrEqual">
      <formula>0</formula>
    </cfRule>
    <cfRule type="cellIs" dxfId="62" priority="65" stopIfTrue="1" operator="lessThanOrEqual">
      <formula>0</formula>
    </cfRule>
    <cfRule type="cellIs" dxfId="61" priority="64" stopIfTrue="1" operator="greaterThan">
      <formula>$F$75</formula>
    </cfRule>
    <cfRule type="cellIs" dxfId="60" priority="63" stopIfTrue="1" operator="lessThanOrEqual">
      <formula>0</formula>
    </cfRule>
    <cfRule type="cellIs" dxfId="59" priority="62" stopIfTrue="1" operator="greaterThan">
      <formula>$F$73</formula>
    </cfRule>
    <cfRule type="cellIs" dxfId="58" priority="66" stopIfTrue="1" operator="greaterThan">
      <formula>$F$73</formula>
    </cfRule>
  </conditionalFormatting>
  <conditionalFormatting sqref="I65:I66">
    <cfRule type="cellIs" dxfId="57" priority="109" stopIfTrue="1" operator="lessThanOrEqual">
      <formula>0</formula>
    </cfRule>
    <cfRule type="cellIs" dxfId="56" priority="110" stopIfTrue="1" operator="greaterThan">
      <formula>#REF!</formula>
    </cfRule>
    <cfRule type="cellIs" dxfId="55" priority="111" stopIfTrue="1" operator="lessThanOrEqual">
      <formula>0</formula>
    </cfRule>
    <cfRule type="cellIs" dxfId="54" priority="108" stopIfTrue="1" operator="greaterThan">
      <formula>#REF!</formula>
    </cfRule>
    <cfRule type="cellIs" dxfId="53" priority="107" stopIfTrue="1" operator="lessThanOrEqual">
      <formula>0</formula>
    </cfRule>
    <cfRule type="cellIs" dxfId="52" priority="106" stopIfTrue="1" operator="greaterThan">
      <formula>#REF!</formula>
    </cfRule>
  </conditionalFormatting>
  <conditionalFormatting sqref="I67">
    <cfRule type="cellIs" dxfId="51" priority="125" stopIfTrue="1" operator="lessThanOrEqual">
      <formula>0</formula>
    </cfRule>
    <cfRule type="cellIs" dxfId="50" priority="120" stopIfTrue="1" operator="greaterThan">
      <formula>$F$41</formula>
    </cfRule>
    <cfRule type="cellIs" dxfId="49" priority="121" stopIfTrue="1" operator="lessThanOrEqual">
      <formula>0</formula>
    </cfRule>
    <cfRule type="cellIs" dxfId="48" priority="122" stopIfTrue="1" operator="greaterThan">
      <formula>$F$43</formula>
    </cfRule>
    <cfRule type="cellIs" dxfId="47" priority="123" stopIfTrue="1" operator="lessThanOrEqual">
      <formula>0</formula>
    </cfRule>
    <cfRule type="cellIs" dxfId="46" priority="124" stopIfTrue="1" operator="greaterThan">
      <formula>$F$41</formula>
    </cfRule>
  </conditionalFormatting>
  <conditionalFormatting sqref="I68:I69">
    <cfRule type="cellIs" dxfId="45" priority="93" stopIfTrue="1" operator="lessThanOrEqual">
      <formula>0</formula>
    </cfRule>
    <cfRule type="cellIs" dxfId="44" priority="95" stopIfTrue="1" operator="lessThanOrEqual">
      <formula>0</formula>
    </cfRule>
    <cfRule type="cellIs" dxfId="43" priority="92" stopIfTrue="1" operator="greaterThan">
      <formula>#REF!</formula>
    </cfRule>
    <cfRule type="cellIs" dxfId="42" priority="90" stopIfTrue="1" operator="greaterThan">
      <formula>#REF!</formula>
    </cfRule>
    <cfRule type="cellIs" dxfId="41" priority="91" stopIfTrue="1" operator="lessThanOrEqual">
      <formula>0</formula>
    </cfRule>
    <cfRule type="cellIs" dxfId="40" priority="94" stopIfTrue="1" operator="greaterThan">
      <formula>#REF!</formula>
    </cfRule>
  </conditionalFormatting>
  <conditionalFormatting sqref="I84:I92">
    <cfRule type="cellIs" dxfId="39" priority="155" stopIfTrue="1" operator="lessThanOrEqual">
      <formula>0</formula>
    </cfRule>
    <cfRule type="cellIs" dxfId="38" priority="154" stopIfTrue="1" operator="greaterThan">
      <formula>4.5</formula>
    </cfRule>
  </conditionalFormatting>
  <conditionalFormatting sqref="I10:J28">
    <cfRule type="cellIs" dxfId="37" priority="1" operator="lessThan">
      <formula>97.9</formula>
    </cfRule>
  </conditionalFormatting>
  <conditionalFormatting sqref="J31">
    <cfRule type="cellIs" dxfId="36" priority="57" operator="lessThan">
      <formula>97.95</formula>
    </cfRule>
  </conditionalFormatting>
  <conditionalFormatting sqref="J33">
    <cfRule type="cellIs" dxfId="35" priority="132" stopIfTrue="1" operator="greaterThan">
      <formula>100</formula>
    </cfRule>
    <cfRule type="cellIs" dxfId="34" priority="133" operator="lessThan">
      <formula>98</formula>
    </cfRule>
    <cfRule type="cellIs" dxfId="33" priority="131" stopIfTrue="1" operator="lessThan">
      <formula>96.8</formula>
    </cfRule>
  </conditionalFormatting>
  <conditionalFormatting sqref="J33:J35">
    <cfRule type="cellIs" dxfId="32" priority="130" operator="lessThan">
      <formula>97.4</formula>
    </cfRule>
  </conditionalFormatting>
  <conditionalFormatting sqref="J36:J37">
    <cfRule type="cellIs" dxfId="31" priority="134" operator="lessThan">
      <formula>98</formula>
    </cfRule>
  </conditionalFormatting>
  <conditionalFormatting sqref="J38:J39">
    <cfRule type="cellIs" dxfId="30" priority="136" stopIfTrue="1" operator="greaterThan">
      <formula>100</formula>
    </cfRule>
    <cfRule type="cellIs" dxfId="29" priority="135" stopIfTrue="1" operator="lessThan">
      <formula>96.8</formula>
    </cfRule>
  </conditionalFormatting>
  <conditionalFormatting sqref="J38:J40">
    <cfRule type="cellIs" dxfId="28" priority="137" operator="lessThan">
      <formula>98</formula>
    </cfRule>
  </conditionalFormatting>
  <conditionalFormatting sqref="J69">
    <cfRule type="cellIs" dxfId="27" priority="85" stopIfTrue="1" operator="lessThanOrEqual">
      <formula>0</formula>
    </cfRule>
    <cfRule type="cellIs" dxfId="26" priority="84" stopIfTrue="1" operator="greaterThan">
      <formula>#REF!</formula>
    </cfRule>
    <cfRule type="cellIs" dxfId="25" priority="82" stopIfTrue="1" operator="greaterThan">
      <formula>#REF!</formula>
    </cfRule>
    <cfRule type="cellIs" dxfId="24" priority="83" stopIfTrue="1" operator="lessThanOrEqual">
      <formula>0</formula>
    </cfRule>
    <cfRule type="cellIs" dxfId="23" priority="81" stopIfTrue="1" operator="lessThanOrEqual">
      <formula>0</formula>
    </cfRule>
    <cfRule type="cellIs" dxfId="22" priority="80" stopIfTrue="1" operator="greaterThan">
      <formula>#REF!</formula>
    </cfRule>
    <cfRule type="cellIs" dxfId="21" priority="79" stopIfTrue="1" operator="lessThanOrEqual">
      <formula>0</formula>
    </cfRule>
    <cfRule type="cellIs" dxfId="20" priority="78" stopIfTrue="1" operator="greaterThan">
      <formula>#REF!</formula>
    </cfRule>
  </conditionalFormatting>
  <conditionalFormatting sqref="J82">
    <cfRule type="cellIs" dxfId="19" priority="44" stopIfTrue="1" operator="greaterThan">
      <formula>$F82</formula>
    </cfRule>
    <cfRule type="cellIs" dxfId="18" priority="45" stopIfTrue="1" operator="lessThanOrEqual">
      <formula>0</formula>
    </cfRule>
  </conditionalFormatting>
  <conditionalFormatting sqref="K10:K28">
    <cfRule type="cellIs" dxfId="17" priority="4" operator="greaterThan">
      <formula>6.4</formula>
    </cfRule>
    <cfRule type="cellIs" dxfId="16" priority="3" operator="lessThan">
      <formula>4</formula>
    </cfRule>
    <cfRule type="cellIs" dxfId="15" priority="2" operator="greaterThan">
      <formula>6</formula>
    </cfRule>
  </conditionalFormatting>
  <conditionalFormatting sqref="K60:K69">
    <cfRule type="cellIs" dxfId="14" priority="72" stopIfTrue="1" operator="lessThan">
      <formula>100%</formula>
    </cfRule>
  </conditionalFormatting>
  <conditionalFormatting sqref="K84:K89">
    <cfRule type="cellIs" dxfId="13" priority="160" stopIfTrue="1" operator="lessThan">
      <formula>100%</formula>
    </cfRule>
  </conditionalFormatting>
  <conditionalFormatting sqref="K91:K92">
    <cfRule type="cellIs" dxfId="12" priority="167" stopIfTrue="1" operator="lessThan">
      <formula>100%</formula>
    </cfRule>
  </conditionalFormatting>
  <conditionalFormatting sqref="K73:M81">
    <cfRule type="cellIs" dxfId="11" priority="31" stopIfTrue="1" operator="lessThan">
      <formula>100%</formula>
    </cfRule>
  </conditionalFormatting>
  <conditionalFormatting sqref="L10:L28">
    <cfRule type="cellIs" dxfId="10" priority="5" operator="between">
      <formula>61</formula>
      <formula>65</formula>
    </cfRule>
    <cfRule type="cellIs" dxfId="9" priority="6" operator="greaterThan">
      <formula>65</formula>
    </cfRule>
  </conditionalFormatting>
  <conditionalFormatting sqref="L31:M42">
    <cfRule type="cellIs" dxfId="8" priority="74" operator="lessThan">
      <formula>97.95</formula>
    </cfRule>
  </conditionalFormatting>
  <conditionalFormatting sqref="L82:M82">
    <cfRule type="cellIs" dxfId="7" priority="46" stopIfTrue="1" operator="lessThan">
      <formula>100%</formula>
    </cfRule>
  </conditionalFormatting>
  <conditionalFormatting sqref="L46:N46">
    <cfRule type="cellIs" dxfId="6" priority="75" operator="notEqual">
      <formula>#REF!</formula>
    </cfRule>
  </conditionalFormatting>
  <conditionalFormatting sqref="L84:N92">
    <cfRule type="cellIs" dxfId="5" priority="145" stopIfTrue="1" operator="lessThan">
      <formula>100%</formula>
    </cfRule>
  </conditionalFormatting>
  <conditionalFormatting sqref="M10:M26">
    <cfRule type="expression" dxfId="4" priority="11">
      <formula>IF(+(IF(M10&lt;U10,0,IF(M10&gt;V10,0,1)))=0,1)</formula>
    </cfRule>
  </conditionalFormatting>
  <conditionalFormatting sqref="M27:N28">
    <cfRule type="expression" dxfId="3" priority="73">
      <formula>IF(+(IF(M27&lt;#REF!,0,IF(M27&gt;#REF!,0,1)))=0,1)</formula>
    </cfRule>
  </conditionalFormatting>
  <conditionalFormatting sqref="N10:N26">
    <cfRule type="expression" dxfId="2" priority="10">
      <formula>IF(+(IF(N10&lt;W10,0,IF(N10&gt;X10,0,1)))=0,1)</formula>
    </cfRule>
  </conditionalFormatting>
  <conditionalFormatting sqref="N73:N82">
    <cfRule type="cellIs" dxfId="1" priority="56" stopIfTrue="1" operator="lessThan">
      <formula>100%</formula>
    </cfRule>
  </conditionalFormatting>
  <conditionalFormatting sqref="P6">
    <cfRule type="cellIs" dxfId="0" priority="141" operator="greaterThanOrEqual">
      <formula>19</formula>
    </cfRule>
  </conditionalFormatting>
  <dataValidations count="1">
    <dataValidation type="list" allowBlank="1" showInputMessage="1" showErrorMessage="1" sqref="R8" xr:uid="{2F474810-892C-43DC-8786-729B90FAFC2C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6" max="16383" man="1"/>
  </rowBreaks>
  <colBreaks count="1" manualBreakCount="1">
    <brk id="15" max="89" man="1"/>
  </colBreak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D082-4AFA-460E-ADC3-B4C1126FF311}">
  <sheetPr codeName="Sheet18">
    <tabColor rgb="FFC00000"/>
    <pageSetUpPr fitToPage="1"/>
  </sheetPr>
  <dimension ref="B1:O73"/>
  <sheetViews>
    <sheetView showZeros="0" topLeftCell="A53" workbookViewId="0">
      <selection activeCell="D56" sqref="D56:D65"/>
    </sheetView>
  </sheetViews>
  <sheetFormatPr defaultColWidth="9.42578125" defaultRowHeight="12.75"/>
  <cols>
    <col min="1" max="1" width="9.42578125" style="78"/>
    <col min="2" max="2" width="12.5703125" style="78" customWidth="1"/>
    <col min="3" max="3" width="9.42578125" style="78" hidden="1" customWidth="1"/>
    <col min="4" max="4" width="9.5703125" style="78" customWidth="1"/>
    <col min="5" max="5" width="8.5703125" style="78" customWidth="1"/>
    <col min="6" max="6" width="14.42578125" style="78" hidden="1" customWidth="1"/>
    <col min="7" max="8" width="9.42578125" style="78" bestFit="1" customWidth="1"/>
    <col min="9" max="9" width="11.5703125" style="78" hidden="1" customWidth="1"/>
    <col min="10" max="10" width="11" style="78" bestFit="1" customWidth="1"/>
    <col min="11" max="11" width="16.42578125" style="78" customWidth="1"/>
    <col min="12" max="12" width="13.42578125" style="78" customWidth="1"/>
    <col min="13" max="16384" width="9.42578125" style="78"/>
  </cols>
  <sheetData>
    <row r="1" spans="2:14" ht="13.5" hidden="1" thickBot="1"/>
    <row r="2" spans="2:14" ht="15.75" hidden="1" thickBot="1">
      <c r="B2" s="618" t="s">
        <v>58</v>
      </c>
      <c r="C2" s="618"/>
      <c r="D2" s="618"/>
      <c r="E2" s="618"/>
      <c r="F2" s="618"/>
      <c r="G2" s="618"/>
      <c r="H2" s="618"/>
      <c r="I2" s="618"/>
      <c r="J2" s="618"/>
      <c r="K2" s="618"/>
    </row>
    <row r="3" spans="2:14" ht="15.75" hidden="1" thickBot="1">
      <c r="B3" s="79"/>
    </row>
    <row r="4" spans="2:14" ht="13.5" hidden="1" thickBot="1">
      <c r="B4" s="78" t="s">
        <v>7</v>
      </c>
      <c r="C4" s="619">
        <v>41431</v>
      </c>
      <c r="D4" s="619"/>
    </row>
    <row r="5" spans="2:14" ht="13.5" hidden="1" thickBot="1">
      <c r="C5" s="78" t="s">
        <v>41</v>
      </c>
    </row>
    <row r="6" spans="2:14" ht="15" hidden="1" thickBot="1">
      <c r="B6" s="5" t="s">
        <v>13</v>
      </c>
    </row>
    <row r="7" spans="2:14" ht="13.5" hidden="1" thickBot="1"/>
    <row r="8" spans="2:14" ht="25.5" hidden="1" customHeight="1" thickBot="1">
      <c r="B8" s="616" t="s">
        <v>17</v>
      </c>
      <c r="C8" s="602" t="s">
        <v>18</v>
      </c>
      <c r="D8" s="602" t="s">
        <v>59</v>
      </c>
      <c r="E8" s="80" t="s">
        <v>20</v>
      </c>
      <c r="F8" s="81" t="s">
        <v>21</v>
      </c>
      <c r="G8" s="602" t="s">
        <v>60</v>
      </c>
      <c r="H8" s="602" t="s">
        <v>61</v>
      </c>
      <c r="I8" s="622" t="s">
        <v>62</v>
      </c>
      <c r="J8" s="82" t="s">
        <v>25</v>
      </c>
      <c r="K8" s="612" t="s">
        <v>28</v>
      </c>
    </row>
    <row r="9" spans="2:14" ht="26.25" hidden="1" thickBot="1">
      <c r="B9" s="620"/>
      <c r="C9" s="621"/>
      <c r="D9" s="621"/>
      <c r="E9" s="83" t="s">
        <v>30</v>
      </c>
      <c r="F9" s="84" t="s">
        <v>63</v>
      </c>
      <c r="G9" s="621"/>
      <c r="H9" s="621"/>
      <c r="I9" s="623"/>
      <c r="J9" s="85" t="s">
        <v>32</v>
      </c>
      <c r="K9" s="624"/>
      <c r="L9" s="86"/>
      <c r="M9" s="86"/>
      <c r="N9" s="86"/>
    </row>
    <row r="10" spans="2:14" ht="13.5" hidden="1" thickBot="1">
      <c r="B10" s="87" t="s">
        <v>64</v>
      </c>
      <c r="C10" s="88" t="str">
        <f>[34]Brewhouse!A5359</f>
        <v>CA236</v>
      </c>
      <c r="D10" s="88">
        <f>[34]Brewhouse!B5359</f>
        <v>41437</v>
      </c>
      <c r="E10" s="89">
        <f>[34]Brewhouse!AG5359</f>
        <v>49.011000000000003</v>
      </c>
      <c r="F10" s="90">
        <f>[34]Brewhouse!T5359</f>
        <v>60</v>
      </c>
      <c r="G10" s="91">
        <f>[34]Brewhouse!I5359</f>
        <v>19.79</v>
      </c>
      <c r="H10" s="92">
        <f>[34]Brewhouse!AS5359</f>
        <v>94.981545664755075</v>
      </c>
      <c r="I10" s="92">
        <f>[34]Brewhouse!AT5359</f>
        <v>97.074072469002047</v>
      </c>
      <c r="J10" s="93">
        <f>[34]Brewhouse!S5359-[34]Brewhouse!R5359</f>
        <v>0.10694444444444451</v>
      </c>
      <c r="K10" s="94"/>
      <c r="N10" s="95"/>
    </row>
    <row r="11" spans="2:14" ht="13.5" hidden="1" thickBot="1">
      <c r="B11" s="96"/>
      <c r="C11" s="88" t="str">
        <f>[34]Brewhouse!A5360</f>
        <v>CA237</v>
      </c>
      <c r="D11" s="88">
        <f>[34]Brewhouse!B5360</f>
        <v>41437</v>
      </c>
      <c r="E11" s="89">
        <f>[34]Brewhouse!AG5360</f>
        <v>48.531999999999996</v>
      </c>
      <c r="F11" s="90">
        <f>[34]Brewhouse!T5360</f>
        <v>68</v>
      </c>
      <c r="G11" s="91">
        <f>[34]Brewhouse!I5360</f>
        <v>17.7</v>
      </c>
      <c r="H11" s="92">
        <f>[34]Brewhouse!AS5360</f>
        <v>94.053260986347809</v>
      </c>
      <c r="I11" s="92">
        <f>[34]Brewhouse!AT5360</f>
        <v>96.1253368644918</v>
      </c>
      <c r="J11" s="93">
        <f>[34]Brewhouse!S5360-[34]Brewhouse!R5360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[34]Brewhouse!A5361</f>
        <v>CA238</v>
      </c>
      <c r="D12" s="88">
        <f>[34]Brewhouse!B5361</f>
        <v>41437</v>
      </c>
      <c r="E12" s="89">
        <f>[34]Brewhouse!AG5361</f>
        <v>50.466999999999999</v>
      </c>
      <c r="F12" s="90">
        <f>[34]Brewhouse!T5361</f>
        <v>61</v>
      </c>
      <c r="G12" s="91">
        <f>[34]Brewhouse!I5361</f>
        <v>19.7</v>
      </c>
      <c r="H12" s="92">
        <f>[34]Brewhouse!AS5361</f>
        <v>96.931393272913695</v>
      </c>
      <c r="I12" s="92">
        <f>[34]Brewhouse!AT5361</f>
        <v>99.066876931102286</v>
      </c>
      <c r="J12" s="93">
        <f>[34]Brewhouse!S5361-[34]Brewhouse!R5361</f>
        <v>0.10208333333333341</v>
      </c>
      <c r="K12" s="98"/>
    </row>
    <row r="13" spans="2:14" ht="13.5" hidden="1" thickBot="1">
      <c r="B13" s="99"/>
      <c r="C13" s="88" t="str">
        <f>[34]Brewhouse!A5362</f>
        <v>CA239</v>
      </c>
      <c r="D13" s="88">
        <f>[34]Brewhouse!B5362</f>
        <v>41437</v>
      </c>
      <c r="E13" s="89">
        <f>[34]Brewhouse!AG5362</f>
        <v>49.374000000000002</v>
      </c>
      <c r="F13" s="90">
        <f>[34]Brewhouse!T5362</f>
        <v>62</v>
      </c>
      <c r="G13" s="91">
        <f>[34]Brewhouse!I5362</f>
        <v>19</v>
      </c>
      <c r="H13" s="92">
        <f>[34]Brewhouse!AS5362</f>
        <v>95.68502653795305</v>
      </c>
      <c r="I13" s="92">
        <f>[34]Brewhouse!AT5362</f>
        <v>97.793051643192499</v>
      </c>
      <c r="J13" s="93">
        <f>[34]Brewhouse!S5362-[34]Brewhouse!R5362</f>
        <v>0.10416666666666663</v>
      </c>
      <c r="K13" s="98"/>
      <c r="M13" s="100"/>
    </row>
    <row r="14" spans="2:14" ht="13.5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5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5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5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5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25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5" hidden="1" thickBot="1">
      <c r="B21" s="86" t="s">
        <v>66</v>
      </c>
      <c r="C21" s="118"/>
      <c r="D21" s="123" t="s">
        <v>67</v>
      </c>
      <c r="E21" s="124" t="s">
        <v>68</v>
      </c>
      <c r="F21" s="610" t="s">
        <v>69</v>
      </c>
      <c r="G21" s="611"/>
      <c r="H21" s="337"/>
      <c r="I21" s="125"/>
      <c r="J21" s="97"/>
      <c r="K21" s="126" t="s">
        <v>24</v>
      </c>
    </row>
    <row r="22" spans="2:11" ht="13.5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75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[34]Brewhouse!N5359</f>
        <v>60</v>
      </c>
    </row>
    <row r="24" spans="2:11" ht="15.75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[34]Brewhouse!N5360</f>
        <v>60</v>
      </c>
    </row>
    <row r="25" spans="2:11" ht="15.75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[34]Brewhouse!N5361</f>
        <v>60</v>
      </c>
    </row>
    <row r="26" spans="2:11" ht="15.75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[34]Brewhouse!N5362</f>
        <v>60</v>
      </c>
    </row>
    <row r="27" spans="2:11" ht="15.75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75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75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5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5" hidden="1" thickBot="1">
      <c r="F31" s="97"/>
    </row>
    <row r="32" spans="2:11" ht="13.5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5" hidden="1" thickBot="1">
      <c r="B33" s="87" t="s">
        <v>64</v>
      </c>
      <c r="C33" s="145">
        <f>AVERAGE(H10:H13)</f>
        <v>95.4128066154924</v>
      </c>
      <c r="D33" s="146">
        <f>AVERAGE([34]Brewhouse!$AS$5347:$AS$5362)</f>
        <v>96.296241624200576</v>
      </c>
      <c r="E33" s="147">
        <v>96</v>
      </c>
    </row>
    <row r="34" spans="2:15" ht="13.5" hidden="1" thickBot="1">
      <c r="B34" s="99" t="s">
        <v>72</v>
      </c>
      <c r="C34" s="100"/>
      <c r="D34" s="146">
        <f>AVERAGE([35]Brewhouse!$AQ$641:$AQ$644)</f>
        <v>94.359266355846486</v>
      </c>
      <c r="E34" s="147">
        <v>96</v>
      </c>
    </row>
    <row r="35" spans="2:15" ht="13.5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5" hidden="1" thickBot="1">
      <c r="B36" s="148" t="s">
        <v>74</v>
      </c>
      <c r="C36" s="145"/>
      <c r="D36" s="149">
        <f>AVERAGE([36]Brewhouse!$AU$708:$AU$711)</f>
        <v>95.049759132870761</v>
      </c>
      <c r="E36" s="147">
        <v>96</v>
      </c>
    </row>
    <row r="37" spans="2:15" ht="13.5" hidden="1" thickBot="1">
      <c r="B37" s="150" t="s">
        <v>75</v>
      </c>
      <c r="C37" s="145"/>
      <c r="D37" s="151">
        <f>AVERAGE([37]Brewhouse!$AY$943:$AY$946)</f>
        <v>95.307332180967137</v>
      </c>
      <c r="E37" s="147">
        <v>96</v>
      </c>
    </row>
    <row r="38" spans="2:15" ht="13.5" hidden="1" thickBot="1">
      <c r="B38" s="102" t="s">
        <v>76</v>
      </c>
      <c r="C38" s="152"/>
      <c r="D38" s="153"/>
      <c r="E38" s="147">
        <v>96</v>
      </c>
    </row>
    <row r="39" spans="2:15" ht="13.5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25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5" hidden="1" thickBot="1">
      <c r="B41" s="5" t="s">
        <v>42</v>
      </c>
      <c r="C41" s="78" t="s">
        <v>78</v>
      </c>
      <c r="D41" s="335"/>
    </row>
    <row r="42" spans="2:15" ht="13.5" hidden="1" thickBot="1"/>
    <row r="43" spans="2:15" ht="12.75" hidden="1" customHeight="1" thickBot="1">
      <c r="B43" s="616" t="s">
        <v>17</v>
      </c>
      <c r="C43" s="602" t="s">
        <v>18</v>
      </c>
      <c r="D43" s="602" t="s">
        <v>44</v>
      </c>
      <c r="E43" s="602" t="s">
        <v>79</v>
      </c>
      <c r="F43" s="602" t="s">
        <v>51</v>
      </c>
      <c r="G43" s="602" t="s">
        <v>48</v>
      </c>
      <c r="H43" s="604" t="s">
        <v>28</v>
      </c>
      <c r="I43" s="605"/>
      <c r="J43" s="605"/>
      <c r="K43" s="612" t="s">
        <v>27</v>
      </c>
    </row>
    <row r="44" spans="2:15" ht="15.75" hidden="1" customHeight="1" thickBot="1">
      <c r="B44" s="617"/>
      <c r="C44" s="603"/>
      <c r="D44" s="603"/>
      <c r="E44" s="603"/>
      <c r="F44" s="603"/>
      <c r="G44" s="603"/>
      <c r="H44" s="606"/>
      <c r="I44" s="607"/>
      <c r="J44" s="607"/>
      <c r="K44" s="613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614"/>
      <c r="I45" s="615"/>
      <c r="J45" s="615"/>
      <c r="K45" s="165"/>
      <c r="L45" s="166"/>
      <c r="N45" s="95"/>
    </row>
    <row r="46" spans="2:15" ht="13.5" hidden="1" thickBot="1">
      <c r="B46" s="99"/>
      <c r="C46" s="160"/>
      <c r="D46" s="167"/>
      <c r="E46" s="163"/>
      <c r="F46" s="168"/>
      <c r="G46" s="162"/>
      <c r="H46" s="608"/>
      <c r="I46" s="609"/>
      <c r="J46" s="609"/>
      <c r="K46" s="169"/>
      <c r="L46" s="166"/>
      <c r="M46" s="97"/>
      <c r="N46" s="95"/>
      <c r="O46" s="100"/>
    </row>
    <row r="47" spans="2:15" ht="13.5" hidden="1" thickBot="1">
      <c r="B47" s="99"/>
      <c r="C47" s="160"/>
      <c r="D47" s="103"/>
      <c r="E47" s="170"/>
      <c r="F47" s="168"/>
      <c r="G47" s="162"/>
      <c r="H47" s="608"/>
      <c r="I47" s="609"/>
      <c r="J47" s="609"/>
      <c r="K47" s="169"/>
    </row>
    <row r="48" spans="2:15" ht="13.5" hidden="1" thickBot="1">
      <c r="B48" s="102"/>
      <c r="C48" s="160"/>
      <c r="D48" s="167"/>
      <c r="E48" s="128"/>
      <c r="F48" s="168"/>
      <c r="G48" s="171"/>
      <c r="H48" s="608"/>
      <c r="I48" s="609"/>
      <c r="J48" s="609"/>
      <c r="K48" s="172"/>
    </row>
    <row r="49" spans="2:11" ht="13.5" hidden="1" thickBot="1">
      <c r="B49" s="101"/>
      <c r="C49" s="160"/>
      <c r="D49" s="167"/>
      <c r="E49" s="170"/>
      <c r="F49" s="163"/>
      <c r="G49" s="162"/>
      <c r="H49" s="600"/>
      <c r="I49" s="601"/>
      <c r="J49" s="601"/>
      <c r="K49" s="172"/>
    </row>
    <row r="50" spans="2:11" ht="13.5" hidden="1" thickBot="1">
      <c r="B50" s="173"/>
      <c r="C50" s="160"/>
      <c r="E50" s="168"/>
      <c r="F50" s="168"/>
      <c r="G50" s="145"/>
      <c r="H50" s="600"/>
      <c r="I50" s="601"/>
      <c r="J50" s="601"/>
      <c r="K50" s="172"/>
    </row>
    <row r="51" spans="2:11" ht="13.5" hidden="1" thickBot="1">
      <c r="B51" s="174"/>
      <c r="C51" s="160"/>
      <c r="D51" s="167"/>
      <c r="E51" s="175"/>
      <c r="F51" s="175"/>
      <c r="G51" s="176"/>
      <c r="H51" s="600"/>
      <c r="I51" s="601"/>
      <c r="J51" s="601"/>
      <c r="K51" s="177"/>
    </row>
    <row r="52" spans="2:11" ht="13.5" hidden="1" thickBot="1">
      <c r="B52" s="178"/>
      <c r="C52" s="179"/>
      <c r="D52" s="180"/>
      <c r="E52" s="181"/>
      <c r="F52" s="181"/>
      <c r="G52" s="182"/>
      <c r="H52" s="591"/>
      <c r="I52" s="592"/>
      <c r="J52" s="592"/>
      <c r="K52" s="183"/>
    </row>
    <row r="53" spans="2:11" ht="13.5" thickBot="1">
      <c r="B53" s="184"/>
      <c r="C53" s="117"/>
      <c r="D53" s="593" t="s">
        <v>80</v>
      </c>
      <c r="E53" s="593"/>
      <c r="F53" s="593"/>
      <c r="G53" s="593"/>
      <c r="H53" s="593"/>
      <c r="I53" s="593"/>
      <c r="J53" s="593"/>
      <c r="K53" s="185"/>
    </row>
    <row r="54" spans="2:11" ht="13.5" thickBot="1">
      <c r="B54" s="594" t="s">
        <v>55</v>
      </c>
      <c r="C54" s="595"/>
      <c r="D54" s="595"/>
      <c r="E54" s="596"/>
      <c r="F54" s="594" t="s">
        <v>56</v>
      </c>
      <c r="G54" s="595"/>
      <c r="H54" s="596"/>
      <c r="I54" s="597" t="s">
        <v>81</v>
      </c>
      <c r="J54" s="598"/>
      <c r="K54" s="599"/>
    </row>
    <row r="55" spans="2:11">
      <c r="B55" s="186" t="s">
        <v>17</v>
      </c>
      <c r="C55" s="187" t="s">
        <v>36</v>
      </c>
      <c r="D55" s="187" t="s">
        <v>37</v>
      </c>
      <c r="E55" s="188" t="s">
        <v>39</v>
      </c>
      <c r="F55" s="187" t="s">
        <v>36</v>
      </c>
      <c r="G55" s="187" t="s">
        <v>37</v>
      </c>
      <c r="H55" s="188" t="s">
        <v>39</v>
      </c>
      <c r="I55" s="189" t="s">
        <v>36</v>
      </c>
      <c r="J55" s="189" t="s">
        <v>37</v>
      </c>
      <c r="K55" s="190" t="s">
        <v>39</v>
      </c>
    </row>
    <row r="56" spans="2:11" ht="15">
      <c r="B56" s="29" t="s">
        <v>64</v>
      </c>
      <c r="C56" s="191"/>
      <c r="D56" s="76">
        <f>[33]MTD!$E5</f>
        <v>6.1995693428930156</v>
      </c>
      <c r="E56" s="192">
        <v>5</v>
      </c>
      <c r="F56" s="191"/>
      <c r="G56" s="76">
        <f>[12]April_2026!$AN3</f>
        <v>5.7220668283829799</v>
      </c>
      <c r="H56" s="192">
        <v>5</v>
      </c>
      <c r="I56" s="193"/>
      <c r="J56" s="194">
        <f>[13]April_2026!$AN13</f>
        <v>0.79053411306042887</v>
      </c>
      <c r="K56" s="195">
        <v>1</v>
      </c>
    </row>
    <row r="57" spans="2:11" ht="15">
      <c r="B57" s="33" t="s">
        <v>72</v>
      </c>
      <c r="C57" s="191"/>
      <c r="D57" s="76">
        <f>[33]MTD!$E6</f>
        <v>5.4205694148196484</v>
      </c>
      <c r="E57" s="192">
        <v>5</v>
      </c>
      <c r="F57" s="191"/>
      <c r="G57" s="76">
        <f>[12]April_2026!$AN4</f>
        <v>4.4277867523447343</v>
      </c>
      <c r="H57" s="192">
        <v>5</v>
      </c>
      <c r="I57" s="196"/>
      <c r="J57" s="194">
        <f>[13]April_2026!$AN14</f>
        <v>0.91543859649122816</v>
      </c>
      <c r="K57" s="195">
        <v>1</v>
      </c>
    </row>
    <row r="58" spans="2:11" ht="15">
      <c r="B58" s="34" t="s">
        <v>73</v>
      </c>
      <c r="C58" s="191"/>
      <c r="D58" s="76">
        <f>[33]MTD!$E7</f>
        <v>10.917759237187118</v>
      </c>
      <c r="E58" s="192">
        <v>5</v>
      </c>
      <c r="F58" s="191"/>
      <c r="G58" s="76">
        <f>[12]April_2026!$AN5</f>
        <v>10.858502880677971</v>
      </c>
      <c r="H58" s="192">
        <v>5</v>
      </c>
      <c r="I58" s="196"/>
      <c r="J58" s="194">
        <f>[13]April_2026!$AN15</f>
        <v>0.16390350877192983</v>
      </c>
      <c r="K58" s="195">
        <v>1</v>
      </c>
    </row>
    <row r="59" spans="2:11" ht="15">
      <c r="B59" s="197" t="s">
        <v>74</v>
      </c>
      <c r="C59" s="191"/>
      <c r="D59" s="76" t="e">
        <f>[33]MTD!$E8</f>
        <v>#DIV/0!</v>
      </c>
      <c r="E59" s="192">
        <v>3.5</v>
      </c>
      <c r="F59" s="191"/>
      <c r="G59" s="76" t="e">
        <f>[12]April_2026!$AN6</f>
        <v>#DIV/0!</v>
      </c>
      <c r="H59" s="192">
        <v>3.5</v>
      </c>
      <c r="I59" s="196"/>
      <c r="J59" s="194" t="e">
        <f>[13]April_2026!$AN16</f>
        <v>#DIV/0!</v>
      </c>
      <c r="K59" s="195">
        <v>1</v>
      </c>
    </row>
    <row r="60" spans="2:11" ht="15.75" thickBot="1">
      <c r="B60" s="38" t="s">
        <v>160</v>
      </c>
      <c r="C60" s="191"/>
      <c r="D60" s="76" t="e">
        <f>[33]MTD!$E9</f>
        <v>#DIV/0!</v>
      </c>
      <c r="E60" s="192">
        <v>3.5</v>
      </c>
      <c r="F60" s="198"/>
      <c r="G60" s="76" t="e">
        <f>[12]April_2026!$AN7</f>
        <v>#DIV/0!</v>
      </c>
      <c r="H60" s="192">
        <v>3.5</v>
      </c>
      <c r="I60" s="196"/>
      <c r="J60" s="194" t="e">
        <f>[13]April_2026!$AN17</f>
        <v>#DIV/0!</v>
      </c>
      <c r="K60" s="195">
        <v>1</v>
      </c>
    </row>
    <row r="61" spans="2:11" ht="15">
      <c r="B61" s="199" t="s">
        <v>76</v>
      </c>
      <c r="C61" s="191"/>
      <c r="D61" s="76" t="e">
        <f>[33]MTD!$E10</f>
        <v>#DIV/0!</v>
      </c>
      <c r="E61" s="200">
        <v>5</v>
      </c>
      <c r="F61" s="191"/>
      <c r="G61" s="76" t="e">
        <f>[12]April_2026!$AN8</f>
        <v>#DIV/0!</v>
      </c>
      <c r="H61" s="200">
        <v>5</v>
      </c>
      <c r="I61" s="196"/>
      <c r="J61" s="194" t="e">
        <f>[13]April_2026!$AN18</f>
        <v>#DIV/0!</v>
      </c>
      <c r="K61" s="195">
        <v>1</v>
      </c>
    </row>
    <row r="62" spans="2:11" ht="15">
      <c r="B62" s="201" t="s">
        <v>82</v>
      </c>
      <c r="C62" s="202"/>
      <c r="D62" s="76">
        <f>[33]MTD!$E11</f>
        <v>2.744050509956292</v>
      </c>
      <c r="E62" s="200">
        <v>3.3</v>
      </c>
      <c r="F62" s="202"/>
      <c r="G62" s="76">
        <f>[12]April_2026!$AN9</f>
        <v>4.0188417648776724</v>
      </c>
      <c r="H62" s="200">
        <v>3.3</v>
      </c>
      <c r="I62" s="203"/>
      <c r="J62" s="194">
        <f>[13]April_2026!$AN19</f>
        <v>0.70263157894736838</v>
      </c>
      <c r="K62" s="204">
        <v>1</v>
      </c>
    </row>
    <row r="63" spans="2:11" ht="15.75" thickBot="1">
      <c r="B63" s="38" t="s">
        <v>128</v>
      </c>
      <c r="C63" s="205"/>
      <c r="D63" s="76" t="e">
        <f>[33]MTD!$E12</f>
        <v>#DIV/0!</v>
      </c>
      <c r="E63" s="206">
        <v>3.5</v>
      </c>
      <c r="F63" s="205"/>
      <c r="G63" s="76" t="e">
        <f>[12]April_2026!$AN10</f>
        <v>#DIV/0!</v>
      </c>
      <c r="H63" s="206">
        <v>3.5</v>
      </c>
      <c r="I63" s="207"/>
      <c r="J63" s="194" t="e">
        <f>[13]April_2026!$AN20</f>
        <v>#DIV/0!</v>
      </c>
      <c r="K63" s="208">
        <v>1</v>
      </c>
    </row>
    <row r="64" spans="2:11" ht="15.75" thickBot="1">
      <c r="B64" s="413" t="s">
        <v>159</v>
      </c>
      <c r="C64" s="198"/>
      <c r="D64" s="76" t="e">
        <f>[33]MTD!$E13</f>
        <v>#DIV/0!</v>
      </c>
      <c r="E64" s="192">
        <v>5</v>
      </c>
      <c r="F64" s="198"/>
      <c r="G64" s="76" t="e">
        <f>[12]April_2026!$AN11</f>
        <v>#DIV/0!</v>
      </c>
      <c r="H64" s="192">
        <v>5</v>
      </c>
      <c r="I64" s="412"/>
      <c r="J64" s="194">
        <f>[13]April_2026!$AN21</f>
        <v>0</v>
      </c>
      <c r="K64" s="208">
        <v>1</v>
      </c>
    </row>
    <row r="65" spans="2:11">
      <c r="B65" s="209"/>
      <c r="C65" s="210"/>
      <c r="D65" s="76">
        <f>[33]MTD!$E14</f>
        <v>6.0438037149986501</v>
      </c>
      <c r="E65" s="210"/>
      <c r="F65" s="210"/>
      <c r="G65" s="76">
        <f>[12]April_2026!$AN12</f>
        <v>5.6471617099059817</v>
      </c>
      <c r="H65" s="211"/>
      <c r="I65" s="212"/>
      <c r="J65" s="194">
        <f>[13]April_2026!$AN22</f>
        <v>0.77859437946718646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B2:K2"/>
    <mergeCell ref="C4:D4"/>
    <mergeCell ref="B8:B9"/>
    <mergeCell ref="C8:C9"/>
    <mergeCell ref="D8:D9"/>
    <mergeCell ref="G8:G9"/>
    <mergeCell ref="H8:H9"/>
    <mergeCell ref="I8:I9"/>
    <mergeCell ref="K8:K9"/>
    <mergeCell ref="F21:G21"/>
    <mergeCell ref="K43:K44"/>
    <mergeCell ref="H45:J45"/>
    <mergeCell ref="B43:B44"/>
    <mergeCell ref="C43:C44"/>
    <mergeCell ref="D43:D44"/>
    <mergeCell ref="E43:E4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H52:J52"/>
    <mergeCell ref="D53:J53"/>
    <mergeCell ref="B54:E54"/>
    <mergeCell ref="F54:H54"/>
    <mergeCell ref="I54:K54"/>
  </mergeCells>
  <printOptions horizontalCentered="1"/>
  <pageMargins left="0.25" right="0.24" top="0.5" bottom="0.5" header="0.5" footer="0.5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89C0-C575-4A8E-A1E3-979A579814DF}">
  <sheetPr codeName="Sheet19">
    <tabColor rgb="FF7030A0"/>
    <pageSetUpPr fitToPage="1"/>
  </sheetPr>
  <dimension ref="B1:O73"/>
  <sheetViews>
    <sheetView showZeros="0" topLeftCell="A54" zoomScale="115" zoomScaleNormal="115" workbookViewId="0">
      <selection activeCell="J56" sqref="J56:J65"/>
    </sheetView>
  </sheetViews>
  <sheetFormatPr defaultColWidth="9.42578125" defaultRowHeight="12.75"/>
  <cols>
    <col min="1" max="1" width="9.42578125" style="78"/>
    <col min="2" max="2" width="12.5703125" style="78" customWidth="1"/>
    <col min="3" max="3" width="9.42578125" style="78" customWidth="1"/>
    <col min="4" max="4" width="9.5703125" style="78" customWidth="1"/>
    <col min="5" max="5" width="8.5703125" style="78" customWidth="1"/>
    <col min="6" max="6" width="14.42578125" style="78" customWidth="1"/>
    <col min="7" max="7" width="11.42578125" style="78" customWidth="1"/>
    <col min="8" max="8" width="9.42578125" style="78" bestFit="1" customWidth="1"/>
    <col min="9" max="9" width="11.5703125" style="78" customWidth="1"/>
    <col min="10" max="10" width="11.5703125" style="78" bestFit="1" customWidth="1"/>
    <col min="11" max="11" width="16.42578125" style="78" customWidth="1"/>
    <col min="12" max="12" width="13.42578125" style="78" customWidth="1"/>
    <col min="13" max="16384" width="9.42578125" style="78"/>
  </cols>
  <sheetData>
    <row r="1" spans="2:14" ht="13.5" hidden="1" thickBot="1"/>
    <row r="2" spans="2:14" ht="15.75" hidden="1" thickBot="1">
      <c r="B2" s="618" t="s">
        <v>58</v>
      </c>
      <c r="C2" s="618"/>
      <c r="D2" s="618"/>
      <c r="E2" s="618"/>
      <c r="F2" s="618"/>
      <c r="G2" s="618"/>
      <c r="H2" s="618"/>
      <c r="I2" s="618"/>
      <c r="J2" s="618"/>
      <c r="K2" s="618"/>
    </row>
    <row r="3" spans="2:14" ht="15.75" hidden="1" thickBot="1">
      <c r="B3" s="79"/>
    </row>
    <row r="4" spans="2:14" ht="13.5" hidden="1" thickBot="1">
      <c r="B4" s="78" t="s">
        <v>7</v>
      </c>
      <c r="C4" s="619">
        <v>41431</v>
      </c>
      <c r="D4" s="619"/>
    </row>
    <row r="5" spans="2:14" ht="13.5" hidden="1" thickBot="1">
      <c r="C5" s="78" t="s">
        <v>41</v>
      </c>
    </row>
    <row r="6" spans="2:14" ht="15" hidden="1" thickBot="1">
      <c r="B6" s="5" t="s">
        <v>13</v>
      </c>
    </row>
    <row r="7" spans="2:14" ht="13.5" hidden="1" thickBot="1"/>
    <row r="8" spans="2:14" ht="25.5" hidden="1" customHeight="1" thickBot="1">
      <c r="B8" s="616" t="s">
        <v>17</v>
      </c>
      <c r="C8" s="602" t="s">
        <v>18</v>
      </c>
      <c r="D8" s="602" t="s">
        <v>59</v>
      </c>
      <c r="E8" s="80" t="s">
        <v>20</v>
      </c>
      <c r="F8" s="81" t="s">
        <v>21</v>
      </c>
      <c r="G8" s="602" t="s">
        <v>60</v>
      </c>
      <c r="H8" s="602" t="s">
        <v>61</v>
      </c>
      <c r="I8" s="622" t="s">
        <v>62</v>
      </c>
      <c r="J8" s="82" t="s">
        <v>25</v>
      </c>
      <c r="K8" s="612" t="s">
        <v>28</v>
      </c>
    </row>
    <row r="9" spans="2:14" ht="26.25" hidden="1" thickBot="1">
      <c r="B9" s="620"/>
      <c r="C9" s="621"/>
      <c r="D9" s="621"/>
      <c r="E9" s="83" t="s">
        <v>30</v>
      </c>
      <c r="F9" s="84" t="s">
        <v>63</v>
      </c>
      <c r="G9" s="621"/>
      <c r="H9" s="621"/>
      <c r="I9" s="623"/>
      <c r="J9" s="85" t="s">
        <v>32</v>
      </c>
      <c r="K9" s="624"/>
      <c r="L9" s="86"/>
      <c r="M9" s="86"/>
      <c r="N9" s="86"/>
    </row>
    <row r="10" spans="2:14" ht="13.5" hidden="1" thickBot="1">
      <c r="B10" s="87" t="s">
        <v>64</v>
      </c>
      <c r="C10" s="88" t="str">
        <f>[34]Brewhouse!A5359</f>
        <v>CA236</v>
      </c>
      <c r="D10" s="88">
        <f>[34]Brewhouse!B5359</f>
        <v>41437</v>
      </c>
      <c r="E10" s="89">
        <f>[34]Brewhouse!AG5359</f>
        <v>49.011000000000003</v>
      </c>
      <c r="F10" s="90">
        <f>[34]Brewhouse!T5359</f>
        <v>60</v>
      </c>
      <c r="G10" s="91">
        <f>[34]Brewhouse!I5359</f>
        <v>19.79</v>
      </c>
      <c r="H10" s="92">
        <f>[34]Brewhouse!AS5359</f>
        <v>94.981545664755075</v>
      </c>
      <c r="I10" s="92">
        <f>[34]Brewhouse!AT5359</f>
        <v>97.074072469002047</v>
      </c>
      <c r="J10" s="93">
        <f>[34]Brewhouse!S5359-[34]Brewhouse!R5359</f>
        <v>0.10694444444444451</v>
      </c>
      <c r="K10" s="94"/>
      <c r="N10" s="95"/>
    </row>
    <row r="11" spans="2:14" ht="13.5" hidden="1" thickBot="1">
      <c r="B11" s="96"/>
      <c r="C11" s="88" t="str">
        <f>[34]Brewhouse!A5360</f>
        <v>CA237</v>
      </c>
      <c r="D11" s="88">
        <f>[34]Brewhouse!B5360</f>
        <v>41437</v>
      </c>
      <c r="E11" s="89">
        <f>[34]Brewhouse!AG5360</f>
        <v>48.531999999999996</v>
      </c>
      <c r="F11" s="90">
        <f>[34]Brewhouse!T5360</f>
        <v>68</v>
      </c>
      <c r="G11" s="91">
        <f>[34]Brewhouse!I5360</f>
        <v>17.7</v>
      </c>
      <c r="H11" s="92">
        <f>[34]Brewhouse!AS5360</f>
        <v>94.053260986347809</v>
      </c>
      <c r="I11" s="92">
        <f>[34]Brewhouse!AT5360</f>
        <v>96.1253368644918</v>
      </c>
      <c r="J11" s="93">
        <f>[34]Brewhouse!S5360-[34]Brewhouse!R5360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[34]Brewhouse!A5361</f>
        <v>CA238</v>
      </c>
      <c r="D12" s="88">
        <f>[34]Brewhouse!B5361</f>
        <v>41437</v>
      </c>
      <c r="E12" s="89">
        <f>[34]Brewhouse!AG5361</f>
        <v>50.466999999999999</v>
      </c>
      <c r="F12" s="90">
        <f>[34]Brewhouse!T5361</f>
        <v>61</v>
      </c>
      <c r="G12" s="91">
        <f>[34]Brewhouse!I5361</f>
        <v>19.7</v>
      </c>
      <c r="H12" s="92">
        <f>[34]Brewhouse!AS5361</f>
        <v>96.931393272913695</v>
      </c>
      <c r="I12" s="92">
        <f>[34]Brewhouse!AT5361</f>
        <v>99.066876931102286</v>
      </c>
      <c r="J12" s="93">
        <f>[34]Brewhouse!S5361-[34]Brewhouse!R5361</f>
        <v>0.10208333333333341</v>
      </c>
      <c r="K12" s="98"/>
    </row>
    <row r="13" spans="2:14" ht="13.5" hidden="1" thickBot="1">
      <c r="B13" s="99"/>
      <c r="C13" s="88" t="str">
        <f>[34]Brewhouse!A5362</f>
        <v>CA239</v>
      </c>
      <c r="D13" s="88">
        <f>[34]Brewhouse!B5362</f>
        <v>41437</v>
      </c>
      <c r="E13" s="89">
        <f>[34]Brewhouse!AG5362</f>
        <v>49.374000000000002</v>
      </c>
      <c r="F13" s="90">
        <f>[34]Brewhouse!T5362</f>
        <v>62</v>
      </c>
      <c r="G13" s="91">
        <f>[34]Brewhouse!I5362</f>
        <v>19</v>
      </c>
      <c r="H13" s="92">
        <f>[34]Brewhouse!AS5362</f>
        <v>95.68502653795305</v>
      </c>
      <c r="I13" s="92">
        <f>[34]Brewhouse!AT5362</f>
        <v>97.793051643192499</v>
      </c>
      <c r="J13" s="93">
        <f>[34]Brewhouse!S5362-[34]Brewhouse!R5362</f>
        <v>0.10416666666666663</v>
      </c>
      <c r="K13" s="98"/>
      <c r="M13" s="100"/>
    </row>
    <row r="14" spans="2:14" ht="13.5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5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5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5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5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25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5" hidden="1" thickBot="1">
      <c r="B21" s="86" t="s">
        <v>66</v>
      </c>
      <c r="C21" s="118"/>
      <c r="D21" s="123" t="s">
        <v>67</v>
      </c>
      <c r="E21" s="124" t="s">
        <v>68</v>
      </c>
      <c r="F21" s="610" t="s">
        <v>69</v>
      </c>
      <c r="G21" s="611"/>
      <c r="H21" s="337"/>
      <c r="I21" s="125"/>
      <c r="J21" s="97"/>
      <c r="K21" s="126" t="s">
        <v>24</v>
      </c>
    </row>
    <row r="22" spans="2:11" ht="13.5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75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[34]Brewhouse!N5359</f>
        <v>60</v>
      </c>
    </row>
    <row r="24" spans="2:11" ht="15.75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[34]Brewhouse!N5360</f>
        <v>60</v>
      </c>
    </row>
    <row r="25" spans="2:11" ht="15.75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[34]Brewhouse!N5361</f>
        <v>60</v>
      </c>
    </row>
    <row r="26" spans="2:11" ht="15.75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[34]Brewhouse!N5362</f>
        <v>60</v>
      </c>
    </row>
    <row r="27" spans="2:11" ht="15.75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75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75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5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5" hidden="1" thickBot="1">
      <c r="F31" s="97"/>
    </row>
    <row r="32" spans="2:11" ht="13.5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5" hidden="1" thickBot="1">
      <c r="B33" s="87" t="s">
        <v>64</v>
      </c>
      <c r="C33" s="145">
        <f>AVERAGE(H10:H13)</f>
        <v>95.4128066154924</v>
      </c>
      <c r="D33" s="146">
        <f>AVERAGE([34]Brewhouse!$AS$5347:$AS$5362)</f>
        <v>96.296241624200576</v>
      </c>
      <c r="E33" s="147">
        <v>96</v>
      </c>
    </row>
    <row r="34" spans="2:15" ht="13.5" hidden="1" thickBot="1">
      <c r="B34" s="99" t="s">
        <v>72</v>
      </c>
      <c r="C34" s="100"/>
      <c r="D34" s="146">
        <f>AVERAGE([35]Brewhouse!$AQ$641:$AQ$644)</f>
        <v>94.359266355846486</v>
      </c>
      <c r="E34" s="147">
        <v>96</v>
      </c>
    </row>
    <row r="35" spans="2:15" ht="13.5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5" hidden="1" thickBot="1">
      <c r="B36" s="148" t="s">
        <v>74</v>
      </c>
      <c r="C36" s="145"/>
      <c r="D36" s="149">
        <f>AVERAGE([36]Brewhouse!$AU$708:$AU$711)</f>
        <v>95.049759132870761</v>
      </c>
      <c r="E36" s="147">
        <v>96</v>
      </c>
    </row>
    <row r="37" spans="2:15" ht="13.5" hidden="1" thickBot="1">
      <c r="B37" s="150" t="s">
        <v>75</v>
      </c>
      <c r="C37" s="145"/>
      <c r="D37" s="151">
        <f>AVERAGE([37]Brewhouse!$AY$943:$AY$946)</f>
        <v>95.307332180967137</v>
      </c>
      <c r="E37" s="147">
        <v>96</v>
      </c>
    </row>
    <row r="38" spans="2:15" ht="13.5" hidden="1" thickBot="1">
      <c r="B38" s="102" t="s">
        <v>76</v>
      </c>
      <c r="C38" s="152"/>
      <c r="D38" s="153"/>
      <c r="E38" s="147">
        <v>96</v>
      </c>
    </row>
    <row r="39" spans="2:15" ht="13.5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25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5" hidden="1" thickBot="1">
      <c r="B41" s="5" t="s">
        <v>42</v>
      </c>
      <c r="C41" s="78" t="s">
        <v>78</v>
      </c>
      <c r="D41" s="335"/>
    </row>
    <row r="42" spans="2:15" ht="13.5" hidden="1" thickBot="1"/>
    <row r="43" spans="2:15" ht="12.75" hidden="1" customHeight="1" thickBot="1">
      <c r="B43" s="616" t="s">
        <v>17</v>
      </c>
      <c r="C43" s="602" t="s">
        <v>18</v>
      </c>
      <c r="D43" s="602" t="s">
        <v>44</v>
      </c>
      <c r="E43" s="602" t="s">
        <v>79</v>
      </c>
      <c r="F43" s="602" t="s">
        <v>51</v>
      </c>
      <c r="G43" s="602" t="s">
        <v>48</v>
      </c>
      <c r="H43" s="604" t="s">
        <v>28</v>
      </c>
      <c r="I43" s="605"/>
      <c r="J43" s="605"/>
      <c r="K43" s="612" t="s">
        <v>27</v>
      </c>
    </row>
    <row r="44" spans="2:15" ht="15.75" hidden="1" customHeight="1" thickBot="1">
      <c r="B44" s="617"/>
      <c r="C44" s="603"/>
      <c r="D44" s="603"/>
      <c r="E44" s="603"/>
      <c r="F44" s="603"/>
      <c r="G44" s="603"/>
      <c r="H44" s="606"/>
      <c r="I44" s="607"/>
      <c r="J44" s="607"/>
      <c r="K44" s="613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614"/>
      <c r="I45" s="615"/>
      <c r="J45" s="615"/>
      <c r="K45" s="165"/>
      <c r="L45" s="166"/>
      <c r="N45" s="95"/>
    </row>
    <row r="46" spans="2:15" ht="13.5" hidden="1" thickBot="1">
      <c r="B46" s="99"/>
      <c r="C46" s="160"/>
      <c r="D46" s="167"/>
      <c r="E46" s="163"/>
      <c r="F46" s="168"/>
      <c r="G46" s="162"/>
      <c r="H46" s="608"/>
      <c r="I46" s="609"/>
      <c r="J46" s="609"/>
      <c r="K46" s="169"/>
      <c r="L46" s="166"/>
      <c r="M46" s="97"/>
      <c r="N46" s="95"/>
      <c r="O46" s="100"/>
    </row>
    <row r="47" spans="2:15" ht="13.5" hidden="1" thickBot="1">
      <c r="B47" s="99"/>
      <c r="C47" s="160"/>
      <c r="D47" s="103"/>
      <c r="E47" s="170"/>
      <c r="F47" s="168"/>
      <c r="G47" s="162"/>
      <c r="H47" s="608"/>
      <c r="I47" s="609"/>
      <c r="J47" s="609"/>
      <c r="K47" s="169"/>
    </row>
    <row r="48" spans="2:15" ht="13.5" hidden="1" thickBot="1">
      <c r="B48" s="102"/>
      <c r="C48" s="160"/>
      <c r="D48" s="167"/>
      <c r="E48" s="128"/>
      <c r="F48" s="168"/>
      <c r="G48" s="171"/>
      <c r="H48" s="608"/>
      <c r="I48" s="609"/>
      <c r="J48" s="609"/>
      <c r="K48" s="172"/>
    </row>
    <row r="49" spans="2:11" ht="13.5" hidden="1" thickBot="1">
      <c r="B49" s="101"/>
      <c r="C49" s="160"/>
      <c r="D49" s="167"/>
      <c r="E49" s="170"/>
      <c r="F49" s="163"/>
      <c r="G49" s="162"/>
      <c r="H49" s="600"/>
      <c r="I49" s="601"/>
      <c r="J49" s="601"/>
      <c r="K49" s="172"/>
    </row>
    <row r="50" spans="2:11" ht="13.5" hidden="1" thickBot="1">
      <c r="B50" s="173"/>
      <c r="C50" s="160"/>
      <c r="E50" s="168"/>
      <c r="F50" s="168"/>
      <c r="G50" s="145"/>
      <c r="H50" s="600"/>
      <c r="I50" s="601"/>
      <c r="J50" s="601"/>
      <c r="K50" s="172"/>
    </row>
    <row r="51" spans="2:11" ht="13.5" hidden="1" thickBot="1">
      <c r="B51" s="174"/>
      <c r="C51" s="160"/>
      <c r="D51" s="167"/>
      <c r="E51" s="175"/>
      <c r="F51" s="175"/>
      <c r="G51" s="176"/>
      <c r="H51" s="600"/>
      <c r="I51" s="601"/>
      <c r="J51" s="601"/>
      <c r="K51" s="177"/>
    </row>
    <row r="52" spans="2:11" ht="13.5" hidden="1" thickBot="1">
      <c r="B52" s="178"/>
      <c r="C52" s="179"/>
      <c r="D52" s="180"/>
      <c r="E52" s="181"/>
      <c r="F52" s="181"/>
      <c r="G52" s="182"/>
      <c r="H52" s="591"/>
      <c r="I52" s="592"/>
      <c r="J52" s="592"/>
      <c r="K52" s="183"/>
    </row>
    <row r="53" spans="2:11" ht="13.5" thickBot="1">
      <c r="B53" s="184"/>
      <c r="C53" s="117"/>
      <c r="D53" s="593" t="s">
        <v>80</v>
      </c>
      <c r="E53" s="593"/>
      <c r="F53" s="593"/>
      <c r="G53" s="593"/>
      <c r="H53" s="593"/>
      <c r="I53" s="593"/>
      <c r="J53" s="593"/>
      <c r="K53" s="185"/>
    </row>
    <row r="54" spans="2:11" ht="13.5" thickBot="1">
      <c r="B54" s="594" t="s">
        <v>55</v>
      </c>
      <c r="C54" s="595"/>
      <c r="D54" s="595"/>
      <c r="E54" s="596"/>
      <c r="F54" s="594" t="s">
        <v>56</v>
      </c>
      <c r="G54" s="595"/>
      <c r="H54" s="596"/>
      <c r="I54" s="597" t="s">
        <v>81</v>
      </c>
      <c r="J54" s="598"/>
      <c r="K54" s="599"/>
    </row>
    <row r="55" spans="2:11">
      <c r="B55" s="186" t="s">
        <v>17</v>
      </c>
      <c r="C55" s="187" t="s">
        <v>36</v>
      </c>
      <c r="D55" s="187" t="s">
        <v>38</v>
      </c>
      <c r="E55" s="188" t="s">
        <v>39</v>
      </c>
      <c r="F55" s="187" t="s">
        <v>36</v>
      </c>
      <c r="G55" s="187" t="s">
        <v>38</v>
      </c>
      <c r="H55" s="188" t="s">
        <v>39</v>
      </c>
      <c r="I55" s="189" t="s">
        <v>36</v>
      </c>
      <c r="J55" s="189" t="s">
        <v>38</v>
      </c>
      <c r="K55" s="190" t="s">
        <v>39</v>
      </c>
    </row>
    <row r="56" spans="2:11" ht="15">
      <c r="B56" s="29" t="s">
        <v>64</v>
      </c>
      <c r="C56" s="191"/>
      <c r="D56" s="76">
        <f>'[33]YTD 2026'!$E5</f>
        <v>6.6688605778438586</v>
      </c>
      <c r="E56" s="192">
        <v>5</v>
      </c>
      <c r="F56" s="191"/>
      <c r="G56" s="76">
        <f>[12]April_2026!$AQ3</f>
        <v>6.4485548463211986</v>
      </c>
      <c r="H56" s="192">
        <v>5</v>
      </c>
      <c r="I56" s="193"/>
      <c r="J56" s="194">
        <f>[13]April_2026!$AQ13</f>
        <v>0.51798031256288712</v>
      </c>
      <c r="K56" s="195">
        <v>1</v>
      </c>
    </row>
    <row r="57" spans="2:11" ht="15">
      <c r="B57" s="33" t="s">
        <v>72</v>
      </c>
      <c r="C57" s="191"/>
      <c r="D57" s="76">
        <f>'[33]YTD 2026'!$E6</f>
        <v>6.0838074055063762</v>
      </c>
      <c r="E57" s="192">
        <v>5</v>
      </c>
      <c r="F57" s="191"/>
      <c r="G57" s="76">
        <f>[12]April_2026!$AQ4</f>
        <v>5.6038747647231943</v>
      </c>
      <c r="H57" s="192">
        <v>5</v>
      </c>
      <c r="I57" s="196"/>
      <c r="J57" s="194">
        <f>[13]April_2026!$AQ14</f>
        <v>0.72493688613389817</v>
      </c>
      <c r="K57" s="195">
        <v>1</v>
      </c>
    </row>
    <row r="58" spans="2:11" ht="15">
      <c r="B58" s="34" t="s">
        <v>73</v>
      </c>
      <c r="C58" s="191"/>
      <c r="D58" s="76">
        <f>'[33]YTD 2026'!$E7</f>
        <v>12.019739161085637</v>
      </c>
      <c r="E58" s="192">
        <v>5</v>
      </c>
      <c r="F58" s="191"/>
      <c r="G58" s="76">
        <f>[12]April_2026!$AQ5</f>
        <v>13.201587402597006</v>
      </c>
      <c r="H58" s="192">
        <v>5</v>
      </c>
      <c r="I58" s="196"/>
      <c r="J58" s="194">
        <f>[13]April_2026!$AQ15</f>
        <v>0.2727383040935672</v>
      </c>
      <c r="K58" s="195">
        <v>1</v>
      </c>
    </row>
    <row r="59" spans="2:11" ht="15">
      <c r="B59" s="197" t="s">
        <v>74</v>
      </c>
      <c r="C59" s="191"/>
      <c r="D59" s="76">
        <f>'[33]YTD 2026'!$E8</f>
        <v>4.601418358346991</v>
      </c>
      <c r="E59" s="192">
        <v>3.5</v>
      </c>
      <c r="F59" s="191"/>
      <c r="G59" s="76">
        <f>[12]April_2026!$AQ6</f>
        <v>4.3274739720788533</v>
      </c>
      <c r="H59" s="192">
        <v>3.5</v>
      </c>
      <c r="I59" s="196"/>
      <c r="J59" s="194">
        <f>[13]April_2026!$AQ16</f>
        <v>0.8292543859649123</v>
      </c>
      <c r="K59" s="195">
        <v>1</v>
      </c>
    </row>
    <row r="60" spans="2:11" ht="15.75" thickBot="1">
      <c r="B60" s="38" t="s">
        <v>160</v>
      </c>
      <c r="C60" s="191"/>
      <c r="D60" s="76" t="e">
        <f>'[33]YTD 2026'!$E9</f>
        <v>#DIV/0!</v>
      </c>
      <c r="E60" s="192">
        <v>3.5</v>
      </c>
      <c r="F60" s="198"/>
      <c r="G60" s="76" t="e">
        <f>[12]April_2026!$AQ7</f>
        <v>#DIV/0!</v>
      </c>
      <c r="H60" s="192">
        <v>3.5</v>
      </c>
      <c r="I60" s="196"/>
      <c r="J60" s="194" t="e">
        <f>[13]April_2026!$AQ17</f>
        <v>#DIV/0!</v>
      </c>
      <c r="K60" s="195">
        <v>1</v>
      </c>
    </row>
    <row r="61" spans="2:11" ht="15">
      <c r="B61" s="199" t="s">
        <v>76</v>
      </c>
      <c r="C61" s="191"/>
      <c r="D61" s="76">
        <f>'[33]YTD 2026'!$E10</f>
        <v>5.1105651105651271</v>
      </c>
      <c r="E61" s="200">
        <v>5</v>
      </c>
      <c r="F61" s="191"/>
      <c r="G61" s="76">
        <f>[12]April_2026!$AQ8</f>
        <v>7.9131369535794072</v>
      </c>
      <c r="H61" s="200">
        <v>5</v>
      </c>
      <c r="I61" s="196"/>
      <c r="J61" s="194">
        <f>[13]April_2026!$AQ18</f>
        <v>1.3550877192982456</v>
      </c>
      <c r="K61" s="195">
        <v>1</v>
      </c>
    </row>
    <row r="62" spans="2:11" ht="15">
      <c r="B62" s="201" t="s">
        <v>82</v>
      </c>
      <c r="C62" s="202"/>
      <c r="D62" s="76">
        <f>'[33]YTD 2026'!$E11</f>
        <v>3.7431500795474548</v>
      </c>
      <c r="E62" s="200">
        <v>3.3</v>
      </c>
      <c r="F62" s="202"/>
      <c r="G62" s="76">
        <f>[12]April_2026!$AQ9</f>
        <v>4.8236555171494695</v>
      </c>
      <c r="H62" s="200">
        <v>3.3</v>
      </c>
      <c r="I62" s="203"/>
      <c r="J62" s="194">
        <f>[13]April_2026!$AQ19</f>
        <v>0.89457115009746591</v>
      </c>
      <c r="K62" s="204">
        <v>1</v>
      </c>
    </row>
    <row r="63" spans="2:11" ht="15.75" thickBot="1">
      <c r="B63" s="38" t="s">
        <v>128</v>
      </c>
      <c r="C63" s="205"/>
      <c r="D63" s="76" t="e">
        <f>'[33]YTD 2026'!$E12</f>
        <v>#DIV/0!</v>
      </c>
      <c r="E63" s="206">
        <v>3.5</v>
      </c>
      <c r="F63" s="205"/>
      <c r="G63" s="76" t="e">
        <f>[12]April_2026!$AQ10</f>
        <v>#DIV/0!</v>
      </c>
      <c r="H63" s="206">
        <v>3.5</v>
      </c>
      <c r="I63" s="207"/>
      <c r="J63" s="194" t="e">
        <f>[13]April_2026!$AQ20</f>
        <v>#DIV/0!</v>
      </c>
      <c r="K63" s="208">
        <v>1</v>
      </c>
    </row>
    <row r="64" spans="2:11" ht="15.75" thickBot="1">
      <c r="B64" s="413" t="s">
        <v>159</v>
      </c>
      <c r="C64" s="205"/>
      <c r="D64" s="76" t="e">
        <f>'[33]YTD 2026'!$E13</f>
        <v>#DIV/0!</v>
      </c>
      <c r="E64" s="206">
        <v>5</v>
      </c>
      <c r="F64" s="205"/>
      <c r="G64" s="76" t="e">
        <f>[12]April_2026!$AQ11</f>
        <v>#DIV/0!</v>
      </c>
      <c r="H64" s="206">
        <v>5</v>
      </c>
      <c r="I64" s="207"/>
      <c r="J64" s="194" t="e">
        <f>[13]April_2026!$AQ21</f>
        <v>#DIV/0!</v>
      </c>
      <c r="K64" s="208">
        <v>1</v>
      </c>
    </row>
    <row r="65" spans="2:11">
      <c r="B65" s="209"/>
      <c r="C65" s="210"/>
      <c r="D65" s="76">
        <f>'[33]YTD 2026'!$E14</f>
        <v>6.4730616420162699</v>
      </c>
      <c r="E65" s="210"/>
      <c r="F65" s="210"/>
      <c r="G65" s="76">
        <f>[12]April_2026!$AQ12</f>
        <v>6.517968096037043</v>
      </c>
      <c r="H65" s="211"/>
      <c r="I65" s="212"/>
      <c r="J65" s="194">
        <f>[13]April_2026!$AQ22</f>
        <v>0.59503086476353495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B2:K2"/>
    <mergeCell ref="C4:D4"/>
    <mergeCell ref="B8:B9"/>
    <mergeCell ref="C8:C9"/>
    <mergeCell ref="D8:D9"/>
    <mergeCell ref="G8:G9"/>
    <mergeCell ref="H8:H9"/>
    <mergeCell ref="I8:I9"/>
    <mergeCell ref="K8:K9"/>
    <mergeCell ref="F21:G21"/>
    <mergeCell ref="K43:K44"/>
    <mergeCell ref="H45:J45"/>
    <mergeCell ref="B43:B44"/>
    <mergeCell ref="C43:C44"/>
    <mergeCell ref="D43:D44"/>
    <mergeCell ref="E43:E4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H52:J52"/>
    <mergeCell ref="D53:J53"/>
    <mergeCell ref="B54:E54"/>
    <mergeCell ref="F54:H54"/>
    <mergeCell ref="I54:K54"/>
  </mergeCells>
  <printOptions horizontalCentered="1"/>
  <pageMargins left="0.25" right="0.24" top="0.5" bottom="0.5" header="0.5" footer="0.5"/>
  <pageSetup scale="9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DA13-74B1-4009-90C9-5A553EBA7938}">
  <sheetPr codeName="Sheet20">
    <tabColor rgb="FFFFFF00"/>
  </sheetPr>
  <dimension ref="A1:M38"/>
  <sheetViews>
    <sheetView topLeftCell="B16" workbookViewId="0">
      <selection activeCell="E70" sqref="E70"/>
    </sheetView>
  </sheetViews>
  <sheetFormatPr defaultRowHeight="12.75"/>
  <cols>
    <col min="2" max="2" width="9.5703125" customWidth="1"/>
    <col min="3" max="3" width="11" customWidth="1"/>
    <col min="4" max="4" width="13.5703125" customWidth="1"/>
    <col min="5" max="5" width="15.5703125" customWidth="1"/>
    <col min="11" max="11" width="10.42578125" bestFit="1" customWidth="1"/>
    <col min="12" max="12" width="15.42578125" bestFit="1" customWidth="1"/>
    <col min="13" max="13" width="12.28515625" bestFit="1" customWidth="1"/>
  </cols>
  <sheetData>
    <row r="1" spans="1:13" ht="15">
      <c r="A1" s="215"/>
      <c r="B1" s="215"/>
      <c r="C1" s="215"/>
      <c r="D1" s="215"/>
      <c r="E1" s="215"/>
      <c r="F1" s="215"/>
      <c r="G1" s="215"/>
      <c r="H1" s="215"/>
      <c r="I1" s="215"/>
      <c r="J1" s="215"/>
      <c r="K1" s="215"/>
    </row>
    <row r="2" spans="1:13" ht="15.75">
      <c r="A2" s="215"/>
      <c r="B2" s="625" t="s">
        <v>34</v>
      </c>
      <c r="C2" s="625"/>
      <c r="D2" s="625"/>
      <c r="E2" s="215"/>
      <c r="F2" s="215"/>
      <c r="G2" s="215"/>
      <c r="H2" s="215"/>
      <c r="I2" s="215"/>
      <c r="J2" s="215"/>
      <c r="K2" s="215"/>
    </row>
    <row r="3" spans="1:13" s="219" customFormat="1" ht="15.75">
      <c r="A3" s="216"/>
      <c r="B3" s="217" t="s">
        <v>84</v>
      </c>
      <c r="C3" s="218" t="s">
        <v>85</v>
      </c>
      <c r="D3" s="218" t="s">
        <v>86</v>
      </c>
      <c r="E3" s="218" t="s">
        <v>87</v>
      </c>
      <c r="F3" s="218" t="s">
        <v>88</v>
      </c>
      <c r="G3" s="218" t="s">
        <v>89</v>
      </c>
      <c r="H3" s="218" t="s">
        <v>90</v>
      </c>
      <c r="I3" s="218" t="s">
        <v>91</v>
      </c>
      <c r="J3" s="218" t="s">
        <v>92</v>
      </c>
      <c r="K3" s="218" t="s">
        <v>93</v>
      </c>
      <c r="L3" s="218" t="s">
        <v>94</v>
      </c>
      <c r="M3" s="218" t="s">
        <v>95</v>
      </c>
    </row>
    <row r="4" spans="1:13" ht="15">
      <c r="A4" s="215"/>
      <c r="B4" s="220">
        <v>98</v>
      </c>
      <c r="C4" s="221" t="s">
        <v>64</v>
      </c>
      <c r="D4" s="222"/>
      <c r="E4" s="223"/>
      <c r="F4" s="223"/>
      <c r="G4" s="223"/>
      <c r="H4" s="223"/>
      <c r="I4" s="223"/>
      <c r="J4" s="223"/>
      <c r="K4" s="223"/>
      <c r="L4" s="223"/>
    </row>
    <row r="5" spans="1:13" ht="15">
      <c r="A5" s="215"/>
      <c r="B5" s="220">
        <v>98</v>
      </c>
      <c r="C5" s="224" t="s">
        <v>72</v>
      </c>
      <c r="D5" s="223"/>
      <c r="E5" s="223"/>
      <c r="F5" s="223"/>
      <c r="G5" s="223"/>
      <c r="H5" s="223"/>
      <c r="I5" s="223"/>
      <c r="J5" s="223"/>
      <c r="K5" s="223"/>
      <c r="L5" s="223"/>
    </row>
    <row r="6" spans="1:13" ht="15">
      <c r="A6" s="215"/>
      <c r="B6" s="220">
        <v>98</v>
      </c>
      <c r="C6" s="225" t="s">
        <v>96</v>
      </c>
      <c r="D6" s="222"/>
      <c r="E6" s="223"/>
      <c r="F6" s="223"/>
      <c r="G6" s="223"/>
      <c r="H6" s="223"/>
      <c r="I6" s="223"/>
      <c r="J6" s="223"/>
      <c r="K6" s="223"/>
      <c r="L6" s="223"/>
    </row>
    <row r="7" spans="1:13" ht="15">
      <c r="A7" s="215"/>
      <c r="B7" s="220">
        <v>98</v>
      </c>
      <c r="C7" s="226" t="s">
        <v>76</v>
      </c>
      <c r="D7" s="223"/>
      <c r="E7" s="223"/>
      <c r="F7" s="223"/>
      <c r="G7" s="223"/>
      <c r="H7" s="223"/>
      <c r="I7" s="223"/>
      <c r="J7" s="223"/>
      <c r="K7" s="223"/>
      <c r="L7" s="223"/>
    </row>
    <row r="8" spans="1:13" ht="15">
      <c r="A8" s="215"/>
      <c r="B8" s="220">
        <v>98</v>
      </c>
      <c r="C8" s="227" t="s">
        <v>83</v>
      </c>
      <c r="D8" s="222"/>
      <c r="E8" s="223"/>
      <c r="F8" s="223"/>
      <c r="G8" s="223"/>
      <c r="H8" s="223"/>
      <c r="I8" s="223"/>
      <c r="J8" s="223"/>
      <c r="K8" s="223"/>
      <c r="L8" s="223"/>
    </row>
    <row r="9" spans="1:13" ht="15">
      <c r="A9" s="215"/>
      <c r="B9" s="220">
        <v>98</v>
      </c>
      <c r="C9" s="228" t="s">
        <v>97</v>
      </c>
      <c r="D9" s="223"/>
      <c r="E9" s="223"/>
      <c r="F9" s="223"/>
      <c r="G9" s="223"/>
      <c r="H9" s="223"/>
      <c r="I9" s="223"/>
      <c r="J9" s="223"/>
      <c r="K9" s="223"/>
      <c r="L9" s="223"/>
    </row>
    <row r="10" spans="1:13" ht="15">
      <c r="A10" s="215"/>
      <c r="B10" s="220">
        <v>98</v>
      </c>
      <c r="C10" s="229" t="s">
        <v>98</v>
      </c>
      <c r="D10" s="222"/>
      <c r="E10" s="223"/>
      <c r="F10" s="223"/>
      <c r="G10" s="223"/>
      <c r="H10" s="223"/>
      <c r="I10" s="223"/>
      <c r="J10" s="223"/>
      <c r="K10" s="223"/>
      <c r="L10" s="223"/>
    </row>
    <row r="11" spans="1:13" ht="15">
      <c r="A11" s="215"/>
      <c r="B11" s="220">
        <v>98</v>
      </c>
      <c r="C11" s="230" t="s">
        <v>74</v>
      </c>
      <c r="D11" s="223"/>
      <c r="E11" s="223"/>
      <c r="F11" s="223"/>
      <c r="G11" s="223"/>
      <c r="H11" s="223"/>
      <c r="I11" s="223"/>
      <c r="J11" s="223"/>
      <c r="K11" s="223"/>
      <c r="L11" s="223"/>
    </row>
    <row r="12" spans="1:13" s="219" customFormat="1" ht="15.75">
      <c r="A12" s="216"/>
      <c r="B12" s="231">
        <v>98</v>
      </c>
      <c r="C12" s="232" t="s">
        <v>99</v>
      </c>
      <c r="D12" s="233"/>
      <c r="E12" s="234"/>
      <c r="F12" s="234"/>
      <c r="G12" s="234"/>
      <c r="H12" s="234"/>
      <c r="I12" s="234"/>
      <c r="J12" s="234"/>
      <c r="K12" s="234"/>
      <c r="L12" s="234"/>
    </row>
    <row r="13" spans="1:13" ht="15">
      <c r="A13" s="215"/>
      <c r="B13" s="215"/>
      <c r="C13" s="215"/>
      <c r="D13" s="215"/>
      <c r="E13" s="215"/>
      <c r="F13" s="215"/>
      <c r="G13" s="215"/>
      <c r="H13" s="215"/>
      <c r="I13" s="215"/>
      <c r="J13" s="215"/>
      <c r="K13" s="215"/>
    </row>
    <row r="14" spans="1:13" ht="15.75">
      <c r="A14" s="215"/>
      <c r="B14" s="625" t="s">
        <v>100</v>
      </c>
      <c r="C14" s="625"/>
      <c r="D14" s="625"/>
      <c r="E14" s="215"/>
      <c r="F14" s="215"/>
      <c r="G14" s="215"/>
      <c r="H14" s="215"/>
      <c r="I14" s="215"/>
      <c r="J14" s="215"/>
      <c r="K14" s="215"/>
    </row>
    <row r="15" spans="1:13" ht="15.75">
      <c r="A15" s="215"/>
      <c r="B15" s="217" t="s">
        <v>84</v>
      </c>
      <c r="C15" s="218" t="s">
        <v>85</v>
      </c>
      <c r="D15" s="218" t="s">
        <v>86</v>
      </c>
      <c r="E15" s="218" t="s">
        <v>87</v>
      </c>
      <c r="F15" s="218" t="s">
        <v>88</v>
      </c>
      <c r="G15" s="218" t="s">
        <v>89</v>
      </c>
      <c r="H15" s="218" t="s">
        <v>90</v>
      </c>
      <c r="I15" s="218" t="s">
        <v>91</v>
      </c>
      <c r="J15" s="218" t="s">
        <v>92</v>
      </c>
      <c r="K15" s="218" t="s">
        <v>93</v>
      </c>
      <c r="L15" s="218" t="s">
        <v>94</v>
      </c>
      <c r="M15" s="218" t="s">
        <v>95</v>
      </c>
    </row>
    <row r="16" spans="1:13" ht="15">
      <c r="A16" s="215"/>
      <c r="B16" s="220">
        <v>4.8</v>
      </c>
      <c r="C16" s="221" t="s">
        <v>64</v>
      </c>
      <c r="D16" s="222"/>
      <c r="E16" s="222"/>
      <c r="F16" s="222"/>
      <c r="G16" s="222"/>
      <c r="H16" s="222"/>
      <c r="I16" s="222"/>
      <c r="J16" s="222"/>
      <c r="K16" s="222"/>
      <c r="L16" s="222"/>
      <c r="M16" s="222"/>
    </row>
    <row r="17" spans="1:13" ht="15">
      <c r="A17" s="215"/>
      <c r="B17" s="220">
        <v>4.8</v>
      </c>
      <c r="C17" s="224" t="s">
        <v>72</v>
      </c>
      <c r="D17" s="223"/>
      <c r="E17" s="223"/>
      <c r="F17" s="223"/>
      <c r="G17" s="223"/>
      <c r="H17" s="223"/>
      <c r="I17" s="223"/>
      <c r="J17" s="223"/>
      <c r="K17" s="223"/>
      <c r="L17" s="223"/>
      <c r="M17" s="223"/>
    </row>
    <row r="18" spans="1:13" ht="15">
      <c r="A18" s="215"/>
      <c r="B18" s="220">
        <v>5.5</v>
      </c>
      <c r="C18" s="225" t="s">
        <v>96</v>
      </c>
      <c r="D18" s="222"/>
      <c r="E18" s="222"/>
      <c r="F18" s="222"/>
      <c r="G18" s="222"/>
      <c r="H18" s="222"/>
      <c r="I18" s="222"/>
      <c r="J18" s="222"/>
      <c r="K18" s="222"/>
      <c r="L18" s="222"/>
      <c r="M18" s="222"/>
    </row>
    <row r="19" spans="1:13" ht="15">
      <c r="A19" s="215"/>
      <c r="B19" s="220">
        <v>3.3</v>
      </c>
      <c r="C19" s="230" t="s">
        <v>74</v>
      </c>
      <c r="D19" s="223"/>
      <c r="E19" s="223"/>
      <c r="F19" s="223"/>
      <c r="G19" s="223"/>
      <c r="H19" s="223"/>
      <c r="I19" s="223"/>
      <c r="J19" s="223"/>
      <c r="K19" s="223"/>
      <c r="L19" s="223"/>
      <c r="M19" s="223"/>
    </row>
    <row r="20" spans="1:13" ht="15">
      <c r="A20" s="215"/>
      <c r="B20" s="220">
        <v>3.3</v>
      </c>
      <c r="C20" s="228" t="s">
        <v>97</v>
      </c>
      <c r="D20" s="222"/>
      <c r="E20" s="222"/>
      <c r="F20" s="222"/>
      <c r="G20" s="222"/>
      <c r="H20" s="222"/>
      <c r="I20" s="222"/>
      <c r="J20" s="222"/>
      <c r="K20" s="222"/>
      <c r="L20" s="222"/>
      <c r="M20" s="222"/>
    </row>
    <row r="21" spans="1:13" ht="15">
      <c r="A21" s="215"/>
      <c r="B21" s="220">
        <v>5.5</v>
      </c>
      <c r="C21" s="226" t="s">
        <v>76</v>
      </c>
      <c r="D21" s="223"/>
      <c r="E21" s="223"/>
      <c r="F21" s="223"/>
      <c r="G21" s="223"/>
      <c r="H21" s="223"/>
      <c r="I21" s="223"/>
      <c r="J21" s="223"/>
      <c r="K21" s="223"/>
      <c r="L21" s="223"/>
      <c r="M21" s="223"/>
    </row>
    <row r="22" spans="1:13" ht="15">
      <c r="A22" s="215"/>
      <c r="B22" s="220">
        <v>3.3</v>
      </c>
      <c r="C22" s="229" t="s">
        <v>98</v>
      </c>
      <c r="D22" s="222"/>
      <c r="E22" s="222"/>
      <c r="F22" s="222"/>
      <c r="G22" s="222"/>
      <c r="H22" s="222"/>
      <c r="I22" s="222"/>
      <c r="J22" s="222"/>
      <c r="K22" s="222"/>
      <c r="L22" s="222"/>
      <c r="M22" s="222"/>
    </row>
    <row r="23" spans="1:13" ht="15">
      <c r="A23" s="215"/>
      <c r="B23" s="220">
        <v>7.5</v>
      </c>
      <c r="C23" s="227" t="s">
        <v>83</v>
      </c>
      <c r="D23" s="223"/>
      <c r="E23" s="223"/>
      <c r="F23" s="223"/>
      <c r="G23" s="223"/>
      <c r="H23" s="223"/>
      <c r="I23" s="223"/>
      <c r="J23" s="223"/>
      <c r="K23" s="223"/>
      <c r="L23" s="223"/>
      <c r="M23" s="223"/>
    </row>
    <row r="24" spans="1:13" s="219" customFormat="1" ht="15.75">
      <c r="A24" s="216"/>
      <c r="B24" s="216"/>
      <c r="C24" s="232" t="s">
        <v>99</v>
      </c>
      <c r="D24" s="233"/>
      <c r="E24" s="233"/>
      <c r="F24" s="233"/>
      <c r="G24" s="233"/>
      <c r="H24" s="233"/>
      <c r="I24" s="233"/>
      <c r="J24" s="233"/>
      <c r="K24" s="233"/>
      <c r="L24" s="233"/>
      <c r="M24" s="233"/>
    </row>
    <row r="25" spans="1:13" ht="15">
      <c r="A25" s="215"/>
      <c r="B25" s="215"/>
      <c r="C25" s="215"/>
      <c r="D25" s="215"/>
      <c r="E25" s="215"/>
      <c r="F25" s="215"/>
      <c r="G25" s="215"/>
      <c r="H25" s="215"/>
      <c r="I25" s="215"/>
      <c r="J25" s="215"/>
      <c r="K25" s="215"/>
    </row>
    <row r="26" spans="1:13" ht="15">
      <c r="A26" s="215"/>
      <c r="B26" s="215"/>
      <c r="C26" s="215"/>
      <c r="D26" s="215"/>
      <c r="E26" s="215"/>
      <c r="F26" s="215"/>
      <c r="G26" s="215"/>
      <c r="H26" s="215"/>
      <c r="I26" s="215"/>
      <c r="J26" s="215"/>
      <c r="K26" s="215"/>
    </row>
    <row r="27" spans="1:13" ht="15.75">
      <c r="A27" s="215"/>
      <c r="B27" s="625" t="s">
        <v>101</v>
      </c>
      <c r="C27" s="625"/>
      <c r="D27" s="625"/>
      <c r="E27" s="215"/>
      <c r="F27" s="215"/>
      <c r="G27" s="215"/>
      <c r="H27" s="215"/>
      <c r="I27" s="215"/>
      <c r="J27" s="215"/>
      <c r="K27" s="215"/>
    </row>
    <row r="28" spans="1:13" ht="15.75">
      <c r="A28" s="215"/>
      <c r="B28" s="217" t="s">
        <v>84</v>
      </c>
      <c r="C28" s="235" t="s">
        <v>85</v>
      </c>
      <c r="D28" s="218" t="s">
        <v>86</v>
      </c>
      <c r="E28" s="218" t="s">
        <v>87</v>
      </c>
      <c r="F28" s="218" t="s">
        <v>88</v>
      </c>
      <c r="G28" s="218" t="s">
        <v>89</v>
      </c>
      <c r="H28" s="218" t="s">
        <v>90</v>
      </c>
      <c r="I28" s="218" t="s">
        <v>91</v>
      </c>
      <c r="J28" s="218" t="s">
        <v>92</v>
      </c>
      <c r="K28" s="218" t="s">
        <v>93</v>
      </c>
      <c r="L28" s="218" t="s">
        <v>94</v>
      </c>
      <c r="M28" s="218" t="s">
        <v>95</v>
      </c>
    </row>
    <row r="29" spans="1:13" ht="15">
      <c r="A29" s="215"/>
      <c r="B29" s="220">
        <v>4.5999999999999996</v>
      </c>
      <c r="C29" s="236" t="s">
        <v>64</v>
      </c>
      <c r="D29" s="222"/>
      <c r="E29" s="222"/>
      <c r="F29" s="222"/>
      <c r="G29" s="222"/>
      <c r="H29" s="222"/>
      <c r="I29" s="222"/>
      <c r="J29" s="237"/>
      <c r="K29" s="237"/>
      <c r="L29" s="237"/>
      <c r="M29" s="237"/>
    </row>
    <row r="30" spans="1:13" ht="15">
      <c r="A30" s="215"/>
      <c r="B30" s="220">
        <v>4.5999999999999996</v>
      </c>
      <c r="C30" s="238" t="s">
        <v>72</v>
      </c>
      <c r="D30" s="223"/>
      <c r="E30" s="223"/>
      <c r="F30" s="223"/>
      <c r="G30" s="223"/>
      <c r="H30" s="223"/>
      <c r="I30" s="223"/>
      <c r="J30" s="239"/>
      <c r="K30" s="239"/>
      <c r="L30" s="239"/>
      <c r="M30" s="239"/>
    </row>
    <row r="31" spans="1:13" ht="15">
      <c r="A31" s="215"/>
      <c r="B31" s="220">
        <v>5</v>
      </c>
      <c r="C31" s="240" t="s">
        <v>96</v>
      </c>
      <c r="D31" s="222"/>
      <c r="E31" s="222"/>
      <c r="F31" s="222"/>
      <c r="G31" s="222"/>
      <c r="H31" s="222"/>
      <c r="I31" s="222"/>
      <c r="J31" s="237"/>
      <c r="K31" s="237"/>
      <c r="L31" s="237"/>
      <c r="M31" s="237"/>
    </row>
    <row r="32" spans="1:13" ht="15">
      <c r="A32" s="215"/>
      <c r="B32" s="220">
        <v>5</v>
      </c>
      <c r="C32" s="241" t="s">
        <v>76</v>
      </c>
      <c r="D32" s="223"/>
      <c r="E32" s="223"/>
      <c r="F32" s="223"/>
      <c r="G32" s="223"/>
      <c r="H32" s="223"/>
      <c r="I32" s="223"/>
      <c r="J32" s="239"/>
      <c r="K32" s="239"/>
      <c r="L32" s="239"/>
      <c r="M32" s="239"/>
    </row>
    <row r="33" spans="1:13" ht="15">
      <c r="A33" s="215"/>
      <c r="B33" s="220">
        <v>7.5</v>
      </c>
      <c r="C33" s="242" t="s">
        <v>83</v>
      </c>
      <c r="D33" s="222"/>
      <c r="E33" s="222"/>
      <c r="F33" s="222"/>
      <c r="G33" s="222"/>
      <c r="H33" s="222"/>
      <c r="I33" s="222"/>
      <c r="J33" s="222"/>
      <c r="K33" s="222"/>
      <c r="L33" s="222"/>
      <c r="M33" s="243"/>
    </row>
    <row r="34" spans="1:13" ht="15">
      <c r="A34" s="215"/>
      <c r="B34" s="220">
        <v>3.3</v>
      </c>
      <c r="C34" s="244" t="s">
        <v>97</v>
      </c>
      <c r="D34" s="223"/>
      <c r="E34" s="223"/>
      <c r="F34" s="223"/>
      <c r="G34" s="223"/>
      <c r="H34" s="223"/>
      <c r="I34" s="223"/>
      <c r="J34" s="223"/>
      <c r="K34" s="223"/>
      <c r="L34" s="223"/>
      <c r="M34" s="245"/>
    </row>
    <row r="35" spans="1:13" ht="15">
      <c r="A35" s="215"/>
      <c r="B35" s="220">
        <v>3.3</v>
      </c>
      <c r="C35" s="246" t="s">
        <v>98</v>
      </c>
      <c r="D35" s="222"/>
      <c r="E35" s="222"/>
      <c r="F35" s="222"/>
      <c r="G35" s="222"/>
      <c r="H35" s="222"/>
      <c r="I35" s="222"/>
      <c r="J35" s="237"/>
      <c r="K35" s="237"/>
      <c r="L35" s="237"/>
      <c r="M35" s="237"/>
    </row>
    <row r="36" spans="1:13" ht="15">
      <c r="A36" s="215"/>
      <c r="B36" s="220">
        <v>3.3</v>
      </c>
      <c r="C36" s="247" t="s">
        <v>74</v>
      </c>
      <c r="D36" s="223"/>
      <c r="E36" s="223"/>
      <c r="F36" s="223"/>
      <c r="G36" s="223"/>
      <c r="H36" s="223"/>
      <c r="I36" s="223"/>
      <c r="J36" s="239"/>
      <c r="K36" s="239"/>
      <c r="L36" s="239"/>
      <c r="M36" s="239"/>
    </row>
    <row r="37" spans="1:13" ht="15.75">
      <c r="A37" s="215"/>
      <c r="B37" s="231">
        <v>4.5</v>
      </c>
      <c r="C37" s="248" t="s">
        <v>99</v>
      </c>
      <c r="D37" s="233"/>
      <c r="E37" s="233"/>
      <c r="F37" s="233"/>
      <c r="G37" s="233"/>
      <c r="H37" s="233"/>
      <c r="I37" s="233"/>
      <c r="J37" s="249"/>
      <c r="K37" s="249"/>
      <c r="L37" s="249"/>
      <c r="M37" s="249"/>
    </row>
    <row r="38" spans="1:13" ht="15">
      <c r="A38" s="215"/>
      <c r="B38" s="215"/>
      <c r="C38" s="215"/>
      <c r="D38" s="215"/>
      <c r="E38" s="215"/>
      <c r="F38" s="215"/>
      <c r="G38" s="215"/>
      <c r="H38" s="215"/>
      <c r="I38" s="215"/>
      <c r="J38" s="215"/>
      <c r="K38" s="215"/>
    </row>
  </sheetData>
  <mergeCells count="3">
    <mergeCell ref="B2:D2"/>
    <mergeCell ref="B14:D14"/>
    <mergeCell ref="B27:D27"/>
  </mergeCells>
  <pageMargins left="0.7" right="0.7" top="0.75" bottom="0.75" header="0.3" footer="0.3"/>
  <pageSetup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F381E-10D5-4CC1-8443-AB3C4DD2F491}">
  <sheetPr codeName="Sheet21">
    <tabColor rgb="FF92D050"/>
    <pageSetUpPr fitToPage="1"/>
  </sheetPr>
  <dimension ref="B2:W76"/>
  <sheetViews>
    <sheetView showGridLines="0" topLeftCell="A22" zoomScaleNormal="100" workbookViewId="0">
      <selection activeCell="M40" sqref="M40:M46"/>
    </sheetView>
  </sheetViews>
  <sheetFormatPr defaultRowHeight="12.75"/>
  <cols>
    <col min="1" max="1" width="2.42578125" customWidth="1"/>
    <col min="2" max="2" width="6.42578125" customWidth="1"/>
    <col min="3" max="3" width="25.42578125" customWidth="1"/>
    <col min="4" max="4" width="19.42578125" customWidth="1"/>
    <col min="5" max="5" width="15" customWidth="1"/>
    <col min="6" max="6" width="17.5703125" customWidth="1"/>
    <col min="7" max="7" width="13.42578125" customWidth="1"/>
    <col min="8" max="11" width="13.5703125" customWidth="1"/>
    <col min="12" max="12" width="17.42578125" bestFit="1" customWidth="1"/>
    <col min="13" max="15" width="17.42578125" customWidth="1"/>
    <col min="16" max="16" width="13.42578125" customWidth="1"/>
    <col min="17" max="17" width="8.5703125" customWidth="1"/>
    <col min="18" max="20" width="11.5703125" customWidth="1"/>
  </cols>
  <sheetData>
    <row r="2" spans="3:23" ht="15.75" thickBot="1"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</row>
    <row r="3" spans="3:23" ht="25.35" customHeight="1" thickTop="1" thickBot="1">
      <c r="C3" s="627" t="s">
        <v>102</v>
      </c>
      <c r="D3" s="628"/>
      <c r="E3" s="629">
        <f ca="1">TODAY()</f>
        <v>46148</v>
      </c>
      <c r="F3" s="629"/>
      <c r="G3" s="629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2"/>
    </row>
    <row r="4" spans="3:23" ht="20.100000000000001" customHeight="1" thickBot="1">
      <c r="C4" s="253" t="s">
        <v>103</v>
      </c>
      <c r="D4" s="254" t="s">
        <v>104</v>
      </c>
      <c r="E4" s="254" t="s">
        <v>37</v>
      </c>
      <c r="F4" s="255" t="s">
        <v>38</v>
      </c>
      <c r="G4" s="256" t="s">
        <v>84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2"/>
    </row>
    <row r="5" spans="3:23" ht="20.100000000000001" customHeight="1">
      <c r="C5" s="257" t="s">
        <v>105</v>
      </c>
      <c r="D5" s="258"/>
      <c r="E5" s="259">
        <f>VLOOKUP($C5,$C$40:$P$45,7,FALSE)</f>
        <v>98.214734207097663</v>
      </c>
      <c r="F5" s="260">
        <f>VLOOKUP($C5,$C$40:$P$45,14,FALSE)</f>
        <v>97.953297795741619</v>
      </c>
      <c r="G5" s="261">
        <v>98</v>
      </c>
      <c r="I5" s="251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51"/>
      <c r="V5" s="251"/>
      <c r="W5" s="252"/>
    </row>
    <row r="6" spans="3:23" ht="20.100000000000001" customHeight="1">
      <c r="C6" s="263" t="s">
        <v>106</v>
      </c>
      <c r="D6" s="258"/>
      <c r="E6" s="259">
        <f>VLOOKUP($C6,$C$40:$P$45,7,FALSE)</f>
        <v>97.831216272750581</v>
      </c>
      <c r="F6" s="260">
        <f>VLOOKUP($C6,$C$40:$P$45,14,FALSE)</f>
        <v>98.11994120800415</v>
      </c>
      <c r="G6" s="261">
        <v>98</v>
      </c>
      <c r="I6" s="251"/>
      <c r="J6" s="300"/>
      <c r="K6" s="299"/>
      <c r="L6" s="262"/>
      <c r="M6" s="262"/>
      <c r="N6" s="262"/>
      <c r="O6" s="262"/>
      <c r="P6" s="262"/>
      <c r="Q6" s="262"/>
      <c r="R6" s="262"/>
      <c r="S6" s="262"/>
      <c r="T6" s="262"/>
      <c r="U6" s="251"/>
      <c r="V6" s="251"/>
      <c r="W6" s="252"/>
    </row>
    <row r="7" spans="3:23" ht="20.100000000000001" customHeight="1">
      <c r="C7" s="263" t="s">
        <v>107</v>
      </c>
      <c r="D7" s="258"/>
      <c r="E7" s="259">
        <f>VLOOKUP($C7,$C$40:$P$45,7,FALSE)</f>
        <v>100.82497251003979</v>
      </c>
      <c r="F7" s="260">
        <f>VLOOKUP($C7,$C$40:$P$45,14,FALSE)</f>
        <v>99.564987122246436</v>
      </c>
      <c r="G7" s="261">
        <v>98</v>
      </c>
      <c r="I7" s="251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51"/>
      <c r="V7" s="251"/>
      <c r="W7" s="252"/>
    </row>
    <row r="8" spans="3:23" ht="20.100000000000001" customHeight="1">
      <c r="C8" s="263" t="s">
        <v>108</v>
      </c>
      <c r="D8" s="258"/>
      <c r="E8" s="259">
        <f>VLOOKUP($C8,$C$40:$P$45,7,FALSE)</f>
        <v>97.759800403711807</v>
      </c>
      <c r="F8" s="260">
        <f>VLOOKUP($C8,$C$40:$P$45,14,FALSE)</f>
        <v>98.122212110291372</v>
      </c>
      <c r="G8" s="261">
        <v>98</v>
      </c>
      <c r="I8" s="251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51"/>
      <c r="V8" s="251"/>
      <c r="W8" s="252"/>
    </row>
    <row r="9" spans="3:23" ht="20.100000000000001" customHeight="1">
      <c r="C9" s="263" t="s">
        <v>132</v>
      </c>
      <c r="D9" s="258"/>
      <c r="E9" s="259">
        <f>VLOOKUP($C9,$C$40:$P$45,7,FALSE)</f>
        <v>98.186950219332687</v>
      </c>
      <c r="F9" s="260">
        <f>VLOOKUP($C9,$C$40:$P$45,14,FALSE)</f>
        <v>98.089602299246422</v>
      </c>
      <c r="G9" s="261">
        <v>98</v>
      </c>
      <c r="I9" s="251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51"/>
      <c r="V9" s="251"/>
      <c r="W9" s="252"/>
    </row>
    <row r="10" spans="3:23" ht="19.5" thickBot="1">
      <c r="C10" s="264" t="s">
        <v>99</v>
      </c>
      <c r="D10" s="265"/>
      <c r="E10" s="265">
        <f>AVERAGE(E5:E9)</f>
        <v>98.56353472258651</v>
      </c>
      <c r="F10" s="298" t="e">
        <f>P47</f>
        <v>#DIV/0!</v>
      </c>
      <c r="G10" s="261">
        <v>98</v>
      </c>
      <c r="I10" s="251"/>
      <c r="J10" s="262"/>
      <c r="K10" s="262"/>
      <c r="L10" s="262"/>
      <c r="M10" s="262"/>
      <c r="N10" s="262"/>
      <c r="O10" s="262"/>
      <c r="P10" s="262"/>
      <c r="Q10" s="262"/>
      <c r="R10" s="262"/>
      <c r="S10" s="262"/>
      <c r="T10" s="262"/>
      <c r="U10" s="251"/>
      <c r="V10" s="251"/>
      <c r="W10" s="252"/>
    </row>
    <row r="14" spans="3:23" ht="20.25" customHeight="1">
      <c r="C14" s="630" t="s">
        <v>143</v>
      </c>
      <c r="D14" s="630"/>
      <c r="E14" s="630"/>
      <c r="F14" s="630"/>
      <c r="G14" s="630"/>
      <c r="H14" s="630"/>
    </row>
    <row r="15" spans="3:23" ht="15" customHeight="1">
      <c r="C15" s="630"/>
      <c r="D15" s="630"/>
      <c r="E15" s="630"/>
      <c r="F15" s="630"/>
      <c r="G15" s="630"/>
      <c r="H15" s="630"/>
    </row>
    <row r="16" spans="3:23" ht="15" customHeight="1">
      <c r="C16" s="630"/>
      <c r="D16" s="630"/>
      <c r="E16" s="630"/>
      <c r="F16" s="630"/>
      <c r="G16" s="630"/>
      <c r="H16" s="630"/>
    </row>
    <row r="17" spans="3:8" ht="15" customHeight="1">
      <c r="C17" s="630"/>
      <c r="D17" s="630"/>
      <c r="E17" s="630"/>
      <c r="F17" s="630"/>
      <c r="G17" s="630"/>
      <c r="H17" s="630"/>
    </row>
    <row r="18" spans="3:8" ht="15" customHeight="1">
      <c r="C18" s="630"/>
      <c r="D18" s="630"/>
      <c r="E18" s="630"/>
      <c r="F18" s="630"/>
      <c r="G18" s="630"/>
      <c r="H18" s="630"/>
    </row>
    <row r="19" spans="3:8" ht="15" customHeight="1">
      <c r="C19" s="630"/>
      <c r="D19" s="630"/>
      <c r="E19" s="630"/>
      <c r="F19" s="630"/>
      <c r="G19" s="630"/>
      <c r="H19" s="630"/>
    </row>
    <row r="20" spans="3:8" ht="15" customHeight="1">
      <c r="C20" s="630"/>
      <c r="D20" s="630"/>
      <c r="E20" s="630"/>
      <c r="F20" s="630"/>
      <c r="G20" s="630"/>
      <c r="H20" s="630"/>
    </row>
    <row r="21" spans="3:8" ht="15" customHeight="1">
      <c r="C21" s="630"/>
      <c r="D21" s="630"/>
      <c r="E21" s="630"/>
      <c r="F21" s="630"/>
      <c r="G21" s="630"/>
      <c r="H21" s="630"/>
    </row>
    <row r="22" spans="3:8" ht="15" customHeight="1">
      <c r="C22" s="630"/>
      <c r="D22" s="630"/>
      <c r="E22" s="630"/>
      <c r="F22" s="630"/>
      <c r="G22" s="630"/>
      <c r="H22" s="630"/>
    </row>
    <row r="23" spans="3:8" ht="15" customHeight="1">
      <c r="C23" s="630"/>
      <c r="D23" s="630"/>
      <c r="E23" s="630"/>
      <c r="F23" s="630"/>
      <c r="G23" s="630"/>
      <c r="H23" s="630"/>
    </row>
    <row r="24" spans="3:8" ht="15" customHeight="1">
      <c r="C24" s="630"/>
      <c r="D24" s="630"/>
      <c r="E24" s="630"/>
      <c r="F24" s="630"/>
      <c r="G24" s="630"/>
      <c r="H24" s="630"/>
    </row>
    <row r="25" spans="3:8" ht="15" customHeight="1">
      <c r="C25" s="630"/>
      <c r="D25" s="630"/>
      <c r="E25" s="630"/>
      <c r="F25" s="630"/>
      <c r="G25" s="630"/>
      <c r="H25" s="630"/>
    </row>
    <row r="26" spans="3:8" ht="15" customHeight="1">
      <c r="C26" s="630"/>
      <c r="D26" s="630"/>
      <c r="E26" s="630"/>
      <c r="F26" s="630"/>
      <c r="G26" s="630"/>
      <c r="H26" s="630"/>
    </row>
    <row r="27" spans="3:8" ht="15" customHeight="1">
      <c r="C27" s="630"/>
      <c r="D27" s="630"/>
      <c r="E27" s="630"/>
      <c r="F27" s="630"/>
      <c r="G27" s="630"/>
      <c r="H27" s="630"/>
    </row>
    <row r="28" spans="3:8" ht="15" customHeight="1">
      <c r="C28" s="630"/>
      <c r="D28" s="630"/>
      <c r="E28" s="630"/>
      <c r="F28" s="630"/>
      <c r="G28" s="630"/>
      <c r="H28" s="630"/>
    </row>
    <row r="29" spans="3:8" ht="15" customHeight="1">
      <c r="C29" s="630"/>
      <c r="D29" s="630"/>
      <c r="E29" s="630"/>
      <c r="F29" s="630"/>
      <c r="G29" s="630"/>
      <c r="H29" s="630"/>
    </row>
    <row r="30" spans="3:8" ht="15" customHeight="1">
      <c r="C30" s="630"/>
      <c r="D30" s="630"/>
      <c r="E30" s="630"/>
      <c r="F30" s="630"/>
      <c r="G30" s="630"/>
      <c r="H30" s="630"/>
    </row>
    <row r="31" spans="3:8" ht="15" customHeight="1">
      <c r="C31" s="630"/>
      <c r="D31" s="630"/>
      <c r="E31" s="630"/>
      <c r="F31" s="630"/>
      <c r="G31" s="630"/>
      <c r="H31" s="630"/>
    </row>
    <row r="36" spans="2:17" ht="15" customHeight="1"/>
    <row r="37" spans="2:17" ht="15" customHeight="1"/>
    <row r="38" spans="2:17" ht="30.75" customHeight="1" thickBot="1">
      <c r="C38" s="631" t="s">
        <v>109</v>
      </c>
      <c r="D38" s="631"/>
      <c r="E38" s="631"/>
      <c r="F38" s="632">
        <f ca="1">TODAY()</f>
        <v>46148</v>
      </c>
      <c r="G38" s="632"/>
      <c r="H38" s="632"/>
      <c r="I38" s="632"/>
      <c r="J38" s="633" t="s">
        <v>110</v>
      </c>
      <c r="K38" s="633"/>
      <c r="L38" s="633"/>
      <c r="M38" s="633"/>
      <c r="N38" s="633"/>
      <c r="O38" s="633"/>
      <c r="P38" s="633"/>
    </row>
    <row r="39" spans="2:17" ht="20.25" customHeight="1" thickBot="1">
      <c r="C39" s="253" t="s">
        <v>103</v>
      </c>
      <c r="D39" s="254" t="s">
        <v>111</v>
      </c>
      <c r="E39" s="254" t="s">
        <v>112</v>
      </c>
      <c r="F39" s="254" t="s">
        <v>113</v>
      </c>
      <c r="G39" s="254" t="s">
        <v>114</v>
      </c>
      <c r="H39" s="254" t="s">
        <v>115</v>
      </c>
      <c r="I39" s="254" t="s">
        <v>116</v>
      </c>
      <c r="J39" s="255" t="s">
        <v>117</v>
      </c>
      <c r="K39" s="255" t="s">
        <v>118</v>
      </c>
      <c r="L39" s="255" t="s">
        <v>119</v>
      </c>
      <c r="M39" s="255" t="s">
        <v>120</v>
      </c>
      <c r="N39" s="255" t="s">
        <v>121</v>
      </c>
      <c r="O39" s="255" t="s">
        <v>122</v>
      </c>
      <c r="P39" s="266" t="s">
        <v>38</v>
      </c>
    </row>
    <row r="40" spans="2:17" ht="17.25" customHeight="1">
      <c r="C40" s="257" t="s">
        <v>105</v>
      </c>
      <c r="D40" s="259">
        <f>'[38]Brewer Performance'!D40</f>
        <v>96.507822129582451</v>
      </c>
      <c r="E40" s="259">
        <f>AVERAGE('[39]Feb. 1'!I12:I13,'[39]Feb. 2'!I11:I14,[39]Feb.4!I13,[39]Feb.8!I14:I16,[39]Feb.9!I14,[39]Feb.9!I17:I18,[39]Feb10!I13:I16,[39]Feb14!I17,[39]Feb14!I15:I17,[39]Feb17!I10,[39]Feb17!I19:I21,'[39]Feb 21'!I10:I12,'[39]Feb 22'!I11:I13,'[39]Feb 23'!I14:I16,'[39]Feb 24'!I10:I12,'[39]Feb 25'!I13:I15,'[39]Feb 28'!I15:I18)</f>
        <v>98.284801217583563</v>
      </c>
      <c r="F40" s="259">
        <v>98.226686244092193</v>
      </c>
      <c r="G40" s="259">
        <v>98.210530202427222</v>
      </c>
      <c r="H40" s="259">
        <f>'[40]Brewer Performance'!H40</f>
        <v>98.517352497406634</v>
      </c>
      <c r="I40" s="259">
        <v>98.214734207097663</v>
      </c>
      <c r="J40" s="258">
        <v>98.198803831827249</v>
      </c>
      <c r="K40" s="267">
        <v>97.486490472733735</v>
      </c>
      <c r="L40" s="258">
        <v>97.932459358923822</v>
      </c>
      <c r="M40" s="331"/>
      <c r="N40" s="331"/>
      <c r="O40" s="258"/>
      <c r="P40" s="268">
        <f t="shared" ref="P40:P45" si="0">AVERAGE(D40:O40)</f>
        <v>97.953297795741619</v>
      </c>
    </row>
    <row r="41" spans="2:17" ht="17.25" customHeight="1">
      <c r="C41" s="263" t="s">
        <v>106</v>
      </c>
      <c r="D41" s="259">
        <f>'[38]Brewer Performance'!D41</f>
        <v>97.99738587335284</v>
      </c>
      <c r="E41" s="259">
        <f>AVERAGE('[39]Feb. 1'!I10:I11,'[39]Feb. 2'!I10,[39]Feb.3!I11:I13,[39]Feb.4!I10:I12,[39]Feb.8!I10,[39]Feb.8!I13,[39]Feb.9!I10:I13,[39]Feb10!I10:I12,[39]Feb11!I11:I13,[39]Feb14!I13:I14,[39]Feb17!I16:I18,[39]Feb18!I13:I15,'[39]Feb 21'!I17:I19,'[39]Feb 22'!I10,'[39]Feb 22'!I20:I22,'[39]Feb 23'!I10:I11,'[39]Feb 23'!I21,'[39]Feb 25'!I10:I12,'[39]Feb 28'!I11:I14)</f>
        <v>97.918121549662388</v>
      </c>
      <c r="F41" s="259">
        <v>98.070081368185257</v>
      </c>
      <c r="G41" s="259">
        <v>97.79453968977019</v>
      </c>
      <c r="H41" s="259">
        <f>'[40]Brewer Performance'!H41</f>
        <v>98.442574874312371</v>
      </c>
      <c r="I41" s="259">
        <v>97.831216272750581</v>
      </c>
      <c r="J41" s="258">
        <v>98.459260197488078</v>
      </c>
      <c r="K41" s="267">
        <v>98.711428992063503</v>
      </c>
      <c r="L41" s="258">
        <v>97.854862054451985</v>
      </c>
      <c r="M41" s="332"/>
      <c r="N41" s="331"/>
      <c r="O41" s="258"/>
      <c r="P41" s="268">
        <f t="shared" si="0"/>
        <v>98.11994120800415</v>
      </c>
    </row>
    <row r="42" spans="2:17" ht="17.25" customHeight="1">
      <c r="C42" s="263" t="s">
        <v>107</v>
      </c>
      <c r="D42" s="259"/>
      <c r="E42" s="259"/>
      <c r="F42" s="259"/>
      <c r="G42" s="259">
        <v>98.305001734453086</v>
      </c>
      <c r="H42" s="259"/>
      <c r="I42" s="259">
        <v>100.82497251003979</v>
      </c>
      <c r="J42" s="258"/>
      <c r="K42" s="267"/>
      <c r="L42" s="258"/>
      <c r="M42" s="331"/>
      <c r="N42" s="331"/>
      <c r="O42" s="258"/>
      <c r="P42" s="268">
        <f t="shared" si="0"/>
        <v>99.564987122246436</v>
      </c>
    </row>
    <row r="43" spans="2:17" ht="17.25" customHeight="1">
      <c r="C43" s="263" t="s">
        <v>141</v>
      </c>
      <c r="D43" s="259"/>
      <c r="E43" s="259"/>
      <c r="F43" s="259"/>
      <c r="G43" s="259"/>
      <c r="H43" s="259"/>
      <c r="I43" s="259"/>
      <c r="J43" s="258"/>
      <c r="K43" s="267">
        <v>100.09286182555712</v>
      </c>
      <c r="L43" s="258"/>
      <c r="M43" s="331"/>
      <c r="N43" s="331"/>
      <c r="O43" s="258"/>
      <c r="P43" s="268"/>
    </row>
    <row r="44" spans="2:17" ht="17.25" customHeight="1">
      <c r="C44" s="263" t="s">
        <v>108</v>
      </c>
      <c r="D44" s="259">
        <f>'[38]Brewer Performance'!D43</f>
        <v>98.304611060419475</v>
      </c>
      <c r="E44" s="259">
        <f>AVERAGE('[39]Feb. 2'!I15,[39]Feb.3!I10,[39]Feb.4!I16:I17,[39]Feb.8!I19:I21,[39]Feb.9!I19:I20,[39]Feb10!I17:I18,[39]Feb11!I10,[39]Feb14!I10:I12,[39]Feb17!I11:I13,[39]Feb18!I10:I12,'[39]Feb 21'!I13,'[39]Feb 21'!I16,'[39]Feb 22'!I16:I19,'[39]Feb 23'!I17:I20,'[39]Feb 24'!I15:I18,'[39]Feb 25'!I16:I17,'[39]Feb 28'!I10,'[39]Feb 28'!I19:I20)</f>
        <v>97.289162940824014</v>
      </c>
      <c r="F44" s="259">
        <v>98.163642226187022</v>
      </c>
      <c r="G44" s="259">
        <v>97.964054285784258</v>
      </c>
      <c r="H44" s="259">
        <f>'[40]Brewer Performance'!H43</f>
        <v>98.685415156420575</v>
      </c>
      <c r="I44" s="259">
        <v>97.759800403711807</v>
      </c>
      <c r="J44" s="258">
        <v>98.532266745142223</v>
      </c>
      <c r="K44" s="258">
        <v>98.484140672420295</v>
      </c>
      <c r="L44" s="258">
        <v>97.916815501712691</v>
      </c>
      <c r="M44" s="331"/>
      <c r="N44" s="331"/>
      <c r="O44" s="258"/>
      <c r="P44" s="268">
        <f t="shared" si="0"/>
        <v>98.122212110291372</v>
      </c>
    </row>
    <row r="45" spans="2:17" ht="17.25" customHeight="1">
      <c r="C45" s="263" t="s">
        <v>132</v>
      </c>
      <c r="D45" s="259">
        <f>'[38]Brewer Performance'!D44</f>
        <v>98.673584433402866</v>
      </c>
      <c r="E45" s="259"/>
      <c r="F45" s="259"/>
      <c r="G45" s="259"/>
      <c r="H45" s="259"/>
      <c r="I45" s="259">
        <v>98.186950219332687</v>
      </c>
      <c r="J45" s="258">
        <v>97.888270164748889</v>
      </c>
      <c r="K45" s="258">
        <v>97.609604379501235</v>
      </c>
      <c r="L45" s="258"/>
      <c r="M45" s="331"/>
      <c r="N45" s="331"/>
      <c r="O45" s="258"/>
      <c r="P45" s="268">
        <f t="shared" si="0"/>
        <v>98.089602299246422</v>
      </c>
    </row>
    <row r="46" spans="2:17" ht="17.25" customHeight="1">
      <c r="C46" s="316" t="s">
        <v>140</v>
      </c>
      <c r="D46" s="317"/>
      <c r="E46" s="317"/>
      <c r="F46" s="317"/>
      <c r="G46" s="317"/>
      <c r="H46" s="317"/>
      <c r="I46" s="317"/>
      <c r="J46" s="318"/>
      <c r="K46" s="318"/>
      <c r="L46" s="318">
        <v>97.511448216434601</v>
      </c>
      <c r="M46" s="333"/>
      <c r="N46" s="333"/>
      <c r="O46" s="318"/>
      <c r="P46" s="319"/>
    </row>
    <row r="47" spans="2:17" ht="14.25" customHeight="1" thickBot="1">
      <c r="C47" s="269" t="s">
        <v>99</v>
      </c>
      <c r="D47" s="270">
        <f>'[38]Brewer Performance'!D45</f>
        <v>97.870850874189415</v>
      </c>
      <c r="E47" s="270">
        <f>AVERAGE(E40:E45)</f>
        <v>97.830695236023317</v>
      </c>
      <c r="F47" s="270">
        <f>AVERAGE(F40:F45)</f>
        <v>98.153469946154814</v>
      </c>
      <c r="G47" s="270">
        <f>AVERAGE(G40:G45)</f>
        <v>98.068531478108682</v>
      </c>
      <c r="H47" s="270">
        <f>AVERAGE(H40:H45)</f>
        <v>98.548447509379855</v>
      </c>
      <c r="I47" s="270">
        <f>AVERAGE(I40:I45)</f>
        <v>98.56353472258651</v>
      </c>
      <c r="J47" s="270">
        <f t="shared" ref="J47:O47" si="1">AVERAGE(J40:J45)</f>
        <v>98.269650234801617</v>
      </c>
      <c r="K47" s="270">
        <f t="shared" si="1"/>
        <v>98.47690526845517</v>
      </c>
      <c r="L47" s="270">
        <f t="shared" si="1"/>
        <v>97.901378971696161</v>
      </c>
      <c r="M47" s="270" t="e">
        <f t="shared" si="1"/>
        <v>#DIV/0!</v>
      </c>
      <c r="N47" s="270" t="e">
        <f t="shared" si="1"/>
        <v>#DIV/0!</v>
      </c>
      <c r="O47" s="270" t="e">
        <f t="shared" si="1"/>
        <v>#DIV/0!</v>
      </c>
      <c r="P47" s="271" t="e">
        <f>AVERAGE(D47:N47)</f>
        <v>#DIV/0!</v>
      </c>
    </row>
    <row r="48" spans="2:17" ht="15" customHeight="1">
      <c r="B48" s="626" t="s">
        <v>123</v>
      </c>
      <c r="C48" s="626"/>
      <c r="D48" s="626"/>
      <c r="E48" s="626"/>
      <c r="F48" s="626"/>
      <c r="G48" s="626"/>
      <c r="H48" s="626"/>
      <c r="I48" s="626"/>
      <c r="J48" s="626"/>
      <c r="K48" s="626"/>
      <c r="L48" s="626"/>
      <c r="M48" s="626"/>
      <c r="N48" s="626"/>
      <c r="O48" s="626"/>
      <c r="P48" s="626"/>
      <c r="Q48" s="626"/>
    </row>
    <row r="49" spans="2:17" ht="15" customHeight="1">
      <c r="B49" s="626"/>
      <c r="C49" s="626"/>
      <c r="D49" s="626"/>
      <c r="E49" s="626"/>
      <c r="F49" s="626"/>
      <c r="G49" s="626"/>
      <c r="H49" s="626"/>
      <c r="I49" s="626"/>
      <c r="J49" s="626"/>
      <c r="K49" s="626"/>
      <c r="L49" s="626"/>
      <c r="M49" s="626"/>
      <c r="N49" s="626"/>
      <c r="O49" s="626"/>
      <c r="P49" s="626"/>
      <c r="Q49" s="626"/>
    </row>
    <row r="50" spans="2:17" ht="15" customHeight="1">
      <c r="B50" s="626"/>
      <c r="C50" s="626"/>
      <c r="D50" s="626"/>
      <c r="E50" s="626"/>
      <c r="F50" s="626"/>
      <c r="G50" s="626"/>
      <c r="H50" s="626"/>
      <c r="I50" s="626"/>
      <c r="J50" s="626"/>
      <c r="K50" s="626"/>
      <c r="L50" s="626"/>
      <c r="M50" s="626"/>
      <c r="N50" s="626"/>
      <c r="O50" s="626"/>
      <c r="P50" s="626"/>
      <c r="Q50" s="626"/>
    </row>
    <row r="51" spans="2:17" ht="15" customHeight="1">
      <c r="B51" s="626"/>
      <c r="C51" s="626"/>
      <c r="D51" s="626"/>
      <c r="E51" s="626"/>
      <c r="F51" s="626"/>
      <c r="G51" s="626"/>
      <c r="H51" s="626"/>
      <c r="I51" s="626"/>
      <c r="J51" s="626"/>
      <c r="K51" s="626"/>
      <c r="L51" s="626"/>
      <c r="M51" s="626"/>
      <c r="N51" s="626"/>
      <c r="O51" s="626"/>
      <c r="P51" s="626"/>
      <c r="Q51" s="626"/>
    </row>
    <row r="52" spans="2:17" ht="15" customHeight="1">
      <c r="B52" s="626"/>
      <c r="C52" s="626"/>
      <c r="D52" s="626"/>
      <c r="E52" s="626"/>
      <c r="F52" s="626"/>
      <c r="G52" s="626"/>
      <c r="H52" s="626"/>
      <c r="I52" s="626"/>
      <c r="J52" s="626"/>
      <c r="K52" s="626"/>
      <c r="L52" s="626"/>
      <c r="M52" s="626"/>
      <c r="N52" s="626"/>
      <c r="O52" s="626"/>
      <c r="P52" s="626"/>
      <c r="Q52" s="626"/>
    </row>
    <row r="53" spans="2:17" ht="15" customHeight="1">
      <c r="B53" s="626"/>
      <c r="C53" s="626"/>
      <c r="D53" s="626"/>
      <c r="E53" s="626"/>
      <c r="F53" s="626"/>
      <c r="G53" s="626"/>
      <c r="H53" s="626"/>
      <c r="I53" s="626"/>
      <c r="J53" s="626"/>
      <c r="K53" s="626"/>
      <c r="L53" s="626"/>
      <c r="M53" s="626"/>
      <c r="N53" s="626"/>
      <c r="O53" s="626"/>
      <c r="P53" s="626"/>
      <c r="Q53" s="626"/>
    </row>
    <row r="54" spans="2:17" ht="15" customHeight="1">
      <c r="B54" s="626"/>
      <c r="C54" s="626"/>
      <c r="D54" s="626"/>
      <c r="E54" s="626"/>
      <c r="F54" s="626"/>
      <c r="G54" s="626"/>
      <c r="H54" s="626"/>
      <c r="I54" s="626"/>
      <c r="J54" s="626"/>
      <c r="K54" s="626"/>
      <c r="L54" s="626"/>
      <c r="M54" s="626"/>
      <c r="N54" s="626"/>
      <c r="O54" s="626"/>
      <c r="P54" s="626"/>
      <c r="Q54" s="626"/>
    </row>
    <row r="55" spans="2:17" ht="15" customHeight="1">
      <c r="B55" s="626"/>
      <c r="C55" s="626"/>
      <c r="D55" s="626"/>
      <c r="E55" s="626"/>
      <c r="F55" s="626"/>
      <c r="G55" s="626"/>
      <c r="H55" s="626"/>
      <c r="I55" s="626"/>
      <c r="J55" s="626"/>
      <c r="K55" s="626"/>
      <c r="L55" s="626"/>
      <c r="M55" s="626"/>
      <c r="N55" s="626"/>
      <c r="O55" s="626"/>
      <c r="P55" s="626"/>
      <c r="Q55" s="626"/>
    </row>
    <row r="56" spans="2:17" ht="15" customHeight="1">
      <c r="B56" s="626"/>
      <c r="C56" s="626"/>
      <c r="D56" s="626"/>
      <c r="E56" s="626"/>
      <c r="F56" s="626"/>
      <c r="G56" s="626"/>
      <c r="H56" s="626"/>
      <c r="I56" s="626"/>
      <c r="J56" s="626"/>
      <c r="K56" s="626"/>
      <c r="L56" s="626"/>
      <c r="M56" s="626"/>
      <c r="N56" s="626"/>
      <c r="O56" s="626"/>
      <c r="P56" s="626"/>
      <c r="Q56" s="626"/>
    </row>
    <row r="57" spans="2:17" ht="15" customHeight="1">
      <c r="B57" s="626"/>
      <c r="C57" s="626"/>
      <c r="D57" s="626"/>
      <c r="E57" s="626"/>
      <c r="F57" s="626"/>
      <c r="G57" s="626"/>
      <c r="H57" s="626"/>
      <c r="I57" s="626"/>
      <c r="J57" s="626"/>
      <c r="K57" s="626"/>
      <c r="L57" s="626"/>
      <c r="M57" s="626"/>
      <c r="N57" s="626"/>
      <c r="O57" s="626"/>
      <c r="P57" s="626"/>
      <c r="Q57" s="626"/>
    </row>
    <row r="58" spans="2:17" ht="15" customHeight="1">
      <c r="B58" s="626"/>
      <c r="C58" s="626"/>
      <c r="D58" s="626"/>
      <c r="E58" s="626"/>
      <c r="F58" s="626"/>
      <c r="G58" s="626"/>
      <c r="H58" s="626"/>
      <c r="I58" s="626"/>
      <c r="J58" s="626"/>
      <c r="K58" s="626"/>
      <c r="L58" s="626"/>
      <c r="M58" s="626"/>
      <c r="N58" s="626"/>
      <c r="O58" s="626"/>
      <c r="P58" s="626"/>
      <c r="Q58" s="626"/>
    </row>
    <row r="59" spans="2:17" ht="15" customHeight="1">
      <c r="B59" s="626"/>
      <c r="C59" s="626"/>
      <c r="D59" s="626"/>
      <c r="E59" s="626"/>
      <c r="F59" s="626"/>
      <c r="G59" s="626"/>
      <c r="H59" s="626"/>
      <c r="I59" s="626"/>
      <c r="J59" s="626"/>
      <c r="K59" s="626"/>
      <c r="L59" s="626"/>
      <c r="M59" s="626"/>
      <c r="N59" s="626"/>
      <c r="O59" s="626"/>
      <c r="P59" s="626"/>
      <c r="Q59" s="626"/>
    </row>
    <row r="60" spans="2:17" ht="15" customHeight="1">
      <c r="B60" s="626"/>
      <c r="C60" s="626"/>
      <c r="D60" s="626"/>
      <c r="E60" s="626"/>
      <c r="F60" s="626"/>
      <c r="G60" s="626"/>
      <c r="H60" s="626"/>
      <c r="I60" s="626"/>
      <c r="J60" s="626"/>
      <c r="K60" s="626"/>
      <c r="L60" s="626"/>
      <c r="M60" s="626"/>
      <c r="N60" s="626"/>
      <c r="O60" s="626"/>
      <c r="P60" s="626"/>
      <c r="Q60" s="626"/>
    </row>
    <row r="61" spans="2:17" ht="15" customHeight="1">
      <c r="B61" s="626"/>
      <c r="C61" s="626"/>
      <c r="D61" s="626"/>
      <c r="E61" s="626"/>
      <c r="F61" s="626"/>
      <c r="G61" s="626"/>
      <c r="H61" s="626"/>
      <c r="I61" s="626"/>
      <c r="J61" s="626"/>
      <c r="K61" s="626"/>
      <c r="L61" s="626"/>
      <c r="M61" s="626"/>
      <c r="N61" s="626"/>
      <c r="O61" s="626"/>
      <c r="P61" s="626"/>
      <c r="Q61" s="626"/>
    </row>
    <row r="62" spans="2:17" ht="15" customHeight="1">
      <c r="B62" s="626"/>
      <c r="C62" s="626"/>
      <c r="D62" s="626"/>
      <c r="E62" s="626"/>
      <c r="F62" s="626"/>
      <c r="G62" s="626"/>
      <c r="H62" s="626"/>
      <c r="I62" s="626"/>
      <c r="J62" s="626"/>
      <c r="K62" s="626"/>
      <c r="L62" s="626"/>
      <c r="M62" s="626"/>
      <c r="N62" s="626"/>
      <c r="O62" s="626"/>
      <c r="P62" s="626"/>
      <c r="Q62" s="626"/>
    </row>
    <row r="63" spans="2:17" ht="15" customHeight="1">
      <c r="B63" s="626"/>
      <c r="C63" s="626"/>
      <c r="D63" s="626"/>
      <c r="E63" s="626"/>
      <c r="F63" s="626"/>
      <c r="G63" s="626"/>
      <c r="H63" s="626"/>
      <c r="I63" s="626"/>
      <c r="J63" s="626"/>
      <c r="K63" s="626"/>
      <c r="L63" s="626"/>
      <c r="M63" s="626"/>
      <c r="N63" s="626"/>
      <c r="O63" s="626"/>
      <c r="P63" s="626"/>
      <c r="Q63" s="626"/>
    </row>
    <row r="64" spans="2:17" ht="15" customHeight="1">
      <c r="B64" s="626"/>
      <c r="C64" s="626"/>
      <c r="D64" s="626"/>
      <c r="E64" s="626"/>
      <c r="F64" s="626"/>
      <c r="G64" s="626"/>
      <c r="H64" s="626"/>
      <c r="I64" s="626"/>
      <c r="J64" s="626"/>
      <c r="K64" s="626"/>
      <c r="L64" s="626"/>
      <c r="M64" s="626"/>
      <c r="N64" s="626"/>
      <c r="O64" s="626"/>
      <c r="P64" s="626"/>
      <c r="Q64" s="626"/>
    </row>
    <row r="65" spans="2:17" ht="15" customHeight="1">
      <c r="B65" s="626"/>
      <c r="C65" s="626"/>
      <c r="D65" s="626"/>
      <c r="E65" s="626"/>
      <c r="F65" s="626"/>
      <c r="G65" s="626"/>
      <c r="H65" s="626"/>
      <c r="I65" s="626"/>
      <c r="J65" s="626"/>
      <c r="K65" s="626"/>
      <c r="L65" s="626"/>
      <c r="M65" s="626"/>
      <c r="N65" s="626"/>
      <c r="O65" s="626"/>
      <c r="P65" s="626"/>
      <c r="Q65" s="626"/>
    </row>
    <row r="66" spans="2:17" ht="15" customHeight="1">
      <c r="B66" s="626"/>
      <c r="C66" s="626"/>
      <c r="D66" s="626"/>
      <c r="E66" s="626"/>
      <c r="F66" s="626"/>
      <c r="G66" s="626"/>
      <c r="H66" s="626"/>
      <c r="I66" s="626"/>
      <c r="J66" s="626"/>
      <c r="K66" s="626"/>
      <c r="L66" s="626"/>
      <c r="M66" s="626"/>
      <c r="N66" s="626"/>
      <c r="O66" s="626"/>
      <c r="P66" s="626"/>
      <c r="Q66" s="626"/>
    </row>
    <row r="67" spans="2:17" ht="15" customHeight="1">
      <c r="B67" s="626"/>
      <c r="C67" s="626"/>
      <c r="D67" s="626"/>
      <c r="E67" s="626"/>
      <c r="F67" s="626"/>
      <c r="G67" s="626"/>
      <c r="H67" s="626"/>
      <c r="I67" s="626"/>
      <c r="J67" s="626"/>
      <c r="K67" s="626"/>
      <c r="L67" s="626"/>
      <c r="M67" s="626"/>
      <c r="N67" s="626"/>
      <c r="O67" s="626"/>
      <c r="P67" s="626"/>
      <c r="Q67" s="626"/>
    </row>
    <row r="68" spans="2:17" ht="15" customHeight="1">
      <c r="B68" s="626"/>
      <c r="C68" s="626"/>
      <c r="D68" s="626"/>
      <c r="E68" s="626"/>
      <c r="F68" s="626"/>
      <c r="G68" s="626"/>
      <c r="H68" s="626"/>
      <c r="I68" s="626"/>
      <c r="J68" s="626"/>
      <c r="K68" s="626"/>
      <c r="L68" s="626"/>
      <c r="M68" s="626"/>
      <c r="N68" s="626"/>
      <c r="O68" s="626"/>
      <c r="P68" s="626"/>
      <c r="Q68" s="626"/>
    </row>
    <row r="69" spans="2:17" ht="15" customHeight="1">
      <c r="B69" s="626"/>
      <c r="C69" s="626"/>
      <c r="D69" s="626"/>
      <c r="E69" s="626"/>
      <c r="F69" s="626"/>
      <c r="G69" s="626"/>
      <c r="H69" s="626"/>
      <c r="I69" s="626"/>
      <c r="J69" s="626"/>
      <c r="K69" s="626"/>
      <c r="L69" s="626"/>
      <c r="M69" s="626"/>
      <c r="N69" s="626"/>
      <c r="O69" s="626"/>
      <c r="P69" s="626"/>
      <c r="Q69" s="626"/>
    </row>
    <row r="70" spans="2:17" ht="15" customHeight="1">
      <c r="B70" s="626"/>
      <c r="C70" s="626"/>
      <c r="D70" s="626"/>
      <c r="E70" s="626"/>
      <c r="F70" s="626"/>
      <c r="G70" s="626"/>
      <c r="H70" s="626"/>
      <c r="I70" s="626"/>
      <c r="J70" s="626"/>
      <c r="K70" s="626"/>
      <c r="L70" s="626"/>
      <c r="M70" s="626"/>
      <c r="N70" s="626"/>
      <c r="O70" s="626"/>
      <c r="P70" s="626"/>
      <c r="Q70" s="626"/>
    </row>
    <row r="71" spans="2:17" ht="15" customHeight="1">
      <c r="B71" s="626"/>
      <c r="C71" s="626"/>
      <c r="D71" s="626"/>
      <c r="E71" s="626"/>
      <c r="F71" s="626"/>
      <c r="G71" s="626"/>
      <c r="H71" s="626"/>
      <c r="I71" s="626"/>
      <c r="J71" s="626"/>
      <c r="K71" s="626"/>
      <c r="L71" s="626"/>
      <c r="M71" s="626"/>
      <c r="N71" s="626"/>
      <c r="O71" s="626"/>
      <c r="P71" s="626"/>
      <c r="Q71" s="626"/>
    </row>
    <row r="72" spans="2:17" ht="15" customHeight="1">
      <c r="B72" s="626"/>
      <c r="C72" s="626"/>
      <c r="D72" s="626"/>
      <c r="E72" s="626"/>
      <c r="F72" s="626"/>
      <c r="G72" s="626"/>
      <c r="H72" s="626"/>
      <c r="I72" s="626"/>
      <c r="J72" s="626"/>
      <c r="K72" s="626"/>
      <c r="L72" s="626"/>
      <c r="M72" s="626"/>
      <c r="N72" s="626"/>
      <c r="O72" s="626"/>
      <c r="P72" s="626"/>
      <c r="Q72" s="626"/>
    </row>
    <row r="73" spans="2:17" ht="15" customHeight="1">
      <c r="B73" s="626"/>
      <c r="C73" s="626"/>
      <c r="D73" s="626"/>
      <c r="E73" s="626"/>
      <c r="F73" s="626"/>
      <c r="G73" s="626"/>
      <c r="H73" s="626"/>
      <c r="I73" s="626"/>
      <c r="J73" s="626"/>
      <c r="K73" s="626"/>
      <c r="L73" s="626"/>
      <c r="M73" s="626"/>
      <c r="N73" s="626"/>
      <c r="O73" s="626"/>
      <c r="P73" s="626"/>
      <c r="Q73" s="626"/>
    </row>
    <row r="74" spans="2:17" ht="15" customHeight="1">
      <c r="B74" s="626"/>
      <c r="C74" s="626"/>
      <c r="D74" s="626"/>
      <c r="E74" s="626"/>
      <c r="F74" s="626"/>
      <c r="G74" s="626"/>
      <c r="H74" s="626"/>
      <c r="I74" s="626"/>
      <c r="J74" s="626"/>
      <c r="K74" s="626"/>
      <c r="L74" s="626"/>
      <c r="M74" s="626"/>
      <c r="N74" s="626"/>
      <c r="O74" s="626"/>
      <c r="P74" s="626"/>
      <c r="Q74" s="626"/>
    </row>
    <row r="75" spans="2:17" ht="15" customHeight="1">
      <c r="B75" s="626"/>
      <c r="C75" s="626"/>
      <c r="D75" s="626"/>
      <c r="E75" s="626"/>
      <c r="F75" s="626"/>
      <c r="G75" s="626"/>
      <c r="H75" s="626"/>
      <c r="I75" s="626"/>
      <c r="J75" s="626"/>
      <c r="K75" s="626"/>
      <c r="L75" s="626"/>
      <c r="M75" s="626"/>
      <c r="N75" s="626"/>
      <c r="O75" s="626"/>
      <c r="P75" s="626"/>
      <c r="Q75" s="626"/>
    </row>
    <row r="76" spans="2:17">
      <c r="B76" s="626"/>
      <c r="C76" s="626"/>
      <c r="D76" s="626"/>
      <c r="E76" s="626"/>
      <c r="F76" s="626"/>
      <c r="G76" s="626"/>
      <c r="H76" s="626"/>
      <c r="I76" s="626"/>
      <c r="J76" s="626"/>
      <c r="K76" s="626"/>
      <c r="L76" s="626"/>
      <c r="M76" s="626"/>
      <c r="N76" s="626"/>
      <c r="O76" s="626"/>
      <c r="P76" s="626"/>
      <c r="Q76" s="626"/>
    </row>
  </sheetData>
  <mergeCells count="7">
    <mergeCell ref="B48:Q76"/>
    <mergeCell ref="C3:D3"/>
    <mergeCell ref="E3:G3"/>
    <mergeCell ref="C14:H31"/>
    <mergeCell ref="C38:E38"/>
    <mergeCell ref="F38:I38"/>
    <mergeCell ref="J38:P38"/>
  </mergeCells>
  <pageMargins left="0.25" right="0.25" top="0.75" bottom="0.75" header="0.3" footer="0.3"/>
  <pageSetup scale="9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3</vt:i4>
      </vt:variant>
    </vt:vector>
  </HeadingPairs>
  <TitlesOfParts>
    <vt:vector size="27" baseType="lpstr">
      <vt:lpstr>Dec 18th</vt:lpstr>
      <vt:lpstr>Apr 1st</vt:lpstr>
      <vt:lpstr>Apr 2nd</vt:lpstr>
      <vt:lpstr>Apr 7th</vt:lpstr>
      <vt:lpstr>Apr 8th</vt:lpstr>
      <vt:lpstr>Apr 9th </vt:lpstr>
      <vt:lpstr>Apr 10th</vt:lpstr>
      <vt:lpstr>Apr 13th</vt:lpstr>
      <vt:lpstr>Apr 14th</vt:lpstr>
      <vt:lpstr>Apr 15th</vt:lpstr>
      <vt:lpstr>Apr 16th </vt:lpstr>
      <vt:lpstr>Apr 20th </vt:lpstr>
      <vt:lpstr>Apr 21st</vt:lpstr>
      <vt:lpstr>Apr 22nd</vt:lpstr>
      <vt:lpstr>Apr 23rd</vt:lpstr>
      <vt:lpstr>Apr 24th-26th</vt:lpstr>
      <vt:lpstr>Apr 27th</vt:lpstr>
      <vt:lpstr>Apr 28th</vt:lpstr>
      <vt:lpstr>Apr 29th </vt:lpstr>
      <vt:lpstr>Apr 30th</vt:lpstr>
      <vt:lpstr>MTD_Links</vt:lpstr>
      <vt:lpstr>YTD_Links</vt:lpstr>
      <vt:lpstr>KPIs</vt:lpstr>
      <vt:lpstr>Brewer Performance</vt:lpstr>
      <vt:lpstr>'Brewer Performance'!Print_Area</vt:lpstr>
      <vt:lpstr>MTD_Links!Print_Area</vt:lpstr>
      <vt:lpstr>YTD_Links!Print_Area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Reshelle Fleming</dc:creator>
  <cp:lastModifiedBy>Kaylil Baptiste</cp:lastModifiedBy>
  <cp:lastPrinted>2024-01-26T11:36:30Z</cp:lastPrinted>
  <dcterms:created xsi:type="dcterms:W3CDTF">2020-01-28T18:21:11Z</dcterms:created>
  <dcterms:modified xsi:type="dcterms:W3CDTF">2026-05-06T15:39:56Z</dcterms:modified>
</cp:coreProperties>
</file>