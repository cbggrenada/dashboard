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drawings/drawing1.xml" ContentType="application/vnd.openxmlformats-officedocument.drawing+xml"/>
  <Override PartName="/xl/comments2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2304FBEF-6A06-4962-844A-9DBDE324C79C}" xr6:coauthVersionLast="47" xr6:coauthVersionMax="47" xr10:uidLastSave="{00000000-0000-0000-0000-000000000000}"/>
  <bookViews>
    <workbookView xWindow="-120" yWindow="-120" windowWidth="29040" windowHeight="15720" tabRatio="599" firstSheet="13" activeTab="20" xr2:uid="{1120807F-7390-4E10-A66F-84111922E872}"/>
  </bookViews>
  <sheets>
    <sheet name="Dec 18th" sheetId="658" state="hidden" r:id="rId1"/>
    <sheet name="May 2nd-23rd" sheetId="980" r:id="rId2"/>
    <sheet name="May 4th" sheetId="981" r:id="rId3"/>
    <sheet name="May 5th" sheetId="982" r:id="rId4"/>
    <sheet name="May 6th" sheetId="983" r:id="rId5"/>
    <sheet name="May 7th" sheetId="984" r:id="rId6"/>
    <sheet name="May 8th -9th" sheetId="985" r:id="rId7"/>
    <sheet name="May 11th" sheetId="986" r:id="rId8"/>
    <sheet name="May 12th " sheetId="987" r:id="rId9"/>
    <sheet name="May 13th" sheetId="988" r:id="rId10"/>
    <sheet name="May 14th" sheetId="989" r:id="rId11"/>
    <sheet name="May 15th-16th" sheetId="990" r:id="rId12"/>
    <sheet name="May 18th" sheetId="991" r:id="rId13"/>
    <sheet name="May 19th " sheetId="992" r:id="rId14"/>
    <sheet name="May 20th" sheetId="993" r:id="rId15"/>
    <sheet name="May 21st" sheetId="994" r:id="rId16"/>
    <sheet name="May 22nd -23rd" sheetId="995" r:id="rId17"/>
    <sheet name="May 26th" sheetId="996" r:id="rId18"/>
    <sheet name="May 27th" sheetId="997" r:id="rId19"/>
    <sheet name="May 28th" sheetId="998" r:id="rId20"/>
    <sheet name="May 29th " sheetId="999" r:id="rId21"/>
    <sheet name="MTD_Links" sheetId="18" r:id="rId22"/>
    <sheet name="YTD_Links" sheetId="19" r:id="rId23"/>
    <sheet name="KPIs" sheetId="20" state="hidden" r:id="rId24"/>
    <sheet name="Brewer Performance" sheetId="21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xlnm.Print_Area" localSheetId="24">'Brewer Performance'!$B$2:$K$35</definedName>
    <definedName name="_xlnm.Print_Area" localSheetId="21">MTD_Links!$B$2:$K$65</definedName>
    <definedName name="_xlnm.Print_Area" localSheetId="22">YTD_Links!$B$2:$K$65</definedName>
    <definedName name="ProductList" localSheetId="24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7" i="999" l="1"/>
  <c r="M26" i="999"/>
  <c r="L26" i="999"/>
  <c r="K26" i="999"/>
  <c r="M28" i="999"/>
  <c r="L28" i="999"/>
  <c r="K28" i="999"/>
  <c r="L40" i="999"/>
  <c r="R11" i="999" l="1"/>
  <c r="S11" i="999"/>
  <c r="T11" i="999"/>
  <c r="U11" i="999"/>
  <c r="V11" i="999"/>
  <c r="W11" i="999"/>
  <c r="X11" i="999"/>
  <c r="Y11" i="999"/>
  <c r="Z11" i="999"/>
  <c r="R12" i="999"/>
  <c r="S12" i="999"/>
  <c r="T12" i="999"/>
  <c r="U12" i="999"/>
  <c r="V12" i="999"/>
  <c r="W12" i="999"/>
  <c r="X12" i="999"/>
  <c r="Y12" i="999"/>
  <c r="Z12" i="999"/>
  <c r="R13" i="999"/>
  <c r="S13" i="999"/>
  <c r="T13" i="999"/>
  <c r="U13" i="999"/>
  <c r="V13" i="999"/>
  <c r="W13" i="999"/>
  <c r="X13" i="999"/>
  <c r="Y13" i="999"/>
  <c r="Z13" i="999"/>
  <c r="R14" i="999"/>
  <c r="S14" i="999"/>
  <c r="T14" i="999"/>
  <c r="U14" i="999"/>
  <c r="V14" i="999"/>
  <c r="W14" i="999"/>
  <c r="X14" i="999"/>
  <c r="Y14" i="999"/>
  <c r="Z14" i="999"/>
  <c r="R15" i="999"/>
  <c r="S15" i="999"/>
  <c r="T15" i="999"/>
  <c r="U15" i="999"/>
  <c r="V15" i="999"/>
  <c r="W15" i="999"/>
  <c r="X15" i="999"/>
  <c r="Y15" i="999"/>
  <c r="Z15" i="999"/>
  <c r="R16" i="999"/>
  <c r="S16" i="999"/>
  <c r="T16" i="999"/>
  <c r="U16" i="999"/>
  <c r="V16" i="999"/>
  <c r="W16" i="999"/>
  <c r="X16" i="999"/>
  <c r="Y16" i="999"/>
  <c r="Z16" i="999"/>
  <c r="R17" i="999"/>
  <c r="S17" i="999"/>
  <c r="T17" i="999"/>
  <c r="U17" i="999"/>
  <c r="V17" i="999"/>
  <c r="W17" i="999"/>
  <c r="X17" i="999"/>
  <c r="Y17" i="999"/>
  <c r="Z17" i="999"/>
  <c r="R18" i="999"/>
  <c r="S18" i="999"/>
  <c r="T18" i="999"/>
  <c r="U18" i="999"/>
  <c r="V18" i="999"/>
  <c r="W18" i="999"/>
  <c r="X18" i="999"/>
  <c r="Y18" i="999"/>
  <c r="Z18" i="999"/>
  <c r="R19" i="999"/>
  <c r="S19" i="999"/>
  <c r="T19" i="999"/>
  <c r="U19" i="999"/>
  <c r="V19" i="999"/>
  <c r="W19" i="999"/>
  <c r="X19" i="999"/>
  <c r="Y19" i="999"/>
  <c r="Z19" i="999"/>
  <c r="R20" i="999"/>
  <c r="S20" i="999"/>
  <c r="T20" i="999"/>
  <c r="U20" i="999"/>
  <c r="V20" i="999"/>
  <c r="W20" i="999"/>
  <c r="X20" i="999"/>
  <c r="Y20" i="999"/>
  <c r="Z20" i="999"/>
  <c r="C10" i="999"/>
  <c r="D10" i="999"/>
  <c r="E10" i="999"/>
  <c r="F10" i="999"/>
  <c r="G10" i="999"/>
  <c r="I10" i="999"/>
  <c r="J10" i="999"/>
  <c r="K10" i="999"/>
  <c r="L10" i="999"/>
  <c r="M10" i="999"/>
  <c r="N10" i="999"/>
  <c r="O10" i="999"/>
  <c r="C11" i="999"/>
  <c r="D11" i="999"/>
  <c r="E11" i="999"/>
  <c r="F11" i="999"/>
  <c r="G11" i="999"/>
  <c r="I11" i="999"/>
  <c r="J11" i="999"/>
  <c r="K11" i="999"/>
  <c r="L11" i="999"/>
  <c r="M11" i="999"/>
  <c r="N11" i="999"/>
  <c r="O11" i="999"/>
  <c r="C12" i="999"/>
  <c r="D12" i="999"/>
  <c r="E12" i="999"/>
  <c r="F12" i="999"/>
  <c r="G12" i="999"/>
  <c r="I12" i="999"/>
  <c r="J12" i="999"/>
  <c r="K12" i="999"/>
  <c r="L12" i="999"/>
  <c r="M12" i="999"/>
  <c r="N12" i="999"/>
  <c r="O12" i="999"/>
  <c r="C13" i="999"/>
  <c r="D13" i="999"/>
  <c r="E13" i="999"/>
  <c r="F13" i="999"/>
  <c r="G13" i="999"/>
  <c r="I13" i="999"/>
  <c r="J13" i="999"/>
  <c r="K13" i="999"/>
  <c r="L13" i="999"/>
  <c r="M13" i="999"/>
  <c r="N13" i="999"/>
  <c r="O13" i="999"/>
  <c r="C14" i="999"/>
  <c r="G14" i="999"/>
  <c r="O14" i="999"/>
  <c r="AX56" i="999"/>
  <c r="AW56" i="999"/>
  <c r="AV56" i="999"/>
  <c r="AU56" i="999"/>
  <c r="AT56" i="999"/>
  <c r="AS56" i="999"/>
  <c r="AR56" i="999"/>
  <c r="AQ56" i="999"/>
  <c r="AP56" i="999"/>
  <c r="AO56" i="999"/>
  <c r="AN56" i="999"/>
  <c r="AM56" i="999"/>
  <c r="AL56" i="999"/>
  <c r="AK56" i="999"/>
  <c r="AJ56" i="999"/>
  <c r="AI56" i="999"/>
  <c r="AH56" i="999"/>
  <c r="AG56" i="999"/>
  <c r="AF56" i="999"/>
  <c r="AE56" i="999"/>
  <c r="AD56" i="999"/>
  <c r="AC56" i="999"/>
  <c r="AB56" i="999"/>
  <c r="AX55" i="999"/>
  <c r="AW55" i="999"/>
  <c r="AV55" i="999"/>
  <c r="AU55" i="999"/>
  <c r="AT55" i="999"/>
  <c r="AS55" i="999"/>
  <c r="AR55" i="999"/>
  <c r="AQ55" i="999"/>
  <c r="AP55" i="999"/>
  <c r="AO55" i="999"/>
  <c r="AN55" i="999"/>
  <c r="AM55" i="999"/>
  <c r="AL55" i="999"/>
  <c r="AK55" i="999"/>
  <c r="AJ55" i="999"/>
  <c r="AI55" i="999"/>
  <c r="AH55" i="999"/>
  <c r="AG55" i="999"/>
  <c r="AF55" i="999"/>
  <c r="AE55" i="999"/>
  <c r="AD55" i="999"/>
  <c r="AC55" i="999"/>
  <c r="AB55" i="999"/>
  <c r="AX54" i="999"/>
  <c r="AW54" i="999"/>
  <c r="AV54" i="999"/>
  <c r="AU54" i="999"/>
  <c r="AT54" i="999"/>
  <c r="AS54" i="999"/>
  <c r="AR54" i="999"/>
  <c r="AQ54" i="999"/>
  <c r="AP54" i="999"/>
  <c r="AO54" i="999"/>
  <c r="AN54" i="999"/>
  <c r="AM54" i="999"/>
  <c r="AL54" i="999"/>
  <c r="AK54" i="999"/>
  <c r="AJ54" i="999"/>
  <c r="AI54" i="999"/>
  <c r="AH54" i="999"/>
  <c r="AG54" i="999"/>
  <c r="AF54" i="999"/>
  <c r="AE54" i="999"/>
  <c r="AD54" i="999"/>
  <c r="AC54" i="999"/>
  <c r="AB54" i="999"/>
  <c r="K49" i="999"/>
  <c r="M40" i="999"/>
  <c r="Z36" i="999"/>
  <c r="Y36" i="999"/>
  <c r="X36" i="999"/>
  <c r="W36" i="999"/>
  <c r="V36" i="999"/>
  <c r="U36" i="999"/>
  <c r="T36" i="999"/>
  <c r="S36" i="999"/>
  <c r="R36" i="999"/>
  <c r="Z35" i="999"/>
  <c r="Y35" i="999"/>
  <c r="X35" i="999"/>
  <c r="W35" i="999"/>
  <c r="V35" i="999"/>
  <c r="U35" i="999"/>
  <c r="T35" i="999"/>
  <c r="S35" i="999"/>
  <c r="R35" i="999"/>
  <c r="Z34" i="999"/>
  <c r="Y34" i="999"/>
  <c r="X34" i="999"/>
  <c r="W34" i="999"/>
  <c r="V34" i="999"/>
  <c r="U34" i="999"/>
  <c r="T34" i="999"/>
  <c r="S34" i="999"/>
  <c r="R34" i="999"/>
  <c r="Z33" i="999"/>
  <c r="Y33" i="999"/>
  <c r="X33" i="999"/>
  <c r="W33" i="999"/>
  <c r="V33" i="999"/>
  <c r="U33" i="999"/>
  <c r="T33" i="999"/>
  <c r="S33" i="999"/>
  <c r="R33" i="999"/>
  <c r="Z32" i="999"/>
  <c r="Y32" i="999"/>
  <c r="X32" i="999"/>
  <c r="W32" i="999"/>
  <c r="V32" i="999"/>
  <c r="U32" i="999"/>
  <c r="T32" i="999"/>
  <c r="S32" i="999"/>
  <c r="R32" i="999"/>
  <c r="Z31" i="999"/>
  <c r="Y31" i="999"/>
  <c r="X31" i="999"/>
  <c r="W31" i="999"/>
  <c r="V31" i="999"/>
  <c r="U31" i="999"/>
  <c r="T31" i="999"/>
  <c r="S31" i="999"/>
  <c r="R31" i="999"/>
  <c r="M31" i="999"/>
  <c r="L31" i="999"/>
  <c r="K31" i="999"/>
  <c r="Z30" i="999"/>
  <c r="Y30" i="999"/>
  <c r="X30" i="999"/>
  <c r="W30" i="999"/>
  <c r="V30" i="999"/>
  <c r="U30" i="999"/>
  <c r="T30" i="999"/>
  <c r="S30" i="999"/>
  <c r="R30" i="999"/>
  <c r="M30" i="999"/>
  <c r="L30" i="999"/>
  <c r="K30" i="999"/>
  <c r="Z29" i="999"/>
  <c r="Y29" i="999"/>
  <c r="X29" i="999"/>
  <c r="W29" i="999"/>
  <c r="V29" i="999"/>
  <c r="U29" i="999"/>
  <c r="T29" i="999"/>
  <c r="S29" i="999"/>
  <c r="R29" i="999"/>
  <c r="Z28" i="999"/>
  <c r="Y28" i="999"/>
  <c r="X28" i="999"/>
  <c r="W28" i="999"/>
  <c r="V28" i="999"/>
  <c r="U28" i="999"/>
  <c r="T28" i="999"/>
  <c r="S28" i="999"/>
  <c r="R28" i="999"/>
  <c r="Z27" i="999"/>
  <c r="Y27" i="999"/>
  <c r="X27" i="999"/>
  <c r="W27" i="999"/>
  <c r="V27" i="999"/>
  <c r="U27" i="999"/>
  <c r="T27" i="999"/>
  <c r="S27" i="999"/>
  <c r="R27" i="999"/>
  <c r="Z26" i="999"/>
  <c r="Y26" i="999"/>
  <c r="X26" i="999"/>
  <c r="W26" i="999"/>
  <c r="V26" i="999"/>
  <c r="U26" i="999"/>
  <c r="T26" i="999"/>
  <c r="S26" i="999"/>
  <c r="R26" i="999"/>
  <c r="Z25" i="999"/>
  <c r="Y25" i="999"/>
  <c r="X25" i="999"/>
  <c r="W25" i="999"/>
  <c r="V25" i="999"/>
  <c r="U25" i="999"/>
  <c r="T25" i="999"/>
  <c r="S25" i="999"/>
  <c r="R25" i="999"/>
  <c r="M25" i="999"/>
  <c r="L25" i="999"/>
  <c r="K25" i="999"/>
  <c r="Z24" i="999"/>
  <c r="Y24" i="999"/>
  <c r="X24" i="999"/>
  <c r="W24" i="999"/>
  <c r="V24" i="999"/>
  <c r="U24" i="999"/>
  <c r="T24" i="999"/>
  <c r="S24" i="999"/>
  <c r="R24" i="999"/>
  <c r="Z23" i="999"/>
  <c r="Y23" i="999"/>
  <c r="X23" i="999"/>
  <c r="W23" i="999"/>
  <c r="V23" i="999"/>
  <c r="U23" i="999"/>
  <c r="T23" i="999"/>
  <c r="S23" i="999"/>
  <c r="R23" i="999"/>
  <c r="Z22" i="999"/>
  <c r="Y22" i="999"/>
  <c r="X22" i="999"/>
  <c r="W22" i="999"/>
  <c r="V22" i="999"/>
  <c r="U22" i="999"/>
  <c r="T22" i="999"/>
  <c r="S22" i="999"/>
  <c r="R22" i="999"/>
  <c r="Z21" i="999"/>
  <c r="Y21" i="999"/>
  <c r="X21" i="999"/>
  <c r="W21" i="999"/>
  <c r="V21" i="999"/>
  <c r="U21" i="999"/>
  <c r="T21" i="999"/>
  <c r="S21" i="999"/>
  <c r="R21" i="999"/>
  <c r="Z10" i="999"/>
  <c r="Y10" i="999"/>
  <c r="X10" i="999"/>
  <c r="W10" i="999"/>
  <c r="V10" i="999"/>
  <c r="U10" i="999"/>
  <c r="T10" i="999"/>
  <c r="S10" i="999"/>
  <c r="R10" i="999"/>
  <c r="M27" i="998"/>
  <c r="L27" i="998"/>
  <c r="K27" i="998"/>
  <c r="M26" i="998"/>
  <c r="L26" i="998"/>
  <c r="K26" i="998"/>
  <c r="O16" i="998"/>
  <c r="N16" i="998"/>
  <c r="M16" i="998"/>
  <c r="L16" i="998"/>
  <c r="K16" i="998"/>
  <c r="J16" i="998"/>
  <c r="I16" i="998"/>
  <c r="J27" i="998" s="1"/>
  <c r="G16" i="998"/>
  <c r="F16" i="998"/>
  <c r="E16" i="998"/>
  <c r="D16" i="998"/>
  <c r="C16" i="998"/>
  <c r="R13" i="998"/>
  <c r="S13" i="998"/>
  <c r="T13" i="998"/>
  <c r="U13" i="998"/>
  <c r="V13" i="998"/>
  <c r="W13" i="998"/>
  <c r="X13" i="998"/>
  <c r="Y13" i="998"/>
  <c r="Z13" i="998"/>
  <c r="R14" i="998"/>
  <c r="S14" i="998"/>
  <c r="T14" i="998"/>
  <c r="U14" i="998"/>
  <c r="V14" i="998"/>
  <c r="W14" i="998"/>
  <c r="X14" i="998"/>
  <c r="Y14" i="998"/>
  <c r="Z14" i="998"/>
  <c r="R15" i="998"/>
  <c r="S15" i="998"/>
  <c r="T15" i="998"/>
  <c r="U15" i="998"/>
  <c r="V15" i="998"/>
  <c r="W15" i="998"/>
  <c r="X15" i="998"/>
  <c r="Y15" i="998"/>
  <c r="Z15" i="998"/>
  <c r="R16" i="998"/>
  <c r="S16" i="998"/>
  <c r="T16" i="998"/>
  <c r="U16" i="998"/>
  <c r="V16" i="998"/>
  <c r="W16" i="998"/>
  <c r="X16" i="998"/>
  <c r="Y16" i="998"/>
  <c r="Z16" i="998"/>
  <c r="R17" i="998"/>
  <c r="S17" i="998"/>
  <c r="T17" i="998"/>
  <c r="U17" i="998"/>
  <c r="V17" i="998"/>
  <c r="W17" i="998"/>
  <c r="X17" i="998"/>
  <c r="Y17" i="998"/>
  <c r="Z17" i="998"/>
  <c r="R18" i="998"/>
  <c r="S18" i="998"/>
  <c r="T18" i="998"/>
  <c r="U18" i="998"/>
  <c r="V18" i="998"/>
  <c r="W18" i="998"/>
  <c r="X18" i="998"/>
  <c r="Y18" i="998"/>
  <c r="Z18" i="998"/>
  <c r="R19" i="998"/>
  <c r="S19" i="998"/>
  <c r="T19" i="998"/>
  <c r="U19" i="998"/>
  <c r="V19" i="998"/>
  <c r="W19" i="998"/>
  <c r="X19" i="998"/>
  <c r="Y19" i="998"/>
  <c r="Z19" i="998"/>
  <c r="R20" i="998"/>
  <c r="S20" i="998"/>
  <c r="T20" i="998"/>
  <c r="U20" i="998"/>
  <c r="V20" i="998"/>
  <c r="W20" i="998"/>
  <c r="X20" i="998"/>
  <c r="Y20" i="998"/>
  <c r="Z20" i="998"/>
  <c r="R21" i="998"/>
  <c r="S21" i="998"/>
  <c r="T21" i="998"/>
  <c r="U21" i="998"/>
  <c r="V21" i="998"/>
  <c r="W21" i="998"/>
  <c r="X21" i="998"/>
  <c r="Y21" i="998"/>
  <c r="Z21" i="998"/>
  <c r="R22" i="998"/>
  <c r="S22" i="998"/>
  <c r="T22" i="998"/>
  <c r="U22" i="998"/>
  <c r="V22" i="998"/>
  <c r="W22" i="998"/>
  <c r="X22" i="998"/>
  <c r="Y22" i="998"/>
  <c r="Z22" i="998"/>
  <c r="R23" i="998"/>
  <c r="S23" i="998"/>
  <c r="T23" i="998"/>
  <c r="U23" i="998"/>
  <c r="V23" i="998"/>
  <c r="W23" i="998"/>
  <c r="X23" i="998"/>
  <c r="Y23" i="998"/>
  <c r="Z23" i="998"/>
  <c r="R24" i="998"/>
  <c r="S24" i="998"/>
  <c r="T24" i="998"/>
  <c r="U24" i="998"/>
  <c r="V24" i="998"/>
  <c r="W24" i="998"/>
  <c r="X24" i="998"/>
  <c r="Y24" i="998"/>
  <c r="Z24" i="998"/>
  <c r="R25" i="998"/>
  <c r="S25" i="998"/>
  <c r="T25" i="998"/>
  <c r="U25" i="998"/>
  <c r="V25" i="998"/>
  <c r="W25" i="998"/>
  <c r="X25" i="998"/>
  <c r="Y25" i="998"/>
  <c r="Z25" i="998"/>
  <c r="R26" i="998"/>
  <c r="S26" i="998"/>
  <c r="T26" i="998"/>
  <c r="U26" i="998"/>
  <c r="V26" i="998"/>
  <c r="W26" i="998"/>
  <c r="X26" i="998"/>
  <c r="Y26" i="998"/>
  <c r="Z26" i="998"/>
  <c r="I10" i="998"/>
  <c r="J10" i="998"/>
  <c r="L10" i="998"/>
  <c r="M10" i="998"/>
  <c r="N10" i="998"/>
  <c r="O10" i="998"/>
  <c r="I11" i="998"/>
  <c r="J11" i="998"/>
  <c r="L11" i="998"/>
  <c r="M11" i="998"/>
  <c r="N11" i="998"/>
  <c r="O11" i="998"/>
  <c r="I12" i="998"/>
  <c r="J12" i="998"/>
  <c r="L12" i="998"/>
  <c r="M12" i="998"/>
  <c r="N12" i="998"/>
  <c r="O12" i="998"/>
  <c r="I13" i="998"/>
  <c r="J13" i="998"/>
  <c r="L13" i="998"/>
  <c r="M13" i="998"/>
  <c r="N13" i="998"/>
  <c r="O13" i="998"/>
  <c r="I14" i="998"/>
  <c r="J14" i="998"/>
  <c r="L14" i="998"/>
  <c r="M14" i="998"/>
  <c r="N14" i="998"/>
  <c r="O14" i="998"/>
  <c r="C10" i="998"/>
  <c r="D10" i="998"/>
  <c r="E10" i="998"/>
  <c r="F10" i="998"/>
  <c r="G10" i="998"/>
  <c r="C11" i="998"/>
  <c r="D11" i="998"/>
  <c r="E11" i="998"/>
  <c r="F11" i="998"/>
  <c r="G11" i="998"/>
  <c r="C12" i="998"/>
  <c r="D12" i="998"/>
  <c r="E12" i="998"/>
  <c r="F12" i="998"/>
  <c r="G12" i="998"/>
  <c r="C13" i="998"/>
  <c r="D13" i="998"/>
  <c r="E13" i="998"/>
  <c r="F13" i="998"/>
  <c r="G13" i="998"/>
  <c r="C14" i="998"/>
  <c r="D14" i="998"/>
  <c r="E14" i="998"/>
  <c r="F14" i="998"/>
  <c r="G14" i="998"/>
  <c r="AX57" i="998"/>
  <c r="AW57" i="998"/>
  <c r="AV57" i="998"/>
  <c r="AU57" i="998"/>
  <c r="AT57" i="998"/>
  <c r="AS57" i="998"/>
  <c r="AR57" i="998"/>
  <c r="AQ57" i="998"/>
  <c r="AP57" i="998"/>
  <c r="AO57" i="998"/>
  <c r="AN57" i="998"/>
  <c r="AM57" i="998"/>
  <c r="AL57" i="998"/>
  <c r="AK57" i="998"/>
  <c r="AJ57" i="998"/>
  <c r="AI57" i="998"/>
  <c r="AH57" i="998"/>
  <c r="AG57" i="998"/>
  <c r="AF57" i="998"/>
  <c r="AE57" i="998"/>
  <c r="AD57" i="998"/>
  <c r="AC57" i="998"/>
  <c r="AB57" i="998"/>
  <c r="AX56" i="998"/>
  <c r="AW56" i="998"/>
  <c r="AV56" i="998"/>
  <c r="AU56" i="998"/>
  <c r="AT56" i="998"/>
  <c r="AS56" i="998"/>
  <c r="AR56" i="998"/>
  <c r="AQ56" i="998"/>
  <c r="AP56" i="998"/>
  <c r="AO56" i="998"/>
  <c r="AN56" i="998"/>
  <c r="AM56" i="998"/>
  <c r="AL56" i="998"/>
  <c r="AK56" i="998"/>
  <c r="AJ56" i="998"/>
  <c r="AI56" i="998"/>
  <c r="AH56" i="998"/>
  <c r="AG56" i="998"/>
  <c r="AF56" i="998"/>
  <c r="AE56" i="998"/>
  <c r="AD56" i="998"/>
  <c r="AC56" i="998"/>
  <c r="AB56" i="998"/>
  <c r="AX55" i="998"/>
  <c r="AW55" i="998"/>
  <c r="AV55" i="998"/>
  <c r="AU55" i="998"/>
  <c r="AT55" i="998"/>
  <c r="AS55" i="998"/>
  <c r="AR55" i="998"/>
  <c r="AQ55" i="998"/>
  <c r="AP55" i="998"/>
  <c r="AO55" i="998"/>
  <c r="AN55" i="998"/>
  <c r="AM55" i="998"/>
  <c r="AL55" i="998"/>
  <c r="AK55" i="998"/>
  <c r="AJ55" i="998"/>
  <c r="AI55" i="998"/>
  <c r="AH55" i="998"/>
  <c r="AG55" i="998"/>
  <c r="AF55" i="998"/>
  <c r="AE55" i="998"/>
  <c r="AD55" i="998"/>
  <c r="AC55" i="998"/>
  <c r="AB55" i="998"/>
  <c r="K50" i="998"/>
  <c r="L41" i="998"/>
  <c r="M41" i="998" s="1"/>
  <c r="Z37" i="998"/>
  <c r="Y37" i="998"/>
  <c r="X37" i="998"/>
  <c r="W37" i="998"/>
  <c r="V37" i="998"/>
  <c r="U37" i="998"/>
  <c r="T37" i="998"/>
  <c r="S37" i="998"/>
  <c r="R37" i="998"/>
  <c r="Z36" i="998"/>
  <c r="Y36" i="998"/>
  <c r="X36" i="998"/>
  <c r="W36" i="998"/>
  <c r="V36" i="998"/>
  <c r="U36" i="998"/>
  <c r="T36" i="998"/>
  <c r="S36" i="998"/>
  <c r="R36" i="998"/>
  <c r="Z35" i="998"/>
  <c r="Y35" i="998"/>
  <c r="X35" i="998"/>
  <c r="W35" i="998"/>
  <c r="V35" i="998"/>
  <c r="U35" i="998"/>
  <c r="T35" i="998"/>
  <c r="S35" i="998"/>
  <c r="R35" i="998"/>
  <c r="Z34" i="998"/>
  <c r="Y34" i="998"/>
  <c r="X34" i="998"/>
  <c r="W34" i="998"/>
  <c r="V34" i="998"/>
  <c r="U34" i="998"/>
  <c r="T34" i="998"/>
  <c r="S34" i="998"/>
  <c r="R34" i="998"/>
  <c r="Z33" i="998"/>
  <c r="Y33" i="998"/>
  <c r="X33" i="998"/>
  <c r="W33" i="998"/>
  <c r="V33" i="998"/>
  <c r="U33" i="998"/>
  <c r="T33" i="998"/>
  <c r="S33" i="998"/>
  <c r="R33" i="998"/>
  <c r="Z32" i="998"/>
  <c r="Y32" i="998"/>
  <c r="X32" i="998"/>
  <c r="W32" i="998"/>
  <c r="V32" i="998"/>
  <c r="U32" i="998"/>
  <c r="T32" i="998"/>
  <c r="S32" i="998"/>
  <c r="R32" i="998"/>
  <c r="M32" i="998"/>
  <c r="L32" i="998"/>
  <c r="K32" i="998"/>
  <c r="Z31" i="998"/>
  <c r="Y31" i="998"/>
  <c r="X31" i="998"/>
  <c r="W31" i="998"/>
  <c r="V31" i="998"/>
  <c r="U31" i="998"/>
  <c r="T31" i="998"/>
  <c r="S31" i="998"/>
  <c r="R31" i="998"/>
  <c r="M31" i="998"/>
  <c r="L31" i="998"/>
  <c r="K31" i="998"/>
  <c r="Z30" i="998"/>
  <c r="Y30" i="998"/>
  <c r="X30" i="998"/>
  <c r="W30" i="998"/>
  <c r="V30" i="998"/>
  <c r="U30" i="998"/>
  <c r="T30" i="998"/>
  <c r="S30" i="998"/>
  <c r="R30" i="998"/>
  <c r="Z29" i="998"/>
  <c r="Y29" i="998"/>
  <c r="X29" i="998"/>
  <c r="W29" i="998"/>
  <c r="V29" i="998"/>
  <c r="U29" i="998"/>
  <c r="T29" i="998"/>
  <c r="S29" i="998"/>
  <c r="R29" i="998"/>
  <c r="M29" i="998"/>
  <c r="L29" i="998"/>
  <c r="K29" i="998"/>
  <c r="Z28" i="998"/>
  <c r="Y28" i="998"/>
  <c r="X28" i="998"/>
  <c r="W28" i="998"/>
  <c r="V28" i="998"/>
  <c r="U28" i="998"/>
  <c r="T28" i="998"/>
  <c r="S28" i="998"/>
  <c r="R28" i="998"/>
  <c r="M28" i="998"/>
  <c r="Z27" i="998"/>
  <c r="Y27" i="998"/>
  <c r="X27" i="998"/>
  <c r="W27" i="998"/>
  <c r="V27" i="998"/>
  <c r="U27" i="998"/>
  <c r="T27" i="998"/>
  <c r="S27" i="998"/>
  <c r="R27" i="998"/>
  <c r="Z12" i="998"/>
  <c r="Y12" i="998"/>
  <c r="X12" i="998"/>
  <c r="W12" i="998"/>
  <c r="V12" i="998"/>
  <c r="U12" i="998"/>
  <c r="T12" i="998"/>
  <c r="S12" i="998"/>
  <c r="R12" i="998"/>
  <c r="Z11" i="998"/>
  <c r="Y11" i="998"/>
  <c r="X11" i="998"/>
  <c r="W11" i="998"/>
  <c r="V11" i="998"/>
  <c r="U11" i="998"/>
  <c r="T11" i="998"/>
  <c r="S11" i="998"/>
  <c r="R11" i="998"/>
  <c r="Z10" i="998"/>
  <c r="Y10" i="998"/>
  <c r="X10" i="998"/>
  <c r="W10" i="998"/>
  <c r="V10" i="998"/>
  <c r="U10" i="998"/>
  <c r="T10" i="998"/>
  <c r="S10" i="998"/>
  <c r="R10" i="998"/>
  <c r="G74" i="997"/>
  <c r="G55" i="997"/>
  <c r="D55" i="997"/>
  <c r="K55" i="997"/>
  <c r="J26" i="999" l="1"/>
  <c r="J26" i="998"/>
  <c r="K35" i="999"/>
  <c r="L35" i="999" s="1"/>
  <c r="M35" i="999" s="1"/>
  <c r="K36" i="998"/>
  <c r="L36" i="998" s="1"/>
  <c r="M36" i="998" s="1"/>
  <c r="K74" i="997"/>
  <c r="B55" i="997"/>
  <c r="L41" i="997"/>
  <c r="M26" i="997"/>
  <c r="L26" i="997"/>
  <c r="K26" i="997"/>
  <c r="L11" i="997"/>
  <c r="L12" i="997"/>
  <c r="L13" i="997"/>
  <c r="L14" i="997"/>
  <c r="L10" i="997"/>
  <c r="R12" i="997"/>
  <c r="S12" i="997"/>
  <c r="T12" i="997"/>
  <c r="U12" i="997"/>
  <c r="V12" i="997"/>
  <c r="W12" i="997"/>
  <c r="X12" i="997"/>
  <c r="Y12" i="997"/>
  <c r="Z12" i="997"/>
  <c r="R13" i="997"/>
  <c r="S13" i="997"/>
  <c r="T13" i="997"/>
  <c r="U13" i="997"/>
  <c r="V13" i="997"/>
  <c r="W13" i="997"/>
  <c r="X13" i="997"/>
  <c r="Y13" i="997"/>
  <c r="Z13" i="997"/>
  <c r="R14" i="997"/>
  <c r="S14" i="997"/>
  <c r="T14" i="997"/>
  <c r="U14" i="997"/>
  <c r="V14" i="997"/>
  <c r="W14" i="997"/>
  <c r="X14" i="997"/>
  <c r="Y14" i="997"/>
  <c r="Z14" i="997"/>
  <c r="R15" i="997"/>
  <c r="S15" i="997"/>
  <c r="T15" i="997"/>
  <c r="U15" i="997"/>
  <c r="V15" i="997"/>
  <c r="W15" i="997"/>
  <c r="X15" i="997"/>
  <c r="Y15" i="997"/>
  <c r="Z15" i="997"/>
  <c r="R16" i="997"/>
  <c r="S16" i="997"/>
  <c r="T16" i="997"/>
  <c r="U16" i="997"/>
  <c r="V16" i="997"/>
  <c r="W16" i="997"/>
  <c r="X16" i="997"/>
  <c r="Y16" i="997"/>
  <c r="Z16" i="997"/>
  <c r="R17" i="997"/>
  <c r="S17" i="997"/>
  <c r="T17" i="997"/>
  <c r="U17" i="997"/>
  <c r="V17" i="997"/>
  <c r="W17" i="997"/>
  <c r="X17" i="997"/>
  <c r="Y17" i="997"/>
  <c r="Z17" i="997"/>
  <c r="R18" i="997"/>
  <c r="S18" i="997"/>
  <c r="T18" i="997"/>
  <c r="U18" i="997"/>
  <c r="V18" i="997"/>
  <c r="W18" i="997"/>
  <c r="X18" i="997"/>
  <c r="Y18" i="997"/>
  <c r="Z18" i="997"/>
  <c r="R19" i="997"/>
  <c r="S19" i="997"/>
  <c r="T19" i="997"/>
  <c r="U19" i="997"/>
  <c r="V19" i="997"/>
  <c r="W19" i="997"/>
  <c r="X19" i="997"/>
  <c r="Y19" i="997"/>
  <c r="Z19" i="997"/>
  <c r="R20" i="997"/>
  <c r="S20" i="997"/>
  <c r="T20" i="997"/>
  <c r="U20" i="997"/>
  <c r="V20" i="997"/>
  <c r="W20" i="997"/>
  <c r="X20" i="997"/>
  <c r="Y20" i="997"/>
  <c r="Z20" i="997"/>
  <c r="R21" i="997"/>
  <c r="S21" i="997"/>
  <c r="T21" i="997"/>
  <c r="U21" i="997"/>
  <c r="V21" i="997"/>
  <c r="W21" i="997"/>
  <c r="X21" i="997"/>
  <c r="Y21" i="997"/>
  <c r="Z21" i="997"/>
  <c r="R22" i="997"/>
  <c r="S22" i="997"/>
  <c r="T22" i="997"/>
  <c r="U22" i="997"/>
  <c r="V22" i="997"/>
  <c r="W22" i="997"/>
  <c r="X22" i="997"/>
  <c r="Y22" i="997"/>
  <c r="Z22" i="997"/>
  <c r="R23" i="997"/>
  <c r="S23" i="997"/>
  <c r="T23" i="997"/>
  <c r="U23" i="997"/>
  <c r="V23" i="997"/>
  <c r="W23" i="997"/>
  <c r="X23" i="997"/>
  <c r="Y23" i="997"/>
  <c r="Z23" i="997"/>
  <c r="R24" i="997"/>
  <c r="S24" i="997"/>
  <c r="T24" i="997"/>
  <c r="U24" i="997"/>
  <c r="V24" i="997"/>
  <c r="W24" i="997"/>
  <c r="X24" i="997"/>
  <c r="Y24" i="997"/>
  <c r="Z24" i="997"/>
  <c r="R25" i="997"/>
  <c r="S25" i="997"/>
  <c r="T25" i="997"/>
  <c r="U25" i="997"/>
  <c r="V25" i="997"/>
  <c r="W25" i="997"/>
  <c r="X25" i="997"/>
  <c r="Y25" i="997"/>
  <c r="Z25" i="997"/>
  <c r="R26" i="997"/>
  <c r="S26" i="997"/>
  <c r="T26" i="997"/>
  <c r="U26" i="997"/>
  <c r="V26" i="997"/>
  <c r="W26" i="997"/>
  <c r="X26" i="997"/>
  <c r="Y26" i="997"/>
  <c r="Z26" i="997"/>
  <c r="C10" i="997"/>
  <c r="D10" i="997"/>
  <c r="E10" i="997"/>
  <c r="F10" i="997"/>
  <c r="G10" i="997"/>
  <c r="C11" i="997"/>
  <c r="D11" i="997"/>
  <c r="E11" i="997"/>
  <c r="F11" i="997"/>
  <c r="G11" i="997"/>
  <c r="C12" i="997"/>
  <c r="D12" i="997"/>
  <c r="E12" i="997"/>
  <c r="F12" i="997"/>
  <c r="G12" i="997"/>
  <c r="C13" i="997"/>
  <c r="D13" i="997"/>
  <c r="E13" i="997"/>
  <c r="F13" i="997"/>
  <c r="G13" i="997"/>
  <c r="C14" i="997"/>
  <c r="D14" i="997"/>
  <c r="E14" i="997"/>
  <c r="F14" i="997"/>
  <c r="G14" i="997"/>
  <c r="I14" i="997"/>
  <c r="I10" i="997"/>
  <c r="J10" i="997"/>
  <c r="M10" i="997"/>
  <c r="N10" i="997"/>
  <c r="O10" i="997"/>
  <c r="I11" i="997"/>
  <c r="J11" i="997"/>
  <c r="M11" i="997"/>
  <c r="N11" i="997"/>
  <c r="O11" i="997"/>
  <c r="I12" i="997"/>
  <c r="J12" i="997"/>
  <c r="M12" i="997"/>
  <c r="N12" i="997"/>
  <c r="O12" i="997"/>
  <c r="I13" i="997"/>
  <c r="J13" i="997"/>
  <c r="M13" i="997"/>
  <c r="N13" i="997"/>
  <c r="O13" i="997"/>
  <c r="J14" i="997"/>
  <c r="M14" i="997"/>
  <c r="O14" i="997"/>
  <c r="AX57" i="997"/>
  <c r="AW57" i="997"/>
  <c r="AV57" i="997"/>
  <c r="AU57" i="997"/>
  <c r="AT57" i="997"/>
  <c r="AS57" i="997"/>
  <c r="AR57" i="997"/>
  <c r="AQ57" i="997"/>
  <c r="AP57" i="997"/>
  <c r="AO57" i="997"/>
  <c r="AN57" i="997"/>
  <c r="AM57" i="997"/>
  <c r="AL57" i="997"/>
  <c r="AK57" i="997"/>
  <c r="AJ57" i="997"/>
  <c r="AI57" i="997"/>
  <c r="AH57" i="997"/>
  <c r="AG57" i="997"/>
  <c r="AF57" i="997"/>
  <c r="AE57" i="997"/>
  <c r="AD57" i="997"/>
  <c r="AC57" i="997"/>
  <c r="AB57" i="997"/>
  <c r="AX56" i="997"/>
  <c r="AW56" i="997"/>
  <c r="AV56" i="997"/>
  <c r="AU56" i="997"/>
  <c r="AT56" i="997"/>
  <c r="AS56" i="997"/>
  <c r="AR56" i="997"/>
  <c r="AQ56" i="997"/>
  <c r="AP56" i="997"/>
  <c r="AO56" i="997"/>
  <c r="AN56" i="997"/>
  <c r="AM56" i="997"/>
  <c r="AL56" i="997"/>
  <c r="AK56" i="997"/>
  <c r="AJ56" i="997"/>
  <c r="AI56" i="997"/>
  <c r="AH56" i="997"/>
  <c r="AG56" i="997"/>
  <c r="AF56" i="997"/>
  <c r="AE56" i="997"/>
  <c r="AD56" i="997"/>
  <c r="AC56" i="997"/>
  <c r="AB56" i="997"/>
  <c r="AX55" i="997"/>
  <c r="AW55" i="997"/>
  <c r="AV55" i="997"/>
  <c r="AU55" i="997"/>
  <c r="AT55" i="997"/>
  <c r="AS55" i="997"/>
  <c r="AR55" i="997"/>
  <c r="AQ55" i="997"/>
  <c r="AP55" i="997"/>
  <c r="AO55" i="997"/>
  <c r="AN55" i="997"/>
  <c r="AM55" i="997"/>
  <c r="AL55" i="997"/>
  <c r="AK55" i="997"/>
  <c r="AJ55" i="997"/>
  <c r="AI55" i="997"/>
  <c r="AH55" i="997"/>
  <c r="AG55" i="997"/>
  <c r="AF55" i="997"/>
  <c r="AE55" i="997"/>
  <c r="AD55" i="997"/>
  <c r="AC55" i="997"/>
  <c r="AB55" i="997"/>
  <c r="L55" i="997"/>
  <c r="C74" i="997" s="1"/>
  <c r="K50" i="997"/>
  <c r="M41" i="997"/>
  <c r="Z37" i="997"/>
  <c r="Y37" i="997"/>
  <c r="X37" i="997"/>
  <c r="W37" i="997"/>
  <c r="V37" i="997"/>
  <c r="U37" i="997"/>
  <c r="T37" i="997"/>
  <c r="S37" i="997"/>
  <c r="R37" i="997"/>
  <c r="Z36" i="997"/>
  <c r="Y36" i="997"/>
  <c r="X36" i="997"/>
  <c r="W36" i="997"/>
  <c r="V36" i="997"/>
  <c r="U36" i="997"/>
  <c r="T36" i="997"/>
  <c r="S36" i="997"/>
  <c r="R36" i="997"/>
  <c r="Z35" i="997"/>
  <c r="Y35" i="997"/>
  <c r="X35" i="997"/>
  <c r="W35" i="997"/>
  <c r="V35" i="997"/>
  <c r="U35" i="997"/>
  <c r="T35" i="997"/>
  <c r="S35" i="997"/>
  <c r="R35" i="997"/>
  <c r="Z34" i="997"/>
  <c r="Y34" i="997"/>
  <c r="X34" i="997"/>
  <c r="W34" i="997"/>
  <c r="V34" i="997"/>
  <c r="U34" i="997"/>
  <c r="T34" i="997"/>
  <c r="S34" i="997"/>
  <c r="R34" i="997"/>
  <c r="Z33" i="997"/>
  <c r="Y33" i="997"/>
  <c r="X33" i="997"/>
  <c r="W33" i="997"/>
  <c r="V33" i="997"/>
  <c r="U33" i="997"/>
  <c r="T33" i="997"/>
  <c r="S33" i="997"/>
  <c r="R33" i="997"/>
  <c r="Z32" i="997"/>
  <c r="Y32" i="997"/>
  <c r="X32" i="997"/>
  <c r="W32" i="997"/>
  <c r="V32" i="997"/>
  <c r="U32" i="997"/>
  <c r="T32" i="997"/>
  <c r="S32" i="997"/>
  <c r="R32" i="997"/>
  <c r="M32" i="997"/>
  <c r="L32" i="997"/>
  <c r="K32" i="997"/>
  <c r="Z31" i="997"/>
  <c r="Y31" i="997"/>
  <c r="X31" i="997"/>
  <c r="W31" i="997"/>
  <c r="V31" i="997"/>
  <c r="U31" i="997"/>
  <c r="T31" i="997"/>
  <c r="S31" i="997"/>
  <c r="R31" i="997"/>
  <c r="M31" i="997"/>
  <c r="L31" i="997"/>
  <c r="K31" i="997"/>
  <c r="Z30" i="997"/>
  <c r="Y30" i="997"/>
  <c r="X30" i="997"/>
  <c r="W30" i="997"/>
  <c r="V30" i="997"/>
  <c r="U30" i="997"/>
  <c r="T30" i="997"/>
  <c r="S30" i="997"/>
  <c r="R30" i="997"/>
  <c r="Z29" i="997"/>
  <c r="Y29" i="997"/>
  <c r="X29" i="997"/>
  <c r="W29" i="997"/>
  <c r="V29" i="997"/>
  <c r="U29" i="997"/>
  <c r="T29" i="997"/>
  <c r="S29" i="997"/>
  <c r="R29" i="997"/>
  <c r="M29" i="997"/>
  <c r="L29" i="997"/>
  <c r="K29" i="997"/>
  <c r="Z28" i="997"/>
  <c r="Y28" i="997"/>
  <c r="X28" i="997"/>
  <c r="W28" i="997"/>
  <c r="V28" i="997"/>
  <c r="U28" i="997"/>
  <c r="T28" i="997"/>
  <c r="S28" i="997"/>
  <c r="R28" i="997"/>
  <c r="M28" i="997"/>
  <c r="Z27" i="997"/>
  <c r="Y27" i="997"/>
  <c r="X27" i="997"/>
  <c r="W27" i="997"/>
  <c r="V27" i="997"/>
  <c r="U27" i="997"/>
  <c r="T27" i="997"/>
  <c r="S27" i="997"/>
  <c r="R27" i="997"/>
  <c r="M27" i="997"/>
  <c r="L27" i="997"/>
  <c r="K27" i="997"/>
  <c r="Z11" i="997"/>
  <c r="Y11" i="997"/>
  <c r="X11" i="997"/>
  <c r="W11" i="997"/>
  <c r="V11" i="997"/>
  <c r="U11" i="997"/>
  <c r="T11" i="997"/>
  <c r="S11" i="997"/>
  <c r="R11" i="997"/>
  <c r="Z10" i="997"/>
  <c r="Y10" i="997"/>
  <c r="X10" i="997"/>
  <c r="W10" i="997"/>
  <c r="V10" i="997"/>
  <c r="U10" i="997"/>
  <c r="T10" i="997"/>
  <c r="S10" i="997"/>
  <c r="R10" i="997"/>
  <c r="K54" i="996"/>
  <c r="K67" i="996" s="1"/>
  <c r="G67" i="996"/>
  <c r="G54" i="996"/>
  <c r="D54" i="996"/>
  <c r="L40" i="996"/>
  <c r="M25" i="996"/>
  <c r="L25" i="996"/>
  <c r="K25" i="996"/>
  <c r="R10" i="996"/>
  <c r="S10" i="996"/>
  <c r="T10" i="996"/>
  <c r="U10" i="996"/>
  <c r="V10" i="996"/>
  <c r="W10" i="996"/>
  <c r="X10" i="996"/>
  <c r="Y10" i="996"/>
  <c r="Z10" i="996"/>
  <c r="R11" i="996"/>
  <c r="S11" i="996"/>
  <c r="T11" i="996"/>
  <c r="U11" i="996"/>
  <c r="V11" i="996"/>
  <c r="W11" i="996"/>
  <c r="X11" i="996"/>
  <c r="Y11" i="996"/>
  <c r="Z11" i="996"/>
  <c r="R12" i="996"/>
  <c r="S12" i="996"/>
  <c r="T12" i="996"/>
  <c r="U12" i="996"/>
  <c r="V12" i="996"/>
  <c r="W12" i="996"/>
  <c r="X12" i="996"/>
  <c r="Y12" i="996"/>
  <c r="Z12" i="996"/>
  <c r="R13" i="996"/>
  <c r="S13" i="996"/>
  <c r="T13" i="996"/>
  <c r="U13" i="996"/>
  <c r="V13" i="996"/>
  <c r="W13" i="996"/>
  <c r="X13" i="996"/>
  <c r="Y13" i="996"/>
  <c r="Z13" i="996"/>
  <c r="R14" i="996"/>
  <c r="S14" i="996"/>
  <c r="T14" i="996"/>
  <c r="U14" i="996"/>
  <c r="V14" i="996"/>
  <c r="W14" i="996"/>
  <c r="X14" i="996"/>
  <c r="Y14" i="996"/>
  <c r="Z14" i="996"/>
  <c r="R16" i="996"/>
  <c r="S16" i="996"/>
  <c r="T16" i="996"/>
  <c r="U16" i="996"/>
  <c r="V16" i="996"/>
  <c r="W16" i="996"/>
  <c r="X16" i="996"/>
  <c r="Y16" i="996"/>
  <c r="Z16" i="996"/>
  <c r="R17" i="996"/>
  <c r="S17" i="996"/>
  <c r="T17" i="996"/>
  <c r="U17" i="996"/>
  <c r="V17" i="996"/>
  <c r="W17" i="996"/>
  <c r="X17" i="996"/>
  <c r="Y17" i="996"/>
  <c r="Z17" i="996"/>
  <c r="R18" i="996"/>
  <c r="S18" i="996"/>
  <c r="T18" i="996"/>
  <c r="U18" i="996"/>
  <c r="V18" i="996"/>
  <c r="W18" i="996"/>
  <c r="X18" i="996"/>
  <c r="Y18" i="996"/>
  <c r="Z18" i="996"/>
  <c r="R19" i="996"/>
  <c r="S19" i="996"/>
  <c r="T19" i="996"/>
  <c r="U19" i="996"/>
  <c r="V19" i="996"/>
  <c r="W19" i="996"/>
  <c r="X19" i="996"/>
  <c r="Y19" i="996"/>
  <c r="Z19" i="996"/>
  <c r="C10" i="996"/>
  <c r="D10" i="996"/>
  <c r="E10" i="996"/>
  <c r="F10" i="996"/>
  <c r="G10" i="996"/>
  <c r="I10" i="996"/>
  <c r="J10" i="996"/>
  <c r="L10" i="996"/>
  <c r="M10" i="996"/>
  <c r="N10" i="996"/>
  <c r="O10" i="996"/>
  <c r="C11" i="996"/>
  <c r="D11" i="996"/>
  <c r="E11" i="996"/>
  <c r="F11" i="996"/>
  <c r="G11" i="996"/>
  <c r="I11" i="996"/>
  <c r="J11" i="996"/>
  <c r="L11" i="996"/>
  <c r="M11" i="996"/>
  <c r="N11" i="996"/>
  <c r="O11" i="996"/>
  <c r="C12" i="996"/>
  <c r="D12" i="996"/>
  <c r="E12" i="996"/>
  <c r="F12" i="996"/>
  <c r="G12" i="996"/>
  <c r="I12" i="996"/>
  <c r="J12" i="996"/>
  <c r="L12" i="996"/>
  <c r="M12" i="996"/>
  <c r="N12" i="996"/>
  <c r="O12" i="996"/>
  <c r="C13" i="996"/>
  <c r="D13" i="996"/>
  <c r="E13" i="996"/>
  <c r="F13" i="996"/>
  <c r="G13" i="996"/>
  <c r="I13" i="996"/>
  <c r="J13" i="996"/>
  <c r="L13" i="996"/>
  <c r="M13" i="996"/>
  <c r="N13" i="996"/>
  <c r="O13" i="996"/>
  <c r="C14" i="996"/>
  <c r="D14" i="996"/>
  <c r="E14" i="996"/>
  <c r="F14" i="996"/>
  <c r="G14" i="996"/>
  <c r="I14" i="996"/>
  <c r="J14" i="996"/>
  <c r="M14" i="996"/>
  <c r="O14" i="996"/>
  <c r="C16" i="996"/>
  <c r="D16" i="996"/>
  <c r="E16" i="996"/>
  <c r="F16" i="996"/>
  <c r="G16" i="996"/>
  <c r="I16" i="996"/>
  <c r="J16" i="996"/>
  <c r="L16" i="996"/>
  <c r="M16" i="996"/>
  <c r="N16" i="996"/>
  <c r="O16" i="996"/>
  <c r="AX56" i="996"/>
  <c r="AW56" i="996"/>
  <c r="AV56" i="996"/>
  <c r="AU56" i="996"/>
  <c r="AT56" i="996"/>
  <c r="AS56" i="996"/>
  <c r="AR56" i="996"/>
  <c r="AQ56" i="996"/>
  <c r="AP56" i="996"/>
  <c r="AO56" i="996"/>
  <c r="AN56" i="996"/>
  <c r="AM56" i="996"/>
  <c r="AL56" i="996"/>
  <c r="AK56" i="996"/>
  <c r="AJ56" i="996"/>
  <c r="AI56" i="996"/>
  <c r="AH56" i="996"/>
  <c r="AG56" i="996"/>
  <c r="AF56" i="996"/>
  <c r="AE56" i="996"/>
  <c r="AD56" i="996"/>
  <c r="AC56" i="996"/>
  <c r="AB56" i="996"/>
  <c r="AX55" i="996"/>
  <c r="AW55" i="996"/>
  <c r="AV55" i="996"/>
  <c r="AU55" i="996"/>
  <c r="AT55" i="996"/>
  <c r="AS55" i="996"/>
  <c r="AR55" i="996"/>
  <c r="AQ55" i="996"/>
  <c r="AP55" i="996"/>
  <c r="AO55" i="996"/>
  <c r="AN55" i="996"/>
  <c r="AM55" i="996"/>
  <c r="AL55" i="996"/>
  <c r="AK55" i="996"/>
  <c r="AJ55" i="996"/>
  <c r="AI55" i="996"/>
  <c r="AH55" i="996"/>
  <c r="AG55" i="996"/>
  <c r="AF55" i="996"/>
  <c r="AE55" i="996"/>
  <c r="AD55" i="996"/>
  <c r="AC55" i="996"/>
  <c r="AB55" i="996"/>
  <c r="AX54" i="996"/>
  <c r="AW54" i="996"/>
  <c r="AV54" i="996"/>
  <c r="AU54" i="996"/>
  <c r="AT54" i="996"/>
  <c r="AS54" i="996"/>
  <c r="AR54" i="996"/>
  <c r="AQ54" i="996"/>
  <c r="AP54" i="996"/>
  <c r="AO54" i="996"/>
  <c r="AN54" i="996"/>
  <c r="AM54" i="996"/>
  <c r="AL54" i="996"/>
  <c r="AK54" i="996"/>
  <c r="AJ54" i="996"/>
  <c r="AI54" i="996"/>
  <c r="AH54" i="996"/>
  <c r="AG54" i="996"/>
  <c r="AF54" i="996"/>
  <c r="AE54" i="996"/>
  <c r="AD54" i="996"/>
  <c r="AC54" i="996"/>
  <c r="AB54" i="996"/>
  <c r="B54" i="996"/>
  <c r="K49" i="996"/>
  <c r="M40" i="996" s="1"/>
  <c r="Z36" i="996"/>
  <c r="Y36" i="996"/>
  <c r="X36" i="996"/>
  <c r="W36" i="996"/>
  <c r="V36" i="996"/>
  <c r="U36" i="996"/>
  <c r="T36" i="996"/>
  <c r="S36" i="996"/>
  <c r="R36" i="996"/>
  <c r="Z35" i="996"/>
  <c r="Y35" i="996"/>
  <c r="X35" i="996"/>
  <c r="W35" i="996"/>
  <c r="V35" i="996"/>
  <c r="U35" i="996"/>
  <c r="T35" i="996"/>
  <c r="S35" i="996"/>
  <c r="R35" i="996"/>
  <c r="Z34" i="996"/>
  <c r="Y34" i="996"/>
  <c r="X34" i="996"/>
  <c r="W34" i="996"/>
  <c r="V34" i="996"/>
  <c r="U34" i="996"/>
  <c r="T34" i="996"/>
  <c r="S34" i="996"/>
  <c r="R34" i="996"/>
  <c r="Z33" i="996"/>
  <c r="Y33" i="996"/>
  <c r="X33" i="996"/>
  <c r="W33" i="996"/>
  <c r="V33" i="996"/>
  <c r="U33" i="996"/>
  <c r="T33" i="996"/>
  <c r="S33" i="996"/>
  <c r="R33" i="996"/>
  <c r="Z32" i="996"/>
  <c r="Y32" i="996"/>
  <c r="X32" i="996"/>
  <c r="W32" i="996"/>
  <c r="V32" i="996"/>
  <c r="U32" i="996"/>
  <c r="T32" i="996"/>
  <c r="S32" i="996"/>
  <c r="R32" i="996"/>
  <c r="Z31" i="996"/>
  <c r="Y31" i="996"/>
  <c r="X31" i="996"/>
  <c r="W31" i="996"/>
  <c r="V31" i="996"/>
  <c r="U31" i="996"/>
  <c r="T31" i="996"/>
  <c r="S31" i="996"/>
  <c r="R31" i="996"/>
  <c r="M31" i="996"/>
  <c r="L31" i="996"/>
  <c r="K31" i="996"/>
  <c r="Z30" i="996"/>
  <c r="Y30" i="996"/>
  <c r="X30" i="996"/>
  <c r="W30" i="996"/>
  <c r="V30" i="996"/>
  <c r="U30" i="996"/>
  <c r="T30" i="996"/>
  <c r="S30" i="996"/>
  <c r="R30" i="996"/>
  <c r="M30" i="996"/>
  <c r="L30" i="996"/>
  <c r="K30" i="996"/>
  <c r="Z29" i="996"/>
  <c r="Y29" i="996"/>
  <c r="X29" i="996"/>
  <c r="W29" i="996"/>
  <c r="V29" i="996"/>
  <c r="U29" i="996"/>
  <c r="T29" i="996"/>
  <c r="S29" i="996"/>
  <c r="R29" i="996"/>
  <c r="Z28" i="996"/>
  <c r="Y28" i="996"/>
  <c r="X28" i="996"/>
  <c r="W28" i="996"/>
  <c r="V28" i="996"/>
  <c r="U28" i="996"/>
  <c r="T28" i="996"/>
  <c r="S28" i="996"/>
  <c r="R28" i="996"/>
  <c r="M28" i="996"/>
  <c r="L28" i="996"/>
  <c r="K28" i="996"/>
  <c r="Z27" i="996"/>
  <c r="Y27" i="996"/>
  <c r="X27" i="996"/>
  <c r="W27" i="996"/>
  <c r="V27" i="996"/>
  <c r="U27" i="996"/>
  <c r="T27" i="996"/>
  <c r="S27" i="996"/>
  <c r="R27" i="996"/>
  <c r="M27" i="996"/>
  <c r="Z26" i="996"/>
  <c r="Y26" i="996"/>
  <c r="X26" i="996"/>
  <c r="W26" i="996"/>
  <c r="V26" i="996"/>
  <c r="U26" i="996"/>
  <c r="T26" i="996"/>
  <c r="S26" i="996"/>
  <c r="R26" i="996"/>
  <c r="M26" i="996"/>
  <c r="L26" i="996"/>
  <c r="K26" i="996"/>
  <c r="Z25" i="996"/>
  <c r="Y25" i="996"/>
  <c r="X25" i="996"/>
  <c r="W25" i="996"/>
  <c r="V25" i="996"/>
  <c r="U25" i="996"/>
  <c r="T25" i="996"/>
  <c r="S25" i="996"/>
  <c r="R25" i="996"/>
  <c r="Z24" i="996"/>
  <c r="Y24" i="996"/>
  <c r="X24" i="996"/>
  <c r="W24" i="996"/>
  <c r="V24" i="996"/>
  <c r="U24" i="996"/>
  <c r="T24" i="996"/>
  <c r="S24" i="996"/>
  <c r="R24" i="996"/>
  <c r="Z23" i="996"/>
  <c r="Y23" i="996"/>
  <c r="X23" i="996"/>
  <c r="W23" i="996"/>
  <c r="V23" i="996"/>
  <c r="U23" i="996"/>
  <c r="T23" i="996"/>
  <c r="S23" i="996"/>
  <c r="R23" i="996"/>
  <c r="Z22" i="996"/>
  <c r="Y22" i="996"/>
  <c r="X22" i="996"/>
  <c r="W22" i="996"/>
  <c r="V22" i="996"/>
  <c r="U22" i="996"/>
  <c r="T22" i="996"/>
  <c r="S22" i="996"/>
  <c r="R22" i="996"/>
  <c r="Z21" i="996"/>
  <c r="Y21" i="996"/>
  <c r="X21" i="996"/>
  <c r="W21" i="996"/>
  <c r="V21" i="996"/>
  <c r="U21" i="996"/>
  <c r="T21" i="996"/>
  <c r="S21" i="996"/>
  <c r="R21" i="996"/>
  <c r="Z20" i="996"/>
  <c r="Y20" i="996"/>
  <c r="X20" i="996"/>
  <c r="W20" i="996"/>
  <c r="V20" i="996"/>
  <c r="U20" i="996"/>
  <c r="T20" i="996"/>
  <c r="S20" i="996"/>
  <c r="R20" i="996"/>
  <c r="J26" i="997" l="1"/>
  <c r="K36" i="997"/>
  <c r="L36" i="997" s="1"/>
  <c r="M36" i="997" s="1"/>
  <c r="J25" i="996"/>
  <c r="K35" i="996"/>
  <c r="L35" i="996" s="1"/>
  <c r="M35" i="996" s="1"/>
  <c r="L54" i="996"/>
  <c r="C67" i="996" s="1"/>
  <c r="K53" i="995" l="1"/>
  <c r="K66" i="995" s="1"/>
  <c r="G53" i="995"/>
  <c r="B53" i="995"/>
  <c r="G66" i="995" l="1"/>
  <c r="D53" i="995"/>
  <c r="F53" i="995"/>
  <c r="M30" i="995"/>
  <c r="L30" i="995"/>
  <c r="K30" i="995"/>
  <c r="R12" i="995"/>
  <c r="S12" i="995"/>
  <c r="T12" i="995"/>
  <c r="U12" i="995"/>
  <c r="V12" i="995"/>
  <c r="W12" i="995"/>
  <c r="X12" i="995"/>
  <c r="Y12" i="995"/>
  <c r="Z12" i="995"/>
  <c r="R13" i="995"/>
  <c r="S13" i="995"/>
  <c r="T13" i="995"/>
  <c r="U13" i="995"/>
  <c r="V13" i="995"/>
  <c r="W13" i="995"/>
  <c r="X13" i="995"/>
  <c r="Y13" i="995"/>
  <c r="Z13" i="995"/>
  <c r="R14" i="995"/>
  <c r="S14" i="995"/>
  <c r="T14" i="995"/>
  <c r="U14" i="995"/>
  <c r="V14" i="995"/>
  <c r="W14" i="995"/>
  <c r="X14" i="995"/>
  <c r="Y14" i="995"/>
  <c r="Z14" i="995"/>
  <c r="R15" i="995"/>
  <c r="S15" i="995"/>
  <c r="T15" i="995"/>
  <c r="U15" i="995"/>
  <c r="V15" i="995"/>
  <c r="W15" i="995"/>
  <c r="X15" i="995"/>
  <c r="Y15" i="995"/>
  <c r="Z15" i="995"/>
  <c r="R16" i="995"/>
  <c r="S16" i="995"/>
  <c r="T16" i="995"/>
  <c r="U16" i="995"/>
  <c r="V16" i="995"/>
  <c r="W16" i="995"/>
  <c r="X16" i="995"/>
  <c r="Y16" i="995"/>
  <c r="Z16" i="995"/>
  <c r="R17" i="995"/>
  <c r="S17" i="995"/>
  <c r="T17" i="995"/>
  <c r="U17" i="995"/>
  <c r="V17" i="995"/>
  <c r="W17" i="995"/>
  <c r="X17" i="995"/>
  <c r="Y17" i="995"/>
  <c r="Z17" i="995"/>
  <c r="R18" i="995"/>
  <c r="S18" i="995"/>
  <c r="T18" i="995"/>
  <c r="U18" i="995"/>
  <c r="V18" i="995"/>
  <c r="W18" i="995"/>
  <c r="X18" i="995"/>
  <c r="Y18" i="995"/>
  <c r="Z18" i="995"/>
  <c r="R19" i="995"/>
  <c r="S19" i="995"/>
  <c r="T19" i="995"/>
  <c r="U19" i="995"/>
  <c r="V19" i="995"/>
  <c r="W19" i="995"/>
  <c r="X19" i="995"/>
  <c r="Y19" i="995"/>
  <c r="Z19" i="995"/>
  <c r="R20" i="995"/>
  <c r="S20" i="995"/>
  <c r="T20" i="995"/>
  <c r="U20" i="995"/>
  <c r="V20" i="995"/>
  <c r="W20" i="995"/>
  <c r="X20" i="995"/>
  <c r="Y20" i="995"/>
  <c r="Z20" i="995"/>
  <c r="R21" i="995"/>
  <c r="S21" i="995"/>
  <c r="T21" i="995"/>
  <c r="U21" i="995"/>
  <c r="V21" i="995"/>
  <c r="W21" i="995"/>
  <c r="X21" i="995"/>
  <c r="Y21" i="995"/>
  <c r="Z21" i="995"/>
  <c r="R22" i="995"/>
  <c r="S22" i="995"/>
  <c r="T22" i="995"/>
  <c r="U22" i="995"/>
  <c r="V22" i="995"/>
  <c r="W22" i="995"/>
  <c r="X22" i="995"/>
  <c r="Y22" i="995"/>
  <c r="Z22" i="995"/>
  <c r="R23" i="995"/>
  <c r="S23" i="995"/>
  <c r="T23" i="995"/>
  <c r="U23" i="995"/>
  <c r="V23" i="995"/>
  <c r="W23" i="995"/>
  <c r="X23" i="995"/>
  <c r="Y23" i="995"/>
  <c r="Z23" i="995"/>
  <c r="R24" i="995"/>
  <c r="S24" i="995"/>
  <c r="T24" i="995"/>
  <c r="U24" i="995"/>
  <c r="V24" i="995"/>
  <c r="W24" i="995"/>
  <c r="X24" i="995"/>
  <c r="Y24" i="995"/>
  <c r="Z24" i="995"/>
  <c r="R25" i="995"/>
  <c r="S25" i="995"/>
  <c r="T25" i="995"/>
  <c r="U25" i="995"/>
  <c r="V25" i="995"/>
  <c r="W25" i="995"/>
  <c r="X25" i="995"/>
  <c r="Y25" i="995"/>
  <c r="Z25" i="995"/>
  <c r="R26" i="995"/>
  <c r="S26" i="995"/>
  <c r="T26" i="995"/>
  <c r="U26" i="995"/>
  <c r="V26" i="995"/>
  <c r="W26" i="995"/>
  <c r="X26" i="995"/>
  <c r="Y26" i="995"/>
  <c r="Z26" i="995"/>
  <c r="R27" i="995"/>
  <c r="S27" i="995"/>
  <c r="T27" i="995"/>
  <c r="U27" i="995"/>
  <c r="V27" i="995"/>
  <c r="W27" i="995"/>
  <c r="X27" i="995"/>
  <c r="Y27" i="995"/>
  <c r="Z27" i="995"/>
  <c r="C14" i="995"/>
  <c r="D14" i="995"/>
  <c r="E14" i="995"/>
  <c r="F14" i="995"/>
  <c r="G14" i="995"/>
  <c r="I14" i="995"/>
  <c r="J14" i="995"/>
  <c r="K14" i="995"/>
  <c r="L14" i="995"/>
  <c r="M14" i="995"/>
  <c r="N14" i="995"/>
  <c r="O14" i="995"/>
  <c r="C11" i="995"/>
  <c r="D11" i="995"/>
  <c r="E11" i="995"/>
  <c r="F11" i="995"/>
  <c r="G11" i="995"/>
  <c r="I11" i="995"/>
  <c r="J11" i="995"/>
  <c r="K11" i="995"/>
  <c r="L11" i="995"/>
  <c r="M11" i="995"/>
  <c r="N11" i="995"/>
  <c r="O11" i="995"/>
  <c r="C12" i="995"/>
  <c r="D12" i="995"/>
  <c r="E12" i="995"/>
  <c r="F12" i="995"/>
  <c r="G12" i="995"/>
  <c r="I12" i="995"/>
  <c r="J12" i="995"/>
  <c r="K12" i="995"/>
  <c r="L12" i="995"/>
  <c r="M12" i="995"/>
  <c r="N12" i="995"/>
  <c r="O12" i="995"/>
  <c r="C13" i="995"/>
  <c r="D13" i="995"/>
  <c r="E13" i="995"/>
  <c r="F13" i="995"/>
  <c r="G13" i="995"/>
  <c r="I13" i="995"/>
  <c r="J13" i="995"/>
  <c r="K13" i="995"/>
  <c r="L13" i="995"/>
  <c r="M13" i="995"/>
  <c r="N13" i="995"/>
  <c r="O13" i="995"/>
  <c r="AX55" i="995"/>
  <c r="AW55" i="995"/>
  <c r="AV55" i="995"/>
  <c r="AU55" i="995"/>
  <c r="AT55" i="995"/>
  <c r="AS55" i="995"/>
  <c r="AR55" i="995"/>
  <c r="AQ55" i="995"/>
  <c r="AP55" i="995"/>
  <c r="AO55" i="995"/>
  <c r="AN55" i="995"/>
  <c r="AM55" i="995"/>
  <c r="AL55" i="995"/>
  <c r="AK55" i="995"/>
  <c r="AJ55" i="995"/>
  <c r="AI55" i="995"/>
  <c r="AH55" i="995"/>
  <c r="AG55" i="995"/>
  <c r="AF55" i="995"/>
  <c r="AE55" i="995"/>
  <c r="AD55" i="995"/>
  <c r="AC55" i="995"/>
  <c r="AB55" i="995"/>
  <c r="AX54" i="995"/>
  <c r="AW54" i="995"/>
  <c r="AV54" i="995"/>
  <c r="AU54" i="995"/>
  <c r="AT54" i="995"/>
  <c r="AS54" i="995"/>
  <c r="AR54" i="995"/>
  <c r="AQ54" i="995"/>
  <c r="AP54" i="995"/>
  <c r="AO54" i="995"/>
  <c r="AN54" i="995"/>
  <c r="AM54" i="995"/>
  <c r="AL54" i="995"/>
  <c r="AK54" i="995"/>
  <c r="AJ54" i="995"/>
  <c r="AI54" i="995"/>
  <c r="AH54" i="995"/>
  <c r="AG54" i="995"/>
  <c r="AF54" i="995"/>
  <c r="AE54" i="995"/>
  <c r="AD54" i="995"/>
  <c r="AC54" i="995"/>
  <c r="AB54" i="995"/>
  <c r="AX53" i="995"/>
  <c r="AW53" i="995"/>
  <c r="AV53" i="995"/>
  <c r="AU53" i="995"/>
  <c r="AT53" i="995"/>
  <c r="AS53" i="995"/>
  <c r="AR53" i="995"/>
  <c r="AQ53" i="995"/>
  <c r="AP53" i="995"/>
  <c r="AO53" i="995"/>
  <c r="AN53" i="995"/>
  <c r="AM53" i="995"/>
  <c r="AL53" i="995"/>
  <c r="AK53" i="995"/>
  <c r="AJ53" i="995"/>
  <c r="AI53" i="995"/>
  <c r="AH53" i="995"/>
  <c r="AG53" i="995"/>
  <c r="AF53" i="995"/>
  <c r="AE53" i="995"/>
  <c r="AD53" i="995"/>
  <c r="AC53" i="995"/>
  <c r="AB53" i="995"/>
  <c r="K48" i="995"/>
  <c r="L39" i="995" s="1"/>
  <c r="M39" i="995" s="1"/>
  <c r="Z35" i="995"/>
  <c r="Y35" i="995"/>
  <c r="X35" i="995"/>
  <c r="W35" i="995"/>
  <c r="V35" i="995"/>
  <c r="U35" i="995"/>
  <c r="T35" i="995"/>
  <c r="S35" i="995"/>
  <c r="R35" i="995"/>
  <c r="Z34" i="995"/>
  <c r="Y34" i="995"/>
  <c r="X34" i="995"/>
  <c r="W34" i="995"/>
  <c r="V34" i="995"/>
  <c r="U34" i="995"/>
  <c r="T34" i="995"/>
  <c r="S34" i="995"/>
  <c r="R34" i="995"/>
  <c r="Z33" i="995"/>
  <c r="Y33" i="995"/>
  <c r="X33" i="995"/>
  <c r="W33" i="995"/>
  <c r="V33" i="995"/>
  <c r="U33" i="995"/>
  <c r="T33" i="995"/>
  <c r="S33" i="995"/>
  <c r="R33" i="995"/>
  <c r="Z32" i="995"/>
  <c r="Y32" i="995"/>
  <c r="X32" i="995"/>
  <c r="W32" i="995"/>
  <c r="V32" i="995"/>
  <c r="U32" i="995"/>
  <c r="T32" i="995"/>
  <c r="S32" i="995"/>
  <c r="R32" i="995"/>
  <c r="Z31" i="995"/>
  <c r="Y31" i="995"/>
  <c r="X31" i="995"/>
  <c r="W31" i="995"/>
  <c r="V31" i="995"/>
  <c r="U31" i="995"/>
  <c r="T31" i="995"/>
  <c r="S31" i="995"/>
  <c r="R31" i="995"/>
  <c r="Z30" i="995"/>
  <c r="Y30" i="995"/>
  <c r="X30" i="995"/>
  <c r="W30" i="995"/>
  <c r="V30" i="995"/>
  <c r="U30" i="995"/>
  <c r="T30" i="995"/>
  <c r="S30" i="995"/>
  <c r="R30" i="995"/>
  <c r="Z29" i="995"/>
  <c r="Y29" i="995"/>
  <c r="X29" i="995"/>
  <c r="W29" i="995"/>
  <c r="V29" i="995"/>
  <c r="U29" i="995"/>
  <c r="T29" i="995"/>
  <c r="S29" i="995"/>
  <c r="R29" i="995"/>
  <c r="M29" i="995"/>
  <c r="L29" i="995"/>
  <c r="K29" i="995"/>
  <c r="Z28" i="995"/>
  <c r="Y28" i="995"/>
  <c r="X28" i="995"/>
  <c r="W28" i="995"/>
  <c r="V28" i="995"/>
  <c r="U28" i="995"/>
  <c r="T28" i="995"/>
  <c r="S28" i="995"/>
  <c r="R28" i="995"/>
  <c r="M27" i="995"/>
  <c r="L27" i="995"/>
  <c r="K27" i="995"/>
  <c r="M26" i="995"/>
  <c r="M25" i="995"/>
  <c r="L25" i="995"/>
  <c r="K25" i="995"/>
  <c r="M24" i="995"/>
  <c r="L24" i="995"/>
  <c r="K24" i="995"/>
  <c r="Z11" i="995"/>
  <c r="Y11" i="995"/>
  <c r="X11" i="995"/>
  <c r="W11" i="995"/>
  <c r="V11" i="995"/>
  <c r="U11" i="995"/>
  <c r="T11" i="995"/>
  <c r="S11" i="995"/>
  <c r="R11" i="995"/>
  <c r="R10" i="994"/>
  <c r="S10" i="994"/>
  <c r="T10" i="994"/>
  <c r="U10" i="994"/>
  <c r="V10" i="994"/>
  <c r="W10" i="994"/>
  <c r="X10" i="994"/>
  <c r="Y10" i="994"/>
  <c r="Z10" i="994"/>
  <c r="R11" i="994"/>
  <c r="S11" i="994"/>
  <c r="T11" i="994"/>
  <c r="U11" i="994"/>
  <c r="V11" i="994"/>
  <c r="W11" i="994"/>
  <c r="X11" i="994"/>
  <c r="Y11" i="994"/>
  <c r="Z11" i="994"/>
  <c r="R12" i="994"/>
  <c r="S12" i="994"/>
  <c r="T12" i="994"/>
  <c r="U12" i="994"/>
  <c r="V12" i="994"/>
  <c r="W12" i="994"/>
  <c r="X12" i="994"/>
  <c r="Y12" i="994"/>
  <c r="Z12" i="994"/>
  <c r="R13" i="994"/>
  <c r="S13" i="994"/>
  <c r="T13" i="994"/>
  <c r="U13" i="994"/>
  <c r="V13" i="994"/>
  <c r="W13" i="994"/>
  <c r="X13" i="994"/>
  <c r="Y13" i="994"/>
  <c r="Z13" i="994"/>
  <c r="R14" i="994"/>
  <c r="S14" i="994"/>
  <c r="T14" i="994"/>
  <c r="U14" i="994"/>
  <c r="V14" i="994"/>
  <c r="W14" i="994"/>
  <c r="X14" i="994"/>
  <c r="Y14" i="994"/>
  <c r="Z14" i="994"/>
  <c r="R15" i="994"/>
  <c r="S15" i="994"/>
  <c r="T15" i="994"/>
  <c r="U15" i="994"/>
  <c r="V15" i="994"/>
  <c r="W15" i="994"/>
  <c r="X15" i="994"/>
  <c r="Y15" i="994"/>
  <c r="Z15" i="994"/>
  <c r="R16" i="994"/>
  <c r="S16" i="994"/>
  <c r="T16" i="994"/>
  <c r="U16" i="994"/>
  <c r="V16" i="994"/>
  <c r="W16" i="994"/>
  <c r="X16" i="994"/>
  <c r="Y16" i="994"/>
  <c r="Z16" i="994"/>
  <c r="R17" i="994"/>
  <c r="S17" i="994"/>
  <c r="T17" i="994"/>
  <c r="U17" i="994"/>
  <c r="V17" i="994"/>
  <c r="W17" i="994"/>
  <c r="X17" i="994"/>
  <c r="Y17" i="994"/>
  <c r="Z17" i="994"/>
  <c r="R18" i="994"/>
  <c r="S18" i="994"/>
  <c r="T18" i="994"/>
  <c r="U18" i="994"/>
  <c r="V18" i="994"/>
  <c r="W18" i="994"/>
  <c r="X18" i="994"/>
  <c r="Y18" i="994"/>
  <c r="Z18" i="994"/>
  <c r="R19" i="994"/>
  <c r="S19" i="994"/>
  <c r="T19" i="994"/>
  <c r="U19" i="994"/>
  <c r="V19" i="994"/>
  <c r="W19" i="994"/>
  <c r="X19" i="994"/>
  <c r="Y19" i="994"/>
  <c r="Z19" i="994"/>
  <c r="R20" i="994"/>
  <c r="S20" i="994"/>
  <c r="T20" i="994"/>
  <c r="U20" i="994"/>
  <c r="V20" i="994"/>
  <c r="W20" i="994"/>
  <c r="X20" i="994"/>
  <c r="Y20" i="994"/>
  <c r="Z20" i="994"/>
  <c r="K54" i="994"/>
  <c r="K68" i="994" s="1"/>
  <c r="G54" i="994"/>
  <c r="B54" i="994"/>
  <c r="K51" i="990"/>
  <c r="K53" i="990"/>
  <c r="K56" i="991"/>
  <c r="K67" i="991" s="1"/>
  <c r="K55" i="990"/>
  <c r="K68" i="990" s="1"/>
  <c r="K54" i="991"/>
  <c r="K73" i="991" s="1"/>
  <c r="M26" i="994"/>
  <c r="L26" i="994"/>
  <c r="K26" i="994"/>
  <c r="M25" i="994"/>
  <c r="L25" i="994"/>
  <c r="K25" i="994"/>
  <c r="O16" i="994"/>
  <c r="O17" i="994"/>
  <c r="O18" i="994"/>
  <c r="O15" i="994"/>
  <c r="L40" i="994"/>
  <c r="L15" i="994"/>
  <c r="M15" i="994"/>
  <c r="N15" i="994"/>
  <c r="I16" i="994"/>
  <c r="J16" i="994"/>
  <c r="L16" i="994"/>
  <c r="M16" i="994"/>
  <c r="N16" i="994"/>
  <c r="I17" i="994"/>
  <c r="J17" i="994"/>
  <c r="L17" i="994"/>
  <c r="M17" i="994"/>
  <c r="N17" i="994"/>
  <c r="I18" i="994"/>
  <c r="J18" i="994"/>
  <c r="L18" i="994"/>
  <c r="M18" i="994"/>
  <c r="N18" i="994"/>
  <c r="C15" i="994"/>
  <c r="D15" i="994"/>
  <c r="F15" i="994"/>
  <c r="G15" i="994"/>
  <c r="C16" i="994"/>
  <c r="D16" i="994"/>
  <c r="E16" i="994"/>
  <c r="F16" i="994"/>
  <c r="G16" i="994"/>
  <c r="C17" i="994"/>
  <c r="D17" i="994"/>
  <c r="E17" i="994"/>
  <c r="F17" i="994"/>
  <c r="G17" i="994"/>
  <c r="C18" i="994"/>
  <c r="D18" i="994"/>
  <c r="E18" i="994"/>
  <c r="F18" i="994"/>
  <c r="G18" i="994"/>
  <c r="I10" i="994"/>
  <c r="J10" i="994"/>
  <c r="K10" i="994"/>
  <c r="L10" i="994"/>
  <c r="M10" i="994"/>
  <c r="O10" i="994"/>
  <c r="I11" i="994"/>
  <c r="J11" i="994"/>
  <c r="K11" i="994"/>
  <c r="L11" i="994"/>
  <c r="M11" i="994"/>
  <c r="O11" i="994"/>
  <c r="I12" i="994"/>
  <c r="J12" i="994"/>
  <c r="K12" i="994"/>
  <c r="L12" i="994"/>
  <c r="M12" i="994"/>
  <c r="O12" i="994"/>
  <c r="I13" i="994"/>
  <c r="J13" i="994"/>
  <c r="K13" i="994"/>
  <c r="L13" i="994"/>
  <c r="M13" i="994"/>
  <c r="O13" i="994"/>
  <c r="C10" i="994"/>
  <c r="D10" i="994"/>
  <c r="E10" i="994"/>
  <c r="F10" i="994"/>
  <c r="G10" i="994"/>
  <c r="C11" i="994"/>
  <c r="D11" i="994"/>
  <c r="E11" i="994"/>
  <c r="F11" i="994"/>
  <c r="G11" i="994"/>
  <c r="C12" i="994"/>
  <c r="D12" i="994"/>
  <c r="E12" i="994"/>
  <c r="F12" i="994"/>
  <c r="G12" i="994"/>
  <c r="C13" i="994"/>
  <c r="D13" i="994"/>
  <c r="E13" i="994"/>
  <c r="F13" i="994"/>
  <c r="G13" i="994"/>
  <c r="AX56" i="994"/>
  <c r="AW56" i="994"/>
  <c r="AV56" i="994"/>
  <c r="AU56" i="994"/>
  <c r="AT56" i="994"/>
  <c r="AS56" i="994"/>
  <c r="AR56" i="994"/>
  <c r="AQ56" i="994"/>
  <c r="AP56" i="994"/>
  <c r="AO56" i="994"/>
  <c r="AN56" i="994"/>
  <c r="AM56" i="994"/>
  <c r="AL56" i="994"/>
  <c r="AK56" i="994"/>
  <c r="AJ56" i="994"/>
  <c r="AI56" i="994"/>
  <c r="AH56" i="994"/>
  <c r="AG56" i="994"/>
  <c r="AF56" i="994"/>
  <c r="AE56" i="994"/>
  <c r="AD56" i="994"/>
  <c r="AC56" i="994"/>
  <c r="AB56" i="994"/>
  <c r="AX55" i="994"/>
  <c r="AW55" i="994"/>
  <c r="AV55" i="994"/>
  <c r="AU55" i="994"/>
  <c r="AT55" i="994"/>
  <c r="AS55" i="994"/>
  <c r="AR55" i="994"/>
  <c r="AQ55" i="994"/>
  <c r="AP55" i="994"/>
  <c r="AO55" i="994"/>
  <c r="AN55" i="994"/>
  <c r="AM55" i="994"/>
  <c r="AL55" i="994"/>
  <c r="AK55" i="994"/>
  <c r="AJ55" i="994"/>
  <c r="AI55" i="994"/>
  <c r="AH55" i="994"/>
  <c r="AG55" i="994"/>
  <c r="AF55" i="994"/>
  <c r="AE55" i="994"/>
  <c r="AD55" i="994"/>
  <c r="AC55" i="994"/>
  <c r="AB55" i="994"/>
  <c r="AX54" i="994"/>
  <c r="AW54" i="994"/>
  <c r="AV54" i="994"/>
  <c r="AU54" i="994"/>
  <c r="AT54" i="994"/>
  <c r="AS54" i="994"/>
  <c r="AR54" i="994"/>
  <c r="AQ54" i="994"/>
  <c r="AP54" i="994"/>
  <c r="AO54" i="994"/>
  <c r="AN54" i="994"/>
  <c r="AM54" i="994"/>
  <c r="AL54" i="994"/>
  <c r="AK54" i="994"/>
  <c r="AJ54" i="994"/>
  <c r="AI54" i="994"/>
  <c r="AH54" i="994"/>
  <c r="AG54" i="994"/>
  <c r="AF54" i="994"/>
  <c r="AE54" i="994"/>
  <c r="AD54" i="994"/>
  <c r="AC54" i="994"/>
  <c r="AB54" i="994"/>
  <c r="K49" i="994"/>
  <c r="M40" i="994"/>
  <c r="Z36" i="994"/>
  <c r="Y36" i="994"/>
  <c r="X36" i="994"/>
  <c r="W36" i="994"/>
  <c r="V36" i="994"/>
  <c r="U36" i="994"/>
  <c r="T36" i="994"/>
  <c r="S36" i="994"/>
  <c r="R36" i="994"/>
  <c r="Z35" i="994"/>
  <c r="Y35" i="994"/>
  <c r="X35" i="994"/>
  <c r="W35" i="994"/>
  <c r="V35" i="994"/>
  <c r="U35" i="994"/>
  <c r="T35" i="994"/>
  <c r="S35" i="994"/>
  <c r="R35" i="994"/>
  <c r="Z34" i="994"/>
  <c r="Y34" i="994"/>
  <c r="X34" i="994"/>
  <c r="W34" i="994"/>
  <c r="V34" i="994"/>
  <c r="U34" i="994"/>
  <c r="T34" i="994"/>
  <c r="S34" i="994"/>
  <c r="R34" i="994"/>
  <c r="Z33" i="994"/>
  <c r="Y33" i="994"/>
  <c r="X33" i="994"/>
  <c r="W33" i="994"/>
  <c r="V33" i="994"/>
  <c r="U33" i="994"/>
  <c r="T33" i="994"/>
  <c r="S33" i="994"/>
  <c r="R33" i="994"/>
  <c r="Z32" i="994"/>
  <c r="Y32" i="994"/>
  <c r="X32" i="994"/>
  <c r="W32" i="994"/>
  <c r="V32" i="994"/>
  <c r="U32" i="994"/>
  <c r="T32" i="994"/>
  <c r="S32" i="994"/>
  <c r="R32" i="994"/>
  <c r="Z31" i="994"/>
  <c r="Y31" i="994"/>
  <c r="X31" i="994"/>
  <c r="W31" i="994"/>
  <c r="V31" i="994"/>
  <c r="U31" i="994"/>
  <c r="T31" i="994"/>
  <c r="S31" i="994"/>
  <c r="R31" i="994"/>
  <c r="M31" i="994"/>
  <c r="L31" i="994"/>
  <c r="K31" i="994"/>
  <c r="Z30" i="994"/>
  <c r="Y30" i="994"/>
  <c r="X30" i="994"/>
  <c r="W30" i="994"/>
  <c r="V30" i="994"/>
  <c r="U30" i="994"/>
  <c r="T30" i="994"/>
  <c r="S30" i="994"/>
  <c r="R30" i="994"/>
  <c r="M30" i="994"/>
  <c r="L30" i="994"/>
  <c r="K30" i="994"/>
  <c r="Z29" i="994"/>
  <c r="Y29" i="994"/>
  <c r="X29" i="994"/>
  <c r="W29" i="994"/>
  <c r="V29" i="994"/>
  <c r="U29" i="994"/>
  <c r="T29" i="994"/>
  <c r="S29" i="994"/>
  <c r="R29" i="994"/>
  <c r="Z28" i="994"/>
  <c r="Y28" i="994"/>
  <c r="X28" i="994"/>
  <c r="W28" i="994"/>
  <c r="V28" i="994"/>
  <c r="U28" i="994"/>
  <c r="T28" i="994"/>
  <c r="S28" i="994"/>
  <c r="R28" i="994"/>
  <c r="M28" i="994"/>
  <c r="L28" i="994"/>
  <c r="K28" i="994"/>
  <c r="Z27" i="994"/>
  <c r="Y27" i="994"/>
  <c r="X27" i="994"/>
  <c r="W27" i="994"/>
  <c r="V27" i="994"/>
  <c r="U27" i="994"/>
  <c r="T27" i="994"/>
  <c r="S27" i="994"/>
  <c r="R27" i="994"/>
  <c r="M27" i="994"/>
  <c r="Z26" i="994"/>
  <c r="Y26" i="994"/>
  <c r="X26" i="994"/>
  <c r="W26" i="994"/>
  <c r="V26" i="994"/>
  <c r="U26" i="994"/>
  <c r="T26" i="994"/>
  <c r="S26" i="994"/>
  <c r="R26" i="994"/>
  <c r="Z25" i="994"/>
  <c r="Y25" i="994"/>
  <c r="X25" i="994"/>
  <c r="W25" i="994"/>
  <c r="V25" i="994"/>
  <c r="U25" i="994"/>
  <c r="T25" i="994"/>
  <c r="S25" i="994"/>
  <c r="R25" i="994"/>
  <c r="Z24" i="994"/>
  <c r="Y24" i="994"/>
  <c r="X24" i="994"/>
  <c r="W24" i="994"/>
  <c r="V24" i="994"/>
  <c r="U24" i="994"/>
  <c r="T24" i="994"/>
  <c r="S24" i="994"/>
  <c r="R24" i="994"/>
  <c r="Z23" i="994"/>
  <c r="Y23" i="994"/>
  <c r="X23" i="994"/>
  <c r="W23" i="994"/>
  <c r="V23" i="994"/>
  <c r="U23" i="994"/>
  <c r="T23" i="994"/>
  <c r="S23" i="994"/>
  <c r="R23" i="994"/>
  <c r="Z22" i="994"/>
  <c r="Y22" i="994"/>
  <c r="X22" i="994"/>
  <c r="W22" i="994"/>
  <c r="V22" i="994"/>
  <c r="U22" i="994"/>
  <c r="T22" i="994"/>
  <c r="S22" i="994"/>
  <c r="R22" i="994"/>
  <c r="Z21" i="994"/>
  <c r="Y21" i="994"/>
  <c r="X21" i="994"/>
  <c r="W21" i="994"/>
  <c r="V21" i="994"/>
  <c r="U21" i="994"/>
  <c r="T21" i="994"/>
  <c r="S21" i="994"/>
  <c r="R21" i="994"/>
  <c r="N11" i="994"/>
  <c r="N12" i="994"/>
  <c r="N13" i="994"/>
  <c r="L19" i="993"/>
  <c r="G53" i="993"/>
  <c r="B53" i="993"/>
  <c r="M25" i="993"/>
  <c r="L25" i="993"/>
  <c r="K25" i="993"/>
  <c r="M24" i="993"/>
  <c r="L24" i="993"/>
  <c r="K24" i="993"/>
  <c r="O19" i="993"/>
  <c r="N19" i="993"/>
  <c r="M19" i="993"/>
  <c r="K19" i="993"/>
  <c r="G19" i="993"/>
  <c r="F19" i="993"/>
  <c r="E19" i="993"/>
  <c r="D19" i="993"/>
  <c r="C19" i="993"/>
  <c r="R10" i="993"/>
  <c r="S10" i="993"/>
  <c r="T10" i="993"/>
  <c r="U10" i="993"/>
  <c r="V10" i="993"/>
  <c r="W10" i="993"/>
  <c r="X10" i="993"/>
  <c r="Y10" i="993"/>
  <c r="Z10" i="993"/>
  <c r="R11" i="993"/>
  <c r="S11" i="993"/>
  <c r="T11" i="993"/>
  <c r="U11" i="993"/>
  <c r="V11" i="993"/>
  <c r="W11" i="993"/>
  <c r="X11" i="993"/>
  <c r="Y11" i="993"/>
  <c r="Z11" i="993"/>
  <c r="R12" i="993"/>
  <c r="S12" i="993"/>
  <c r="T12" i="993"/>
  <c r="U12" i="993"/>
  <c r="V12" i="993"/>
  <c r="W12" i="993"/>
  <c r="X12" i="993"/>
  <c r="Y12" i="993"/>
  <c r="Z12" i="993"/>
  <c r="R13" i="993"/>
  <c r="S13" i="993"/>
  <c r="T13" i="993"/>
  <c r="U13" i="993"/>
  <c r="V13" i="993"/>
  <c r="W13" i="993"/>
  <c r="X13" i="993"/>
  <c r="Y13" i="993"/>
  <c r="Z13" i="993"/>
  <c r="R14" i="993"/>
  <c r="S14" i="993"/>
  <c r="T14" i="993"/>
  <c r="U14" i="993"/>
  <c r="V14" i="993"/>
  <c r="W14" i="993"/>
  <c r="X14" i="993"/>
  <c r="Y14" i="993"/>
  <c r="Z14" i="993"/>
  <c r="R15" i="993"/>
  <c r="S15" i="993"/>
  <c r="T15" i="993"/>
  <c r="U15" i="993"/>
  <c r="V15" i="993"/>
  <c r="W15" i="993"/>
  <c r="X15" i="993"/>
  <c r="Y15" i="993"/>
  <c r="Z15" i="993"/>
  <c r="R16" i="993"/>
  <c r="S16" i="993"/>
  <c r="T16" i="993"/>
  <c r="U16" i="993"/>
  <c r="V16" i="993"/>
  <c r="W16" i="993"/>
  <c r="X16" i="993"/>
  <c r="Y16" i="993"/>
  <c r="Z16" i="993"/>
  <c r="R17" i="993"/>
  <c r="S17" i="993"/>
  <c r="T17" i="993"/>
  <c r="U17" i="993"/>
  <c r="V17" i="993"/>
  <c r="W17" i="993"/>
  <c r="X17" i="993"/>
  <c r="Y17" i="993"/>
  <c r="Z17" i="993"/>
  <c r="R18" i="993"/>
  <c r="S18" i="993"/>
  <c r="T18" i="993"/>
  <c r="U18" i="993"/>
  <c r="V18" i="993"/>
  <c r="W18" i="993"/>
  <c r="X18" i="993"/>
  <c r="Y18" i="993"/>
  <c r="Z18" i="993"/>
  <c r="I10" i="993"/>
  <c r="J10" i="993"/>
  <c r="L10" i="993"/>
  <c r="M10" i="993"/>
  <c r="N10" i="993"/>
  <c r="I11" i="993"/>
  <c r="J11" i="993"/>
  <c r="L11" i="993"/>
  <c r="M11" i="993"/>
  <c r="N11" i="993"/>
  <c r="I12" i="993"/>
  <c r="J12" i="993"/>
  <c r="L12" i="993"/>
  <c r="M12" i="993"/>
  <c r="N12" i="993"/>
  <c r="I13" i="993"/>
  <c r="J13" i="993"/>
  <c r="L13" i="993"/>
  <c r="M13" i="993"/>
  <c r="N13" i="993"/>
  <c r="I14" i="993"/>
  <c r="J14" i="993"/>
  <c r="L14" i="993"/>
  <c r="M14" i="993"/>
  <c r="N14" i="993"/>
  <c r="I15" i="993"/>
  <c r="J15" i="993"/>
  <c r="L15" i="993"/>
  <c r="M15" i="993"/>
  <c r="N15" i="993"/>
  <c r="I16" i="993"/>
  <c r="J16" i="993"/>
  <c r="L16" i="993"/>
  <c r="M16" i="993"/>
  <c r="N16" i="993"/>
  <c r="I17" i="993"/>
  <c r="J17" i="993"/>
  <c r="L17" i="993"/>
  <c r="M17" i="993"/>
  <c r="N17" i="993"/>
  <c r="C10" i="993"/>
  <c r="D10" i="993"/>
  <c r="E10" i="993"/>
  <c r="F10" i="993"/>
  <c r="G10" i="993"/>
  <c r="C11" i="993"/>
  <c r="D11" i="993"/>
  <c r="E11" i="993"/>
  <c r="F11" i="993"/>
  <c r="G11" i="993"/>
  <c r="C12" i="993"/>
  <c r="D12" i="993"/>
  <c r="E12" i="993"/>
  <c r="F12" i="993"/>
  <c r="G12" i="993"/>
  <c r="C13" i="993"/>
  <c r="D13" i="993"/>
  <c r="E13" i="993"/>
  <c r="F13" i="993"/>
  <c r="G13" i="993"/>
  <c r="C14" i="993"/>
  <c r="D14" i="993"/>
  <c r="E14" i="993"/>
  <c r="F14" i="993"/>
  <c r="G14" i="993"/>
  <c r="C15" i="993"/>
  <c r="D15" i="993"/>
  <c r="E15" i="993"/>
  <c r="F15" i="993"/>
  <c r="G15" i="993"/>
  <c r="C16" i="993"/>
  <c r="D16" i="993"/>
  <c r="E16" i="993"/>
  <c r="F16" i="993"/>
  <c r="G16" i="993"/>
  <c r="C17" i="993"/>
  <c r="D17" i="993"/>
  <c r="E17" i="993"/>
  <c r="F17" i="993"/>
  <c r="G17" i="993"/>
  <c r="AX55" i="993"/>
  <c r="AW55" i="993"/>
  <c r="AV55" i="993"/>
  <c r="AU55" i="993"/>
  <c r="AT55" i="993"/>
  <c r="AS55" i="993"/>
  <c r="AR55" i="993"/>
  <c r="AQ55" i="993"/>
  <c r="AP55" i="993"/>
  <c r="AO55" i="993"/>
  <c r="AN55" i="993"/>
  <c r="AM55" i="993"/>
  <c r="AL55" i="993"/>
  <c r="AK55" i="993"/>
  <c r="AJ55" i="993"/>
  <c r="AI55" i="993"/>
  <c r="AH55" i="993"/>
  <c r="AG55" i="993"/>
  <c r="AF55" i="993"/>
  <c r="AE55" i="993"/>
  <c r="AD55" i="993"/>
  <c r="AC55" i="993"/>
  <c r="AB55" i="993"/>
  <c r="AX54" i="993"/>
  <c r="AW54" i="993"/>
  <c r="AV54" i="993"/>
  <c r="AU54" i="993"/>
  <c r="AT54" i="993"/>
  <c r="AS54" i="993"/>
  <c r="AR54" i="993"/>
  <c r="AQ54" i="993"/>
  <c r="AP54" i="993"/>
  <c r="AO54" i="993"/>
  <c r="AN54" i="993"/>
  <c r="AM54" i="993"/>
  <c r="AL54" i="993"/>
  <c r="AK54" i="993"/>
  <c r="AJ54" i="993"/>
  <c r="AI54" i="993"/>
  <c r="AH54" i="993"/>
  <c r="AG54" i="993"/>
  <c r="AF54" i="993"/>
  <c r="AE54" i="993"/>
  <c r="AD54" i="993"/>
  <c r="AC54" i="993"/>
  <c r="AB54" i="993"/>
  <c r="AX53" i="993"/>
  <c r="AW53" i="993"/>
  <c r="AV53" i="993"/>
  <c r="AU53" i="993"/>
  <c r="AT53" i="993"/>
  <c r="AS53" i="993"/>
  <c r="AR53" i="993"/>
  <c r="AQ53" i="993"/>
  <c r="AP53" i="993"/>
  <c r="AO53" i="993"/>
  <c r="AN53" i="993"/>
  <c r="AM53" i="993"/>
  <c r="AL53" i="993"/>
  <c r="AK53" i="993"/>
  <c r="AJ53" i="993"/>
  <c r="AI53" i="993"/>
  <c r="AH53" i="993"/>
  <c r="AG53" i="993"/>
  <c r="AF53" i="993"/>
  <c r="AE53" i="993"/>
  <c r="AD53" i="993"/>
  <c r="AC53" i="993"/>
  <c r="AB53" i="993"/>
  <c r="K48" i="993"/>
  <c r="L39" i="993" s="1"/>
  <c r="M39" i="993" s="1"/>
  <c r="Z35" i="993"/>
  <c r="Y35" i="993"/>
  <c r="X35" i="993"/>
  <c r="W35" i="993"/>
  <c r="V35" i="993"/>
  <c r="U35" i="993"/>
  <c r="T35" i="993"/>
  <c r="S35" i="993"/>
  <c r="R35" i="993"/>
  <c r="Z34" i="993"/>
  <c r="Y34" i="993"/>
  <c r="X34" i="993"/>
  <c r="W34" i="993"/>
  <c r="V34" i="993"/>
  <c r="U34" i="993"/>
  <c r="T34" i="993"/>
  <c r="S34" i="993"/>
  <c r="R34" i="993"/>
  <c r="Z33" i="993"/>
  <c r="Y33" i="993"/>
  <c r="X33" i="993"/>
  <c r="W33" i="993"/>
  <c r="V33" i="993"/>
  <c r="U33" i="993"/>
  <c r="T33" i="993"/>
  <c r="S33" i="993"/>
  <c r="R33" i="993"/>
  <c r="Z32" i="993"/>
  <c r="Y32" i="993"/>
  <c r="X32" i="993"/>
  <c r="W32" i="993"/>
  <c r="V32" i="993"/>
  <c r="U32" i="993"/>
  <c r="T32" i="993"/>
  <c r="S32" i="993"/>
  <c r="R32" i="993"/>
  <c r="Z31" i="993"/>
  <c r="Y31" i="993"/>
  <c r="X31" i="993"/>
  <c r="W31" i="993"/>
  <c r="V31" i="993"/>
  <c r="U31" i="993"/>
  <c r="T31" i="993"/>
  <c r="S31" i="993"/>
  <c r="R31" i="993"/>
  <c r="Z30" i="993"/>
  <c r="Y30" i="993"/>
  <c r="X30" i="993"/>
  <c r="W30" i="993"/>
  <c r="V30" i="993"/>
  <c r="U30" i="993"/>
  <c r="T30" i="993"/>
  <c r="S30" i="993"/>
  <c r="R30" i="993"/>
  <c r="M30" i="993"/>
  <c r="L30" i="993"/>
  <c r="K30" i="993"/>
  <c r="Z29" i="993"/>
  <c r="Y29" i="993"/>
  <c r="X29" i="993"/>
  <c r="W29" i="993"/>
  <c r="V29" i="993"/>
  <c r="U29" i="993"/>
  <c r="T29" i="993"/>
  <c r="S29" i="993"/>
  <c r="R29" i="993"/>
  <c r="M29" i="993"/>
  <c r="L29" i="993"/>
  <c r="K29" i="993"/>
  <c r="Z28" i="993"/>
  <c r="Y28" i="993"/>
  <c r="X28" i="993"/>
  <c r="W28" i="993"/>
  <c r="V28" i="993"/>
  <c r="U28" i="993"/>
  <c r="T28" i="993"/>
  <c r="S28" i="993"/>
  <c r="R28" i="993"/>
  <c r="Z27" i="993"/>
  <c r="Y27" i="993"/>
  <c r="X27" i="993"/>
  <c r="W27" i="993"/>
  <c r="V27" i="993"/>
  <c r="U27" i="993"/>
  <c r="T27" i="993"/>
  <c r="S27" i="993"/>
  <c r="R27" i="993"/>
  <c r="M27" i="993"/>
  <c r="L27" i="993"/>
  <c r="K27" i="993"/>
  <c r="Z26" i="993"/>
  <c r="Y26" i="993"/>
  <c r="X26" i="993"/>
  <c r="W26" i="993"/>
  <c r="V26" i="993"/>
  <c r="U26" i="993"/>
  <c r="T26" i="993"/>
  <c r="S26" i="993"/>
  <c r="R26" i="993"/>
  <c r="M26" i="993"/>
  <c r="Z25" i="993"/>
  <c r="Y25" i="993"/>
  <c r="X25" i="993"/>
  <c r="W25" i="993"/>
  <c r="V25" i="993"/>
  <c r="U25" i="993"/>
  <c r="T25" i="993"/>
  <c r="S25" i="993"/>
  <c r="R25" i="993"/>
  <c r="Z24" i="993"/>
  <c r="Y24" i="993"/>
  <c r="X24" i="993"/>
  <c r="W24" i="993"/>
  <c r="V24" i="993"/>
  <c r="U24" i="993"/>
  <c r="T24" i="993"/>
  <c r="S24" i="993"/>
  <c r="R24" i="993"/>
  <c r="Z23" i="993"/>
  <c r="Y23" i="993"/>
  <c r="X23" i="993"/>
  <c r="W23" i="993"/>
  <c r="V23" i="993"/>
  <c r="U23" i="993"/>
  <c r="T23" i="993"/>
  <c r="S23" i="993"/>
  <c r="R23" i="993"/>
  <c r="Z22" i="993"/>
  <c r="Y22" i="993"/>
  <c r="X22" i="993"/>
  <c r="W22" i="993"/>
  <c r="V22" i="993"/>
  <c r="U22" i="993"/>
  <c r="T22" i="993"/>
  <c r="S22" i="993"/>
  <c r="R22" i="993"/>
  <c r="Z21" i="993"/>
  <c r="Y21" i="993"/>
  <c r="X21" i="993"/>
  <c r="W21" i="993"/>
  <c r="V21" i="993"/>
  <c r="U21" i="993"/>
  <c r="T21" i="993"/>
  <c r="S21" i="993"/>
  <c r="R21" i="993"/>
  <c r="Z20" i="993"/>
  <c r="Y20" i="993"/>
  <c r="X20" i="993"/>
  <c r="W20" i="993"/>
  <c r="V20" i="993"/>
  <c r="U20" i="993"/>
  <c r="T20" i="993"/>
  <c r="S20" i="993"/>
  <c r="R20" i="993"/>
  <c r="Z19" i="993"/>
  <c r="Y19" i="993"/>
  <c r="X19" i="993"/>
  <c r="W19" i="993"/>
  <c r="V19" i="993"/>
  <c r="U19" i="993"/>
  <c r="T19" i="993"/>
  <c r="S19" i="993"/>
  <c r="R19" i="993"/>
  <c r="M23" i="992"/>
  <c r="L23" i="992"/>
  <c r="K23" i="992"/>
  <c r="C10" i="992"/>
  <c r="D10" i="992"/>
  <c r="E10" i="992"/>
  <c r="F10" i="992"/>
  <c r="G10" i="992"/>
  <c r="I10" i="992"/>
  <c r="J10" i="992"/>
  <c r="L10" i="992"/>
  <c r="M10" i="992"/>
  <c r="O10" i="992"/>
  <c r="C11" i="992"/>
  <c r="D11" i="992"/>
  <c r="E11" i="992"/>
  <c r="F11" i="992"/>
  <c r="G11" i="992"/>
  <c r="I11" i="992"/>
  <c r="J11" i="992"/>
  <c r="L11" i="992"/>
  <c r="M11" i="992"/>
  <c r="O11" i="992"/>
  <c r="C12" i="992"/>
  <c r="D12" i="992"/>
  <c r="E12" i="992"/>
  <c r="F12" i="992"/>
  <c r="G12" i="992"/>
  <c r="I12" i="992"/>
  <c r="J12" i="992"/>
  <c r="L12" i="992"/>
  <c r="M12" i="992"/>
  <c r="O12" i="992"/>
  <c r="C13" i="992"/>
  <c r="D13" i="992"/>
  <c r="E13" i="992"/>
  <c r="F13" i="992"/>
  <c r="G13" i="992"/>
  <c r="I13" i="992"/>
  <c r="J13" i="992"/>
  <c r="L13" i="992"/>
  <c r="M13" i="992"/>
  <c r="O13" i="992"/>
  <c r="C14" i="992"/>
  <c r="D14" i="992"/>
  <c r="E14" i="992"/>
  <c r="F14" i="992"/>
  <c r="G14" i="992"/>
  <c r="I14" i="992"/>
  <c r="J14" i="992"/>
  <c r="L14" i="992"/>
  <c r="O14" i="992"/>
  <c r="C15" i="992"/>
  <c r="D15" i="992"/>
  <c r="E15" i="992"/>
  <c r="F15" i="992"/>
  <c r="G15" i="992"/>
  <c r="I15" i="992"/>
  <c r="J15" i="992"/>
  <c r="L15" i="992"/>
  <c r="M15" i="992"/>
  <c r="O15" i="992"/>
  <c r="C16" i="992"/>
  <c r="D16" i="992"/>
  <c r="E16" i="992"/>
  <c r="F16" i="992"/>
  <c r="G16" i="992"/>
  <c r="I16" i="992"/>
  <c r="J16" i="992"/>
  <c r="L16" i="992"/>
  <c r="M16" i="992"/>
  <c r="O16" i="992"/>
  <c r="C17" i="992"/>
  <c r="D17" i="992"/>
  <c r="E17" i="992"/>
  <c r="F17" i="992"/>
  <c r="G17" i="992"/>
  <c r="I17" i="992"/>
  <c r="J17" i="992"/>
  <c r="L17" i="992"/>
  <c r="M17" i="992"/>
  <c r="O17" i="992"/>
  <c r="N11" i="992"/>
  <c r="N12" i="992"/>
  <c r="N13" i="992"/>
  <c r="N14" i="992"/>
  <c r="N15" i="992"/>
  <c r="N16" i="992"/>
  <c r="N17" i="992"/>
  <c r="N10" i="992"/>
  <c r="B52" i="992"/>
  <c r="AX54" i="992"/>
  <c r="AW54" i="992"/>
  <c r="AV54" i="992"/>
  <c r="AU54" i="992"/>
  <c r="AT54" i="992"/>
  <c r="AS54" i="992"/>
  <c r="AR54" i="992"/>
  <c r="AQ54" i="992"/>
  <c r="AP54" i="992"/>
  <c r="AO54" i="992"/>
  <c r="AN54" i="992"/>
  <c r="AM54" i="992"/>
  <c r="AL54" i="992"/>
  <c r="AK54" i="992"/>
  <c r="AJ54" i="992"/>
  <c r="AI54" i="992"/>
  <c r="AH54" i="992"/>
  <c r="AG54" i="992"/>
  <c r="AF54" i="992"/>
  <c r="AE54" i="992"/>
  <c r="AD54" i="992"/>
  <c r="AC54" i="992"/>
  <c r="AB54" i="992"/>
  <c r="AX53" i="992"/>
  <c r="AW53" i="992"/>
  <c r="AV53" i="992"/>
  <c r="AU53" i="992"/>
  <c r="AT53" i="992"/>
  <c r="AS53" i="992"/>
  <c r="AR53" i="992"/>
  <c r="AQ53" i="992"/>
  <c r="AP53" i="992"/>
  <c r="AO53" i="992"/>
  <c r="AN53" i="992"/>
  <c r="AM53" i="992"/>
  <c r="AL53" i="992"/>
  <c r="AK53" i="992"/>
  <c r="AJ53" i="992"/>
  <c r="AI53" i="992"/>
  <c r="AH53" i="992"/>
  <c r="AG53" i="992"/>
  <c r="AF53" i="992"/>
  <c r="AE53" i="992"/>
  <c r="AD53" i="992"/>
  <c r="AC53" i="992"/>
  <c r="AB53" i="992"/>
  <c r="AX52" i="992"/>
  <c r="AW52" i="992"/>
  <c r="AV52" i="992"/>
  <c r="AU52" i="992"/>
  <c r="AT52" i="992"/>
  <c r="AS52" i="992"/>
  <c r="AR52" i="992"/>
  <c r="AQ52" i="992"/>
  <c r="AP52" i="992"/>
  <c r="AO52" i="992"/>
  <c r="AN52" i="992"/>
  <c r="AM52" i="992"/>
  <c r="AL52" i="992"/>
  <c r="AK52" i="992"/>
  <c r="AJ52" i="992"/>
  <c r="AI52" i="992"/>
  <c r="AH52" i="992"/>
  <c r="AG52" i="992"/>
  <c r="AF52" i="992"/>
  <c r="AE52" i="992"/>
  <c r="AD52" i="992"/>
  <c r="AC52" i="992"/>
  <c r="AB52" i="992"/>
  <c r="K47" i="992"/>
  <c r="L38" i="992"/>
  <c r="M38" i="992" s="1"/>
  <c r="Z34" i="992"/>
  <c r="Y34" i="992"/>
  <c r="X34" i="992"/>
  <c r="W34" i="992"/>
  <c r="V34" i="992"/>
  <c r="U34" i="992"/>
  <c r="T34" i="992"/>
  <c r="S34" i="992"/>
  <c r="R34" i="992"/>
  <c r="Z33" i="992"/>
  <c r="Y33" i="992"/>
  <c r="X33" i="992"/>
  <c r="W33" i="992"/>
  <c r="V33" i="992"/>
  <c r="U33" i="992"/>
  <c r="T33" i="992"/>
  <c r="S33" i="992"/>
  <c r="R33" i="992"/>
  <c r="Z32" i="992"/>
  <c r="Y32" i="992"/>
  <c r="X32" i="992"/>
  <c r="W32" i="992"/>
  <c r="V32" i="992"/>
  <c r="U32" i="992"/>
  <c r="T32" i="992"/>
  <c r="S32" i="992"/>
  <c r="R32" i="992"/>
  <c r="Z31" i="992"/>
  <c r="Y31" i="992"/>
  <c r="X31" i="992"/>
  <c r="W31" i="992"/>
  <c r="V31" i="992"/>
  <c r="U31" i="992"/>
  <c r="T31" i="992"/>
  <c r="S31" i="992"/>
  <c r="R31" i="992"/>
  <c r="Z30" i="992"/>
  <c r="Y30" i="992"/>
  <c r="X30" i="992"/>
  <c r="W30" i="992"/>
  <c r="V30" i="992"/>
  <c r="U30" i="992"/>
  <c r="T30" i="992"/>
  <c r="S30" i="992"/>
  <c r="R30" i="992"/>
  <c r="Z29" i="992"/>
  <c r="Y29" i="992"/>
  <c r="X29" i="992"/>
  <c r="W29" i="992"/>
  <c r="V29" i="992"/>
  <c r="U29" i="992"/>
  <c r="T29" i="992"/>
  <c r="S29" i="992"/>
  <c r="R29" i="992"/>
  <c r="M29" i="992"/>
  <c r="L29" i="992"/>
  <c r="K29" i="992"/>
  <c r="Z28" i="992"/>
  <c r="Y28" i="992"/>
  <c r="X28" i="992"/>
  <c r="W28" i="992"/>
  <c r="V28" i="992"/>
  <c r="U28" i="992"/>
  <c r="T28" i="992"/>
  <c r="S28" i="992"/>
  <c r="R28" i="992"/>
  <c r="M28" i="992"/>
  <c r="L28" i="992"/>
  <c r="K28" i="992"/>
  <c r="Z27" i="992"/>
  <c r="Y27" i="992"/>
  <c r="X27" i="992"/>
  <c r="W27" i="992"/>
  <c r="V27" i="992"/>
  <c r="U27" i="992"/>
  <c r="T27" i="992"/>
  <c r="S27" i="992"/>
  <c r="R27" i="992"/>
  <c r="Z26" i="992"/>
  <c r="Y26" i="992"/>
  <c r="X26" i="992"/>
  <c r="W26" i="992"/>
  <c r="V26" i="992"/>
  <c r="U26" i="992"/>
  <c r="T26" i="992"/>
  <c r="S26" i="992"/>
  <c r="R26" i="992"/>
  <c r="M26" i="992"/>
  <c r="L26" i="992"/>
  <c r="K26" i="992"/>
  <c r="Z25" i="992"/>
  <c r="Y25" i="992"/>
  <c r="X25" i="992"/>
  <c r="W25" i="992"/>
  <c r="V25" i="992"/>
  <c r="U25" i="992"/>
  <c r="T25" i="992"/>
  <c r="S25" i="992"/>
  <c r="R25" i="992"/>
  <c r="M25" i="992"/>
  <c r="Z24" i="992"/>
  <c r="Y24" i="992"/>
  <c r="X24" i="992"/>
  <c r="W24" i="992"/>
  <c r="V24" i="992"/>
  <c r="U24" i="992"/>
  <c r="T24" i="992"/>
  <c r="S24" i="992"/>
  <c r="R24" i="992"/>
  <c r="M24" i="992"/>
  <c r="L24" i="992"/>
  <c r="K24" i="992"/>
  <c r="Z23" i="992"/>
  <c r="Y23" i="992"/>
  <c r="X23" i="992"/>
  <c r="W23" i="992"/>
  <c r="V23" i="992"/>
  <c r="U23" i="992"/>
  <c r="T23" i="992"/>
  <c r="S23" i="992"/>
  <c r="R23" i="992"/>
  <c r="Z22" i="992"/>
  <c r="Y22" i="992"/>
  <c r="X22" i="992"/>
  <c r="W22" i="992"/>
  <c r="V22" i="992"/>
  <c r="U22" i="992"/>
  <c r="T22" i="992"/>
  <c r="S22" i="992"/>
  <c r="R22" i="992"/>
  <c r="Z21" i="992"/>
  <c r="Y21" i="992"/>
  <c r="X21" i="992"/>
  <c r="W21" i="992"/>
  <c r="V21" i="992"/>
  <c r="U21" i="992"/>
  <c r="T21" i="992"/>
  <c r="S21" i="992"/>
  <c r="R21" i="992"/>
  <c r="Z20" i="992"/>
  <c r="Y20" i="992"/>
  <c r="X20" i="992"/>
  <c r="W20" i="992"/>
  <c r="V20" i="992"/>
  <c r="U20" i="992"/>
  <c r="T20" i="992"/>
  <c r="S20" i="992"/>
  <c r="R20" i="992"/>
  <c r="Z19" i="992"/>
  <c r="Y19" i="992"/>
  <c r="X19" i="992"/>
  <c r="W19" i="992"/>
  <c r="V19" i="992"/>
  <c r="U19" i="992"/>
  <c r="T19" i="992"/>
  <c r="S19" i="992"/>
  <c r="R19" i="992"/>
  <c r="Z18" i="992"/>
  <c r="Y18" i="992"/>
  <c r="X18" i="992"/>
  <c r="W18" i="992"/>
  <c r="V18" i="992"/>
  <c r="U18" i="992"/>
  <c r="T18" i="992"/>
  <c r="S18" i="992"/>
  <c r="R18" i="992"/>
  <c r="Z17" i="992"/>
  <c r="Y17" i="992"/>
  <c r="X17" i="992"/>
  <c r="W17" i="992"/>
  <c r="V17" i="992"/>
  <c r="U17" i="992"/>
  <c r="T17" i="992"/>
  <c r="S17" i="992"/>
  <c r="R17" i="992"/>
  <c r="Z16" i="992"/>
  <c r="Y16" i="992"/>
  <c r="X16" i="992"/>
  <c r="W16" i="992"/>
  <c r="V16" i="992"/>
  <c r="U16" i="992"/>
  <c r="T16" i="992"/>
  <c r="S16" i="992"/>
  <c r="R16" i="992"/>
  <c r="Z15" i="992"/>
  <c r="Y15" i="992"/>
  <c r="X15" i="992"/>
  <c r="W15" i="992"/>
  <c r="V15" i="992"/>
  <c r="U15" i="992"/>
  <c r="T15" i="992"/>
  <c r="S15" i="992"/>
  <c r="R15" i="992"/>
  <c r="Z14" i="992"/>
  <c r="Y14" i="992"/>
  <c r="X14" i="992"/>
  <c r="W14" i="992"/>
  <c r="V14" i="992"/>
  <c r="U14" i="992"/>
  <c r="T14" i="992"/>
  <c r="S14" i="992"/>
  <c r="R14" i="992"/>
  <c r="Z13" i="992"/>
  <c r="Y13" i="992"/>
  <c r="X13" i="992"/>
  <c r="W13" i="992"/>
  <c r="V13" i="992"/>
  <c r="U13" i="992"/>
  <c r="T13" i="992"/>
  <c r="S13" i="992"/>
  <c r="R13" i="992"/>
  <c r="Z12" i="992"/>
  <c r="Y12" i="992"/>
  <c r="X12" i="992"/>
  <c r="W12" i="992"/>
  <c r="V12" i="992"/>
  <c r="U12" i="992"/>
  <c r="T12" i="992"/>
  <c r="S12" i="992"/>
  <c r="R12" i="992"/>
  <c r="Z11" i="992"/>
  <c r="Y11" i="992"/>
  <c r="X11" i="992"/>
  <c r="W11" i="992"/>
  <c r="V11" i="992"/>
  <c r="U11" i="992"/>
  <c r="T11" i="992"/>
  <c r="S11" i="992"/>
  <c r="R11" i="992"/>
  <c r="Z10" i="992"/>
  <c r="Y10" i="992"/>
  <c r="X10" i="992"/>
  <c r="W10" i="992"/>
  <c r="V10" i="992"/>
  <c r="U10" i="992"/>
  <c r="T10" i="992"/>
  <c r="S10" i="992"/>
  <c r="R10" i="992"/>
  <c r="M26" i="991"/>
  <c r="L26" i="991"/>
  <c r="K26" i="991"/>
  <c r="R10" i="991"/>
  <c r="S10" i="991"/>
  <c r="T10" i="991"/>
  <c r="U10" i="991"/>
  <c r="V10" i="991"/>
  <c r="W10" i="991"/>
  <c r="X10" i="991"/>
  <c r="Y10" i="991"/>
  <c r="Z10" i="991"/>
  <c r="R11" i="991"/>
  <c r="S11" i="991"/>
  <c r="T11" i="991"/>
  <c r="U11" i="991"/>
  <c r="V11" i="991"/>
  <c r="W11" i="991"/>
  <c r="X11" i="991"/>
  <c r="Y11" i="991"/>
  <c r="Z11" i="991"/>
  <c r="R12" i="991"/>
  <c r="S12" i="991"/>
  <c r="T12" i="991"/>
  <c r="U12" i="991"/>
  <c r="V12" i="991"/>
  <c r="W12" i="991"/>
  <c r="X12" i="991"/>
  <c r="Y12" i="991"/>
  <c r="Z12" i="991"/>
  <c r="R13" i="991"/>
  <c r="S13" i="991"/>
  <c r="T13" i="991"/>
  <c r="U13" i="991"/>
  <c r="V13" i="991"/>
  <c r="W13" i="991"/>
  <c r="X13" i="991"/>
  <c r="Y13" i="991"/>
  <c r="Z13" i="991"/>
  <c r="R14" i="991"/>
  <c r="S14" i="991"/>
  <c r="T14" i="991"/>
  <c r="U14" i="991"/>
  <c r="V14" i="991"/>
  <c r="W14" i="991"/>
  <c r="X14" i="991"/>
  <c r="Y14" i="991"/>
  <c r="Z14" i="991"/>
  <c r="R15" i="991"/>
  <c r="S15" i="991"/>
  <c r="T15" i="991"/>
  <c r="U15" i="991"/>
  <c r="V15" i="991"/>
  <c r="W15" i="991"/>
  <c r="X15" i="991"/>
  <c r="Y15" i="991"/>
  <c r="Z15" i="991"/>
  <c r="R16" i="991"/>
  <c r="S16" i="991"/>
  <c r="T16" i="991"/>
  <c r="U16" i="991"/>
  <c r="V16" i="991"/>
  <c r="W16" i="991"/>
  <c r="X16" i="991"/>
  <c r="Y16" i="991"/>
  <c r="Z16" i="991"/>
  <c r="R17" i="991"/>
  <c r="S17" i="991"/>
  <c r="T17" i="991"/>
  <c r="U17" i="991"/>
  <c r="V17" i="991"/>
  <c r="W17" i="991"/>
  <c r="X17" i="991"/>
  <c r="Y17" i="991"/>
  <c r="Z17" i="991"/>
  <c r="R18" i="991"/>
  <c r="S18" i="991"/>
  <c r="T18" i="991"/>
  <c r="U18" i="991"/>
  <c r="V18" i="991"/>
  <c r="W18" i="991"/>
  <c r="X18" i="991"/>
  <c r="Y18" i="991"/>
  <c r="Z18" i="991"/>
  <c r="R19" i="991"/>
  <c r="S19" i="991"/>
  <c r="T19" i="991"/>
  <c r="U19" i="991"/>
  <c r="V19" i="991"/>
  <c r="W19" i="991"/>
  <c r="X19" i="991"/>
  <c r="Y19" i="991"/>
  <c r="Z19" i="991"/>
  <c r="R20" i="991"/>
  <c r="S20" i="991"/>
  <c r="T20" i="991"/>
  <c r="U20" i="991"/>
  <c r="V20" i="991"/>
  <c r="W20" i="991"/>
  <c r="X20" i="991"/>
  <c r="Y20" i="991"/>
  <c r="Z20" i="991"/>
  <c r="R21" i="991"/>
  <c r="S21" i="991"/>
  <c r="T21" i="991"/>
  <c r="U21" i="991"/>
  <c r="V21" i="991"/>
  <c r="W21" i="991"/>
  <c r="X21" i="991"/>
  <c r="Y21" i="991"/>
  <c r="Z21" i="991"/>
  <c r="R22" i="991"/>
  <c r="S22" i="991"/>
  <c r="T22" i="991"/>
  <c r="U22" i="991"/>
  <c r="V22" i="991"/>
  <c r="W22" i="991"/>
  <c r="X22" i="991"/>
  <c r="Y22" i="991"/>
  <c r="Z22" i="991"/>
  <c r="R23" i="991"/>
  <c r="S23" i="991"/>
  <c r="T23" i="991"/>
  <c r="U23" i="991"/>
  <c r="V23" i="991"/>
  <c r="W23" i="991"/>
  <c r="X23" i="991"/>
  <c r="Y23" i="991"/>
  <c r="Z23" i="991"/>
  <c r="R24" i="991"/>
  <c r="S24" i="991"/>
  <c r="T24" i="991"/>
  <c r="U24" i="991"/>
  <c r="V24" i="991"/>
  <c r="W24" i="991"/>
  <c r="X24" i="991"/>
  <c r="Y24" i="991"/>
  <c r="Z24" i="991"/>
  <c r="R25" i="991"/>
  <c r="S25" i="991"/>
  <c r="T25" i="991"/>
  <c r="U25" i="991"/>
  <c r="V25" i="991"/>
  <c r="W25" i="991"/>
  <c r="X25" i="991"/>
  <c r="Y25" i="991"/>
  <c r="Z25" i="991"/>
  <c r="R26" i="991"/>
  <c r="S26" i="991"/>
  <c r="T26" i="991"/>
  <c r="U26" i="991"/>
  <c r="V26" i="991"/>
  <c r="W26" i="991"/>
  <c r="X26" i="991"/>
  <c r="Y26" i="991"/>
  <c r="Z26" i="991"/>
  <c r="R27" i="991"/>
  <c r="S27" i="991"/>
  <c r="T27" i="991"/>
  <c r="U27" i="991"/>
  <c r="V27" i="991"/>
  <c r="W27" i="991"/>
  <c r="X27" i="991"/>
  <c r="Y27" i="991"/>
  <c r="Z27" i="991"/>
  <c r="R28" i="991"/>
  <c r="S28" i="991"/>
  <c r="T28" i="991"/>
  <c r="U28" i="991"/>
  <c r="V28" i="991"/>
  <c r="W28" i="991"/>
  <c r="X28" i="991"/>
  <c r="Y28" i="991"/>
  <c r="Z28" i="991"/>
  <c r="C10" i="991"/>
  <c r="D10" i="991"/>
  <c r="E10" i="991"/>
  <c r="F10" i="991"/>
  <c r="G10" i="991"/>
  <c r="I10" i="991"/>
  <c r="J10" i="991"/>
  <c r="L10" i="991"/>
  <c r="M10" i="991"/>
  <c r="N10" i="991"/>
  <c r="O10" i="991"/>
  <c r="C11" i="991"/>
  <c r="D11" i="991"/>
  <c r="E11" i="991"/>
  <c r="F11" i="991"/>
  <c r="G11" i="991"/>
  <c r="I11" i="991"/>
  <c r="J11" i="991"/>
  <c r="L11" i="991"/>
  <c r="M11" i="991"/>
  <c r="N11" i="991"/>
  <c r="O11" i="991"/>
  <c r="C12" i="991"/>
  <c r="D12" i="991"/>
  <c r="E12" i="991"/>
  <c r="F12" i="991"/>
  <c r="G12" i="991"/>
  <c r="I12" i="991"/>
  <c r="J12" i="991"/>
  <c r="L12" i="991"/>
  <c r="M12" i="991"/>
  <c r="N12" i="991"/>
  <c r="O12" i="991"/>
  <c r="C13" i="991"/>
  <c r="D13" i="991"/>
  <c r="E13" i="991"/>
  <c r="F13" i="991"/>
  <c r="G13" i="991"/>
  <c r="I13" i="991"/>
  <c r="J13" i="991"/>
  <c r="L13" i="991"/>
  <c r="M13" i="991"/>
  <c r="N13" i="991"/>
  <c r="O13" i="991"/>
  <c r="C14" i="991"/>
  <c r="D14" i="991"/>
  <c r="E14" i="991"/>
  <c r="F14" i="991"/>
  <c r="G14" i="991"/>
  <c r="I14" i="991"/>
  <c r="J14" i="991"/>
  <c r="L14" i="991"/>
  <c r="M14" i="991"/>
  <c r="N14" i="991"/>
  <c r="O14" i="991"/>
  <c r="C15" i="991"/>
  <c r="D15" i="991"/>
  <c r="E15" i="991"/>
  <c r="F15" i="991"/>
  <c r="G15" i="991"/>
  <c r="I15" i="991"/>
  <c r="J15" i="991"/>
  <c r="L15" i="991"/>
  <c r="M15" i="991"/>
  <c r="N15" i="991"/>
  <c r="O15" i="991"/>
  <c r="C16" i="991"/>
  <c r="D16" i="991"/>
  <c r="E16" i="991"/>
  <c r="F16" i="991"/>
  <c r="G16" i="991"/>
  <c r="I16" i="991"/>
  <c r="J16" i="991"/>
  <c r="L16" i="991"/>
  <c r="M16" i="991"/>
  <c r="N16" i="991"/>
  <c r="O16" i="991"/>
  <c r="C17" i="991"/>
  <c r="D17" i="991"/>
  <c r="E17" i="991"/>
  <c r="F17" i="991"/>
  <c r="G17" i="991"/>
  <c r="I17" i="991"/>
  <c r="J17" i="991"/>
  <c r="L17" i="991"/>
  <c r="M17" i="991"/>
  <c r="N17" i="991"/>
  <c r="O17" i="991"/>
  <c r="C18" i="991"/>
  <c r="D18" i="991"/>
  <c r="E18" i="991"/>
  <c r="F18" i="991"/>
  <c r="G18" i="991"/>
  <c r="I18" i="991"/>
  <c r="J18" i="991"/>
  <c r="L18" i="991"/>
  <c r="M18" i="991"/>
  <c r="N18" i="991"/>
  <c r="O18" i="991"/>
  <c r="J64" i="18"/>
  <c r="J63" i="18"/>
  <c r="J60" i="18"/>
  <c r="G56" i="991"/>
  <c r="B56" i="991"/>
  <c r="G54" i="991"/>
  <c r="B54" i="991"/>
  <c r="AX56" i="991"/>
  <c r="AW56" i="991"/>
  <c r="AV56" i="991"/>
  <c r="AU56" i="991"/>
  <c r="AT56" i="991"/>
  <c r="AS56" i="991"/>
  <c r="AR56" i="991"/>
  <c r="AQ56" i="991"/>
  <c r="AP56" i="991"/>
  <c r="AO56" i="991"/>
  <c r="AN56" i="991"/>
  <c r="AM56" i="991"/>
  <c r="AL56" i="991"/>
  <c r="AK56" i="991"/>
  <c r="AJ56" i="991"/>
  <c r="AI56" i="991"/>
  <c r="AH56" i="991"/>
  <c r="AG56" i="991"/>
  <c r="AF56" i="991"/>
  <c r="AE56" i="991"/>
  <c r="AD56" i="991"/>
  <c r="AC56" i="991"/>
  <c r="AB56" i="991"/>
  <c r="AX55" i="991"/>
  <c r="AW55" i="991"/>
  <c r="AV55" i="991"/>
  <c r="AU55" i="991"/>
  <c r="AT55" i="991"/>
  <c r="AS55" i="991"/>
  <c r="AR55" i="991"/>
  <c r="AQ55" i="991"/>
  <c r="AP55" i="991"/>
  <c r="AO55" i="991"/>
  <c r="AN55" i="991"/>
  <c r="AM55" i="991"/>
  <c r="AL55" i="991"/>
  <c r="AK55" i="991"/>
  <c r="AJ55" i="991"/>
  <c r="AI55" i="991"/>
  <c r="AH55" i="991"/>
  <c r="AG55" i="991"/>
  <c r="AF55" i="991"/>
  <c r="AE55" i="991"/>
  <c r="AD55" i="991"/>
  <c r="AC55" i="991"/>
  <c r="AB55" i="991"/>
  <c r="AX54" i="991"/>
  <c r="AW54" i="991"/>
  <c r="AV54" i="991"/>
  <c r="AU54" i="991"/>
  <c r="AT54" i="991"/>
  <c r="AS54" i="991"/>
  <c r="AR54" i="991"/>
  <c r="AQ54" i="991"/>
  <c r="AP54" i="991"/>
  <c r="AO54" i="991"/>
  <c r="AN54" i="991"/>
  <c r="AM54" i="991"/>
  <c r="AL54" i="991"/>
  <c r="AK54" i="991"/>
  <c r="AJ54" i="991"/>
  <c r="AI54" i="991"/>
  <c r="AH54" i="991"/>
  <c r="AG54" i="991"/>
  <c r="AF54" i="991"/>
  <c r="AE54" i="991"/>
  <c r="AD54" i="991"/>
  <c r="AC54" i="991"/>
  <c r="AB54" i="991"/>
  <c r="K49" i="991"/>
  <c r="L40" i="991" s="1"/>
  <c r="Z36" i="991"/>
  <c r="Y36" i="991"/>
  <c r="X36" i="991"/>
  <c r="W36" i="991"/>
  <c r="V36" i="991"/>
  <c r="U36" i="991"/>
  <c r="T36" i="991"/>
  <c r="S36" i="991"/>
  <c r="R36" i="991"/>
  <c r="Z35" i="991"/>
  <c r="Y35" i="991"/>
  <c r="X35" i="991"/>
  <c r="W35" i="991"/>
  <c r="V35" i="991"/>
  <c r="U35" i="991"/>
  <c r="T35" i="991"/>
  <c r="S35" i="991"/>
  <c r="R35" i="991"/>
  <c r="Z34" i="991"/>
  <c r="Y34" i="991"/>
  <c r="X34" i="991"/>
  <c r="W34" i="991"/>
  <c r="V34" i="991"/>
  <c r="U34" i="991"/>
  <c r="T34" i="991"/>
  <c r="S34" i="991"/>
  <c r="R34" i="991"/>
  <c r="Z33" i="991"/>
  <c r="Y33" i="991"/>
  <c r="X33" i="991"/>
  <c r="W33" i="991"/>
  <c r="V33" i="991"/>
  <c r="U33" i="991"/>
  <c r="T33" i="991"/>
  <c r="S33" i="991"/>
  <c r="R33" i="991"/>
  <c r="Z32" i="991"/>
  <c r="Y32" i="991"/>
  <c r="X32" i="991"/>
  <c r="W32" i="991"/>
  <c r="V32" i="991"/>
  <c r="U32" i="991"/>
  <c r="T32" i="991"/>
  <c r="S32" i="991"/>
  <c r="R32" i="991"/>
  <c r="Z31" i="991"/>
  <c r="Y31" i="991"/>
  <c r="X31" i="991"/>
  <c r="W31" i="991"/>
  <c r="V31" i="991"/>
  <c r="U31" i="991"/>
  <c r="T31" i="991"/>
  <c r="S31" i="991"/>
  <c r="R31" i="991"/>
  <c r="M31" i="991"/>
  <c r="L31" i="991"/>
  <c r="K31" i="991"/>
  <c r="Z30" i="991"/>
  <c r="Y30" i="991"/>
  <c r="X30" i="991"/>
  <c r="W30" i="991"/>
  <c r="V30" i="991"/>
  <c r="U30" i="991"/>
  <c r="T30" i="991"/>
  <c r="S30" i="991"/>
  <c r="R30" i="991"/>
  <c r="M30" i="991"/>
  <c r="L30" i="991"/>
  <c r="K30" i="991"/>
  <c r="Z29" i="991"/>
  <c r="Y29" i="991"/>
  <c r="X29" i="991"/>
  <c r="W29" i="991"/>
  <c r="V29" i="991"/>
  <c r="U29" i="991"/>
  <c r="T29" i="991"/>
  <c r="S29" i="991"/>
  <c r="R29" i="991"/>
  <c r="M28" i="991"/>
  <c r="L28" i="991"/>
  <c r="K28" i="991"/>
  <c r="M27" i="991"/>
  <c r="M25" i="991"/>
  <c r="L25" i="991"/>
  <c r="K25" i="991"/>
  <c r="M26" i="990"/>
  <c r="L26" i="990"/>
  <c r="K26" i="990"/>
  <c r="L35" i="990"/>
  <c r="R10" i="990"/>
  <c r="S10" i="990"/>
  <c r="T10" i="990"/>
  <c r="U10" i="990"/>
  <c r="V10" i="990"/>
  <c r="W10" i="990"/>
  <c r="X10" i="990"/>
  <c r="Y10" i="990"/>
  <c r="Z10" i="990"/>
  <c r="R11" i="990"/>
  <c r="S11" i="990"/>
  <c r="T11" i="990"/>
  <c r="U11" i="990"/>
  <c r="V11" i="990"/>
  <c r="W11" i="990"/>
  <c r="X11" i="990"/>
  <c r="Y11" i="990"/>
  <c r="Z11" i="990"/>
  <c r="R12" i="990"/>
  <c r="S12" i="990"/>
  <c r="T12" i="990"/>
  <c r="U12" i="990"/>
  <c r="V12" i="990"/>
  <c r="W12" i="990"/>
  <c r="X12" i="990"/>
  <c r="Y12" i="990"/>
  <c r="Z12" i="990"/>
  <c r="R13" i="990"/>
  <c r="S13" i="990"/>
  <c r="T13" i="990"/>
  <c r="U13" i="990"/>
  <c r="V13" i="990"/>
  <c r="W13" i="990"/>
  <c r="X13" i="990"/>
  <c r="Y13" i="990"/>
  <c r="Z13" i="990"/>
  <c r="R14" i="990"/>
  <c r="S14" i="990"/>
  <c r="T14" i="990"/>
  <c r="U14" i="990"/>
  <c r="V14" i="990"/>
  <c r="W14" i="990"/>
  <c r="X14" i="990"/>
  <c r="Y14" i="990"/>
  <c r="Z14" i="990"/>
  <c r="C10" i="990"/>
  <c r="D10" i="990"/>
  <c r="E10" i="990"/>
  <c r="F10" i="990"/>
  <c r="G10" i="990"/>
  <c r="I10" i="990"/>
  <c r="J10" i="990"/>
  <c r="K10" i="990"/>
  <c r="L10" i="990"/>
  <c r="M10" i="990"/>
  <c r="N10" i="990"/>
  <c r="O10" i="990"/>
  <c r="C11" i="990"/>
  <c r="D11" i="990"/>
  <c r="E11" i="990"/>
  <c r="F11" i="990"/>
  <c r="G11" i="990"/>
  <c r="I11" i="990"/>
  <c r="J11" i="990"/>
  <c r="K11" i="990"/>
  <c r="L11" i="990"/>
  <c r="M11" i="990"/>
  <c r="N11" i="990"/>
  <c r="O11" i="990"/>
  <c r="C12" i="990"/>
  <c r="D12" i="990"/>
  <c r="E12" i="990"/>
  <c r="F12" i="990"/>
  <c r="G12" i="990"/>
  <c r="I12" i="990"/>
  <c r="J12" i="990"/>
  <c r="K12" i="990"/>
  <c r="L12" i="990"/>
  <c r="M12" i="990"/>
  <c r="N12" i="990"/>
  <c r="O12" i="990"/>
  <c r="C13" i="990"/>
  <c r="D13" i="990"/>
  <c r="E13" i="990"/>
  <c r="F13" i="990"/>
  <c r="G13" i="990"/>
  <c r="I13" i="990"/>
  <c r="J13" i="990"/>
  <c r="K13" i="990"/>
  <c r="L13" i="990"/>
  <c r="M13" i="990"/>
  <c r="N13" i="990"/>
  <c r="O13" i="990"/>
  <c r="C14" i="990"/>
  <c r="D14" i="990"/>
  <c r="E14" i="990"/>
  <c r="F14" i="990"/>
  <c r="G14" i="990"/>
  <c r="I14" i="990"/>
  <c r="J14" i="990"/>
  <c r="K14" i="990"/>
  <c r="L14" i="990"/>
  <c r="M14" i="990"/>
  <c r="N14" i="990"/>
  <c r="O14" i="990"/>
  <c r="C15" i="990"/>
  <c r="D15" i="990"/>
  <c r="E15" i="990"/>
  <c r="F15" i="990"/>
  <c r="G15" i="990"/>
  <c r="I15" i="990"/>
  <c r="J15" i="990"/>
  <c r="K15" i="990"/>
  <c r="L15" i="990"/>
  <c r="M15" i="990"/>
  <c r="N15" i="990"/>
  <c r="O15" i="990"/>
  <c r="C13" i="989"/>
  <c r="D13" i="989"/>
  <c r="E13" i="989"/>
  <c r="F13" i="989"/>
  <c r="G13" i="989"/>
  <c r="I13" i="989"/>
  <c r="J13" i="989"/>
  <c r="K13" i="989"/>
  <c r="L13" i="989"/>
  <c r="M13" i="989"/>
  <c r="N13" i="989"/>
  <c r="O13" i="989"/>
  <c r="G55" i="990"/>
  <c r="B55" i="990"/>
  <c r="G53" i="990"/>
  <c r="G51" i="990"/>
  <c r="B53" i="990"/>
  <c r="B51" i="990"/>
  <c r="E49" i="990"/>
  <c r="G49" i="990"/>
  <c r="B49" i="990"/>
  <c r="AX51" i="990"/>
  <c r="AW51" i="990"/>
  <c r="AV51" i="990"/>
  <c r="AU51" i="990"/>
  <c r="AT51" i="990"/>
  <c r="AS51" i="990"/>
  <c r="AR51" i="990"/>
  <c r="AQ51" i="990"/>
  <c r="AP51" i="990"/>
  <c r="AO51" i="990"/>
  <c r="AN51" i="990"/>
  <c r="AM51" i="990"/>
  <c r="AL51" i="990"/>
  <c r="AK51" i="990"/>
  <c r="AJ51" i="990"/>
  <c r="AI51" i="990"/>
  <c r="AH51" i="990"/>
  <c r="AG51" i="990"/>
  <c r="AF51" i="990"/>
  <c r="AE51" i="990"/>
  <c r="AD51" i="990"/>
  <c r="AC51" i="990"/>
  <c r="AB51" i="990"/>
  <c r="AX50" i="990"/>
  <c r="AW50" i="990"/>
  <c r="AV50" i="990"/>
  <c r="AU50" i="990"/>
  <c r="AT50" i="990"/>
  <c r="AS50" i="990"/>
  <c r="AR50" i="990"/>
  <c r="AQ50" i="990"/>
  <c r="AP50" i="990"/>
  <c r="AO50" i="990"/>
  <c r="AN50" i="990"/>
  <c r="AM50" i="990"/>
  <c r="AL50" i="990"/>
  <c r="AK50" i="990"/>
  <c r="AJ50" i="990"/>
  <c r="AI50" i="990"/>
  <c r="AH50" i="990"/>
  <c r="AG50" i="990"/>
  <c r="AF50" i="990"/>
  <c r="AE50" i="990"/>
  <c r="AD50" i="990"/>
  <c r="AC50" i="990"/>
  <c r="AB50" i="990"/>
  <c r="AX49" i="990"/>
  <c r="AW49" i="990"/>
  <c r="AV49" i="990"/>
  <c r="AU49" i="990"/>
  <c r="AT49" i="990"/>
  <c r="AS49" i="990"/>
  <c r="AR49" i="990"/>
  <c r="AQ49" i="990"/>
  <c r="AP49" i="990"/>
  <c r="AO49" i="990"/>
  <c r="AN49" i="990"/>
  <c r="AM49" i="990"/>
  <c r="AL49" i="990"/>
  <c r="AK49" i="990"/>
  <c r="AJ49" i="990"/>
  <c r="AI49" i="990"/>
  <c r="AH49" i="990"/>
  <c r="AG49" i="990"/>
  <c r="AF49" i="990"/>
  <c r="AE49" i="990"/>
  <c r="AD49" i="990"/>
  <c r="AC49" i="990"/>
  <c r="AB49" i="990"/>
  <c r="K44" i="990"/>
  <c r="M35" i="990"/>
  <c r="Z31" i="990"/>
  <c r="Y31" i="990"/>
  <c r="X31" i="990"/>
  <c r="W31" i="990"/>
  <c r="V31" i="990"/>
  <c r="U31" i="990"/>
  <c r="T31" i="990"/>
  <c r="S31" i="990"/>
  <c r="R31" i="990"/>
  <c r="Z30" i="990"/>
  <c r="Y30" i="990"/>
  <c r="X30" i="990"/>
  <c r="W30" i="990"/>
  <c r="V30" i="990"/>
  <c r="U30" i="990"/>
  <c r="T30" i="990"/>
  <c r="S30" i="990"/>
  <c r="R30" i="990"/>
  <c r="Z29" i="990"/>
  <c r="Y29" i="990"/>
  <c r="X29" i="990"/>
  <c r="W29" i="990"/>
  <c r="V29" i="990"/>
  <c r="U29" i="990"/>
  <c r="T29" i="990"/>
  <c r="S29" i="990"/>
  <c r="R29" i="990"/>
  <c r="Z28" i="990"/>
  <c r="Y28" i="990"/>
  <c r="X28" i="990"/>
  <c r="W28" i="990"/>
  <c r="V28" i="990"/>
  <c r="U28" i="990"/>
  <c r="T28" i="990"/>
  <c r="S28" i="990"/>
  <c r="R28" i="990"/>
  <c r="Z27" i="990"/>
  <c r="Y27" i="990"/>
  <c r="X27" i="990"/>
  <c r="W27" i="990"/>
  <c r="V27" i="990"/>
  <c r="U27" i="990"/>
  <c r="T27" i="990"/>
  <c r="S27" i="990"/>
  <c r="R27" i="990"/>
  <c r="Z26" i="990"/>
  <c r="Y26" i="990"/>
  <c r="X26" i="990"/>
  <c r="W26" i="990"/>
  <c r="V26" i="990"/>
  <c r="U26" i="990"/>
  <c r="T26" i="990"/>
  <c r="S26" i="990"/>
  <c r="R26" i="990"/>
  <c r="Z25" i="990"/>
  <c r="Y25" i="990"/>
  <c r="X25" i="990"/>
  <c r="W25" i="990"/>
  <c r="V25" i="990"/>
  <c r="U25" i="990"/>
  <c r="T25" i="990"/>
  <c r="S25" i="990"/>
  <c r="R25" i="990"/>
  <c r="M25" i="990"/>
  <c r="L25" i="990"/>
  <c r="K25" i="990"/>
  <c r="Z24" i="990"/>
  <c r="Y24" i="990"/>
  <c r="X24" i="990"/>
  <c r="W24" i="990"/>
  <c r="V24" i="990"/>
  <c r="U24" i="990"/>
  <c r="T24" i="990"/>
  <c r="S24" i="990"/>
  <c r="R24" i="990"/>
  <c r="Z23" i="990"/>
  <c r="Y23" i="990"/>
  <c r="X23" i="990"/>
  <c r="W23" i="990"/>
  <c r="V23" i="990"/>
  <c r="U23" i="990"/>
  <c r="T23" i="990"/>
  <c r="S23" i="990"/>
  <c r="R23" i="990"/>
  <c r="M23" i="990"/>
  <c r="L23" i="990"/>
  <c r="K23" i="990"/>
  <c r="Z22" i="990"/>
  <c r="Y22" i="990"/>
  <c r="X22" i="990"/>
  <c r="W22" i="990"/>
  <c r="V22" i="990"/>
  <c r="U22" i="990"/>
  <c r="T22" i="990"/>
  <c r="S22" i="990"/>
  <c r="R22" i="990"/>
  <c r="M22" i="990"/>
  <c r="Z21" i="990"/>
  <c r="Y21" i="990"/>
  <c r="X21" i="990"/>
  <c r="W21" i="990"/>
  <c r="V21" i="990"/>
  <c r="U21" i="990"/>
  <c r="T21" i="990"/>
  <c r="S21" i="990"/>
  <c r="R21" i="990"/>
  <c r="M21" i="990"/>
  <c r="L21" i="990"/>
  <c r="K21" i="990"/>
  <c r="Z20" i="990"/>
  <c r="Y20" i="990"/>
  <c r="X20" i="990"/>
  <c r="W20" i="990"/>
  <c r="V20" i="990"/>
  <c r="U20" i="990"/>
  <c r="T20" i="990"/>
  <c r="S20" i="990"/>
  <c r="R20" i="990"/>
  <c r="M20" i="990"/>
  <c r="L20" i="990"/>
  <c r="K20" i="990"/>
  <c r="Z19" i="990"/>
  <c r="Y19" i="990"/>
  <c r="X19" i="990"/>
  <c r="W19" i="990"/>
  <c r="V19" i="990"/>
  <c r="U19" i="990"/>
  <c r="T19" i="990"/>
  <c r="S19" i="990"/>
  <c r="R19" i="990"/>
  <c r="Z18" i="990"/>
  <c r="Y18" i="990"/>
  <c r="X18" i="990"/>
  <c r="W18" i="990"/>
  <c r="V18" i="990"/>
  <c r="U18" i="990"/>
  <c r="T18" i="990"/>
  <c r="S18" i="990"/>
  <c r="R18" i="990"/>
  <c r="Z17" i="990"/>
  <c r="Y17" i="990"/>
  <c r="X17" i="990"/>
  <c r="W17" i="990"/>
  <c r="V17" i="990"/>
  <c r="U17" i="990"/>
  <c r="T17" i="990"/>
  <c r="S17" i="990"/>
  <c r="R17" i="990"/>
  <c r="Z16" i="990"/>
  <c r="Y16" i="990"/>
  <c r="X16" i="990"/>
  <c r="W16" i="990"/>
  <c r="V16" i="990"/>
  <c r="U16" i="990"/>
  <c r="T16" i="990"/>
  <c r="S16" i="990"/>
  <c r="R16" i="990"/>
  <c r="Z15" i="990"/>
  <c r="Y15" i="990"/>
  <c r="X15" i="990"/>
  <c r="W15" i="990"/>
  <c r="V15" i="990"/>
  <c r="U15" i="990"/>
  <c r="T15" i="990"/>
  <c r="S15" i="990"/>
  <c r="R15" i="990"/>
  <c r="E58" i="981"/>
  <c r="E58" i="980"/>
  <c r="E47" i="989"/>
  <c r="K10" i="991"/>
  <c r="K11" i="991"/>
  <c r="K12" i="991"/>
  <c r="K13" i="991"/>
  <c r="K14" i="991"/>
  <c r="K15" i="991"/>
  <c r="K16" i="991"/>
  <c r="K17" i="991"/>
  <c r="K18" i="991"/>
  <c r="N10" i="994"/>
  <c r="J30" i="995" l="1"/>
  <c r="K35" i="994"/>
  <c r="L35" i="994" s="1"/>
  <c r="M35" i="994" s="1"/>
  <c r="J25" i="994"/>
  <c r="J24" i="993"/>
  <c r="J26" i="994"/>
  <c r="I53" i="995"/>
  <c r="K34" i="995"/>
  <c r="L34" i="995" s="1"/>
  <c r="M34" i="995" s="1"/>
  <c r="G52" i="992"/>
  <c r="K30" i="990"/>
  <c r="L30" i="990" s="1"/>
  <c r="M30" i="990" s="1"/>
  <c r="K53" i="993"/>
  <c r="K66" i="993" s="1"/>
  <c r="J23" i="992"/>
  <c r="K62" i="990"/>
  <c r="K35" i="991"/>
  <c r="L35" i="991" s="1"/>
  <c r="M35" i="991" s="1"/>
  <c r="J26" i="990"/>
  <c r="D52" i="992"/>
  <c r="K62" i="985"/>
  <c r="K58" i="980"/>
  <c r="K74" i="980" s="1"/>
  <c r="K49" i="990"/>
  <c r="K65" i="990" s="1"/>
  <c r="J19" i="993"/>
  <c r="I19" i="993"/>
  <c r="J25" i="993" s="1"/>
  <c r="K34" i="993"/>
  <c r="L34" i="993" s="1"/>
  <c r="M34" i="993" s="1"/>
  <c r="K33" i="992"/>
  <c r="L33" i="992" s="1"/>
  <c r="M33" i="992" s="1"/>
  <c r="J26" i="991"/>
  <c r="M40" i="991"/>
  <c r="M24" i="989"/>
  <c r="L24" i="989"/>
  <c r="K24" i="989"/>
  <c r="O12" i="989"/>
  <c r="M12" i="989"/>
  <c r="L12" i="989"/>
  <c r="G12" i="989"/>
  <c r="F12" i="989"/>
  <c r="E12" i="989"/>
  <c r="D12" i="989"/>
  <c r="C12" i="989"/>
  <c r="K12" i="989"/>
  <c r="N12" i="989"/>
  <c r="I12" i="989"/>
  <c r="J24" i="989" s="1"/>
  <c r="J12" i="989"/>
  <c r="K10" i="989"/>
  <c r="K47" i="989"/>
  <c r="K65" i="989" s="1"/>
  <c r="G47" i="989"/>
  <c r="D47" i="989"/>
  <c r="B47" i="989"/>
  <c r="L10" i="989"/>
  <c r="M10" i="989"/>
  <c r="N10" i="989"/>
  <c r="O10" i="989"/>
  <c r="C10" i="989"/>
  <c r="D10" i="989"/>
  <c r="F10" i="989"/>
  <c r="G10" i="989"/>
  <c r="L51" i="989"/>
  <c r="AX49" i="989"/>
  <c r="AW49" i="989"/>
  <c r="AV49" i="989"/>
  <c r="AU49" i="989"/>
  <c r="AT49" i="989"/>
  <c r="AS49" i="989"/>
  <c r="AR49" i="989"/>
  <c r="AQ49" i="989"/>
  <c r="AP49" i="989"/>
  <c r="AO49" i="989"/>
  <c r="AN49" i="989"/>
  <c r="AM49" i="989"/>
  <c r="AL49" i="989"/>
  <c r="AK49" i="989"/>
  <c r="AJ49" i="989"/>
  <c r="AI49" i="989"/>
  <c r="AH49" i="989"/>
  <c r="AG49" i="989"/>
  <c r="AF49" i="989"/>
  <c r="AE49" i="989"/>
  <c r="AD49" i="989"/>
  <c r="AC49" i="989"/>
  <c r="AB49" i="989"/>
  <c r="L49" i="989"/>
  <c r="AX48" i="989"/>
  <c r="AW48" i="989"/>
  <c r="AV48" i="989"/>
  <c r="AU48" i="989"/>
  <c r="AT48" i="989"/>
  <c r="AS48" i="989"/>
  <c r="AR48" i="989"/>
  <c r="AQ48" i="989"/>
  <c r="AP48" i="989"/>
  <c r="AO48" i="989"/>
  <c r="AN48" i="989"/>
  <c r="AM48" i="989"/>
  <c r="AL48" i="989"/>
  <c r="AK48" i="989"/>
  <c r="AJ48" i="989"/>
  <c r="AI48" i="989"/>
  <c r="AH48" i="989"/>
  <c r="AG48" i="989"/>
  <c r="AF48" i="989"/>
  <c r="AE48" i="989"/>
  <c r="AD48" i="989"/>
  <c r="AC48" i="989"/>
  <c r="AB48" i="989"/>
  <c r="AX47" i="989"/>
  <c r="AW47" i="989"/>
  <c r="AV47" i="989"/>
  <c r="AU47" i="989"/>
  <c r="AT47" i="989"/>
  <c r="AS47" i="989"/>
  <c r="AR47" i="989"/>
  <c r="AQ47" i="989"/>
  <c r="AP47" i="989"/>
  <c r="AO47" i="989"/>
  <c r="AN47" i="989"/>
  <c r="AM47" i="989"/>
  <c r="AL47" i="989"/>
  <c r="AK47" i="989"/>
  <c r="AJ47" i="989"/>
  <c r="AI47" i="989"/>
  <c r="AH47" i="989"/>
  <c r="AG47" i="989"/>
  <c r="AF47" i="989"/>
  <c r="AE47" i="989"/>
  <c r="AD47" i="989"/>
  <c r="AC47" i="989"/>
  <c r="AB47" i="989"/>
  <c r="K42" i="989"/>
  <c r="L33" i="989" s="1"/>
  <c r="M33" i="989" s="1"/>
  <c r="Z29" i="989"/>
  <c r="Y29" i="989"/>
  <c r="X29" i="989"/>
  <c r="W29" i="989"/>
  <c r="V29" i="989"/>
  <c r="U29" i="989"/>
  <c r="T29" i="989"/>
  <c r="S29" i="989"/>
  <c r="R29" i="989"/>
  <c r="Z28" i="989"/>
  <c r="Y28" i="989"/>
  <c r="X28" i="989"/>
  <c r="W28" i="989"/>
  <c r="V28" i="989"/>
  <c r="U28" i="989"/>
  <c r="T28" i="989"/>
  <c r="S28" i="989"/>
  <c r="R28" i="989"/>
  <c r="Z27" i="989"/>
  <c r="Y27" i="989"/>
  <c r="X27" i="989"/>
  <c r="W27" i="989"/>
  <c r="V27" i="989"/>
  <c r="U27" i="989"/>
  <c r="T27" i="989"/>
  <c r="S27" i="989"/>
  <c r="R27" i="989"/>
  <c r="Z26" i="989"/>
  <c r="Y26" i="989"/>
  <c r="X26" i="989"/>
  <c r="W26" i="989"/>
  <c r="V26" i="989"/>
  <c r="U26" i="989"/>
  <c r="T26" i="989"/>
  <c r="S26" i="989"/>
  <c r="R26" i="989"/>
  <c r="Z25" i="989"/>
  <c r="Y25" i="989"/>
  <c r="X25" i="989"/>
  <c r="W25" i="989"/>
  <c r="V25" i="989"/>
  <c r="U25" i="989"/>
  <c r="T25" i="989"/>
  <c r="S25" i="989"/>
  <c r="R25" i="989"/>
  <c r="Z24" i="989"/>
  <c r="Y24" i="989"/>
  <c r="X24" i="989"/>
  <c r="W24" i="989"/>
  <c r="V24" i="989"/>
  <c r="U24" i="989"/>
  <c r="T24" i="989"/>
  <c r="S24" i="989"/>
  <c r="R24" i="989"/>
  <c r="Z23" i="989"/>
  <c r="Y23" i="989"/>
  <c r="X23" i="989"/>
  <c r="W23" i="989"/>
  <c r="V23" i="989"/>
  <c r="U23" i="989"/>
  <c r="T23" i="989"/>
  <c r="S23" i="989"/>
  <c r="R23" i="989"/>
  <c r="M23" i="989"/>
  <c r="L23" i="989"/>
  <c r="K23" i="989"/>
  <c r="Z22" i="989"/>
  <c r="Y22" i="989"/>
  <c r="X22" i="989"/>
  <c r="W22" i="989"/>
  <c r="V22" i="989"/>
  <c r="U22" i="989"/>
  <c r="T22" i="989"/>
  <c r="S22" i="989"/>
  <c r="R22" i="989"/>
  <c r="Z21" i="989"/>
  <c r="Y21" i="989"/>
  <c r="X21" i="989"/>
  <c r="W21" i="989"/>
  <c r="V21" i="989"/>
  <c r="U21" i="989"/>
  <c r="T21" i="989"/>
  <c r="S21" i="989"/>
  <c r="R21" i="989"/>
  <c r="M21" i="989"/>
  <c r="L21" i="989"/>
  <c r="K21" i="989"/>
  <c r="Z20" i="989"/>
  <c r="Y20" i="989"/>
  <c r="X20" i="989"/>
  <c r="W20" i="989"/>
  <c r="V20" i="989"/>
  <c r="U20" i="989"/>
  <c r="T20" i="989"/>
  <c r="S20" i="989"/>
  <c r="R20" i="989"/>
  <c r="M20" i="989"/>
  <c r="Z19" i="989"/>
  <c r="Y19" i="989"/>
  <c r="X19" i="989"/>
  <c r="W19" i="989"/>
  <c r="V19" i="989"/>
  <c r="U19" i="989"/>
  <c r="T19" i="989"/>
  <c r="S19" i="989"/>
  <c r="R19" i="989"/>
  <c r="M19" i="989"/>
  <c r="L19" i="989"/>
  <c r="K19" i="989"/>
  <c r="Z18" i="989"/>
  <c r="Y18" i="989"/>
  <c r="X18" i="989"/>
  <c r="W18" i="989"/>
  <c r="V18" i="989"/>
  <c r="U18" i="989"/>
  <c r="T18" i="989"/>
  <c r="S18" i="989"/>
  <c r="R18" i="989"/>
  <c r="M18" i="989"/>
  <c r="L18" i="989"/>
  <c r="K18" i="989"/>
  <c r="Z17" i="989"/>
  <c r="Y17" i="989"/>
  <c r="X17" i="989"/>
  <c r="W17" i="989"/>
  <c r="V17" i="989"/>
  <c r="U17" i="989"/>
  <c r="T17" i="989"/>
  <c r="S17" i="989"/>
  <c r="R17" i="989"/>
  <c r="Z16" i="989"/>
  <c r="Y16" i="989"/>
  <c r="X16" i="989"/>
  <c r="W16" i="989"/>
  <c r="V16" i="989"/>
  <c r="U16" i="989"/>
  <c r="T16" i="989"/>
  <c r="S16" i="989"/>
  <c r="R16" i="989"/>
  <c r="Z15" i="989"/>
  <c r="Y15" i="989"/>
  <c r="X15" i="989"/>
  <c r="W15" i="989"/>
  <c r="V15" i="989"/>
  <c r="U15" i="989"/>
  <c r="T15" i="989"/>
  <c r="S15" i="989"/>
  <c r="R15" i="989"/>
  <c r="Z14" i="989"/>
  <c r="Y14" i="989"/>
  <c r="X14" i="989"/>
  <c r="W14" i="989"/>
  <c r="V14" i="989"/>
  <c r="U14" i="989"/>
  <c r="T14" i="989"/>
  <c r="S14" i="989"/>
  <c r="R14" i="989"/>
  <c r="Z13" i="989"/>
  <c r="Y13" i="989"/>
  <c r="X13" i="989"/>
  <c r="W13" i="989"/>
  <c r="V13" i="989"/>
  <c r="U13" i="989"/>
  <c r="T13" i="989"/>
  <c r="S13" i="989"/>
  <c r="R13" i="989"/>
  <c r="Z12" i="989"/>
  <c r="Y12" i="989"/>
  <c r="X12" i="989"/>
  <c r="W12" i="989"/>
  <c r="V12" i="989"/>
  <c r="U12" i="989"/>
  <c r="T12" i="989"/>
  <c r="S12" i="989"/>
  <c r="R12" i="989"/>
  <c r="Z11" i="989"/>
  <c r="Y11" i="989"/>
  <c r="X11" i="989"/>
  <c r="W11" i="989"/>
  <c r="V11" i="989"/>
  <c r="U11" i="989"/>
  <c r="T11" i="989"/>
  <c r="S11" i="989"/>
  <c r="R11" i="989"/>
  <c r="Z10" i="989"/>
  <c r="Y10" i="989"/>
  <c r="X10" i="989"/>
  <c r="W10" i="989"/>
  <c r="V10" i="989"/>
  <c r="U10" i="989"/>
  <c r="T10" i="989"/>
  <c r="S10" i="989"/>
  <c r="R10" i="989"/>
  <c r="M24" i="988"/>
  <c r="L24" i="988"/>
  <c r="K24" i="988"/>
  <c r="I12" i="988"/>
  <c r="J12" i="988"/>
  <c r="K12" i="988"/>
  <c r="L12" i="988"/>
  <c r="M12" i="988"/>
  <c r="N12" i="988"/>
  <c r="O12" i="988"/>
  <c r="C12" i="988"/>
  <c r="D12" i="988"/>
  <c r="E12" i="988"/>
  <c r="F12" i="988"/>
  <c r="G12" i="988"/>
  <c r="K54" i="988"/>
  <c r="K64" i="988" s="1"/>
  <c r="K52" i="988"/>
  <c r="K50" i="988"/>
  <c r="G54" i="988"/>
  <c r="G52" i="988"/>
  <c r="G50" i="988"/>
  <c r="B54" i="988"/>
  <c r="B52" i="988"/>
  <c r="B50" i="988"/>
  <c r="L14" i="987"/>
  <c r="M14" i="987"/>
  <c r="N14" i="987"/>
  <c r="O14" i="987"/>
  <c r="L15" i="987"/>
  <c r="M15" i="987"/>
  <c r="N15" i="987"/>
  <c r="O15" i="987"/>
  <c r="C14" i="987"/>
  <c r="D14" i="987"/>
  <c r="E14" i="987"/>
  <c r="F14" i="987"/>
  <c r="G14" i="987"/>
  <c r="C15" i="987"/>
  <c r="D15" i="987"/>
  <c r="E15" i="987"/>
  <c r="F15" i="987"/>
  <c r="G15" i="987"/>
  <c r="I15" i="987"/>
  <c r="J15" i="987"/>
  <c r="I10" i="988"/>
  <c r="J10" i="988"/>
  <c r="L10" i="988"/>
  <c r="M10" i="988"/>
  <c r="N10" i="988"/>
  <c r="O10" i="988"/>
  <c r="I11" i="988"/>
  <c r="J11" i="988"/>
  <c r="L11" i="988"/>
  <c r="M11" i="988"/>
  <c r="N11" i="988"/>
  <c r="O11" i="988"/>
  <c r="C10" i="988"/>
  <c r="D10" i="988"/>
  <c r="E10" i="988"/>
  <c r="F10" i="988"/>
  <c r="G10" i="988"/>
  <c r="C11" i="988"/>
  <c r="D11" i="988"/>
  <c r="E11" i="988"/>
  <c r="F11" i="988"/>
  <c r="G11" i="988"/>
  <c r="R10" i="988"/>
  <c r="S10" i="988"/>
  <c r="T10" i="988"/>
  <c r="U10" i="988"/>
  <c r="V10" i="988"/>
  <c r="W10" i="988"/>
  <c r="X10" i="988"/>
  <c r="Y10" i="988"/>
  <c r="Z10" i="988"/>
  <c r="R11" i="988"/>
  <c r="S11" i="988"/>
  <c r="T11" i="988"/>
  <c r="U11" i="988"/>
  <c r="V11" i="988"/>
  <c r="W11" i="988"/>
  <c r="X11" i="988"/>
  <c r="Y11" i="988"/>
  <c r="Z11" i="988"/>
  <c r="R12" i="988"/>
  <c r="S12" i="988"/>
  <c r="T12" i="988"/>
  <c r="U12" i="988"/>
  <c r="V12" i="988"/>
  <c r="W12" i="988"/>
  <c r="X12" i="988"/>
  <c r="Y12" i="988"/>
  <c r="Z12" i="988"/>
  <c r="R13" i="988"/>
  <c r="S13" i="988"/>
  <c r="T13" i="988"/>
  <c r="U13" i="988"/>
  <c r="V13" i="988"/>
  <c r="W13" i="988"/>
  <c r="X13" i="988"/>
  <c r="Y13" i="988"/>
  <c r="Z13" i="988"/>
  <c r="R14" i="988"/>
  <c r="S14" i="988"/>
  <c r="T14" i="988"/>
  <c r="U14" i="988"/>
  <c r="V14" i="988"/>
  <c r="W14" i="988"/>
  <c r="X14" i="988"/>
  <c r="Y14" i="988"/>
  <c r="Z14" i="988"/>
  <c r="R15" i="988"/>
  <c r="S15" i="988"/>
  <c r="T15" i="988"/>
  <c r="U15" i="988"/>
  <c r="V15" i="988"/>
  <c r="W15" i="988"/>
  <c r="X15" i="988"/>
  <c r="Y15" i="988"/>
  <c r="Z15" i="988"/>
  <c r="R16" i="988"/>
  <c r="S16" i="988"/>
  <c r="T16" i="988"/>
  <c r="U16" i="988"/>
  <c r="V16" i="988"/>
  <c r="W16" i="988"/>
  <c r="X16" i="988"/>
  <c r="Y16" i="988"/>
  <c r="Z16" i="988"/>
  <c r="R17" i="988"/>
  <c r="S17" i="988"/>
  <c r="T17" i="988"/>
  <c r="U17" i="988"/>
  <c r="V17" i="988"/>
  <c r="W17" i="988"/>
  <c r="X17" i="988"/>
  <c r="Y17" i="988"/>
  <c r="Z17" i="988"/>
  <c r="R18" i="988"/>
  <c r="S18" i="988"/>
  <c r="T18" i="988"/>
  <c r="U18" i="988"/>
  <c r="V18" i="988"/>
  <c r="W18" i="988"/>
  <c r="X18" i="988"/>
  <c r="Y18" i="988"/>
  <c r="Z18" i="988"/>
  <c r="AX52" i="988"/>
  <c r="AW52" i="988"/>
  <c r="AV52" i="988"/>
  <c r="AU52" i="988"/>
  <c r="AT52" i="988"/>
  <c r="AS52" i="988"/>
  <c r="AR52" i="988"/>
  <c r="AQ52" i="988"/>
  <c r="AP52" i="988"/>
  <c r="AO52" i="988"/>
  <c r="AN52" i="988"/>
  <c r="AM52" i="988"/>
  <c r="AL52" i="988"/>
  <c r="AK52" i="988"/>
  <c r="AJ52" i="988"/>
  <c r="AI52" i="988"/>
  <c r="AH52" i="988"/>
  <c r="AG52" i="988"/>
  <c r="AF52" i="988"/>
  <c r="AE52" i="988"/>
  <c r="AD52" i="988"/>
  <c r="AC52" i="988"/>
  <c r="AB52" i="988"/>
  <c r="AX51" i="988"/>
  <c r="AW51" i="988"/>
  <c r="AV51" i="988"/>
  <c r="AU51" i="988"/>
  <c r="AT51" i="988"/>
  <c r="AS51" i="988"/>
  <c r="AR51" i="988"/>
  <c r="AQ51" i="988"/>
  <c r="AP51" i="988"/>
  <c r="AO51" i="988"/>
  <c r="AN51" i="988"/>
  <c r="AM51" i="988"/>
  <c r="AL51" i="988"/>
  <c r="AK51" i="988"/>
  <c r="AJ51" i="988"/>
  <c r="AI51" i="988"/>
  <c r="AH51" i="988"/>
  <c r="AG51" i="988"/>
  <c r="AF51" i="988"/>
  <c r="AE51" i="988"/>
  <c r="AD51" i="988"/>
  <c r="AC51" i="988"/>
  <c r="AB51" i="988"/>
  <c r="AX50" i="988"/>
  <c r="AW50" i="988"/>
  <c r="AV50" i="988"/>
  <c r="AU50" i="988"/>
  <c r="AT50" i="988"/>
  <c r="AS50" i="988"/>
  <c r="AR50" i="988"/>
  <c r="AQ50" i="988"/>
  <c r="AP50" i="988"/>
  <c r="AO50" i="988"/>
  <c r="AN50" i="988"/>
  <c r="AM50" i="988"/>
  <c r="AL50" i="988"/>
  <c r="AK50" i="988"/>
  <c r="AJ50" i="988"/>
  <c r="AI50" i="988"/>
  <c r="AH50" i="988"/>
  <c r="AG50" i="988"/>
  <c r="AF50" i="988"/>
  <c r="AE50" i="988"/>
  <c r="AD50" i="988"/>
  <c r="AC50" i="988"/>
  <c r="AB50" i="988"/>
  <c r="K45" i="988"/>
  <c r="L36" i="988" s="1"/>
  <c r="Z32" i="988"/>
  <c r="Y32" i="988"/>
  <c r="X32" i="988"/>
  <c r="W32" i="988"/>
  <c r="V32" i="988"/>
  <c r="U32" i="988"/>
  <c r="T32" i="988"/>
  <c r="S32" i="988"/>
  <c r="R32" i="988"/>
  <c r="Z31" i="988"/>
  <c r="Y31" i="988"/>
  <c r="X31" i="988"/>
  <c r="W31" i="988"/>
  <c r="V31" i="988"/>
  <c r="U31" i="988"/>
  <c r="T31" i="988"/>
  <c r="S31" i="988"/>
  <c r="R31" i="988"/>
  <c r="Z30" i="988"/>
  <c r="Y30" i="988"/>
  <c r="X30" i="988"/>
  <c r="W30" i="988"/>
  <c r="V30" i="988"/>
  <c r="U30" i="988"/>
  <c r="T30" i="988"/>
  <c r="S30" i="988"/>
  <c r="R30" i="988"/>
  <c r="Z29" i="988"/>
  <c r="Y29" i="988"/>
  <c r="X29" i="988"/>
  <c r="W29" i="988"/>
  <c r="V29" i="988"/>
  <c r="U29" i="988"/>
  <c r="T29" i="988"/>
  <c r="S29" i="988"/>
  <c r="R29" i="988"/>
  <c r="Z28" i="988"/>
  <c r="Y28" i="988"/>
  <c r="X28" i="988"/>
  <c r="W28" i="988"/>
  <c r="V28" i="988"/>
  <c r="U28" i="988"/>
  <c r="T28" i="988"/>
  <c r="S28" i="988"/>
  <c r="R28" i="988"/>
  <c r="Z27" i="988"/>
  <c r="Y27" i="988"/>
  <c r="X27" i="988"/>
  <c r="W27" i="988"/>
  <c r="V27" i="988"/>
  <c r="U27" i="988"/>
  <c r="T27" i="988"/>
  <c r="S27" i="988"/>
  <c r="R27" i="988"/>
  <c r="M27" i="988"/>
  <c r="Z26" i="988"/>
  <c r="Y26" i="988"/>
  <c r="X26" i="988"/>
  <c r="W26" i="988"/>
  <c r="V26" i="988"/>
  <c r="U26" i="988"/>
  <c r="T26" i="988"/>
  <c r="S26" i="988"/>
  <c r="R26" i="988"/>
  <c r="M26" i="988"/>
  <c r="L26" i="988"/>
  <c r="K26" i="988"/>
  <c r="Z25" i="988"/>
  <c r="Y25" i="988"/>
  <c r="X25" i="988"/>
  <c r="W25" i="988"/>
  <c r="V25" i="988"/>
  <c r="U25" i="988"/>
  <c r="T25" i="988"/>
  <c r="S25" i="988"/>
  <c r="R25" i="988"/>
  <c r="Z24" i="988"/>
  <c r="Y24" i="988"/>
  <c r="X24" i="988"/>
  <c r="W24" i="988"/>
  <c r="V24" i="988"/>
  <c r="U24" i="988"/>
  <c r="T24" i="988"/>
  <c r="S24" i="988"/>
  <c r="R24" i="988"/>
  <c r="Z23" i="988"/>
  <c r="Y23" i="988"/>
  <c r="X23" i="988"/>
  <c r="W23" i="988"/>
  <c r="V23" i="988"/>
  <c r="U23" i="988"/>
  <c r="T23" i="988"/>
  <c r="S23" i="988"/>
  <c r="R23" i="988"/>
  <c r="M23" i="988"/>
  <c r="Z22" i="988"/>
  <c r="Y22" i="988"/>
  <c r="X22" i="988"/>
  <c r="W22" i="988"/>
  <c r="V22" i="988"/>
  <c r="U22" i="988"/>
  <c r="T22" i="988"/>
  <c r="S22" i="988"/>
  <c r="R22" i="988"/>
  <c r="M22" i="988"/>
  <c r="L22" i="988"/>
  <c r="K22" i="988"/>
  <c r="Z21" i="988"/>
  <c r="Y21" i="988"/>
  <c r="X21" i="988"/>
  <c r="W21" i="988"/>
  <c r="V21" i="988"/>
  <c r="U21" i="988"/>
  <c r="T21" i="988"/>
  <c r="S21" i="988"/>
  <c r="R21" i="988"/>
  <c r="M21" i="988"/>
  <c r="L21" i="988"/>
  <c r="K21" i="988"/>
  <c r="Z20" i="988"/>
  <c r="Y20" i="988"/>
  <c r="X20" i="988"/>
  <c r="W20" i="988"/>
  <c r="V20" i="988"/>
  <c r="U20" i="988"/>
  <c r="T20" i="988"/>
  <c r="S20" i="988"/>
  <c r="R20" i="988"/>
  <c r="Z19" i="988"/>
  <c r="Y19" i="988"/>
  <c r="X19" i="988"/>
  <c r="W19" i="988"/>
  <c r="V19" i="988"/>
  <c r="U19" i="988"/>
  <c r="T19" i="988"/>
  <c r="S19" i="988"/>
  <c r="R19" i="988"/>
  <c r="B51" i="987"/>
  <c r="G51" i="987"/>
  <c r="K51" i="987"/>
  <c r="K65" i="987" s="1"/>
  <c r="M25" i="987"/>
  <c r="L25" i="987"/>
  <c r="K25" i="987"/>
  <c r="R11" i="987"/>
  <c r="S11" i="987"/>
  <c r="T11" i="987"/>
  <c r="U11" i="987"/>
  <c r="V11" i="987"/>
  <c r="W11" i="987"/>
  <c r="X11" i="987"/>
  <c r="Y11" i="987"/>
  <c r="Z11" i="987"/>
  <c r="R12" i="987"/>
  <c r="S12" i="987"/>
  <c r="T12" i="987"/>
  <c r="U12" i="987"/>
  <c r="V12" i="987"/>
  <c r="W12" i="987"/>
  <c r="X12" i="987"/>
  <c r="Y12" i="987"/>
  <c r="Z12" i="987"/>
  <c r="R13" i="987"/>
  <c r="S13" i="987"/>
  <c r="T13" i="987"/>
  <c r="U13" i="987"/>
  <c r="V13" i="987"/>
  <c r="W13" i="987"/>
  <c r="X13" i="987"/>
  <c r="Y13" i="987"/>
  <c r="Z13" i="987"/>
  <c r="R14" i="987"/>
  <c r="S14" i="987"/>
  <c r="T14" i="987"/>
  <c r="U14" i="987"/>
  <c r="V14" i="987"/>
  <c r="W14" i="987"/>
  <c r="X14" i="987"/>
  <c r="Y14" i="987"/>
  <c r="Z14" i="987"/>
  <c r="R15" i="987"/>
  <c r="S15" i="987"/>
  <c r="T15" i="987"/>
  <c r="U15" i="987"/>
  <c r="V15" i="987"/>
  <c r="W15" i="987"/>
  <c r="X15" i="987"/>
  <c r="Y15" i="987"/>
  <c r="Z15" i="987"/>
  <c r="R16" i="987"/>
  <c r="S16" i="987"/>
  <c r="T16" i="987"/>
  <c r="U16" i="987"/>
  <c r="V16" i="987"/>
  <c r="W16" i="987"/>
  <c r="X16" i="987"/>
  <c r="Y16" i="987"/>
  <c r="Z16" i="987"/>
  <c r="R17" i="987"/>
  <c r="S17" i="987"/>
  <c r="T17" i="987"/>
  <c r="U17" i="987"/>
  <c r="V17" i="987"/>
  <c r="W17" i="987"/>
  <c r="X17" i="987"/>
  <c r="Y17" i="987"/>
  <c r="Z17" i="987"/>
  <c r="R18" i="987"/>
  <c r="S18" i="987"/>
  <c r="T18" i="987"/>
  <c r="U18" i="987"/>
  <c r="V18" i="987"/>
  <c r="W18" i="987"/>
  <c r="X18" i="987"/>
  <c r="Y18" i="987"/>
  <c r="Z18" i="987"/>
  <c r="R19" i="987"/>
  <c r="S19" i="987"/>
  <c r="T19" i="987"/>
  <c r="U19" i="987"/>
  <c r="V19" i="987"/>
  <c r="W19" i="987"/>
  <c r="X19" i="987"/>
  <c r="Y19" i="987"/>
  <c r="Z19" i="987"/>
  <c r="R20" i="987"/>
  <c r="S20" i="987"/>
  <c r="T20" i="987"/>
  <c r="U20" i="987"/>
  <c r="V20" i="987"/>
  <c r="W20" i="987"/>
  <c r="X20" i="987"/>
  <c r="Y20" i="987"/>
  <c r="Z20" i="987"/>
  <c r="R21" i="987"/>
  <c r="S21" i="987"/>
  <c r="T21" i="987"/>
  <c r="U21" i="987"/>
  <c r="V21" i="987"/>
  <c r="W21" i="987"/>
  <c r="X21" i="987"/>
  <c r="Y21" i="987"/>
  <c r="Z21" i="987"/>
  <c r="R22" i="987"/>
  <c r="S22" i="987"/>
  <c r="T22" i="987"/>
  <c r="U22" i="987"/>
  <c r="V22" i="987"/>
  <c r="W22" i="987"/>
  <c r="X22" i="987"/>
  <c r="Y22" i="987"/>
  <c r="Z22" i="987"/>
  <c r="C13" i="987"/>
  <c r="D13" i="987"/>
  <c r="E13" i="987"/>
  <c r="F13" i="987"/>
  <c r="G13" i="987"/>
  <c r="I13" i="987"/>
  <c r="J13" i="987"/>
  <c r="L13" i="987"/>
  <c r="M13" i="987"/>
  <c r="N13" i="987"/>
  <c r="O13" i="987"/>
  <c r="C12" i="987"/>
  <c r="D12" i="987"/>
  <c r="E12" i="987"/>
  <c r="F12" i="987"/>
  <c r="G12" i="987"/>
  <c r="I12" i="987"/>
  <c r="J12" i="987"/>
  <c r="K12" i="987"/>
  <c r="L12" i="987"/>
  <c r="M12" i="987"/>
  <c r="N12" i="987"/>
  <c r="O12" i="987"/>
  <c r="I10" i="987"/>
  <c r="J22" i="987" s="1"/>
  <c r="J10" i="987"/>
  <c r="L10" i="987"/>
  <c r="M10" i="987"/>
  <c r="N10" i="987"/>
  <c r="O10" i="987"/>
  <c r="C10" i="987"/>
  <c r="D10" i="987"/>
  <c r="E10" i="987"/>
  <c r="F10" i="987"/>
  <c r="G10" i="987"/>
  <c r="AX53" i="987"/>
  <c r="AW53" i="987"/>
  <c r="AV53" i="987"/>
  <c r="AU53" i="987"/>
  <c r="AT53" i="987"/>
  <c r="AS53" i="987"/>
  <c r="AR53" i="987"/>
  <c r="AQ53" i="987"/>
  <c r="AP53" i="987"/>
  <c r="AO53" i="987"/>
  <c r="AN53" i="987"/>
  <c r="AM53" i="987"/>
  <c r="AL53" i="987"/>
  <c r="AK53" i="987"/>
  <c r="AJ53" i="987"/>
  <c r="AI53" i="987"/>
  <c r="AH53" i="987"/>
  <c r="AG53" i="987"/>
  <c r="AF53" i="987"/>
  <c r="AE53" i="987"/>
  <c r="AD53" i="987"/>
  <c r="AC53" i="987"/>
  <c r="AB53" i="987"/>
  <c r="AX52" i="987"/>
  <c r="AW52" i="987"/>
  <c r="AV52" i="987"/>
  <c r="AU52" i="987"/>
  <c r="AT52" i="987"/>
  <c r="AS52" i="987"/>
  <c r="AR52" i="987"/>
  <c r="AQ52" i="987"/>
  <c r="AP52" i="987"/>
  <c r="AO52" i="987"/>
  <c r="AN52" i="987"/>
  <c r="AM52" i="987"/>
  <c r="AL52" i="987"/>
  <c r="AK52" i="987"/>
  <c r="AJ52" i="987"/>
  <c r="AI52" i="987"/>
  <c r="AH52" i="987"/>
  <c r="AG52" i="987"/>
  <c r="AF52" i="987"/>
  <c r="AE52" i="987"/>
  <c r="AD52" i="987"/>
  <c r="AC52" i="987"/>
  <c r="AB52" i="987"/>
  <c r="AX51" i="987"/>
  <c r="AW51" i="987"/>
  <c r="AV51" i="987"/>
  <c r="AU51" i="987"/>
  <c r="AT51" i="987"/>
  <c r="AS51" i="987"/>
  <c r="AR51" i="987"/>
  <c r="AQ51" i="987"/>
  <c r="AP51" i="987"/>
  <c r="AO51" i="987"/>
  <c r="AN51" i="987"/>
  <c r="AM51" i="987"/>
  <c r="AL51" i="987"/>
  <c r="AK51" i="987"/>
  <c r="AJ51" i="987"/>
  <c r="AI51" i="987"/>
  <c r="AH51" i="987"/>
  <c r="AG51" i="987"/>
  <c r="AF51" i="987"/>
  <c r="AE51" i="987"/>
  <c r="AD51" i="987"/>
  <c r="AC51" i="987"/>
  <c r="AB51" i="987"/>
  <c r="K46" i="987"/>
  <c r="L37" i="987" s="1"/>
  <c r="M37" i="987" s="1"/>
  <c r="Z33" i="987"/>
  <c r="Y33" i="987"/>
  <c r="X33" i="987"/>
  <c r="W33" i="987"/>
  <c r="V33" i="987"/>
  <c r="U33" i="987"/>
  <c r="T33" i="987"/>
  <c r="S33" i="987"/>
  <c r="R33" i="987"/>
  <c r="Z32" i="987"/>
  <c r="Y32" i="987"/>
  <c r="X32" i="987"/>
  <c r="W32" i="987"/>
  <c r="V32" i="987"/>
  <c r="U32" i="987"/>
  <c r="T32" i="987"/>
  <c r="S32" i="987"/>
  <c r="R32" i="987"/>
  <c r="Z31" i="987"/>
  <c r="Y31" i="987"/>
  <c r="X31" i="987"/>
  <c r="W31" i="987"/>
  <c r="V31" i="987"/>
  <c r="U31" i="987"/>
  <c r="T31" i="987"/>
  <c r="S31" i="987"/>
  <c r="R31" i="987"/>
  <c r="Z30" i="987"/>
  <c r="Y30" i="987"/>
  <c r="X30" i="987"/>
  <c r="W30" i="987"/>
  <c r="V30" i="987"/>
  <c r="U30" i="987"/>
  <c r="T30" i="987"/>
  <c r="S30" i="987"/>
  <c r="R30" i="987"/>
  <c r="Z29" i="987"/>
  <c r="Y29" i="987"/>
  <c r="X29" i="987"/>
  <c r="W29" i="987"/>
  <c r="V29" i="987"/>
  <c r="U29" i="987"/>
  <c r="T29" i="987"/>
  <c r="S29" i="987"/>
  <c r="R29" i="987"/>
  <c r="Z28" i="987"/>
  <c r="Y28" i="987"/>
  <c r="X28" i="987"/>
  <c r="W28" i="987"/>
  <c r="V28" i="987"/>
  <c r="U28" i="987"/>
  <c r="T28" i="987"/>
  <c r="S28" i="987"/>
  <c r="R28" i="987"/>
  <c r="M28" i="987"/>
  <c r="Z27" i="987"/>
  <c r="Y27" i="987"/>
  <c r="X27" i="987"/>
  <c r="W27" i="987"/>
  <c r="V27" i="987"/>
  <c r="U27" i="987"/>
  <c r="T27" i="987"/>
  <c r="S27" i="987"/>
  <c r="R27" i="987"/>
  <c r="M27" i="987"/>
  <c r="L27" i="987"/>
  <c r="K27" i="987"/>
  <c r="Z26" i="987"/>
  <c r="Y26" i="987"/>
  <c r="X26" i="987"/>
  <c r="W26" i="987"/>
  <c r="V26" i="987"/>
  <c r="U26" i="987"/>
  <c r="T26" i="987"/>
  <c r="S26" i="987"/>
  <c r="R26" i="987"/>
  <c r="Z25" i="987"/>
  <c r="Y25" i="987"/>
  <c r="X25" i="987"/>
  <c r="W25" i="987"/>
  <c r="V25" i="987"/>
  <c r="U25" i="987"/>
  <c r="T25" i="987"/>
  <c r="S25" i="987"/>
  <c r="R25" i="987"/>
  <c r="Z24" i="987"/>
  <c r="Y24" i="987"/>
  <c r="X24" i="987"/>
  <c r="W24" i="987"/>
  <c r="V24" i="987"/>
  <c r="U24" i="987"/>
  <c r="T24" i="987"/>
  <c r="S24" i="987"/>
  <c r="R24" i="987"/>
  <c r="M24" i="987"/>
  <c r="Z23" i="987"/>
  <c r="Y23" i="987"/>
  <c r="X23" i="987"/>
  <c r="W23" i="987"/>
  <c r="V23" i="987"/>
  <c r="U23" i="987"/>
  <c r="T23" i="987"/>
  <c r="S23" i="987"/>
  <c r="R23" i="987"/>
  <c r="M23" i="987"/>
  <c r="L23" i="987"/>
  <c r="K23" i="987"/>
  <c r="M22" i="987"/>
  <c r="L22" i="987"/>
  <c r="K22" i="987"/>
  <c r="Z10" i="987"/>
  <c r="Y10" i="987"/>
  <c r="X10" i="987"/>
  <c r="W10" i="987"/>
  <c r="V10" i="987"/>
  <c r="U10" i="987"/>
  <c r="T10" i="987"/>
  <c r="S10" i="987"/>
  <c r="R10" i="987"/>
  <c r="G58" i="986"/>
  <c r="G56" i="986"/>
  <c r="K58" i="986"/>
  <c r="K56" i="986"/>
  <c r="B58" i="986"/>
  <c r="B56" i="986"/>
  <c r="K64" i="985"/>
  <c r="K73" i="985" s="1"/>
  <c r="M27" i="986"/>
  <c r="L27" i="986"/>
  <c r="K27" i="986"/>
  <c r="J12" i="986"/>
  <c r="R12" i="986"/>
  <c r="S12" i="986"/>
  <c r="T12" i="986"/>
  <c r="U12" i="986"/>
  <c r="V12" i="986"/>
  <c r="W12" i="986"/>
  <c r="X12" i="986"/>
  <c r="Y12" i="986"/>
  <c r="Z12" i="986"/>
  <c r="R13" i="986"/>
  <c r="S13" i="986"/>
  <c r="T13" i="986"/>
  <c r="U13" i="986"/>
  <c r="V13" i="986"/>
  <c r="W13" i="986"/>
  <c r="X13" i="986"/>
  <c r="Y13" i="986"/>
  <c r="Z13" i="986"/>
  <c r="R14" i="986"/>
  <c r="S14" i="986"/>
  <c r="T14" i="986"/>
  <c r="U14" i="986"/>
  <c r="V14" i="986"/>
  <c r="W14" i="986"/>
  <c r="X14" i="986"/>
  <c r="Y14" i="986"/>
  <c r="Z14" i="986"/>
  <c r="R15" i="986"/>
  <c r="S15" i="986"/>
  <c r="T15" i="986"/>
  <c r="U15" i="986"/>
  <c r="V15" i="986"/>
  <c r="W15" i="986"/>
  <c r="X15" i="986"/>
  <c r="Y15" i="986"/>
  <c r="Z15" i="986"/>
  <c r="R16" i="986"/>
  <c r="S16" i="986"/>
  <c r="T16" i="986"/>
  <c r="U16" i="986"/>
  <c r="V16" i="986"/>
  <c r="W16" i="986"/>
  <c r="X16" i="986"/>
  <c r="Y16" i="986"/>
  <c r="Z16" i="986"/>
  <c r="R17" i="986"/>
  <c r="S17" i="986"/>
  <c r="T17" i="986"/>
  <c r="U17" i="986"/>
  <c r="V17" i="986"/>
  <c r="W17" i="986"/>
  <c r="X17" i="986"/>
  <c r="Y17" i="986"/>
  <c r="Z17" i="986"/>
  <c r="R18" i="986"/>
  <c r="S18" i="986"/>
  <c r="T18" i="986"/>
  <c r="U18" i="986"/>
  <c r="V18" i="986"/>
  <c r="W18" i="986"/>
  <c r="X18" i="986"/>
  <c r="Y18" i="986"/>
  <c r="Z18" i="986"/>
  <c r="R19" i="986"/>
  <c r="S19" i="986"/>
  <c r="T19" i="986"/>
  <c r="U19" i="986"/>
  <c r="V19" i="986"/>
  <c r="W19" i="986"/>
  <c r="X19" i="986"/>
  <c r="Y19" i="986"/>
  <c r="Z19" i="986"/>
  <c r="R20" i="986"/>
  <c r="S20" i="986"/>
  <c r="T20" i="986"/>
  <c r="U20" i="986"/>
  <c r="V20" i="986"/>
  <c r="W20" i="986"/>
  <c r="X20" i="986"/>
  <c r="Y20" i="986"/>
  <c r="Z20" i="986"/>
  <c r="R21" i="986"/>
  <c r="S21" i="986"/>
  <c r="T21" i="986"/>
  <c r="U21" i="986"/>
  <c r="V21" i="986"/>
  <c r="W21" i="986"/>
  <c r="X21" i="986"/>
  <c r="Y21" i="986"/>
  <c r="Z21" i="986"/>
  <c r="R22" i="986"/>
  <c r="S22" i="986"/>
  <c r="T22" i="986"/>
  <c r="U22" i="986"/>
  <c r="V22" i="986"/>
  <c r="W22" i="986"/>
  <c r="X22" i="986"/>
  <c r="Y22" i="986"/>
  <c r="Z22" i="986"/>
  <c r="R23" i="986"/>
  <c r="S23" i="986"/>
  <c r="T23" i="986"/>
  <c r="U23" i="986"/>
  <c r="V23" i="986"/>
  <c r="W23" i="986"/>
  <c r="X23" i="986"/>
  <c r="Y23" i="986"/>
  <c r="Z23" i="986"/>
  <c r="R24" i="986"/>
  <c r="S24" i="986"/>
  <c r="T24" i="986"/>
  <c r="U24" i="986"/>
  <c r="V24" i="986"/>
  <c r="W24" i="986"/>
  <c r="X24" i="986"/>
  <c r="Y24" i="986"/>
  <c r="Z24" i="986"/>
  <c r="R25" i="986"/>
  <c r="S25" i="986"/>
  <c r="T25" i="986"/>
  <c r="U25" i="986"/>
  <c r="V25" i="986"/>
  <c r="W25" i="986"/>
  <c r="X25" i="986"/>
  <c r="Y25" i="986"/>
  <c r="Z25" i="986"/>
  <c r="R26" i="986"/>
  <c r="S26" i="986"/>
  <c r="T26" i="986"/>
  <c r="U26" i="986"/>
  <c r="V26" i="986"/>
  <c r="W26" i="986"/>
  <c r="X26" i="986"/>
  <c r="Y26" i="986"/>
  <c r="Z26" i="986"/>
  <c r="I10" i="986"/>
  <c r="J10" i="986"/>
  <c r="L10" i="986"/>
  <c r="M10" i="986"/>
  <c r="N10" i="986"/>
  <c r="O10" i="986"/>
  <c r="I11" i="986"/>
  <c r="J11" i="986"/>
  <c r="L11" i="986"/>
  <c r="M11" i="986"/>
  <c r="N11" i="986"/>
  <c r="O11" i="986"/>
  <c r="I12" i="986"/>
  <c r="J13" i="986"/>
  <c r="L12" i="986"/>
  <c r="M12" i="986"/>
  <c r="N12" i="986"/>
  <c r="O12" i="986"/>
  <c r="I13" i="986"/>
  <c r="L13" i="986"/>
  <c r="M13" i="986"/>
  <c r="N13" i="986"/>
  <c r="O13" i="986"/>
  <c r="I14" i="986"/>
  <c r="J14" i="986"/>
  <c r="L14" i="986"/>
  <c r="M14" i="986"/>
  <c r="N14" i="986"/>
  <c r="O14" i="986"/>
  <c r="I15" i="986"/>
  <c r="J15" i="986"/>
  <c r="L15" i="986"/>
  <c r="M15" i="986"/>
  <c r="N15" i="986"/>
  <c r="O15" i="986"/>
  <c r="L16" i="986"/>
  <c r="M16" i="986"/>
  <c r="N16" i="986"/>
  <c r="O16" i="986"/>
  <c r="C10" i="986"/>
  <c r="D10" i="986"/>
  <c r="E10" i="986"/>
  <c r="F10" i="986"/>
  <c r="G10" i="986"/>
  <c r="C11" i="986"/>
  <c r="D11" i="986"/>
  <c r="E11" i="986"/>
  <c r="F11" i="986"/>
  <c r="G11" i="986"/>
  <c r="C12" i="986"/>
  <c r="D12" i="986"/>
  <c r="E12" i="986"/>
  <c r="F12" i="986"/>
  <c r="G12" i="986"/>
  <c r="C13" i="986"/>
  <c r="D13" i="986"/>
  <c r="E13" i="986"/>
  <c r="F13" i="986"/>
  <c r="G13" i="986"/>
  <c r="C14" i="986"/>
  <c r="D14" i="986"/>
  <c r="E14" i="986"/>
  <c r="F14" i="986"/>
  <c r="G14" i="986"/>
  <c r="C15" i="986"/>
  <c r="D15" i="986"/>
  <c r="E15" i="986"/>
  <c r="F15" i="986"/>
  <c r="G15" i="986"/>
  <c r="C16" i="986"/>
  <c r="D16" i="986"/>
  <c r="E16" i="986"/>
  <c r="F16" i="986"/>
  <c r="G16" i="986"/>
  <c r="AX58" i="986"/>
  <c r="AW58" i="986"/>
  <c r="AV58" i="986"/>
  <c r="AU58" i="986"/>
  <c r="AT58" i="986"/>
  <c r="AS58" i="986"/>
  <c r="AR58" i="986"/>
  <c r="AQ58" i="986"/>
  <c r="AP58" i="986"/>
  <c r="AO58" i="986"/>
  <c r="AN58" i="986"/>
  <c r="AM58" i="986"/>
  <c r="AL58" i="986"/>
  <c r="AK58" i="986"/>
  <c r="AJ58" i="986"/>
  <c r="AI58" i="986"/>
  <c r="AH58" i="986"/>
  <c r="AG58" i="986"/>
  <c r="AF58" i="986"/>
  <c r="AE58" i="986"/>
  <c r="AD58" i="986"/>
  <c r="AC58" i="986"/>
  <c r="AB58" i="986"/>
  <c r="AX57" i="986"/>
  <c r="AW57" i="986"/>
  <c r="AV57" i="986"/>
  <c r="AU57" i="986"/>
  <c r="AT57" i="986"/>
  <c r="AS57" i="986"/>
  <c r="AR57" i="986"/>
  <c r="AQ57" i="986"/>
  <c r="AP57" i="986"/>
  <c r="AO57" i="986"/>
  <c r="AN57" i="986"/>
  <c r="AM57" i="986"/>
  <c r="AL57" i="986"/>
  <c r="AK57" i="986"/>
  <c r="AJ57" i="986"/>
  <c r="AI57" i="986"/>
  <c r="AH57" i="986"/>
  <c r="AG57" i="986"/>
  <c r="AF57" i="986"/>
  <c r="AE57" i="986"/>
  <c r="AD57" i="986"/>
  <c r="AC57" i="986"/>
  <c r="AB57" i="986"/>
  <c r="AX56" i="986"/>
  <c r="AW56" i="986"/>
  <c r="AV56" i="986"/>
  <c r="AU56" i="986"/>
  <c r="AT56" i="986"/>
  <c r="AS56" i="986"/>
  <c r="AR56" i="986"/>
  <c r="AQ56" i="986"/>
  <c r="AP56" i="986"/>
  <c r="AO56" i="986"/>
  <c r="AN56" i="986"/>
  <c r="AM56" i="986"/>
  <c r="AL56" i="986"/>
  <c r="AK56" i="986"/>
  <c r="AJ56" i="986"/>
  <c r="AI56" i="986"/>
  <c r="AH56" i="986"/>
  <c r="AG56" i="986"/>
  <c r="AF56" i="986"/>
  <c r="AE56" i="986"/>
  <c r="AD56" i="986"/>
  <c r="AC56" i="986"/>
  <c r="AB56" i="986"/>
  <c r="K51" i="986"/>
  <c r="L42" i="986" s="1"/>
  <c r="M42" i="986" s="1"/>
  <c r="Z38" i="986"/>
  <c r="Y38" i="986"/>
  <c r="X38" i="986"/>
  <c r="W38" i="986"/>
  <c r="V38" i="986"/>
  <c r="U38" i="986"/>
  <c r="T38" i="986"/>
  <c r="S38" i="986"/>
  <c r="R38" i="986"/>
  <c r="Z37" i="986"/>
  <c r="Y37" i="986"/>
  <c r="X37" i="986"/>
  <c r="W37" i="986"/>
  <c r="V37" i="986"/>
  <c r="U37" i="986"/>
  <c r="T37" i="986"/>
  <c r="S37" i="986"/>
  <c r="R37" i="986"/>
  <c r="Z36" i="986"/>
  <c r="Y36" i="986"/>
  <c r="X36" i="986"/>
  <c r="W36" i="986"/>
  <c r="V36" i="986"/>
  <c r="U36" i="986"/>
  <c r="T36" i="986"/>
  <c r="S36" i="986"/>
  <c r="R36" i="986"/>
  <c r="Z35" i="986"/>
  <c r="Y35" i="986"/>
  <c r="X35" i="986"/>
  <c r="W35" i="986"/>
  <c r="V35" i="986"/>
  <c r="U35" i="986"/>
  <c r="T35" i="986"/>
  <c r="S35" i="986"/>
  <c r="R35" i="986"/>
  <c r="Z34" i="986"/>
  <c r="Y34" i="986"/>
  <c r="X34" i="986"/>
  <c r="W34" i="986"/>
  <c r="V34" i="986"/>
  <c r="U34" i="986"/>
  <c r="T34" i="986"/>
  <c r="S34" i="986"/>
  <c r="R34" i="986"/>
  <c r="Z33" i="986"/>
  <c r="Y33" i="986"/>
  <c r="X33" i="986"/>
  <c r="W33" i="986"/>
  <c r="V33" i="986"/>
  <c r="U33" i="986"/>
  <c r="T33" i="986"/>
  <c r="S33" i="986"/>
  <c r="R33" i="986"/>
  <c r="M33" i="986"/>
  <c r="Z32" i="986"/>
  <c r="Y32" i="986"/>
  <c r="X32" i="986"/>
  <c r="W32" i="986"/>
  <c r="V32" i="986"/>
  <c r="U32" i="986"/>
  <c r="T32" i="986"/>
  <c r="S32" i="986"/>
  <c r="R32" i="986"/>
  <c r="M32" i="986"/>
  <c r="L32" i="986"/>
  <c r="K32" i="986"/>
  <c r="Z31" i="986"/>
  <c r="Y31" i="986"/>
  <c r="X31" i="986"/>
  <c r="W31" i="986"/>
  <c r="V31" i="986"/>
  <c r="U31" i="986"/>
  <c r="T31" i="986"/>
  <c r="S31" i="986"/>
  <c r="R31" i="986"/>
  <c r="Z30" i="986"/>
  <c r="Y30" i="986"/>
  <c r="X30" i="986"/>
  <c r="W30" i="986"/>
  <c r="V30" i="986"/>
  <c r="U30" i="986"/>
  <c r="T30" i="986"/>
  <c r="S30" i="986"/>
  <c r="R30" i="986"/>
  <c r="M30" i="986"/>
  <c r="Z29" i="986"/>
  <c r="Y29" i="986"/>
  <c r="X29" i="986"/>
  <c r="W29" i="986"/>
  <c r="V29" i="986"/>
  <c r="U29" i="986"/>
  <c r="T29" i="986"/>
  <c r="S29" i="986"/>
  <c r="R29" i="986"/>
  <c r="M29" i="986"/>
  <c r="Z28" i="986"/>
  <c r="Y28" i="986"/>
  <c r="X28" i="986"/>
  <c r="W28" i="986"/>
  <c r="V28" i="986"/>
  <c r="U28" i="986"/>
  <c r="T28" i="986"/>
  <c r="S28" i="986"/>
  <c r="R28" i="986"/>
  <c r="M28" i="986"/>
  <c r="L28" i="986"/>
  <c r="K28" i="986"/>
  <c r="Z27" i="986"/>
  <c r="Y27" i="986"/>
  <c r="X27" i="986"/>
  <c r="W27" i="986"/>
  <c r="V27" i="986"/>
  <c r="U27" i="986"/>
  <c r="T27" i="986"/>
  <c r="S27" i="986"/>
  <c r="R27" i="986"/>
  <c r="Z11" i="986"/>
  <c r="Y11" i="986"/>
  <c r="X11" i="986"/>
  <c r="W11" i="986"/>
  <c r="V11" i="986"/>
  <c r="U11" i="986"/>
  <c r="T11" i="986"/>
  <c r="S11" i="986"/>
  <c r="R11" i="986"/>
  <c r="Z10" i="986"/>
  <c r="Y10" i="986"/>
  <c r="X10" i="986"/>
  <c r="W10" i="986"/>
  <c r="V10" i="986"/>
  <c r="U10" i="986"/>
  <c r="T10" i="986"/>
  <c r="S10" i="986"/>
  <c r="R10" i="986"/>
  <c r="G64" i="985"/>
  <c r="B64" i="985"/>
  <c r="K60" i="985"/>
  <c r="G56" i="981"/>
  <c r="G59" i="983"/>
  <c r="G53" i="984"/>
  <c r="G55" i="984"/>
  <c r="G60" i="985"/>
  <c r="G62" i="985"/>
  <c r="G58" i="980"/>
  <c r="G58" i="981"/>
  <c r="E62" i="985"/>
  <c r="E60" i="985"/>
  <c r="B62" i="985"/>
  <c r="B60" i="985"/>
  <c r="L46" i="985"/>
  <c r="J55" i="985"/>
  <c r="L39" i="984"/>
  <c r="M36" i="985"/>
  <c r="L36" i="985"/>
  <c r="K36" i="985"/>
  <c r="C20" i="985"/>
  <c r="D20" i="985"/>
  <c r="E20" i="985"/>
  <c r="F20" i="985"/>
  <c r="G20" i="985"/>
  <c r="I20" i="985"/>
  <c r="J20" i="985"/>
  <c r="L20" i="985"/>
  <c r="M20" i="985"/>
  <c r="N20" i="985"/>
  <c r="O20" i="985"/>
  <c r="C21" i="985"/>
  <c r="D21" i="985"/>
  <c r="E21" i="985"/>
  <c r="F21" i="985"/>
  <c r="G21" i="985"/>
  <c r="I21" i="985"/>
  <c r="J21" i="985"/>
  <c r="L21" i="985"/>
  <c r="M21" i="985"/>
  <c r="N21" i="985"/>
  <c r="O21" i="985"/>
  <c r="C22" i="985"/>
  <c r="D22" i="985"/>
  <c r="E22" i="985"/>
  <c r="F22" i="985"/>
  <c r="G22" i="985"/>
  <c r="I22" i="985"/>
  <c r="J22" i="985"/>
  <c r="L22" i="985"/>
  <c r="M22" i="985"/>
  <c r="N22" i="985"/>
  <c r="O22" i="985"/>
  <c r="O19" i="985"/>
  <c r="N19" i="985"/>
  <c r="M19" i="985"/>
  <c r="L19" i="985"/>
  <c r="J19" i="985"/>
  <c r="I19" i="985"/>
  <c r="G19" i="985"/>
  <c r="F19" i="985"/>
  <c r="E19" i="985"/>
  <c r="D19" i="985"/>
  <c r="C19" i="985"/>
  <c r="M24" i="984"/>
  <c r="L24" i="984"/>
  <c r="K24" i="984"/>
  <c r="R10" i="985"/>
  <c r="S10" i="985"/>
  <c r="T10" i="985"/>
  <c r="U10" i="985"/>
  <c r="V10" i="985"/>
  <c r="W10" i="985"/>
  <c r="X10" i="985"/>
  <c r="Y10" i="985"/>
  <c r="Z10" i="985"/>
  <c r="R11" i="985"/>
  <c r="S11" i="985"/>
  <c r="T11" i="985"/>
  <c r="U11" i="985"/>
  <c r="V11" i="985"/>
  <c r="W11" i="985"/>
  <c r="X11" i="985"/>
  <c r="Y11" i="985"/>
  <c r="Z11" i="985"/>
  <c r="R12" i="985"/>
  <c r="S12" i="985"/>
  <c r="T12" i="985"/>
  <c r="U12" i="985"/>
  <c r="V12" i="985"/>
  <c r="W12" i="985"/>
  <c r="X12" i="985"/>
  <c r="Y12" i="985"/>
  <c r="Z12" i="985"/>
  <c r="R13" i="985"/>
  <c r="S13" i="985"/>
  <c r="T13" i="985"/>
  <c r="U13" i="985"/>
  <c r="V13" i="985"/>
  <c r="W13" i="985"/>
  <c r="X13" i="985"/>
  <c r="Y13" i="985"/>
  <c r="Z13" i="985"/>
  <c r="R14" i="985"/>
  <c r="S14" i="985"/>
  <c r="T14" i="985"/>
  <c r="U14" i="985"/>
  <c r="V14" i="985"/>
  <c r="W14" i="985"/>
  <c r="X14" i="985"/>
  <c r="Y14" i="985"/>
  <c r="Z14" i="985"/>
  <c r="R15" i="985"/>
  <c r="S15" i="985"/>
  <c r="T15" i="985"/>
  <c r="U15" i="985"/>
  <c r="V15" i="985"/>
  <c r="W15" i="985"/>
  <c r="X15" i="985"/>
  <c r="Y15" i="985"/>
  <c r="Z15" i="985"/>
  <c r="R16" i="985"/>
  <c r="S16" i="985"/>
  <c r="T16" i="985"/>
  <c r="U16" i="985"/>
  <c r="V16" i="985"/>
  <c r="W16" i="985"/>
  <c r="X16" i="985"/>
  <c r="Y16" i="985"/>
  <c r="Z16" i="985"/>
  <c r="R17" i="985"/>
  <c r="S17" i="985"/>
  <c r="T17" i="985"/>
  <c r="U17" i="985"/>
  <c r="V17" i="985"/>
  <c r="W17" i="985"/>
  <c r="X17" i="985"/>
  <c r="Y17" i="985"/>
  <c r="Z17" i="985"/>
  <c r="I10" i="985"/>
  <c r="J10" i="985"/>
  <c r="L10" i="985"/>
  <c r="M10" i="985"/>
  <c r="N10" i="985"/>
  <c r="O10" i="985"/>
  <c r="I11" i="985"/>
  <c r="J11" i="985"/>
  <c r="L11" i="985"/>
  <c r="M11" i="985"/>
  <c r="N11" i="985"/>
  <c r="O11" i="985"/>
  <c r="I12" i="985"/>
  <c r="J12" i="985"/>
  <c r="L12" i="985"/>
  <c r="M12" i="985"/>
  <c r="N12" i="985"/>
  <c r="O12" i="985"/>
  <c r="I13" i="985"/>
  <c r="J13" i="985"/>
  <c r="L13" i="985"/>
  <c r="M13" i="985"/>
  <c r="N13" i="985"/>
  <c r="O13" i="985"/>
  <c r="I14" i="985"/>
  <c r="J14" i="985"/>
  <c r="L14" i="985"/>
  <c r="M14" i="985"/>
  <c r="N14" i="985"/>
  <c r="O14" i="985"/>
  <c r="I15" i="985"/>
  <c r="J15" i="985"/>
  <c r="L15" i="985"/>
  <c r="M15" i="985"/>
  <c r="N15" i="985"/>
  <c r="O15" i="985"/>
  <c r="I16" i="985"/>
  <c r="J16" i="985"/>
  <c r="L16" i="985"/>
  <c r="M16" i="985"/>
  <c r="N16" i="985"/>
  <c r="O16" i="985"/>
  <c r="C15" i="985"/>
  <c r="D15" i="985"/>
  <c r="E15" i="985"/>
  <c r="F15" i="985"/>
  <c r="G15" i="985"/>
  <c r="C16" i="985"/>
  <c r="D16" i="985"/>
  <c r="E16" i="985"/>
  <c r="F16" i="985"/>
  <c r="G16" i="985"/>
  <c r="C10" i="985"/>
  <c r="D10" i="985"/>
  <c r="E10" i="985"/>
  <c r="F10" i="985"/>
  <c r="G10" i="985"/>
  <c r="C11" i="985"/>
  <c r="D11" i="985"/>
  <c r="E11" i="985"/>
  <c r="F11" i="985"/>
  <c r="G11" i="985"/>
  <c r="C12" i="985"/>
  <c r="D12" i="985"/>
  <c r="E12" i="985"/>
  <c r="F12" i="985"/>
  <c r="G12" i="985"/>
  <c r="C13" i="985"/>
  <c r="D13" i="985"/>
  <c r="E13" i="985"/>
  <c r="F13" i="985"/>
  <c r="G13" i="985"/>
  <c r="C14" i="985"/>
  <c r="D14" i="985"/>
  <c r="E14" i="985"/>
  <c r="F14" i="985"/>
  <c r="G14" i="985"/>
  <c r="R16" i="984"/>
  <c r="S16" i="984"/>
  <c r="T16" i="984"/>
  <c r="U16" i="984"/>
  <c r="V16" i="984"/>
  <c r="W16" i="984"/>
  <c r="X16" i="984"/>
  <c r="Y16" i="984"/>
  <c r="Z16" i="984"/>
  <c r="R17" i="984"/>
  <c r="S17" i="984"/>
  <c r="T17" i="984"/>
  <c r="U17" i="984"/>
  <c r="V17" i="984"/>
  <c r="W17" i="984"/>
  <c r="X17" i="984"/>
  <c r="Y17" i="984"/>
  <c r="Z17" i="984"/>
  <c r="R18" i="984"/>
  <c r="S18" i="984"/>
  <c r="T18" i="984"/>
  <c r="U18" i="984"/>
  <c r="V18" i="984"/>
  <c r="W18" i="984"/>
  <c r="X18" i="984"/>
  <c r="Y18" i="984"/>
  <c r="Z18" i="984"/>
  <c r="R19" i="984"/>
  <c r="S19" i="984"/>
  <c r="T19" i="984"/>
  <c r="U19" i="984"/>
  <c r="V19" i="984"/>
  <c r="W19" i="984"/>
  <c r="X19" i="984"/>
  <c r="Y19" i="984"/>
  <c r="Z19" i="984"/>
  <c r="R20" i="984"/>
  <c r="S20" i="984"/>
  <c r="T20" i="984"/>
  <c r="U20" i="984"/>
  <c r="V20" i="984"/>
  <c r="W20" i="984"/>
  <c r="X20" i="984"/>
  <c r="Y20" i="984"/>
  <c r="Z20" i="984"/>
  <c r="C20" i="984"/>
  <c r="D20" i="984"/>
  <c r="E20" i="984"/>
  <c r="F20" i="984"/>
  <c r="G20" i="984"/>
  <c r="I20" i="984"/>
  <c r="J24" i="984" s="1"/>
  <c r="J20" i="984"/>
  <c r="L20" i="984"/>
  <c r="M20" i="984"/>
  <c r="N20" i="984"/>
  <c r="O20" i="984"/>
  <c r="AX62" i="985"/>
  <c r="AW62" i="985"/>
  <c r="AV62" i="985"/>
  <c r="AU62" i="985"/>
  <c r="AT62" i="985"/>
  <c r="AS62" i="985"/>
  <c r="AR62" i="985"/>
  <c r="AQ62" i="985"/>
  <c r="AP62" i="985"/>
  <c r="AO62" i="985"/>
  <c r="AN62" i="985"/>
  <c r="AM62" i="985"/>
  <c r="AL62" i="985"/>
  <c r="AK62" i="985"/>
  <c r="AJ62" i="985"/>
  <c r="AI62" i="985"/>
  <c r="AH62" i="985"/>
  <c r="AG62" i="985"/>
  <c r="AF62" i="985"/>
  <c r="AE62" i="985"/>
  <c r="AD62" i="985"/>
  <c r="AC62" i="985"/>
  <c r="AB62" i="985"/>
  <c r="AX61" i="985"/>
  <c r="AW61" i="985"/>
  <c r="AV61" i="985"/>
  <c r="AU61" i="985"/>
  <c r="AT61" i="985"/>
  <c r="AS61" i="985"/>
  <c r="AR61" i="985"/>
  <c r="AQ61" i="985"/>
  <c r="AP61" i="985"/>
  <c r="AO61" i="985"/>
  <c r="AN61" i="985"/>
  <c r="AM61" i="985"/>
  <c r="AL61" i="985"/>
  <c r="AK61" i="985"/>
  <c r="AJ61" i="985"/>
  <c r="AI61" i="985"/>
  <c r="AH61" i="985"/>
  <c r="AG61" i="985"/>
  <c r="AF61" i="985"/>
  <c r="AE61" i="985"/>
  <c r="AD61" i="985"/>
  <c r="AC61" i="985"/>
  <c r="AB61" i="985"/>
  <c r="AX60" i="985"/>
  <c r="AW60" i="985"/>
  <c r="AV60" i="985"/>
  <c r="AU60" i="985"/>
  <c r="AT60" i="985"/>
  <c r="AS60" i="985"/>
  <c r="AR60" i="985"/>
  <c r="AQ60" i="985"/>
  <c r="AP60" i="985"/>
  <c r="AO60" i="985"/>
  <c r="AN60" i="985"/>
  <c r="AM60" i="985"/>
  <c r="AL60" i="985"/>
  <c r="AK60" i="985"/>
  <c r="AJ60" i="985"/>
  <c r="AI60" i="985"/>
  <c r="AH60" i="985"/>
  <c r="AG60" i="985"/>
  <c r="AF60" i="985"/>
  <c r="AE60" i="985"/>
  <c r="AD60" i="985"/>
  <c r="AC60" i="985"/>
  <c r="AB60" i="985"/>
  <c r="K55" i="985"/>
  <c r="Z42" i="985"/>
  <c r="Y42" i="985"/>
  <c r="X42" i="985"/>
  <c r="W42" i="985"/>
  <c r="V42" i="985"/>
  <c r="U42" i="985"/>
  <c r="T42" i="985"/>
  <c r="S42" i="985"/>
  <c r="R42" i="985"/>
  <c r="Z41" i="985"/>
  <c r="Y41" i="985"/>
  <c r="X41" i="985"/>
  <c r="W41" i="985"/>
  <c r="V41" i="985"/>
  <c r="U41" i="985"/>
  <c r="T41" i="985"/>
  <c r="S41" i="985"/>
  <c r="R41" i="985"/>
  <c r="Z40" i="985"/>
  <c r="Y40" i="985"/>
  <c r="X40" i="985"/>
  <c r="W40" i="985"/>
  <c r="V40" i="985"/>
  <c r="U40" i="985"/>
  <c r="T40" i="985"/>
  <c r="S40" i="985"/>
  <c r="R40" i="985"/>
  <c r="Z39" i="985"/>
  <c r="Y39" i="985"/>
  <c r="X39" i="985"/>
  <c r="W39" i="985"/>
  <c r="V39" i="985"/>
  <c r="U39" i="985"/>
  <c r="T39" i="985"/>
  <c r="S39" i="985"/>
  <c r="R39" i="985"/>
  <c r="Z38" i="985"/>
  <c r="Y38" i="985"/>
  <c r="X38" i="985"/>
  <c r="W38" i="985"/>
  <c r="V38" i="985"/>
  <c r="U38" i="985"/>
  <c r="T38" i="985"/>
  <c r="S38" i="985"/>
  <c r="R38" i="985"/>
  <c r="Z37" i="985"/>
  <c r="Y37" i="985"/>
  <c r="X37" i="985"/>
  <c r="W37" i="985"/>
  <c r="V37" i="985"/>
  <c r="U37" i="985"/>
  <c r="T37" i="985"/>
  <c r="S37" i="985"/>
  <c r="R37" i="985"/>
  <c r="M37" i="985"/>
  <c r="Z36" i="985"/>
  <c r="Y36" i="985"/>
  <c r="X36" i="985"/>
  <c r="W36" i="985"/>
  <c r="V36" i="985"/>
  <c r="U36" i="985"/>
  <c r="T36" i="985"/>
  <c r="S36" i="985"/>
  <c r="R36" i="985"/>
  <c r="Z35" i="985"/>
  <c r="Y35" i="985"/>
  <c r="X35" i="985"/>
  <c r="W35" i="985"/>
  <c r="V35" i="985"/>
  <c r="U35" i="985"/>
  <c r="T35" i="985"/>
  <c r="S35" i="985"/>
  <c r="R35" i="985"/>
  <c r="Z34" i="985"/>
  <c r="Y34" i="985"/>
  <c r="X34" i="985"/>
  <c r="W34" i="985"/>
  <c r="V34" i="985"/>
  <c r="U34" i="985"/>
  <c r="T34" i="985"/>
  <c r="S34" i="985"/>
  <c r="R34" i="985"/>
  <c r="M34" i="985"/>
  <c r="Z33" i="985"/>
  <c r="Y33" i="985"/>
  <c r="X33" i="985"/>
  <c r="W33" i="985"/>
  <c r="V33" i="985"/>
  <c r="U33" i="985"/>
  <c r="T33" i="985"/>
  <c r="S33" i="985"/>
  <c r="R33" i="985"/>
  <c r="M33" i="985"/>
  <c r="Z32" i="985"/>
  <c r="Y32" i="985"/>
  <c r="X32" i="985"/>
  <c r="W32" i="985"/>
  <c r="V32" i="985"/>
  <c r="U32" i="985"/>
  <c r="T32" i="985"/>
  <c r="S32" i="985"/>
  <c r="R32" i="985"/>
  <c r="M32" i="985"/>
  <c r="L32" i="985"/>
  <c r="K32" i="985"/>
  <c r="Z31" i="985"/>
  <c r="Y31" i="985"/>
  <c r="X31" i="985"/>
  <c r="W31" i="985"/>
  <c r="V31" i="985"/>
  <c r="U31" i="985"/>
  <c r="T31" i="985"/>
  <c r="S31" i="985"/>
  <c r="R31" i="985"/>
  <c r="M31" i="985"/>
  <c r="L31" i="985"/>
  <c r="K31" i="985"/>
  <c r="Z30" i="985"/>
  <c r="Y30" i="985"/>
  <c r="X30" i="985"/>
  <c r="W30" i="985"/>
  <c r="V30" i="985"/>
  <c r="U30" i="985"/>
  <c r="T30" i="985"/>
  <c r="S30" i="985"/>
  <c r="R30" i="985"/>
  <c r="Z29" i="985"/>
  <c r="Y29" i="985"/>
  <c r="X29" i="985"/>
  <c r="W29" i="985"/>
  <c r="V29" i="985"/>
  <c r="U29" i="985"/>
  <c r="T29" i="985"/>
  <c r="S29" i="985"/>
  <c r="R29" i="985"/>
  <c r="Z28" i="985"/>
  <c r="Y28" i="985"/>
  <c r="X28" i="985"/>
  <c r="W28" i="985"/>
  <c r="V28" i="985"/>
  <c r="U28" i="985"/>
  <c r="T28" i="985"/>
  <c r="S28" i="985"/>
  <c r="R28" i="985"/>
  <c r="Z27" i="985"/>
  <c r="Y27" i="985"/>
  <c r="X27" i="985"/>
  <c r="W27" i="985"/>
  <c r="V27" i="985"/>
  <c r="U27" i="985"/>
  <c r="T27" i="985"/>
  <c r="S27" i="985"/>
  <c r="R27" i="985"/>
  <c r="Z26" i="985"/>
  <c r="Y26" i="985"/>
  <c r="X26" i="985"/>
  <c r="W26" i="985"/>
  <c r="V26" i="985"/>
  <c r="U26" i="985"/>
  <c r="T26" i="985"/>
  <c r="S26" i="985"/>
  <c r="R26" i="985"/>
  <c r="Z25" i="985"/>
  <c r="Y25" i="985"/>
  <c r="X25" i="985"/>
  <c r="W25" i="985"/>
  <c r="V25" i="985"/>
  <c r="U25" i="985"/>
  <c r="T25" i="985"/>
  <c r="S25" i="985"/>
  <c r="R25" i="985"/>
  <c r="Z24" i="985"/>
  <c r="Y24" i="985"/>
  <c r="X24" i="985"/>
  <c r="W24" i="985"/>
  <c r="V24" i="985"/>
  <c r="U24" i="985"/>
  <c r="T24" i="985"/>
  <c r="S24" i="985"/>
  <c r="R24" i="985"/>
  <c r="Z23" i="985"/>
  <c r="Y23" i="985"/>
  <c r="X23" i="985"/>
  <c r="W23" i="985"/>
  <c r="V23" i="985"/>
  <c r="U23" i="985"/>
  <c r="T23" i="985"/>
  <c r="S23" i="985"/>
  <c r="R23" i="985"/>
  <c r="Z22" i="985"/>
  <c r="Y22" i="985"/>
  <c r="X22" i="985"/>
  <c r="W22" i="985"/>
  <c r="V22" i="985"/>
  <c r="U22" i="985"/>
  <c r="T22" i="985"/>
  <c r="S22" i="985"/>
  <c r="R22" i="985"/>
  <c r="Z21" i="985"/>
  <c r="Y21" i="985"/>
  <c r="X21" i="985"/>
  <c r="W21" i="985"/>
  <c r="V21" i="985"/>
  <c r="U21" i="985"/>
  <c r="T21" i="985"/>
  <c r="S21" i="985"/>
  <c r="R21" i="985"/>
  <c r="Z20" i="985"/>
  <c r="Y20" i="985"/>
  <c r="X20" i="985"/>
  <c r="W20" i="985"/>
  <c r="V20" i="985"/>
  <c r="U20" i="985"/>
  <c r="T20" i="985"/>
  <c r="S20" i="985"/>
  <c r="R20" i="985"/>
  <c r="Z19" i="985"/>
  <c r="Y19" i="985"/>
  <c r="X19" i="985"/>
  <c r="W19" i="985"/>
  <c r="V19" i="985"/>
  <c r="U19" i="985"/>
  <c r="T19" i="985"/>
  <c r="S19" i="985"/>
  <c r="R19" i="985"/>
  <c r="Z18" i="985"/>
  <c r="Y18" i="985"/>
  <c r="X18" i="985"/>
  <c r="W18" i="985"/>
  <c r="V18" i="985"/>
  <c r="U18" i="985"/>
  <c r="T18" i="985"/>
  <c r="S18" i="985"/>
  <c r="R18" i="985"/>
  <c r="K55" i="984"/>
  <c r="B55" i="984"/>
  <c r="K53" i="984"/>
  <c r="B53" i="984"/>
  <c r="K25" i="984"/>
  <c r="K10" i="984"/>
  <c r="L10" i="984"/>
  <c r="M10" i="984"/>
  <c r="O10" i="984"/>
  <c r="K11" i="984"/>
  <c r="L11" i="984"/>
  <c r="M11" i="984"/>
  <c r="O11" i="984"/>
  <c r="K12" i="984"/>
  <c r="L12" i="984"/>
  <c r="M12" i="984"/>
  <c r="N12" i="984"/>
  <c r="O12" i="984"/>
  <c r="K13" i="984"/>
  <c r="L13" i="984"/>
  <c r="M13" i="984"/>
  <c r="O13" i="984"/>
  <c r="K14" i="984"/>
  <c r="L14" i="984"/>
  <c r="M14" i="984"/>
  <c r="O14" i="984"/>
  <c r="K15" i="984"/>
  <c r="L15" i="984"/>
  <c r="M15" i="984"/>
  <c r="O15" i="984"/>
  <c r="K16" i="984"/>
  <c r="L16" i="984"/>
  <c r="M16" i="984"/>
  <c r="N16" i="984"/>
  <c r="O16" i="984"/>
  <c r="K17" i="984"/>
  <c r="L17" i="984"/>
  <c r="M17" i="984"/>
  <c r="N17" i="984"/>
  <c r="O17" i="984"/>
  <c r="C10" i="984"/>
  <c r="D10" i="984"/>
  <c r="E10" i="984"/>
  <c r="F10" i="984"/>
  <c r="G10" i="984"/>
  <c r="C11" i="984"/>
  <c r="D11" i="984"/>
  <c r="E11" i="984"/>
  <c r="F11" i="984"/>
  <c r="G11" i="984"/>
  <c r="C12" i="984"/>
  <c r="D12" i="984"/>
  <c r="E12" i="984"/>
  <c r="F12" i="984"/>
  <c r="G12" i="984"/>
  <c r="C13" i="984"/>
  <c r="D13" i="984"/>
  <c r="E13" i="984"/>
  <c r="F13" i="984"/>
  <c r="G13" i="984"/>
  <c r="C14" i="984"/>
  <c r="D14" i="984"/>
  <c r="E14" i="984"/>
  <c r="F14" i="984"/>
  <c r="G14" i="984"/>
  <c r="C15" i="984"/>
  <c r="D15" i="984"/>
  <c r="E15" i="984"/>
  <c r="F15" i="984"/>
  <c r="G15" i="984"/>
  <c r="C16" i="984"/>
  <c r="D16" i="984"/>
  <c r="E16" i="984"/>
  <c r="F16" i="984"/>
  <c r="G16" i="984"/>
  <c r="C17" i="984"/>
  <c r="D17" i="984"/>
  <c r="E17" i="984"/>
  <c r="F17" i="984"/>
  <c r="G17" i="984"/>
  <c r="L57" i="984"/>
  <c r="AX55" i="984"/>
  <c r="AW55" i="984"/>
  <c r="AV55" i="984"/>
  <c r="AU55" i="984"/>
  <c r="AT55" i="984"/>
  <c r="AS55" i="984"/>
  <c r="AR55" i="984"/>
  <c r="AQ55" i="984"/>
  <c r="AP55" i="984"/>
  <c r="AO55" i="984"/>
  <c r="AN55" i="984"/>
  <c r="AM55" i="984"/>
  <c r="AL55" i="984"/>
  <c r="AK55" i="984"/>
  <c r="AJ55" i="984"/>
  <c r="AI55" i="984"/>
  <c r="AH55" i="984"/>
  <c r="AG55" i="984"/>
  <c r="AF55" i="984"/>
  <c r="AE55" i="984"/>
  <c r="AD55" i="984"/>
  <c r="AC55" i="984"/>
  <c r="AB55" i="984"/>
  <c r="AX54" i="984"/>
  <c r="AW54" i="984"/>
  <c r="AV54" i="984"/>
  <c r="AU54" i="984"/>
  <c r="AT54" i="984"/>
  <c r="AS54" i="984"/>
  <c r="AR54" i="984"/>
  <c r="AQ54" i="984"/>
  <c r="AP54" i="984"/>
  <c r="AO54" i="984"/>
  <c r="AN54" i="984"/>
  <c r="AM54" i="984"/>
  <c r="AL54" i="984"/>
  <c r="AK54" i="984"/>
  <c r="AJ54" i="984"/>
  <c r="AI54" i="984"/>
  <c r="AH54" i="984"/>
  <c r="AG54" i="984"/>
  <c r="AF54" i="984"/>
  <c r="AE54" i="984"/>
  <c r="AD54" i="984"/>
  <c r="AC54" i="984"/>
  <c r="AB54" i="984"/>
  <c r="AX53" i="984"/>
  <c r="AW53" i="984"/>
  <c r="AV53" i="984"/>
  <c r="AU53" i="984"/>
  <c r="AT53" i="984"/>
  <c r="AS53" i="984"/>
  <c r="AR53" i="984"/>
  <c r="AQ53" i="984"/>
  <c r="AP53" i="984"/>
  <c r="AO53" i="984"/>
  <c r="AN53" i="984"/>
  <c r="AM53" i="984"/>
  <c r="AL53" i="984"/>
  <c r="AK53" i="984"/>
  <c r="AJ53" i="984"/>
  <c r="AI53" i="984"/>
  <c r="AH53" i="984"/>
  <c r="AG53" i="984"/>
  <c r="AF53" i="984"/>
  <c r="AE53" i="984"/>
  <c r="AD53" i="984"/>
  <c r="AC53" i="984"/>
  <c r="AB53" i="984"/>
  <c r="K48" i="984"/>
  <c r="Z35" i="984"/>
  <c r="Y35" i="984"/>
  <c r="X35" i="984"/>
  <c r="W35" i="984"/>
  <c r="V35" i="984"/>
  <c r="U35" i="984"/>
  <c r="T35" i="984"/>
  <c r="S35" i="984"/>
  <c r="R35" i="984"/>
  <c r="Z34" i="984"/>
  <c r="Y34" i="984"/>
  <c r="X34" i="984"/>
  <c r="W34" i="984"/>
  <c r="V34" i="984"/>
  <c r="U34" i="984"/>
  <c r="T34" i="984"/>
  <c r="S34" i="984"/>
  <c r="R34" i="984"/>
  <c r="Z33" i="984"/>
  <c r="Y33" i="984"/>
  <c r="X33" i="984"/>
  <c r="W33" i="984"/>
  <c r="V33" i="984"/>
  <c r="U33" i="984"/>
  <c r="T33" i="984"/>
  <c r="S33" i="984"/>
  <c r="R33" i="984"/>
  <c r="Z32" i="984"/>
  <c r="Y32" i="984"/>
  <c r="X32" i="984"/>
  <c r="W32" i="984"/>
  <c r="V32" i="984"/>
  <c r="U32" i="984"/>
  <c r="T32" i="984"/>
  <c r="S32" i="984"/>
  <c r="R32" i="984"/>
  <c r="Z31" i="984"/>
  <c r="Y31" i="984"/>
  <c r="X31" i="984"/>
  <c r="W31" i="984"/>
  <c r="V31" i="984"/>
  <c r="U31" i="984"/>
  <c r="T31" i="984"/>
  <c r="S31" i="984"/>
  <c r="R31" i="984"/>
  <c r="Z30" i="984"/>
  <c r="Y30" i="984"/>
  <c r="X30" i="984"/>
  <c r="W30" i="984"/>
  <c r="V30" i="984"/>
  <c r="U30" i="984"/>
  <c r="T30" i="984"/>
  <c r="S30" i="984"/>
  <c r="R30" i="984"/>
  <c r="M30" i="984"/>
  <c r="Z29" i="984"/>
  <c r="Y29" i="984"/>
  <c r="X29" i="984"/>
  <c r="W29" i="984"/>
  <c r="V29" i="984"/>
  <c r="U29" i="984"/>
  <c r="T29" i="984"/>
  <c r="S29" i="984"/>
  <c r="R29" i="984"/>
  <c r="M29" i="984"/>
  <c r="Z28" i="984"/>
  <c r="Y28" i="984"/>
  <c r="X28" i="984"/>
  <c r="W28" i="984"/>
  <c r="V28" i="984"/>
  <c r="U28" i="984"/>
  <c r="T28" i="984"/>
  <c r="S28" i="984"/>
  <c r="R28" i="984"/>
  <c r="Z27" i="984"/>
  <c r="Y27" i="984"/>
  <c r="X27" i="984"/>
  <c r="W27" i="984"/>
  <c r="V27" i="984"/>
  <c r="U27" i="984"/>
  <c r="T27" i="984"/>
  <c r="S27" i="984"/>
  <c r="R27" i="984"/>
  <c r="M27" i="984"/>
  <c r="Z26" i="984"/>
  <c r="Y26" i="984"/>
  <c r="X26" i="984"/>
  <c r="W26" i="984"/>
  <c r="V26" i="984"/>
  <c r="U26" i="984"/>
  <c r="T26" i="984"/>
  <c r="S26" i="984"/>
  <c r="R26" i="984"/>
  <c r="M26" i="984"/>
  <c r="Z25" i="984"/>
  <c r="Y25" i="984"/>
  <c r="X25" i="984"/>
  <c r="W25" i="984"/>
  <c r="V25" i="984"/>
  <c r="U25" i="984"/>
  <c r="T25" i="984"/>
  <c r="S25" i="984"/>
  <c r="R25" i="984"/>
  <c r="Z24" i="984"/>
  <c r="Y24" i="984"/>
  <c r="X24" i="984"/>
  <c r="W24" i="984"/>
  <c r="V24" i="984"/>
  <c r="U24" i="984"/>
  <c r="T24" i="984"/>
  <c r="S24" i="984"/>
  <c r="R24" i="984"/>
  <c r="Z23" i="984"/>
  <c r="Y23" i="984"/>
  <c r="X23" i="984"/>
  <c r="W23" i="984"/>
  <c r="V23" i="984"/>
  <c r="U23" i="984"/>
  <c r="T23" i="984"/>
  <c r="S23" i="984"/>
  <c r="R23" i="984"/>
  <c r="Z22" i="984"/>
  <c r="Y22" i="984"/>
  <c r="X22" i="984"/>
  <c r="W22" i="984"/>
  <c r="V22" i="984"/>
  <c r="U22" i="984"/>
  <c r="T22" i="984"/>
  <c r="S22" i="984"/>
  <c r="R22" i="984"/>
  <c r="Z21" i="984"/>
  <c r="Y21" i="984"/>
  <c r="X21" i="984"/>
  <c r="W21" i="984"/>
  <c r="V21" i="984"/>
  <c r="U21" i="984"/>
  <c r="T21" i="984"/>
  <c r="S21" i="984"/>
  <c r="R21" i="984"/>
  <c r="Z15" i="984"/>
  <c r="Y15" i="984"/>
  <c r="X15" i="984"/>
  <c r="W15" i="984"/>
  <c r="V15" i="984"/>
  <c r="U15" i="984"/>
  <c r="T15" i="984"/>
  <c r="S15" i="984"/>
  <c r="R15" i="984"/>
  <c r="Z14" i="984"/>
  <c r="Y14" i="984"/>
  <c r="X14" i="984"/>
  <c r="W14" i="984"/>
  <c r="V14" i="984"/>
  <c r="U14" i="984"/>
  <c r="T14" i="984"/>
  <c r="S14" i="984"/>
  <c r="R14" i="984"/>
  <c r="Z13" i="984"/>
  <c r="Y13" i="984"/>
  <c r="X13" i="984"/>
  <c r="W13" i="984"/>
  <c r="V13" i="984"/>
  <c r="U13" i="984"/>
  <c r="T13" i="984"/>
  <c r="S13" i="984"/>
  <c r="R13" i="984"/>
  <c r="Z12" i="984"/>
  <c r="Y12" i="984"/>
  <c r="X12" i="984"/>
  <c r="W12" i="984"/>
  <c r="V12" i="984"/>
  <c r="U12" i="984"/>
  <c r="T12" i="984"/>
  <c r="S12" i="984"/>
  <c r="R12" i="984"/>
  <c r="Z11" i="984"/>
  <c r="Y11" i="984"/>
  <c r="X11" i="984"/>
  <c r="W11" i="984"/>
  <c r="V11" i="984"/>
  <c r="U11" i="984"/>
  <c r="T11" i="984"/>
  <c r="S11" i="984"/>
  <c r="R11" i="984"/>
  <c r="Z10" i="984"/>
  <c r="Y10" i="984"/>
  <c r="X10" i="984"/>
  <c r="W10" i="984"/>
  <c r="V10" i="984"/>
  <c r="U10" i="984"/>
  <c r="T10" i="984"/>
  <c r="S10" i="984"/>
  <c r="R10" i="984"/>
  <c r="L38" i="982"/>
  <c r="L42" i="981"/>
  <c r="L45" i="983"/>
  <c r="L44" i="980"/>
  <c r="B58" i="980"/>
  <c r="J53" i="980"/>
  <c r="M31" i="983"/>
  <c r="L31" i="983"/>
  <c r="K31" i="983"/>
  <c r="R13" i="983"/>
  <c r="S13" i="983"/>
  <c r="T13" i="983"/>
  <c r="U13" i="983"/>
  <c r="V13" i="983"/>
  <c r="W13" i="983"/>
  <c r="X13" i="983"/>
  <c r="Y13" i="983"/>
  <c r="Z13" i="983"/>
  <c r="R14" i="983"/>
  <c r="S14" i="983"/>
  <c r="T14" i="983"/>
  <c r="U14" i="983"/>
  <c r="V14" i="983"/>
  <c r="W14" i="983"/>
  <c r="X14" i="983"/>
  <c r="Y14" i="983"/>
  <c r="Z14" i="983"/>
  <c r="R15" i="983"/>
  <c r="S15" i="983"/>
  <c r="T15" i="983"/>
  <c r="U15" i="983"/>
  <c r="V15" i="983"/>
  <c r="W15" i="983"/>
  <c r="X15" i="983"/>
  <c r="Y15" i="983"/>
  <c r="Z15" i="983"/>
  <c r="R16" i="983"/>
  <c r="S16" i="983"/>
  <c r="T16" i="983"/>
  <c r="U16" i="983"/>
  <c r="V16" i="983"/>
  <c r="W16" i="983"/>
  <c r="X16" i="983"/>
  <c r="Y16" i="983"/>
  <c r="Z16" i="983"/>
  <c r="R17" i="983"/>
  <c r="S17" i="983"/>
  <c r="T17" i="983"/>
  <c r="U17" i="983"/>
  <c r="V17" i="983"/>
  <c r="W17" i="983"/>
  <c r="X17" i="983"/>
  <c r="Y17" i="983"/>
  <c r="Z17" i="983"/>
  <c r="R18" i="983"/>
  <c r="S18" i="983"/>
  <c r="T18" i="983"/>
  <c r="U18" i="983"/>
  <c r="V18" i="983"/>
  <c r="W18" i="983"/>
  <c r="X18" i="983"/>
  <c r="Y18" i="983"/>
  <c r="Z18" i="983"/>
  <c r="R19" i="983"/>
  <c r="S19" i="983"/>
  <c r="T19" i="983"/>
  <c r="U19" i="983"/>
  <c r="V19" i="983"/>
  <c r="W19" i="983"/>
  <c r="X19" i="983"/>
  <c r="Y19" i="983"/>
  <c r="Z19" i="983"/>
  <c r="R20" i="983"/>
  <c r="S20" i="983"/>
  <c r="T20" i="983"/>
  <c r="U20" i="983"/>
  <c r="V20" i="983"/>
  <c r="W20" i="983"/>
  <c r="X20" i="983"/>
  <c r="Y20" i="983"/>
  <c r="Z20" i="983"/>
  <c r="R21" i="983"/>
  <c r="S21" i="983"/>
  <c r="T21" i="983"/>
  <c r="U21" i="983"/>
  <c r="V21" i="983"/>
  <c r="W21" i="983"/>
  <c r="X21" i="983"/>
  <c r="Y21" i="983"/>
  <c r="Z21" i="983"/>
  <c r="R22" i="983"/>
  <c r="S22" i="983"/>
  <c r="T22" i="983"/>
  <c r="U22" i="983"/>
  <c r="V22" i="983"/>
  <c r="W22" i="983"/>
  <c r="X22" i="983"/>
  <c r="Y22" i="983"/>
  <c r="Z22" i="983"/>
  <c r="R23" i="983"/>
  <c r="S23" i="983"/>
  <c r="T23" i="983"/>
  <c r="U23" i="983"/>
  <c r="V23" i="983"/>
  <c r="W23" i="983"/>
  <c r="X23" i="983"/>
  <c r="Y23" i="983"/>
  <c r="Z23" i="983"/>
  <c r="R24" i="983"/>
  <c r="S24" i="983"/>
  <c r="T24" i="983"/>
  <c r="U24" i="983"/>
  <c r="V24" i="983"/>
  <c r="W24" i="983"/>
  <c r="X24" i="983"/>
  <c r="Y24" i="983"/>
  <c r="Z24" i="983"/>
  <c r="R25" i="983"/>
  <c r="S25" i="983"/>
  <c r="T25" i="983"/>
  <c r="U25" i="983"/>
  <c r="V25" i="983"/>
  <c r="W25" i="983"/>
  <c r="X25" i="983"/>
  <c r="Y25" i="983"/>
  <c r="Z25" i="983"/>
  <c r="R26" i="983"/>
  <c r="S26" i="983"/>
  <c r="T26" i="983"/>
  <c r="U26" i="983"/>
  <c r="V26" i="983"/>
  <c r="W26" i="983"/>
  <c r="X26" i="983"/>
  <c r="Y26" i="983"/>
  <c r="Z26" i="983"/>
  <c r="R27" i="983"/>
  <c r="S27" i="983"/>
  <c r="T27" i="983"/>
  <c r="U27" i="983"/>
  <c r="V27" i="983"/>
  <c r="W27" i="983"/>
  <c r="X27" i="983"/>
  <c r="Y27" i="983"/>
  <c r="Z27" i="983"/>
  <c r="R28" i="983"/>
  <c r="S28" i="983"/>
  <c r="T28" i="983"/>
  <c r="U28" i="983"/>
  <c r="V28" i="983"/>
  <c r="W28" i="983"/>
  <c r="X28" i="983"/>
  <c r="Y28" i="983"/>
  <c r="Z28" i="983"/>
  <c r="R29" i="983"/>
  <c r="S29" i="983"/>
  <c r="T29" i="983"/>
  <c r="U29" i="983"/>
  <c r="V29" i="983"/>
  <c r="W29" i="983"/>
  <c r="X29" i="983"/>
  <c r="Y29" i="983"/>
  <c r="Z29" i="983"/>
  <c r="R30" i="983"/>
  <c r="S30" i="983"/>
  <c r="T30" i="983"/>
  <c r="U30" i="983"/>
  <c r="V30" i="983"/>
  <c r="W30" i="983"/>
  <c r="X30" i="983"/>
  <c r="Y30" i="983"/>
  <c r="Z30" i="983"/>
  <c r="R31" i="983"/>
  <c r="S31" i="983"/>
  <c r="T31" i="983"/>
  <c r="U31" i="983"/>
  <c r="V31" i="983"/>
  <c r="W31" i="983"/>
  <c r="X31" i="983"/>
  <c r="Y31" i="983"/>
  <c r="Z31" i="983"/>
  <c r="R32" i="983"/>
  <c r="S32" i="983"/>
  <c r="T32" i="983"/>
  <c r="U32" i="983"/>
  <c r="V32" i="983"/>
  <c r="W32" i="983"/>
  <c r="X32" i="983"/>
  <c r="Y32" i="983"/>
  <c r="Z32" i="983"/>
  <c r="I11" i="983"/>
  <c r="J11" i="983"/>
  <c r="K11" i="983"/>
  <c r="L11" i="983"/>
  <c r="M11" i="983"/>
  <c r="N11" i="983"/>
  <c r="O11" i="983"/>
  <c r="I12" i="983"/>
  <c r="J12" i="983"/>
  <c r="K12" i="983"/>
  <c r="L12" i="983"/>
  <c r="M12" i="983"/>
  <c r="N12" i="983"/>
  <c r="O12" i="983"/>
  <c r="I13" i="983"/>
  <c r="J13" i="983"/>
  <c r="K13" i="983"/>
  <c r="L13" i="983"/>
  <c r="M13" i="983"/>
  <c r="N13" i="983"/>
  <c r="O13" i="983"/>
  <c r="I14" i="983"/>
  <c r="J14" i="983"/>
  <c r="K14" i="983"/>
  <c r="L14" i="983"/>
  <c r="M14" i="983"/>
  <c r="N14" i="983"/>
  <c r="O14" i="983"/>
  <c r="I15" i="983"/>
  <c r="J15" i="983"/>
  <c r="K15" i="983"/>
  <c r="L15" i="983"/>
  <c r="M15" i="983"/>
  <c r="N15" i="983"/>
  <c r="O15" i="983"/>
  <c r="C11" i="983"/>
  <c r="D11" i="983"/>
  <c r="E11" i="983"/>
  <c r="F11" i="983"/>
  <c r="G11" i="983"/>
  <c r="C12" i="983"/>
  <c r="D12" i="983"/>
  <c r="E12" i="983"/>
  <c r="F12" i="983"/>
  <c r="G12" i="983"/>
  <c r="C13" i="983"/>
  <c r="D13" i="983"/>
  <c r="E13" i="983"/>
  <c r="F13" i="983"/>
  <c r="G13" i="983"/>
  <c r="C14" i="983"/>
  <c r="D14" i="983"/>
  <c r="E14" i="983"/>
  <c r="F14" i="983"/>
  <c r="G14" i="983"/>
  <c r="C15" i="983"/>
  <c r="D15" i="983"/>
  <c r="E15" i="983"/>
  <c r="F15" i="983"/>
  <c r="G15" i="983"/>
  <c r="B59" i="983"/>
  <c r="F77" i="983"/>
  <c r="L63" i="983"/>
  <c r="AX61" i="983"/>
  <c r="AW61" i="983"/>
  <c r="AV61" i="983"/>
  <c r="AU61" i="983"/>
  <c r="AT61" i="983"/>
  <c r="AS61" i="983"/>
  <c r="AR61" i="983"/>
  <c r="AQ61" i="983"/>
  <c r="AP61" i="983"/>
  <c r="AO61" i="983"/>
  <c r="AN61" i="983"/>
  <c r="AM61" i="983"/>
  <c r="AL61" i="983"/>
  <c r="AK61" i="983"/>
  <c r="AJ61" i="983"/>
  <c r="AI61" i="983"/>
  <c r="AH61" i="983"/>
  <c r="AG61" i="983"/>
  <c r="AF61" i="983"/>
  <c r="AE61" i="983"/>
  <c r="AD61" i="983"/>
  <c r="AC61" i="983"/>
  <c r="AB61" i="983"/>
  <c r="AX60" i="983"/>
  <c r="AW60" i="983"/>
  <c r="AV60" i="983"/>
  <c r="AU60" i="983"/>
  <c r="AT60" i="983"/>
  <c r="AS60" i="983"/>
  <c r="AR60" i="983"/>
  <c r="AQ60" i="983"/>
  <c r="AP60" i="983"/>
  <c r="AO60" i="983"/>
  <c r="AN60" i="983"/>
  <c r="AM60" i="983"/>
  <c r="AL60" i="983"/>
  <c r="AK60" i="983"/>
  <c r="AJ60" i="983"/>
  <c r="AI60" i="983"/>
  <c r="AH60" i="983"/>
  <c r="AG60" i="983"/>
  <c r="AF60" i="983"/>
  <c r="AE60" i="983"/>
  <c r="AD60" i="983"/>
  <c r="AC60" i="983"/>
  <c r="AB60" i="983"/>
  <c r="AX59" i="983"/>
  <c r="AW59" i="983"/>
  <c r="AV59" i="983"/>
  <c r="AU59" i="983"/>
  <c r="AT59" i="983"/>
  <c r="AS59" i="983"/>
  <c r="AR59" i="983"/>
  <c r="AQ59" i="983"/>
  <c r="AP59" i="983"/>
  <c r="AO59" i="983"/>
  <c r="AN59" i="983"/>
  <c r="AM59" i="983"/>
  <c r="AL59" i="983"/>
  <c r="AK59" i="983"/>
  <c r="AJ59" i="983"/>
  <c r="AI59" i="983"/>
  <c r="AH59" i="983"/>
  <c r="AG59" i="983"/>
  <c r="AF59" i="983"/>
  <c r="AE59" i="983"/>
  <c r="AD59" i="983"/>
  <c r="AC59" i="983"/>
  <c r="AB59" i="983"/>
  <c r="K54" i="983"/>
  <c r="Z41" i="983"/>
  <c r="Y41" i="983"/>
  <c r="X41" i="983"/>
  <c r="W41" i="983"/>
  <c r="V41" i="983"/>
  <c r="U41" i="983"/>
  <c r="T41" i="983"/>
  <c r="S41" i="983"/>
  <c r="R41" i="983"/>
  <c r="Z40" i="983"/>
  <c r="Y40" i="983"/>
  <c r="X40" i="983"/>
  <c r="W40" i="983"/>
  <c r="V40" i="983"/>
  <c r="U40" i="983"/>
  <c r="T40" i="983"/>
  <c r="S40" i="983"/>
  <c r="R40" i="983"/>
  <c r="Z39" i="983"/>
  <c r="Y39" i="983"/>
  <c r="X39" i="983"/>
  <c r="W39" i="983"/>
  <c r="V39" i="983"/>
  <c r="U39" i="983"/>
  <c r="T39" i="983"/>
  <c r="S39" i="983"/>
  <c r="R39" i="983"/>
  <c r="Z38" i="983"/>
  <c r="Y38" i="983"/>
  <c r="X38" i="983"/>
  <c r="W38" i="983"/>
  <c r="V38" i="983"/>
  <c r="U38" i="983"/>
  <c r="T38" i="983"/>
  <c r="S38" i="983"/>
  <c r="R38" i="983"/>
  <c r="Z37" i="983"/>
  <c r="Y37" i="983"/>
  <c r="X37" i="983"/>
  <c r="W37" i="983"/>
  <c r="V37" i="983"/>
  <c r="U37" i="983"/>
  <c r="T37" i="983"/>
  <c r="S37" i="983"/>
  <c r="R37" i="983"/>
  <c r="Z36" i="983"/>
  <c r="Y36" i="983"/>
  <c r="X36" i="983"/>
  <c r="W36" i="983"/>
  <c r="V36" i="983"/>
  <c r="U36" i="983"/>
  <c r="T36" i="983"/>
  <c r="S36" i="983"/>
  <c r="R36" i="983"/>
  <c r="M36" i="983"/>
  <c r="Z35" i="983"/>
  <c r="Y35" i="983"/>
  <c r="X35" i="983"/>
  <c r="W35" i="983"/>
  <c r="V35" i="983"/>
  <c r="U35" i="983"/>
  <c r="T35" i="983"/>
  <c r="S35" i="983"/>
  <c r="R35" i="983"/>
  <c r="M35" i="983"/>
  <c r="Z34" i="983"/>
  <c r="Y34" i="983"/>
  <c r="X34" i="983"/>
  <c r="W34" i="983"/>
  <c r="V34" i="983"/>
  <c r="U34" i="983"/>
  <c r="T34" i="983"/>
  <c r="S34" i="983"/>
  <c r="R34" i="983"/>
  <c r="Z33" i="983"/>
  <c r="Y33" i="983"/>
  <c r="X33" i="983"/>
  <c r="W33" i="983"/>
  <c r="V33" i="983"/>
  <c r="U33" i="983"/>
  <c r="T33" i="983"/>
  <c r="S33" i="983"/>
  <c r="R33" i="983"/>
  <c r="M33" i="983"/>
  <c r="M32" i="983"/>
  <c r="M30" i="983"/>
  <c r="L30" i="983"/>
  <c r="K30" i="983"/>
  <c r="Z12" i="983"/>
  <c r="Y12" i="983"/>
  <c r="X12" i="983"/>
  <c r="W12" i="983"/>
  <c r="V12" i="983"/>
  <c r="U12" i="983"/>
  <c r="T12" i="983"/>
  <c r="S12" i="983"/>
  <c r="R12" i="983"/>
  <c r="Z11" i="983"/>
  <c r="Y11" i="983"/>
  <c r="X11" i="983"/>
  <c r="W11" i="983"/>
  <c r="V11" i="983"/>
  <c r="U11" i="983"/>
  <c r="T11" i="983"/>
  <c r="S11" i="983"/>
  <c r="R11" i="983"/>
  <c r="Z10" i="983"/>
  <c r="Y10" i="983"/>
  <c r="X10" i="983"/>
  <c r="W10" i="983"/>
  <c r="V10" i="983"/>
  <c r="U10" i="983"/>
  <c r="T10" i="983"/>
  <c r="S10" i="983"/>
  <c r="R10" i="983"/>
  <c r="O10" i="983"/>
  <c r="N10" i="983"/>
  <c r="M10" i="983"/>
  <c r="L10" i="983"/>
  <c r="K10" i="983"/>
  <c r="J10" i="983"/>
  <c r="I10" i="983"/>
  <c r="G10" i="983"/>
  <c r="F10" i="983"/>
  <c r="E10" i="983"/>
  <c r="D10" i="983"/>
  <c r="C10" i="983"/>
  <c r="R12" i="982"/>
  <c r="S12" i="982"/>
  <c r="T12" i="982"/>
  <c r="U12" i="982"/>
  <c r="V12" i="982"/>
  <c r="W12" i="982"/>
  <c r="X12" i="982"/>
  <c r="Y12" i="982"/>
  <c r="Z12" i="982"/>
  <c r="R13" i="982"/>
  <c r="S13" i="982"/>
  <c r="T13" i="982"/>
  <c r="U13" i="982"/>
  <c r="V13" i="982"/>
  <c r="W13" i="982"/>
  <c r="X13" i="982"/>
  <c r="Y13" i="982"/>
  <c r="Z13" i="982"/>
  <c r="R14" i="982"/>
  <c r="S14" i="982"/>
  <c r="T14" i="982"/>
  <c r="U14" i="982"/>
  <c r="V14" i="982"/>
  <c r="W14" i="982"/>
  <c r="X14" i="982"/>
  <c r="Y14" i="982"/>
  <c r="Z14" i="982"/>
  <c r="R15" i="982"/>
  <c r="S15" i="982"/>
  <c r="T15" i="982"/>
  <c r="U15" i="982"/>
  <c r="V15" i="982"/>
  <c r="W15" i="982"/>
  <c r="X15" i="982"/>
  <c r="Y15" i="982"/>
  <c r="Z15" i="982"/>
  <c r="R16" i="982"/>
  <c r="S16" i="982"/>
  <c r="T16" i="982"/>
  <c r="U16" i="982"/>
  <c r="V16" i="982"/>
  <c r="W16" i="982"/>
  <c r="X16" i="982"/>
  <c r="Y16" i="982"/>
  <c r="Z16" i="982"/>
  <c r="R17" i="982"/>
  <c r="S17" i="982"/>
  <c r="T17" i="982"/>
  <c r="U17" i="982"/>
  <c r="V17" i="982"/>
  <c r="W17" i="982"/>
  <c r="X17" i="982"/>
  <c r="Y17" i="982"/>
  <c r="Z17" i="982"/>
  <c r="R18" i="982"/>
  <c r="S18" i="982"/>
  <c r="T18" i="982"/>
  <c r="U18" i="982"/>
  <c r="V18" i="982"/>
  <c r="W18" i="982"/>
  <c r="X18" i="982"/>
  <c r="Y18" i="982"/>
  <c r="Z18" i="982"/>
  <c r="R19" i="982"/>
  <c r="S19" i="982"/>
  <c r="T19" i="982"/>
  <c r="U19" i="982"/>
  <c r="V19" i="982"/>
  <c r="W19" i="982"/>
  <c r="X19" i="982"/>
  <c r="Y19" i="982"/>
  <c r="Z19" i="982"/>
  <c r="R20" i="982"/>
  <c r="S20" i="982"/>
  <c r="T20" i="982"/>
  <c r="U20" i="982"/>
  <c r="V20" i="982"/>
  <c r="W20" i="982"/>
  <c r="X20" i="982"/>
  <c r="Y20" i="982"/>
  <c r="Z20" i="982"/>
  <c r="R21" i="982"/>
  <c r="S21" i="982"/>
  <c r="T21" i="982"/>
  <c r="U21" i="982"/>
  <c r="V21" i="982"/>
  <c r="W21" i="982"/>
  <c r="X21" i="982"/>
  <c r="Y21" i="982"/>
  <c r="Z21" i="982"/>
  <c r="R22" i="982"/>
  <c r="S22" i="982"/>
  <c r="T22" i="982"/>
  <c r="U22" i="982"/>
  <c r="V22" i="982"/>
  <c r="W22" i="982"/>
  <c r="X22" i="982"/>
  <c r="Y22" i="982"/>
  <c r="Z22" i="982"/>
  <c r="R23" i="982"/>
  <c r="S23" i="982"/>
  <c r="T23" i="982"/>
  <c r="U23" i="982"/>
  <c r="V23" i="982"/>
  <c r="W23" i="982"/>
  <c r="X23" i="982"/>
  <c r="Y23" i="982"/>
  <c r="Z23" i="982"/>
  <c r="R24" i="982"/>
  <c r="S24" i="982"/>
  <c r="T24" i="982"/>
  <c r="U24" i="982"/>
  <c r="V24" i="982"/>
  <c r="W24" i="982"/>
  <c r="X24" i="982"/>
  <c r="Y24" i="982"/>
  <c r="Z24" i="982"/>
  <c r="C10" i="982"/>
  <c r="D10" i="982"/>
  <c r="E10" i="982"/>
  <c r="F10" i="982"/>
  <c r="G10" i="982"/>
  <c r="I10" i="982"/>
  <c r="J10" i="982"/>
  <c r="K10" i="982"/>
  <c r="L10" i="982"/>
  <c r="M10" i="982"/>
  <c r="N10" i="982"/>
  <c r="O10" i="982"/>
  <c r="C11" i="982"/>
  <c r="D11" i="982"/>
  <c r="E11" i="982"/>
  <c r="F11" i="982"/>
  <c r="G11" i="982"/>
  <c r="I11" i="982"/>
  <c r="J11" i="982"/>
  <c r="K11" i="982"/>
  <c r="L11" i="982"/>
  <c r="M11" i="982"/>
  <c r="N11" i="982"/>
  <c r="O11" i="982"/>
  <c r="C13" i="982"/>
  <c r="D13" i="982"/>
  <c r="E13" i="982"/>
  <c r="F13" i="982"/>
  <c r="G13" i="982"/>
  <c r="I13" i="982"/>
  <c r="J13" i="982"/>
  <c r="K13" i="982"/>
  <c r="L13" i="982"/>
  <c r="M13" i="982"/>
  <c r="N13" i="982"/>
  <c r="O13" i="982"/>
  <c r="M24" i="982"/>
  <c r="L24" i="982"/>
  <c r="K24" i="982"/>
  <c r="F70" i="982"/>
  <c r="L56" i="982"/>
  <c r="AX54" i="982"/>
  <c r="AW54" i="982"/>
  <c r="AV54" i="982"/>
  <c r="AU54" i="982"/>
  <c r="AT54" i="982"/>
  <c r="AS54" i="982"/>
  <c r="AR54" i="982"/>
  <c r="AQ54" i="982"/>
  <c r="AP54" i="982"/>
  <c r="AO54" i="982"/>
  <c r="AN54" i="982"/>
  <c r="AM54" i="982"/>
  <c r="AL54" i="982"/>
  <c r="AK54" i="982"/>
  <c r="AJ54" i="982"/>
  <c r="AI54" i="982"/>
  <c r="AH54" i="982"/>
  <c r="AG54" i="982"/>
  <c r="AF54" i="982"/>
  <c r="AE54" i="982"/>
  <c r="AD54" i="982"/>
  <c r="AC54" i="982"/>
  <c r="AB54" i="982"/>
  <c r="AX53" i="982"/>
  <c r="AW53" i="982"/>
  <c r="AV53" i="982"/>
  <c r="AU53" i="982"/>
  <c r="AT53" i="982"/>
  <c r="AS53" i="982"/>
  <c r="AR53" i="982"/>
  <c r="AQ53" i="982"/>
  <c r="AP53" i="982"/>
  <c r="AO53" i="982"/>
  <c r="AN53" i="982"/>
  <c r="AM53" i="982"/>
  <c r="AL53" i="982"/>
  <c r="AK53" i="982"/>
  <c r="AJ53" i="982"/>
  <c r="AI53" i="982"/>
  <c r="AH53" i="982"/>
  <c r="AG53" i="982"/>
  <c r="AF53" i="982"/>
  <c r="AE53" i="982"/>
  <c r="AD53" i="982"/>
  <c r="AC53" i="982"/>
  <c r="AB53" i="982"/>
  <c r="AX52" i="982"/>
  <c r="AW52" i="982"/>
  <c r="AV52" i="982"/>
  <c r="AU52" i="982"/>
  <c r="AT52" i="982"/>
  <c r="AS52" i="982"/>
  <c r="AR52" i="982"/>
  <c r="AQ52" i="982"/>
  <c r="AP52" i="982"/>
  <c r="AO52" i="982"/>
  <c r="AN52" i="982"/>
  <c r="AM52" i="982"/>
  <c r="AL52" i="982"/>
  <c r="AK52" i="982"/>
  <c r="AJ52" i="982"/>
  <c r="AI52" i="982"/>
  <c r="AH52" i="982"/>
  <c r="AG52" i="982"/>
  <c r="AF52" i="982"/>
  <c r="AE52" i="982"/>
  <c r="AD52" i="982"/>
  <c r="AC52" i="982"/>
  <c r="AB52" i="982"/>
  <c r="K47" i="982"/>
  <c r="Z34" i="982"/>
  <c r="Y34" i="982"/>
  <c r="X34" i="982"/>
  <c r="W34" i="982"/>
  <c r="V34" i="982"/>
  <c r="U34" i="982"/>
  <c r="T34" i="982"/>
  <c r="S34" i="982"/>
  <c r="R34" i="982"/>
  <c r="Z33" i="982"/>
  <c r="Y33" i="982"/>
  <c r="X33" i="982"/>
  <c r="W33" i="982"/>
  <c r="V33" i="982"/>
  <c r="U33" i="982"/>
  <c r="T33" i="982"/>
  <c r="S33" i="982"/>
  <c r="R33" i="982"/>
  <c r="Z32" i="982"/>
  <c r="Y32" i="982"/>
  <c r="X32" i="982"/>
  <c r="W32" i="982"/>
  <c r="V32" i="982"/>
  <c r="U32" i="982"/>
  <c r="T32" i="982"/>
  <c r="S32" i="982"/>
  <c r="R32" i="982"/>
  <c r="Z31" i="982"/>
  <c r="Y31" i="982"/>
  <c r="X31" i="982"/>
  <c r="W31" i="982"/>
  <c r="V31" i="982"/>
  <c r="U31" i="982"/>
  <c r="T31" i="982"/>
  <c r="S31" i="982"/>
  <c r="R31" i="982"/>
  <c r="Z30" i="982"/>
  <c r="Y30" i="982"/>
  <c r="X30" i="982"/>
  <c r="W30" i="982"/>
  <c r="V30" i="982"/>
  <c r="U30" i="982"/>
  <c r="T30" i="982"/>
  <c r="S30" i="982"/>
  <c r="R30" i="982"/>
  <c r="Z29" i="982"/>
  <c r="Y29" i="982"/>
  <c r="X29" i="982"/>
  <c r="W29" i="982"/>
  <c r="V29" i="982"/>
  <c r="U29" i="982"/>
  <c r="T29" i="982"/>
  <c r="S29" i="982"/>
  <c r="R29" i="982"/>
  <c r="M29" i="982"/>
  <c r="Z28" i="982"/>
  <c r="Y28" i="982"/>
  <c r="X28" i="982"/>
  <c r="W28" i="982"/>
  <c r="V28" i="982"/>
  <c r="U28" i="982"/>
  <c r="T28" i="982"/>
  <c r="S28" i="982"/>
  <c r="R28" i="982"/>
  <c r="M28" i="982"/>
  <c r="Z27" i="982"/>
  <c r="Y27" i="982"/>
  <c r="X27" i="982"/>
  <c r="W27" i="982"/>
  <c r="V27" i="982"/>
  <c r="U27" i="982"/>
  <c r="T27" i="982"/>
  <c r="S27" i="982"/>
  <c r="R27" i="982"/>
  <c r="Z26" i="982"/>
  <c r="Y26" i="982"/>
  <c r="X26" i="982"/>
  <c r="W26" i="982"/>
  <c r="V26" i="982"/>
  <c r="U26" i="982"/>
  <c r="T26" i="982"/>
  <c r="S26" i="982"/>
  <c r="R26" i="982"/>
  <c r="M26" i="982"/>
  <c r="Z25" i="982"/>
  <c r="Y25" i="982"/>
  <c r="X25" i="982"/>
  <c r="W25" i="982"/>
  <c r="V25" i="982"/>
  <c r="U25" i="982"/>
  <c r="T25" i="982"/>
  <c r="S25" i="982"/>
  <c r="R25" i="982"/>
  <c r="M25" i="982"/>
  <c r="M23" i="982"/>
  <c r="L23" i="982"/>
  <c r="K23" i="982"/>
  <c r="Z11" i="982"/>
  <c r="Y11" i="982"/>
  <c r="X11" i="982"/>
  <c r="W11" i="982"/>
  <c r="V11" i="982"/>
  <c r="U11" i="982"/>
  <c r="T11" i="982"/>
  <c r="S11" i="982"/>
  <c r="R11" i="982"/>
  <c r="Z10" i="982"/>
  <c r="Y10" i="982"/>
  <c r="X10" i="982"/>
  <c r="W10" i="982"/>
  <c r="V10" i="982"/>
  <c r="U10" i="982"/>
  <c r="T10" i="982"/>
  <c r="S10" i="982"/>
  <c r="R10" i="982"/>
  <c r="K56" i="981"/>
  <c r="K69" i="981" s="1"/>
  <c r="K58" i="981"/>
  <c r="K72" i="981" s="1"/>
  <c r="B58" i="981"/>
  <c r="B56" i="981"/>
  <c r="M27" i="981"/>
  <c r="L27" i="981"/>
  <c r="K27" i="981"/>
  <c r="K37" i="981" s="1"/>
  <c r="R11" i="981"/>
  <c r="S11" i="981"/>
  <c r="T11" i="981"/>
  <c r="U11" i="981"/>
  <c r="V11" i="981"/>
  <c r="W11" i="981"/>
  <c r="X11" i="981"/>
  <c r="Y11" i="981"/>
  <c r="Z11" i="981"/>
  <c r="R12" i="981"/>
  <c r="S12" i="981"/>
  <c r="T12" i="981"/>
  <c r="U12" i="981"/>
  <c r="V12" i="981"/>
  <c r="W12" i="981"/>
  <c r="X12" i="981"/>
  <c r="Y12" i="981"/>
  <c r="Z12" i="981"/>
  <c r="R13" i="981"/>
  <c r="S13" i="981"/>
  <c r="T13" i="981"/>
  <c r="U13" i="981"/>
  <c r="V13" i="981"/>
  <c r="W13" i="981"/>
  <c r="X13" i="981"/>
  <c r="Y13" i="981"/>
  <c r="Z13" i="981"/>
  <c r="R14" i="981"/>
  <c r="S14" i="981"/>
  <c r="T14" i="981"/>
  <c r="U14" i="981"/>
  <c r="V14" i="981"/>
  <c r="W14" i="981"/>
  <c r="X14" i="981"/>
  <c r="Y14" i="981"/>
  <c r="Z14" i="981"/>
  <c r="R15" i="981"/>
  <c r="S15" i="981"/>
  <c r="T15" i="981"/>
  <c r="U15" i="981"/>
  <c r="V15" i="981"/>
  <c r="W15" i="981"/>
  <c r="X15" i="981"/>
  <c r="Y15" i="981"/>
  <c r="Z15" i="981"/>
  <c r="R16" i="981"/>
  <c r="S16" i="981"/>
  <c r="T16" i="981"/>
  <c r="U16" i="981"/>
  <c r="V16" i="981"/>
  <c r="W16" i="981"/>
  <c r="X16" i="981"/>
  <c r="Y16" i="981"/>
  <c r="Z16" i="981"/>
  <c r="R17" i="981"/>
  <c r="S17" i="981"/>
  <c r="T17" i="981"/>
  <c r="U17" i="981"/>
  <c r="V17" i="981"/>
  <c r="W17" i="981"/>
  <c r="X17" i="981"/>
  <c r="Y17" i="981"/>
  <c r="Z17" i="981"/>
  <c r="R18" i="981"/>
  <c r="S18" i="981"/>
  <c r="T18" i="981"/>
  <c r="U18" i="981"/>
  <c r="V18" i="981"/>
  <c r="W18" i="981"/>
  <c r="X18" i="981"/>
  <c r="Y18" i="981"/>
  <c r="Z18" i="981"/>
  <c r="R19" i="981"/>
  <c r="S19" i="981"/>
  <c r="T19" i="981"/>
  <c r="U19" i="981"/>
  <c r="V19" i="981"/>
  <c r="W19" i="981"/>
  <c r="X19" i="981"/>
  <c r="Y19" i="981"/>
  <c r="Z19" i="981"/>
  <c r="R20" i="981"/>
  <c r="S20" i="981"/>
  <c r="T20" i="981"/>
  <c r="U20" i="981"/>
  <c r="V20" i="981"/>
  <c r="W20" i="981"/>
  <c r="X20" i="981"/>
  <c r="Y20" i="981"/>
  <c r="Z20" i="981"/>
  <c r="R21" i="981"/>
  <c r="S21" i="981"/>
  <c r="T21" i="981"/>
  <c r="U21" i="981"/>
  <c r="V21" i="981"/>
  <c r="W21" i="981"/>
  <c r="X21" i="981"/>
  <c r="Y21" i="981"/>
  <c r="Z21" i="981"/>
  <c r="R22" i="981"/>
  <c r="S22" i="981"/>
  <c r="T22" i="981"/>
  <c r="U22" i="981"/>
  <c r="V22" i="981"/>
  <c r="W22" i="981"/>
  <c r="X22" i="981"/>
  <c r="Y22" i="981"/>
  <c r="Z22" i="981"/>
  <c r="R23" i="981"/>
  <c r="S23" i="981"/>
  <c r="T23" i="981"/>
  <c r="U23" i="981"/>
  <c r="V23" i="981"/>
  <c r="W23" i="981"/>
  <c r="X23" i="981"/>
  <c r="Y23" i="981"/>
  <c r="Z23" i="981"/>
  <c r="R24" i="981"/>
  <c r="S24" i="981"/>
  <c r="T24" i="981"/>
  <c r="U24" i="981"/>
  <c r="V24" i="981"/>
  <c r="W24" i="981"/>
  <c r="X24" i="981"/>
  <c r="Y24" i="981"/>
  <c r="Z24" i="981"/>
  <c r="R25" i="981"/>
  <c r="S25" i="981"/>
  <c r="T25" i="981"/>
  <c r="U25" i="981"/>
  <c r="V25" i="981"/>
  <c r="W25" i="981"/>
  <c r="X25" i="981"/>
  <c r="Y25" i="981"/>
  <c r="Z25" i="981"/>
  <c r="R26" i="981"/>
  <c r="S26" i="981"/>
  <c r="T26" i="981"/>
  <c r="U26" i="981"/>
  <c r="V26" i="981"/>
  <c r="W26" i="981"/>
  <c r="X26" i="981"/>
  <c r="Y26" i="981"/>
  <c r="Z26" i="981"/>
  <c r="R27" i="981"/>
  <c r="S27" i="981"/>
  <c r="T27" i="981"/>
  <c r="U27" i="981"/>
  <c r="V27" i="981"/>
  <c r="W27" i="981"/>
  <c r="X27" i="981"/>
  <c r="Y27" i="981"/>
  <c r="Z27" i="981"/>
  <c r="I10" i="981"/>
  <c r="J10" i="981"/>
  <c r="L10" i="981"/>
  <c r="M10" i="981"/>
  <c r="N10" i="981"/>
  <c r="O10" i="981"/>
  <c r="I11" i="981"/>
  <c r="J11" i="981"/>
  <c r="L11" i="981"/>
  <c r="M11" i="981"/>
  <c r="N11" i="981"/>
  <c r="O11" i="981"/>
  <c r="I12" i="981"/>
  <c r="J12" i="981"/>
  <c r="L12" i="981"/>
  <c r="M12" i="981"/>
  <c r="N12" i="981"/>
  <c r="O12" i="981"/>
  <c r="I13" i="981"/>
  <c r="J13" i="981"/>
  <c r="L13" i="981"/>
  <c r="M13" i="981"/>
  <c r="N13" i="981"/>
  <c r="O13" i="981"/>
  <c r="I14" i="981"/>
  <c r="J14" i="981"/>
  <c r="L14" i="981"/>
  <c r="M14" i="981"/>
  <c r="N14" i="981"/>
  <c r="O14" i="981"/>
  <c r="I15" i="981"/>
  <c r="J15" i="981"/>
  <c r="L15" i="981"/>
  <c r="M15" i="981"/>
  <c r="N15" i="981"/>
  <c r="O15" i="981"/>
  <c r="I16" i="981"/>
  <c r="J16" i="981"/>
  <c r="L16" i="981"/>
  <c r="M16" i="981"/>
  <c r="N16" i="981"/>
  <c r="O16" i="981"/>
  <c r="I17" i="981"/>
  <c r="J17" i="981"/>
  <c r="L17" i="981"/>
  <c r="M17" i="981"/>
  <c r="N17" i="981"/>
  <c r="O17" i="981"/>
  <c r="C10" i="981"/>
  <c r="D10" i="981"/>
  <c r="E10" i="981"/>
  <c r="F10" i="981"/>
  <c r="G10" i="981"/>
  <c r="C11" i="981"/>
  <c r="D11" i="981"/>
  <c r="E11" i="981"/>
  <c r="F11" i="981"/>
  <c r="G11" i="981"/>
  <c r="C12" i="981"/>
  <c r="D12" i="981"/>
  <c r="E12" i="981"/>
  <c r="F12" i="981"/>
  <c r="G12" i="981"/>
  <c r="C13" i="981"/>
  <c r="D13" i="981"/>
  <c r="E13" i="981"/>
  <c r="F13" i="981"/>
  <c r="G13" i="981"/>
  <c r="C14" i="981"/>
  <c r="D14" i="981"/>
  <c r="E14" i="981"/>
  <c r="F14" i="981"/>
  <c r="G14" i="981"/>
  <c r="C15" i="981"/>
  <c r="D15" i="981"/>
  <c r="E15" i="981"/>
  <c r="F15" i="981"/>
  <c r="G15" i="981"/>
  <c r="C16" i="981"/>
  <c r="D16" i="981"/>
  <c r="E16" i="981"/>
  <c r="F16" i="981"/>
  <c r="G16" i="981"/>
  <c r="C17" i="981"/>
  <c r="D17" i="981"/>
  <c r="E17" i="981"/>
  <c r="F17" i="981"/>
  <c r="G17" i="981"/>
  <c r="F74" i="981"/>
  <c r="L60" i="981"/>
  <c r="AX58" i="981"/>
  <c r="AW58" i="981"/>
  <c r="AV58" i="981"/>
  <c r="AU58" i="981"/>
  <c r="AT58" i="981"/>
  <c r="AS58" i="981"/>
  <c r="AR58" i="981"/>
  <c r="AQ58" i="981"/>
  <c r="AP58" i="981"/>
  <c r="AO58" i="981"/>
  <c r="AN58" i="981"/>
  <c r="AM58" i="981"/>
  <c r="AL58" i="981"/>
  <c r="AK58" i="981"/>
  <c r="AJ58" i="981"/>
  <c r="AI58" i="981"/>
  <c r="AH58" i="981"/>
  <c r="AG58" i="981"/>
  <c r="AF58" i="981"/>
  <c r="AE58" i="981"/>
  <c r="AD58" i="981"/>
  <c r="AC58" i="981"/>
  <c r="AB58" i="981"/>
  <c r="AX57" i="981"/>
  <c r="AW57" i="981"/>
  <c r="AV57" i="981"/>
  <c r="AU57" i="981"/>
  <c r="AT57" i="981"/>
  <c r="AS57" i="981"/>
  <c r="AR57" i="981"/>
  <c r="AQ57" i="981"/>
  <c r="AP57" i="981"/>
  <c r="AO57" i="981"/>
  <c r="AN57" i="981"/>
  <c r="AM57" i="981"/>
  <c r="AL57" i="981"/>
  <c r="AK57" i="981"/>
  <c r="AJ57" i="981"/>
  <c r="AI57" i="981"/>
  <c r="AH57" i="981"/>
  <c r="AG57" i="981"/>
  <c r="AF57" i="981"/>
  <c r="AE57" i="981"/>
  <c r="AD57" i="981"/>
  <c r="AC57" i="981"/>
  <c r="AB57" i="981"/>
  <c r="AX56" i="981"/>
  <c r="AW56" i="981"/>
  <c r="AV56" i="981"/>
  <c r="AU56" i="981"/>
  <c r="AT56" i="981"/>
  <c r="AS56" i="981"/>
  <c r="AR56" i="981"/>
  <c r="AQ56" i="981"/>
  <c r="AP56" i="981"/>
  <c r="AO56" i="981"/>
  <c r="AN56" i="981"/>
  <c r="AM56" i="981"/>
  <c r="AL56" i="981"/>
  <c r="AK56" i="981"/>
  <c r="AJ56" i="981"/>
  <c r="AI56" i="981"/>
  <c r="AH56" i="981"/>
  <c r="AG56" i="981"/>
  <c r="AF56" i="981"/>
  <c r="AE56" i="981"/>
  <c r="AD56" i="981"/>
  <c r="AC56" i="981"/>
  <c r="AB56" i="981"/>
  <c r="K51" i="981"/>
  <c r="Z38" i="981"/>
  <c r="Y38" i="981"/>
  <c r="X38" i="981"/>
  <c r="W38" i="981"/>
  <c r="V38" i="981"/>
  <c r="U38" i="981"/>
  <c r="T38" i="981"/>
  <c r="S38" i="981"/>
  <c r="R38" i="981"/>
  <c r="Z37" i="981"/>
  <c r="Y37" i="981"/>
  <c r="X37" i="981"/>
  <c r="W37" i="981"/>
  <c r="V37" i="981"/>
  <c r="U37" i="981"/>
  <c r="T37" i="981"/>
  <c r="S37" i="981"/>
  <c r="R37" i="981"/>
  <c r="Z36" i="981"/>
  <c r="Y36" i="981"/>
  <c r="X36" i="981"/>
  <c r="W36" i="981"/>
  <c r="V36" i="981"/>
  <c r="U36" i="981"/>
  <c r="T36" i="981"/>
  <c r="S36" i="981"/>
  <c r="R36" i="981"/>
  <c r="Z35" i="981"/>
  <c r="Y35" i="981"/>
  <c r="X35" i="981"/>
  <c r="W35" i="981"/>
  <c r="V35" i="981"/>
  <c r="U35" i="981"/>
  <c r="T35" i="981"/>
  <c r="S35" i="981"/>
  <c r="R35" i="981"/>
  <c r="Z34" i="981"/>
  <c r="Y34" i="981"/>
  <c r="X34" i="981"/>
  <c r="W34" i="981"/>
  <c r="V34" i="981"/>
  <c r="U34" i="981"/>
  <c r="T34" i="981"/>
  <c r="S34" i="981"/>
  <c r="R34" i="981"/>
  <c r="Z33" i="981"/>
  <c r="Y33" i="981"/>
  <c r="X33" i="981"/>
  <c r="W33" i="981"/>
  <c r="V33" i="981"/>
  <c r="U33" i="981"/>
  <c r="T33" i="981"/>
  <c r="S33" i="981"/>
  <c r="R33" i="981"/>
  <c r="M33" i="981"/>
  <c r="Z32" i="981"/>
  <c r="Y32" i="981"/>
  <c r="X32" i="981"/>
  <c r="W32" i="981"/>
  <c r="V32" i="981"/>
  <c r="U32" i="981"/>
  <c r="T32" i="981"/>
  <c r="S32" i="981"/>
  <c r="R32" i="981"/>
  <c r="M32" i="981"/>
  <c r="Z31" i="981"/>
  <c r="Y31" i="981"/>
  <c r="X31" i="981"/>
  <c r="W31" i="981"/>
  <c r="V31" i="981"/>
  <c r="U31" i="981"/>
  <c r="T31" i="981"/>
  <c r="S31" i="981"/>
  <c r="R31" i="981"/>
  <c r="Z30" i="981"/>
  <c r="Y30" i="981"/>
  <c r="X30" i="981"/>
  <c r="W30" i="981"/>
  <c r="V30" i="981"/>
  <c r="U30" i="981"/>
  <c r="T30" i="981"/>
  <c r="S30" i="981"/>
  <c r="R30" i="981"/>
  <c r="M30" i="981"/>
  <c r="Z29" i="981"/>
  <c r="Y29" i="981"/>
  <c r="X29" i="981"/>
  <c r="W29" i="981"/>
  <c r="V29" i="981"/>
  <c r="U29" i="981"/>
  <c r="T29" i="981"/>
  <c r="S29" i="981"/>
  <c r="R29" i="981"/>
  <c r="M29" i="981"/>
  <c r="Z28" i="981"/>
  <c r="Y28" i="981"/>
  <c r="X28" i="981"/>
  <c r="W28" i="981"/>
  <c r="V28" i="981"/>
  <c r="U28" i="981"/>
  <c r="T28" i="981"/>
  <c r="S28" i="981"/>
  <c r="R28" i="981"/>
  <c r="M28" i="981"/>
  <c r="Z10" i="981"/>
  <c r="Y10" i="981"/>
  <c r="X10" i="981"/>
  <c r="W10" i="981"/>
  <c r="V10" i="981"/>
  <c r="U10" i="981"/>
  <c r="T10" i="981"/>
  <c r="S10" i="981"/>
  <c r="R10" i="981"/>
  <c r="J60" i="19"/>
  <c r="J63" i="19"/>
  <c r="J64" i="19"/>
  <c r="G60" i="19"/>
  <c r="G63" i="19"/>
  <c r="G64" i="19"/>
  <c r="G60" i="18"/>
  <c r="G63" i="18"/>
  <c r="G64" i="18"/>
  <c r="D60" i="18"/>
  <c r="D63" i="18"/>
  <c r="D64" i="18"/>
  <c r="M29" i="980"/>
  <c r="L29" i="980"/>
  <c r="K29" i="980"/>
  <c r="R11" i="980"/>
  <c r="S11" i="980"/>
  <c r="T11" i="980"/>
  <c r="U11" i="980"/>
  <c r="V11" i="980"/>
  <c r="W11" i="980"/>
  <c r="X11" i="980"/>
  <c r="Y11" i="980"/>
  <c r="Z11" i="980"/>
  <c r="R12" i="980"/>
  <c r="S12" i="980"/>
  <c r="T12" i="980"/>
  <c r="U12" i="980"/>
  <c r="V12" i="980"/>
  <c r="W12" i="980"/>
  <c r="X12" i="980"/>
  <c r="Y12" i="980"/>
  <c r="Z12" i="980"/>
  <c r="R13" i="980"/>
  <c r="S13" i="980"/>
  <c r="T13" i="980"/>
  <c r="U13" i="980"/>
  <c r="V13" i="980"/>
  <c r="W13" i="980"/>
  <c r="X13" i="980"/>
  <c r="Y13" i="980"/>
  <c r="Z13" i="980"/>
  <c r="R14" i="980"/>
  <c r="S14" i="980"/>
  <c r="T14" i="980"/>
  <c r="U14" i="980"/>
  <c r="V14" i="980"/>
  <c r="W14" i="980"/>
  <c r="X14" i="980"/>
  <c r="Y14" i="980"/>
  <c r="Z14" i="980"/>
  <c r="R15" i="980"/>
  <c r="S15" i="980"/>
  <c r="T15" i="980"/>
  <c r="U15" i="980"/>
  <c r="V15" i="980"/>
  <c r="W15" i="980"/>
  <c r="X15" i="980"/>
  <c r="Y15" i="980"/>
  <c r="Z15" i="980"/>
  <c r="R16" i="980"/>
  <c r="S16" i="980"/>
  <c r="T16" i="980"/>
  <c r="U16" i="980"/>
  <c r="V16" i="980"/>
  <c r="W16" i="980"/>
  <c r="X16" i="980"/>
  <c r="Y16" i="980"/>
  <c r="Z16" i="980"/>
  <c r="R18" i="980"/>
  <c r="S18" i="980"/>
  <c r="T18" i="980"/>
  <c r="U18" i="980"/>
  <c r="V18" i="980"/>
  <c r="W18" i="980"/>
  <c r="X18" i="980"/>
  <c r="Y18" i="980"/>
  <c r="Z18" i="980"/>
  <c r="R19" i="980"/>
  <c r="S19" i="980"/>
  <c r="T19" i="980"/>
  <c r="U19" i="980"/>
  <c r="V19" i="980"/>
  <c r="W19" i="980"/>
  <c r="X19" i="980"/>
  <c r="Y19" i="980"/>
  <c r="Z19" i="980"/>
  <c r="R20" i="980"/>
  <c r="S20" i="980"/>
  <c r="T20" i="980"/>
  <c r="U20" i="980"/>
  <c r="V20" i="980"/>
  <c r="W20" i="980"/>
  <c r="X20" i="980"/>
  <c r="Y20" i="980"/>
  <c r="Z20" i="980"/>
  <c r="R21" i="980"/>
  <c r="S21" i="980"/>
  <c r="T21" i="980"/>
  <c r="U21" i="980"/>
  <c r="V21" i="980"/>
  <c r="W21" i="980"/>
  <c r="X21" i="980"/>
  <c r="Y21" i="980"/>
  <c r="Z21" i="980"/>
  <c r="R22" i="980"/>
  <c r="S22" i="980"/>
  <c r="T22" i="980"/>
  <c r="U22" i="980"/>
  <c r="V22" i="980"/>
  <c r="W22" i="980"/>
  <c r="X22" i="980"/>
  <c r="Y22" i="980"/>
  <c r="Z22" i="980"/>
  <c r="R23" i="980"/>
  <c r="S23" i="980"/>
  <c r="T23" i="980"/>
  <c r="U23" i="980"/>
  <c r="V23" i="980"/>
  <c r="W23" i="980"/>
  <c r="X23" i="980"/>
  <c r="Y23" i="980"/>
  <c r="Z23" i="980"/>
  <c r="R24" i="980"/>
  <c r="S24" i="980"/>
  <c r="T24" i="980"/>
  <c r="U24" i="980"/>
  <c r="V24" i="980"/>
  <c r="W24" i="980"/>
  <c r="X24" i="980"/>
  <c r="Y24" i="980"/>
  <c r="Z24" i="980"/>
  <c r="R25" i="980"/>
  <c r="S25" i="980"/>
  <c r="T25" i="980"/>
  <c r="U25" i="980"/>
  <c r="V25" i="980"/>
  <c r="W25" i="980"/>
  <c r="X25" i="980"/>
  <c r="Y25" i="980"/>
  <c r="Z25" i="980"/>
  <c r="R26" i="980"/>
  <c r="S26" i="980"/>
  <c r="T26" i="980"/>
  <c r="U26" i="980"/>
  <c r="V26" i="980"/>
  <c r="W26" i="980"/>
  <c r="X26" i="980"/>
  <c r="Y26" i="980"/>
  <c r="Z26" i="980"/>
  <c r="R27" i="980"/>
  <c r="S27" i="980"/>
  <c r="T27" i="980"/>
  <c r="U27" i="980"/>
  <c r="V27" i="980"/>
  <c r="W27" i="980"/>
  <c r="X27" i="980"/>
  <c r="Y27" i="980"/>
  <c r="Z27" i="980"/>
  <c r="C11" i="980"/>
  <c r="D11" i="980"/>
  <c r="E11" i="980"/>
  <c r="F11" i="980"/>
  <c r="G11" i="980"/>
  <c r="I11" i="980"/>
  <c r="J11" i="980"/>
  <c r="L11" i="980"/>
  <c r="M11" i="980"/>
  <c r="N11" i="980"/>
  <c r="O11" i="980"/>
  <c r="C12" i="980"/>
  <c r="D12" i="980"/>
  <c r="E12" i="980"/>
  <c r="F12" i="980"/>
  <c r="G12" i="980"/>
  <c r="I12" i="980"/>
  <c r="J12" i="980"/>
  <c r="L12" i="980"/>
  <c r="M12" i="980"/>
  <c r="N12" i="980"/>
  <c r="O12" i="980"/>
  <c r="C13" i="980"/>
  <c r="D13" i="980"/>
  <c r="E13" i="980"/>
  <c r="F13" i="980"/>
  <c r="G13" i="980"/>
  <c r="I13" i="980"/>
  <c r="J13" i="980"/>
  <c r="L13" i="980"/>
  <c r="M13" i="980"/>
  <c r="N13" i="980"/>
  <c r="O13" i="980"/>
  <c r="C14" i="980"/>
  <c r="D14" i="980"/>
  <c r="E14" i="980"/>
  <c r="F14" i="980"/>
  <c r="G14" i="980"/>
  <c r="I14" i="980"/>
  <c r="J14" i="980"/>
  <c r="L14" i="980"/>
  <c r="M14" i="980"/>
  <c r="N14" i="980"/>
  <c r="O14" i="980"/>
  <c r="C15" i="980"/>
  <c r="D15" i="980"/>
  <c r="E15" i="980"/>
  <c r="F15" i="980"/>
  <c r="G15" i="980"/>
  <c r="I15" i="980"/>
  <c r="J15" i="980"/>
  <c r="L15" i="980"/>
  <c r="M15" i="980"/>
  <c r="N15" i="980"/>
  <c r="O15" i="980"/>
  <c r="C16" i="980"/>
  <c r="D16" i="980"/>
  <c r="E16" i="980"/>
  <c r="F16" i="980"/>
  <c r="G16" i="980"/>
  <c r="I16" i="980"/>
  <c r="J16" i="980"/>
  <c r="L16" i="980"/>
  <c r="M16" i="980"/>
  <c r="N16" i="980"/>
  <c r="O16" i="980"/>
  <c r="C18" i="980"/>
  <c r="D18" i="980"/>
  <c r="E18" i="980"/>
  <c r="F18" i="980"/>
  <c r="G18" i="980"/>
  <c r="I18" i="980"/>
  <c r="J18" i="980"/>
  <c r="L18" i="980"/>
  <c r="M18" i="980"/>
  <c r="N18" i="980"/>
  <c r="O18" i="980"/>
  <c r="C10" i="980"/>
  <c r="D10" i="980"/>
  <c r="E10" i="980"/>
  <c r="F10" i="980"/>
  <c r="G10" i="980"/>
  <c r="I10" i="980"/>
  <c r="J10" i="980"/>
  <c r="L10" i="980"/>
  <c r="M10" i="980"/>
  <c r="N10" i="980"/>
  <c r="O10" i="980"/>
  <c r="M32" i="980"/>
  <c r="R10" i="980"/>
  <c r="S10" i="980"/>
  <c r="T10" i="980"/>
  <c r="U10" i="980"/>
  <c r="V10" i="980"/>
  <c r="W10" i="980"/>
  <c r="X10" i="980"/>
  <c r="Y10" i="980"/>
  <c r="Z10" i="980"/>
  <c r="R28" i="980"/>
  <c r="S28" i="980"/>
  <c r="T28" i="980"/>
  <c r="U28" i="980"/>
  <c r="V28" i="980"/>
  <c r="W28" i="980"/>
  <c r="X28" i="980"/>
  <c r="Y28" i="980"/>
  <c r="Z28" i="980"/>
  <c r="F76" i="980"/>
  <c r="L62" i="980"/>
  <c r="AX60" i="980"/>
  <c r="AW60" i="980"/>
  <c r="AV60" i="980"/>
  <c r="AU60" i="980"/>
  <c r="AT60" i="980"/>
  <c r="AS60" i="980"/>
  <c r="AR60" i="980"/>
  <c r="AQ60" i="980"/>
  <c r="AP60" i="980"/>
  <c r="AO60" i="980"/>
  <c r="AN60" i="980"/>
  <c r="AM60" i="980"/>
  <c r="AL60" i="980"/>
  <c r="AK60" i="980"/>
  <c r="AJ60" i="980"/>
  <c r="AI60" i="980"/>
  <c r="AH60" i="980"/>
  <c r="AG60" i="980"/>
  <c r="AF60" i="980"/>
  <c r="AE60" i="980"/>
  <c r="AD60" i="980"/>
  <c r="AC60" i="980"/>
  <c r="AB60" i="980"/>
  <c r="AX59" i="980"/>
  <c r="AW59" i="980"/>
  <c r="AV59" i="980"/>
  <c r="AU59" i="980"/>
  <c r="AT59" i="980"/>
  <c r="AS59" i="980"/>
  <c r="AR59" i="980"/>
  <c r="AQ59" i="980"/>
  <c r="AP59" i="980"/>
  <c r="AO59" i="980"/>
  <c r="AN59" i="980"/>
  <c r="AM59" i="980"/>
  <c r="AL59" i="980"/>
  <c r="AK59" i="980"/>
  <c r="AJ59" i="980"/>
  <c r="AI59" i="980"/>
  <c r="AH59" i="980"/>
  <c r="AG59" i="980"/>
  <c r="AF59" i="980"/>
  <c r="AE59" i="980"/>
  <c r="AD59" i="980"/>
  <c r="AC59" i="980"/>
  <c r="AB59" i="980"/>
  <c r="AX58" i="980"/>
  <c r="AW58" i="980"/>
  <c r="AV58" i="980"/>
  <c r="AU58" i="980"/>
  <c r="AT58" i="980"/>
  <c r="AS58" i="980"/>
  <c r="AR58" i="980"/>
  <c r="AQ58" i="980"/>
  <c r="AP58" i="980"/>
  <c r="AO58" i="980"/>
  <c r="AN58" i="980"/>
  <c r="AM58" i="980"/>
  <c r="AL58" i="980"/>
  <c r="AK58" i="980"/>
  <c r="AJ58" i="980"/>
  <c r="AI58" i="980"/>
  <c r="AH58" i="980"/>
  <c r="AG58" i="980"/>
  <c r="AF58" i="980"/>
  <c r="AE58" i="980"/>
  <c r="AD58" i="980"/>
  <c r="AC58" i="980"/>
  <c r="AB58" i="980"/>
  <c r="K53" i="980"/>
  <c r="Z40" i="980"/>
  <c r="Y40" i="980"/>
  <c r="X40" i="980"/>
  <c r="W40" i="980"/>
  <c r="V40" i="980"/>
  <c r="U40" i="980"/>
  <c r="T40" i="980"/>
  <c r="S40" i="980"/>
  <c r="R40" i="980"/>
  <c r="Z39" i="980"/>
  <c r="Y39" i="980"/>
  <c r="X39" i="980"/>
  <c r="W39" i="980"/>
  <c r="V39" i="980"/>
  <c r="U39" i="980"/>
  <c r="T39" i="980"/>
  <c r="S39" i="980"/>
  <c r="R39" i="980"/>
  <c r="Z38" i="980"/>
  <c r="Y38" i="980"/>
  <c r="X38" i="980"/>
  <c r="W38" i="980"/>
  <c r="V38" i="980"/>
  <c r="U38" i="980"/>
  <c r="T38" i="980"/>
  <c r="S38" i="980"/>
  <c r="R38" i="980"/>
  <c r="Z37" i="980"/>
  <c r="Y37" i="980"/>
  <c r="X37" i="980"/>
  <c r="W37" i="980"/>
  <c r="V37" i="980"/>
  <c r="U37" i="980"/>
  <c r="T37" i="980"/>
  <c r="S37" i="980"/>
  <c r="R37" i="980"/>
  <c r="Z36" i="980"/>
  <c r="Y36" i="980"/>
  <c r="X36" i="980"/>
  <c r="W36" i="980"/>
  <c r="V36" i="980"/>
  <c r="U36" i="980"/>
  <c r="T36" i="980"/>
  <c r="S36" i="980"/>
  <c r="R36" i="980"/>
  <c r="Z35" i="980"/>
  <c r="Y35" i="980"/>
  <c r="X35" i="980"/>
  <c r="W35" i="980"/>
  <c r="V35" i="980"/>
  <c r="U35" i="980"/>
  <c r="T35" i="980"/>
  <c r="S35" i="980"/>
  <c r="R35" i="980"/>
  <c r="M35" i="980"/>
  <c r="Z34" i="980"/>
  <c r="Y34" i="980"/>
  <c r="X34" i="980"/>
  <c r="W34" i="980"/>
  <c r="V34" i="980"/>
  <c r="U34" i="980"/>
  <c r="T34" i="980"/>
  <c r="S34" i="980"/>
  <c r="R34" i="980"/>
  <c r="M34" i="980"/>
  <c r="Z33" i="980"/>
  <c r="Y33" i="980"/>
  <c r="X33" i="980"/>
  <c r="W33" i="980"/>
  <c r="V33" i="980"/>
  <c r="U33" i="980"/>
  <c r="T33" i="980"/>
  <c r="S33" i="980"/>
  <c r="R33" i="980"/>
  <c r="Z32" i="980"/>
  <c r="Y32" i="980"/>
  <c r="X32" i="980"/>
  <c r="W32" i="980"/>
  <c r="V32" i="980"/>
  <c r="U32" i="980"/>
  <c r="T32" i="980"/>
  <c r="S32" i="980"/>
  <c r="R32" i="980"/>
  <c r="Z31" i="980"/>
  <c r="Y31" i="980"/>
  <c r="X31" i="980"/>
  <c r="W31" i="980"/>
  <c r="V31" i="980"/>
  <c r="U31" i="980"/>
  <c r="T31" i="980"/>
  <c r="S31" i="980"/>
  <c r="R31" i="980"/>
  <c r="M31" i="980"/>
  <c r="Z30" i="980"/>
  <c r="Y30" i="980"/>
  <c r="X30" i="980"/>
  <c r="W30" i="980"/>
  <c r="V30" i="980"/>
  <c r="U30" i="980"/>
  <c r="T30" i="980"/>
  <c r="S30" i="980"/>
  <c r="R30" i="980"/>
  <c r="M30" i="980"/>
  <c r="Z29" i="980"/>
  <c r="Y29" i="980"/>
  <c r="X29" i="980"/>
  <c r="W29" i="980"/>
  <c r="V29" i="980"/>
  <c r="U29" i="980"/>
  <c r="T29" i="980"/>
  <c r="S29" i="980"/>
  <c r="R29" i="980"/>
  <c r="N10" i="984"/>
  <c r="N11" i="984"/>
  <c r="N13" i="984"/>
  <c r="N14" i="984"/>
  <c r="N15" i="984"/>
  <c r="K14" i="987"/>
  <c r="K15" i="987"/>
  <c r="K10" i="988"/>
  <c r="K11" i="988"/>
  <c r="K19" i="985"/>
  <c r="K20" i="985"/>
  <c r="K21" i="985"/>
  <c r="K22" i="985"/>
  <c r="K67" i="984" l="1"/>
  <c r="K69" i="986"/>
  <c r="K63" i="988"/>
  <c r="L47" i="989"/>
  <c r="C65" i="989" s="1"/>
  <c r="D54" i="994"/>
  <c r="G66" i="993"/>
  <c r="D53" i="993"/>
  <c r="L52" i="992"/>
  <c r="C66" i="992" s="1"/>
  <c r="J36" i="985"/>
  <c r="K52" i="992"/>
  <c r="K66" i="992" s="1"/>
  <c r="L53" i="993"/>
  <c r="C66" i="993" s="1"/>
  <c r="K75" i="985"/>
  <c r="D55" i="990"/>
  <c r="L55" i="990" s="1"/>
  <c r="C68" i="990" s="1"/>
  <c r="G73" i="991"/>
  <c r="D54" i="991"/>
  <c r="L54" i="991" s="1"/>
  <c r="C73" i="991" s="1"/>
  <c r="D49" i="990"/>
  <c r="L49" i="990" s="1"/>
  <c r="C65" i="990" s="1"/>
  <c r="J29" i="980"/>
  <c r="J25" i="987"/>
  <c r="J24" i="988"/>
  <c r="K32" i="987"/>
  <c r="L32" i="987" s="1"/>
  <c r="M32" i="987" s="1"/>
  <c r="I10" i="989"/>
  <c r="J21" i="989" s="1"/>
  <c r="J10" i="989"/>
  <c r="K28" i="989"/>
  <c r="L28" i="989" s="1"/>
  <c r="M28" i="989" s="1"/>
  <c r="M36" i="988"/>
  <c r="K31" i="988"/>
  <c r="L31" i="988" s="1"/>
  <c r="M31" i="988" s="1"/>
  <c r="J14" i="987"/>
  <c r="I14" i="987"/>
  <c r="D60" i="985"/>
  <c r="L60" i="985" s="1"/>
  <c r="D53" i="984"/>
  <c r="L53" i="984" s="1"/>
  <c r="K34" i="984"/>
  <c r="K37" i="986"/>
  <c r="L37" i="986" s="1"/>
  <c r="M37" i="986" s="1"/>
  <c r="K41" i="985"/>
  <c r="L41" i="985" s="1"/>
  <c r="I16" i="986"/>
  <c r="J27" i="986" s="1"/>
  <c r="J16" i="986"/>
  <c r="J31" i="985"/>
  <c r="K59" i="983"/>
  <c r="K72" i="983" s="1"/>
  <c r="J31" i="983"/>
  <c r="I17" i="984"/>
  <c r="J17" i="984"/>
  <c r="I16" i="984"/>
  <c r="J16" i="984"/>
  <c r="I15" i="984"/>
  <c r="J15" i="984"/>
  <c r="I14" i="984"/>
  <c r="J14" i="984"/>
  <c r="J13" i="984"/>
  <c r="I13" i="984"/>
  <c r="I12" i="984"/>
  <c r="J12" i="984"/>
  <c r="J11" i="984"/>
  <c r="I10" i="984"/>
  <c r="J10" i="984"/>
  <c r="J24" i="982"/>
  <c r="K33" i="982"/>
  <c r="L33" i="982" s="1"/>
  <c r="K40" i="983"/>
  <c r="L40" i="983" s="1"/>
  <c r="J27" i="981"/>
  <c r="L37" i="981"/>
  <c r="K39" i="980"/>
  <c r="L39" i="980" s="1"/>
  <c r="L53" i="995" l="1"/>
  <c r="C66" i="995" s="1"/>
  <c r="H53" i="995"/>
  <c r="L54" i="994"/>
  <c r="C68" i="994" s="1"/>
  <c r="G68" i="994"/>
  <c r="G68" i="990"/>
  <c r="G66" i="992"/>
  <c r="G65" i="990"/>
  <c r="G65" i="989"/>
  <c r="D51" i="987"/>
  <c r="G65" i="987"/>
  <c r="D54" i="988"/>
  <c r="L54" i="988" s="1"/>
  <c r="C64" i="988" s="1"/>
  <c r="G64" i="988"/>
  <c r="D62" i="985"/>
  <c r="L62" i="985" s="1"/>
  <c r="C75" i="985" s="1"/>
  <c r="D55" i="984"/>
  <c r="L55" i="984" s="1"/>
  <c r="C67" i="984" s="1"/>
  <c r="D58" i="980"/>
  <c r="L58" i="980" s="1"/>
  <c r="C74" i="980" s="1"/>
  <c r="G72" i="981"/>
  <c r="I11" i="984"/>
  <c r="J25" i="984" s="1"/>
  <c r="M25" i="984"/>
  <c r="L25" i="984"/>
  <c r="L34" i="984" s="1"/>
  <c r="D58" i="981"/>
  <c r="L58" i="981" s="1"/>
  <c r="C72" i="981" s="1"/>
  <c r="O47" i="2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G62" i="18" l="1"/>
  <c r="G61" i="18"/>
  <c r="L51" i="987"/>
  <c r="C65" i="987" s="1"/>
  <c r="G67" i="984"/>
  <c r="G75" i="985"/>
  <c r="K59" i="658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G57" i="18"/>
  <c r="G58" i="18" l="1"/>
  <c r="G59" i="18"/>
  <c r="G74" i="980"/>
  <c r="P47" i="21"/>
  <c r="F10" i="21" s="1"/>
  <c r="G58" i="19" l="1"/>
  <c r="G61" i="19"/>
  <c r="G62" i="19"/>
  <c r="G59" i="19" l="1"/>
  <c r="G57" i="19"/>
  <c r="M46" i="985" l="1"/>
  <c r="M39" i="984"/>
  <c r="M45" i="983"/>
  <c r="M38" i="982"/>
  <c r="M44" i="980"/>
  <c r="M42" i="981"/>
  <c r="M33" i="982" l="1"/>
  <c r="M40" i="983"/>
  <c r="M37" i="981"/>
  <c r="M39" i="980"/>
  <c r="M41" i="985"/>
  <c r="M34" i="984"/>
  <c r="D64" i="985" l="1"/>
  <c r="L64" i="985" s="1"/>
  <c r="C73" i="985" s="1"/>
  <c r="G73" i="985"/>
  <c r="D56" i="986"/>
  <c r="L56" i="986" s="1"/>
  <c r="G67" i="991"/>
  <c r="D56" i="991"/>
  <c r="L56" i="991" s="1"/>
  <c r="C67" i="991" s="1"/>
  <c r="D50" i="988" l="1"/>
  <c r="L50" i="988" s="1"/>
  <c r="G72" i="983"/>
  <c r="D59" i="983"/>
  <c r="L59" i="983" s="1"/>
  <c r="C72" i="983" s="1"/>
  <c r="D58" i="986"/>
  <c r="L58" i="986" s="1"/>
  <c r="C69" i="986" s="1"/>
  <c r="G69" i="986"/>
  <c r="D52" i="988"/>
  <c r="L52" i="988" s="1"/>
  <c r="D51" i="990"/>
  <c r="L51" i="990" s="1"/>
  <c r="G62" i="990"/>
  <c r="D53" i="990"/>
  <c r="L53" i="990" s="1"/>
  <c r="C62" i="990" l="1"/>
  <c r="D56" i="981"/>
  <c r="L56" i="981" s="1"/>
  <c r="C69" i="981" s="1"/>
  <c r="C63" i="988"/>
  <c r="G63" i="988"/>
  <c r="G69" i="981" l="1"/>
  <c r="D56" i="18"/>
  <c r="G56" i="18" l="1"/>
  <c r="G65" i="18" l="1"/>
  <c r="G65" i="19" l="1"/>
  <c r="G56" i="19"/>
  <c r="J61" i="18" l="1"/>
  <c r="J57" i="18" l="1"/>
  <c r="J58" i="18"/>
  <c r="J62" i="18"/>
  <c r="J59" i="18"/>
  <c r="J56" i="18"/>
  <c r="J65" i="18" l="1"/>
  <c r="J59" i="19" l="1"/>
  <c r="J61" i="19"/>
  <c r="J58" i="19"/>
  <c r="J62" i="19" l="1"/>
  <c r="J57" i="19" l="1"/>
  <c r="J56" i="19" l="1"/>
  <c r="J65" i="19"/>
  <c r="N14" i="996"/>
  <c r="N14" i="997" l="1"/>
  <c r="D59" i="18" l="1"/>
  <c r="F47" i="989" l="1"/>
  <c r="F54" i="994"/>
  <c r="I47" i="989"/>
  <c r="H47" i="989"/>
  <c r="F51" i="987"/>
  <c r="D64" i="19"/>
  <c r="D62" i="19"/>
  <c r="D63" i="19"/>
  <c r="D60" i="19"/>
  <c r="D57" i="18"/>
  <c r="D59" i="19"/>
  <c r="H51" i="987" l="1"/>
  <c r="I51" i="987"/>
  <c r="I54" i="994"/>
  <c r="H54" i="994"/>
  <c r="D62" i="18"/>
  <c r="D57" i="19"/>
  <c r="D61" i="19"/>
  <c r="D61" i="18"/>
  <c r="D58" i="19"/>
  <c r="D58" i="18"/>
  <c r="D56" i="19" l="1"/>
  <c r="D65" i="19" l="1"/>
  <c r="D65" i="18"/>
  <c r="K11" i="998" l="1"/>
  <c r="K12" i="998"/>
  <c r="K13" i="998"/>
  <c r="K14" i="998"/>
  <c r="K11" i="997" l="1"/>
  <c r="K12" i="997"/>
  <c r="K13" i="997"/>
  <c r="K14" i="997"/>
  <c r="K10" i="998"/>
  <c r="K12" i="996" l="1"/>
  <c r="K13" i="996"/>
  <c r="K14" i="996"/>
  <c r="K16" i="996"/>
  <c r="K10" i="997"/>
  <c r="K15" i="994"/>
  <c r="K16" i="994"/>
  <c r="K17" i="994"/>
  <c r="K18" i="994"/>
  <c r="K10" i="996"/>
  <c r="K11" i="996"/>
  <c r="K11" i="993"/>
  <c r="K12" i="993"/>
  <c r="K13" i="993"/>
  <c r="K14" i="993"/>
  <c r="K15" i="993"/>
  <c r="K16" i="993"/>
  <c r="K17" i="993"/>
  <c r="K16" i="986"/>
  <c r="K10" i="992"/>
  <c r="K12" i="992"/>
  <c r="K13" i="992"/>
  <c r="K14" i="992"/>
  <c r="K15" i="992"/>
  <c r="K16" i="992"/>
  <c r="K17" i="992"/>
  <c r="K10" i="993"/>
  <c r="K10" i="986"/>
  <c r="K11" i="986"/>
  <c r="K12" i="986"/>
  <c r="K13" i="986"/>
  <c r="K14" i="986"/>
  <c r="K15" i="986"/>
  <c r="K20" i="984"/>
  <c r="K10" i="985"/>
  <c r="K11" i="985"/>
  <c r="K12" i="985"/>
  <c r="K13" i="985"/>
  <c r="K14" i="985"/>
  <c r="K15" i="985"/>
  <c r="K16" i="985"/>
  <c r="K17" i="981"/>
  <c r="K10" i="981"/>
  <c r="K11" i="981"/>
  <c r="K12" i="981"/>
  <c r="K13" i="981"/>
  <c r="K14" i="981"/>
  <c r="K15" i="981"/>
  <c r="K16" i="981"/>
  <c r="K10" i="980"/>
  <c r="K11" i="980"/>
  <c r="K12" i="980"/>
  <c r="K13" i="980"/>
  <c r="K14" i="980"/>
  <c r="K15" i="980"/>
  <c r="K16" i="980"/>
  <c r="K18" i="980"/>
  <c r="K11" i="992" l="1"/>
  <c r="K10" i="98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79B1855-DD18-4900-8386-BD6A5CDBDE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A696865-772E-4AD2-B4CF-E9DAB16EDA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1146727-7384-49FA-B375-E25AE795E1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C8513AC-2C0C-4B70-A61A-3D35EF567B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EA64992-0D88-4BBC-8A73-488D1CB32D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72AA79A-AE2A-4370-9376-5430196EE3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165A09D-DF9B-44FE-AC6D-1811DA24A7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36F268B-7D62-4CC2-9B04-F0F815041A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3520B03-C7FE-4FE2-84AB-CA47BD379E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2717008-04AC-4149-A933-139213D9BB6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3FDD8B9-72B7-44B6-8D2A-AC0A137280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50DF697-A365-4FFD-9470-799ABA51DD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632D919-50BE-4F8B-9360-DD1163CFAD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6E503C7-6567-47AF-8F8F-28600367E1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D009913-F9FD-4589-BBFF-138EF945CE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993D5A8-F0DE-49CA-ACD4-112B5D5609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30D58A7-1B4E-4199-9BBB-C6BC0A9F74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8B8C269-4225-4041-A46D-20422AF3C6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AB6FD59-04C4-4DA5-B2A0-73355D0AD0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22E88AA-2D02-41D5-AE16-E6021B5372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1A37791-9136-43A4-98F7-DB2D20C0034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D1A7F33-E070-43E3-A00F-0937B3176E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00EA8C0-2C70-412D-BA5B-E1CAC4AB04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5B0ADD7-E811-4017-B483-8EAB5296E8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0287B0A-1A59-4EB4-B722-5527387AA5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956C5B9-703C-48A6-8F56-AE35B10A46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FA6C380-3409-48D7-B34A-038241C84E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CDE99D6-9351-44CE-9D59-9A34C0854E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FB64D4A-5B3C-409B-9029-22DCDA1DEA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FAE2109-718F-4DA3-BD17-1E18E7E1AA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E77576F-5A1F-48BD-86F0-D29F44D577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4A145F0-61B2-4624-832B-A1F8B93CE6B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C018CF1-4906-45BC-AE8F-1AB24C9983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50BF3CC-08DE-4E56-B1CF-7256DE81D5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340061A-A793-4B32-9CE0-345EAB6C02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441F2E4-1B6C-4C2F-BE32-C618EA4C6E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45708F2-BD4A-4F03-BEAE-EAB20994DB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E570305-7A78-4242-88A8-ECF87A9F14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B09E150-DDD5-483A-92FE-01FFF5967E2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6F8F8B4-B24A-4675-BECC-F9890A769B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0F5CA44-54B5-40C2-AB9C-AE559C3D97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F5AA5C6-4A50-4014-B856-5F989082A5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FE9C238-8537-4BB1-BD1D-EE7703A469C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F7243CA-990F-4B5A-949E-D56187622F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A588915-C370-4C7F-8F45-D81150157B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24E474E-93C0-4468-AD86-E59E51EA7C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D99A46B-68C7-40FF-A00A-89D6C403A3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4915E9E-A40F-456A-A241-1AE0A648E9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989C1F0-E3DB-4AC1-B124-E5E5ABEF93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00AC885-05E8-48B3-A918-640918239E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B24223E-5226-487A-970B-B3A3BF958C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20AFEFD-B77B-46D1-9F7A-1F774C5995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9B4F16E-23BD-451B-81BA-A49AC76341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82B1CF2-5605-4E4F-A98D-50B96A042C4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76534F3-4497-4455-B747-EABCCCF1D86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B55" authorId="1" shapeId="0" xr:uid="{4D44E343-ACE9-40C7-A67E-7973698B51F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pm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FE30CA8-C544-451C-BB57-C407E57066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A5331DA-02AD-4D0E-B406-37120C2B51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299D97A-91FF-4AA1-91AA-53EE021995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2FC196E-9AE8-4D2B-B4CA-AAD7F0AE6A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F3638DC-4E91-4D6C-A011-38A9D06262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9889FD0-5956-4260-A984-C6A53BCADA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15ACCFB-5032-46E6-B493-03CEA8B804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31C8DA5-72D6-428C-81BF-531E805A08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74534F0-8BB7-4A54-AB3A-59FEEB477F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AC4DE98-E44A-4911-8724-BD7592E1EEF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E3CFC79-7CB3-4FAD-88CE-6C7ACB1F35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5BDA1F4-B99F-4FC2-94F3-4FAA7557A4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B9D132E-B495-46ED-9599-FEE0B797CE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72A7868-5DCC-4009-BC90-5148961990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5105134-3BDD-42B2-8632-7F2AC27955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843EE61-C815-445A-8444-7E91B74B26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042DCEA-0692-4FA3-BA69-42B2765867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91E9F21-E44D-4871-A9F9-47466EEBA09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8FB1E6D-6A74-48B8-8EA6-902BFC0626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40ABB4A-7B36-4CD5-9EF1-44499EEE01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8B1CB86-EC47-45EB-9C4F-D11C2591D2F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B62FEAB-0F81-4542-8AF1-E30CA5778C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C485CA9-2B8F-42C1-94BC-313A2BFBD1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E30F71D-D25E-4B41-8178-AE96652A9B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1E18993-F9BB-4546-BFC3-12A436220A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8E6968E-8607-4CE0-AE06-DEE323CB59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30D5402-A0C8-43F9-8237-257959118A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501DD25-A3E4-4A98-849D-5F20499FD7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547441E-3FDC-4B3E-A0FC-A48DA78002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1FB8B19-4FC7-4B5B-8F7B-F414A702EA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226CF35-C297-4923-B461-E11325FD49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9820264-AC47-4371-8561-436C4DC7520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5F62E7E-4661-42ED-8174-F12926F2FB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16345FC-A29B-4A2D-978A-90E2953695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80BAAB0-889E-42BE-A8AC-2FB16F4E40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FBA66AC-D60D-44DF-9FF8-D8E5DD7C93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9F5D2B5-6759-43B9-B675-2D1C9C9434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2D0D4D1-7A8B-4D8E-B28A-9B29190760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CDF8165-906C-4B8A-B317-A722B10A99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8D24F2D-5E1E-4E24-B368-C27DD4D838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50B6FBF-D377-48E5-A713-DA349B10D6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1C5D2C3-67E5-4540-BF46-0236A330A1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331B043-23C3-443D-A571-F16A00DE6E1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2ECE29D-6625-4381-B8B0-FBCB9F74E8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C78EC6F-1A31-41B7-8DDA-4DBF7E263D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AF2DF87-7BE5-43C0-9A90-DD794CEAC6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BE106F5-6059-44E9-85DA-21D636270A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63037FD-33C9-4B61-9339-8018A5E775E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6E26FB5-3236-4966-818C-11E8537267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8ACAF2B-30B8-4363-80A2-F6BEA75ABB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DF0F58D-26B5-475E-9AC2-34C129A83B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6143525-66BE-4206-B197-796707E33C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3A6463D-15E1-4A9C-B5E3-A524BF3D57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6A8FD71-FBB1-45DA-9AF9-400D9D9E425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906C7AB-F6CB-4C93-8C81-18CE31C482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2F8602A-772E-496C-8905-8B0F6A80AD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E958A36-725F-48FB-83B8-86931429EC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1FB983D-3CC6-4411-B7B8-54B730BB49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E99F2D5-1475-4B18-932A-1C2DBB5FA8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8DC15B0-2CE8-46D1-B540-2D191507D6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E697564-C9FE-4F4B-98D1-94FAD8D459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2F107D2-6C5A-4637-B9CD-BB36A3652D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1F957BC-4D5A-4D6A-A85B-82D6364DAF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D900F8A-3398-4E1A-934E-36D5534BB4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A036CD5-CF42-44F6-8374-7546C7D5EF6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381FA38-5873-47F3-97E0-7440BAF64F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00BC016-CFED-44DB-9785-EC8FFB5EA3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9EF8329-B59B-4B3A-872E-7B8FE71268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AED3E59-14F3-4300-92AC-00815249CC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2081C7A-1A3B-439D-A985-5D2D8F3ACF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C446EC2-7A27-4FEA-B779-0344593427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ED4EF0A-F860-437C-B5D6-D15BD5D8E7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0F80A7F-2EA2-4628-BB31-175203DE8A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E8ED3EE-85FA-4215-8298-04D8E940BD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83BD511-5DF6-430D-83D6-3AF1F9E3F8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D91B483-8164-4397-A82F-AEA5491F50A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593C104-68F2-4D53-9EC8-88CEEAFF4FE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977E81B-C62E-4BC9-9DD4-6D17507682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5471F1F-08EC-4F6C-AC26-0F9195C8BF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5ACB864-ECA2-49FA-881D-F15C4CA6AC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C9A8E72-435E-4446-86D3-98C099E0B9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DBB73A8-8822-4D52-B125-942218022D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D9E1510-9EB8-4133-9E62-5BE8BFABC6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E6B234E-DAE5-4BE2-987B-5106682A49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253816D-E22B-4300-8299-0BDCE74866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F94AFB1-A033-4AC8-AB16-DA93D7641F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7C7DC7A-E8E8-4D86-BE31-C87F23CA680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D17D7F1-AEC5-4DEA-99B5-2809078FF0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F167FDA-0090-47E9-9BA4-65EBD7AC75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9D70962-0596-41DE-9269-BBBB8E26C5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46ABDB1-7C1B-4432-9FDC-244C39AC24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FB5A74E-EE37-4C11-A16E-107A6FAEB3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876A726-34D0-464E-A453-53D2075185C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6464E20-F14D-4BBA-B5F3-A2F0899FA0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FBE5CCF-E818-4FD4-8354-97FBA197D0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F9AC91A-327A-4B54-83CC-2A0674CCDE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F59227E-AADA-48B2-9EF1-F4835FF4DF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04AE7BF-DC5E-42B1-9E9F-B86525386B6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4C7FDEA-81F6-4532-98E2-6B9F587781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29650AA-D6DE-4F43-9A8A-4F14862CBE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DF9A2B1-E94C-467F-9B56-ABD534B094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DE3CC6C-7B07-4274-9DEA-623C9EF269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6B330CD-EC5B-4307-B5AC-7665A107BA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2B5C250-B9BC-4372-B8C0-E757019E29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D9DF3F2-E89D-4ACD-886E-4E32D7ED46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31FA255-FB7D-414C-8F04-B30610235A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AFDDF65-F1A7-40C9-A7A8-F7D11708D0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83F80B5-E377-45B9-8E8F-24FB7B35EA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81A8FD1-D82D-4EAC-AD28-0764CEF45DD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45F6F5B-E32E-4050-AB04-C58499126C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0C6D0BB-CEDF-41A3-B280-C1E85E5BE8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430DC66-3483-4776-894F-6E5AE039D5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70A9DF5-406B-4E89-9782-1CD7301BA3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2CA6297-F6B1-4BCB-8D57-00B372A8E2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8F31D66-981A-40B6-AAC9-935D900FD9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F90F041-5B27-4E1C-AA1D-82ED4EDBC0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FF01FD7-6865-4E18-9D57-12C3C1EBB6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8C87053-B444-4D40-BA13-ABBAA32437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5BA16AF-76FD-4D40-9A23-A595D0867A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5E9D053-727F-4198-AB2D-F4234E426C5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442C7CA-A3C9-42B4-B582-08729E198B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CCC8D2D-0B0C-4F2E-8166-203AC9345D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5EF21A5-EFCB-4AF8-A2EB-D81ABBB829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DCAFADD-34EA-4944-A492-2651BD4E71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F883147-C822-4FC3-B511-190FC83FBC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0CEA6ED-92FA-41D9-BA1B-167CBDC262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8E496DC-1560-46D0-B64A-F8A7AF3B99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222BD85-C0FC-4CB9-83E5-54B4A6C325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C5A908B-DC0C-4D64-AA69-2E6AA156F1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B6F9EE5-FC06-4C8D-B587-EBA45177E3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4D9BCF1-80F3-40FA-8DE0-B7ABE708919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15CC928-EEB5-4EDF-B7D1-EED2C3E7FA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7571D07-EE80-42CA-811D-9F5AF4474FC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21C2898-FCD2-40AA-B558-C8F805C9BF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A399D1F-85C9-491D-B276-5B8036B1D0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3247FA6-C614-4429-A9FD-441482DA91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0ACC610-8E05-4DBE-842E-4194A463EC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D4C38FD-1C35-47F3-A738-E0A4165EA0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9077CEE-3FC5-4FE2-B417-0235230C59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344100C-269A-45E3-B5E2-90C2615891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E60D686-6621-4BC9-85AA-B3062C16DF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CAB82FA-C35E-4C2B-9D16-1E60F243565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52B2EFF-DCE6-4ACC-A4C9-A6023F0E41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A5E4712-73E8-431D-B4E5-8AE2BAEB88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FCB86C7-F997-47C5-89D6-602E9CAFA8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0A6DBAE-2E3E-457D-8B66-69E7D45D30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B063727-E3E3-4009-8974-4A136BB0A1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29FC48D-A2BE-42A7-9A94-6ABC536982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0CB3749-BDD1-478D-85B5-AB8F9368DA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92F83E9-72A1-42D9-ABBF-746715D9DD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214103C-C548-4943-9E5D-F186523B9A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D9D3598-8AB4-487A-ABD8-F18CB4043A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973B99A-F6BC-49C5-9F34-AF772CA826A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5B172AD-7EE4-419A-BA41-936C1A10A1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84796A0-7829-4F54-9688-76809BFE20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F0BB735-55A2-4013-884E-8594E51420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636311B-788E-444D-8B55-2A6FB37A8D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A092BBC-4DEA-469E-A293-4EB137F2DB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9DCB2F9-AA33-4AB6-914E-14857F4D23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F8B6972-07EA-4979-A9D2-AE2E84A915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2421B75-C86F-4A57-9117-5F92C24514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8747178-9498-4351-AB61-009F4E91F6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414E0F1-5A63-4309-A8C8-F76E5596AD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6BCF590-8B26-48FC-B189-14D30A6C1AD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D4B0C63-1BB2-4839-923F-2D2FA48325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sharedStrings.xml><?xml version="1.0" encoding="utf-8"?>
<sst xmlns="http://schemas.openxmlformats.org/spreadsheetml/2006/main" count="3089" uniqueCount="212">
  <si>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</si>
  <si>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</si>
  <si>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</si>
  <si>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</si>
  <si>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</si>
  <si>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</si>
  <si>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</si>
  <si>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</si>
  <si>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</si>
  <si>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</si>
  <si>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</si>
  <si>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</si>
  <si>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</si>
  <si>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</si>
  <si>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</si>
  <si>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</si>
  <si>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</si>
  <si>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</si>
  <si>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</si>
  <si>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</si>
  <si>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</si>
  <si>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</si>
  <si>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</si>
  <si>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</si>
  <si>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</si>
  <si>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</si>
  <si>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</si>
  <si>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</si>
  <si>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</si>
  <si>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</si>
  <si>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</si>
  <si>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</si>
  <si>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</si>
  <si>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</si>
  <si>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</si>
  <si>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</si>
  <si>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</si>
  <si>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</si>
  <si>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</si>
  <si>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</si>
  <si>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</si>
  <si>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</si>
  <si>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</si>
  <si>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</si>
  <si>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</si>
  <si>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</si>
  <si>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</si>
  <si>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</si>
  <si>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</si>
  <si>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</si>
  <si>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</si>
  <si>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</si>
  <si>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</si>
  <si>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</si>
  <si>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</si>
  <si>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</si>
  <si>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</si>
  <si>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</si>
  <si>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</si>
  <si>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</si>
  <si>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</si>
  <si>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</si>
  <si>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</si>
  <si>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</si>
  <si>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</si>
  <si>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</si>
  <si>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</si>
  <si>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</si>
  <si>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</si>
  <si>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</si>
  <si>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</si>
  <si>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</si>
  <si>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</si>
  <si>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</si>
  <si>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</si>
  <si>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</si>
  <si>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</si>
  <si>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</si>
  <si>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</si>
  <si>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</si>
  <si>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</si>
  <si>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</si>
  <si>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</si>
  <si>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</si>
  <si>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</si>
  <si>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</si>
  <si>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</si>
  <si>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</si>
  <si>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</si>
  <si>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</si>
  <si>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</si>
  <si>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</si>
  <si>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</si>
  <si>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</si>
  <si>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</si>
  <si>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</si>
  <si>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</si>
  <si>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</si>
  <si>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</si>
  <si>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</si>
  <si>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</si>
  <si>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</si>
  <si>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</si>
  <si>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</si>
  <si>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</si>
  <si>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</si>
  <si>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</si>
  <si>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</si>
  <si>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</si>
  <si>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</si>
  <si>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</si>
  <si>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</si>
  <si>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</si>
  <si>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</si>
  <si>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</si>
  <si>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</si>
  <si>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</si>
  <si>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</si>
  <si>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</si>
  <si>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</si>
  <si>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</si>
  <si>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</si>
  <si>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</si>
  <si>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</si>
  <si>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</si>
  <si>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</si>
  <si>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</si>
  <si>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</si>
  <si>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</si>
  <si>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</si>
  <si>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</si>
  <si>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</si>
  <si>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</si>
  <si>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</si>
  <si>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</si>
  <si>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</si>
  <si>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</si>
  <si>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</si>
  <si>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</si>
  <si>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</si>
  <si>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</si>
  <si>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</si>
  <si>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</si>
  <si>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</si>
  <si>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</si>
  <si>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</si>
  <si>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</si>
  <si>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</si>
  <si>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</si>
  <si>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</si>
  <si>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</si>
  <si>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</si>
  <si>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</si>
  <si>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</si>
  <si>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</si>
  <si>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</si>
  <si>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</si>
  <si>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</si>
  <si>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</si>
  <si>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</si>
  <si>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</si>
  <si>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</si>
  <si>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</si>
  <si>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</si>
  <si>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</si>
  <si>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>Extr. Rec (77.9%)</t>
  </si>
  <si>
    <t xml:space="preserve">  </t>
  </si>
  <si>
    <t xml:space="preserve">LOT WORT COLOUR: </t>
  </si>
  <si>
    <t xml:space="preserve">          </t>
  </si>
  <si>
    <t>Brewing Time</t>
  </si>
  <si>
    <t xml:space="preserve"> MALT LOT: Lot #13</t>
  </si>
  <si>
    <t>1 SBF</t>
  </si>
  <si>
    <t>Brews Achieved</t>
  </si>
  <si>
    <t>NO SBF</t>
  </si>
  <si>
    <t>J. Nelson</t>
  </si>
  <si>
    <t xml:space="preserve">spent grain transfer issues </t>
  </si>
  <si>
    <t>low sparging temp due to hot water circulation pump not turning on, extra boil (15mins)</t>
  </si>
  <si>
    <t>D. Emery</t>
  </si>
  <si>
    <t>wort transfer pump and valve issue</t>
  </si>
  <si>
    <t>copper up in pre-run</t>
  </si>
  <si>
    <t>spent grain issue</t>
  </si>
  <si>
    <t>5 SBF</t>
  </si>
  <si>
    <t>K. Neptune</t>
  </si>
  <si>
    <t>low steam pressure</t>
  </si>
  <si>
    <t>late spent grain pick up</t>
  </si>
  <si>
    <t>Brews Achieved (3rd)</t>
  </si>
  <si>
    <t>2 SBF</t>
  </si>
  <si>
    <t>G. Mason</t>
  </si>
  <si>
    <t>K. Hosten</t>
  </si>
  <si>
    <t>Brew held in WK due to CIP issues in WHP/ WC</t>
  </si>
  <si>
    <t>HLT pump needed to be switched back to production ( in use for CIP)</t>
  </si>
  <si>
    <t>spent grain issues</t>
  </si>
  <si>
    <t xml:space="preserve">Extra boil </t>
  </si>
  <si>
    <t xml:space="preserve">Copper up pre-run tank </t>
  </si>
  <si>
    <t>15mins extra boil</t>
  </si>
  <si>
    <t>brew kettle up in pre-run tank ( high temp while cooling)</t>
  </si>
  <si>
    <t>Brews Achieved (8th)</t>
  </si>
  <si>
    <t xml:space="preserve">D. Emery </t>
  </si>
  <si>
    <t>3 SBF</t>
  </si>
  <si>
    <t>copper up in pre-run tank</t>
  </si>
  <si>
    <t>copper up delay slow heat up</t>
  </si>
  <si>
    <t>D.Emery</t>
  </si>
  <si>
    <t>5SBF</t>
  </si>
  <si>
    <t>R. Regis</t>
  </si>
  <si>
    <t>Steam valve issue on wort kettle</t>
  </si>
  <si>
    <t>1 BREAK</t>
  </si>
  <si>
    <t>VM/SM</t>
  </si>
  <si>
    <t xml:space="preserve">problem with sliding valve to mash &amp; late skip pick up </t>
  </si>
  <si>
    <t>lautering issues (slow run-off)</t>
  </si>
  <si>
    <t xml:space="preserve">Copper up in [re-run tank </t>
  </si>
  <si>
    <t>T.Charles</t>
  </si>
  <si>
    <t>Silo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</si>
</sst>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5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9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165" fontId="20" fillId="0" borderId="13" xfId="3" applyFont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170" fontId="8" fillId="0" borderId="0" xfId="4" applyNumberFormat="1" applyFont="1" applyFill="1" applyBorder="1" applyAlignment="1">
      <alignment horizontal="center" vertical="center"/>
    </xf>
    <xf numFmtId="2" fontId="79" fillId="0" borderId="0" xfId="3" applyNumberFormat="1" applyFont="1" applyAlignment="1">
      <alignment horizontal="center" vertical="center"/>
    </xf>
    <xf numFmtId="165" fontId="27" fillId="0" borderId="0" xfId="3" applyFont="1" applyAlignment="1">
      <alignment horizontal="center" vertical="center"/>
    </xf>
    <xf numFmtId="165" fontId="10" fillId="3" borderId="1" xfId="3" applyFont="1" applyFill="1" applyBorder="1"/>
    <xf numFmtId="166" fontId="10" fillId="3" borderId="1" xfId="3" applyNumberFormat="1" applyFont="1" applyFill="1" applyBorder="1"/>
    <xf numFmtId="166" fontId="10" fillId="3" borderId="2" xfId="3" applyNumberFormat="1" applyFont="1" applyFill="1" applyBorder="1"/>
    <xf numFmtId="1" fontId="10" fillId="3" borderId="1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/>
    <xf numFmtId="166" fontId="10" fillId="0" borderId="0" xfId="3" applyNumberFormat="1" applyFont="1" applyAlignment="1">
      <alignment vertical="center"/>
    </xf>
    <xf numFmtId="20" fontId="9" fillId="4" borderId="17" xfId="3" applyNumberFormat="1" applyFont="1" applyFill="1" applyBorder="1" applyAlignment="1">
      <alignment horizontal="center" vertical="center" wrapText="1"/>
    </xf>
    <xf numFmtId="20" fontId="9" fillId="4" borderId="18" xfId="3" applyNumberFormat="1" applyFont="1" applyFill="1" applyBorder="1" applyAlignment="1">
      <alignment horizontal="center" vertical="center" wrapText="1"/>
    </xf>
    <xf numFmtId="169" fontId="34" fillId="0" borderId="41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2" fontId="40" fillId="0" borderId="1" xfId="3" applyNumberFormat="1" applyFont="1" applyBorder="1" applyAlignment="1">
      <alignment horizontal="right"/>
    </xf>
    <xf numFmtId="165" fontId="9" fillId="0" borderId="27" xfId="3" applyFont="1" applyBorder="1" applyAlignment="1">
      <alignment vertical="center" wrapText="1"/>
    </xf>
    <xf numFmtId="16" fontId="9" fillId="0" borderId="86" xfId="3" applyNumberFormat="1" applyFont="1" applyBorder="1" applyAlignment="1">
      <alignment horizontal="center" vertical="center"/>
    </xf>
    <xf numFmtId="165" fontId="20" fillId="0" borderId="18" xfId="3" applyFont="1" applyBorder="1" applyAlignment="1">
      <alignment horizontal="center" vertical="center"/>
    </xf>
    <xf numFmtId="165" fontId="87" fillId="0" borderId="18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166" fontId="9" fillId="23" borderId="1" xfId="3" applyNumberFormat="1" applyFont="1" applyFill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65" fontId="80" fillId="0" borderId="18" xfId="3" applyFont="1" applyBorder="1" applyAlignment="1">
      <alignment horizontal="center" vertical="center"/>
    </xf>
    <xf numFmtId="166" fontId="9" fillId="4" borderId="51" xfId="3" applyNumberFormat="1" applyFont="1" applyFill="1" applyBorder="1" applyAlignment="1">
      <alignment horizontal="right"/>
    </xf>
    <xf numFmtId="165" fontId="79" fillId="0" borderId="18" xfId="3" applyFont="1" applyBorder="1" applyAlignment="1">
      <alignment horizontal="center" vertical="center"/>
    </xf>
    <xf numFmtId="165" fontId="85" fillId="0" borderId="18" xfId="3" applyFont="1" applyBorder="1" applyAlignment="1">
      <alignment horizontal="center" vertical="center"/>
    </xf>
    <xf numFmtId="167" fontId="8" fillId="4" borderId="11" xfId="3" applyNumberFormat="1" applyFont="1" applyFill="1" applyBorder="1" applyAlignment="1">
      <alignment horizontal="center"/>
    </xf>
    <xf numFmtId="165" fontId="5" fillId="2" borderId="10" xfId="2" applyNumberFormat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6" fontId="9" fillId="4" borderId="1" xfId="3" applyNumberFormat="1" applyFont="1" applyFill="1" applyBorder="1" applyAlignment="1">
      <alignment horizontal="center" vertical="center"/>
    </xf>
    <xf numFmtId="165" fontId="10" fillId="3" borderId="0" xfId="3" applyFont="1" applyFill="1"/>
    <xf numFmtId="166" fontId="10" fillId="3" borderId="0" xfId="3" applyNumberFormat="1" applyFont="1" applyFill="1"/>
    <xf numFmtId="167" fontId="9" fillId="3" borderId="0" xfId="3" applyNumberFormat="1" applyFont="1" applyFill="1" applyAlignment="1">
      <alignment horizontal="right"/>
    </xf>
    <xf numFmtId="167" fontId="9" fillId="3" borderId="0" xfId="3" applyNumberFormat="1" applyFont="1" applyFill="1" applyAlignment="1">
      <alignment horizontal="right" vertical="center"/>
    </xf>
    <xf numFmtId="1" fontId="10" fillId="3" borderId="0" xfId="3" applyNumberFormat="1" applyFont="1" applyFill="1" applyAlignment="1">
      <alignment horizontal="center"/>
    </xf>
    <xf numFmtId="165" fontId="9" fillId="0" borderId="50" xfId="3" applyFont="1" applyBorder="1" applyAlignment="1">
      <alignment horizontal="left" vertical="center" wrapText="1"/>
    </xf>
    <xf numFmtId="2" fontId="79" fillId="0" borderId="1" xfId="3" applyNumberFormat="1" applyFont="1" applyBorder="1" applyAlignment="1">
      <alignment horizontal="right"/>
    </xf>
    <xf numFmtId="167" fontId="21" fillId="4" borderId="11" xfId="3" applyNumberFormat="1" applyFont="1" applyFill="1" applyBorder="1" applyAlignment="1">
      <alignment horizontal="center" vertical="center"/>
    </xf>
    <xf numFmtId="1" fontId="8" fillId="4" borderId="1" xfId="3" applyNumberFormat="1" applyFont="1" applyFill="1" applyBorder="1" applyAlignment="1">
      <alignment horizontal="center" vertical="center"/>
    </xf>
    <xf numFmtId="1" fontId="9" fillId="4" borderId="1" xfId="3" applyNumberFormat="1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3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14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4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6" fontId="9" fillId="27" borderId="83" xfId="3" applyNumberFormat="1" applyFont="1" applyFill="1" applyBorder="1" applyAlignment="1">
      <alignment horizontal="center" vertical="center"/>
    </xf>
    <xf numFmtId="166" fontId="9" fillId="27" borderId="19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27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6" fontId="8" fillId="0" borderId="82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10" fillId="3" borderId="1" xfId="0" applyFont="1" applyFill="1" applyBorder="1" applyAlignment="1">
      <alignment horizont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9" fillId="0" borderId="11" xfId="3" applyFont="1" applyBorder="1" applyAlignment="1">
      <alignment horizontal="center" vertical="center" wrapText="1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6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23" xfId="3" applyFont="1" applyBorder="1" applyAlignment="1">
      <alignment horizontal="center" vertic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5" xfId="3" applyFont="1" applyBorder="1" applyAlignment="1">
      <alignment horizontal="center" vertical="center" wrapText="1"/>
    </xf>
    <xf numFmtId="165" fontId="40" fillId="0" borderId="38" xfId="3" applyFont="1" applyBorder="1" applyAlignment="1">
      <alignment horizontal="center" vertical="center" wrapText="1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0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35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846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FF0000"/>
      <color rgb="FFFF66FF"/>
      <color rgb="FFFF0066"/>
      <color rgb="FFFF9999"/>
      <color rgb="FFCC3300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63" Type="http://schemas.openxmlformats.org/officeDocument/2006/relationships/externalLink" Target="externalLinks/externalLink38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28.xml"/><Relationship Id="rId58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4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39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34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37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3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60" Type="http://schemas.openxmlformats.org/officeDocument/2006/relationships/externalLink" Target="externalLinks/externalLink35.xml"/><Relationship Id="rId65" Type="http://schemas.openxmlformats.org/officeDocument/2006/relationships/externalLink" Target="externalLinks/externalLink4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9.xml"/><Relationship Id="rId50" Type="http://schemas.openxmlformats.org/officeDocument/2006/relationships/externalLink" Target="externalLinks/externalLink25.xml"/><Relationship Id="rId55" Type="http://schemas.openxmlformats.org/officeDocument/2006/relationships/externalLink" Target="externalLinks/externalLink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February%20'26%20Daily%20Process%20Report%202026.xlsx" TargetMode="External"/><Relationship Id="rId1" Type="http://schemas.openxmlformats.org/officeDocument/2006/relationships/externalLinkPath" Target="February%20'26%20Daily%20Process%20Report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rch'26%20Daily%20Process%20Report%202026.xlsx" TargetMode="External"/><Relationship Id="rId1" Type="http://schemas.openxmlformats.org/officeDocument/2006/relationships/externalLinkPath" Target="March'26%20Daily%20Process%20Report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pril%20'26%20Daily%20Process%20Report%202026.xlsx" TargetMode="External"/><Relationship Id="rId1" Type="http://schemas.openxmlformats.org/officeDocument/2006/relationships/externalLinkPath" Target="April%20'26%20Daily%20Process%20Report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May_2026.xls" TargetMode="External"/><Relationship Id="rId2" Type="http://schemas.openxmlformats.org/officeDocument/2006/relationships/externalLinkPath" Target="file:///F:\Operations\Brewing\Reports%20Local\Losses%202026\May_2026.xls" TargetMode="External"/><Relationship Id="rId1" Type="http://schemas.openxmlformats.org/officeDocument/2006/relationships/externalLinkPath" Target="/Operations/Brewing/Reports%20Local/Losses%202026/May_2026.xls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ogbooks/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May '26"/>
      <sheetName val="Summary April '26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22">
          <cell r="AS22">
            <v>90.83852238031325</v>
          </cell>
        </row>
        <row r="23">
          <cell r="AS23">
            <v>96.684836556310898</v>
          </cell>
        </row>
        <row r="24">
          <cell r="AS24">
            <v>99.232339589579539</v>
          </cell>
        </row>
        <row r="25">
          <cell r="AS25">
            <v>97.192444367259839</v>
          </cell>
        </row>
        <row r="26">
          <cell r="AS26">
            <v>97.669442273884727</v>
          </cell>
        </row>
        <row r="27">
          <cell r="AS27">
            <v>98.409669512415022</v>
          </cell>
        </row>
        <row r="28">
          <cell r="AS28">
            <v>98.526897208705151</v>
          </cell>
        </row>
        <row r="29">
          <cell r="AS29">
            <v>98.632992892535128</v>
          </cell>
        </row>
        <row r="30">
          <cell r="AS30">
            <v>109.99798711625786</v>
          </cell>
        </row>
        <row r="31">
          <cell r="AS31">
            <v>97.655248935825526</v>
          </cell>
        </row>
        <row r="32">
          <cell r="AS32">
            <v>95.59750367474058</v>
          </cell>
        </row>
        <row r="33">
          <cell r="AS33">
            <v>91.227014661850589</v>
          </cell>
        </row>
        <row r="34">
          <cell r="AS34">
            <v>99.225964512754345</v>
          </cell>
        </row>
        <row r="35">
          <cell r="AS35">
            <v>96.399159890042384</v>
          </cell>
        </row>
        <row r="36">
          <cell r="AS36">
            <v>97.533873677524795</v>
          </cell>
        </row>
        <row r="37">
          <cell r="AS37">
            <v>98.662767363445553</v>
          </cell>
        </row>
        <row r="38">
          <cell r="AS38">
            <v>98.110362343721974</v>
          </cell>
        </row>
        <row r="39">
          <cell r="AS39">
            <v>97.644364444691902</v>
          </cell>
        </row>
        <row r="40">
          <cell r="AS40">
            <v>97.453064155420094</v>
          </cell>
        </row>
        <row r="41">
          <cell r="AS41">
            <v>100.20702691272596</v>
          </cell>
        </row>
        <row r="42">
          <cell r="AS42">
            <v>96.346712472097764</v>
          </cell>
        </row>
        <row r="43">
          <cell r="AS43">
            <v>97.523568316559476</v>
          </cell>
        </row>
        <row r="44">
          <cell r="AS44">
            <v>95.926010836532257</v>
          </cell>
        </row>
        <row r="45">
          <cell r="AS45">
            <v>93.454371995230545</v>
          </cell>
        </row>
        <row r="46">
          <cell r="AS46">
            <v>98.103230583960681</v>
          </cell>
        </row>
        <row r="47">
          <cell r="AS47">
            <v>100.44904539532449</v>
          </cell>
        </row>
        <row r="48">
          <cell r="AS48">
            <v>95.833135510284677</v>
          </cell>
        </row>
        <row r="49">
          <cell r="AS49">
            <v>99.410610314879818</v>
          </cell>
        </row>
        <row r="50">
          <cell r="AS50">
            <v>97.098158462404967</v>
          </cell>
        </row>
        <row r="51">
          <cell r="AS51">
            <v>0</v>
          </cell>
        </row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2">
          <cell r="AS82">
            <v>99.025209415013663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25">
          <cell r="AS125">
            <v>91.706323721321553</v>
          </cell>
        </row>
        <row r="126">
          <cell r="AS126">
            <v>97.990435086817186</v>
          </cell>
        </row>
        <row r="127">
          <cell r="AS127">
            <v>98.099792913221961</v>
          </cell>
        </row>
        <row r="128">
          <cell r="AS128">
            <v>97.016230942599037</v>
          </cell>
        </row>
        <row r="129">
          <cell r="AS129">
            <v>97.224790380282329</v>
          </cell>
        </row>
        <row r="130">
          <cell r="AS130">
            <v>100.12446085425042</v>
          </cell>
        </row>
        <row r="131">
          <cell r="AS131">
            <v>97.065060568710209</v>
          </cell>
        </row>
        <row r="132">
          <cell r="AS132">
            <v>99.975893759521298</v>
          </cell>
        </row>
        <row r="133">
          <cell r="AS133">
            <v>97.744854170435261</v>
          </cell>
        </row>
        <row r="134">
          <cell r="AS134">
            <v>97.537234970496229</v>
          </cell>
        </row>
        <row r="135">
          <cell r="AS135">
            <v>100.40321390300859</v>
          </cell>
        </row>
        <row r="136">
          <cell r="AS136">
            <v>96.434077770876058</v>
          </cell>
        </row>
        <row r="137">
          <cell r="AS137">
            <v>98.484252856431482</v>
          </cell>
        </row>
        <row r="138">
          <cell r="AS138">
            <v>95.389217922687735</v>
          </cell>
        </row>
        <row r="139">
          <cell r="AS139">
            <v>99.224351098396042</v>
          </cell>
        </row>
        <row r="140">
          <cell r="AS140">
            <v>99.32353232094539</v>
          </cell>
        </row>
        <row r="141">
          <cell r="AS141">
            <v>98.997632648360266</v>
          </cell>
        </row>
        <row r="142">
          <cell r="AS142">
            <v>97.463760265996399</v>
          </cell>
        </row>
        <row r="143">
          <cell r="AS143">
            <v>98.264063319970077</v>
          </cell>
        </row>
        <row r="144">
          <cell r="AS144">
            <v>98.548192719950322</v>
          </cell>
        </row>
        <row r="145">
          <cell r="AS145">
            <v>98.823429599635432</v>
          </cell>
        </row>
        <row r="146">
          <cell r="AS146">
            <v>100.44128447905582</v>
          </cell>
        </row>
        <row r="147">
          <cell r="AS147">
            <v>99.541673683507312</v>
          </cell>
        </row>
        <row r="148">
          <cell r="AS148">
            <v>98.983156674800313</v>
          </cell>
        </row>
        <row r="149">
          <cell r="AS149">
            <v>98.87270268473425</v>
          </cell>
        </row>
        <row r="150">
          <cell r="AS150">
            <v>93.677898473705298</v>
          </cell>
        </row>
        <row r="151">
          <cell r="AS151">
            <v>96.09626744823305</v>
          </cell>
        </row>
        <row r="152">
          <cell r="AS152">
            <v>97.393225185801398</v>
          </cell>
        </row>
        <row r="153">
          <cell r="AS153">
            <v>99.51827092226965</v>
          </cell>
        </row>
        <row r="154">
          <cell r="AS154">
            <v>98.297037775048096</v>
          </cell>
        </row>
        <row r="155">
          <cell r="AS155">
            <v>98.699180649962642</v>
          </cell>
        </row>
        <row r="156">
          <cell r="AS156">
            <v>99.709379094868325</v>
          </cell>
        </row>
        <row r="157">
          <cell r="AS157">
            <v>99.20510217019843</v>
          </cell>
        </row>
        <row r="158">
          <cell r="AS158">
            <v>95.967564626079536</v>
          </cell>
        </row>
        <row r="159">
          <cell r="AS159">
            <v>99.038293072120226</v>
          </cell>
        </row>
        <row r="160">
          <cell r="AS160">
            <v>100.88509268187487</v>
          </cell>
        </row>
        <row r="161">
          <cell r="AS161">
            <v>100.27544662459104</v>
          </cell>
        </row>
        <row r="162">
          <cell r="AS162">
            <v>97.783409002966863</v>
          </cell>
        </row>
        <row r="163">
          <cell r="AS163">
            <v>99.181519714228756</v>
          </cell>
        </row>
        <row r="164">
          <cell r="AS164">
            <v>99.254628474405266</v>
          </cell>
        </row>
        <row r="165">
          <cell r="AS165">
            <v>99.821646060237796</v>
          </cell>
        </row>
        <row r="166">
          <cell r="AS166">
            <v>100.23336840295755</v>
          </cell>
        </row>
        <row r="167">
          <cell r="AS167">
            <v>99.224984415000222</v>
          </cell>
        </row>
        <row r="168">
          <cell r="AS168">
            <v>97.991392065284458</v>
          </cell>
        </row>
        <row r="169">
          <cell r="AS169">
            <v>98.754567210015793</v>
          </cell>
        </row>
        <row r="170">
          <cell r="AS170">
            <v>95.102929375307482</v>
          </cell>
        </row>
        <row r="171">
          <cell r="AS171">
            <v>99.584274797583333</v>
          </cell>
        </row>
        <row r="172">
          <cell r="AS172">
            <v>99.459082097726125</v>
          </cell>
        </row>
        <row r="173">
          <cell r="AS173">
            <v>99.987853202533756</v>
          </cell>
        </row>
        <row r="174">
          <cell r="AS174">
            <v>99.844431138440441</v>
          </cell>
        </row>
        <row r="175">
          <cell r="AS175">
            <v>99.739560847146265</v>
          </cell>
        </row>
        <row r="176">
          <cell r="AS176">
            <v>99.897261798186378</v>
          </cell>
        </row>
        <row r="177">
          <cell r="AS177">
            <v>97.867313690154518</v>
          </cell>
        </row>
        <row r="178">
          <cell r="AS178">
            <v>98.618699043994994</v>
          </cell>
        </row>
        <row r="179">
          <cell r="AS179">
            <v>95.736023506245473</v>
          </cell>
        </row>
        <row r="214">
          <cell r="A214" t="str">
            <v>ST160</v>
          </cell>
          <cell r="P214">
            <v>60</v>
          </cell>
          <cell r="Q214">
            <v>7.4858757062146912</v>
          </cell>
          <cell r="T214">
            <v>0.78611111111111109</v>
          </cell>
          <cell r="U214">
            <v>1.0118055555555556</v>
          </cell>
          <cell r="V214">
            <v>59</v>
          </cell>
          <cell r="AB214">
            <v>53.1</v>
          </cell>
          <cell r="AE214">
            <v>12</v>
          </cell>
          <cell r="AG214">
            <v>47</v>
          </cell>
          <cell r="AS214">
            <v>94.642949948026541</v>
          </cell>
          <cell r="AT214">
            <v>95.923205277999188</v>
          </cell>
          <cell r="AV214" t="str">
            <v>R.Sookram</v>
          </cell>
          <cell r="AW214">
            <v>0.38680555555555562</v>
          </cell>
        </row>
        <row r="215">
          <cell r="A215" t="str">
            <v>ST161</v>
          </cell>
          <cell r="P215">
            <v>61</v>
          </cell>
          <cell r="Q215">
            <v>2.5943396226415096</v>
          </cell>
          <cell r="T215">
            <v>0.99652777777777779</v>
          </cell>
          <cell r="U215">
            <v>1.1125</v>
          </cell>
          <cell r="V215">
            <v>62</v>
          </cell>
          <cell r="AB215">
            <v>53</v>
          </cell>
          <cell r="AE215">
            <v>11.7</v>
          </cell>
          <cell r="AG215">
            <v>50.1</v>
          </cell>
          <cell r="AS215">
            <v>97.740620302660346</v>
          </cell>
          <cell r="AT215">
            <v>99.064530932583423</v>
          </cell>
          <cell r="AV215" t="str">
            <v>R.Sookram</v>
          </cell>
          <cell r="AW215">
            <v>0.39722222222222225</v>
          </cell>
        </row>
        <row r="216">
          <cell r="A216" t="str">
            <v>ST162</v>
          </cell>
          <cell r="P216">
            <v>61</v>
          </cell>
          <cell r="Q216">
            <v>4.2843691148775873</v>
          </cell>
          <cell r="T216">
            <v>1.1499999999999999</v>
          </cell>
          <cell r="U216">
            <v>1.2749999999999999</v>
          </cell>
          <cell r="V216">
            <v>63</v>
          </cell>
          <cell r="AB216">
            <v>53.1</v>
          </cell>
          <cell r="AE216">
            <v>11.6</v>
          </cell>
          <cell r="AG216">
            <v>50</v>
          </cell>
          <cell r="AS216">
            <v>97.156843184212079</v>
          </cell>
          <cell r="AT216">
            <v>98.471104483106629</v>
          </cell>
          <cell r="AV216" t="str">
            <v xml:space="preserve">D. Gomaz </v>
          </cell>
          <cell r="AW216">
            <v>0.27499999999999991</v>
          </cell>
        </row>
        <row r="217">
          <cell r="A217" t="str">
            <v>ST163</v>
          </cell>
          <cell r="P217">
            <v>62</v>
          </cell>
          <cell r="Q217">
            <v>2.5894538606403015</v>
          </cell>
          <cell r="T217">
            <v>0.25486111111111109</v>
          </cell>
          <cell r="U217">
            <v>0.36805555555555558</v>
          </cell>
          <cell r="V217">
            <v>53</v>
          </cell>
          <cell r="AB217">
            <v>53.1</v>
          </cell>
          <cell r="AE217">
            <v>11.7</v>
          </cell>
          <cell r="AG217">
            <v>50.3</v>
          </cell>
          <cell r="AS217">
            <v>98.378206632279046</v>
          </cell>
          <cell r="AT217">
            <v>99.709873732930305</v>
          </cell>
          <cell r="AV217" t="str">
            <v xml:space="preserve">D. Gomaz </v>
          </cell>
          <cell r="AW217">
            <v>0.27777777777777779</v>
          </cell>
        </row>
        <row r="218">
          <cell r="A218" t="str">
            <v>ST164</v>
          </cell>
          <cell r="P218">
            <v>58</v>
          </cell>
          <cell r="Q218">
            <v>4.096045197740108</v>
          </cell>
          <cell r="T218">
            <v>0.36944444444444446</v>
          </cell>
          <cell r="U218">
            <v>0.48888888888888887</v>
          </cell>
          <cell r="V218">
            <v>61</v>
          </cell>
          <cell r="AB218">
            <v>53.1</v>
          </cell>
          <cell r="AE218">
            <v>11.9</v>
          </cell>
          <cell r="AG218">
            <v>49.3</v>
          </cell>
          <cell r="AS218">
            <v>98.866051801226916</v>
          </cell>
          <cell r="AT218">
            <v>99.736116939213858</v>
          </cell>
          <cell r="AV218" t="str">
            <v xml:space="preserve">D. Gomaz </v>
          </cell>
          <cell r="AW218">
            <v>0.29791666666666666</v>
          </cell>
        </row>
        <row r="219">
          <cell r="A219" t="str">
            <v>ST165</v>
          </cell>
          <cell r="P219">
            <v>58</v>
          </cell>
          <cell r="Q219">
            <v>3.1544256120527256</v>
          </cell>
          <cell r="T219">
            <v>0.48402777777777778</v>
          </cell>
          <cell r="U219">
            <v>0.60624999999999996</v>
          </cell>
          <cell r="V219">
            <v>59</v>
          </cell>
          <cell r="AB219">
            <v>53.1</v>
          </cell>
          <cell r="AE219">
            <v>11.8</v>
          </cell>
          <cell r="AG219">
            <v>49.8</v>
          </cell>
          <cell r="AS219">
            <v>98.986375596522507</v>
          </cell>
          <cell r="AT219">
            <v>99.857499637314319</v>
          </cell>
          <cell r="AV219" t="str">
            <v>R.Sookram</v>
          </cell>
          <cell r="AW219">
            <v>0.28333333333333327</v>
          </cell>
        </row>
        <row r="220">
          <cell r="A220" t="str">
            <v>ST166</v>
          </cell>
          <cell r="P220">
            <v>58</v>
          </cell>
          <cell r="Q220">
            <v>2.5894538606403015</v>
          </cell>
          <cell r="T220">
            <v>0.6</v>
          </cell>
          <cell r="U220">
            <v>0.71250000000000002</v>
          </cell>
          <cell r="V220">
            <v>56</v>
          </cell>
          <cell r="AB220">
            <v>53.1</v>
          </cell>
          <cell r="AE220">
            <v>11.8</v>
          </cell>
          <cell r="AG220">
            <v>49.6</v>
          </cell>
          <cell r="AS220">
            <v>98.588839951556579</v>
          </cell>
          <cell r="AT220">
            <v>99.456465502224717</v>
          </cell>
          <cell r="AV220" t="str">
            <v>R.Sookram</v>
          </cell>
          <cell r="AW220">
            <v>0.28541666666666671</v>
          </cell>
        </row>
        <row r="221">
          <cell r="A221" t="str">
            <v>ST167</v>
          </cell>
          <cell r="P221">
            <v>66</v>
          </cell>
          <cell r="Q221">
            <v>3.7193973634651627</v>
          </cell>
          <cell r="T221">
            <v>0.72083333333333333</v>
          </cell>
          <cell r="U221">
            <v>0.84375</v>
          </cell>
          <cell r="V221">
            <v>55</v>
          </cell>
          <cell r="AB221">
            <v>53.1</v>
          </cell>
          <cell r="AE221">
            <v>11.9</v>
          </cell>
          <cell r="AG221">
            <v>49</v>
          </cell>
          <cell r="AS221">
            <v>98.140556826659378</v>
          </cell>
          <cell r="AT221">
            <v>99.004524557893376</v>
          </cell>
          <cell r="AV221" t="str">
            <v>R.Sookram</v>
          </cell>
          <cell r="AW221">
            <v>0.26041666666666663</v>
          </cell>
        </row>
        <row r="222">
          <cell r="A222" t="str">
            <v>ST168</v>
          </cell>
          <cell r="P222">
            <v>58</v>
          </cell>
          <cell r="Q222">
            <v>9.5574387947269361</v>
          </cell>
          <cell r="T222">
            <v>0.38194444444444442</v>
          </cell>
          <cell r="U222">
            <v>0.49027777777777776</v>
          </cell>
          <cell r="V222">
            <v>50</v>
          </cell>
          <cell r="AB222">
            <v>53.1</v>
          </cell>
          <cell r="AE222">
            <v>12</v>
          </cell>
          <cell r="AG222">
            <v>46.2</v>
          </cell>
          <cell r="AS222">
            <v>94.541913901166239</v>
          </cell>
          <cell r="AT222">
            <v>95.371402345786223</v>
          </cell>
          <cell r="AV222" t="str">
            <v>G. Mason</v>
          </cell>
          <cell r="AW222">
            <v>0.26111111111111107</v>
          </cell>
        </row>
        <row r="223">
          <cell r="A223" t="str">
            <v>ST169</v>
          </cell>
          <cell r="P223">
            <v>59</v>
          </cell>
          <cell r="Q223">
            <v>4.2843691148775873</v>
          </cell>
          <cell r="T223">
            <v>0.47708333333333336</v>
          </cell>
          <cell r="U223">
            <v>0.58819444444444446</v>
          </cell>
          <cell r="V223">
            <v>52</v>
          </cell>
          <cell r="AB223">
            <v>53.1</v>
          </cell>
          <cell r="AE223">
            <v>11.8</v>
          </cell>
          <cell r="AG223">
            <v>49.84</v>
          </cell>
          <cell r="AS223">
            <v>99.065882725515735</v>
          </cell>
          <cell r="AT223">
            <v>99.937706464332265</v>
          </cell>
          <cell r="AV223" t="str">
            <v>R.Sookram</v>
          </cell>
          <cell r="AW223">
            <v>0.26527777777777778</v>
          </cell>
        </row>
        <row r="224">
          <cell r="A224" t="str">
            <v>ST170</v>
          </cell>
          <cell r="P224">
            <v>59</v>
          </cell>
          <cell r="Q224">
            <v>6.1676082862523511</v>
          </cell>
          <cell r="T224">
            <v>0.57430555555555551</v>
          </cell>
          <cell r="U224">
            <v>0.69513888888888886</v>
          </cell>
          <cell r="V224">
            <v>51</v>
          </cell>
          <cell r="AB224">
            <v>53.1</v>
          </cell>
          <cell r="AE224">
            <v>11.8</v>
          </cell>
          <cell r="AG224">
            <v>48.1</v>
          </cell>
          <cell r="AS224">
            <v>95.607322614311911</v>
          </cell>
          <cell r="AT224">
            <v>96.448709489052604</v>
          </cell>
          <cell r="AV224" t="str">
            <v>R.Sookram</v>
          </cell>
          <cell r="AW224">
            <v>0.26805555555555555</v>
          </cell>
        </row>
        <row r="225">
          <cell r="A225" t="str">
            <v>ST171</v>
          </cell>
          <cell r="P225">
            <v>62</v>
          </cell>
          <cell r="Q225">
            <v>4.6698113207547198</v>
          </cell>
          <cell r="T225">
            <v>0.67708333333333337</v>
          </cell>
          <cell r="U225">
            <v>0.7895833333333333</v>
          </cell>
          <cell r="V225">
            <v>54</v>
          </cell>
          <cell r="AB225">
            <v>53</v>
          </cell>
          <cell r="AE225">
            <v>12</v>
          </cell>
          <cell r="AG225">
            <v>48.8</v>
          </cell>
          <cell r="AS225">
            <v>98.852784636210828</v>
          </cell>
          <cell r="AT225">
            <v>99.722442931724771</v>
          </cell>
          <cell r="AV225" t="str">
            <v>R.Sookram</v>
          </cell>
          <cell r="AW225">
            <v>0.26874999999999993</v>
          </cell>
        </row>
        <row r="226">
          <cell r="A226" t="str">
            <v>ST172</v>
          </cell>
          <cell r="P226">
            <v>61</v>
          </cell>
          <cell r="Q226">
            <v>5.6132075471698144</v>
          </cell>
          <cell r="T226">
            <v>0.78749999999999998</v>
          </cell>
          <cell r="U226">
            <v>0.90555555555555556</v>
          </cell>
          <cell r="V226">
            <v>58</v>
          </cell>
          <cell r="AB226">
            <v>53</v>
          </cell>
          <cell r="AE226">
            <v>11.9</v>
          </cell>
          <cell r="AG226">
            <v>49.3</v>
          </cell>
          <cell r="AS226">
            <v>98.991001256161667</v>
          </cell>
          <cell r="AT226">
            <v>99.861875513679706</v>
          </cell>
          <cell r="AV226" t="str">
            <v>K. Benjamin</v>
          </cell>
          <cell r="AW226">
            <v>0.26666666666666672</v>
          </cell>
        </row>
        <row r="227">
          <cell r="A227" t="str">
            <v>ST173</v>
          </cell>
          <cell r="P227">
            <v>59</v>
          </cell>
          <cell r="Q227">
            <v>4.1037735849056549</v>
          </cell>
          <cell r="T227">
            <v>0.88611111111111107</v>
          </cell>
          <cell r="U227">
            <v>1.0034722222222223</v>
          </cell>
          <cell r="V227">
            <v>60</v>
          </cell>
          <cell r="AB227">
            <v>53</v>
          </cell>
          <cell r="AE227">
            <v>11.8</v>
          </cell>
          <cell r="AG227">
            <v>49.7</v>
          </cell>
          <cell r="AS227">
            <v>98.91245808939847</v>
          </cell>
          <cell r="AT227">
            <v>99.782641362673814</v>
          </cell>
          <cell r="AV227" t="str">
            <v>K. Benjamin</v>
          </cell>
          <cell r="AW227">
            <v>0.26388888888888895</v>
          </cell>
        </row>
        <row r="228">
          <cell r="A228" t="str">
            <v>ST174</v>
          </cell>
          <cell r="P228">
            <v>62</v>
          </cell>
          <cell r="Q228">
            <v>3.9150943396226339</v>
          </cell>
          <cell r="T228">
            <v>0.98402777777777772</v>
          </cell>
          <cell r="U228">
            <v>1.101388888888889</v>
          </cell>
          <cell r="V228">
            <v>60</v>
          </cell>
          <cell r="AB228">
            <v>53</v>
          </cell>
          <cell r="AE228">
            <v>11.7</v>
          </cell>
          <cell r="AG228">
            <v>49.7</v>
          </cell>
          <cell r="AS228">
            <v>98.030742498650199</v>
          </cell>
          <cell r="AT228">
            <v>98.893168870786113</v>
          </cell>
          <cell r="AV228" t="str">
            <v>K. Benjamin</v>
          </cell>
          <cell r="AW228">
            <v>0.25763888888888897</v>
          </cell>
        </row>
        <row r="229">
          <cell r="A229" t="str">
            <v>ST175</v>
          </cell>
          <cell r="P229">
            <v>61</v>
          </cell>
          <cell r="Q229">
            <v>5.2358490566037714</v>
          </cell>
          <cell r="T229">
            <v>1.0833333333333333</v>
          </cell>
          <cell r="U229">
            <v>1.2138888888888888</v>
          </cell>
          <cell r="V229">
            <v>60</v>
          </cell>
          <cell r="AB229">
            <v>53</v>
          </cell>
          <cell r="AE229">
            <v>11.7</v>
          </cell>
          <cell r="AG229">
            <v>49.8</v>
          </cell>
          <cell r="AS229">
            <v>98.227987453375846</v>
          </cell>
          <cell r="AT229">
            <v>99.092149089842025</v>
          </cell>
          <cell r="AV229" t="str">
            <v>K. Benjamin</v>
          </cell>
          <cell r="AW229">
            <v>0.2763888888888888</v>
          </cell>
        </row>
        <row r="230">
          <cell r="A230" t="str">
            <v>ST176</v>
          </cell>
          <cell r="P230">
            <v>60</v>
          </cell>
          <cell r="Q230">
            <v>7.7040816326530575</v>
          </cell>
          <cell r="T230">
            <v>0.24236111111111111</v>
          </cell>
          <cell r="U230">
            <v>0.37013888888888891</v>
          </cell>
          <cell r="V230">
            <v>56</v>
          </cell>
          <cell r="AB230">
            <v>49</v>
          </cell>
          <cell r="AE230">
            <v>11.6</v>
          </cell>
          <cell r="AG230">
            <v>44.1</v>
          </cell>
          <cell r="AS230">
            <v>91.893381203561418</v>
          </cell>
          <cell r="AT230">
            <v>92.687712682033052</v>
          </cell>
          <cell r="AV230" t="str">
            <v>R.Sookram</v>
          </cell>
          <cell r="AW230">
            <v>0.2729166666666667</v>
          </cell>
        </row>
        <row r="231">
          <cell r="A231" t="str">
            <v>ST177</v>
          </cell>
          <cell r="P231">
            <v>61</v>
          </cell>
          <cell r="Q231">
            <v>7.5000000000000027</v>
          </cell>
          <cell r="T231">
            <v>0.34166666666666667</v>
          </cell>
          <cell r="U231">
            <v>0.45624999999999999</v>
          </cell>
          <cell r="V231">
            <v>54</v>
          </cell>
          <cell r="AB231">
            <v>53</v>
          </cell>
          <cell r="AE231">
            <v>11.8</v>
          </cell>
          <cell r="AG231">
            <v>48.3</v>
          </cell>
          <cell r="AS231">
            <v>95.883830769509331</v>
          </cell>
          <cell r="AT231">
            <v>96.727931704032002</v>
          </cell>
          <cell r="AV231" t="str">
            <v>R.Sookram</v>
          </cell>
          <cell r="AW231">
            <v>0.26180555555555551</v>
          </cell>
        </row>
        <row r="232">
          <cell r="A232" t="str">
            <v>ST178</v>
          </cell>
          <cell r="P232">
            <v>60</v>
          </cell>
          <cell r="Q232">
            <v>7.3113207547169807</v>
          </cell>
          <cell r="T232">
            <v>0.43402777777777779</v>
          </cell>
          <cell r="U232">
            <v>0.54722222222222228</v>
          </cell>
          <cell r="V232">
            <v>55</v>
          </cell>
          <cell r="AB232">
            <v>53</v>
          </cell>
          <cell r="AE232">
            <v>11.8</v>
          </cell>
          <cell r="AG232">
            <v>48.4</v>
          </cell>
          <cell r="AS232">
            <v>96.325210694705959</v>
          </cell>
          <cell r="AT232">
            <v>97.172632634877516</v>
          </cell>
          <cell r="AV232" t="str">
            <v>K. Benjamin</v>
          </cell>
          <cell r="AW232">
            <v>0.25902777777777786</v>
          </cell>
        </row>
        <row r="233">
          <cell r="A233" t="str">
            <v>ST179</v>
          </cell>
          <cell r="P233">
            <v>62</v>
          </cell>
          <cell r="Q233">
            <v>7.5000000000000027</v>
          </cell>
          <cell r="T233">
            <v>0.52430555555555558</v>
          </cell>
          <cell r="U233">
            <v>0.64375000000000004</v>
          </cell>
          <cell r="V233">
            <v>60</v>
          </cell>
          <cell r="AB233">
            <v>53</v>
          </cell>
          <cell r="AE233">
            <v>11.7</v>
          </cell>
          <cell r="AG233">
            <v>49.06</v>
          </cell>
          <cell r="AS233">
            <v>96.768374788406007</v>
          </cell>
          <cell r="AT233">
            <v>97.619695468828311</v>
          </cell>
          <cell r="AV233" t="str">
            <v>K. Benjamin</v>
          </cell>
          <cell r="AW233">
            <v>0.26875000000000004</v>
          </cell>
        </row>
        <row r="234">
          <cell r="A234" t="str">
            <v>ST180</v>
          </cell>
          <cell r="P234">
            <v>61</v>
          </cell>
          <cell r="Q234">
            <v>7.3113207547169807</v>
          </cell>
          <cell r="T234">
            <v>0.62291666666666667</v>
          </cell>
          <cell r="U234">
            <v>0.73819444444444449</v>
          </cell>
          <cell r="V234">
            <v>61</v>
          </cell>
          <cell r="AB234">
            <v>53</v>
          </cell>
          <cell r="AE234">
            <v>11.7</v>
          </cell>
          <cell r="AG234">
            <v>50.6</v>
          </cell>
          <cell r="AS234">
            <v>99.805947091181096</v>
          </cell>
          <cell r="AT234">
            <v>100.68399084228929</v>
          </cell>
          <cell r="AV234" t="str">
            <v>K. Benjamin</v>
          </cell>
          <cell r="AW234">
            <v>0.26250000000000007</v>
          </cell>
        </row>
        <row r="235">
          <cell r="A235" t="str">
            <v>ST181</v>
          </cell>
          <cell r="P235">
            <v>62</v>
          </cell>
          <cell r="Q235">
            <v>7.3113207547169807</v>
          </cell>
          <cell r="T235">
            <v>0.72083333333333333</v>
          </cell>
          <cell r="U235">
            <v>0.83611111111111114</v>
          </cell>
          <cell r="V235">
            <v>61</v>
          </cell>
          <cell r="AB235">
            <v>53</v>
          </cell>
          <cell r="AE235">
            <v>11.8</v>
          </cell>
          <cell r="AG235">
            <v>49.1</v>
          </cell>
          <cell r="AS235">
            <v>97.59500083914169</v>
          </cell>
          <cell r="AT235">
            <v>98.453880164500674</v>
          </cell>
          <cell r="AV235" t="str">
            <v>K. Benjamin</v>
          </cell>
          <cell r="AW235">
            <v>0.2597222222222223</v>
          </cell>
        </row>
        <row r="236">
          <cell r="A236" t="str">
            <v>ST182</v>
          </cell>
          <cell r="P236">
            <v>71</v>
          </cell>
          <cell r="Q236">
            <v>7.2975517890772128</v>
          </cell>
          <cell r="T236">
            <v>0.83611111111111114</v>
          </cell>
          <cell r="U236">
            <v>0.91527777777777775</v>
          </cell>
          <cell r="V236">
            <v>60</v>
          </cell>
          <cell r="AB236">
            <v>53.1</v>
          </cell>
          <cell r="AE236">
            <v>11.6</v>
          </cell>
          <cell r="AG236">
            <v>49.12</v>
          </cell>
          <cell r="AS236">
            <v>96.015295809177886</v>
          </cell>
          <cell r="AT236">
            <v>96.859991270251314</v>
          </cell>
          <cell r="AV236" t="str">
            <v xml:space="preserve">D. Gomaz </v>
          </cell>
          <cell r="AW236">
            <v>0.23819444444444438</v>
          </cell>
        </row>
        <row r="237">
          <cell r="A237" t="str">
            <v>ST183</v>
          </cell>
          <cell r="P237">
            <v>61</v>
          </cell>
          <cell r="Q237">
            <v>6.9209039548022542</v>
          </cell>
          <cell r="T237">
            <v>0.9375</v>
          </cell>
          <cell r="U237">
            <v>1.0576388888888888</v>
          </cell>
          <cell r="V237">
            <v>62</v>
          </cell>
          <cell r="AB237">
            <v>53.1</v>
          </cell>
          <cell r="AE237">
            <v>11.7</v>
          </cell>
          <cell r="AG237">
            <v>50.2</v>
          </cell>
          <cell r="AS237">
            <v>99.016967272278464</v>
          </cell>
          <cell r="AT237">
            <v>99.888069966065657</v>
          </cell>
          <cell r="AV237" t="str">
            <v xml:space="preserve">D. Gomaz </v>
          </cell>
          <cell r="AW237">
            <v>0.27986111111111101</v>
          </cell>
        </row>
        <row r="238">
          <cell r="A238" t="str">
            <v>ST184</v>
          </cell>
          <cell r="P238">
            <v>63</v>
          </cell>
          <cell r="Q238">
            <v>6.5566037735849081</v>
          </cell>
          <cell r="T238">
            <v>1.0354166666666667</v>
          </cell>
          <cell r="U238">
            <v>1.1534722222222222</v>
          </cell>
          <cell r="V238">
            <v>63</v>
          </cell>
          <cell r="AB238">
            <v>53</v>
          </cell>
          <cell r="AE238">
            <v>11.6</v>
          </cell>
          <cell r="AG238">
            <v>50.1</v>
          </cell>
          <cell r="AS238">
            <v>97.930910424263288</v>
          </cell>
          <cell r="AT238">
            <v>98.792458522792984</v>
          </cell>
          <cell r="AV238" t="str">
            <v xml:space="preserve">D. Gomaz </v>
          </cell>
          <cell r="AW238">
            <v>0.27500000000000002</v>
          </cell>
        </row>
        <row r="239">
          <cell r="A239" t="str">
            <v>ST185</v>
          </cell>
          <cell r="P239">
            <v>58</v>
          </cell>
          <cell r="Q239">
            <v>10.561224489795913</v>
          </cell>
          <cell r="T239">
            <v>1.0611111111111111</v>
          </cell>
          <cell r="U239">
            <v>1.1958333333333333</v>
          </cell>
          <cell r="V239">
            <v>62</v>
          </cell>
          <cell r="AB239">
            <v>49</v>
          </cell>
          <cell r="AE239">
            <v>12</v>
          </cell>
          <cell r="AG239">
            <v>47.3</v>
          </cell>
          <cell r="AS239">
            <v>95.51262249962322</v>
          </cell>
          <cell r="AT239">
            <v>96.779234109411689</v>
          </cell>
          <cell r="AV239" t="str">
            <v xml:space="preserve">R.Regis </v>
          </cell>
          <cell r="AW239">
            <v>0.26527777777777772</v>
          </cell>
        </row>
        <row r="240">
          <cell r="A240" t="str">
            <v>ST186</v>
          </cell>
          <cell r="P240">
            <v>62</v>
          </cell>
          <cell r="Q240">
            <v>8.4274952919020727</v>
          </cell>
          <cell r="T240">
            <v>0.69652777777777775</v>
          </cell>
          <cell r="U240">
            <v>0.82291666666666663</v>
          </cell>
          <cell r="V240">
            <v>60</v>
          </cell>
          <cell r="AB240">
            <v>53.1</v>
          </cell>
          <cell r="AE240">
            <v>12</v>
          </cell>
          <cell r="AG240">
            <v>49.6</v>
          </cell>
          <cell r="AS240">
            <v>100.03027228544039</v>
          </cell>
          <cell r="AT240">
            <v>101.35723707814648</v>
          </cell>
          <cell r="AV240" t="str">
            <v>K. Benjamin</v>
          </cell>
          <cell r="AW240">
            <v>0.26041666666666663</v>
          </cell>
        </row>
        <row r="241">
          <cell r="A241" t="str">
            <v>ST187</v>
          </cell>
          <cell r="P241">
            <v>61</v>
          </cell>
          <cell r="Q241">
            <v>7.8625235404896365</v>
          </cell>
          <cell r="T241">
            <v>0.80277777777777781</v>
          </cell>
          <cell r="U241">
            <v>0.92222222222222228</v>
          </cell>
          <cell r="V241">
            <v>60</v>
          </cell>
          <cell r="AB241">
            <v>53.1</v>
          </cell>
          <cell r="AE241">
            <v>11.9</v>
          </cell>
          <cell r="AG241">
            <v>49.8</v>
          </cell>
          <cell r="AS241">
            <v>99.680150206688893</v>
          </cell>
          <cell r="AT241">
            <v>101.00202821833859</v>
          </cell>
          <cell r="AV241" t="str">
            <v xml:space="preserve">R.Regis </v>
          </cell>
          <cell r="AW241">
            <v>0.26944444444444449</v>
          </cell>
        </row>
        <row r="242">
          <cell r="A242" t="str">
            <v>ST188</v>
          </cell>
          <cell r="P242">
            <v>59</v>
          </cell>
          <cell r="Q242">
            <v>9.1807909604519775</v>
          </cell>
          <cell r="T242">
            <v>1.0270833333333333</v>
          </cell>
          <cell r="U242">
            <v>1.1569444444444446</v>
          </cell>
          <cell r="V242">
            <v>63</v>
          </cell>
          <cell r="AB242">
            <v>53.1</v>
          </cell>
          <cell r="AE242">
            <v>12</v>
          </cell>
          <cell r="AG242">
            <v>49.3</v>
          </cell>
          <cell r="AS242">
            <v>99.677491461603083</v>
          </cell>
          <cell r="AT242">
            <v>100.9988909186272</v>
          </cell>
          <cell r="AV242" t="str">
            <v xml:space="preserve">R.Regis </v>
          </cell>
          <cell r="AW242">
            <v>0.40694444444444455</v>
          </cell>
        </row>
        <row r="243">
          <cell r="A243" t="str">
            <v>ST189</v>
          </cell>
          <cell r="P243">
            <v>61</v>
          </cell>
          <cell r="Q243">
            <v>10.310734463276837</v>
          </cell>
          <cell r="T243">
            <v>1.1368055555555556</v>
          </cell>
          <cell r="U243">
            <v>1.2763888888888888</v>
          </cell>
          <cell r="V243">
            <v>58</v>
          </cell>
          <cell r="AB243">
            <v>53.1</v>
          </cell>
          <cell r="AE243">
            <v>11.9</v>
          </cell>
          <cell r="AG243">
            <v>59</v>
          </cell>
          <cell r="AS243">
            <v>118.09495707218163</v>
          </cell>
          <cell r="AT243">
            <v>119.66103744742927</v>
          </cell>
          <cell r="AV243" t="str">
            <v>R.Sookram</v>
          </cell>
          <cell r="AW243">
            <v>0.29513888888888884</v>
          </cell>
        </row>
        <row r="244">
          <cell r="A244" t="str">
            <v>ST190</v>
          </cell>
          <cell r="P244">
            <v>61</v>
          </cell>
          <cell r="Q244">
            <v>8.8041431261770189</v>
          </cell>
          <cell r="T244">
            <v>1.1576388888888889</v>
          </cell>
          <cell r="U244">
            <v>1.2743055555555556</v>
          </cell>
          <cell r="V244">
            <v>60</v>
          </cell>
          <cell r="AB244">
            <v>53.1</v>
          </cell>
          <cell r="AE244">
            <v>11.9</v>
          </cell>
          <cell r="AG244">
            <v>51.7</v>
          </cell>
          <cell r="AS244">
            <v>101.658582761551</v>
          </cell>
          <cell r="AT244">
            <v>102.39920853214261</v>
          </cell>
          <cell r="AV244" t="str">
            <v xml:space="preserve">R.Regis </v>
          </cell>
          <cell r="AW244">
            <v>0.28125</v>
          </cell>
        </row>
        <row r="245">
          <cell r="A245" t="str">
            <v>ST191</v>
          </cell>
          <cell r="P245">
            <v>61</v>
          </cell>
          <cell r="Q245">
            <v>8.6158192090395538</v>
          </cell>
          <cell r="T245">
            <v>0.25277777777777777</v>
          </cell>
          <cell r="U245">
            <v>0.37222222222222223</v>
          </cell>
          <cell r="V245">
            <v>63</v>
          </cell>
          <cell r="AB245">
            <v>53.1</v>
          </cell>
          <cell r="AE245">
            <v>12.1</v>
          </cell>
          <cell r="AG245">
            <v>50.6</v>
          </cell>
          <cell r="AS245">
            <v>101.63039952812952</v>
          </cell>
          <cell r="AT245">
            <v>102.37011219767618</v>
          </cell>
          <cell r="AV245" t="str">
            <v xml:space="preserve">R.Regis </v>
          </cell>
          <cell r="AW245">
            <v>0.26458333333333334</v>
          </cell>
        </row>
        <row r="246">
          <cell r="A246" t="str">
            <v>ST192</v>
          </cell>
          <cell r="P246">
            <v>58</v>
          </cell>
          <cell r="Q246">
            <v>8.9924670433144982</v>
          </cell>
          <cell r="T246">
            <v>0.41597222222222224</v>
          </cell>
          <cell r="U246">
            <v>0.52361111111111114</v>
          </cell>
          <cell r="V246">
            <v>66</v>
          </cell>
          <cell r="AB246">
            <v>53.1</v>
          </cell>
          <cell r="AE246">
            <v>12</v>
          </cell>
          <cell r="AG246">
            <v>50.1</v>
          </cell>
          <cell r="AS246">
            <v>99.260258246780694</v>
          </cell>
          <cell r="AT246">
            <v>99.98364049667299</v>
          </cell>
          <cell r="AV246" t="str">
            <v>R.Sookram</v>
          </cell>
          <cell r="AW246">
            <v>0.29444444444444451</v>
          </cell>
        </row>
        <row r="247">
          <cell r="A247" t="str">
            <v>ST193</v>
          </cell>
          <cell r="P247">
            <v>59</v>
          </cell>
          <cell r="Q247">
            <v>8.2547169811320753</v>
          </cell>
          <cell r="T247">
            <v>0.5083333333333333</v>
          </cell>
          <cell r="U247">
            <v>0.61527777777777781</v>
          </cell>
          <cell r="V247">
            <v>60</v>
          </cell>
          <cell r="AB247">
            <v>53</v>
          </cell>
          <cell r="AE247">
            <v>12</v>
          </cell>
          <cell r="AG247">
            <v>50.8</v>
          </cell>
          <cell r="AS247">
            <v>102.67383093717935</v>
          </cell>
          <cell r="AT247">
            <v>103.41822412304379</v>
          </cell>
          <cell r="AV247" t="str">
            <v>R.Sookram</v>
          </cell>
          <cell r="AW247">
            <v>0.2819444444444445</v>
          </cell>
        </row>
        <row r="248">
          <cell r="A248" t="str">
            <v>ST194</v>
          </cell>
          <cell r="P248">
            <v>58</v>
          </cell>
          <cell r="Q248">
            <v>9.369114877589455</v>
          </cell>
          <cell r="T248">
            <v>0.60902777777777772</v>
          </cell>
          <cell r="U248">
            <v>0.71944444444444444</v>
          </cell>
          <cell r="V248">
            <v>51</v>
          </cell>
          <cell r="AB248">
            <v>53.1</v>
          </cell>
          <cell r="AE248">
            <v>12</v>
          </cell>
          <cell r="AG248">
            <v>49.8</v>
          </cell>
          <cell r="AS248">
            <v>100.39997678316345</v>
          </cell>
          <cell r="AT248">
            <v>101.12836522206565</v>
          </cell>
          <cell r="AV248" t="str">
            <v>R.Sookram</v>
          </cell>
          <cell r="AW248">
            <v>0.28888888888888886</v>
          </cell>
        </row>
        <row r="249">
          <cell r="A249" t="str">
            <v>ST195</v>
          </cell>
          <cell r="AE249">
            <v>11.9</v>
          </cell>
          <cell r="AS249">
            <v>99.081028043575728</v>
          </cell>
          <cell r="AV249" t="str">
            <v>R.Sookram</v>
          </cell>
        </row>
      </sheetData>
      <sheetData sheetId="7">
        <row r="26">
          <cell r="D26">
            <v>11.8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May '26"/>
      <sheetName val="Summary April '26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U125">
            <v>94.991214982303461</v>
          </cell>
        </row>
        <row r="126">
          <cell r="AU126">
            <v>98.081652776220835</v>
          </cell>
        </row>
        <row r="127">
          <cell r="AU127">
            <v>98.458827461721384</v>
          </cell>
        </row>
        <row r="128">
          <cell r="AU128">
            <v>95.824043987091741</v>
          </cell>
        </row>
        <row r="129">
          <cell r="AU129">
            <v>98.44333422721418</v>
          </cell>
        </row>
        <row r="130">
          <cell r="AU130">
            <v>100.21447484042207</v>
          </cell>
        </row>
        <row r="131">
          <cell r="AU131">
            <v>93.572296329201976</v>
          </cell>
        </row>
        <row r="132">
          <cell r="AU132">
            <v>99.628123440277676</v>
          </cell>
        </row>
        <row r="133">
          <cell r="AU133">
            <v>93.047268518820289</v>
          </cell>
        </row>
        <row r="134">
          <cell r="AU134">
            <v>98.00301242081278</v>
          </cell>
        </row>
        <row r="135">
          <cell r="AU135">
            <v>98.750429944987545</v>
          </cell>
        </row>
        <row r="136">
          <cell r="AU136">
            <v>100.69196814542862</v>
          </cell>
        </row>
        <row r="137">
          <cell r="AU137">
            <v>96.996599085521808</v>
          </cell>
        </row>
        <row r="138">
          <cell r="AU138">
            <v>97.499189767162704</v>
          </cell>
        </row>
        <row r="139">
          <cell r="AU139">
            <v>98.065329347096849</v>
          </cell>
        </row>
        <row r="140">
          <cell r="AU140">
            <v>100.56885966131995</v>
          </cell>
        </row>
        <row r="141">
          <cell r="AU141">
            <v>99.310564104752999</v>
          </cell>
        </row>
        <row r="142">
          <cell r="AU142">
            <v>81.813106414231768</v>
          </cell>
        </row>
        <row r="143">
          <cell r="AU143">
            <v>74.681377386116381</v>
          </cell>
        </row>
        <row r="144">
          <cell r="AU144">
            <v>99.596822865747242</v>
          </cell>
        </row>
        <row r="145">
          <cell r="AU145">
            <v>98.361425847158671</v>
          </cell>
        </row>
        <row r="146">
          <cell r="AU146">
            <v>102.80934079529675</v>
          </cell>
        </row>
        <row r="147">
          <cell r="AU147">
            <v>104.32736945451965</v>
          </cell>
        </row>
        <row r="148">
          <cell r="AU148">
            <v>102.41832780758313</v>
          </cell>
        </row>
        <row r="149">
          <cell r="AU149">
            <v>102.65008917352358</v>
          </cell>
        </row>
        <row r="150">
          <cell r="AU150">
            <v>98.351271471428475</v>
          </cell>
        </row>
        <row r="151">
          <cell r="AU151">
            <v>95.527089538140444</v>
          </cell>
        </row>
        <row r="152">
          <cell r="AU152">
            <v>98.791770353169028</v>
          </cell>
        </row>
        <row r="153">
          <cell r="AU153">
            <v>92.525215393532562</v>
          </cell>
        </row>
        <row r="154">
          <cell r="AU154">
            <v>98.286412743082607</v>
          </cell>
        </row>
        <row r="155">
          <cell r="AU155">
            <v>95.699273266512037</v>
          </cell>
        </row>
        <row r="156">
          <cell r="AU156">
            <v>96.200448437262068</v>
          </cell>
        </row>
        <row r="157">
          <cell r="AU157">
            <v>93.020726759402706</v>
          </cell>
        </row>
        <row r="158">
          <cell r="AU158">
            <v>96.412047269582672</v>
          </cell>
        </row>
        <row r="159">
          <cell r="AU159">
            <v>97.250520471561614</v>
          </cell>
        </row>
        <row r="160">
          <cell r="AU160">
            <v>98.1438476329579</v>
          </cell>
        </row>
        <row r="161">
          <cell r="AU161">
            <v>93.52608739149872</v>
          </cell>
        </row>
        <row r="162">
          <cell r="AU162">
            <v>101.12603213986264</v>
          </cell>
        </row>
        <row r="163">
          <cell r="AU163">
            <v>100.33640509948549</v>
          </cell>
        </row>
        <row r="164">
          <cell r="AU164">
            <v>100.85036161508521</v>
          </cell>
        </row>
        <row r="165">
          <cell r="AU165">
            <v>95.502024957607773</v>
          </cell>
        </row>
        <row r="166">
          <cell r="AU166">
            <v>94.342162395109455</v>
          </cell>
        </row>
        <row r="167">
          <cell r="AU167">
            <v>99.071689760585087</v>
          </cell>
        </row>
        <row r="168">
          <cell r="AU168">
            <v>98.514796568176052</v>
          </cell>
        </row>
        <row r="169">
          <cell r="AU169">
            <v>96.024272843684003</v>
          </cell>
        </row>
        <row r="170">
          <cell r="AU170">
            <v>98.175529465436611</v>
          </cell>
        </row>
        <row r="171">
          <cell r="AU171">
            <v>102.72843364793638</v>
          </cell>
        </row>
        <row r="172">
          <cell r="AU172">
            <v>97.857596270649012</v>
          </cell>
        </row>
        <row r="173">
          <cell r="AU173">
            <v>96.511183978216323</v>
          </cell>
        </row>
        <row r="174">
          <cell r="AU174">
            <v>96.273917789076862</v>
          </cell>
        </row>
        <row r="175">
          <cell r="AU175">
            <v>96.763833489372473</v>
          </cell>
        </row>
        <row r="176">
          <cell r="AU176">
            <v>98.253731658657813</v>
          </cell>
        </row>
        <row r="177">
          <cell r="AU177">
            <v>96.225557296455349</v>
          </cell>
        </row>
        <row r="178">
          <cell r="AU178">
            <v>95.76386603519768</v>
          </cell>
        </row>
        <row r="179">
          <cell r="AU179">
            <v>97.861559996128506</v>
          </cell>
        </row>
        <row r="180">
          <cell r="AU180">
            <v>98.551754908063671</v>
          </cell>
        </row>
        <row r="181">
          <cell r="AU181">
            <v>90.189295198187452</v>
          </cell>
        </row>
        <row r="182">
          <cell r="AU182">
            <v>99.950041431757512</v>
          </cell>
        </row>
        <row r="183">
          <cell r="AU183">
            <v>97.547980983941912</v>
          </cell>
        </row>
        <row r="184">
          <cell r="AU184">
            <v>97.02181756168649</v>
          </cell>
        </row>
        <row r="185">
          <cell r="AU185">
            <v>97.515157399606437</v>
          </cell>
        </row>
        <row r="186">
          <cell r="AU186">
            <v>95.404393473874009</v>
          </cell>
        </row>
        <row r="187">
          <cell r="AU187">
            <v>99.138574114682569</v>
          </cell>
        </row>
        <row r="188">
          <cell r="AU188">
            <v>97.371494370242544</v>
          </cell>
        </row>
        <row r="198">
          <cell r="AU198">
            <v>96.242072087973199</v>
          </cell>
        </row>
        <row r="199">
          <cell r="AU199">
            <v>98.87254747107896</v>
          </cell>
        </row>
        <row r="200">
          <cell r="AU200">
            <v>101.57164076036193</v>
          </cell>
        </row>
        <row r="201">
          <cell r="AU201">
            <v>99.130786137236072</v>
          </cell>
        </row>
        <row r="202">
          <cell r="AU202">
            <v>94.664735774609312</v>
          </cell>
        </row>
        <row r="203">
          <cell r="AU203">
            <v>98.211317122475975</v>
          </cell>
        </row>
        <row r="204">
          <cell r="AU204">
            <v>96.718815813314833</v>
          </cell>
        </row>
        <row r="205">
          <cell r="AU205">
            <v>99.681744479307142</v>
          </cell>
        </row>
        <row r="206">
          <cell r="AU206">
            <v>96.837780355457184</v>
          </cell>
        </row>
        <row r="207">
          <cell r="AU207">
            <v>101.84066195473321</v>
          </cell>
        </row>
        <row r="208">
          <cell r="AU208">
            <v>98.972363799020584</v>
          </cell>
        </row>
        <row r="209">
          <cell r="AU209">
            <v>97.717648278528927</v>
          </cell>
        </row>
        <row r="210">
          <cell r="AU210">
            <v>95.753750342141842</v>
          </cell>
        </row>
        <row r="211">
          <cell r="AU211">
            <v>98.477078860461759</v>
          </cell>
        </row>
        <row r="212">
          <cell r="AU212">
            <v>98.060574842581516</v>
          </cell>
        </row>
        <row r="213">
          <cell r="AU213">
            <v>98.477078860461759</v>
          </cell>
        </row>
        <row r="214">
          <cell r="AU214">
            <v>96.84005415922779</v>
          </cell>
        </row>
        <row r="215">
          <cell r="AU215">
            <v>100.25557474160721</v>
          </cell>
        </row>
        <row r="216">
          <cell r="AU216">
            <v>97.982769910971371</v>
          </cell>
        </row>
        <row r="217">
          <cell r="AU217">
            <v>98.499505757279664</v>
          </cell>
        </row>
        <row r="218">
          <cell r="AU218">
            <v>94.764649300245921</v>
          </cell>
        </row>
        <row r="219">
          <cell r="AU219">
            <v>114.82483845154799</v>
          </cell>
        </row>
        <row r="220">
          <cell r="AU220">
            <v>98.182619925802825</v>
          </cell>
        </row>
        <row r="221">
          <cell r="AU221">
            <v>98.728037202201719</v>
          </cell>
        </row>
        <row r="222">
          <cell r="AU222">
            <v>98.865584270828393</v>
          </cell>
        </row>
        <row r="223">
          <cell r="AU223">
            <v>94.960805086604111</v>
          </cell>
        </row>
        <row r="224">
          <cell r="AU224">
            <v>94.654963762652073</v>
          </cell>
        </row>
        <row r="225">
          <cell r="AU225">
            <v>97.983517470033405</v>
          </cell>
        </row>
        <row r="226">
          <cell r="AU226">
            <v>97.134089873786564</v>
          </cell>
        </row>
        <row r="227">
          <cell r="AU227">
            <v>97.825601678018998</v>
          </cell>
        </row>
        <row r="228">
          <cell r="AU228">
            <v>98.868627192961327</v>
          </cell>
        </row>
        <row r="229">
          <cell r="AU229">
            <v>98.076814194365696</v>
          </cell>
        </row>
        <row r="230">
          <cell r="AU230">
            <v>99.593534238465153</v>
          </cell>
        </row>
        <row r="231">
          <cell r="AU231">
            <v>96.043228742840341</v>
          </cell>
        </row>
        <row r="232">
          <cell r="AU232">
            <v>93.852195272622652</v>
          </cell>
        </row>
        <row r="233">
          <cell r="AU233">
            <v>97.973702378244013</v>
          </cell>
        </row>
        <row r="234">
          <cell r="AU234">
            <v>97.595557441238071</v>
          </cell>
        </row>
        <row r="235">
          <cell r="AU235">
            <v>99.011089727354573</v>
          </cell>
        </row>
        <row r="236">
          <cell r="AU236">
            <v>97.622156604926758</v>
          </cell>
        </row>
        <row r="237">
          <cell r="AU237">
            <v>98.713591365675498</v>
          </cell>
        </row>
        <row r="238">
          <cell r="AU238">
            <v>96.451431959126339</v>
          </cell>
        </row>
        <row r="239">
          <cell r="AU239">
            <v>97.225318569947376</v>
          </cell>
        </row>
        <row r="240">
          <cell r="AU240">
            <v>97.302716492359181</v>
          </cell>
        </row>
        <row r="241">
          <cell r="AU241">
            <v>96.377175001990878</v>
          </cell>
        </row>
        <row r="242">
          <cell r="AU242">
            <v>98.562914042619013</v>
          </cell>
        </row>
        <row r="243">
          <cell r="AU243">
            <v>97.595442540704411</v>
          </cell>
        </row>
        <row r="244">
          <cell r="AU244">
            <v>100.18284509194719</v>
          </cell>
        </row>
        <row r="245">
          <cell r="AU245">
            <v>96.311853798954317</v>
          </cell>
        </row>
        <row r="246">
          <cell r="AU246">
            <v>96.096956507805032</v>
          </cell>
        </row>
        <row r="247">
          <cell r="AU247">
            <v>99.508128433796273</v>
          </cell>
        </row>
        <row r="248">
          <cell r="AU248">
            <v>94.924305937938897</v>
          </cell>
        </row>
        <row r="249">
          <cell r="AU249">
            <v>97.266996516441111</v>
          </cell>
        </row>
        <row r="250">
          <cell r="AU250">
            <v>101.97538590361592</v>
          </cell>
        </row>
        <row r="251">
          <cell r="AU251">
            <v>93.260037484866757</v>
          </cell>
        </row>
        <row r="252">
          <cell r="AU252">
            <v>97.506312070474038</v>
          </cell>
        </row>
        <row r="253">
          <cell r="AU253">
            <v>97.162294174609158</v>
          </cell>
        </row>
        <row r="254">
          <cell r="AU254">
            <v>99.189410098175131</v>
          </cell>
        </row>
        <row r="255">
          <cell r="AU255">
            <v>96.590809413258498</v>
          </cell>
        </row>
        <row r="256">
          <cell r="AU256">
            <v>104.8589466494704</v>
          </cell>
        </row>
        <row r="257">
          <cell r="AU257">
            <v>98.830299448787045</v>
          </cell>
        </row>
        <row r="258">
          <cell r="AU258">
            <v>98.040070014500969</v>
          </cell>
        </row>
        <row r="259">
          <cell r="AU259">
            <v>99.708815326021792</v>
          </cell>
        </row>
        <row r="260">
          <cell r="AU260">
            <v>97.755708503233933</v>
          </cell>
        </row>
        <row r="261">
          <cell r="AU261">
            <v>97.407767694541405</v>
          </cell>
        </row>
        <row r="262">
          <cell r="AU262">
            <v>98.655643022911761</v>
          </cell>
        </row>
        <row r="263">
          <cell r="AU263">
            <v>95.847937505992363</v>
          </cell>
        </row>
        <row r="264">
          <cell r="AU264">
            <v>96.904607911463032</v>
          </cell>
        </row>
        <row r="265">
          <cell r="AU265">
            <v>97.843989874471959</v>
          </cell>
        </row>
        <row r="266">
          <cell r="AU266">
            <v>97.685025256417518</v>
          </cell>
        </row>
        <row r="267">
          <cell r="AU267">
            <v>101.44067430211668</v>
          </cell>
        </row>
        <row r="268">
          <cell r="AU268">
            <v>97.441660983042127</v>
          </cell>
        </row>
        <row r="269">
          <cell r="AU269">
            <v>96.686043099880422</v>
          </cell>
        </row>
        <row r="270">
          <cell r="AU270">
            <v>99.558186680524798</v>
          </cell>
        </row>
        <row r="271">
          <cell r="AU271">
            <v>100.34481040419453</v>
          </cell>
        </row>
        <row r="272">
          <cell r="AU272">
            <v>99.932598886125291</v>
          </cell>
        </row>
        <row r="273">
          <cell r="AU273">
            <v>97.05962214993248</v>
          </cell>
        </row>
        <row r="274">
          <cell r="AU274">
            <v>98.473296044522911</v>
          </cell>
        </row>
        <row r="275">
          <cell r="AU275">
            <v>96.821336097738467</v>
          </cell>
        </row>
        <row r="276">
          <cell r="AU276">
            <v>94.526889247991434</v>
          </cell>
        </row>
        <row r="277">
          <cell r="AU277">
            <v>99.232478638628749</v>
          </cell>
        </row>
        <row r="278">
          <cell r="AU278">
            <v>97.771866547676723</v>
          </cell>
        </row>
        <row r="279">
          <cell r="AU279">
            <v>98.557950595645067</v>
          </cell>
        </row>
        <row r="280">
          <cell r="AU280">
            <v>99.798300055092355</v>
          </cell>
        </row>
        <row r="281">
          <cell r="AU281">
            <v>99.38157832321258</v>
          </cell>
        </row>
        <row r="282">
          <cell r="AU282">
            <v>98.434186024142619</v>
          </cell>
        </row>
        <row r="283">
          <cell r="AU283">
            <v>98.376488030672363</v>
          </cell>
        </row>
        <row r="284">
          <cell r="AU284">
            <v>107.26927617311497</v>
          </cell>
        </row>
        <row r="285">
          <cell r="AU285">
            <v>104.13717497046395</v>
          </cell>
        </row>
        <row r="286">
          <cell r="AU286">
            <v>95.960980995714607</v>
          </cell>
        </row>
        <row r="287">
          <cell r="AU287">
            <v>98.780662674884439</v>
          </cell>
        </row>
        <row r="288">
          <cell r="AU288">
            <v>97.564314880534255</v>
          </cell>
        </row>
        <row r="289">
          <cell r="AU289">
            <v>98.861130500688475</v>
          </cell>
        </row>
        <row r="290">
          <cell r="AU290">
            <v>99.745630863635611</v>
          </cell>
        </row>
        <row r="292">
          <cell r="AU292">
            <v>97.704199504233429</v>
          </cell>
        </row>
        <row r="293">
          <cell r="AU293">
            <v>97.979907272741045</v>
          </cell>
        </row>
        <row r="294">
          <cell r="AU294">
            <v>99.895350375578587</v>
          </cell>
        </row>
        <row r="295">
          <cell r="AU295">
            <v>95.889566709390451</v>
          </cell>
        </row>
        <row r="296">
          <cell r="AU296">
            <v>99.06862717692897</v>
          </cell>
        </row>
        <row r="297">
          <cell r="AU297">
            <v>95.445431119922034</v>
          </cell>
        </row>
        <row r="298">
          <cell r="AU298">
            <v>104.42612750160676</v>
          </cell>
        </row>
        <row r="299">
          <cell r="AU299">
            <v>97.341719131975395</v>
          </cell>
        </row>
        <row r="300">
          <cell r="AU300">
            <v>99.419193802504751</v>
          </cell>
        </row>
        <row r="301">
          <cell r="AU301">
            <v>97.071854613833906</v>
          </cell>
        </row>
        <row r="302">
          <cell r="AU302">
            <v>99.570734039536561</v>
          </cell>
        </row>
        <row r="303">
          <cell r="AU303">
            <v>96.468452597935965</v>
          </cell>
        </row>
        <row r="304">
          <cell r="AU304">
            <v>98.260915565538383</v>
          </cell>
        </row>
        <row r="305">
          <cell r="AU305">
            <v>97.640321547589153</v>
          </cell>
        </row>
        <row r="306">
          <cell r="AU306">
            <v>98.731659046513386</v>
          </cell>
        </row>
        <row r="307">
          <cell r="AU307">
            <v>100.63051286939478</v>
          </cell>
        </row>
        <row r="308">
          <cell r="AU308">
            <v>96.708405814293428</v>
          </cell>
        </row>
        <row r="309">
          <cell r="AU309">
            <v>98.262108477392388</v>
          </cell>
        </row>
        <row r="310">
          <cell r="AU310">
            <v>100.88223340232045</v>
          </cell>
        </row>
        <row r="311">
          <cell r="AU311">
            <v>97.964873795422605</v>
          </cell>
        </row>
        <row r="312">
          <cell r="AU312">
            <v>97.684444147608716</v>
          </cell>
        </row>
        <row r="313">
          <cell r="AU313">
            <v>100.56390577410568</v>
          </cell>
        </row>
        <row r="314">
          <cell r="AU314">
            <v>99.284482347324953</v>
          </cell>
        </row>
        <row r="315">
          <cell r="AU315">
            <v>99.92986277518375</v>
          </cell>
        </row>
        <row r="316">
          <cell r="AU316">
            <v>98.833209781084534</v>
          </cell>
        </row>
        <row r="317">
          <cell r="AU317">
            <v>99.202272266400399</v>
          </cell>
        </row>
        <row r="318">
          <cell r="AU318">
            <v>98.715968018469894</v>
          </cell>
        </row>
        <row r="319">
          <cell r="AU319">
            <v>95.039912630667331</v>
          </cell>
        </row>
        <row r="320">
          <cell r="AU320">
            <v>98.367421417804422</v>
          </cell>
        </row>
        <row r="321">
          <cell r="AU321">
            <v>98.860563530003276</v>
          </cell>
        </row>
        <row r="322">
          <cell r="AU322">
            <v>98.293969985865587</v>
          </cell>
        </row>
        <row r="323">
          <cell r="AU323">
            <v>98.680554445148545</v>
          </cell>
        </row>
        <row r="324">
          <cell r="AU324">
            <v>97.276066263342202</v>
          </cell>
        </row>
        <row r="325">
          <cell r="AU325">
            <v>99.522717712698153</v>
          </cell>
        </row>
        <row r="326">
          <cell r="AU326">
            <v>97.280161876306295</v>
          </cell>
        </row>
        <row r="327">
          <cell r="AU327">
            <v>98.419574335641741</v>
          </cell>
        </row>
        <row r="328">
          <cell r="AU328">
            <v>99.010323522494176</v>
          </cell>
        </row>
        <row r="329">
          <cell r="AU329">
            <v>101.34286464320613</v>
          </cell>
        </row>
        <row r="330">
          <cell r="AU330">
            <v>100.08719027441192</v>
          </cell>
        </row>
        <row r="331">
          <cell r="AU331">
            <v>97.147652628524895</v>
          </cell>
        </row>
        <row r="333">
          <cell r="AU333">
            <v>98.291637523851719</v>
          </cell>
        </row>
        <row r="334">
          <cell r="AU334">
            <v>101.55474535131795</v>
          </cell>
        </row>
        <row r="335">
          <cell r="AU335">
            <v>100.47437476290094</v>
          </cell>
        </row>
        <row r="336">
          <cell r="AU336">
            <v>100.54292897070825</v>
          </cell>
        </row>
        <row r="337">
          <cell r="AU337">
            <v>99.6914222479014</v>
          </cell>
        </row>
        <row r="338">
          <cell r="AU338">
            <v>98.788355462696771</v>
          </cell>
        </row>
        <row r="339">
          <cell r="AU339">
            <v>96.362850732705169</v>
          </cell>
        </row>
        <row r="340">
          <cell r="AU340">
            <v>99.706387133823071</v>
          </cell>
        </row>
        <row r="341">
          <cell r="AU341">
            <v>97.642652173476279</v>
          </cell>
        </row>
        <row r="342">
          <cell r="AU342">
            <v>99.106149710242491</v>
          </cell>
        </row>
        <row r="343">
          <cell r="AU343">
            <v>96.333505901006006</v>
          </cell>
        </row>
        <row r="344">
          <cell r="AU344">
            <v>98.749512017375622</v>
          </cell>
        </row>
        <row r="345">
          <cell r="AU345">
            <v>97.86206666251897</v>
          </cell>
        </row>
        <row r="346">
          <cell r="AU346">
            <v>101.04601229684947</v>
          </cell>
        </row>
        <row r="347">
          <cell r="AU347">
            <v>97.276066263342202</v>
          </cell>
        </row>
        <row r="348">
          <cell r="AU348">
            <v>93.852395703596613</v>
          </cell>
        </row>
        <row r="349">
          <cell r="AU349">
            <v>97.34537784324344</v>
          </cell>
        </row>
        <row r="350">
          <cell r="AU350">
            <v>98.987340911426685</v>
          </cell>
        </row>
        <row r="351">
          <cell r="AU351">
            <v>98.106846922939908</v>
          </cell>
        </row>
        <row r="352">
          <cell r="AU352">
            <v>98.794769125933016</v>
          </cell>
        </row>
        <row r="353">
          <cell r="AU353">
            <v>98.17950033315293</v>
          </cell>
        </row>
        <row r="354">
          <cell r="AU354">
            <v>96.913042197128789</v>
          </cell>
        </row>
        <row r="355">
          <cell r="AU355">
            <v>98.866426421918902</v>
          </cell>
        </row>
        <row r="356">
          <cell r="AU356">
            <v>98.283716639471436</v>
          </cell>
        </row>
        <row r="357">
          <cell r="AU357">
            <v>97.627901774051935</v>
          </cell>
        </row>
        <row r="358">
          <cell r="AU358">
            <v>99.060663016068062</v>
          </cell>
        </row>
        <row r="359">
          <cell r="AU359">
            <v>98.301955213273345</v>
          </cell>
        </row>
        <row r="360">
          <cell r="AU360">
            <v>98.106846922939908</v>
          </cell>
        </row>
        <row r="361">
          <cell r="AU361">
            <v>96.325564324938568</v>
          </cell>
        </row>
        <row r="362">
          <cell r="AU362">
            <v>97.842907420327492</v>
          </cell>
        </row>
        <row r="363">
          <cell r="AU363">
            <v>98.232555924411713</v>
          </cell>
        </row>
        <row r="364">
          <cell r="AU364">
            <v>99.070568405483513</v>
          </cell>
        </row>
        <row r="365">
          <cell r="AU365">
            <v>97.022595413926055</v>
          </cell>
        </row>
        <row r="366">
          <cell r="AU366">
            <v>97.985121162080063</v>
          </cell>
        </row>
        <row r="367">
          <cell r="AU367">
            <v>96.656126592782627</v>
          </cell>
        </row>
        <row r="368">
          <cell r="AU368">
            <v>99.467995204961397</v>
          </cell>
        </row>
        <row r="369">
          <cell r="AU369">
            <v>96.072078638210456</v>
          </cell>
        </row>
        <row r="370">
          <cell r="AU370">
            <v>97.701006857023984</v>
          </cell>
        </row>
        <row r="372">
          <cell r="A372" t="str">
            <v>CA327</v>
          </cell>
          <cell r="P372">
            <v>46</v>
          </cell>
          <cell r="Q372">
            <v>5.5925925925925855</v>
          </cell>
          <cell r="T372">
            <v>0.50624999999999998</v>
          </cell>
          <cell r="U372">
            <v>0.62638888888888888</v>
          </cell>
          <cell r="V372">
            <v>57</v>
          </cell>
          <cell r="Z372">
            <v>0.27569444444444446</v>
          </cell>
          <cell r="AF372">
            <v>52.1</v>
          </cell>
          <cell r="AG372">
            <v>11.8</v>
          </cell>
          <cell r="AI372">
            <v>49.9</v>
          </cell>
          <cell r="AU372">
            <v>96.56462372355783</v>
          </cell>
          <cell r="AV372">
            <v>98.133389043282463</v>
          </cell>
          <cell r="AX372" t="str">
            <v>K. Benjamin</v>
          </cell>
        </row>
        <row r="373">
          <cell r="A373" t="str">
            <v>CA328</v>
          </cell>
          <cell r="P373">
            <v>58</v>
          </cell>
          <cell r="Q373">
            <v>3.1851851851851833</v>
          </cell>
          <cell r="T373">
            <v>0.60347222222222219</v>
          </cell>
          <cell r="U373">
            <v>0.72361111111111109</v>
          </cell>
          <cell r="V373">
            <v>56</v>
          </cell>
          <cell r="Z373">
            <v>0.27916666666666667</v>
          </cell>
          <cell r="AF373">
            <v>53</v>
          </cell>
          <cell r="AG373">
            <v>11.9</v>
          </cell>
          <cell r="AI373">
            <v>51</v>
          </cell>
          <cell r="AU373">
            <v>99.450129980121687</v>
          </cell>
          <cell r="AV373">
            <v>101.06587788283909</v>
          </cell>
          <cell r="AX373" t="str">
            <v>K. Benjamin</v>
          </cell>
        </row>
        <row r="374">
          <cell r="A374" t="str">
            <v>CA329</v>
          </cell>
          <cell r="P374">
            <v>63</v>
          </cell>
          <cell r="Q374">
            <v>2.6296296296296329</v>
          </cell>
          <cell r="T374">
            <v>0.69236111111111109</v>
          </cell>
          <cell r="U374">
            <v>0.81736111111111109</v>
          </cell>
          <cell r="V374">
            <v>63</v>
          </cell>
          <cell r="Z374">
            <v>0.27222222222222225</v>
          </cell>
          <cell r="AF374">
            <v>53.3</v>
          </cell>
          <cell r="AG374">
            <v>11.8</v>
          </cell>
          <cell r="AI374">
            <v>51.7</v>
          </cell>
          <cell r="AU374">
            <v>99.924395660222203</v>
          </cell>
          <cell r="AV374">
            <v>101.54784886989201</v>
          </cell>
          <cell r="AX374" t="str">
            <v>K. Benjamin</v>
          </cell>
        </row>
        <row r="375">
          <cell r="A375" t="str">
            <v>CA330</v>
          </cell>
          <cell r="P375">
            <v>58</v>
          </cell>
          <cell r="Q375">
            <v>4.8428835489833597</v>
          </cell>
          <cell r="T375">
            <v>0.80486111111111114</v>
          </cell>
          <cell r="U375">
            <v>0.91180555555555554</v>
          </cell>
          <cell r="V375">
            <v>63</v>
          </cell>
          <cell r="Z375">
            <v>0.26944444444444438</v>
          </cell>
          <cell r="AF375">
            <v>52.2</v>
          </cell>
          <cell r="AG375">
            <v>11.7</v>
          </cell>
          <cell r="AI375">
            <v>50.5</v>
          </cell>
          <cell r="AU375">
            <v>96.735005949559593</v>
          </cell>
          <cell r="AV375">
            <v>98.306641733380062</v>
          </cell>
          <cell r="AX375" t="str">
            <v>K. Benjamin</v>
          </cell>
        </row>
        <row r="376">
          <cell r="A376" t="str">
            <v>CA331</v>
          </cell>
          <cell r="P376">
            <v>57</v>
          </cell>
          <cell r="Q376">
            <v>4.288354898336415</v>
          </cell>
          <cell r="T376">
            <v>0.90347222222222223</v>
          </cell>
          <cell r="U376">
            <v>1.0159722222222223</v>
          </cell>
          <cell r="V376">
            <v>64</v>
          </cell>
          <cell r="Z376">
            <v>0.2729166666666667</v>
          </cell>
          <cell r="AF376">
            <v>52.5</v>
          </cell>
          <cell r="AG376">
            <v>11.8</v>
          </cell>
          <cell r="AI376">
            <v>50.8</v>
          </cell>
          <cell r="AU376">
            <v>100.92621982794307</v>
          </cell>
          <cell r="AV376">
            <v>102.56353470597448</v>
          </cell>
          <cell r="AX376" t="str">
            <v>K. Benjamin</v>
          </cell>
        </row>
        <row r="377">
          <cell r="A377" t="str">
            <v>CA332</v>
          </cell>
          <cell r="P377">
            <v>58</v>
          </cell>
          <cell r="Q377">
            <v>4.1035120147874284</v>
          </cell>
          <cell r="T377">
            <v>1.0083333333333333</v>
          </cell>
          <cell r="U377">
            <v>1.1201388888888888</v>
          </cell>
          <cell r="V377">
            <v>64</v>
          </cell>
          <cell r="Z377">
            <v>0.2763888888888888</v>
          </cell>
          <cell r="AF377">
            <v>52.6</v>
          </cell>
          <cell r="AG377">
            <v>11.8</v>
          </cell>
          <cell r="AI377">
            <v>51</v>
          </cell>
          <cell r="AU377">
            <v>101.71080765524663</v>
          </cell>
          <cell r="AV377">
            <v>103.36050840638534</v>
          </cell>
          <cell r="AX377" t="str">
            <v>R. Sookram</v>
          </cell>
        </row>
        <row r="378">
          <cell r="A378" t="str">
            <v>CA333</v>
          </cell>
          <cell r="P378">
            <v>57</v>
          </cell>
          <cell r="Q378">
            <v>5.5822550831793025</v>
          </cell>
          <cell r="T378">
            <v>1.1180555555555556</v>
          </cell>
          <cell r="U378">
            <v>1.2562500000000001</v>
          </cell>
          <cell r="V378">
            <v>63</v>
          </cell>
          <cell r="Z378">
            <v>0.30833333333333346</v>
          </cell>
          <cell r="AF378">
            <v>51.8</v>
          </cell>
          <cell r="AG378">
            <v>11.8</v>
          </cell>
          <cell r="AI378">
            <v>50.1</v>
          </cell>
          <cell r="AU378">
            <v>99.915911049565807</v>
          </cell>
          <cell r="AV378">
            <v>101.53649943450796</v>
          </cell>
          <cell r="AX378" t="str">
            <v>R. Sookram</v>
          </cell>
        </row>
        <row r="379">
          <cell r="A379" t="str">
            <v>CA334</v>
          </cell>
          <cell r="P379">
            <v>58</v>
          </cell>
          <cell r="Q379">
            <v>3.5489833641404838</v>
          </cell>
          <cell r="T379">
            <v>1.2486111111111111</v>
          </cell>
          <cell r="U379">
            <v>1.3631944444444444</v>
          </cell>
          <cell r="V379">
            <v>71</v>
          </cell>
          <cell r="Z379">
            <v>0.26944444444444438</v>
          </cell>
          <cell r="AF379">
            <v>52.9</v>
          </cell>
          <cell r="AG379">
            <v>11.6</v>
          </cell>
          <cell r="AI379">
            <v>51.1</v>
          </cell>
          <cell r="AU379">
            <v>100.09336436066228</v>
          </cell>
          <cell r="AV379">
            <v>101.71683095360764</v>
          </cell>
          <cell r="AX379" t="str">
            <v>R. Sookram</v>
          </cell>
        </row>
        <row r="380">
          <cell r="A380" t="str">
            <v>CA335</v>
          </cell>
          <cell r="P380">
            <v>58</v>
          </cell>
          <cell r="Q380">
            <v>6.5064695009242195</v>
          </cell>
          <cell r="T380">
            <v>0.36388888888888887</v>
          </cell>
          <cell r="U380">
            <v>0.48402777777777778</v>
          </cell>
          <cell r="V380">
            <v>69</v>
          </cell>
          <cell r="Z380">
            <v>0.27569444444444446</v>
          </cell>
          <cell r="AF380">
            <v>52</v>
          </cell>
          <cell r="AG380">
            <v>11.9</v>
          </cell>
          <cell r="AI380">
            <v>49.5</v>
          </cell>
          <cell r="AU380">
            <v>97.004179140412717</v>
          </cell>
          <cell r="AV380">
            <v>98.579775558001117</v>
          </cell>
          <cell r="AX380" t="str">
            <v>R. Sookram</v>
          </cell>
        </row>
        <row r="381">
          <cell r="A381" t="str">
            <v>CA336</v>
          </cell>
          <cell r="P381">
            <v>57</v>
          </cell>
          <cell r="Q381">
            <v>5.3974121996303168</v>
          </cell>
          <cell r="T381">
            <v>0.46458333333333335</v>
          </cell>
          <cell r="U381">
            <v>0.57847222222222228</v>
          </cell>
          <cell r="V381">
            <v>65</v>
          </cell>
          <cell r="Z381">
            <v>0.27986111111111117</v>
          </cell>
          <cell r="AF381">
            <v>55.3</v>
          </cell>
          <cell r="AG381">
            <v>11.2</v>
          </cell>
          <cell r="AI381">
            <v>53.4</v>
          </cell>
          <cell r="AU381">
            <v>98.419019214153593</v>
          </cell>
          <cell r="AV381">
            <v>100.01738540360921</v>
          </cell>
          <cell r="AX381" t="str">
            <v>R. Sookram</v>
          </cell>
        </row>
        <row r="382">
          <cell r="A382" t="str">
            <v>CA337</v>
          </cell>
          <cell r="P382">
            <v>61</v>
          </cell>
          <cell r="Q382">
            <v>8.7245841035120115</v>
          </cell>
          <cell r="T382">
            <v>0.6166666666666667</v>
          </cell>
          <cell r="U382">
            <v>0.74097222222222225</v>
          </cell>
          <cell r="V382">
            <v>56</v>
          </cell>
          <cell r="Z382">
            <v>0.34861111111111115</v>
          </cell>
          <cell r="AF382">
            <v>50.1</v>
          </cell>
          <cell r="AG382">
            <v>12.3</v>
          </cell>
          <cell r="AI382">
            <v>49.2</v>
          </cell>
          <cell r="AU382">
            <v>100.07208608682477</v>
          </cell>
          <cell r="AV382">
            <v>101.69729877626874</v>
          </cell>
          <cell r="AX382" t="str">
            <v>R. Sookram</v>
          </cell>
        </row>
        <row r="383">
          <cell r="A383" t="str">
            <v>CA338</v>
          </cell>
          <cell r="P383">
            <v>61</v>
          </cell>
          <cell r="Q383">
            <v>5.0370370370370354</v>
          </cell>
          <cell r="T383">
            <v>0.72430555555555554</v>
          </cell>
          <cell r="U383">
            <v>0.8354166666666667</v>
          </cell>
          <cell r="V383">
            <v>55</v>
          </cell>
          <cell r="Z383">
            <v>0.25902777777777786</v>
          </cell>
          <cell r="AF383">
            <v>52.4</v>
          </cell>
          <cell r="AG383">
            <v>11.9</v>
          </cell>
          <cell r="AI383">
            <v>50.5</v>
          </cell>
          <cell r="AU383">
            <v>99.210048636900865</v>
          </cell>
          <cell r="AV383">
            <v>100.82126147626499</v>
          </cell>
          <cell r="AX383" t="str">
            <v>R. Sookram</v>
          </cell>
        </row>
        <row r="384">
          <cell r="A384" t="str">
            <v>CA339</v>
          </cell>
          <cell r="P384">
            <v>59</v>
          </cell>
          <cell r="Q384">
            <v>8</v>
          </cell>
          <cell r="T384">
            <v>0.82638888888888884</v>
          </cell>
          <cell r="U384">
            <v>0.94236111111111109</v>
          </cell>
          <cell r="V384">
            <v>52</v>
          </cell>
          <cell r="Z384">
            <v>0.27569444444444446</v>
          </cell>
          <cell r="AF384">
            <v>50.4</v>
          </cell>
          <cell r="AG384">
            <v>11.7</v>
          </cell>
          <cell r="AI384">
            <v>49.5</v>
          </cell>
          <cell r="AU384">
            <v>95.646066734056419</v>
          </cell>
          <cell r="AV384">
            <v>97.199296171031207</v>
          </cell>
          <cell r="AX384" t="str">
            <v>K. Benjamin</v>
          </cell>
        </row>
        <row r="385">
          <cell r="A385" t="str">
            <v>CA340</v>
          </cell>
          <cell r="P385">
            <v>61</v>
          </cell>
          <cell r="Q385">
            <v>4.1111111111111089</v>
          </cell>
          <cell r="T385">
            <v>0.92638888888888893</v>
          </cell>
          <cell r="U385">
            <v>1.0395833333333333</v>
          </cell>
          <cell r="V385">
            <v>63</v>
          </cell>
          <cell r="Z385">
            <v>0.27569444444444446</v>
          </cell>
          <cell r="AF385">
            <v>52.5</v>
          </cell>
          <cell r="AG385">
            <v>11.9</v>
          </cell>
          <cell r="AI385">
            <v>50.9</v>
          </cell>
          <cell r="AU385">
            <v>99.871647112886492</v>
          </cell>
          <cell r="AV385">
            <v>101.49371170616574</v>
          </cell>
          <cell r="AX385" t="str">
            <v>K. Benjamin</v>
          </cell>
        </row>
        <row r="386">
          <cell r="A386" t="str">
            <v>CA341</v>
          </cell>
          <cell r="P386">
            <v>61</v>
          </cell>
          <cell r="Q386">
            <v>3.9186691312384427</v>
          </cell>
          <cell r="T386">
            <v>1.0229166666666667</v>
          </cell>
          <cell r="U386">
            <v>1.1305555555555555</v>
          </cell>
          <cell r="V386">
            <v>59</v>
          </cell>
          <cell r="Z386">
            <v>0.26944444444444438</v>
          </cell>
          <cell r="AF386">
            <v>52.7</v>
          </cell>
          <cell r="AG386">
            <v>11.8</v>
          </cell>
          <cell r="AI386">
            <v>50.8</v>
          </cell>
          <cell r="AU386">
            <v>98.917653360549238</v>
          </cell>
          <cell r="AV386">
            <v>100.52411757787458</v>
          </cell>
          <cell r="AX386" t="str">
            <v>K. Benjamin</v>
          </cell>
        </row>
        <row r="387">
          <cell r="A387" t="str">
            <v>CA342</v>
          </cell>
          <cell r="P387">
            <v>59</v>
          </cell>
          <cell r="Q387">
            <v>3.9259259259259207</v>
          </cell>
          <cell r="T387">
            <v>1.1680555555555556</v>
          </cell>
          <cell r="U387">
            <v>1.2784722222222222</v>
          </cell>
          <cell r="V387">
            <v>63</v>
          </cell>
          <cell r="Z387">
            <v>0.32013888888888886</v>
          </cell>
          <cell r="AF387">
            <v>52.6</v>
          </cell>
          <cell r="AG387">
            <v>11.7</v>
          </cell>
          <cell r="AI387">
            <v>50.9</v>
          </cell>
          <cell r="AU387">
            <v>97.985121162080063</v>
          </cell>
          <cell r="AV387">
            <v>99.576650591512873</v>
          </cell>
          <cell r="AX387" t="str">
            <v>K. Benjamin</v>
          </cell>
        </row>
        <row r="388">
          <cell r="A388" t="str">
            <v>CA343</v>
          </cell>
          <cell r="P388">
            <v>59</v>
          </cell>
          <cell r="Q388">
            <v>4.4731977818854007</v>
          </cell>
          <cell r="T388">
            <v>0.28888888888888886</v>
          </cell>
          <cell r="U388">
            <v>0.40833333333333333</v>
          </cell>
          <cell r="V388">
            <v>63</v>
          </cell>
          <cell r="Z388">
            <v>0.27638888888888891</v>
          </cell>
          <cell r="AF388">
            <v>52.4</v>
          </cell>
          <cell r="AG388">
            <v>11.5</v>
          </cell>
          <cell r="AI388">
            <v>50.5</v>
          </cell>
          <cell r="AU388">
            <v>95.883570904040326</v>
          </cell>
          <cell r="AV388">
            <v>96.896837035964452</v>
          </cell>
          <cell r="AX388" t="str">
            <v>D. Gomaz</v>
          </cell>
        </row>
        <row r="389">
          <cell r="A389" t="str">
            <v>CA344</v>
          </cell>
          <cell r="P389">
            <v>57</v>
          </cell>
          <cell r="Q389">
            <v>4.4731977818854007</v>
          </cell>
          <cell r="T389">
            <v>0.3972222222222222</v>
          </cell>
          <cell r="U389">
            <v>0.51597222222222228</v>
          </cell>
          <cell r="V389">
            <v>65</v>
          </cell>
          <cell r="Z389">
            <v>0.29027777777777786</v>
          </cell>
          <cell r="AF389">
            <v>52.4</v>
          </cell>
          <cell r="AG389">
            <v>11.7</v>
          </cell>
          <cell r="AI389">
            <v>50.4</v>
          </cell>
          <cell r="AU389">
            <v>97.688668777521585</v>
          </cell>
          <cell r="AV389">
            <v>98.72087476978551</v>
          </cell>
          <cell r="AX389" t="str">
            <v>D. Gomaz</v>
          </cell>
        </row>
        <row r="390">
          <cell r="A390" t="str">
            <v>CA345</v>
          </cell>
          <cell r="P390">
            <v>59</v>
          </cell>
          <cell r="Q390">
            <v>4.288354898336415</v>
          </cell>
          <cell r="T390">
            <v>0.50486111111111109</v>
          </cell>
          <cell r="U390">
            <v>0.61944444444444446</v>
          </cell>
          <cell r="V390">
            <v>60</v>
          </cell>
          <cell r="Z390">
            <v>0.27916666666666667</v>
          </cell>
          <cell r="AF390">
            <v>52.5</v>
          </cell>
          <cell r="AG390">
            <v>11.7</v>
          </cell>
          <cell r="AI390">
            <v>50.6</v>
          </cell>
          <cell r="AU390">
            <v>98.076322225051427</v>
          </cell>
          <cell r="AV390">
            <v>99.112624272840208</v>
          </cell>
          <cell r="AX390" t="str">
            <v>R. Sookram</v>
          </cell>
        </row>
        <row r="391">
          <cell r="A391" t="str">
            <v>CA346</v>
          </cell>
          <cell r="P391">
            <v>60</v>
          </cell>
          <cell r="Q391">
            <v>4.8428835489833597</v>
          </cell>
          <cell r="T391">
            <v>0.6020833333333333</v>
          </cell>
          <cell r="U391">
            <v>0.73055555555555551</v>
          </cell>
          <cell r="V391">
            <v>71</v>
          </cell>
          <cell r="Z391">
            <v>0.28611111111111109</v>
          </cell>
          <cell r="AF391">
            <v>52.2</v>
          </cell>
          <cell r="AG391">
            <v>11.6</v>
          </cell>
          <cell r="AI391">
            <v>50.3</v>
          </cell>
          <cell r="AU391">
            <v>96.738087826903367</v>
          </cell>
          <cell r="AV391">
            <v>97.760182212166356</v>
          </cell>
          <cell r="AX391" t="str">
            <v>R. Sookram</v>
          </cell>
        </row>
        <row r="392">
          <cell r="A392" t="str">
            <v>CA347</v>
          </cell>
          <cell r="P392">
            <v>60</v>
          </cell>
          <cell r="Q392">
            <v>12.444444444444443</v>
          </cell>
          <cell r="T392">
            <v>0.71597222222222223</v>
          </cell>
          <cell r="U392">
            <v>0.84027777777777779</v>
          </cell>
          <cell r="V392">
            <v>61</v>
          </cell>
          <cell r="Z392">
            <v>0.29861111111111116</v>
          </cell>
          <cell r="AF392">
            <v>48</v>
          </cell>
          <cell r="AG392">
            <v>11.7</v>
          </cell>
          <cell r="AI392">
            <v>46.1</v>
          </cell>
          <cell r="AU392">
            <v>89.576614302132214</v>
          </cell>
          <cell r="AV392">
            <v>90.522980878475536</v>
          </cell>
          <cell r="AX392" t="str">
            <v>R. Sookram</v>
          </cell>
        </row>
        <row r="393">
          <cell r="A393" t="str">
            <v>CA348</v>
          </cell>
          <cell r="P393">
            <v>60</v>
          </cell>
          <cell r="Q393">
            <v>4.666666666666659</v>
          </cell>
          <cell r="T393">
            <v>0.81041666666666667</v>
          </cell>
          <cell r="U393">
            <v>0.93680555555555556</v>
          </cell>
          <cell r="V393">
            <v>56</v>
          </cell>
          <cell r="Z393">
            <v>0.29791666666666672</v>
          </cell>
          <cell r="AF393">
            <v>52.2</v>
          </cell>
          <cell r="AG393">
            <v>11.6</v>
          </cell>
          <cell r="AI393">
            <v>51.5</v>
          </cell>
          <cell r="AU393">
            <v>99.045954733310609</v>
          </cell>
          <cell r="AV393">
            <v>100.09243308005105</v>
          </cell>
          <cell r="AX393" t="str">
            <v>K. Benjamin</v>
          </cell>
        </row>
        <row r="394">
          <cell r="A394" t="str">
            <v>CA349</v>
          </cell>
          <cell r="P394">
            <v>60</v>
          </cell>
          <cell r="Q394">
            <v>4.2962962962962967</v>
          </cell>
          <cell r="T394">
            <v>0.92777777777777781</v>
          </cell>
          <cell r="U394">
            <v>1.1270833333333334</v>
          </cell>
          <cell r="V394">
            <v>173</v>
          </cell>
          <cell r="Z394">
            <v>0.39791666666666681</v>
          </cell>
          <cell r="AF394">
            <v>52.4</v>
          </cell>
          <cell r="AG394">
            <v>11.6</v>
          </cell>
          <cell r="AI394">
            <v>50.6</v>
          </cell>
          <cell r="AU394">
            <v>97.073638621963838</v>
          </cell>
          <cell r="AV394">
            <v>98.099413599458771</v>
          </cell>
          <cell r="AX394" t="str">
            <v>K. Benjamin</v>
          </cell>
        </row>
        <row r="395">
          <cell r="A395" t="str">
            <v>CA350</v>
          </cell>
          <cell r="P395">
            <v>59</v>
          </cell>
          <cell r="Q395">
            <v>3.3703703703703707</v>
          </cell>
          <cell r="T395">
            <v>1.0916666666666666</v>
          </cell>
          <cell r="U395">
            <v>1.2118055555555556</v>
          </cell>
          <cell r="V395">
            <v>79</v>
          </cell>
          <cell r="Z395">
            <v>0.37847222222222221</v>
          </cell>
          <cell r="AF395">
            <v>52.9</v>
          </cell>
          <cell r="AG395">
            <v>11.5</v>
          </cell>
          <cell r="AI395">
            <v>50.7</v>
          </cell>
          <cell r="AU395">
            <v>96.622408854490644</v>
          </cell>
          <cell r="AV395">
            <v>97.643281023862755</v>
          </cell>
          <cell r="AX395" t="str">
            <v>K. Benjamin</v>
          </cell>
        </row>
        <row r="396">
          <cell r="A396" t="str">
            <v>CA351</v>
          </cell>
          <cell r="P396">
            <v>61</v>
          </cell>
          <cell r="Q396">
            <v>4.4731977818854007</v>
          </cell>
          <cell r="T396">
            <v>0.44027777777777777</v>
          </cell>
          <cell r="U396">
            <v>0.56180555555555556</v>
          </cell>
          <cell r="V396">
            <v>60</v>
          </cell>
          <cell r="Z396">
            <v>0.27083333333333331</v>
          </cell>
          <cell r="AF396">
            <v>52.4</v>
          </cell>
          <cell r="AG396">
            <v>11.6</v>
          </cell>
          <cell r="AI396">
            <v>49.9</v>
          </cell>
          <cell r="AU396">
            <v>95.968798858100953</v>
          </cell>
          <cell r="AV396">
            <v>96.982765256204786</v>
          </cell>
          <cell r="AX396" t="str">
            <v>D. Gomaz</v>
          </cell>
        </row>
        <row r="397">
          <cell r="A397" t="str">
            <v>CA352</v>
          </cell>
          <cell r="P397">
            <v>60</v>
          </cell>
          <cell r="Q397">
            <v>3.3703703703703707</v>
          </cell>
          <cell r="T397">
            <v>0.54722222222222228</v>
          </cell>
          <cell r="U397">
            <v>0.65902777777777777</v>
          </cell>
          <cell r="V397">
            <v>64</v>
          </cell>
          <cell r="Z397">
            <v>0.27708333333333335</v>
          </cell>
          <cell r="AF397">
            <v>52.9</v>
          </cell>
          <cell r="AG397">
            <v>11.7</v>
          </cell>
          <cell r="AI397">
            <v>50.05</v>
          </cell>
          <cell r="AU397">
            <v>97.010275244344342</v>
          </cell>
          <cell r="AV397">
            <v>98.035313139439765</v>
          </cell>
          <cell r="AX397" t="str">
            <v>D. Gomaz</v>
          </cell>
        </row>
        <row r="398">
          <cell r="A398" t="str">
            <v>CA353</v>
          </cell>
          <cell r="P398">
            <v>57</v>
          </cell>
          <cell r="Q398">
            <v>4.288354898336415</v>
          </cell>
          <cell r="T398">
            <v>0.65416666666666667</v>
          </cell>
          <cell r="U398">
            <v>0.75972222222222219</v>
          </cell>
          <cell r="V398">
            <v>52</v>
          </cell>
          <cell r="Z398">
            <v>0.28749999999999998</v>
          </cell>
          <cell r="AF398">
            <v>52.5</v>
          </cell>
          <cell r="AG398">
            <v>11.6</v>
          </cell>
          <cell r="AI398">
            <v>50.6</v>
          </cell>
          <cell r="AU398">
            <v>97.315054553505178</v>
          </cell>
          <cell r="AV398">
            <v>98.343244929137526</v>
          </cell>
          <cell r="AX398" t="str">
            <v>D. Gomaz</v>
          </cell>
        </row>
        <row r="399">
          <cell r="A399" t="str">
            <v>CA354</v>
          </cell>
          <cell r="P399">
            <v>62</v>
          </cell>
          <cell r="Q399">
            <v>4.288354898336415</v>
          </cell>
          <cell r="T399">
            <v>0.75555555555555554</v>
          </cell>
          <cell r="U399">
            <v>0.86597222222222225</v>
          </cell>
          <cell r="V399">
            <v>62</v>
          </cell>
          <cell r="Z399">
            <v>0.27569444444444446</v>
          </cell>
          <cell r="AF399">
            <v>52.5</v>
          </cell>
          <cell r="AG399">
            <v>11.6</v>
          </cell>
          <cell r="AI399">
            <v>50.6</v>
          </cell>
          <cell r="AU399">
            <v>97.194196677647014</v>
          </cell>
          <cell r="AX399" t="str">
            <v>D. Gomaz</v>
          </cell>
        </row>
        <row r="400">
          <cell r="A400" t="str">
            <v>CA355</v>
          </cell>
          <cell r="P400">
            <v>57</v>
          </cell>
          <cell r="Q400">
            <v>5.2125693160813311</v>
          </cell>
          <cell r="T400">
            <v>0.85833333333333328</v>
          </cell>
          <cell r="U400">
            <v>0.96875</v>
          </cell>
          <cell r="V400">
            <v>62</v>
          </cell>
          <cell r="Z400">
            <v>0.28819444444444442</v>
          </cell>
          <cell r="AF400">
            <v>52</v>
          </cell>
          <cell r="AG400">
            <v>11.7</v>
          </cell>
          <cell r="AI400">
            <v>50.1</v>
          </cell>
          <cell r="AU400">
            <v>97.107188606226813</v>
          </cell>
          <cell r="AV400">
            <v>98.133250515203457</v>
          </cell>
          <cell r="AX400" t="str">
            <v>R. Sookram</v>
          </cell>
        </row>
        <row r="401">
          <cell r="A401" t="str">
            <v>CA356</v>
          </cell>
          <cell r="P401">
            <v>60</v>
          </cell>
          <cell r="Q401">
            <v>4.288354898336415</v>
          </cell>
          <cell r="T401">
            <v>0.96111111111111114</v>
          </cell>
          <cell r="U401">
            <v>1.0847222222222221</v>
          </cell>
          <cell r="V401">
            <v>60</v>
          </cell>
          <cell r="Z401">
            <v>0.29999999999999993</v>
          </cell>
          <cell r="AF401">
            <v>52.5</v>
          </cell>
          <cell r="AG401">
            <v>11.7</v>
          </cell>
          <cell r="AI401">
            <v>50.2</v>
          </cell>
          <cell r="AU401">
            <v>97.543298003623377</v>
          </cell>
          <cell r="AV401">
            <v>98.573831672439738</v>
          </cell>
          <cell r="AX401" t="str">
            <v>R. Sookram</v>
          </cell>
        </row>
        <row r="402">
          <cell r="A402" t="str">
            <v>CA357</v>
          </cell>
          <cell r="P402">
            <v>60</v>
          </cell>
          <cell r="Q402">
            <v>3.7407407407407334</v>
          </cell>
          <cell r="T402">
            <v>1.09375</v>
          </cell>
          <cell r="U402">
            <v>1.2166666666666666</v>
          </cell>
          <cell r="V402">
            <v>55</v>
          </cell>
          <cell r="Z402">
            <v>0.27499999999999991</v>
          </cell>
          <cell r="AF402">
            <v>52.7</v>
          </cell>
          <cell r="AG402">
            <v>11.8</v>
          </cell>
          <cell r="AI402">
            <v>50.8</v>
          </cell>
          <cell r="AU402">
            <v>99.596971567739487</v>
          </cell>
          <cell r="AV402">
            <v>100.64920206038583</v>
          </cell>
          <cell r="AX402" t="str">
            <v>R. Sookram</v>
          </cell>
        </row>
        <row r="403">
          <cell r="A403" t="str">
            <v>CA358</v>
          </cell>
          <cell r="P403">
            <v>61</v>
          </cell>
          <cell r="T403">
            <v>1.2006944444444445</v>
          </cell>
          <cell r="U403">
            <v>1.3402777777777777</v>
          </cell>
          <cell r="V403">
            <v>61</v>
          </cell>
          <cell r="Z403">
            <v>0.30208333333333326</v>
          </cell>
          <cell r="AF403">
            <v>53</v>
          </cell>
          <cell r="AG403">
            <v>11.8</v>
          </cell>
          <cell r="AI403">
            <v>50.4</v>
          </cell>
          <cell r="AU403">
            <v>98.567307662683234</v>
          </cell>
          <cell r="AV403">
            <v>99.608797600911927</v>
          </cell>
          <cell r="AX403" t="str">
            <v>K. Benjamin</v>
          </cell>
        </row>
        <row r="404">
          <cell r="A404" t="str">
            <v>CA359</v>
          </cell>
          <cell r="P404">
            <v>58</v>
          </cell>
          <cell r="Q404">
            <v>10.203327171903888</v>
          </cell>
          <cell r="T404">
            <v>0.23125000000000001</v>
          </cell>
          <cell r="U404">
            <v>0.34027777777777779</v>
          </cell>
          <cell r="V404">
            <v>51</v>
          </cell>
          <cell r="Z404">
            <v>0.25694444444444448</v>
          </cell>
          <cell r="AF404">
            <v>49.3</v>
          </cell>
          <cell r="AG404">
            <v>11.7</v>
          </cell>
          <cell r="AI404">
            <v>49.1</v>
          </cell>
          <cell r="AU404">
            <v>94.783958244441095</v>
          </cell>
          <cell r="AV404">
            <v>96.294026430739692</v>
          </cell>
          <cell r="AX404" t="str">
            <v>R. Sookram</v>
          </cell>
        </row>
        <row r="405">
          <cell r="A405" t="str">
            <v>CA360</v>
          </cell>
          <cell r="P405">
            <v>62</v>
          </cell>
          <cell r="Q405">
            <v>9.1111111111111143</v>
          </cell>
          <cell r="T405">
            <v>0.32847222222222222</v>
          </cell>
          <cell r="U405">
            <v>0.44305555555555554</v>
          </cell>
          <cell r="V405">
            <v>55</v>
          </cell>
          <cell r="Z405">
            <v>0.25555555555555554</v>
          </cell>
          <cell r="AF405">
            <v>49.8</v>
          </cell>
          <cell r="AG405">
            <v>11.9</v>
          </cell>
          <cell r="AI405">
            <v>48.9</v>
          </cell>
          <cell r="AU405">
            <v>96.215628300055926</v>
          </cell>
          <cell r="AV405">
            <v>97.748403917184362</v>
          </cell>
          <cell r="AX405" t="str">
            <v>R. Sookram</v>
          </cell>
        </row>
        <row r="406">
          <cell r="A406" t="str">
            <v>CA361</v>
          </cell>
          <cell r="P406">
            <v>60</v>
          </cell>
          <cell r="Q406">
            <v>8.3703703703703631</v>
          </cell>
          <cell r="T406">
            <v>0.4284722222222222</v>
          </cell>
          <cell r="U406">
            <v>0.53819444444444442</v>
          </cell>
          <cell r="V406">
            <v>55</v>
          </cell>
          <cell r="Z406">
            <v>0.24652777777777773</v>
          </cell>
          <cell r="AF406">
            <v>50.2</v>
          </cell>
          <cell r="AG406">
            <v>11.8</v>
          </cell>
          <cell r="AI406">
            <v>49.55</v>
          </cell>
          <cell r="AU406">
            <v>96.512976698627241</v>
          </cell>
          <cell r="AV406">
            <v>98.050591062670975</v>
          </cell>
          <cell r="AX406" t="str">
            <v>R. Sookram</v>
          </cell>
        </row>
        <row r="407">
          <cell r="A407" t="str">
            <v>CA362</v>
          </cell>
          <cell r="P407">
            <v>60</v>
          </cell>
          <cell r="Q407">
            <v>8.1851851851851887</v>
          </cell>
          <cell r="T407">
            <v>0.52152777777777781</v>
          </cell>
          <cell r="U407">
            <v>0.6430555555555556</v>
          </cell>
          <cell r="V407">
            <v>61</v>
          </cell>
          <cell r="Z407">
            <v>0.2680555555555556</v>
          </cell>
          <cell r="AF407">
            <v>50.3</v>
          </cell>
          <cell r="AG407">
            <v>11.9</v>
          </cell>
          <cell r="AI407">
            <v>49.7</v>
          </cell>
          <cell r="AU407">
            <v>97.668075936141776</v>
          </cell>
          <cell r="AV407">
            <v>99.224092977631102</v>
          </cell>
          <cell r="AX407" t="str">
            <v>K. Benjamin</v>
          </cell>
        </row>
        <row r="408">
          <cell r="A408" t="str">
            <v>CA363</v>
          </cell>
          <cell r="P408">
            <v>14</v>
          </cell>
          <cell r="Q408">
            <v>9.8518518518518512</v>
          </cell>
          <cell r="V408">
            <v>59</v>
          </cell>
          <cell r="Z408">
            <v>0.28749999999999998</v>
          </cell>
          <cell r="AF408">
            <v>49.8</v>
          </cell>
          <cell r="AG408">
            <v>11.9</v>
          </cell>
          <cell r="AI408">
            <v>49.9</v>
          </cell>
          <cell r="AU408">
            <v>98.061106422806333</v>
          </cell>
          <cell r="AV408">
            <v>99.623385102289589</v>
          </cell>
          <cell r="AX408" t="str">
            <v>K. Benjamin</v>
          </cell>
        </row>
        <row r="409">
          <cell r="A409" t="str">
            <v>CA364</v>
          </cell>
          <cell r="P409">
            <v>60</v>
          </cell>
          <cell r="Q409">
            <v>8.1700554528650677</v>
          </cell>
          <cell r="T409">
            <v>0.75694444444444442</v>
          </cell>
          <cell r="U409">
            <v>0.87013888888888891</v>
          </cell>
          <cell r="V409">
            <v>61</v>
          </cell>
          <cell r="Z409">
            <v>0.28333333333333333</v>
          </cell>
          <cell r="AF409">
            <v>50.8</v>
          </cell>
          <cell r="AG409">
            <v>11.6</v>
          </cell>
          <cell r="AI409">
            <v>49.21</v>
          </cell>
          <cell r="AU409">
            <v>94.141882174700498</v>
          </cell>
          <cell r="AV409">
            <v>95.641721007171114</v>
          </cell>
          <cell r="AX409" t="str">
            <v>K. Benjamin</v>
          </cell>
        </row>
        <row r="410">
          <cell r="A410" t="str">
            <v>CA365</v>
          </cell>
          <cell r="P410">
            <v>59</v>
          </cell>
          <cell r="Q410">
            <v>7.985212569316082</v>
          </cell>
          <cell r="T410">
            <v>0.90347222222222223</v>
          </cell>
          <cell r="U410">
            <v>1.0118055555555556</v>
          </cell>
          <cell r="V410">
            <v>63</v>
          </cell>
          <cell r="Z410">
            <v>0.32083333333333341</v>
          </cell>
          <cell r="AF410">
            <v>50.5</v>
          </cell>
          <cell r="AG410">
            <v>11.7</v>
          </cell>
          <cell r="AI410">
            <v>50.8</v>
          </cell>
          <cell r="AU410">
            <v>98.065683886305649</v>
          </cell>
          <cell r="AV410">
            <v>99.628035492496451</v>
          </cell>
          <cell r="AX410" t="str">
            <v>R. Regis</v>
          </cell>
        </row>
        <row r="411">
          <cell r="A411" t="str">
            <v>CA366</v>
          </cell>
          <cell r="P411">
            <v>58</v>
          </cell>
          <cell r="Q411">
            <v>8.9094269870609999</v>
          </cell>
          <cell r="T411">
            <v>0.99791666666666667</v>
          </cell>
          <cell r="U411">
            <v>1.1104166666666666</v>
          </cell>
          <cell r="V411">
            <v>63</v>
          </cell>
          <cell r="Z411">
            <v>0.25972222222222219</v>
          </cell>
          <cell r="AF411">
            <v>50</v>
          </cell>
          <cell r="AG411">
            <v>11.6</v>
          </cell>
          <cell r="AI411">
            <v>50.3</v>
          </cell>
          <cell r="AU411">
            <v>96.227121995274018</v>
          </cell>
          <cell r="AV411">
            <v>97.760182212166356</v>
          </cell>
          <cell r="AX411" t="str">
            <v>R. Regis</v>
          </cell>
        </row>
        <row r="412">
          <cell r="A412" t="str">
            <v>CA367</v>
          </cell>
          <cell r="P412">
            <v>57</v>
          </cell>
          <cell r="Q412">
            <v>9.4639556377079437</v>
          </cell>
          <cell r="T412">
            <v>0.18333333333333332</v>
          </cell>
          <cell r="U412">
            <v>0.29652777777777778</v>
          </cell>
          <cell r="V412">
            <v>57</v>
          </cell>
          <cell r="Z412">
            <v>0.25486111111111109</v>
          </cell>
          <cell r="AF412">
            <v>49.7</v>
          </cell>
          <cell r="AG412">
            <v>11.6</v>
          </cell>
          <cell r="AI412">
            <v>48.95</v>
          </cell>
          <cell r="AU412">
            <v>93.644485520251749</v>
          </cell>
          <cell r="AV412">
            <v>95.136399985796089</v>
          </cell>
        </row>
        <row r="413">
          <cell r="A413" t="str">
            <v>CA368</v>
          </cell>
          <cell r="P413">
            <v>60</v>
          </cell>
          <cell r="Q413">
            <v>11.518518518518517</v>
          </cell>
          <cell r="T413">
            <v>0.3125</v>
          </cell>
          <cell r="U413">
            <v>0.4201388888888889</v>
          </cell>
          <cell r="V413">
            <v>53</v>
          </cell>
          <cell r="Z413">
            <v>0.27430555555555558</v>
          </cell>
          <cell r="AF413">
            <v>49.3</v>
          </cell>
          <cell r="AG413">
            <v>11.9</v>
          </cell>
          <cell r="AI413">
            <v>48.8</v>
          </cell>
          <cell r="AU413">
            <v>95.780305895522162</v>
          </cell>
          <cell r="AV413">
            <v>97.306348354830803</v>
          </cell>
        </row>
        <row r="414">
          <cell r="A414" t="str">
            <v>CA369</v>
          </cell>
          <cell r="P414">
            <v>60</v>
          </cell>
          <cell r="Q414">
            <v>10.592592592592592</v>
          </cell>
          <cell r="T414">
            <v>0.40555555555555556</v>
          </cell>
          <cell r="U414">
            <v>0.51527777777777772</v>
          </cell>
          <cell r="V414">
            <v>50</v>
          </cell>
          <cell r="Z414">
            <v>0.26527777777777772</v>
          </cell>
          <cell r="AF414">
            <v>49</v>
          </cell>
          <cell r="AG414">
            <v>11.8</v>
          </cell>
          <cell r="AI414">
            <v>49.9</v>
          </cell>
          <cell r="AU414">
            <v>97.194703072885943</v>
          </cell>
          <cell r="AV414">
            <v>98.743178486927988</v>
          </cell>
        </row>
        <row r="415">
          <cell r="A415" t="str">
            <v>CA370</v>
          </cell>
          <cell r="P415">
            <v>60</v>
          </cell>
          <cell r="Q415">
            <v>7.2592592592592622</v>
          </cell>
          <cell r="T415">
            <v>0.49305555555555558</v>
          </cell>
          <cell r="U415">
            <v>0.60277777777777775</v>
          </cell>
          <cell r="V415">
            <v>59</v>
          </cell>
          <cell r="Z415">
            <v>0.24513888888888885</v>
          </cell>
          <cell r="AF415">
            <v>50.8</v>
          </cell>
          <cell r="AG415">
            <v>11.7</v>
          </cell>
          <cell r="AI415">
            <v>49.77</v>
          </cell>
          <cell r="AU415">
            <v>96.196995367381973</v>
          </cell>
          <cell r="AV415">
            <v>97.729474150145947</v>
          </cell>
        </row>
        <row r="416">
          <cell r="A416" t="str">
            <v>CA371</v>
          </cell>
          <cell r="P416">
            <v>61</v>
          </cell>
          <cell r="Q416">
            <v>8.9259259259259256</v>
          </cell>
          <cell r="T416">
            <v>0.59513888888888888</v>
          </cell>
          <cell r="U416">
            <v>0.70833333333333337</v>
          </cell>
          <cell r="V416">
            <v>60</v>
          </cell>
          <cell r="Z416">
            <v>0.26736111111111116</v>
          </cell>
          <cell r="AF416">
            <v>49.9</v>
          </cell>
          <cell r="AG416">
            <v>11.7</v>
          </cell>
          <cell r="AI416">
            <v>50</v>
          </cell>
          <cell r="AU416">
            <v>96.762050323253916</v>
          </cell>
          <cell r="AV416">
            <v>98.30342847120383</v>
          </cell>
        </row>
        <row r="417">
          <cell r="A417" t="str">
            <v>CA372</v>
          </cell>
          <cell r="P417">
            <v>63</v>
          </cell>
          <cell r="Q417">
            <v>9.4639556377079437</v>
          </cell>
          <cell r="T417">
            <v>0.71736111111111112</v>
          </cell>
          <cell r="U417">
            <v>0.83680555555555558</v>
          </cell>
          <cell r="V417">
            <v>61</v>
          </cell>
          <cell r="Z417">
            <v>0.29166666666666674</v>
          </cell>
          <cell r="AF417">
            <v>50.1</v>
          </cell>
          <cell r="AG417">
            <v>11.7</v>
          </cell>
          <cell r="AI417">
            <v>50.2</v>
          </cell>
          <cell r="AU417">
            <v>97.028112667120254</v>
          </cell>
          <cell r="AV417">
            <v>98.573831672439738</v>
          </cell>
        </row>
        <row r="418">
          <cell r="A418" t="str">
            <v>CA373</v>
          </cell>
          <cell r="P418">
            <v>60</v>
          </cell>
          <cell r="Q418">
            <v>8.7245841035120115</v>
          </cell>
          <cell r="T418">
            <v>0.81527777777777777</v>
          </cell>
          <cell r="U418">
            <v>0.92569444444444449</v>
          </cell>
          <cell r="V418">
            <v>60</v>
          </cell>
          <cell r="Z418">
            <v>0.25555555555555565</v>
          </cell>
          <cell r="AF418">
            <v>50.1</v>
          </cell>
          <cell r="AG418">
            <v>11.9</v>
          </cell>
          <cell r="AI418">
            <v>50.3</v>
          </cell>
          <cell r="AU418">
            <v>99.093675526055435</v>
          </cell>
          <cell r="AV418">
            <v>100.67219546797111</v>
          </cell>
        </row>
        <row r="419">
          <cell r="A419" t="str">
            <v>CA374</v>
          </cell>
          <cell r="P419">
            <v>60</v>
          </cell>
          <cell r="Q419">
            <v>8.5397412199630267</v>
          </cell>
          <cell r="T419">
            <v>0.90694444444444444</v>
          </cell>
          <cell r="U419">
            <v>1.0215277777777778</v>
          </cell>
          <cell r="V419">
            <v>64</v>
          </cell>
          <cell r="Z419">
            <v>0.25763888888888897</v>
          </cell>
          <cell r="AF419">
            <v>51</v>
          </cell>
          <cell r="AG419">
            <v>11.8</v>
          </cell>
          <cell r="AI419">
            <v>51</v>
          </cell>
          <cell r="AU419">
            <v>99.090770773720209</v>
          </cell>
          <cell r="AV419">
            <v>100.66966200100997</v>
          </cell>
        </row>
        <row r="420">
          <cell r="A420" t="str">
            <v>CA375</v>
          </cell>
          <cell r="P420">
            <v>60</v>
          </cell>
          <cell r="Q420">
            <v>13.345656192236596</v>
          </cell>
          <cell r="T420">
            <v>1.1694444444444445</v>
          </cell>
          <cell r="U420">
            <v>1.3055555555555556</v>
          </cell>
          <cell r="V420">
            <v>55</v>
          </cell>
          <cell r="Z420">
            <v>0.29166666666666674</v>
          </cell>
          <cell r="AF420">
            <v>49.5</v>
          </cell>
          <cell r="AG420">
            <v>12</v>
          </cell>
          <cell r="AU420">
            <v>99.125761295317346</v>
          </cell>
          <cell r="AX420" t="str">
            <v>R. Sookram</v>
          </cell>
        </row>
        <row r="421">
          <cell r="A421" t="str">
            <v>CA376</v>
          </cell>
          <cell r="P421">
            <v>60</v>
          </cell>
          <cell r="Q421">
            <v>9.0942698706099847</v>
          </cell>
          <cell r="T421">
            <v>0.28541666666666665</v>
          </cell>
          <cell r="U421">
            <v>0.39861111111111114</v>
          </cell>
          <cell r="V421">
            <v>57</v>
          </cell>
          <cell r="Z421">
            <v>0.27708333333333335</v>
          </cell>
          <cell r="AF421">
            <v>49.9</v>
          </cell>
          <cell r="AG421">
            <v>12.1</v>
          </cell>
          <cell r="AI421">
            <v>49.3</v>
          </cell>
          <cell r="AU421">
            <v>98.716771578243012</v>
          </cell>
          <cell r="AV421">
            <v>100.28939198461705</v>
          </cell>
          <cell r="AX421" t="str">
            <v>R. Sookram</v>
          </cell>
        </row>
        <row r="422">
          <cell r="A422" t="str">
            <v>CA377</v>
          </cell>
          <cell r="P422">
            <v>61</v>
          </cell>
          <cell r="Q422">
            <v>10.407407407407403</v>
          </cell>
          <cell r="T422">
            <v>0.39374999999999999</v>
          </cell>
          <cell r="U422">
            <v>0.51666666666666672</v>
          </cell>
          <cell r="V422">
            <v>57</v>
          </cell>
          <cell r="Z422">
            <v>0.25625000000000003</v>
          </cell>
          <cell r="AF422">
            <v>49.9</v>
          </cell>
          <cell r="AG422">
            <v>12</v>
          </cell>
          <cell r="AI422">
            <v>49.2</v>
          </cell>
          <cell r="AU422">
            <v>97.782996764277044</v>
          </cell>
          <cell r="AV422">
            <v>99.34063815312733</v>
          </cell>
          <cell r="AX422" t="str">
            <v>R. Sookram</v>
          </cell>
        </row>
        <row r="423">
          <cell r="A423" t="str">
            <v>CA378</v>
          </cell>
          <cell r="P423">
            <v>60</v>
          </cell>
          <cell r="Q423">
            <v>8.9259259259259256</v>
          </cell>
          <cell r="T423">
            <v>0.49652777777777779</v>
          </cell>
          <cell r="U423">
            <v>0.61111111111111116</v>
          </cell>
          <cell r="V423">
            <v>57</v>
          </cell>
          <cell r="Z423">
            <v>0.25694444444444448</v>
          </cell>
          <cell r="AF423">
            <v>49.9</v>
          </cell>
          <cell r="AG423">
            <v>11.8</v>
          </cell>
          <cell r="AI423">
            <v>49.3</v>
          </cell>
          <cell r="AU423">
            <v>95.550640529582381</v>
          </cell>
          <cell r="AV423">
            <v>97.073323901718723</v>
          </cell>
          <cell r="AX423" t="str">
            <v>K. Benjamin</v>
          </cell>
        </row>
        <row r="424">
          <cell r="A424" t="str">
            <v>CA379</v>
          </cell>
          <cell r="P424">
            <v>49</v>
          </cell>
          <cell r="Q424">
            <v>10.757855822550832</v>
          </cell>
          <cell r="T424">
            <v>0.59444444444444444</v>
          </cell>
          <cell r="U424">
            <v>0.71597222222222223</v>
          </cell>
          <cell r="V424">
            <v>60</v>
          </cell>
          <cell r="Z424">
            <v>0.28541666666666665</v>
          </cell>
          <cell r="AF424">
            <v>49</v>
          </cell>
          <cell r="AG424">
            <v>12.2</v>
          </cell>
          <cell r="AI424">
            <v>47.9</v>
          </cell>
          <cell r="AU424">
            <v>96.771687084536438</v>
          </cell>
          <cell r="AV424">
            <v>97.921857231166399</v>
          </cell>
          <cell r="AX424" t="str">
            <v>R. Sookram</v>
          </cell>
        </row>
        <row r="425">
          <cell r="A425" t="str">
            <v>CA380</v>
          </cell>
          <cell r="P425">
            <v>92</v>
          </cell>
          <cell r="Q425">
            <v>10.203327171903888</v>
          </cell>
          <cell r="T425">
            <v>0.72361111111111109</v>
          </cell>
          <cell r="U425">
            <v>0.85902777777777772</v>
          </cell>
          <cell r="V425">
            <v>60</v>
          </cell>
          <cell r="Z425">
            <v>0.32430555555555551</v>
          </cell>
          <cell r="AF425">
            <v>49.3</v>
          </cell>
          <cell r="AG425">
            <v>12.1</v>
          </cell>
          <cell r="AI425">
            <v>49.1</v>
          </cell>
          <cell r="AU425">
            <v>98.586817634255368</v>
          </cell>
          <cell r="AV425">
            <v>99.75840677657169</v>
          </cell>
          <cell r="AX425" t="str">
            <v>R. Sookram</v>
          </cell>
        </row>
        <row r="426">
          <cell r="A426" t="str">
            <v>CA381</v>
          </cell>
          <cell r="P426">
            <v>58</v>
          </cell>
          <cell r="Q426">
            <v>10.757855822550832</v>
          </cell>
          <cell r="T426">
            <v>0.87152777777777779</v>
          </cell>
          <cell r="U426">
            <v>0.97986111111111107</v>
          </cell>
          <cell r="V426">
            <v>59</v>
          </cell>
          <cell r="Z426">
            <v>0.2715277777777777</v>
          </cell>
          <cell r="AF426">
            <v>50.6</v>
          </cell>
          <cell r="AG426">
            <v>12</v>
          </cell>
          <cell r="AI426">
            <v>51.3</v>
          </cell>
          <cell r="AU426">
            <v>101.98305384057822</v>
          </cell>
          <cell r="AV426">
            <v>103.19508332143563</v>
          </cell>
          <cell r="AX426" t="str">
            <v>R. Sookram</v>
          </cell>
        </row>
        <row r="427">
          <cell r="A427" t="str">
            <v>CA382</v>
          </cell>
          <cell r="P427">
            <v>61</v>
          </cell>
          <cell r="Q427">
            <v>8.7245841035120115</v>
          </cell>
          <cell r="T427">
            <v>0.9819444444444444</v>
          </cell>
          <cell r="U427">
            <v>1.0888888888888888</v>
          </cell>
          <cell r="V427">
            <v>61</v>
          </cell>
          <cell r="Z427">
            <v>0.27708333333333324</v>
          </cell>
          <cell r="AF427">
            <v>50.9</v>
          </cell>
          <cell r="AG427">
            <v>11.9</v>
          </cell>
          <cell r="AI427">
            <v>51.1</v>
          </cell>
          <cell r="AU427">
            <v>100.69577752031054</v>
          </cell>
          <cell r="AV427">
            <v>101.89250821581668</v>
          </cell>
          <cell r="AX427" t="str">
            <v>R. Sookram</v>
          </cell>
        </row>
        <row r="428">
          <cell r="A428" t="str">
            <v>CA383</v>
          </cell>
          <cell r="Q428">
            <v>9.0942698706099847</v>
          </cell>
          <cell r="T428">
            <v>1.0722222222222222</v>
          </cell>
          <cell r="U428">
            <v>1.1763888888888889</v>
          </cell>
          <cell r="V428">
            <v>59</v>
          </cell>
          <cell r="Z428">
            <v>0.24930555555555556</v>
          </cell>
          <cell r="AF428">
            <v>50.8</v>
          </cell>
          <cell r="AG428">
            <v>11.8</v>
          </cell>
          <cell r="AI428">
            <v>51.1</v>
          </cell>
          <cell r="AU428">
            <v>99.806095951858012</v>
          </cell>
          <cell r="AV428">
            <v>100.99225312314681</v>
          </cell>
          <cell r="AX428" t="str">
            <v>R. Regis</v>
          </cell>
        </row>
        <row r="429">
          <cell r="A429" t="str">
            <v>CA384</v>
          </cell>
          <cell r="P429">
            <v>61</v>
          </cell>
          <cell r="Q429">
            <v>10.203327171903888</v>
          </cell>
          <cell r="T429">
            <v>1.1840277777777777</v>
          </cell>
          <cell r="U429">
            <v>1.2944444444444445</v>
          </cell>
          <cell r="V429">
            <v>62</v>
          </cell>
          <cell r="Z429">
            <v>0.26666666666666683</v>
          </cell>
          <cell r="AF429">
            <v>51</v>
          </cell>
          <cell r="AG429">
            <v>11.9</v>
          </cell>
          <cell r="AI429">
            <v>51.6</v>
          </cell>
          <cell r="AU429">
            <v>100.43366418858588</v>
          </cell>
          <cell r="AV429">
            <v>101.62805737004925</v>
          </cell>
          <cell r="AX429" t="str">
            <v>R. Regis</v>
          </cell>
        </row>
        <row r="430">
          <cell r="A430" t="str">
            <v>CA385</v>
          </cell>
          <cell r="P430">
            <v>61</v>
          </cell>
          <cell r="Q430">
            <v>9.4639556377079437</v>
          </cell>
          <cell r="T430">
            <v>0.31666666666666665</v>
          </cell>
          <cell r="U430">
            <v>0.42083333333333334</v>
          </cell>
          <cell r="V430">
            <v>63</v>
          </cell>
          <cell r="Z430">
            <v>0.25416666666666665</v>
          </cell>
          <cell r="AF430">
            <v>50.5</v>
          </cell>
          <cell r="AG430">
            <v>11.9</v>
          </cell>
          <cell r="AI430">
            <v>50.31</v>
          </cell>
          <cell r="AU430">
            <v>98.893379734379081</v>
          </cell>
          <cell r="AV430">
            <v>100.06884427569133</v>
          </cell>
          <cell r="AX430" t="str">
            <v>R. Regis</v>
          </cell>
        </row>
        <row r="431">
          <cell r="A431" t="str">
            <v>CA386</v>
          </cell>
          <cell r="P431">
            <v>61</v>
          </cell>
          <cell r="Q431">
            <v>9.2791127541589713</v>
          </cell>
          <cell r="T431">
            <v>0.40902777777777777</v>
          </cell>
          <cell r="U431">
            <v>0.51597222222222228</v>
          </cell>
          <cell r="V431">
            <v>62</v>
          </cell>
          <cell r="Z431">
            <v>0.23819444444444449</v>
          </cell>
          <cell r="AF431">
            <v>50.2</v>
          </cell>
          <cell r="AG431">
            <v>11.9</v>
          </cell>
          <cell r="AI431">
            <v>51</v>
          </cell>
          <cell r="AU431">
            <v>100.24969919406345</v>
          </cell>
          <cell r="AV431">
            <v>101.4412851930085</v>
          </cell>
          <cell r="AX431" t="str">
            <v>R. Sookram</v>
          </cell>
        </row>
        <row r="432">
          <cell r="A432" t="str">
            <v>CA387</v>
          </cell>
          <cell r="P432">
            <v>62</v>
          </cell>
          <cell r="Q432">
            <v>9.2962962962962887</v>
          </cell>
          <cell r="T432">
            <v>0.90486111111111112</v>
          </cell>
          <cell r="U432">
            <v>1.0118055555555556</v>
          </cell>
          <cell r="V432">
            <v>56</v>
          </cell>
          <cell r="Z432">
            <v>0.24097222222222225</v>
          </cell>
          <cell r="AF432">
            <v>50.1</v>
          </cell>
          <cell r="AG432">
            <v>11.9</v>
          </cell>
          <cell r="AI432">
            <v>50</v>
          </cell>
          <cell r="AU432">
            <v>97.081248898849111</v>
          </cell>
          <cell r="AV432">
            <v>98.235922077492816</v>
          </cell>
          <cell r="AX432" t="str">
            <v>K. Benjamin</v>
          </cell>
        </row>
        <row r="433">
          <cell r="A433" t="str">
            <v>CA388</v>
          </cell>
          <cell r="P433">
            <v>61</v>
          </cell>
          <cell r="Q433">
            <v>8.9094269870609999</v>
          </cell>
          <cell r="T433">
            <v>1.0048611111111112</v>
          </cell>
          <cell r="U433">
            <v>1.1118055555555555</v>
          </cell>
          <cell r="V433">
            <v>62</v>
          </cell>
          <cell r="Z433">
            <v>0.25763888888888886</v>
          </cell>
          <cell r="AF433">
            <v>51.3</v>
          </cell>
          <cell r="AG433">
            <v>12</v>
          </cell>
          <cell r="AI433">
            <v>51.7</v>
          </cell>
          <cell r="AU433">
            <v>101.76707851622425</v>
          </cell>
          <cell r="AV433">
            <v>102.97717310361432</v>
          </cell>
          <cell r="AX433" t="str">
            <v>K. Benjamin</v>
          </cell>
        </row>
        <row r="434">
          <cell r="A434" t="str">
            <v>CA389</v>
          </cell>
          <cell r="P434">
            <v>60</v>
          </cell>
          <cell r="Q434">
            <v>9.0942698706099847</v>
          </cell>
          <cell r="T434">
            <v>1.1125</v>
          </cell>
          <cell r="U434">
            <v>1.2194444444444446</v>
          </cell>
          <cell r="V434">
            <v>61</v>
          </cell>
          <cell r="Z434">
            <v>0.26111111111111118</v>
          </cell>
          <cell r="AF434">
            <v>51.2</v>
          </cell>
          <cell r="AG434">
            <v>12</v>
          </cell>
          <cell r="AI434">
            <v>49.15</v>
          </cell>
          <cell r="AU434">
            <v>96.510244562053785</v>
          </cell>
          <cell r="AV434">
            <v>97.657979029152699</v>
          </cell>
          <cell r="AX434" t="str">
            <v>K. Benjamin</v>
          </cell>
        </row>
        <row r="435">
          <cell r="A435" t="str">
            <v>CA390</v>
          </cell>
          <cell r="P435">
            <v>61</v>
          </cell>
          <cell r="Q435">
            <v>10.018484288354902</v>
          </cell>
          <cell r="T435">
            <v>0.21180555555555555</v>
          </cell>
          <cell r="U435">
            <v>0.35902777777777778</v>
          </cell>
          <cell r="V435">
            <v>57</v>
          </cell>
          <cell r="Z435">
            <v>0.28611111111111109</v>
          </cell>
          <cell r="AF435">
            <v>50.7</v>
          </cell>
          <cell r="AG435">
            <v>12</v>
          </cell>
          <cell r="AI435">
            <v>51</v>
          </cell>
          <cell r="AU435">
            <v>99.775672338436593</v>
          </cell>
          <cell r="AV435">
            <v>100.96246851684583</v>
          </cell>
          <cell r="AX435" t="str">
            <v>R. Regis</v>
          </cell>
        </row>
        <row r="436">
          <cell r="A436" t="str">
            <v>CA391</v>
          </cell>
          <cell r="P436">
            <v>57</v>
          </cell>
          <cell r="Q436">
            <v>11.312384473197778</v>
          </cell>
          <cell r="T436">
            <v>0.36875000000000002</v>
          </cell>
          <cell r="U436">
            <v>0.47708333333333336</v>
          </cell>
          <cell r="V436">
            <v>62</v>
          </cell>
          <cell r="Z436">
            <v>0.30000000000000004</v>
          </cell>
          <cell r="AF436">
            <v>49.5</v>
          </cell>
          <cell r="AG436">
            <v>11.9</v>
          </cell>
          <cell r="AI436">
            <v>50.2</v>
          </cell>
          <cell r="AU436">
            <v>99.168607234311096</v>
          </cell>
          <cell r="AV436">
            <v>100.34703224218109</v>
          </cell>
          <cell r="AX436" t="str">
            <v>R. Regis</v>
          </cell>
        </row>
        <row r="437">
          <cell r="A437" t="str">
            <v>CA392</v>
          </cell>
          <cell r="P437">
            <v>57</v>
          </cell>
          <cell r="Q437">
            <v>9.0942698706099847</v>
          </cell>
          <cell r="T437">
            <v>0.49027777777777776</v>
          </cell>
          <cell r="U437">
            <v>0.59583333333333333</v>
          </cell>
          <cell r="V437">
            <v>62</v>
          </cell>
          <cell r="Z437">
            <v>0.26250000000000001</v>
          </cell>
          <cell r="AF437">
            <v>49.9</v>
          </cell>
          <cell r="AG437">
            <v>11.8</v>
          </cell>
          <cell r="AI437">
            <v>49.45</v>
          </cell>
          <cell r="AU437">
            <v>97.065619624859266</v>
          </cell>
          <cell r="AV437">
            <v>98.218901426030811</v>
          </cell>
          <cell r="AX437" t="str">
            <v>R. Sookram</v>
          </cell>
        </row>
        <row r="438">
          <cell r="A438" t="str">
            <v>CA393</v>
          </cell>
          <cell r="P438">
            <v>60</v>
          </cell>
          <cell r="Q438">
            <v>10.757855822550832</v>
          </cell>
          <cell r="T438">
            <v>0.6166666666666667</v>
          </cell>
          <cell r="U438">
            <v>0.75416666666666665</v>
          </cell>
          <cell r="V438">
            <v>61</v>
          </cell>
          <cell r="Z438">
            <v>0.29583333333333334</v>
          </cell>
          <cell r="AF438">
            <v>49</v>
          </cell>
          <cell r="AG438">
            <v>11.9</v>
          </cell>
          <cell r="AI438">
            <v>48.7</v>
          </cell>
          <cell r="AU438">
            <v>95.966425934229434</v>
          </cell>
          <cell r="AV438">
            <v>97.106950100005349</v>
          </cell>
          <cell r="AX438" t="str">
            <v>R. Sookram</v>
          </cell>
        </row>
        <row r="439">
          <cell r="A439" t="str">
            <v>CA394</v>
          </cell>
          <cell r="P439">
            <v>60</v>
          </cell>
          <cell r="Q439">
            <v>8.5397412199630267</v>
          </cell>
          <cell r="T439">
            <v>1.0173611111111112</v>
          </cell>
          <cell r="U439">
            <v>1.1291666666666667</v>
          </cell>
          <cell r="V439">
            <v>54</v>
          </cell>
          <cell r="Z439">
            <v>0.25069444444444444</v>
          </cell>
          <cell r="AF439">
            <v>50.2</v>
          </cell>
          <cell r="AG439">
            <v>11.9</v>
          </cell>
          <cell r="AI439">
            <v>49.02</v>
          </cell>
          <cell r="AU439">
            <v>96.902068655985502</v>
          </cell>
          <cell r="AV439">
            <v>97.745024515446858</v>
          </cell>
          <cell r="AX439" t="str">
            <v>K. Benjamin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May '26"/>
      <sheetName val="Summary April '26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 refreshError="1"/>
      <sheetData sheetId="1">
        <row r="16"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U25">
            <v>103.50405139576692</v>
          </cell>
        </row>
        <row r="26">
          <cell r="AU26">
            <v>95.716844988758396</v>
          </cell>
        </row>
        <row r="27">
          <cell r="AU27">
            <v>95.930260280243118</v>
          </cell>
        </row>
        <row r="28">
          <cell r="AU28">
            <v>91.893952811328091</v>
          </cell>
        </row>
        <row r="29">
          <cell r="AU29">
            <v>113.58212162131902</v>
          </cell>
        </row>
        <row r="30">
          <cell r="AU30">
            <v>90.487433811004081</v>
          </cell>
        </row>
        <row r="31">
          <cell r="AU31">
            <v>102.62581305950147</v>
          </cell>
        </row>
        <row r="32">
          <cell r="AU32">
            <v>97.191888885824653</v>
          </cell>
        </row>
        <row r="34">
          <cell r="AU34">
            <v>90.907169651305182</v>
          </cell>
        </row>
        <row r="35">
          <cell r="AU35">
            <v>91.553613748299583</v>
          </cell>
        </row>
        <row r="36">
          <cell r="AU36">
            <v>95.905976258581575</v>
          </cell>
        </row>
        <row r="37">
          <cell r="AU37">
            <v>96.879053203911113</v>
          </cell>
        </row>
        <row r="38">
          <cell r="AU38">
            <v>95.469150075246716</v>
          </cell>
        </row>
        <row r="39">
          <cell r="AU39">
            <v>94.854987439727708</v>
          </cell>
        </row>
        <row r="40">
          <cell r="AU40">
            <v>96.379391191673903</v>
          </cell>
        </row>
        <row r="41">
          <cell r="AU41">
            <v>96.151545309064119</v>
          </cell>
        </row>
        <row r="43">
          <cell r="AU43">
            <v>91.8653198132276</v>
          </cell>
        </row>
        <row r="44">
          <cell r="AU44">
            <v>96.795098985422072</v>
          </cell>
        </row>
        <row r="45">
          <cell r="AU45">
            <v>98.720710514490094</v>
          </cell>
        </row>
        <row r="46">
          <cell r="AU46">
            <v>95.915862303234761</v>
          </cell>
        </row>
        <row r="47">
          <cell r="AU47">
            <v>95.695713342598523</v>
          </cell>
        </row>
        <row r="48">
          <cell r="AU48">
            <v>96.347140813579983</v>
          </cell>
        </row>
        <row r="49">
          <cell r="AU49">
            <v>96.451268893467329</v>
          </cell>
        </row>
        <row r="50">
          <cell r="AU50">
            <v>97.996131903201018</v>
          </cell>
        </row>
        <row r="51">
          <cell r="AU51">
            <v>96.505256206141482</v>
          </cell>
        </row>
        <row r="52">
          <cell r="AU52">
            <v>94.58580500070201</v>
          </cell>
        </row>
        <row r="53">
          <cell r="AU53">
            <v>98.906990347725127</v>
          </cell>
        </row>
        <row r="54">
          <cell r="AU54">
            <v>94.944884823994201</v>
          </cell>
        </row>
        <row r="55">
          <cell r="AU55">
            <v>95.472821437606697</v>
          </cell>
        </row>
        <row r="56">
          <cell r="AU56">
            <v>95.226977398578171</v>
          </cell>
        </row>
        <row r="57">
          <cell r="AU57">
            <v>94.66429901148345</v>
          </cell>
        </row>
        <row r="58">
          <cell r="AU58">
            <v>100.57784401994616</v>
          </cell>
        </row>
        <row r="59">
          <cell r="AU59">
            <v>98.401209978530773</v>
          </cell>
        </row>
        <row r="60">
          <cell r="AU60">
            <v>99.190946222442903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April '26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  <sheetName val="Summary May '26"/>
    </sheetNames>
    <sheetDataSet>
      <sheetData sheetId="0"/>
      <sheetData sheetId="1"/>
      <sheetData sheetId="2">
        <row r="23"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V36">
            <v>96.535163112888242</v>
          </cell>
        </row>
        <row r="38">
          <cell r="AV38">
            <v>96.780047980030858</v>
          </cell>
        </row>
        <row r="39">
          <cell r="AV39">
            <v>97.023341517405328</v>
          </cell>
        </row>
        <row r="40">
          <cell r="AV40">
            <v>96.378271472837781</v>
          </cell>
        </row>
        <row r="41">
          <cell r="AV41">
            <v>96.736022639137431</v>
          </cell>
        </row>
        <row r="42">
          <cell r="AV42">
            <v>97.949689692825132</v>
          </cell>
        </row>
        <row r="43">
          <cell r="AV43">
            <v>95.818529932594828</v>
          </cell>
        </row>
        <row r="44">
          <cell r="AV44">
            <v>97.823512224151031</v>
          </cell>
        </row>
        <row r="45">
          <cell r="AV45">
            <v>95.481796103254354</v>
          </cell>
        </row>
        <row r="46">
          <cell r="AV46">
            <v>98.065568882791581</v>
          </cell>
        </row>
        <row r="47">
          <cell r="AV47">
            <v>97.055454228278464</v>
          </cell>
        </row>
        <row r="48">
          <cell r="AV48">
            <v>99.652179089121645</v>
          </cell>
        </row>
        <row r="49">
          <cell r="AV49">
            <v>99.135667211498472</v>
          </cell>
        </row>
        <row r="50">
          <cell r="AV50">
            <v>99.232905943935492</v>
          </cell>
        </row>
        <row r="51">
          <cell r="AV51">
            <v>98.11852940599799</v>
          </cell>
        </row>
        <row r="52">
          <cell r="AV52">
            <v>92.3621562467644</v>
          </cell>
        </row>
        <row r="54">
          <cell r="AV54">
            <v>97.205782019322555</v>
          </cell>
        </row>
        <row r="55">
          <cell r="AV55">
            <v>100.49327592303123</v>
          </cell>
        </row>
        <row r="56">
          <cell r="AV56">
            <v>95.451783031665798</v>
          </cell>
        </row>
        <row r="57">
          <cell r="AV57">
            <v>97.260343131213148</v>
          </cell>
        </row>
        <row r="58">
          <cell r="AV58">
            <v>96.759736809930104</v>
          </cell>
        </row>
        <row r="59">
          <cell r="AV59">
            <v>97.064501819306201</v>
          </cell>
        </row>
        <row r="60">
          <cell r="AV60">
            <v>92.16222714184731</v>
          </cell>
        </row>
        <row r="62">
          <cell r="A62" t="str">
            <v>VM036</v>
          </cell>
          <cell r="R62">
            <v>58</v>
          </cell>
          <cell r="S62">
            <v>-20.43912175648703</v>
          </cell>
          <cell r="V62">
            <v>0.78472222222222221</v>
          </cell>
          <cell r="W62">
            <v>0.95</v>
          </cell>
          <cell r="X62">
            <v>101</v>
          </cell>
          <cell r="AB62">
            <v>0.32152777777777775</v>
          </cell>
          <cell r="AE62">
            <v>50.1</v>
          </cell>
          <cell r="AH62">
            <v>11.2</v>
          </cell>
          <cell r="AJ62">
            <v>60.1</v>
          </cell>
          <cell r="AV62">
            <v>94.315096961978696</v>
          </cell>
          <cell r="AW62">
            <v>94.524291068220961</v>
          </cell>
          <cell r="AZ62" t="str">
            <v>R.Sookram</v>
          </cell>
        </row>
        <row r="63">
          <cell r="A63" t="str">
            <v>VM037</v>
          </cell>
          <cell r="R63">
            <v>57</v>
          </cell>
          <cell r="V63">
            <v>0.90069444444444446</v>
          </cell>
          <cell r="W63">
            <v>1.1020833333333333</v>
          </cell>
          <cell r="X63">
            <v>142</v>
          </cell>
          <cell r="AB63">
            <v>0.37291666666666667</v>
          </cell>
          <cell r="AE63">
            <v>50.1</v>
          </cell>
          <cell r="AH63">
            <v>11.9</v>
          </cell>
          <cell r="AJ63">
            <v>61.77</v>
          </cell>
          <cell r="AV63">
            <v>103.32629416839619</v>
          </cell>
          <cell r="AW63">
            <v>103.55547541780525</v>
          </cell>
          <cell r="AZ63" t="str">
            <v>R.Sookram</v>
          </cell>
        </row>
        <row r="64">
          <cell r="A64" t="str">
            <v>VM038</v>
          </cell>
          <cell r="R64">
            <v>57</v>
          </cell>
          <cell r="S64">
            <v>11.319999999999993</v>
          </cell>
          <cell r="V64">
            <v>1.5145833333333334</v>
          </cell>
          <cell r="W64">
            <v>1.6625000000000001</v>
          </cell>
          <cell r="X64">
            <v>82</v>
          </cell>
          <cell r="AB64">
            <v>0.82916666666666672</v>
          </cell>
          <cell r="AE64">
            <v>50</v>
          </cell>
          <cell r="AH64">
            <v>14.7</v>
          </cell>
          <cell r="AJ64">
            <v>45.1</v>
          </cell>
          <cell r="AV64">
            <v>94.325329127415785</v>
          </cell>
          <cell r="AW64">
            <v>94.533667972313836</v>
          </cell>
          <cell r="AZ64" t="str">
            <v>R.Sookram</v>
          </cell>
        </row>
        <row r="65">
          <cell r="A65" t="str">
            <v>VM039</v>
          </cell>
          <cell r="R65">
            <v>72</v>
          </cell>
          <cell r="S65">
            <v>13.744680851063817</v>
          </cell>
          <cell r="V65">
            <v>1.7881944444444444</v>
          </cell>
          <cell r="W65">
            <v>1.9395833333333334</v>
          </cell>
          <cell r="X65">
            <v>79</v>
          </cell>
          <cell r="AB65">
            <v>0.99513888888888902</v>
          </cell>
          <cell r="AE65">
            <v>47</v>
          </cell>
          <cell r="AH65">
            <v>15.9</v>
          </cell>
          <cell r="AJ65">
            <v>43.8</v>
          </cell>
          <cell r="AV65">
            <v>99.559385897285338</v>
          </cell>
          <cell r="AW65">
            <v>99.779285341564844</v>
          </cell>
          <cell r="AZ65" t="str">
            <v>R.Sookram</v>
          </cell>
        </row>
        <row r="66">
          <cell r="A66" t="str">
            <v>VM040</v>
          </cell>
          <cell r="R66">
            <v>58</v>
          </cell>
          <cell r="S66">
            <v>11.191489361702137</v>
          </cell>
          <cell r="V66">
            <v>0.9</v>
          </cell>
          <cell r="W66">
            <v>1.0381944444444444</v>
          </cell>
          <cell r="X66">
            <v>72</v>
          </cell>
          <cell r="AB66">
            <v>0.30902777777777779</v>
          </cell>
          <cell r="AE66">
            <v>47</v>
          </cell>
          <cell r="AH66">
            <v>15.5</v>
          </cell>
          <cell r="AJ66">
            <v>44.6</v>
          </cell>
          <cell r="AV66">
            <v>98.574517909783509</v>
          </cell>
          <cell r="AW66">
            <v>98.793159557161673</v>
          </cell>
          <cell r="AZ66" t="str">
            <v>R.Sookram</v>
          </cell>
        </row>
        <row r="67">
          <cell r="A67" t="str">
            <v>VM041</v>
          </cell>
          <cell r="R67">
            <v>60</v>
          </cell>
          <cell r="S67">
            <v>13.106382978723396</v>
          </cell>
          <cell r="V67">
            <v>1.0180555555555555</v>
          </cell>
          <cell r="W67">
            <v>1.1645833333333333</v>
          </cell>
          <cell r="X67">
            <v>75</v>
          </cell>
          <cell r="AB67">
            <v>0.29999999999999993</v>
          </cell>
          <cell r="AE67">
            <v>47</v>
          </cell>
          <cell r="AH67">
            <v>16.399999999999999</v>
          </cell>
          <cell r="AJ67">
            <v>41.9</v>
          </cell>
          <cell r="AV67">
            <v>98.349199351665135</v>
          </cell>
          <cell r="AW67">
            <v>98.567341234785999</v>
          </cell>
          <cell r="AZ67" t="str">
            <v>R.Sookram</v>
          </cell>
        </row>
        <row r="68">
          <cell r="A68" t="str">
            <v>VM042</v>
          </cell>
          <cell r="R68">
            <v>60</v>
          </cell>
          <cell r="S68">
            <v>6.7234042553191413</v>
          </cell>
          <cell r="V68">
            <v>1.1340277777777779</v>
          </cell>
          <cell r="W68">
            <v>1.3374999999999999</v>
          </cell>
          <cell r="X68">
            <v>81</v>
          </cell>
          <cell r="AB68">
            <v>0.36874999999999991</v>
          </cell>
          <cell r="AE68">
            <v>47</v>
          </cell>
          <cell r="AH68">
            <v>15.5</v>
          </cell>
          <cell r="AJ68">
            <v>45</v>
          </cell>
          <cell r="AV68">
            <v>99.563420889013372</v>
          </cell>
          <cell r="AW68">
            <v>99.783329245485646</v>
          </cell>
          <cell r="AZ68" t="str">
            <v>K. Benjamin</v>
          </cell>
        </row>
        <row r="69">
          <cell r="A69" t="str">
            <v>VM043</v>
          </cell>
          <cell r="R69">
            <v>59</v>
          </cell>
          <cell r="S69">
            <v>13.106382978723396</v>
          </cell>
          <cell r="V69">
            <v>0.25694444444444442</v>
          </cell>
          <cell r="W69">
            <v>0.45208333333333334</v>
          </cell>
          <cell r="X69">
            <v>78</v>
          </cell>
          <cell r="AB69">
            <v>0.36527777777777781</v>
          </cell>
          <cell r="AE69">
            <v>47</v>
          </cell>
          <cell r="AH69">
            <v>15.4</v>
          </cell>
          <cell r="AV69">
            <v>94.282423715374435</v>
          </cell>
          <cell r="AW69">
            <v>94.490667793956106</v>
          </cell>
          <cell r="AZ69" t="str">
            <v>K. Benjamin</v>
          </cell>
        </row>
      </sheetData>
      <sheetData sheetId="3">
        <row r="23">
          <cell r="D23">
            <v>14.3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Summary May '26 "/>
      <sheetName val="Packaging"/>
      <sheetName val="Summary January'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  <row r="13">
          <cell r="A13" t="str">
            <v>MK009</v>
          </cell>
          <cell r="R13">
            <v>113</v>
          </cell>
          <cell r="S13">
            <v>9.6556149732620362</v>
          </cell>
          <cell r="V13">
            <v>0.31527777777777777</v>
          </cell>
          <cell r="W13">
            <v>0.56944444444444442</v>
          </cell>
          <cell r="X13">
            <v>58</v>
          </cell>
          <cell r="AA13">
            <v>0.44444444444444442</v>
          </cell>
          <cell r="AF13">
            <v>51</v>
          </cell>
          <cell r="AG13">
            <v>13.4</v>
          </cell>
          <cell r="AI13">
            <v>50.4</v>
          </cell>
          <cell r="AT13">
            <v>90.128375863432225</v>
          </cell>
          <cell r="AU13">
            <v>90.979178386223154</v>
          </cell>
          <cell r="AX13" t="str">
            <v>D. Gomaz</v>
          </cell>
        </row>
        <row r="14">
          <cell r="A14" t="str">
            <v>MK010</v>
          </cell>
          <cell r="R14">
            <v>74</v>
          </cell>
          <cell r="S14">
            <v>5.5557932263814704</v>
          </cell>
          <cell r="V14">
            <v>0.56805555555555554</v>
          </cell>
          <cell r="W14">
            <v>0.70625000000000004</v>
          </cell>
          <cell r="X14">
            <v>71</v>
          </cell>
          <cell r="AA14">
            <v>0.45625000000000004</v>
          </cell>
          <cell r="AF14">
            <v>53.3</v>
          </cell>
          <cell r="AG14">
            <v>13.3</v>
          </cell>
          <cell r="AI14">
            <v>50.3</v>
          </cell>
          <cell r="AT14">
            <v>88.195975747735361</v>
          </cell>
          <cell r="AU14">
            <v>89.030288139525993</v>
          </cell>
          <cell r="AX14" t="str">
            <v>D. Gomaz</v>
          </cell>
        </row>
        <row r="15">
          <cell r="A15" t="str">
            <v>MK011</v>
          </cell>
          <cell r="R15">
            <v>72</v>
          </cell>
          <cell r="S15">
            <v>6.0905525846702346</v>
          </cell>
          <cell r="V15">
            <v>0.70694444444444449</v>
          </cell>
          <cell r="W15">
            <v>0.81666666666666665</v>
          </cell>
          <cell r="X15">
            <v>69</v>
          </cell>
          <cell r="AA15">
            <v>0.28888888888888886</v>
          </cell>
          <cell r="AF15">
            <v>53</v>
          </cell>
          <cell r="AG15">
            <v>13.3</v>
          </cell>
          <cell r="AI15">
            <v>50.4</v>
          </cell>
          <cell r="AT15">
            <v>88.458193469652173</v>
          </cell>
          <cell r="AU15">
            <v>89.294841563128301</v>
          </cell>
          <cell r="AX15" t="str">
            <v>R. Sookram</v>
          </cell>
        </row>
        <row r="16">
          <cell r="A16" t="str">
            <v>MK012</v>
          </cell>
          <cell r="R16">
            <v>73</v>
          </cell>
          <cell r="S16">
            <v>4.3080213903743347</v>
          </cell>
          <cell r="V16">
            <v>0.81111111111111112</v>
          </cell>
          <cell r="W16">
            <v>0.9194444444444444</v>
          </cell>
          <cell r="X16">
            <v>47</v>
          </cell>
          <cell r="AA16">
            <v>0.2631944444444444</v>
          </cell>
          <cell r="AF16">
            <v>54</v>
          </cell>
          <cell r="AG16">
            <v>13.2</v>
          </cell>
          <cell r="AI16">
            <v>51.2</v>
          </cell>
          <cell r="AT16">
            <v>89.068163344426111</v>
          </cell>
          <cell r="AU16">
            <v>89.910726417880113</v>
          </cell>
          <cell r="AX16" t="str">
            <v>R. Sookram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May ' 26"/>
      <sheetName val="Summary April ' 26"/>
      <sheetName val="Summary March ' 26"/>
      <sheetName val="Summary February ' 26"/>
      <sheetName val="Summary January ' 26"/>
      <sheetName val="Summary December ' 25"/>
      <sheetName val="Packaging"/>
    </sheetNames>
    <sheetDataSet>
      <sheetData sheetId="0"/>
      <sheetData sheetId="1"/>
      <sheetData sheetId="2"/>
      <sheetData sheetId="3">
        <row r="5"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Y16">
            <v>93.855429141534003</v>
          </cell>
        </row>
        <row r="17">
          <cell r="AY17">
            <v>105.14531945603353</v>
          </cell>
        </row>
        <row r="18">
          <cell r="AY18">
            <v>93.755977480319771</v>
          </cell>
        </row>
        <row r="19">
          <cell r="AY19">
            <v>98.497810820823545</v>
          </cell>
        </row>
        <row r="20">
          <cell r="AY20">
            <v>97.678395385249857</v>
          </cell>
        </row>
        <row r="21">
          <cell r="AY21">
            <v>97.894369029995005</v>
          </cell>
        </row>
        <row r="22">
          <cell r="AY22">
            <v>96.582095881806836</v>
          </cell>
        </row>
        <row r="23">
          <cell r="AY23">
            <v>100.57737346889346</v>
          </cell>
        </row>
        <row r="42">
          <cell r="AY42">
            <v>99.134494554521325</v>
          </cell>
        </row>
        <row r="44">
          <cell r="AY44">
            <v>97.451901590189621</v>
          </cell>
        </row>
        <row r="45">
          <cell r="AY45">
            <v>97.068365512779494</v>
          </cell>
        </row>
        <row r="46">
          <cell r="AY46">
            <v>100.84054451608544</v>
          </cell>
        </row>
        <row r="47">
          <cell r="AY47">
            <v>100.42642805913154</v>
          </cell>
        </row>
        <row r="48">
          <cell r="AY48">
            <v>99.340523834063077</v>
          </cell>
        </row>
        <row r="49">
          <cell r="AY49">
            <v>100.23658604011617</v>
          </cell>
        </row>
        <row r="50">
          <cell r="AY50">
            <v>99.089008585979826</v>
          </cell>
        </row>
        <row r="51">
          <cell r="AY51">
            <v>90.554643070332219</v>
          </cell>
        </row>
        <row r="53">
          <cell r="A53" t="str">
            <v>SM045</v>
          </cell>
          <cell r="T53">
            <v>124</v>
          </cell>
          <cell r="U53">
            <v>12.203389830508481</v>
          </cell>
          <cell r="X53">
            <v>0.64930555555555558</v>
          </cell>
          <cell r="Y53">
            <v>0.98958333333333337</v>
          </cell>
          <cell r="Z53">
            <v>60</v>
          </cell>
          <cell r="AD53">
            <v>0.37152777777777779</v>
          </cell>
          <cell r="AH53">
            <v>53.1</v>
          </cell>
          <cell r="AK53">
            <v>17.399999999999999</v>
          </cell>
          <cell r="AM53">
            <v>48.1</v>
          </cell>
          <cell r="AY53">
            <v>92.54924279225061</v>
          </cell>
          <cell r="AZ53">
            <v>93.022847385087587</v>
          </cell>
          <cell r="BC53" t="str">
            <v>D. Gomaz</v>
          </cell>
        </row>
        <row r="54">
          <cell r="A54" t="str">
            <v>SM046</v>
          </cell>
          <cell r="T54">
            <v>60</v>
          </cell>
          <cell r="U54">
            <v>7.1320754716981156</v>
          </cell>
          <cell r="X54">
            <v>1.3472222222222223</v>
          </cell>
          <cell r="Y54">
            <v>1.5062500000000001</v>
          </cell>
          <cell r="Z54">
            <v>105</v>
          </cell>
          <cell r="AD54">
            <v>0.7909722222222223</v>
          </cell>
          <cell r="AH54">
            <v>53</v>
          </cell>
          <cell r="AK54">
            <v>17.399999999999999</v>
          </cell>
          <cell r="AM54">
            <v>50.9</v>
          </cell>
          <cell r="AY54">
            <v>97.936724701155001</v>
          </cell>
          <cell r="AZ54">
            <v>98.437898792119711</v>
          </cell>
          <cell r="BC54" t="str">
            <v>R.Sookram</v>
          </cell>
        </row>
        <row r="55">
          <cell r="A55" t="str">
            <v>SM047</v>
          </cell>
          <cell r="T55">
            <v>60</v>
          </cell>
          <cell r="U55">
            <v>9.5668549905838152</v>
          </cell>
          <cell r="X55">
            <v>0.51041666666666663</v>
          </cell>
          <cell r="Y55">
            <v>0.64513888888888893</v>
          </cell>
          <cell r="Z55">
            <v>62</v>
          </cell>
          <cell r="AD55">
            <v>0.29097222222222224</v>
          </cell>
          <cell r="AH55">
            <v>53.1</v>
          </cell>
          <cell r="AK55">
            <v>17.100000000000001</v>
          </cell>
          <cell r="AM55">
            <v>51.3</v>
          </cell>
          <cell r="AY55">
            <v>96.903024614311789</v>
          </cell>
          <cell r="AZ55">
            <v>97.39890892554439</v>
          </cell>
          <cell r="BC55" t="str">
            <v>D. Gomaz</v>
          </cell>
        </row>
        <row r="56">
          <cell r="A56" t="str">
            <v>SM048</v>
          </cell>
          <cell r="T56">
            <v>59</v>
          </cell>
          <cell r="U56">
            <v>6.9303201506591456</v>
          </cell>
          <cell r="X56">
            <v>0.61736111111111114</v>
          </cell>
          <cell r="Y56">
            <v>0.76458333333333328</v>
          </cell>
          <cell r="Z56">
            <v>79</v>
          </cell>
          <cell r="AD56">
            <v>0.31319444444444439</v>
          </cell>
          <cell r="AH56">
            <v>53.1</v>
          </cell>
          <cell r="AK56">
            <v>17</v>
          </cell>
          <cell r="AM56">
            <v>53.2</v>
          </cell>
          <cell r="AY56">
            <v>99.751161565178876</v>
          </cell>
          <cell r="AZ56">
            <v>100.26210319277449</v>
          </cell>
          <cell r="BC56" t="str">
            <v>D. Gomaz</v>
          </cell>
        </row>
        <row r="57">
          <cell r="A57" t="str">
            <v>SM049</v>
          </cell>
          <cell r="T57">
            <v>60</v>
          </cell>
          <cell r="U57">
            <v>7.1186440677966116</v>
          </cell>
          <cell r="X57">
            <v>0.72638888888888886</v>
          </cell>
          <cell r="Y57">
            <v>0.88194444444444442</v>
          </cell>
          <cell r="Z57">
            <v>92</v>
          </cell>
          <cell r="AD57">
            <v>0.32986111111111105</v>
          </cell>
          <cell r="AH57">
            <v>53.1</v>
          </cell>
          <cell r="AK57">
            <v>17</v>
          </cell>
          <cell r="AM57">
            <v>51.83</v>
          </cell>
          <cell r="AY57">
            <v>96.946934866926995</v>
          </cell>
          <cell r="AZ57">
            <v>97.444915001417044</v>
          </cell>
          <cell r="BC57" t="str">
            <v>D. Gomaz</v>
          </cell>
        </row>
        <row r="58">
          <cell r="A58" t="str">
            <v>SM050</v>
          </cell>
          <cell r="T58">
            <v>56</v>
          </cell>
          <cell r="U58">
            <v>6.7419962335216672</v>
          </cell>
          <cell r="X58">
            <v>0.84027777777777779</v>
          </cell>
          <cell r="Y58">
            <v>0.97222222222222221</v>
          </cell>
          <cell r="Z58">
            <v>66</v>
          </cell>
          <cell r="AD58">
            <v>0.32291666666666663</v>
          </cell>
          <cell r="AH58">
            <v>53.1</v>
          </cell>
          <cell r="AK58">
            <v>17.7</v>
          </cell>
          <cell r="AM58">
            <v>51.58</v>
          </cell>
          <cell r="AY58">
            <v>101.1402395567615</v>
          </cell>
          <cell r="AZ58">
            <v>101.6573170957471</v>
          </cell>
          <cell r="BC58" t="str">
            <v>R.Sookram</v>
          </cell>
        </row>
        <row r="59">
          <cell r="A59" t="str">
            <v>SM051</v>
          </cell>
          <cell r="T59">
            <v>60</v>
          </cell>
          <cell r="U59">
            <v>8.8301886792452819</v>
          </cell>
          <cell r="X59">
            <v>0.94305555555555554</v>
          </cell>
          <cell r="Y59">
            <v>1.1027777777777779</v>
          </cell>
          <cell r="Z59">
            <v>63</v>
          </cell>
          <cell r="AD59">
            <v>0.34930555555555565</v>
          </cell>
          <cell r="AH59">
            <v>53</v>
          </cell>
          <cell r="AK59">
            <v>17</v>
          </cell>
          <cell r="AM59">
            <v>50.37</v>
          </cell>
          <cell r="AY59">
            <v>94.521368448030842</v>
          </cell>
          <cell r="AZ59">
            <v>95.005065049619603</v>
          </cell>
          <cell r="BC59" t="str">
            <v>R.Sookram</v>
          </cell>
        </row>
        <row r="60">
          <cell r="A60" t="str">
            <v>SM052</v>
          </cell>
          <cell r="T60">
            <v>60</v>
          </cell>
          <cell r="U60">
            <v>6.9433962264150937</v>
          </cell>
          <cell r="X60">
            <v>1.0715277777777779</v>
          </cell>
          <cell r="Y60">
            <v>1.2118055555555556</v>
          </cell>
          <cell r="Z60">
            <v>62</v>
          </cell>
          <cell r="AD60">
            <v>0.35069444444444442</v>
          </cell>
          <cell r="AH60">
            <v>53</v>
          </cell>
          <cell r="AK60">
            <v>17.100000000000001</v>
          </cell>
          <cell r="AM60">
            <v>51.1</v>
          </cell>
          <cell r="AY60">
            <v>96.447094164922959</v>
          </cell>
          <cell r="AZ60">
            <v>96.941111823427036</v>
          </cell>
          <cell r="BC60" t="str">
            <v>R.Sookram</v>
          </cell>
        </row>
        <row r="61">
          <cell r="A61" t="str">
            <v>SM053</v>
          </cell>
          <cell r="T61">
            <v>58</v>
          </cell>
          <cell r="U61">
            <v>4.9500998003992098</v>
          </cell>
          <cell r="X61">
            <v>0.54583333333333328</v>
          </cell>
          <cell r="Y61">
            <v>0.6875</v>
          </cell>
          <cell r="Z61">
            <v>66</v>
          </cell>
          <cell r="AD61">
            <v>0.30208333333333331</v>
          </cell>
          <cell r="AH61">
            <v>50.1</v>
          </cell>
          <cell r="AK61">
            <v>17.2</v>
          </cell>
          <cell r="AM61">
            <v>50.4</v>
          </cell>
          <cell r="AY61">
            <v>95.483117660591859</v>
          </cell>
          <cell r="AZ61">
            <v>96.034255651375915</v>
          </cell>
          <cell r="BC61" t="str">
            <v>R.Sookram</v>
          </cell>
        </row>
        <row r="62">
          <cell r="A62" t="str">
            <v>SM054</v>
          </cell>
          <cell r="T62">
            <v>51</v>
          </cell>
          <cell r="U62">
            <v>5.143953934740896</v>
          </cell>
          <cell r="X62">
            <v>0.66527777777777775</v>
          </cell>
          <cell r="Y62">
            <v>0.79791666666666672</v>
          </cell>
          <cell r="Z62">
            <v>65</v>
          </cell>
          <cell r="AD62">
            <v>0.3083333333333334</v>
          </cell>
          <cell r="AH62">
            <v>52.1</v>
          </cell>
          <cell r="AK62">
            <v>17.5</v>
          </cell>
          <cell r="AM62">
            <v>52.5</v>
          </cell>
          <cell r="AY62">
            <v>101.54786093894572</v>
          </cell>
          <cell r="AZ62">
            <v>102.13235055713467</v>
          </cell>
          <cell r="BC62" t="str">
            <v>R.Sookram</v>
          </cell>
        </row>
        <row r="63">
          <cell r="A63" t="str">
            <v>SM055</v>
          </cell>
          <cell r="T63">
            <v>59</v>
          </cell>
          <cell r="U63">
            <v>4.9903288201160638</v>
          </cell>
          <cell r="X63">
            <v>0.76597222222222228</v>
          </cell>
          <cell r="Y63">
            <v>0.90486111111111112</v>
          </cell>
          <cell r="Z63">
            <v>66</v>
          </cell>
          <cell r="AD63">
            <v>0.3041666666666667</v>
          </cell>
          <cell r="AH63">
            <v>51.7</v>
          </cell>
          <cell r="AK63">
            <v>17.3</v>
          </cell>
          <cell r="AM63">
            <v>52.2</v>
          </cell>
          <cell r="AY63">
            <v>99.781002552645404</v>
          </cell>
          <cell r="AZ63">
            <v>100.35532247967538</v>
          </cell>
          <cell r="BC63" t="str">
            <v>R.Sookram</v>
          </cell>
        </row>
        <row r="64">
          <cell r="A64" t="str">
            <v>SM056</v>
          </cell>
          <cell r="T64">
            <v>59</v>
          </cell>
          <cell r="U64">
            <v>4.9615384615384723</v>
          </cell>
          <cell r="X64">
            <v>0.87569444444444444</v>
          </cell>
          <cell r="Y64">
            <v>1.0069444444444444</v>
          </cell>
          <cell r="Z64">
            <v>63</v>
          </cell>
          <cell r="AD64">
            <v>0.30208333333333326</v>
          </cell>
          <cell r="AH64">
            <v>52</v>
          </cell>
          <cell r="AK64">
            <v>17.3</v>
          </cell>
          <cell r="AM64">
            <v>52.6</v>
          </cell>
          <cell r="AY64">
            <v>100.38282881101692</v>
          </cell>
          <cell r="AZ64">
            <v>100.96170406673039</v>
          </cell>
          <cell r="BC64" t="str">
            <v>R.Sookram</v>
          </cell>
        </row>
      </sheetData>
      <sheetData sheetId="4">
        <row r="5">
          <cell r="D5">
            <v>17.100000000000001</v>
          </cell>
        </row>
      </sheetData>
      <sheetData sheetId="5">
        <row r="10">
          <cell r="G10">
            <v>593.29999999999995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2nd"/>
      <sheetName val="Feb 3rd"/>
      <sheetName val="Feb 4th"/>
      <sheetName val="Feb 5th"/>
      <sheetName val="Feb 6th"/>
      <sheetName val="Feb 9th"/>
      <sheetName val="Feb 10th"/>
      <sheetName val="Feb 11th"/>
      <sheetName val="Feb 12th"/>
      <sheetName val="Feb 13th"/>
      <sheetName val="Feb 16th"/>
      <sheetName val="Feb 17th"/>
      <sheetName val="Feb 18th "/>
      <sheetName val="Feb 19th"/>
      <sheetName val="Feb 20th"/>
      <sheetName val="Feb 23rd"/>
      <sheetName val="Feb 24th"/>
      <sheetName val="Feb 25th"/>
      <sheetName val="Feb 26th "/>
      <sheetName val="Feb 27th-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L39">
            <v>6.1</v>
          </cell>
        </row>
      </sheetData>
      <sheetData sheetId="20"/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 1st"/>
      <sheetName val="Mar 2nd"/>
      <sheetName val="Mar 3rd"/>
      <sheetName val="Mar 4th"/>
      <sheetName val="Mar 5th"/>
      <sheetName val="Mar 6th "/>
      <sheetName val="Mar 9th"/>
      <sheetName val="Mar 10th"/>
      <sheetName val="Mar 11th"/>
      <sheetName val="Mar 12th"/>
      <sheetName val="Mar 13th-15th"/>
      <sheetName val="Mar 16th"/>
      <sheetName val="Mar 18th"/>
      <sheetName val="Mar 19th"/>
      <sheetName val="Mar 20th -22nd"/>
      <sheetName val="Mar 23rd "/>
      <sheetName val="Mar 24th"/>
      <sheetName val="Mar 25th "/>
      <sheetName val="Mar 26th"/>
      <sheetName val="Mar 27th"/>
      <sheetName val="Mar 30th "/>
      <sheetName val="Mar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7">
          <cell r="L47">
            <v>7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 1st"/>
      <sheetName val="Apr 2nd"/>
      <sheetName val="Apr 7th"/>
      <sheetName val="Apr 8th"/>
      <sheetName val="Apr 9th "/>
      <sheetName val="Apr 10th"/>
      <sheetName val="Apr 13th"/>
      <sheetName val="Apr 14th"/>
      <sheetName val="Apr 15th"/>
      <sheetName val="Apr 16th "/>
      <sheetName val="Apr 20th "/>
      <sheetName val="Apr 21st"/>
      <sheetName val="Apr 22nd"/>
      <sheetName val="Apr 23rd"/>
      <sheetName val="Apr 24th-26th"/>
      <sheetName val="Apr 27th"/>
      <sheetName val="Apr 28th"/>
      <sheetName val="Apr 29th "/>
      <sheetName val="Apr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6">
          <cell r="L46">
            <v>6.85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5"/>
      <sheetName val="August_2025"/>
      <sheetName val="September_2025"/>
      <sheetName val="October_2025"/>
      <sheetName val="November_2025"/>
      <sheetName val="December_2025"/>
      <sheetName val="June_2025"/>
    </sheetNames>
    <sheetDataSet>
      <sheetData sheetId="0"/>
      <sheetData sheetId="1"/>
      <sheetData sheetId="2"/>
      <sheetData sheetId="3">
        <row r="3">
          <cell r="E3">
            <v>396.4</v>
          </cell>
        </row>
      </sheetData>
      <sheetData sheetId="4">
        <row r="3">
          <cell r="G3">
            <v>410.5</v>
          </cell>
          <cell r="I3">
            <v>708.8</v>
          </cell>
          <cell r="L3">
            <v>101.1</v>
          </cell>
          <cell r="M3">
            <v>102.80000000000001</v>
          </cell>
          <cell r="N3">
            <v>501.60000000000008</v>
          </cell>
          <cell r="O3">
            <v>101</v>
          </cell>
          <cell r="P3">
            <v>513.20000000000005</v>
          </cell>
          <cell r="R3">
            <v>99</v>
          </cell>
          <cell r="S3">
            <v>306.8</v>
          </cell>
          <cell r="U3">
            <v>605.5</v>
          </cell>
          <cell r="W3">
            <v>394.7</v>
          </cell>
          <cell r="Y3">
            <v>400.7</v>
          </cell>
          <cell r="AC3">
            <v>402.65</v>
          </cell>
          <cell r="AN3">
            <v>5.904983953748923</v>
          </cell>
          <cell r="AQ3">
            <v>6.3197775649714227</v>
          </cell>
        </row>
        <row r="4">
          <cell r="AN4">
            <v>4.9494635940844729</v>
          </cell>
          <cell r="AQ4">
            <v>5.4655642193228315</v>
          </cell>
        </row>
        <row r="5">
          <cell r="AN5">
            <v>10.718568260092542</v>
          </cell>
          <cell r="AQ5">
            <v>12.618851801260744</v>
          </cell>
        </row>
        <row r="6">
          <cell r="AN6">
            <v>5.5037640962151348</v>
          </cell>
          <cell r="AQ6">
            <v>4.7393662692065543</v>
          </cell>
        </row>
        <row r="7">
          <cell r="G7">
            <v>386.3</v>
          </cell>
          <cell r="I7">
            <v>667</v>
          </cell>
          <cell r="L7">
            <v>91.2</v>
          </cell>
          <cell r="M7">
            <v>93.5</v>
          </cell>
          <cell r="N7">
            <v>476.79999999999995</v>
          </cell>
          <cell r="O7">
            <v>89.2</v>
          </cell>
          <cell r="P7">
            <v>474.29999999999995</v>
          </cell>
          <cell r="R7">
            <v>94.9</v>
          </cell>
          <cell r="S7">
            <v>289.3</v>
          </cell>
          <cell r="U7">
            <v>565.29999999999995</v>
          </cell>
          <cell r="W7">
            <v>370</v>
          </cell>
          <cell r="Y7">
            <v>385.6</v>
          </cell>
          <cell r="AC7">
            <v>375.7</v>
          </cell>
          <cell r="AN7" t="e">
            <v>#DIV/0!</v>
          </cell>
          <cell r="AQ7" t="e">
            <v>#DIV/0!</v>
          </cell>
        </row>
        <row r="8">
          <cell r="AN8">
            <v>6.6922456038466889</v>
          </cell>
          <cell r="AQ8">
            <v>7.4989046872874194</v>
          </cell>
        </row>
        <row r="9">
          <cell r="AN9">
            <v>4.9058595326967183</v>
          </cell>
          <cell r="AQ9">
            <v>4.8412394790618878</v>
          </cell>
        </row>
        <row r="10">
          <cell r="AN10" t="e">
            <v>#DIV/0!</v>
          </cell>
          <cell r="AQ10" t="e">
            <v>#DIV/0!</v>
          </cell>
        </row>
        <row r="11">
          <cell r="G11">
            <v>5.5884697434003687</v>
          </cell>
          <cell r="I11">
            <v>5.9737974637082658</v>
          </cell>
          <cell r="L11">
            <v>11.4005261411347</v>
          </cell>
          <cell r="M11">
            <v>11.028725940023191</v>
          </cell>
          <cell r="N11">
            <v>4.8663915405237148</v>
          </cell>
          <cell r="O11">
            <v>11.255483901901096</v>
          </cell>
          <cell r="P11">
            <v>6.751348745204834</v>
          </cell>
          <cell r="R11">
            <v>6.7048933418463452</v>
          </cell>
          <cell r="S11">
            <v>3.8505585115754708</v>
          </cell>
          <cell r="U11">
            <v>6.5635453685347329</v>
          </cell>
          <cell r="W11">
            <v>6.8656456558311767</v>
          </cell>
          <cell r="Y11">
            <v>2.5784020585574652</v>
          </cell>
          <cell r="AC11">
            <v>4.9369734022737779</v>
          </cell>
          <cell r="AN11" t="e">
            <v>#DIV/0!</v>
          </cell>
          <cell r="AQ11" t="e">
            <v>#DIV/0!</v>
          </cell>
        </row>
        <row r="12">
          <cell r="AN12">
            <v>5.9802631450380064</v>
          </cell>
          <cell r="AQ12">
            <v>6.3897238793330811</v>
          </cell>
        </row>
        <row r="13">
          <cell r="I13">
            <v>404</v>
          </cell>
          <cell r="J13">
            <v>185.70000000000002</v>
          </cell>
          <cell r="N13">
            <v>398.60000000000008</v>
          </cell>
          <cell r="P13">
            <v>200.39999999999998</v>
          </cell>
          <cell r="V13">
            <v>395.1</v>
          </cell>
          <cell r="X13">
            <v>391.44</v>
          </cell>
        </row>
        <row r="17">
          <cell r="I17">
            <v>384.6</v>
          </cell>
          <cell r="J17">
            <v>170</v>
          </cell>
          <cell r="N17">
            <v>390.1</v>
          </cell>
          <cell r="P17">
            <v>189.1</v>
          </cell>
          <cell r="V17">
            <v>378</v>
          </cell>
          <cell r="X17">
            <v>376.90000000000003</v>
          </cell>
        </row>
        <row r="21">
          <cell r="I21">
            <v>4.4956309790271023</v>
          </cell>
          <cell r="J21">
            <v>8.0111768701895052</v>
          </cell>
          <cell r="N21">
            <v>3.639338169818044</v>
          </cell>
          <cell r="P21">
            <v>4.320611037579722</v>
          </cell>
          <cell r="V21">
            <v>3.9403683781099765</v>
          </cell>
          <cell r="X21">
            <v>4.2589154266405966</v>
          </cell>
        </row>
        <row r="23">
          <cell r="K23">
            <v>208</v>
          </cell>
          <cell r="L23">
            <v>312.39999999999998</v>
          </cell>
        </row>
        <row r="28">
          <cell r="K28">
            <v>195.3</v>
          </cell>
          <cell r="L28">
            <v>285.8</v>
          </cell>
        </row>
        <row r="32">
          <cell r="K32">
            <v>9.3494148403553954</v>
          </cell>
          <cell r="L32">
            <v>11.633574842250994</v>
          </cell>
        </row>
        <row r="34">
          <cell r="Q34">
            <v>202.3</v>
          </cell>
        </row>
        <row r="39">
          <cell r="Q39">
            <v>195.3</v>
          </cell>
        </row>
        <row r="43">
          <cell r="Q43">
            <v>6.6922456038466889</v>
          </cell>
        </row>
        <row r="55">
          <cell r="S55">
            <v>203.5</v>
          </cell>
          <cell r="U55">
            <v>204.88</v>
          </cell>
          <cell r="AD55">
            <v>207.70000000000002</v>
          </cell>
        </row>
        <row r="59">
          <cell r="S59">
            <v>190.2</v>
          </cell>
          <cell r="U59">
            <v>204.1</v>
          </cell>
          <cell r="AD59">
            <v>199</v>
          </cell>
        </row>
        <row r="63">
          <cell r="S63">
            <v>7.2463822273708258</v>
          </cell>
          <cell r="U63">
            <v>1.302107786547942</v>
          </cell>
          <cell r="AD63">
            <v>6.1535627400660262</v>
          </cell>
        </row>
        <row r="65">
          <cell r="E65">
            <v>296.8</v>
          </cell>
          <cell r="G65">
            <v>38.1</v>
          </cell>
          <cell r="R65">
            <v>385.16999999999996</v>
          </cell>
        </row>
        <row r="70">
          <cell r="E70">
            <v>294.5</v>
          </cell>
          <cell r="G70">
            <v>37.799999999999997</v>
          </cell>
          <cell r="R70">
            <v>381.5</v>
          </cell>
        </row>
        <row r="74">
          <cell r="E74">
            <v>4.3391036476163682</v>
          </cell>
          <cell r="G74">
            <v>7.6847338191997654</v>
          </cell>
          <cell r="R74">
            <v>6.1587701287778289</v>
          </cell>
        </row>
      </sheetData>
      <sheetData sheetId="5">
        <row r="3">
          <cell r="AN3" t="e">
            <v>#DIV/0!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>
        <row r="27">
          <cell r="L27">
            <v>100</v>
          </cell>
        </row>
        <row r="28">
          <cell r="L28">
            <v>0</v>
          </cell>
        </row>
        <row r="29">
          <cell r="L29">
            <v>100.3</v>
          </cell>
        </row>
        <row r="30">
          <cell r="L30">
            <v>0</v>
          </cell>
        </row>
        <row r="37">
          <cell r="L37">
            <v>100</v>
          </cell>
        </row>
        <row r="38">
          <cell r="L38">
            <v>0</v>
          </cell>
        </row>
        <row r="39">
          <cell r="L39">
            <v>92.9</v>
          </cell>
        </row>
        <row r="40">
          <cell r="L40">
            <v>0</v>
          </cell>
        </row>
        <row r="50">
          <cell r="L50">
            <v>100</v>
          </cell>
        </row>
        <row r="51">
          <cell r="L51">
            <v>0</v>
          </cell>
        </row>
        <row r="52">
          <cell r="L52">
            <v>100</v>
          </cell>
        </row>
        <row r="53">
          <cell r="L53">
            <v>0</v>
          </cell>
        </row>
        <row r="54">
          <cell r="L54">
            <v>100</v>
          </cell>
        </row>
        <row r="55">
          <cell r="L55">
            <v>0</v>
          </cell>
        </row>
        <row r="56">
          <cell r="L56">
            <v>86</v>
          </cell>
        </row>
        <row r="57">
          <cell r="L57">
            <v>0</v>
          </cell>
        </row>
      </sheetData>
      <sheetData sheetId="1">
        <row r="6">
          <cell r="S6">
            <v>5.0999999999999996</v>
          </cell>
        </row>
        <row r="10">
          <cell r="S10">
            <v>6.5000000000000009</v>
          </cell>
        </row>
      </sheetData>
      <sheetData sheetId="2">
        <row r="83">
          <cell r="L83">
            <v>100</v>
          </cell>
        </row>
        <row r="84">
          <cell r="L84">
            <v>0</v>
          </cell>
        </row>
        <row r="85">
          <cell r="L85">
            <v>100</v>
          </cell>
        </row>
        <row r="86">
          <cell r="L86">
            <v>0</v>
          </cell>
        </row>
        <row r="87">
          <cell r="L87">
            <v>97.5</v>
          </cell>
        </row>
        <row r="88">
          <cell r="L88">
            <v>0</v>
          </cell>
        </row>
        <row r="89">
          <cell r="L89">
            <v>100</v>
          </cell>
        </row>
        <row r="90">
          <cell r="L90">
            <v>0</v>
          </cell>
        </row>
      </sheetData>
      <sheetData sheetId="3">
        <row r="6">
          <cell r="J6">
            <v>4.0999999999999996</v>
          </cell>
        </row>
        <row r="8">
          <cell r="J8">
            <v>4.0999999999999996</v>
          </cell>
        </row>
        <row r="10">
          <cell r="J10">
            <v>2.0499999999999998</v>
          </cell>
        </row>
        <row r="11">
          <cell r="J11">
            <v>4.0999999999999996</v>
          </cell>
        </row>
        <row r="14">
          <cell r="J14">
            <v>4.0999999999999996</v>
          </cell>
        </row>
        <row r="16">
          <cell r="J16">
            <v>4.0999999999999996</v>
          </cell>
        </row>
        <row r="18">
          <cell r="J18">
            <v>4.0999999999999996</v>
          </cell>
        </row>
        <row r="20">
          <cell r="J20">
            <v>4.0999999999999996</v>
          </cell>
        </row>
      </sheetData>
      <sheetData sheetId="4" refreshError="1"/>
      <sheetData sheetId="5">
        <row r="7">
          <cell r="L7">
            <v>100</v>
          </cell>
          <cell r="S7">
            <v>1.9</v>
          </cell>
        </row>
        <row r="8">
          <cell r="L8">
            <v>0</v>
          </cell>
        </row>
        <row r="9">
          <cell r="L9">
            <v>93.5</v>
          </cell>
          <cell r="S9">
            <v>1.9</v>
          </cell>
        </row>
        <row r="10">
          <cell r="L10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5">
          <cell r="E5">
            <v>6.2226381404154338</v>
          </cell>
        </row>
        <row r="6">
          <cell r="E6">
            <v>4.8528333911969801</v>
          </cell>
        </row>
        <row r="7">
          <cell r="E7">
            <v>9.5676691729323267</v>
          </cell>
        </row>
        <row r="8">
          <cell r="E8">
            <v>4.9306092006073188</v>
          </cell>
        </row>
        <row r="9">
          <cell r="E9" t="e">
            <v>#DIV/0!</v>
          </cell>
        </row>
        <row r="10">
          <cell r="E10">
            <v>-5039.4736842105267</v>
          </cell>
        </row>
        <row r="11">
          <cell r="E11">
            <v>3.697571743929374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3.583697879045415</v>
          </cell>
        </row>
      </sheetData>
      <sheetData sheetId="11">
        <row r="5">
          <cell r="E5">
            <v>6.5623673132836648</v>
          </cell>
        </row>
        <row r="6">
          <cell r="E6">
            <v>5.8230180888372871</v>
          </cell>
        </row>
        <row r="7">
          <cell r="E7">
            <v>11.435860710768946</v>
          </cell>
        </row>
        <row r="8">
          <cell r="E8">
            <v>4.7166249493099075</v>
          </cell>
        </row>
        <row r="9">
          <cell r="E9" t="e">
            <v>#DIV/0!</v>
          </cell>
        </row>
        <row r="10">
          <cell r="E10">
            <v>-41.553067185978556</v>
          </cell>
        </row>
        <row r="11">
          <cell r="E11">
            <v>3.7333963207914191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5.7983590290628682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5"/>
      <sheetName val="August_2025"/>
      <sheetName val="August_2018 (2)"/>
      <sheetName val="September_2025"/>
      <sheetName val="October_2025"/>
      <sheetName val="November_2025"/>
      <sheetName val="December_2025"/>
      <sheetName val="June_2025"/>
      <sheetName val="May_2025"/>
    </sheetNames>
    <sheetDataSet>
      <sheetData sheetId="0"/>
      <sheetData sheetId="1"/>
      <sheetData sheetId="2"/>
      <sheetData sheetId="3">
        <row r="13">
          <cell r="AN13">
            <v>0.79053411306042887</v>
          </cell>
        </row>
      </sheetData>
      <sheetData sheetId="4">
        <row r="13">
          <cell r="AN13">
            <v>0.62903508771929817</v>
          </cell>
          <cell r="AQ13">
            <v>0.51116477369802427</v>
          </cell>
        </row>
        <row r="14">
          <cell r="AN14">
            <v>0.59716791979949879</v>
          </cell>
          <cell r="AQ14">
            <v>0.68713504693777017</v>
          </cell>
        </row>
        <row r="15">
          <cell r="AN15">
            <v>0.23956140350877195</v>
          </cell>
          <cell r="AQ15">
            <v>0.26444407894736843</v>
          </cell>
        </row>
        <row r="16">
          <cell r="AN16">
            <v>0.61175438596491227</v>
          </cell>
          <cell r="AQ16">
            <v>0.73604010025062649</v>
          </cell>
        </row>
        <row r="17">
          <cell r="AN17" t="e">
            <v>#DIV/0!</v>
          </cell>
          <cell r="AQ17" t="e">
            <v>#DIV/0!</v>
          </cell>
        </row>
        <row r="18">
          <cell r="G18">
            <v>1.3554385964912281</v>
          </cell>
          <cell r="I18">
            <v>0.39005847953216377</v>
          </cell>
          <cell r="L18">
            <v>0.16</v>
          </cell>
          <cell r="M18">
            <v>0.32807017543859651</v>
          </cell>
          <cell r="N18">
            <v>0.2788304093567251</v>
          </cell>
          <cell r="O18">
            <v>0.31298245614035086</v>
          </cell>
          <cell r="P18">
            <v>1.6642105263157894</v>
          </cell>
          <cell r="R18">
            <v>0.33298245614035088</v>
          </cell>
          <cell r="S18">
            <v>0.50754385964912285</v>
          </cell>
          <cell r="U18">
            <v>0.66116959064327474</v>
          </cell>
          <cell r="W18">
            <v>0.32456140350877194</v>
          </cell>
          <cell r="Y18">
            <v>1.352982456140351</v>
          </cell>
          <cell r="AC18">
            <v>0.43941520467836259</v>
          </cell>
          <cell r="AD18">
            <v>0.69824561403508767</v>
          </cell>
          <cell r="AN18">
            <v>0.68526315789473691</v>
          </cell>
          <cell r="AQ18">
            <v>1.0201754385964912</v>
          </cell>
        </row>
        <row r="19">
          <cell r="AN19">
            <v>0.69175438596491223</v>
          </cell>
          <cell r="AQ19">
            <v>0.84386695906432752</v>
          </cell>
        </row>
        <row r="20">
          <cell r="AN20" t="e">
            <v>#DIV/0!</v>
          </cell>
          <cell r="AQ20" t="e">
            <v>#DIV/0!</v>
          </cell>
        </row>
        <row r="21">
          <cell r="AN21">
            <v>0</v>
          </cell>
          <cell r="AQ21" t="e">
            <v>#DIV/0!</v>
          </cell>
        </row>
        <row r="22">
          <cell r="AN22">
            <v>0.59895946763460384</v>
          </cell>
          <cell r="AQ22">
            <v>0.57822257972257973</v>
          </cell>
        </row>
        <row r="25">
          <cell r="I25">
            <v>0.44982456140350885</v>
          </cell>
          <cell r="J25">
            <v>0.2982456140350877</v>
          </cell>
          <cell r="N25">
            <v>1.3687719298245615</v>
          </cell>
          <cell r="P25">
            <v>0.66350877192982449</v>
          </cell>
          <cell r="V25">
            <v>0.44210526315789472</v>
          </cell>
          <cell r="X25">
            <v>0.66122807017543861</v>
          </cell>
        </row>
        <row r="32">
          <cell r="K32">
            <v>0.22842105263157897</v>
          </cell>
          <cell r="L32">
            <v>0.25070175438596493</v>
          </cell>
        </row>
        <row r="39">
          <cell r="Q39">
            <v>0.68526315789473691</v>
          </cell>
        </row>
        <row r="53">
          <cell r="S53">
            <v>0.6673684210526315</v>
          </cell>
          <cell r="U53">
            <v>0.71614035087719297</v>
          </cell>
        </row>
        <row r="60">
          <cell r="E60">
            <v>1.0333333333333334</v>
          </cell>
          <cell r="G60">
            <v>0.13263157894736841</v>
          </cell>
          <cell r="R60">
            <v>0.66929824561403506</v>
          </cell>
        </row>
      </sheetData>
      <sheetData sheetId="5">
        <row r="13">
          <cell r="AN13" t="e">
            <v>#DIV/0!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87" t="s">
        <v>0</v>
      </c>
      <c r="U1" s="587"/>
      <c r="V1" s="587" t="s">
        <v>1</v>
      </c>
      <c r="W1" s="587"/>
      <c r="X1" s="587" t="s">
        <v>2</v>
      </c>
      <c r="Y1" s="587"/>
      <c r="Z1" s="587" t="s">
        <v>124</v>
      </c>
      <c r="AA1" s="587"/>
    </row>
    <row r="2" spans="2:30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13">
        <v>45278</v>
      </c>
      <c r="D4" s="513"/>
      <c r="J4" s="593" t="s">
        <v>153</v>
      </c>
      <c r="K4" s="593"/>
      <c r="L4" s="11"/>
      <c r="M4" s="507" t="s">
        <v>8</v>
      </c>
      <c r="N4" s="508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94"/>
      <c r="K5" s="59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88" t="s">
        <v>151</v>
      </c>
      <c r="K6" s="589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90"/>
      <c r="K7" s="591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152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26</v>
      </c>
      <c r="O8" s="516"/>
      <c r="P8" s="563" t="s">
        <v>28</v>
      </c>
      <c r="Q8" s="580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12"/>
      <c r="P9" s="592"/>
      <c r="Q9" s="581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25" t="s">
        <v>34</v>
      </c>
      <c r="J48" s="525"/>
      <c r="K48" s="525"/>
      <c r="L48" s="525"/>
      <c r="M48" s="525"/>
      <c r="N48" s="525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26" t="s">
        <v>35</v>
      </c>
      <c r="E49" s="527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28" t="s">
        <v>9</v>
      </c>
      <c r="C50" s="362">
        <v>11.8</v>
      </c>
      <c r="D50" s="531">
        <v>11.73</v>
      </c>
      <c r="E50" s="532"/>
      <c r="F50" s="294"/>
      <c r="G50" s="294"/>
      <c r="H50" s="294"/>
      <c r="I50" s="29" t="s">
        <v>6</v>
      </c>
      <c r="J50" s="323"/>
      <c r="K50" s="284">
        <f>COUNTA([14]Brewhouse!$A$1596:$A$1619)</f>
        <v>24</v>
      </c>
      <c r="L50" s="302">
        <f>AVERAGE([14]Brewhouse!$AU$1529,[14]Brewhouse!$AU$1531:$AU$1594,[14]Brewhouse!$AU$1596:$AU$1619)</f>
        <v>98.205761326291494</v>
      </c>
      <c r="M50" s="302">
        <f>AVERAGE([14]Brewhouse!$AU$849:$AU$924,[14]Brewhouse!$AU$926:$AU$971,[14]Brewhouse!$AU$973:$AU$1066,[14]Brewhouse!$AU$1068:$AU$1111,[14]Brewhouse!$AU$1113:$AU$1132,[14]Brewhouse!$AU$1134:$AU$1167,[14]Brewhouse!$AU$1169:$AU$1230,[14]Brewhouse!$AU$1232:$AU$1299,[14]Brewhouse!$AU$1301:$AU$1363,[14]Brewhouse!$AU$1365:$AU$1444,[14]Brewhouse!$AU$1446:$AU$1527,[14]Brewhouse!$AU$1529,[14]Brewhouse!$AU$1531:$AU$1594,[14]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29"/>
      <c r="C51" s="349">
        <v>11.9</v>
      </c>
      <c r="D51" s="533"/>
      <c r="E51" s="534"/>
      <c r="F51" s="294"/>
      <c r="G51" s="294"/>
      <c r="H51" s="32"/>
      <c r="I51" s="33" t="s">
        <v>9</v>
      </c>
      <c r="J51" s="323"/>
      <c r="K51" s="284">
        <f>COUNTA([15]Brewhouse!$A$976:$A$1007)</f>
        <v>32</v>
      </c>
      <c r="L51" s="302">
        <f>AVERAGE([15]Brewhouse!$AS$976:$AS$979,[15]Brewhouse!$AS$981:$AS$1007)</f>
        <v>98.538566771868645</v>
      </c>
      <c r="M51" s="302">
        <f>AVERAGE([15]Brewhouse!$AS$577:$AS$618,[15]Brewhouse!$AS$620:$AS$651,[15]Brewhouse!$AS$653:$AS$696,[15]Brewhouse!$AS$698:$AS$708,[15]Brewhouse!$AS$710:$AS$733,[15]Brewhouse!$AS$735:$AS$777,[15]Brewhouse!$AS$779:$AS$822,[15]Brewhouse!$AS$824:$AS$863,[15]Brewhouse!$AS$865:$AS$974,[15]Brewhouse!$AS$976:$AS$979,[15]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29"/>
      <c r="C52" s="349"/>
      <c r="D52" s="531"/>
      <c r="E52" s="532"/>
      <c r="F52" s="294"/>
      <c r="G52" s="294"/>
      <c r="H52" s="32"/>
      <c r="I52" s="34" t="s">
        <v>12</v>
      </c>
      <c r="J52" s="280"/>
      <c r="K52" s="284">
        <f>COUNTA([16]Brewhouse!$A$282:$A$289)</f>
        <v>8</v>
      </c>
      <c r="L52" s="302">
        <f>AVERAGE([16]Brewhouse!$AU$269:$AU$279,[16]Brewhouse!$AU$282:$AU$289)</f>
        <v>96.1861768599382</v>
      </c>
      <c r="M52" s="302">
        <f>AVERAGE([16]Brewhouse!$AU$161:$AU$176,[16]Brewhouse!$AU$178:$AU$195,[16]Brewhouse!$AU$197:$AU$208,[16]Brewhouse!$AU$210:$AU$221,[16]Brewhouse!$AU$223:$AU$232,[16]Brewhouse!$AU$234:$AU$279,[16]Brewhouse!$AU$282:$AU$289)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29"/>
      <c r="C53" s="349"/>
      <c r="D53" s="533"/>
      <c r="E53" s="534"/>
      <c r="F53" s="294"/>
      <c r="G53" s="294"/>
      <c r="H53" s="32"/>
      <c r="I53" s="22" t="s">
        <v>33</v>
      </c>
      <c r="J53" s="280"/>
      <c r="K53" s="284">
        <f>COUNTA([17]Brewhouse!$A$158:$A$163)</f>
        <v>6</v>
      </c>
      <c r="L53" s="302">
        <f>AVERAGE([17]Brewhouse!$AU$158:$AU$163)</f>
        <v>94.603050114691541</v>
      </c>
      <c r="M53" s="302">
        <f>AVERAGE([17]Brewhouse!$AU$91:$AU$101,[17]Brewhouse!$AU$103:$AU$112,[17]Brewhouse!$AU$114:$AU$123,[17]Brewhouse!$AU$125:$AU$134,[17]Brewhouse!$AU$136:$AU$145,[17]Brewhouse!$AU$147:$AU$156,[17]Brewhouse!$AU$158:$AU$163)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29"/>
      <c r="C54" s="349"/>
      <c r="D54" s="531"/>
      <c r="E54" s="532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29"/>
      <c r="C55" s="349"/>
      <c r="D55" s="533"/>
      <c r="E55" s="534"/>
      <c r="F55" s="294"/>
      <c r="G55" s="294"/>
      <c r="H55" s="32"/>
      <c r="I55" s="36" t="s">
        <v>15</v>
      </c>
      <c r="J55" s="323"/>
      <c r="K55" s="284"/>
      <c r="L55" s="302"/>
      <c r="M55" s="302">
        <f>AVERAGE([18]Brewhouse!$AT$74:$AT$79)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29"/>
      <c r="C56" s="349"/>
      <c r="D56" s="531"/>
      <c r="E56" s="532"/>
      <c r="F56" s="294"/>
      <c r="G56" s="294"/>
      <c r="H56" s="32"/>
      <c r="I56" s="37" t="s">
        <v>16</v>
      </c>
      <c r="J56" s="323"/>
      <c r="K56" s="284">
        <f>COUNTA([19]Brewhouse!$A$249:$A$254)</f>
        <v>6</v>
      </c>
      <c r="L56" s="302">
        <f>AVERAGE([19]Brewhouse!$AY$249:$AY$254)</f>
        <v>99.681996476494263</v>
      </c>
      <c r="M56" s="302">
        <f>AVERAGE([19]Brewhouse!$AY$138:$AY$143,[19]Brewhouse!$AY$145:$AY$153,[19]Brewhouse!$AY$155,[19]Brewhouse!$AY$156:$AY$174,[19]Brewhouse!$AY$176:$AY$185,[19]Brewhouse!$AY$187:$AY$198,[19]Brewhouse!$AY$200:$AY$247,[19]Brewhouse!$AY$249:$AY$254)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29"/>
      <c r="C57" s="349"/>
      <c r="D57" s="533"/>
      <c r="E57" s="534"/>
      <c r="F57" s="294"/>
      <c r="G57" s="294"/>
      <c r="H57" s="32"/>
      <c r="I57" s="306" t="s">
        <v>137</v>
      </c>
      <c r="J57" s="326"/>
      <c r="K57" s="284"/>
      <c r="L57" s="305"/>
      <c r="M57" s="305">
        <f>AVERAGE([20]Brewhouse!$AW$13:$AW$14,[20]Brewhouse!$AW$16:$AW$17)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29"/>
      <c r="C58" s="349"/>
      <c r="D58" s="582"/>
      <c r="E58" s="577"/>
      <c r="F58" s="294"/>
      <c r="G58" s="294"/>
      <c r="H58" s="32"/>
      <c r="I58" s="38" t="s">
        <v>125</v>
      </c>
      <c r="J58" s="327"/>
      <c r="K58" s="284"/>
      <c r="L58" s="328"/>
      <c r="M58" s="328">
        <f>AVERAGE([20]Brewhouse!$AW$13:$AW$14)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29"/>
      <c r="C59" s="349"/>
      <c r="D59" s="583"/>
      <c r="E59" s="584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AVERAGE('[21]Closing- January 2023'!$L$42,'[22]Feb. 28th'!$L$42,'[23]March 31st'!$L$75,'[24]Apri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29"/>
      <c r="C60" s="349"/>
      <c r="D60" s="582"/>
      <c r="E60" s="577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38"/>
      <c r="C61" s="350"/>
      <c r="D61" s="585"/>
      <c r="E61" s="586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71"/>
      <c r="C62" s="362"/>
      <c r="D62" s="539"/>
      <c r="E62" s="540"/>
      <c r="F62" s="43"/>
      <c r="G62" s="41"/>
      <c r="H62" s="41"/>
      <c r="I62" s="42"/>
      <c r="J62" s="574" t="s">
        <v>129</v>
      </c>
      <c r="K62" s="574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72"/>
      <c r="C63" s="349"/>
      <c r="D63" s="537"/>
      <c r="E63" s="534"/>
      <c r="F63" s="43"/>
      <c r="G63" s="41"/>
      <c r="H63" s="41"/>
      <c r="I63" s="42"/>
      <c r="J63" s="292" t="s">
        <v>17</v>
      </c>
      <c r="K63" s="293" t="s">
        <v>147</v>
      </c>
      <c r="L63" s="542" t="s">
        <v>136</v>
      </c>
      <c r="M63" s="542"/>
      <c r="N63" s="543"/>
      <c r="O63" s="294"/>
      <c r="P63" s="12"/>
      <c r="S63" s="23"/>
    </row>
    <row r="64" spans="1:27" ht="15" customHeight="1" thickBot="1">
      <c r="B64" s="572"/>
      <c r="C64" s="349"/>
      <c r="D64" s="575"/>
      <c r="E64" s="532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72"/>
      <c r="C65" s="349"/>
      <c r="D65" s="537"/>
      <c r="E65" s="534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AVERAGE(6,6,'[23]March 31st'!$L$80,'[25]June 30th  '!$L$71,6,L65,'[26]July 31st'!$L$108,'[27]Aug 30th'!$L$124,7,[28]Oct.31st!$L$51)</f>
        <v>#REF!</v>
      </c>
      <c r="N65" s="308">
        <v>9</v>
      </c>
      <c r="O65" s="294"/>
      <c r="P65" s="12"/>
      <c r="S65" s="23"/>
    </row>
    <row r="66" spans="2:58" ht="15" customHeight="1">
      <c r="B66" s="572"/>
      <c r="C66" s="349"/>
      <c r="D66" s="575"/>
      <c r="E66" s="532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72"/>
      <c r="C67" s="349"/>
      <c r="D67" s="537"/>
      <c r="E67" s="534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72"/>
      <c r="C68" s="349"/>
      <c r="D68" s="575"/>
      <c r="E68" s="532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72"/>
      <c r="C69" s="349"/>
      <c r="D69" s="537"/>
      <c r="E69" s="534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72"/>
      <c r="C70" s="349"/>
      <c r="D70" s="576"/>
      <c r="E70" s="577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73"/>
      <c r="C71" s="350"/>
      <c r="D71" s="578"/>
      <c r="E71" s="579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69">
        <f>AVERAGE(D50:E71)</f>
        <v>11.73</v>
      </c>
      <c r="E72" s="570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48" t="s">
        <v>17</v>
      </c>
      <c r="C77" s="548" t="s">
        <v>44</v>
      </c>
      <c r="D77" s="551" t="s">
        <v>45</v>
      </c>
      <c r="E77" s="516" t="s">
        <v>46</v>
      </c>
      <c r="F77" s="565" t="s">
        <v>47</v>
      </c>
      <c r="G77" s="560" t="s">
        <v>48</v>
      </c>
      <c r="H77" s="548" t="s">
        <v>49</v>
      </c>
      <c r="I77" s="567" t="s">
        <v>50</v>
      </c>
      <c r="J77" s="554" t="s">
        <v>28</v>
      </c>
      <c r="K77" s="514" t="s">
        <v>51</v>
      </c>
      <c r="L77" s="563" t="s">
        <v>52</v>
      </c>
      <c r="M77" s="554" t="s">
        <v>53</v>
      </c>
      <c r="N77" s="77"/>
      <c r="O77" s="13"/>
      <c r="P77" s="50"/>
    </row>
    <row r="78" spans="2:58" ht="28.5" customHeight="1" thickTop="1" thickBot="1">
      <c r="B78" s="550"/>
      <c r="C78" s="550"/>
      <c r="D78" s="552"/>
      <c r="E78" s="553"/>
      <c r="F78" s="566"/>
      <c r="G78" s="561"/>
      <c r="H78" s="550"/>
      <c r="I78" s="568"/>
      <c r="J78" s="555"/>
      <c r="K78" s="562"/>
      <c r="L78" s="564"/>
      <c r="M78" s="555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[29]December_2023!$U$13</f>
        <v>150.4</v>
      </c>
      <c r="E79" s="378"/>
      <c r="F79" s="379"/>
      <c r="G79" s="303">
        <f>[29]December_2023!$U$17</f>
        <v>120.8</v>
      </c>
      <c r="H79" s="381"/>
      <c r="I79" s="382"/>
      <c r="J79" s="360" t="s">
        <v>150</v>
      </c>
      <c r="K79" s="380">
        <f>[30]December_2023!$U$25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[13]January_2019!D8</f>
        <v>#DIV/0!</v>
      </c>
      <c r="V80" s="57">
        <f>[13]January_2019!E8</f>
        <v>1.0319298245614037</v>
      </c>
      <c r="W80" s="57">
        <f>[13]January_2019!F8</f>
        <v>1.7789473684210526</v>
      </c>
      <c r="X80" s="57">
        <f>[13]January_2019!G8</f>
        <v>0.51929824561403504</v>
      </c>
      <c r="Y80" s="57" t="e">
        <f>[13]January_2019!H8</f>
        <v>#DIV/0!</v>
      </c>
      <c r="Z80" s="57" t="e">
        <f>[13]January_2019!I8</f>
        <v>#DIV/0!</v>
      </c>
      <c r="AA80" s="57">
        <f>[13]January_2019!J8</f>
        <v>1.365263157894737</v>
      </c>
      <c r="AB80" s="57" t="e">
        <f>[13]January_2019!K8</f>
        <v>#DIV/0!</v>
      </c>
      <c r="AC80" s="57">
        <f>[13]January_2019!L8</f>
        <v>1.0028070175438597</v>
      </c>
      <c r="AD80" s="57">
        <f>[13]January_2019!M8</f>
        <v>1.7828070175438597</v>
      </c>
      <c r="AE80" s="57" t="e">
        <f>[13]January_2019!N8</f>
        <v>#DIV/0!</v>
      </c>
      <c r="AF80" s="57" t="e">
        <f>[13]January_2019!O8</f>
        <v>#DIV/0!</v>
      </c>
      <c r="AG80" s="57">
        <f>[13]January_2019!P8</f>
        <v>0.19222222222222221</v>
      </c>
      <c r="AH80" s="57">
        <f>[13]January_2019!Q8</f>
        <v>0.52219298245614032</v>
      </c>
      <c r="AI80" s="57">
        <f>[13]January_2019!R8</f>
        <v>0.42912280701754385</v>
      </c>
      <c r="AJ80" s="57" t="e">
        <f>[13]January_2019!S8</f>
        <v>#DIV/0!</v>
      </c>
      <c r="AK80" s="57">
        <f>[13]January_2019!T8</f>
        <v>1.0340350877192983</v>
      </c>
      <c r="AL80" s="57">
        <f>[13]January_2019!U8</f>
        <v>0.98421052631578942</v>
      </c>
      <c r="AM80" s="57" t="e">
        <f>[13]January_2019!V8</f>
        <v>#DIV/0!</v>
      </c>
      <c r="AN80" s="57" t="e">
        <f>[13]January_2019!W8</f>
        <v>#DIV/0!</v>
      </c>
      <c r="AO80" s="57">
        <f>[13]January_2019!X8</f>
        <v>0.66052631578947374</v>
      </c>
      <c r="AP80" s="57">
        <f>[13]January_2019!Y8</f>
        <v>1.0375438596491227</v>
      </c>
      <c r="AQ80" s="57">
        <f>[13]January_2019!Z8</f>
        <v>0.90456140350877201</v>
      </c>
      <c r="AR80" s="57">
        <f>[13]January_2019!AA8</f>
        <v>1.0217543859649123</v>
      </c>
      <c r="AS80" s="57">
        <f>[13]January_2019!AB8</f>
        <v>0.65614035087719302</v>
      </c>
      <c r="AT80" s="57" t="e">
        <f>[13]January_2019!AC8</f>
        <v>#DIV/0!</v>
      </c>
      <c r="AU80" s="57" t="e">
        <f>[13]January_2019!AD8</f>
        <v>#DIV/0!</v>
      </c>
      <c r="AV80" s="57">
        <f>[13]January_2019!AE8</f>
        <v>1.7021052631578948</v>
      </c>
      <c r="AW80" s="57">
        <f>[13]January_2019!AF8</f>
        <v>0.60192982456140354</v>
      </c>
      <c r="AX80" s="57">
        <f>[13]January_2019!AG8</f>
        <v>1.4870175438596491</v>
      </c>
      <c r="AY80" s="277" t="e">
        <f>[13]January_2019!AH8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56" t="s">
        <v>55</v>
      </c>
      <c r="C87" s="557"/>
      <c r="D87" s="557"/>
      <c r="E87" s="557"/>
      <c r="F87" s="558"/>
      <c r="G87" s="556" t="s">
        <v>56</v>
      </c>
      <c r="H87" s="557"/>
      <c r="I87" s="557"/>
      <c r="J87" s="558"/>
      <c r="K87" s="556" t="s">
        <v>51</v>
      </c>
      <c r="L87" s="557"/>
      <c r="M87" s="557"/>
      <c r="N87" s="559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[29]December_2023!$U$21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[31]May_2022!$M$43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3845" priority="157" operator="notBetween">
      <formula>#REF!</formula>
      <formula>#REF!</formula>
    </cfRule>
  </conditionalFormatting>
  <conditionalFormatting sqref="C76">
    <cfRule type="cellIs" dxfId="3844" priority="190" stopIfTrue="1" operator="greaterThan">
      <formula>100</formula>
    </cfRule>
    <cfRule type="cellIs" dxfId="3843" priority="189" stopIfTrue="1" operator="lessThan">
      <formula>96</formula>
    </cfRule>
  </conditionalFormatting>
  <conditionalFormatting sqref="C90">
    <cfRule type="cellIs" dxfId="3842" priority="212" stopIfTrue="1" operator="greaterThan">
      <formula>$F89</formula>
    </cfRule>
    <cfRule type="cellIs" dxfId="3841" priority="106" stopIfTrue="1" operator="lessThanOrEqual">
      <formula>0</formula>
    </cfRule>
  </conditionalFormatting>
  <conditionalFormatting sqref="C91:C93">
    <cfRule type="cellIs" dxfId="3840" priority="105" stopIfTrue="1" operator="greaterThan">
      <formula>$F91</formula>
    </cfRule>
  </conditionalFormatting>
  <conditionalFormatting sqref="C91:C94">
    <cfRule type="cellIs" dxfId="3839" priority="129" stopIfTrue="1" operator="lessThanOrEqual">
      <formula>0</formula>
    </cfRule>
  </conditionalFormatting>
  <conditionalFormatting sqref="C94">
    <cfRule type="cellIs" dxfId="3838" priority="128" stopIfTrue="1" operator="greaterThan">
      <formula>$J94</formula>
    </cfRule>
  </conditionalFormatting>
  <conditionalFormatting sqref="C95:C97">
    <cfRule type="cellIs" dxfId="3837" priority="145" stopIfTrue="1" operator="greaterThan">
      <formula>$F95</formula>
    </cfRule>
    <cfRule type="cellIs" dxfId="3836" priority="146" stopIfTrue="1" operator="lessThanOrEqual">
      <formula>0</formula>
    </cfRule>
  </conditionalFormatting>
  <conditionalFormatting sqref="C100:C104">
    <cfRule type="cellIs" dxfId="3835" priority="181" stopIfTrue="1" operator="lessThanOrEqual">
      <formula>0</formula>
    </cfRule>
  </conditionalFormatting>
  <conditionalFormatting sqref="C101:C104">
    <cfRule type="cellIs" dxfId="3834" priority="180" stopIfTrue="1" operator="greaterThan">
      <formula>$F$100</formula>
    </cfRule>
  </conditionalFormatting>
  <conditionalFormatting sqref="C106">
    <cfRule type="cellIs" dxfId="3833" priority="183" stopIfTrue="1" operator="lessThanOrEqual">
      <formula>0</formula>
    </cfRule>
    <cfRule type="cellIs" dxfId="3832" priority="182" stopIfTrue="1" operator="greaterThan">
      <formula>$F$100</formula>
    </cfRule>
  </conditionalFormatting>
  <conditionalFormatting sqref="C100:D100 D102:D108">
    <cfRule type="cellIs" dxfId="3831" priority="175" stopIfTrue="1" operator="greaterThan">
      <formula>4.5</formula>
    </cfRule>
  </conditionalFormatting>
  <conditionalFormatting sqref="D72:D73">
    <cfRule type="cellIs" dxfId="3830" priority="158" operator="notBetween">
      <formula>#REF!</formula>
      <formula>#REF!</formula>
    </cfRule>
  </conditionalFormatting>
  <conditionalFormatting sqref="D89:D96">
    <cfRule type="cellIs" dxfId="3829" priority="144" stopIfTrue="1" operator="lessThanOrEqual">
      <formula>0</formula>
    </cfRule>
  </conditionalFormatting>
  <conditionalFormatting sqref="D97">
    <cfRule type="cellIs" dxfId="3828" priority="143" stopIfTrue="1" operator="lessThanOrEqual">
      <formula>0</formula>
    </cfRule>
  </conditionalFormatting>
  <conditionalFormatting sqref="D100 D102:D108">
    <cfRule type="cellIs" dxfId="3827" priority="176" stopIfTrue="1" operator="lessThanOrEqual">
      <formula>0</formula>
    </cfRule>
  </conditionalFormatting>
  <conditionalFormatting sqref="D101">
    <cfRule type="cellIs" dxfId="3826" priority="167" stopIfTrue="1" operator="greaterThan">
      <formula>$F$100</formula>
    </cfRule>
    <cfRule type="cellIs" dxfId="3825" priority="168" stopIfTrue="1" operator="lessThanOrEqual">
      <formula>0</formula>
    </cfRule>
  </conditionalFormatting>
  <conditionalFormatting sqref="D89:E97">
    <cfRule type="cellIs" dxfId="3824" priority="135" stopIfTrue="1" operator="greaterThan">
      <formula>$F89</formula>
    </cfRule>
  </conditionalFormatting>
  <conditionalFormatting sqref="E10:E14">
    <cfRule type="cellIs" dxfId="3823" priority="52" operator="lessThan">
      <formula>48</formula>
    </cfRule>
  </conditionalFormatting>
  <conditionalFormatting sqref="E33:E46">
    <cfRule type="cellIs" dxfId="3822" priority="25" operator="lessThan">
      <formula>48</formula>
    </cfRule>
  </conditionalFormatting>
  <conditionalFormatting sqref="E76">
    <cfRule type="cellIs" dxfId="3821" priority="169" stopIfTrue="1" operator="lessThan">
      <formula>96.8</formula>
    </cfRule>
    <cfRule type="cellIs" dxfId="3820" priority="170" stopIfTrue="1" operator="greaterThan">
      <formula>100</formula>
    </cfRule>
  </conditionalFormatting>
  <conditionalFormatting sqref="E89:E97">
    <cfRule type="cellIs" dxfId="3819" priority="136" stopIfTrue="1" operator="lessThanOrEqual">
      <formula>0</formula>
    </cfRule>
  </conditionalFormatting>
  <conditionalFormatting sqref="E100:E108">
    <cfRule type="cellIs" dxfId="3818" priority="161" stopIfTrue="1" operator="greaterThan">
      <formula>4.5</formula>
    </cfRule>
    <cfRule type="cellIs" dxfId="3817" priority="162" stopIfTrue="1" operator="lessThanOrEqual">
      <formula>0</formula>
    </cfRule>
  </conditionalFormatting>
  <conditionalFormatting sqref="E75:F76">
    <cfRule type="cellIs" dxfId="3816" priority="171" stopIfTrue="1" operator="lessThan">
      <formula>96.5</formula>
    </cfRule>
    <cfRule type="cellIs" dxfId="3815" priority="172" stopIfTrue="1" operator="greaterThan">
      <formula>100</formula>
    </cfRule>
  </conditionalFormatting>
  <conditionalFormatting sqref="F10:F12">
    <cfRule type="cellIs" dxfId="3814" priority="62" operator="greaterThan">
      <formula>#REF!</formula>
    </cfRule>
  </conditionalFormatting>
  <conditionalFormatting sqref="F10:F47">
    <cfRule type="cellIs" dxfId="3813" priority="15" operator="greaterThan">
      <formula>$AA10</formula>
    </cfRule>
  </conditionalFormatting>
  <conditionalFormatting sqref="F13">
    <cfRule type="cellIs" dxfId="3812" priority="53" operator="greaterThan">
      <formula>$AA47</formula>
    </cfRule>
  </conditionalFormatting>
  <conditionalFormatting sqref="F14">
    <cfRule type="cellIs" dxfId="3811" priority="196" operator="greaterThan">
      <formula>#REF!</formula>
    </cfRule>
  </conditionalFormatting>
  <conditionalFormatting sqref="F33:F46">
    <cfRule type="cellIs" dxfId="3810" priority="26" operator="greaterThan">
      <formula>$AA48</formula>
    </cfRule>
  </conditionalFormatting>
  <conditionalFormatting sqref="F76">
    <cfRule type="cellIs" dxfId="3809" priority="188" stopIfTrue="1" operator="greaterThan">
      <formula>100</formula>
    </cfRule>
    <cfRule type="cellIs" dxfId="3808" priority="187" stopIfTrue="1" operator="lessThan">
      <formula>96.8</formula>
    </cfRule>
  </conditionalFormatting>
  <conditionalFormatting sqref="F97">
    <cfRule type="cellIs" dxfId="3807" priority="137" stopIfTrue="1" operator="greaterThan">
      <formula>$F97</formula>
    </cfRule>
    <cfRule type="cellIs" dxfId="3806" priority="138" stopIfTrue="1" operator="lessThanOrEqual">
      <formula>0</formula>
    </cfRule>
  </conditionalFormatting>
  <conditionalFormatting sqref="G10:G14">
    <cfRule type="expression" dxfId="3805" priority="54">
      <formula>IF(+(IF(G10&lt;#REF!,0,IF(G10&gt;#REF!,0,1)))=0,1)</formula>
    </cfRule>
  </conditionalFormatting>
  <conditionalFormatting sqref="G33:G46">
    <cfRule type="expression" dxfId="3804" priority="27">
      <formula>IF(+(IF(G33&lt;#REF!,0,IF(G33&gt;#REF!,0,1)))=0,1)</formula>
    </cfRule>
  </conditionalFormatting>
  <conditionalFormatting sqref="G90">
    <cfRule type="cellIs" dxfId="3803" priority="71" stopIfTrue="1" operator="lessThanOrEqual">
      <formula>0</formula>
    </cfRule>
    <cfRule type="cellIs" dxfId="3802" priority="70" stopIfTrue="1" operator="greaterThan">
      <formula>$F89</formula>
    </cfRule>
  </conditionalFormatting>
  <conditionalFormatting sqref="G90:G91">
    <cfRule type="cellIs" dxfId="3801" priority="192" stopIfTrue="1" operator="lessThanOrEqual">
      <formula>0</formula>
    </cfRule>
    <cfRule type="cellIs" dxfId="3800" priority="191" stopIfTrue="1" operator="greaterThan">
      <formula>$F89</formula>
    </cfRule>
  </conditionalFormatting>
  <conditionalFormatting sqref="G92">
    <cfRule type="cellIs" dxfId="3799" priority="140" stopIfTrue="1" operator="lessThanOrEqual">
      <formula>0</formula>
    </cfRule>
    <cfRule type="cellIs" dxfId="3798" priority="139" stopIfTrue="1" operator="greaterThan">
      <formula>$F92</formula>
    </cfRule>
  </conditionalFormatting>
  <conditionalFormatting sqref="G93:G96">
    <cfRule type="cellIs" dxfId="3797" priority="149" stopIfTrue="1" operator="lessThanOrEqual">
      <formula>0</formula>
    </cfRule>
    <cfRule type="cellIs" dxfId="3796" priority="148" stopIfTrue="1" operator="greaterThan">
      <formula>$J93</formula>
    </cfRule>
  </conditionalFormatting>
  <conditionalFormatting sqref="G97">
    <cfRule type="cellIs" dxfId="3795" priority="147" operator="greaterThan">
      <formula>4.5</formula>
    </cfRule>
  </conditionalFormatting>
  <conditionalFormatting sqref="G102:G107 C105 C107">
    <cfRule type="cellIs" dxfId="3794" priority="184" stopIfTrue="1" operator="greaterThan">
      <formula>4.5</formula>
    </cfRule>
    <cfRule type="cellIs" dxfId="3793" priority="185" stopIfTrue="1" operator="lessThanOrEqual">
      <formula>0</formula>
    </cfRule>
  </conditionalFormatting>
  <conditionalFormatting sqref="G62:H62 G63:G73 H63:H74">
    <cfRule type="cellIs" dxfId="3792" priority="163" stopIfTrue="1" operator="greaterThan">
      <formula>0</formula>
    </cfRule>
  </conditionalFormatting>
  <conditionalFormatting sqref="G101:H101">
    <cfRule type="cellIs" dxfId="3791" priority="166" stopIfTrue="1" operator="lessThanOrEqual">
      <formula>0</formula>
    </cfRule>
    <cfRule type="cellIs" dxfId="3790" priority="165" stopIfTrue="1" operator="greaterThan">
      <formula>$F$100</formula>
    </cfRule>
  </conditionalFormatting>
  <conditionalFormatting sqref="H10">
    <cfRule type="expression" dxfId="3789" priority="63">
      <formula>IF(+(IF(H10&lt;T27,0,IF(H10&gt;U27,0,1)))=0,1)</formula>
    </cfRule>
  </conditionalFormatting>
  <conditionalFormatting sqref="H10:H12">
    <cfRule type="expression" dxfId="3788" priority="64">
      <formula>IF(+(IF(H10&lt;#REF!,0,IF(H10&gt;#REF!,0,1)))=0,1)</formula>
    </cfRule>
  </conditionalFormatting>
  <conditionalFormatting sqref="H11:H12">
    <cfRule type="expression" dxfId="3787" priority="207">
      <formula>IF(+(IF(H11&lt;T47,0,IF(H11&gt;U47,0,1)))=0,1)</formula>
    </cfRule>
  </conditionalFormatting>
  <conditionalFormatting sqref="H13">
    <cfRule type="expression" dxfId="3786" priority="55">
      <formula>IF(+(IF(H13&lt;T56,0,IF(H13&gt;U56,0,1)))=0,1)</formula>
    </cfRule>
    <cfRule type="expression" dxfId="3785" priority="56">
      <formula>IF(+(IF(H13&lt;T47,0,IF(H13&gt;U47,0,1)))=0,1)</formula>
    </cfRule>
  </conditionalFormatting>
  <conditionalFormatting sqref="H14">
    <cfRule type="expression" dxfId="3784" priority="197">
      <formula>IF(+(IF(H14&lt;T50,0,IF(H14&gt;U50,0,1)))=0,1)</formula>
    </cfRule>
    <cfRule type="expression" dxfId="3783" priority="198">
      <formula>IF(+(IF(H14&lt;#REF!,0,IF(H14&gt;#REF!,0,1)))=0,1)</formula>
    </cfRule>
  </conditionalFormatting>
  <conditionalFormatting sqref="H15:H32">
    <cfRule type="expression" dxfId="3782" priority="209">
      <formula>IF(+(IF(H15&lt;T66,0,IF(H15&gt;U66,0,1)))=0,1)</formula>
    </cfRule>
  </conditionalFormatting>
  <conditionalFormatting sqref="H33:H46">
    <cfRule type="expression" dxfId="3781" priority="29">
      <formula>IF(+(IF(H33&lt;T48,0,IF(H33&gt;U48,0,1)))=0,1)</formula>
    </cfRule>
    <cfRule type="expression" dxfId="3780" priority="28">
      <formula>IF(+(IF(H33&lt;T57,0,IF(H33&gt;U57,0,1)))=0,1)</formula>
    </cfRule>
  </conditionalFormatting>
  <conditionalFormatting sqref="H47">
    <cfRule type="expression" dxfId="3779" priority="193">
      <formula>IF(+(IF(H47&lt;#REF!,0,IF(H47&gt;#REF!,0,1)))=0,1)</formula>
    </cfRule>
  </conditionalFormatting>
  <conditionalFormatting sqref="H51:H61">
    <cfRule type="cellIs" dxfId="3778" priority="159" stopIfTrue="1" operator="greaterThan">
      <formula>0</formula>
    </cfRule>
  </conditionalFormatting>
  <conditionalFormatting sqref="H79">
    <cfRule type="cellIs" dxfId="3777" priority="12" stopIfTrue="1" operator="lessThanOrEqual">
      <formula>0</formula>
    </cfRule>
    <cfRule type="cellIs" dxfId="3776" priority="14" stopIfTrue="1" operator="lessThanOrEqual">
      <formula>0</formula>
    </cfRule>
    <cfRule type="cellIs" dxfId="3775" priority="13" stopIfTrue="1" operator="greaterThan">
      <formula>$F$54</formula>
    </cfRule>
    <cfRule type="cellIs" dxfId="3774" priority="11" stopIfTrue="1" operator="greaterThan">
      <formula>$F$56</formula>
    </cfRule>
    <cfRule type="cellIs" dxfId="3773" priority="2" stopIfTrue="1" operator="lessThanOrEqual">
      <formula>0</formula>
    </cfRule>
    <cfRule type="cellIs" dxfId="3772" priority="3" stopIfTrue="1" operator="greaterThan">
      <formula>$F$53</formula>
    </cfRule>
  </conditionalFormatting>
  <conditionalFormatting sqref="H80">
    <cfRule type="cellIs" dxfId="3771" priority="92" stopIfTrue="1" operator="lessThanOrEqual">
      <formula>0</formula>
    </cfRule>
    <cfRule type="cellIs" dxfId="3770" priority="93" stopIfTrue="1" operator="greaterThan">
      <formula>$F$88</formula>
    </cfRule>
    <cfRule type="cellIs" dxfId="3769" priority="104" stopIfTrue="1" operator="lessThanOrEqual">
      <formula>0</formula>
    </cfRule>
    <cfRule type="cellIs" dxfId="3768" priority="101" stopIfTrue="1" operator="greaterThan">
      <formula>$F$91</formula>
    </cfRule>
    <cfRule type="cellIs" dxfId="3767" priority="102" stopIfTrue="1" operator="lessThanOrEqual">
      <formula>0</formula>
    </cfRule>
    <cfRule type="cellIs" dxfId="3766" priority="103" stopIfTrue="1" operator="greaterThan">
      <formula>$F$89</formula>
    </cfRule>
  </conditionalFormatting>
  <conditionalFormatting sqref="H81">
    <cfRule type="cellIs" dxfId="3765" priority="45" stopIfTrue="1" operator="lessThanOrEqual">
      <formula>0</formula>
    </cfRule>
    <cfRule type="cellIs" dxfId="3764" priority="36" stopIfTrue="1" operator="greaterThan">
      <formula>$F$72</formula>
    </cfRule>
    <cfRule type="cellIs" dxfId="3763" priority="35" stopIfTrue="1" operator="lessThanOrEqual">
      <formula>0</formula>
    </cfRule>
    <cfRule type="cellIs" dxfId="3762" priority="44" stopIfTrue="1" operator="greaterThan">
      <formula>$F$75</formula>
    </cfRule>
    <cfRule type="cellIs" dxfId="3761" priority="47" stopIfTrue="1" operator="lessThanOrEqual">
      <formula>0</formula>
    </cfRule>
    <cfRule type="cellIs" dxfId="3760" priority="46" stopIfTrue="1" operator="greaterThan">
      <formula>$F$73</formula>
    </cfRule>
  </conditionalFormatting>
  <conditionalFormatting sqref="H82">
    <cfRule type="cellIs" dxfId="3759" priority="84" stopIfTrue="1" operator="greaterThan">
      <formula>#REF!</formula>
    </cfRule>
    <cfRule type="cellIs" dxfId="3758" priority="75" stopIfTrue="1" operator="lessThanOrEqual">
      <formula>0</formula>
    </cfRule>
    <cfRule type="cellIs" dxfId="3757" priority="76" stopIfTrue="1" operator="greaterThan">
      <formula>#REF!</formula>
    </cfRule>
  </conditionalFormatting>
  <conditionalFormatting sqref="H82:H84">
    <cfRule type="cellIs" dxfId="3756" priority="85" stopIfTrue="1" operator="lessThanOrEqual">
      <formula>0</formula>
    </cfRule>
  </conditionalFormatting>
  <conditionalFormatting sqref="H83:H84">
    <cfRule type="cellIs" dxfId="3755" priority="125" stopIfTrue="1" operator="lessThanOrEqual">
      <formula>0</formula>
    </cfRule>
    <cfRule type="cellIs" dxfId="3754" priority="124" stopIfTrue="1" operator="greaterThan">
      <formula>$F$90</formula>
    </cfRule>
    <cfRule type="cellIs" dxfId="3753" priority="122" stopIfTrue="1" operator="greaterThan">
      <formula>$F$92</formula>
    </cfRule>
    <cfRule type="cellIs" dxfId="3752" priority="114" stopIfTrue="1" operator="greaterThan">
      <formula>$F$89</formula>
    </cfRule>
    <cfRule type="cellIs" dxfId="3751" priority="123" stopIfTrue="1" operator="lessThanOrEqual">
      <formula>0</formula>
    </cfRule>
  </conditionalFormatting>
  <conditionalFormatting sqref="H85">
    <cfRule type="cellIs" dxfId="3750" priority="155" stopIfTrue="1" operator="greaterThan">
      <formula>$F$82</formula>
    </cfRule>
    <cfRule type="cellIs" dxfId="3749" priority="156" stopIfTrue="1" operator="lessThanOrEqual">
      <formula>0</formula>
    </cfRule>
    <cfRule type="cellIs" dxfId="3748" priority="153" stopIfTrue="1" operator="greaterThan">
      <formula>$F$86</formula>
    </cfRule>
    <cfRule type="cellIs" dxfId="3747" priority="154" stopIfTrue="1" operator="lessThanOrEqual">
      <formula>0</formula>
    </cfRule>
  </conditionalFormatting>
  <conditionalFormatting sqref="H89:H96">
    <cfRule type="cellIs" dxfId="3746" priority="127" stopIfTrue="1" operator="lessThanOrEqual">
      <formula>0</formula>
    </cfRule>
    <cfRule type="cellIs" dxfId="3745" priority="126" stopIfTrue="1" operator="greaterThan">
      <formula>$J89</formula>
    </cfRule>
  </conditionalFormatting>
  <conditionalFormatting sqref="H97">
    <cfRule type="cellIs" dxfId="3744" priority="132" operator="greaterThan">
      <formula>5.3</formula>
    </cfRule>
  </conditionalFormatting>
  <conditionalFormatting sqref="H100 H102:H108">
    <cfRule type="cellIs" dxfId="3743" priority="177" stopIfTrue="1" operator="greaterThan">
      <formula>4.5</formula>
    </cfRule>
    <cfRule type="cellIs" dxfId="3742" priority="178" stopIfTrue="1" operator="lessThanOrEqual">
      <formula>0</formula>
    </cfRule>
  </conditionalFormatting>
  <conditionalFormatting sqref="H79:I79">
    <cfRule type="cellIs" dxfId="3741" priority="4" stopIfTrue="1" operator="lessThanOrEqual">
      <formula>0</formula>
    </cfRule>
    <cfRule type="cellIs" dxfId="3740" priority="1" stopIfTrue="1" operator="greaterThan">
      <formula>$F$55</formula>
    </cfRule>
  </conditionalFormatting>
  <conditionalFormatting sqref="H80:I80">
    <cfRule type="cellIs" dxfId="3739" priority="94" stopIfTrue="1" operator="lessThanOrEqual">
      <formula>0</formula>
    </cfRule>
    <cfRule type="cellIs" dxfId="3738" priority="91" stopIfTrue="1" operator="greaterThan">
      <formula>$F$90</formula>
    </cfRule>
  </conditionalFormatting>
  <conditionalFormatting sqref="H81:I81">
    <cfRule type="cellIs" dxfId="3737" priority="37" stopIfTrue="1" operator="lessThanOrEqual">
      <formula>0</formula>
    </cfRule>
    <cfRule type="cellIs" dxfId="3736" priority="34" stopIfTrue="1" operator="greaterThan">
      <formula>$F$74</formula>
    </cfRule>
  </conditionalFormatting>
  <conditionalFormatting sqref="H82:I82">
    <cfRule type="cellIs" dxfId="3735" priority="83" stopIfTrue="1" operator="lessThanOrEqual">
      <formula>0</formula>
    </cfRule>
    <cfRule type="cellIs" dxfId="3734" priority="82" stopIfTrue="1" operator="greaterThan">
      <formula>#REF!</formula>
    </cfRule>
    <cfRule type="cellIs" dxfId="3733" priority="74" stopIfTrue="1" operator="greaterThan">
      <formula>#REF!</formula>
    </cfRule>
    <cfRule type="cellIs" dxfId="3732" priority="77" stopIfTrue="1" operator="lessThanOrEqual">
      <formula>0</formula>
    </cfRule>
  </conditionalFormatting>
  <conditionalFormatting sqref="H83:I83">
    <cfRule type="cellIs" dxfId="3731" priority="115" stopIfTrue="1" operator="lessThanOrEqual">
      <formula>0</formula>
    </cfRule>
  </conditionalFormatting>
  <conditionalFormatting sqref="H83:I84">
    <cfRule type="cellIs" dxfId="3730" priority="72" stopIfTrue="1" operator="greaterThan">
      <formula>$F$91</formula>
    </cfRule>
  </conditionalFormatting>
  <conditionalFormatting sqref="H84:I84">
    <cfRule type="cellIs" dxfId="3729" priority="73" stopIfTrue="1" operator="lessThanOrEqual">
      <formula>0</formula>
    </cfRule>
  </conditionalFormatting>
  <conditionalFormatting sqref="I10:I14">
    <cfRule type="cellIs" dxfId="3728" priority="49" operator="lessThan">
      <formula>97.8</formula>
    </cfRule>
  </conditionalFormatting>
  <conditionalFormatting sqref="I10:I47">
    <cfRule type="cellIs" dxfId="3727" priority="21" operator="lessThan">
      <formula>98</formula>
    </cfRule>
  </conditionalFormatting>
  <conditionalFormatting sqref="I33:I46">
    <cfRule type="cellIs" dxfId="3726" priority="22" operator="lessThan">
      <formula>97.8</formula>
    </cfRule>
  </conditionalFormatting>
  <conditionalFormatting sqref="I79">
    <cfRule type="cellIs" dxfId="3725" priority="5" stopIfTrue="1" operator="greaterThan">
      <formula>$F$53</formula>
    </cfRule>
    <cfRule type="cellIs" dxfId="3724" priority="6" stopIfTrue="1" operator="lessThanOrEqual">
      <formula>0</formula>
    </cfRule>
    <cfRule type="cellIs" dxfId="3723" priority="7" stopIfTrue="1" operator="greaterThan">
      <formula>$F$55</formula>
    </cfRule>
    <cfRule type="cellIs" dxfId="3722" priority="8" stopIfTrue="1" operator="lessThanOrEqual">
      <formula>0</formula>
    </cfRule>
    <cfRule type="cellIs" dxfId="3721" priority="9" stopIfTrue="1" operator="greaterThan">
      <formula>$F$53</formula>
    </cfRule>
    <cfRule type="cellIs" dxfId="3720" priority="10" stopIfTrue="1" operator="lessThanOrEqual">
      <formula>0</formula>
    </cfRule>
  </conditionalFormatting>
  <conditionalFormatting sqref="I80">
    <cfRule type="cellIs" dxfId="3719" priority="99" stopIfTrue="1" operator="greaterThan">
      <formula>$F$88</formula>
    </cfRule>
    <cfRule type="cellIs" dxfId="3718" priority="97" stopIfTrue="1" operator="greaterThan">
      <formula>$F$90</formula>
    </cfRule>
    <cfRule type="cellIs" dxfId="3717" priority="96" stopIfTrue="1" operator="lessThanOrEqual">
      <formula>0</formula>
    </cfRule>
    <cfRule type="cellIs" dxfId="3716" priority="95" stopIfTrue="1" operator="greaterThan">
      <formula>$F$88</formula>
    </cfRule>
    <cfRule type="cellIs" dxfId="3715" priority="100" stopIfTrue="1" operator="lessThanOrEqual">
      <formula>0</formula>
    </cfRule>
    <cfRule type="cellIs" dxfId="3714" priority="98" stopIfTrue="1" operator="lessThanOrEqual">
      <formula>0</formula>
    </cfRule>
  </conditionalFormatting>
  <conditionalFormatting sqref="I81">
    <cfRule type="cellIs" dxfId="3713" priority="43" stopIfTrue="1" operator="lessThanOrEqual">
      <formula>0</formula>
    </cfRule>
    <cfRule type="cellIs" dxfId="3712" priority="42" stopIfTrue="1" operator="greaterThan">
      <formula>$F$72</formula>
    </cfRule>
    <cfRule type="cellIs" dxfId="3711" priority="41" stopIfTrue="1" operator="lessThanOrEqual">
      <formula>0</formula>
    </cfRule>
    <cfRule type="cellIs" dxfId="3710" priority="40" stopIfTrue="1" operator="greaterThan">
      <formula>$F$74</formula>
    </cfRule>
    <cfRule type="cellIs" dxfId="3709" priority="39" stopIfTrue="1" operator="lessThanOrEqual">
      <formula>0</formula>
    </cfRule>
    <cfRule type="cellIs" dxfId="3708" priority="38" stopIfTrue="1" operator="greaterThan">
      <formula>$F$72</formula>
    </cfRule>
  </conditionalFormatting>
  <conditionalFormatting sqref="I82">
    <cfRule type="cellIs" dxfId="3707" priority="80" stopIfTrue="1" operator="greaterThan">
      <formula>#REF!</formula>
    </cfRule>
    <cfRule type="cellIs" dxfId="3706" priority="79" stopIfTrue="1" operator="lessThanOrEqual">
      <formula>0</formula>
    </cfRule>
    <cfRule type="cellIs" dxfId="3705" priority="78" stopIfTrue="1" operator="greaterThan">
      <formula>#REF!</formula>
    </cfRule>
    <cfRule type="cellIs" dxfId="3704" priority="81" stopIfTrue="1" operator="lessThanOrEqual">
      <formula>0</formula>
    </cfRule>
  </conditionalFormatting>
  <conditionalFormatting sqref="I83:I84">
    <cfRule type="cellIs" dxfId="3703" priority="118" stopIfTrue="1" operator="greaterThan">
      <formula>$F$91</formula>
    </cfRule>
    <cfRule type="cellIs" dxfId="3702" priority="116" stopIfTrue="1" operator="greaterThan">
      <formula>$F$89</formula>
    </cfRule>
    <cfRule type="cellIs" dxfId="3701" priority="117" stopIfTrue="1" operator="lessThanOrEqual">
      <formula>0</formula>
    </cfRule>
    <cfRule type="cellIs" dxfId="3700" priority="119" stopIfTrue="1" operator="lessThanOrEqual">
      <formula>0</formula>
    </cfRule>
    <cfRule type="cellIs" dxfId="3699" priority="120" stopIfTrue="1" operator="greaterThan">
      <formula>$F$89</formula>
    </cfRule>
    <cfRule type="cellIs" dxfId="3698" priority="121" stopIfTrue="1" operator="lessThanOrEqual">
      <formula>0</formula>
    </cfRule>
  </conditionalFormatting>
  <conditionalFormatting sqref="I89:I97">
    <cfRule type="cellIs" dxfId="3697" priority="133" stopIfTrue="1" operator="greaterThan">
      <formula>$J89</formula>
    </cfRule>
    <cfRule type="cellIs" dxfId="3696" priority="134" stopIfTrue="1" operator="lessThanOrEqual">
      <formula>0</formula>
    </cfRule>
  </conditionalFormatting>
  <conditionalFormatting sqref="I100:I108">
    <cfRule type="cellIs" dxfId="3695" priority="173" stopIfTrue="1" operator="greaterThan">
      <formula>4.5</formula>
    </cfRule>
    <cfRule type="cellIs" dxfId="3694" priority="174" stopIfTrue="1" operator="lessThanOrEqual">
      <formula>0</formula>
    </cfRule>
  </conditionalFormatting>
  <conditionalFormatting sqref="J10:J14">
    <cfRule type="cellIs" dxfId="3693" priority="51" operator="notBetween">
      <formula>98</formula>
      <formula>99.9</formula>
    </cfRule>
  </conditionalFormatting>
  <conditionalFormatting sqref="J10:J47">
    <cfRule type="cellIs" dxfId="3692" priority="20" operator="lessThan">
      <formula>97.4</formula>
    </cfRule>
  </conditionalFormatting>
  <conditionalFormatting sqref="J33:J46">
    <cfRule type="cellIs" dxfId="3691" priority="24" operator="notBetween">
      <formula>98</formula>
      <formula>99.9</formula>
    </cfRule>
  </conditionalFormatting>
  <conditionalFormatting sqref="J50:J52">
    <cfRule type="cellIs" dxfId="3690" priority="108" stopIfTrue="1" operator="greaterThan">
      <formula>100</formula>
    </cfRule>
    <cfRule type="cellIs" dxfId="3689" priority="109" operator="lessThan">
      <formula>98</formula>
    </cfRule>
    <cfRule type="cellIs" dxfId="3688" priority="107" stopIfTrue="1" operator="lessThan">
      <formula>96.8</formula>
    </cfRule>
  </conditionalFormatting>
  <conditionalFormatting sqref="J50:J54">
    <cfRule type="cellIs" dxfId="3687" priority="48" operator="lessThan">
      <formula>97.4</formula>
    </cfRule>
  </conditionalFormatting>
  <conditionalFormatting sqref="J55 L59:M59 L61:M61">
    <cfRule type="cellIs" dxfId="3686" priority="110" operator="lessThan">
      <formula>98</formula>
    </cfRule>
  </conditionalFormatting>
  <conditionalFormatting sqref="J56:J57">
    <cfRule type="cellIs" dxfId="3685" priority="111" stopIfTrue="1" operator="lessThan">
      <formula>96.8</formula>
    </cfRule>
    <cfRule type="cellIs" dxfId="3684" priority="112" stopIfTrue="1" operator="greaterThan">
      <formula>100</formula>
    </cfRule>
  </conditionalFormatting>
  <conditionalFormatting sqref="J56:J58">
    <cfRule type="cellIs" dxfId="3683" priority="113" operator="lessThan">
      <formula>98</formula>
    </cfRule>
  </conditionalFormatting>
  <conditionalFormatting sqref="K10:K14">
    <cfRule type="cellIs" dxfId="3682" priority="50" operator="greaterThan">
      <formula>6.4</formula>
    </cfRule>
  </conditionalFormatting>
  <conditionalFormatting sqref="K10:K47">
    <cfRule type="cellIs" dxfId="3681" priority="17" operator="lessThan">
      <formula>4</formula>
    </cfRule>
    <cfRule type="cellIs" dxfId="3680" priority="16" operator="greaterThan">
      <formula>6</formula>
    </cfRule>
  </conditionalFormatting>
  <conditionalFormatting sqref="K33:K46">
    <cfRule type="cellIs" dxfId="3679" priority="23" operator="greaterThan">
      <formula>6.4</formula>
    </cfRule>
  </conditionalFormatting>
  <conditionalFormatting sqref="K64:K73">
    <cfRule type="cellIs" dxfId="3678" priority="141" operator="notEqual">
      <formula>#REF!</formula>
    </cfRule>
  </conditionalFormatting>
  <conditionalFormatting sqref="K79:K84 J85:K85 L89:N89 K90:N97">
    <cfRule type="cellIs" dxfId="3677" priority="152" stopIfTrue="1" operator="lessThan">
      <formula>100%</formula>
    </cfRule>
  </conditionalFormatting>
  <conditionalFormatting sqref="K100:K105">
    <cfRule type="cellIs" dxfId="3676" priority="179" stopIfTrue="1" operator="lessThan">
      <formula>100%</formula>
    </cfRule>
  </conditionalFormatting>
  <conditionalFormatting sqref="K107:K108">
    <cfRule type="cellIs" dxfId="3675" priority="186" stopIfTrue="1" operator="lessThan">
      <formula>100%</formula>
    </cfRule>
  </conditionalFormatting>
  <conditionalFormatting sqref="L10:L47">
    <cfRule type="cellIs" dxfId="3674" priority="19" operator="greaterThan">
      <formula>65</formula>
    </cfRule>
    <cfRule type="cellIs" dxfId="3673" priority="18" operator="between">
      <formula>61</formula>
      <formula>65</formula>
    </cfRule>
  </conditionalFormatting>
  <conditionalFormatting sqref="L52:L58">
    <cfRule type="cellIs" dxfId="3672" priority="88" operator="lessThan">
      <formula>98</formula>
    </cfRule>
  </conditionalFormatting>
  <conditionalFormatting sqref="L65:N65">
    <cfRule type="cellIs" dxfId="3671" priority="87" operator="notEqual">
      <formula>#REF!</formula>
    </cfRule>
  </conditionalFormatting>
  <conditionalFormatting sqref="L100:N108">
    <cfRule type="cellIs" dxfId="3670" priority="164" stopIfTrue="1" operator="lessThan">
      <formula>100%</formula>
    </cfRule>
  </conditionalFormatting>
  <conditionalFormatting sqref="M10:M11">
    <cfRule type="expression" dxfId="3669" priority="65">
      <formula>IF(+(IF(M10&lt;V23,0,IF(M10&gt;W23,0,1)))=0,1)</formula>
    </cfRule>
  </conditionalFormatting>
  <conditionalFormatting sqref="M13">
    <cfRule type="expression" dxfId="3668" priority="58">
      <formula>IF(+(IF(M13&lt;V47,0,IF(M13&gt;W47,0,1)))=0,1)</formula>
    </cfRule>
    <cfRule type="expression" dxfId="3667" priority="57">
      <formula>IF(+(IF(M13&lt;V52,0,IF(M13&gt;W52,0,1)))=0,1)</formula>
    </cfRule>
  </conditionalFormatting>
  <conditionalFormatting sqref="M14">
    <cfRule type="expression" dxfId="3666" priority="199">
      <formula>IF(+(IF(M14&lt;V27,0,IF(M14&gt;W27,0,1)))=0,1)</formula>
    </cfRule>
  </conditionalFormatting>
  <conditionalFormatting sqref="M15:M32">
    <cfRule type="expression" dxfId="3665" priority="210">
      <formula>IF(+(IF(M15&lt;V62,0,IF(M15&gt;W62,0,1)))=0,1)</formula>
    </cfRule>
  </conditionalFormatting>
  <conditionalFormatting sqref="M33:M46">
    <cfRule type="expression" dxfId="3664" priority="31">
      <formula>IF(+(IF(M33&lt;V48,0,IF(M33&gt;W48,0,1)))=0,1)</formula>
    </cfRule>
    <cfRule type="expression" dxfId="3663" priority="30">
      <formula>IF(+(IF(M33&lt;V53,0,IF(M33&gt;W53,0,1)))=0,1)</formula>
    </cfRule>
  </conditionalFormatting>
  <conditionalFormatting sqref="M50:M58">
    <cfRule type="cellIs" dxfId="3662" priority="86" operator="lessThan">
      <formula>98</formula>
    </cfRule>
  </conditionalFormatting>
  <conditionalFormatting sqref="M10:N12">
    <cfRule type="expression" dxfId="3661" priority="66">
      <formula>IF(+(IF(M10&lt;#REF!,0,IF(M10&gt;#REF!,0,1)))=0,1)</formula>
    </cfRule>
  </conditionalFormatting>
  <conditionalFormatting sqref="M14:N14">
    <cfRule type="expression" dxfId="3660" priority="200">
      <formula>IF(+(IF(M14&lt;#REF!,0,IF(M14&gt;#REF!,0,1)))=0,1)</formula>
    </cfRule>
  </conditionalFormatting>
  <conditionalFormatting sqref="M47:N47">
    <cfRule type="expression" dxfId="3659" priority="194">
      <formula>IF(+(IF(M47&lt;#REF!,0,IF(M47&gt;#REF!,0,1)))=0,1)</formula>
    </cfRule>
  </conditionalFormatting>
  <conditionalFormatting sqref="N10:N11">
    <cfRule type="expression" dxfId="3658" priority="67">
      <formula>IF(+(IF(N10&lt;X23,0,IF(N10&gt;Y23,0,1)))=0,1)</formula>
    </cfRule>
  </conditionalFormatting>
  <conditionalFormatting sqref="N13">
    <cfRule type="expression" dxfId="3657" priority="60">
      <formula>IF(+(IF(N13&lt;X47,0,IF(N13&gt;Y47,0,1)))=0,1)</formula>
    </cfRule>
    <cfRule type="expression" dxfId="3656" priority="59">
      <formula>IF(+(IF(N13&lt;X52,0,IF(N13&gt;Y52,0,1)))=0,1)</formula>
    </cfRule>
  </conditionalFormatting>
  <conditionalFormatting sqref="N14">
    <cfRule type="expression" dxfId="3655" priority="203">
      <formula>IF(+(IF(N14&lt;X27,0,IF(N14&gt;Y27,0,1)))=0,1)</formula>
    </cfRule>
  </conditionalFormatting>
  <conditionalFormatting sqref="N15:N32">
    <cfRule type="expression" dxfId="3654" priority="211">
      <formula>IF(+(IF(N15&lt;X62,0,IF(N15&gt;Y62,0,1)))=0,1)</formula>
    </cfRule>
  </conditionalFormatting>
  <conditionalFormatting sqref="N33:N46">
    <cfRule type="expression" dxfId="3653" priority="33">
      <formula>IF(+(IF(N33&lt;X48,0,IF(N33&gt;Y48,0,1)))=0,1)</formula>
    </cfRule>
    <cfRule type="expression" dxfId="3652" priority="32">
      <formula>IF(+(IF(N33&lt;X53,0,IF(N33&gt;Y53,0,1)))=0,1)</formula>
    </cfRule>
  </conditionalFormatting>
  <conditionalFormatting sqref="P6">
    <cfRule type="cellIs" dxfId="3651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95D9-F24D-4FB9-A0BA-AB009C5B0D75}">
  <sheetPr>
    <pageSetUpPr fitToPage="1"/>
  </sheetPr>
  <dimension ref="A1:BE80"/>
  <sheetViews>
    <sheetView topLeftCell="A44" zoomScale="85" zoomScaleNormal="85" workbookViewId="0">
      <selection activeCell="E59" sqref="E59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0.7109375" style="275" customWidth="1"/>
    <col min="10" max="10" width="21.140625" style="275" customWidth="1"/>
    <col min="11" max="11" width="22.5703125" style="275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46147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65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95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[4]Brewhouse!$A372</f>
        <v>CA327</v>
      </c>
      <c r="D10" s="279">
        <f>[4]Brewhouse!$AF372</f>
        <v>52.1</v>
      </c>
      <c r="E10" s="279">
        <f>[4]Brewhouse!$AI372</f>
        <v>49.9</v>
      </c>
      <c r="F10" s="278">
        <f>[4]Brewhouse!$V372</f>
        <v>57</v>
      </c>
      <c r="G10" s="279">
        <f>[4]Brewhouse!AG372</f>
        <v>11.8</v>
      </c>
      <c r="H10" s="396"/>
      <c r="I10" s="368">
        <f>[4]Brewhouse!$AU372</f>
        <v>96.56462372355783</v>
      </c>
      <c r="J10" s="368">
        <f>[4]Brewhouse!$AV372</f>
        <v>98.133389043282463</v>
      </c>
      <c r="K10" s="281">
        <f>[4]Brewhouse!$Q372</f>
        <v>5.5925925925925855</v>
      </c>
      <c r="L10" s="276">
        <f>[4]Brewhouse!$P372</f>
        <v>46</v>
      </c>
      <c r="M10" s="397">
        <f>[4]Brewhouse!$U372-[4]Brewhouse!$T372</f>
        <v>0.12013888888888891</v>
      </c>
      <c r="N10" s="370">
        <f>[4]Brewhouse!$Z372</f>
        <v>0.27569444444444446</v>
      </c>
      <c r="O10" s="420" t="str">
        <f>[4]Brewhouse!$AX372</f>
        <v>K. Benjamin</v>
      </c>
      <c r="P10" s="418"/>
      <c r="R10" s="277" t="str">
        <f t="shared" ref="R10:R28" si="0">B10</f>
        <v>CARIB</v>
      </c>
      <c r="S10" s="472">
        <f t="shared" ref="S10:S40" si="1">VLOOKUP($B10,$R$3:$X$9,2,FALSE)</f>
        <v>11.6</v>
      </c>
      <c r="T10" s="472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2">
        <f t="shared" ref="Z10:Z40" si="8">VLOOKUP($B10,$R$3:$Z$9,9,FALSE)</f>
        <v>60</v>
      </c>
    </row>
    <row r="11" spans="2:29" ht="15">
      <c r="B11" s="29" t="s">
        <v>6</v>
      </c>
      <c r="C11" s="366" t="str">
        <f>[4]Brewhouse!$A373</f>
        <v>CA328</v>
      </c>
      <c r="D11" s="279">
        <f>[4]Brewhouse!$AF373</f>
        <v>53</v>
      </c>
      <c r="E11" s="279">
        <f>[4]Brewhouse!$AI373</f>
        <v>51</v>
      </c>
      <c r="F11" s="278">
        <f>[4]Brewhouse!$V373</f>
        <v>56</v>
      </c>
      <c r="G11" s="279">
        <f>[4]Brewhouse!AG373</f>
        <v>11.9</v>
      </c>
      <c r="H11" s="396"/>
      <c r="I11" s="368">
        <f>[4]Brewhouse!$AU373</f>
        <v>99.450129980121687</v>
      </c>
      <c r="J11" s="368">
        <f>[4]Brewhouse!$AV373</f>
        <v>101.06587788283909</v>
      </c>
      <c r="K11" s="281">
        <f>[4]Brewhouse!$Q373</f>
        <v>3.1851851851851833</v>
      </c>
      <c r="L11" s="276">
        <f>[4]Brewhouse!$P373</f>
        <v>58</v>
      </c>
      <c r="M11" s="397">
        <f>[4]Brewhouse!$U373-[4]Brewhouse!$T373</f>
        <v>0.12013888888888891</v>
      </c>
      <c r="N11" s="370">
        <f>[4]Brewhouse!$Z373</f>
        <v>0.27916666666666667</v>
      </c>
      <c r="O11" s="420" t="str">
        <f>[4]Brewhouse!$AX373</f>
        <v>K. Benjamin</v>
      </c>
      <c r="P11" s="418"/>
      <c r="R11" s="277" t="str">
        <f t="shared" ref="R11:R27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[4]Brewhouse!$A374</f>
        <v>CA329</v>
      </c>
      <c r="D12" s="279">
        <f>[4]Brewhouse!$AF374</f>
        <v>53.3</v>
      </c>
      <c r="E12" s="279">
        <f>[4]Brewhouse!$AI374</f>
        <v>51.7</v>
      </c>
      <c r="F12" s="278">
        <f>[4]Brewhouse!$V374</f>
        <v>63</v>
      </c>
      <c r="G12" s="279">
        <f>[4]Brewhouse!AG374</f>
        <v>11.8</v>
      </c>
      <c r="H12" s="396"/>
      <c r="I12" s="368">
        <f>[4]Brewhouse!$AU374</f>
        <v>99.924395660222203</v>
      </c>
      <c r="J12" s="368">
        <f>[4]Brewhouse!$AV374</f>
        <v>101.54784886989201</v>
      </c>
      <c r="K12" s="281">
        <f>[4]Brewhouse!$Q374</f>
        <v>2.6296296296296329</v>
      </c>
      <c r="L12" s="276">
        <f>[4]Brewhouse!$P374</f>
        <v>63</v>
      </c>
      <c r="M12" s="397">
        <f>[4]Brewhouse!$U374-[4]Brewhouse!$T374</f>
        <v>0.125</v>
      </c>
      <c r="N12" s="370">
        <f>[4]Brewhouse!$Z374</f>
        <v>0.27222222222222225</v>
      </c>
      <c r="O12" s="420" t="str">
        <f>[4]Brewhouse!$AX374</f>
        <v>K. Benjamin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[4]Brewhouse!$A375</f>
        <v>CA330</v>
      </c>
      <c r="D13" s="279">
        <f>[4]Brewhouse!$AF375</f>
        <v>52.2</v>
      </c>
      <c r="E13" s="279">
        <f>[4]Brewhouse!$AI375</f>
        <v>50.5</v>
      </c>
      <c r="F13" s="278">
        <f>[4]Brewhouse!$V375</f>
        <v>63</v>
      </c>
      <c r="G13" s="279">
        <f>[4]Brewhouse!AG375</f>
        <v>11.7</v>
      </c>
      <c r="H13" s="396"/>
      <c r="I13" s="368">
        <f>[4]Brewhouse!$AU375</f>
        <v>96.735005949559593</v>
      </c>
      <c r="J13" s="368">
        <f>[4]Brewhouse!$AV375</f>
        <v>98.306641733380062</v>
      </c>
      <c r="K13" s="281">
        <f>[4]Brewhouse!$Q375</f>
        <v>4.8428835489833597</v>
      </c>
      <c r="L13" s="276">
        <f>[4]Brewhouse!$P375</f>
        <v>58</v>
      </c>
      <c r="M13" s="397">
        <f>[4]Brewhouse!$U375-[4]Brewhouse!$T375</f>
        <v>0.1069444444444444</v>
      </c>
      <c r="N13" s="370">
        <f>[4]Brewhouse!$Z375</f>
        <v>0.26944444444444438</v>
      </c>
      <c r="O13" s="420" t="str">
        <f>[4]Brewhouse!$AX375</f>
        <v>K. Benjamin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[4]Brewhouse!$A376</f>
        <v>CA331</v>
      </c>
      <c r="D14" s="279">
        <f>[4]Brewhouse!$AF376</f>
        <v>52.5</v>
      </c>
      <c r="E14" s="279">
        <f>[4]Brewhouse!$AI376</f>
        <v>50.8</v>
      </c>
      <c r="F14" s="278">
        <f>[4]Brewhouse!$V376</f>
        <v>64</v>
      </c>
      <c r="G14" s="279">
        <f>[4]Brewhouse!AG376</f>
        <v>11.8</v>
      </c>
      <c r="H14" s="396"/>
      <c r="I14" s="368">
        <f>[4]Brewhouse!$AU376</f>
        <v>100.92621982794307</v>
      </c>
      <c r="J14" s="368">
        <f>[4]Brewhouse!$AV376</f>
        <v>102.56353470597448</v>
      </c>
      <c r="K14" s="281">
        <f>[4]Brewhouse!$Q376</f>
        <v>4.288354898336415</v>
      </c>
      <c r="L14" s="276">
        <f>[4]Brewhouse!$P376</f>
        <v>57</v>
      </c>
      <c r="M14" s="397">
        <f>[4]Brewhouse!$U376-[4]Brewhouse!$T376</f>
        <v>0.11250000000000004</v>
      </c>
      <c r="N14" s="370">
        <f>[4]Brewhouse!$Z376</f>
        <v>0.2729166666666667</v>
      </c>
      <c r="O14" s="420" t="str">
        <f>[4]Brewhouse!$AX376</f>
        <v>K. Benjamin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[4]Brewhouse!$A377</f>
        <v>CA332</v>
      </c>
      <c r="D15" s="279">
        <f>[4]Brewhouse!$AF377</f>
        <v>52.6</v>
      </c>
      <c r="E15" s="279">
        <f>[4]Brewhouse!$AI377</f>
        <v>51</v>
      </c>
      <c r="F15" s="278">
        <f>[4]Brewhouse!$V377</f>
        <v>64</v>
      </c>
      <c r="G15" s="279">
        <f>[4]Brewhouse!AG377</f>
        <v>11.8</v>
      </c>
      <c r="H15" s="396"/>
      <c r="I15" s="368">
        <f>[4]Brewhouse!$AU377</f>
        <v>101.71080765524663</v>
      </c>
      <c r="J15" s="368">
        <f>[4]Brewhouse!$AV377</f>
        <v>103.36050840638534</v>
      </c>
      <c r="K15" s="281">
        <f>[4]Brewhouse!$Q377</f>
        <v>4.1035120147874284</v>
      </c>
      <c r="L15" s="276">
        <f>[4]Brewhouse!$P377</f>
        <v>58</v>
      </c>
      <c r="M15" s="397">
        <f>[4]Brewhouse!$U377-[4]Brewhouse!$T377</f>
        <v>0.11180555555555549</v>
      </c>
      <c r="N15" s="370">
        <f>[4]Brewhouse!$Z377</f>
        <v>0.2763888888888888</v>
      </c>
      <c r="O15" s="420" t="str">
        <f>[4]Brewhouse!$AX377</f>
        <v>R. Sookram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[4]Brewhouse!$A378</f>
        <v>CA333</v>
      </c>
      <c r="D16" s="279">
        <f>[4]Brewhouse!$AF378</f>
        <v>51.8</v>
      </c>
      <c r="E16" s="279">
        <f>[4]Brewhouse!$AI378</f>
        <v>50.1</v>
      </c>
      <c r="F16" s="278">
        <f>[4]Brewhouse!$V378</f>
        <v>63</v>
      </c>
      <c r="G16" s="279">
        <f>[4]Brewhouse!AG378</f>
        <v>11.8</v>
      </c>
      <c r="H16" s="396"/>
      <c r="I16" s="368">
        <f>[4]Brewhouse!$AU378</f>
        <v>99.915911049565807</v>
      </c>
      <c r="J16" s="368">
        <f>[4]Brewhouse!$AV378</f>
        <v>101.53649943450796</v>
      </c>
      <c r="K16" s="281">
        <f>[4]Brewhouse!$Q378</f>
        <v>5.5822550831793025</v>
      </c>
      <c r="L16" s="276">
        <f>[4]Brewhouse!$P378</f>
        <v>57</v>
      </c>
      <c r="M16" s="397">
        <f>[4]Brewhouse!$U378-[4]Brewhouse!$T378</f>
        <v>0.13819444444444451</v>
      </c>
      <c r="N16" s="370">
        <f>[4]Brewhouse!$Z378</f>
        <v>0.30833333333333346</v>
      </c>
      <c r="O16" s="420" t="str">
        <f>[4]Brewhouse!$AX378</f>
        <v>R. Sookram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485">
        <v>46145</v>
      </c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/>
      <c r="S17" s="472"/>
      <c r="T17" s="472"/>
      <c r="U17" s="297"/>
      <c r="V17" s="297"/>
      <c r="W17" s="297"/>
      <c r="X17" s="297"/>
      <c r="Y17" s="297"/>
      <c r="Z17" s="472"/>
    </row>
    <row r="18" spans="1:26" ht="15">
      <c r="B18" s="29" t="s">
        <v>6</v>
      </c>
      <c r="C18" s="366" t="str">
        <f>[4]Brewhouse!$A379</f>
        <v>CA334</v>
      </c>
      <c r="D18" s="279">
        <f>[4]Brewhouse!$AF379</f>
        <v>52.9</v>
      </c>
      <c r="E18" s="279">
        <f>[4]Brewhouse!$AI379</f>
        <v>51.1</v>
      </c>
      <c r="F18" s="278">
        <f>[4]Brewhouse!$V379</f>
        <v>71</v>
      </c>
      <c r="G18" s="279">
        <f>[4]Brewhouse!AG379</f>
        <v>11.6</v>
      </c>
      <c r="H18" s="396"/>
      <c r="I18" s="368">
        <f>[4]Brewhouse!$AU379</f>
        <v>100.09336436066228</v>
      </c>
      <c r="J18" s="368">
        <f>[4]Brewhouse!$AV379</f>
        <v>101.71683095360764</v>
      </c>
      <c r="K18" s="281">
        <f>[4]Brewhouse!$Q379</f>
        <v>3.5489833641404838</v>
      </c>
      <c r="L18" s="276">
        <f>[4]Brewhouse!$P379</f>
        <v>58</v>
      </c>
      <c r="M18" s="397">
        <f>[4]Brewhouse!$U379-[4]Brewhouse!$T379</f>
        <v>0.11458333333333326</v>
      </c>
      <c r="N18" s="370">
        <f>[4]Brewhouse!$Z379</f>
        <v>0.26944444444444438</v>
      </c>
      <c r="O18" s="420" t="str">
        <f>[4]Brewhouse!$AX379</f>
        <v>R. Sookram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34"/>
      <c r="C22" s="366"/>
      <c r="D22" s="279"/>
      <c r="E22" s="279"/>
      <c r="F22" s="278"/>
      <c r="G22" s="279"/>
      <c r="H22" s="396"/>
      <c r="I22" s="483"/>
      <c r="J22" s="483"/>
      <c r="K22" s="484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>
      <c r="B23" s="34"/>
      <c r="C23" s="366"/>
      <c r="D23" s="279"/>
      <c r="E23" s="279"/>
      <c r="F23" s="278"/>
      <c r="G23" s="279"/>
      <c r="H23" s="396"/>
      <c r="I23" s="483"/>
      <c r="J23" s="483"/>
      <c r="K23" s="484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>
      <c r="B24" s="34"/>
      <c r="C24" s="366"/>
      <c r="D24" s="279"/>
      <c r="E24" s="279"/>
      <c r="F24" s="278"/>
      <c r="G24" s="279"/>
      <c r="H24" s="396"/>
      <c r="I24" s="483"/>
      <c r="J24" s="483"/>
      <c r="K24" s="484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8" hidden="1" customHeight="1">
      <c r="B25" s="29"/>
      <c r="C25" s="366"/>
      <c r="D25" s="279"/>
      <c r="E25" s="279"/>
      <c r="F25" s="278"/>
      <c r="G25" s="279"/>
      <c r="H25" s="482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6.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25"/>
      <c r="J27" s="525"/>
      <c r="K27" s="525"/>
      <c r="L27" s="525"/>
      <c r="M27" s="525"/>
      <c r="N27" s="525"/>
      <c r="O27" s="1"/>
      <c r="P27" s="12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.75" customHeight="1" thickBot="1">
      <c r="B28" s="388" t="s">
        <v>162</v>
      </c>
      <c r="C28" s="388"/>
      <c r="D28" s="526" t="s">
        <v>35</v>
      </c>
      <c r="E28" s="527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" customHeight="1">
      <c r="A29" s="28"/>
      <c r="B29" s="528"/>
      <c r="C29" s="362"/>
      <c r="D29" s="531"/>
      <c r="E29" s="532"/>
      <c r="F29" s="294"/>
      <c r="G29" s="294"/>
      <c r="H29" s="348"/>
      <c r="I29" s="29" t="s">
        <v>6</v>
      </c>
      <c r="J29" s="323">
        <f>AVERAGE(I10:I18)</f>
        <v>99.41505727585988</v>
      </c>
      <c r="K29" s="284">
        <f>COUNTA([4]Brewhouse!$A$372:$A$379)</f>
        <v>8</v>
      </c>
      <c r="L29" s="305">
        <f>AVERAGE([4]Brewhouse!$AU$372:$AU$379)</f>
        <v>99.41505727585988</v>
      </c>
      <c r="M29" s="305">
        <f>AVERAGE([4]Brewhouse!$AU$42:$AU$123,[4]Brewhouse!$AU$125:$AU$188,[4]Brewhouse!$AU$198:$AU$290,[4]Brewhouse!$AU$292:$AU$370,[4]Brewhouse!$AU$372:$AU$379)</f>
        <v>98.039368390716234</v>
      </c>
      <c r="N29" s="30">
        <v>98</v>
      </c>
      <c r="O29" s="11"/>
      <c r="P29" s="31"/>
      <c r="R29" s="277">
        <f t="shared" ref="R29:R40" si="10">B29</f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" customHeight="1">
      <c r="A30" s="28"/>
      <c r="B30" s="529"/>
      <c r="C30" s="362"/>
      <c r="D30" s="533"/>
      <c r="E30" s="534"/>
      <c r="F30" s="294"/>
      <c r="G30" s="294"/>
      <c r="H30" s="348"/>
      <c r="I30" s="33" t="s">
        <v>9</v>
      </c>
      <c r="J30" s="280"/>
      <c r="K30" s="284"/>
      <c r="L30" s="302"/>
      <c r="M30" s="302">
        <f>AVERAGE([3]Brewhouse!$AS$52:$AS$81,[3]Brewhouse!$AS$83:$AS$124,[3]Brewhouse!$AS$134:$AS$177,[3]Brewhouse!$AS$22:$AS$179)</f>
        <v>97.946757744825319</v>
      </c>
      <c r="N30" s="30">
        <v>98</v>
      </c>
      <c r="O30" s="11"/>
      <c r="P30" s="31"/>
      <c r="R30" s="277">
        <f t="shared" si="1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9"/>
      <c r="C31" s="362"/>
      <c r="D31" s="535"/>
      <c r="E31" s="536"/>
      <c r="F31" s="294"/>
      <c r="G31" s="294"/>
      <c r="H31" s="348"/>
      <c r="I31" s="34" t="s">
        <v>12</v>
      </c>
      <c r="J31" s="280"/>
      <c r="K31" s="284"/>
      <c r="L31" s="302"/>
      <c r="M31" s="302">
        <f>AVERAGE([5]Brewhouse!$AU$16:$AU$23,[5]Brewhouse!$AU$25:$AU$32,[5]Brewhouse!$AU$34:$AU$41,[5]Brewhouse!$AU$43:$AU$55)</f>
        <v>96.793456653928644</v>
      </c>
      <c r="N31" s="30">
        <v>98</v>
      </c>
      <c r="O31" s="11"/>
      <c r="P31" s="31"/>
      <c r="R31" s="277">
        <f t="shared" si="1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9"/>
      <c r="C32" s="362"/>
      <c r="D32" s="537"/>
      <c r="E32" s="534"/>
      <c r="F32" s="294"/>
      <c r="G32" s="294"/>
      <c r="H32" s="348"/>
      <c r="I32" s="22" t="s">
        <v>33</v>
      </c>
      <c r="J32" s="280"/>
      <c r="K32" s="284"/>
      <c r="L32" s="302"/>
      <c r="M32" s="302">
        <f>AVERAGE([6]Brewhouse!$AV$23:$AV$34,[6]Brewhouse!$AV$36,[6]Brewhouse!$AV$38:$AV$52,[6]Brewhouse!$AV$54:$AV$60)</f>
        <v>97.437512946773296</v>
      </c>
      <c r="N32" s="30">
        <v>98</v>
      </c>
      <c r="O32" s="11"/>
      <c r="P32" s="31"/>
      <c r="R32" s="277">
        <f t="shared" si="1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9"/>
      <c r="C33" s="362"/>
      <c r="D33" s="535"/>
      <c r="E33" s="536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1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9"/>
      <c r="C34" s="362"/>
      <c r="D34" s="537"/>
      <c r="E34" s="534"/>
      <c r="F34" s="417"/>
      <c r="G34" s="294"/>
      <c r="H34" s="348"/>
      <c r="I34" s="36" t="s">
        <v>15</v>
      </c>
      <c r="J34" s="323"/>
      <c r="K34" s="284"/>
      <c r="L34" s="302"/>
      <c r="M34" s="302">
        <f>AVERAGE([7]Brewhouse!$AT$4:$AT$11)</f>
        <v>92.826224508052405</v>
      </c>
      <c r="N34" s="30">
        <v>98</v>
      </c>
      <c r="O34" s="11"/>
      <c r="P34" s="31"/>
      <c r="R34" s="277">
        <f t="shared" si="1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29"/>
      <c r="C35" s="362"/>
      <c r="D35" s="535"/>
      <c r="E35" s="536"/>
      <c r="F35" s="417"/>
      <c r="G35" s="294"/>
      <c r="H35" s="348"/>
      <c r="I35" s="37" t="s">
        <v>16</v>
      </c>
      <c r="J35" s="323"/>
      <c r="K35" s="284"/>
      <c r="L35" s="302"/>
      <c r="M35" s="302">
        <f>AVERAGE([8]Brewhouse!$AY$5:$AY$14,[8]Brewhouse!$AY$16:$AY$23,[8]Brewhouse!$AY$42,[8]Brewhouse!$AY$44:$AY$51)</f>
        <v>97.608428475776392</v>
      </c>
      <c r="N35" s="30">
        <v>98</v>
      </c>
      <c r="O35" s="11"/>
      <c r="P35" s="31" t="s">
        <v>41</v>
      </c>
      <c r="R35" s="277">
        <f t="shared" si="1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65" customHeight="1">
      <c r="A36" s="28"/>
      <c r="B36" s="529"/>
      <c r="C36" s="362"/>
      <c r="D36" s="537"/>
      <c r="E36" s="534"/>
      <c r="F36" s="294"/>
      <c r="G36" s="294"/>
      <c r="H36" s="348"/>
      <c r="I36" s="411" t="s">
        <v>158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1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56" ht="14.65" customHeight="1">
      <c r="A37" s="28"/>
      <c r="B37" s="529"/>
      <c r="C37" s="349"/>
      <c r="D37" s="535"/>
      <c r="E37" s="536"/>
      <c r="F37" s="294"/>
      <c r="G37" s="294"/>
      <c r="H37" s="348"/>
      <c r="I37" s="410" t="s">
        <v>157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1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29"/>
      <c r="C38" s="349"/>
      <c r="D38" s="537"/>
      <c r="E38" s="534"/>
      <c r="F38" s="294"/>
      <c r="G38" s="294"/>
      <c r="H38" s="348"/>
      <c r="I38" s="406" t="s">
        <v>156</v>
      </c>
      <c r="J38" s="327"/>
      <c r="K38" s="407"/>
      <c r="L38" s="408"/>
      <c r="M38" s="408"/>
      <c r="N38" s="409">
        <v>98</v>
      </c>
      <c r="O38" s="11"/>
      <c r="P38" s="31"/>
      <c r="R38" s="277">
        <f t="shared" si="1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29"/>
      <c r="C39" s="349"/>
      <c r="D39" s="531"/>
      <c r="E39" s="532"/>
      <c r="F39" s="294"/>
      <c r="G39" s="294"/>
      <c r="H39" s="348"/>
      <c r="I39" s="1"/>
      <c r="J39" s="39"/>
      <c r="K39" s="404">
        <f>SUM(K29:K38)</f>
        <v>8</v>
      </c>
      <c r="L39" s="405">
        <f>((L29*K29)+(L30*K30)+(L31*K31)+(L32*K32)+(L33*K33)+(K36*L36)+(L34*K34)+(L35*K35)+(L38*K38))/(K39)</f>
        <v>99.41505727585988</v>
      </c>
      <c r="M39" s="405">
        <f>AVERAGE('[9]Jan30th-31st'!$L$42,L39)</f>
        <v>98.62154950585068</v>
      </c>
      <c r="N39" s="40">
        <v>98</v>
      </c>
      <c r="O39" s="11"/>
      <c r="P39" s="31"/>
      <c r="R39" s="277">
        <f t="shared" si="1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.75" thickBot="1">
      <c r="B40" s="530"/>
      <c r="C40" s="350"/>
      <c r="D40" s="533"/>
      <c r="E40" s="534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1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.75" thickBot="1">
      <c r="B41" s="528"/>
      <c r="C41" s="362"/>
      <c r="D41" s="539"/>
      <c r="E41" s="540"/>
      <c r="F41" s="294"/>
      <c r="G41" s="42"/>
      <c r="H41" s="41"/>
      <c r="I41" s="42"/>
      <c r="J41" s="541" t="s">
        <v>129</v>
      </c>
      <c r="K41" s="541"/>
      <c r="L41" s="294"/>
      <c r="M41" s="294"/>
      <c r="N41" s="294"/>
      <c r="O41" s="294"/>
      <c r="P41" s="12"/>
    </row>
    <row r="42" spans="1:56" ht="30.75" thickBot="1">
      <c r="B42" s="529"/>
      <c r="C42" s="362"/>
      <c r="D42" s="537"/>
      <c r="E42" s="534"/>
      <c r="F42" s="294"/>
      <c r="G42" s="42"/>
      <c r="H42" s="42"/>
      <c r="I42" s="292" t="s">
        <v>17</v>
      </c>
      <c r="J42" s="293" t="s">
        <v>172</v>
      </c>
      <c r="K42" s="293" t="s">
        <v>185</v>
      </c>
      <c r="L42" s="542" t="s">
        <v>136</v>
      </c>
      <c r="M42" s="542"/>
      <c r="N42" s="543"/>
      <c r="O42" s="294"/>
      <c r="P42" s="12"/>
    </row>
    <row r="43" spans="1:56" ht="15" customHeight="1" thickBot="1">
      <c r="B43" s="529"/>
      <c r="C43" s="349"/>
      <c r="D43" s="535"/>
      <c r="E43" s="536"/>
      <c r="F43" s="294"/>
      <c r="G43" s="42"/>
      <c r="H43" s="42"/>
      <c r="I43" s="287" t="s">
        <v>6</v>
      </c>
      <c r="J43" s="324">
        <v>7</v>
      </c>
      <c r="K43" s="324">
        <v>1</v>
      </c>
      <c r="L43" s="473" t="s">
        <v>37</v>
      </c>
      <c r="M43" s="474" t="s">
        <v>38</v>
      </c>
      <c r="N43" s="474" t="s">
        <v>84</v>
      </c>
      <c r="O43" s="294"/>
      <c r="P43" s="12"/>
    </row>
    <row r="44" spans="1:56" ht="15.75" customHeight="1" thickBot="1">
      <c r="B44" s="529"/>
      <c r="C44" s="349"/>
      <c r="D44" s="537"/>
      <c r="E44" s="534"/>
      <c r="F44" s="294"/>
      <c r="G44" s="42"/>
      <c r="H44" s="42"/>
      <c r="I44" s="345" t="s">
        <v>9</v>
      </c>
      <c r="J44" s="324"/>
      <c r="K44" s="324"/>
      <c r="L44" s="344">
        <f>AVERAGE(K53,J53)</f>
        <v>4</v>
      </c>
      <c r="M44" s="325">
        <f>AVERAGE('[9]Jan30th-31st'!$L$47,L44,'[10]Feb 26th '!$L$39,'[11]Mar 31st'!$L$47,'[12]Apr 30th'!$L$46)</f>
        <v>6.0073913043478253</v>
      </c>
      <c r="N44" s="416">
        <v>9.1999999999999993</v>
      </c>
      <c r="O44" s="294"/>
      <c r="P44" s="12"/>
    </row>
    <row r="45" spans="1:56" ht="15" customHeight="1">
      <c r="B45" s="529"/>
      <c r="C45" s="349"/>
      <c r="D45" s="535"/>
      <c r="E45" s="536"/>
      <c r="F45" s="294"/>
      <c r="G45" s="42"/>
      <c r="H45" s="42"/>
      <c r="I45" s="288" t="s">
        <v>40</v>
      </c>
      <c r="J45" s="324"/>
      <c r="K45" s="324"/>
      <c r="L45" s="294"/>
      <c r="M45" s="294"/>
      <c r="N45" s="294"/>
      <c r="O45" s="294"/>
      <c r="P45" s="12"/>
    </row>
    <row r="46" spans="1:56" ht="15" customHeight="1">
      <c r="B46" s="529"/>
      <c r="C46" s="349"/>
      <c r="D46" s="537"/>
      <c r="E46" s="534"/>
      <c r="F46" s="294"/>
      <c r="G46" s="42"/>
      <c r="H46" s="42"/>
      <c r="I46" s="289" t="s">
        <v>33</v>
      </c>
      <c r="J46" s="324"/>
      <c r="K46" s="324"/>
      <c r="L46" s="294"/>
      <c r="M46" s="294"/>
      <c r="N46" s="294"/>
      <c r="O46" s="294"/>
      <c r="P46" s="12"/>
    </row>
    <row r="47" spans="1:56" ht="15">
      <c r="B47" s="529"/>
      <c r="C47" s="349"/>
      <c r="D47" s="535"/>
      <c r="E47" s="536"/>
      <c r="F47" s="294"/>
      <c r="G47" s="42"/>
      <c r="H47" s="42"/>
      <c r="I47" s="290" t="s">
        <v>16</v>
      </c>
      <c r="J47" s="324"/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9"/>
      <c r="C48" s="349"/>
      <c r="D48" s="537"/>
      <c r="E48" s="534"/>
      <c r="F48" s="294"/>
      <c r="G48" s="42"/>
      <c r="H48" s="42"/>
      <c r="I48" s="291" t="s">
        <v>15</v>
      </c>
      <c r="J48" s="324"/>
      <c r="K48" s="324"/>
      <c r="L48" s="294"/>
      <c r="M48" s="294"/>
      <c r="N48" s="294"/>
      <c r="O48" s="294"/>
      <c r="P48" s="12"/>
      <c r="BC48" s="44"/>
      <c r="BD48" s="44"/>
    </row>
    <row r="49" spans="1:57" ht="15">
      <c r="B49" s="529"/>
      <c r="C49" s="349"/>
      <c r="D49" s="535"/>
      <c r="E49" s="536"/>
      <c r="F49" s="294"/>
      <c r="G49" s="42"/>
      <c r="H49" s="42"/>
      <c r="I49" s="291" t="s">
        <v>149</v>
      </c>
      <c r="J49" s="324"/>
      <c r="K49" s="324"/>
      <c r="L49" s="294"/>
      <c r="M49" s="294"/>
      <c r="N49" s="294"/>
      <c r="O49" s="294"/>
      <c r="P49" s="12"/>
      <c r="BC49" s="44"/>
      <c r="BD49" s="44"/>
    </row>
    <row r="50" spans="1:57" ht="15.75" thickBot="1">
      <c r="B50" s="538"/>
      <c r="C50" s="350"/>
      <c r="D50" s="544"/>
      <c r="E50" s="545"/>
      <c r="F50" s="294" t="s">
        <v>166</v>
      </c>
      <c r="G50" s="42"/>
      <c r="H50" s="42"/>
      <c r="I50" s="291" t="s">
        <v>148</v>
      </c>
      <c r="J50" s="324"/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1:57" ht="17.649999999999999" customHeight="1" thickBot="1">
      <c r="B51" s="312" t="s">
        <v>139</v>
      </c>
      <c r="C51" s="313"/>
      <c r="D51" s="546"/>
      <c r="E51" s="547"/>
      <c r="F51" s="294"/>
      <c r="I51" s="295" t="s">
        <v>134</v>
      </c>
      <c r="J51" s="324"/>
      <c r="K51" s="324"/>
      <c r="L51" s="294"/>
      <c r="M51" s="294"/>
      <c r="N51" s="294"/>
      <c r="O51" s="294"/>
      <c r="P51" s="12"/>
      <c r="BC51" s="44"/>
      <c r="BD51" s="44"/>
    </row>
    <row r="52" spans="1:57" ht="17.649999999999999" customHeight="1">
      <c r="B52" s="363"/>
      <c r="C52" s="364"/>
      <c r="D52" s="365"/>
      <c r="E52" s="365"/>
      <c r="F52" s="294"/>
      <c r="G52" s="42"/>
      <c r="H52" s="42"/>
      <c r="I52" s="295" t="s">
        <v>131</v>
      </c>
      <c r="J52" s="324"/>
      <c r="K52" s="324"/>
      <c r="L52" s="294"/>
      <c r="M52" s="294"/>
      <c r="N52" s="294"/>
      <c r="O52" s="294"/>
      <c r="P52" s="12"/>
      <c r="BC52" s="44"/>
      <c r="BD52" s="44"/>
    </row>
    <row r="53" spans="1:57" ht="15.6" customHeight="1">
      <c r="B53" s="45"/>
      <c r="C53" s="11"/>
      <c r="D53" s="11"/>
      <c r="E53" s="46"/>
      <c r="F53" s="294"/>
      <c r="G53" s="42"/>
      <c r="H53" s="42"/>
      <c r="I53" s="346" t="s">
        <v>130</v>
      </c>
      <c r="J53" s="324">
        <f>SUM(J43:J52)</f>
        <v>7</v>
      </c>
      <c r="K53" s="324">
        <f>SUM(K43:K52)</f>
        <v>1</v>
      </c>
      <c r="L53" s="294"/>
      <c r="M53" s="294"/>
      <c r="N53" s="294"/>
      <c r="O53" s="294"/>
      <c r="P53" s="12"/>
    </row>
    <row r="54" spans="1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1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1:57" ht="15" customHeight="1" thickBot="1">
      <c r="B56" s="548" t="s">
        <v>17</v>
      </c>
      <c r="C56" s="548" t="s">
        <v>44</v>
      </c>
      <c r="D56" s="551" t="s">
        <v>45</v>
      </c>
      <c r="E56" s="516" t="s">
        <v>46</v>
      </c>
      <c r="F56" s="565" t="s">
        <v>47</v>
      </c>
      <c r="G56" s="560" t="s">
        <v>48</v>
      </c>
      <c r="H56" s="548" t="s">
        <v>49</v>
      </c>
      <c r="I56" s="548" t="s">
        <v>50</v>
      </c>
      <c r="J56" s="554" t="s">
        <v>28</v>
      </c>
      <c r="K56" s="514" t="s">
        <v>51</v>
      </c>
      <c r="L56" s="563" t="s">
        <v>52</v>
      </c>
      <c r="M56" s="554" t="s">
        <v>53</v>
      </c>
      <c r="N56" s="13"/>
      <c r="O56" s="13"/>
      <c r="P56" s="50"/>
    </row>
    <row r="57" spans="1:57" ht="28.5" customHeight="1" thickTop="1" thickBot="1">
      <c r="B57" s="549"/>
      <c r="C57" s="550"/>
      <c r="D57" s="552"/>
      <c r="E57" s="553"/>
      <c r="F57" s="566"/>
      <c r="G57" s="561"/>
      <c r="H57" s="549"/>
      <c r="I57" s="549"/>
      <c r="J57" s="555"/>
      <c r="K57" s="562"/>
      <c r="L57" s="564"/>
      <c r="M57" s="555"/>
      <c r="N57" s="13"/>
      <c r="O57" s="13"/>
      <c r="P57" s="50"/>
      <c r="Q57" s="355"/>
      <c r="AB57" s="475">
        <v>43474</v>
      </c>
      <c r="AC57" s="475">
        <v>43475</v>
      </c>
      <c r="AD57" s="475">
        <v>43476</v>
      </c>
      <c r="AE57" s="475">
        <v>43477</v>
      </c>
      <c r="AF57" s="475">
        <v>43478</v>
      </c>
      <c r="AG57" s="475">
        <v>43479</v>
      </c>
      <c r="AH57" s="475">
        <v>43480</v>
      </c>
      <c r="AI57" s="475">
        <v>43481</v>
      </c>
      <c r="AJ57" s="475">
        <v>43482</v>
      </c>
      <c r="AK57" s="475">
        <v>43483</v>
      </c>
      <c r="AL57" s="475">
        <v>43484</v>
      </c>
      <c r="AM57" s="475">
        <v>43485</v>
      </c>
      <c r="AN57" s="475">
        <v>43486</v>
      </c>
      <c r="AO57" s="475">
        <v>43487</v>
      </c>
      <c r="AP57" s="475">
        <v>43488</v>
      </c>
      <c r="AQ57" s="475">
        <v>43489</v>
      </c>
      <c r="AR57" s="475">
        <v>43490</v>
      </c>
      <c r="AS57" s="475">
        <v>43491</v>
      </c>
      <c r="AT57" s="475">
        <v>43492</v>
      </c>
      <c r="AU57" s="475">
        <v>43493</v>
      </c>
      <c r="AV57" s="475">
        <v>43494</v>
      </c>
      <c r="AW57" s="475">
        <v>43495</v>
      </c>
      <c r="AX57" s="475">
        <v>43496</v>
      </c>
    </row>
    <row r="58" spans="1:57" s="54" customFormat="1" ht="36.75" customHeight="1" thickBot="1">
      <c r="B58" s="481" t="str">
        <f>I32</f>
        <v>VITAMALT</v>
      </c>
      <c r="C58" s="479">
        <v>46144</v>
      </c>
      <c r="D58" s="442">
        <f>[32]May_2026!$E$65</f>
        <v>296.8</v>
      </c>
      <c r="E58" s="443">
        <f>SUM([33]VITAMALT!$J$6:$J$9,[33]VITAMALT!$J$11)</f>
        <v>12.299999999999999</v>
      </c>
      <c r="F58" s="444"/>
      <c r="G58" s="445">
        <f>[32]May_2026!$E$70</f>
        <v>294.5</v>
      </c>
      <c r="H58" s="458"/>
      <c r="I58" s="458"/>
      <c r="J58" s="448" t="s">
        <v>173</v>
      </c>
      <c r="K58" s="449">
        <f>[34]May_2026!$E$60</f>
        <v>1.0333333333333334</v>
      </c>
      <c r="L58" s="457">
        <f>(((D58+E58)-G58)/(D58+E58))*100</f>
        <v>4.7233904885150508</v>
      </c>
      <c r="M58" s="455" t="s">
        <v>174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[13]January_2019!L5</f>
        <v>0</v>
      </c>
      <c r="AC58" s="57">
        <f>[13]January_2019!M5</f>
        <v>0</v>
      </c>
      <c r="AD58" s="57">
        <f>[13]January_2019!N5</f>
        <v>0</v>
      </c>
      <c r="AE58" s="57">
        <f>[13]January_2019!O5</f>
        <v>0</v>
      </c>
      <c r="AF58" s="57">
        <f>[13]January_2019!P5</f>
        <v>0</v>
      </c>
      <c r="AG58" s="57">
        <f>[13]January_2019!Q5</f>
        <v>0</v>
      </c>
      <c r="AH58" s="57">
        <f>[13]January_2019!R5</f>
        <v>0</v>
      </c>
      <c r="AI58" s="57">
        <f>[13]January_2019!S5</f>
        <v>0</v>
      </c>
      <c r="AJ58" s="57">
        <f>[13]January_2019!T5</f>
        <v>0</v>
      </c>
      <c r="AK58" s="57">
        <f>[13]January_2019!U5</f>
        <v>0</v>
      </c>
      <c r="AL58" s="57">
        <f>[13]January_2019!V5</f>
        <v>0</v>
      </c>
      <c r="AM58" s="57">
        <f>[13]January_2019!W5</f>
        <v>0</v>
      </c>
      <c r="AN58" s="57">
        <f>[13]January_2019!X5</f>
        <v>0</v>
      </c>
      <c r="AO58" s="57">
        <f>[13]January_2019!Y5</f>
        <v>0</v>
      </c>
      <c r="AP58" s="57">
        <f>[13]January_2019!Z5</f>
        <v>0</v>
      </c>
      <c r="AQ58" s="57">
        <f>[13]January_2019!AA5</f>
        <v>0</v>
      </c>
      <c r="AR58" s="57">
        <f>[13]January_2019!AB5</f>
        <v>0</v>
      </c>
      <c r="AS58" s="57">
        <f>[13]January_2019!AC5</f>
        <v>0</v>
      </c>
      <c r="AT58" s="57">
        <f>[13]January_2019!AD5</f>
        <v>0</v>
      </c>
      <c r="AU58" s="57">
        <f>[13]January_2019!AE5</f>
        <v>0</v>
      </c>
      <c r="AV58" s="57">
        <f>[13]January_2019!AF5</f>
        <v>0</v>
      </c>
      <c r="AW58" s="57">
        <f>[13]January_2019!AG5</f>
        <v>0</v>
      </c>
      <c r="AX58" s="277">
        <f>[13]January_2019!AH5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4.25" customHeight="1" thickBot="1">
      <c r="B59" s="480"/>
      <c r="C59" s="479"/>
      <c r="D59" s="442"/>
      <c r="E59" s="443"/>
      <c r="F59" s="444"/>
      <c r="G59" s="445"/>
      <c r="H59" s="458"/>
      <c r="I59" s="458"/>
      <c r="J59" s="476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[13]January_2019!L6</f>
        <v>0</v>
      </c>
      <c r="AC59" s="57">
        <f>[13]January_2019!M6</f>
        <v>0</v>
      </c>
      <c r="AD59" s="57">
        <f>[13]January_2019!N6</f>
        <v>0</v>
      </c>
      <c r="AE59" s="57">
        <f>[13]January_2019!O6</f>
        <v>0</v>
      </c>
      <c r="AF59" s="57">
        <f>[13]January_2019!P6</f>
        <v>0</v>
      </c>
      <c r="AG59" s="57">
        <f>[13]January_2019!Q6</f>
        <v>0</v>
      </c>
      <c r="AH59" s="57">
        <f>[13]January_2019!R6</f>
        <v>0</v>
      </c>
      <c r="AI59" s="57">
        <f>[13]January_2019!S6</f>
        <v>0</v>
      </c>
      <c r="AJ59" s="57">
        <f>[13]January_2019!T6</f>
        <v>0</v>
      </c>
      <c r="AK59" s="57">
        <f>[13]January_2019!U6</f>
        <v>0</v>
      </c>
      <c r="AL59" s="57">
        <f>[13]January_2019!V6</f>
        <v>0</v>
      </c>
      <c r="AM59" s="57">
        <f>[13]January_2019!W6</f>
        <v>0</v>
      </c>
      <c r="AN59" s="57">
        <f>[13]January_2019!X6</f>
        <v>0</v>
      </c>
      <c r="AO59" s="57">
        <f>[13]January_2019!Y6</f>
        <v>0</v>
      </c>
      <c r="AP59" s="57">
        <f>[13]January_2019!Z6</f>
        <v>0</v>
      </c>
      <c r="AQ59" s="57">
        <f>[13]January_2019!AA6</f>
        <v>0</v>
      </c>
      <c r="AR59" s="57">
        <f>[13]January_2019!AB6</f>
        <v>0</v>
      </c>
      <c r="AS59" s="57">
        <f>[13]January_2019!AC6</f>
        <v>0</v>
      </c>
      <c r="AT59" s="57">
        <f>[13]January_2019!AD6</f>
        <v>0</v>
      </c>
      <c r="AU59" s="57">
        <f>[13]January_2019!AE6</f>
        <v>0</v>
      </c>
      <c r="AV59" s="57">
        <f>[13]January_2019!AF6</f>
        <v>0</v>
      </c>
      <c r="AW59" s="57">
        <f>[13]January_2019!AG6</f>
        <v>0</v>
      </c>
      <c r="AX59" s="277">
        <f>[13]January_2019!AH6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A60" s="54" t="s">
        <v>168</v>
      </c>
      <c r="B60" s="480"/>
      <c r="C60" s="479"/>
      <c r="D60" s="442"/>
      <c r="E60" s="443"/>
      <c r="F60" s="444"/>
      <c r="G60" s="445"/>
      <c r="H60" s="458"/>
      <c r="I60" s="458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[13]January_2019!L7</f>
        <v>285.8</v>
      </c>
      <c r="AC60" s="57">
        <f>[13]January_2019!M7</f>
        <v>508.1</v>
      </c>
      <c r="AD60" s="57">
        <f>[13]January_2019!N7</f>
        <v>0</v>
      </c>
      <c r="AE60" s="57">
        <f>[13]January_2019!O7</f>
        <v>0</v>
      </c>
      <c r="AF60" s="57">
        <f>[13]January_2019!P7</f>
        <v>109.56666666666666</v>
      </c>
      <c r="AG60" s="57">
        <f>[13]January_2019!Q7</f>
        <v>297.64999999999998</v>
      </c>
      <c r="AH60" s="57">
        <f>[13]January_2019!R7</f>
        <v>122.3</v>
      </c>
      <c r="AI60" s="57">
        <f>[13]January_2019!S7</f>
        <v>0</v>
      </c>
      <c r="AJ60" s="57">
        <f>[13]January_2019!T7</f>
        <v>294.7</v>
      </c>
      <c r="AK60" s="57">
        <f>[13]January_2019!U7</f>
        <v>280.5</v>
      </c>
      <c r="AL60" s="57">
        <f>[13]January_2019!V7</f>
        <v>0</v>
      </c>
      <c r="AM60" s="57">
        <f>[13]January_2019!W7</f>
        <v>0</v>
      </c>
      <c r="AN60" s="57">
        <f>[13]January_2019!X7</f>
        <v>188.25</v>
      </c>
      <c r="AO60" s="57">
        <f>[13]January_2019!Y7</f>
        <v>295.7</v>
      </c>
      <c r="AP60" s="57">
        <f>[13]January_2019!Z7</f>
        <v>257.8</v>
      </c>
      <c r="AQ60" s="57">
        <f>[13]January_2019!AA7</f>
        <v>291.2</v>
      </c>
      <c r="AR60" s="57">
        <f>[13]January_2019!AB7</f>
        <v>187</v>
      </c>
      <c r="AS60" s="57">
        <f>[13]January_2019!AC7</f>
        <v>0</v>
      </c>
      <c r="AT60" s="57">
        <f>[13]January_2019!AD7</f>
        <v>0</v>
      </c>
      <c r="AU60" s="57">
        <f>[13]January_2019!AE7</f>
        <v>485.1</v>
      </c>
      <c r="AV60" s="57">
        <f>[13]January_2019!AF7</f>
        <v>171.55</v>
      </c>
      <c r="AW60" s="57">
        <f>[13]January_2019!AG7</f>
        <v>423.8</v>
      </c>
      <c r="AX60" s="277">
        <f>[13]January_2019!AH7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19.5" hidden="1" customHeight="1" thickBot="1">
      <c r="B61" s="478"/>
      <c r="C61" s="430"/>
      <c r="D61" s="431"/>
      <c r="E61" s="432"/>
      <c r="F61" s="433"/>
      <c r="G61" s="434"/>
      <c r="H61" s="458"/>
      <c r="I61" s="458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8.450000000000003" hidden="1" customHeight="1" thickBot="1">
      <c r="B62" s="480"/>
      <c r="C62" s="479"/>
      <c r="D62" s="442"/>
      <c r="E62" s="443"/>
      <c r="F62" s="444"/>
      <c r="G62" s="445"/>
      <c r="H62" s="458"/>
      <c r="I62" s="458"/>
      <c r="J62" s="448" t="s">
        <v>171</v>
      </c>
      <c r="K62" s="459"/>
      <c r="L62" s="457" t="e">
        <f>(((D62+E62)-G62)/(D62+E62))*100</f>
        <v>#DIV/0!</v>
      </c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5" hidden="1">
      <c r="B63" s="453"/>
      <c r="C63" s="430"/>
      <c r="D63" s="431"/>
      <c r="E63" s="432"/>
      <c r="F63" s="433"/>
      <c r="G63" s="434"/>
      <c r="H63" s="435"/>
      <c r="I63" s="450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hidden="1" customHeight="1" thickBot="1">
      <c r="B64" s="480"/>
      <c r="C64" s="479"/>
      <c r="D64" s="442"/>
      <c r="E64" s="443"/>
      <c r="F64" s="444"/>
      <c r="G64" s="445"/>
      <c r="H64" s="446"/>
      <c r="I64" s="447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6.5" hidden="1" customHeight="1" thickBot="1">
      <c r="B65" s="437"/>
      <c r="C65" s="423"/>
      <c r="D65" s="424"/>
      <c r="E65" s="425"/>
      <c r="F65" s="426"/>
      <c r="G65" s="427"/>
      <c r="H65" s="428"/>
      <c r="I65" s="438"/>
      <c r="J65" s="439"/>
      <c r="K65" s="429"/>
      <c r="L65" s="440"/>
      <c r="M65" s="422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5"/>
      <c r="AC65" s="415"/>
      <c r="AD65" s="415"/>
      <c r="AE65" s="415"/>
      <c r="AF65" s="415"/>
      <c r="AG65" s="415"/>
      <c r="AH65" s="415"/>
      <c r="AI65" s="415"/>
      <c r="AJ65" s="415"/>
      <c r="AK65" s="415"/>
      <c r="AL65" s="415"/>
      <c r="AM65" s="415"/>
      <c r="AN65" s="415"/>
      <c r="AO65" s="415"/>
      <c r="AP65" s="415"/>
      <c r="AQ65" s="415"/>
      <c r="AR65" s="415"/>
      <c r="AS65" s="415"/>
      <c r="AT65" s="415"/>
      <c r="AU65" s="415"/>
      <c r="AV65" s="415"/>
      <c r="AW65" s="415"/>
    </row>
    <row r="66" spans="2:57" s="54" customFormat="1" ht="37.15" hidden="1" customHeight="1" thickBot="1">
      <c r="B66" s="456"/>
      <c r="C66" s="441"/>
      <c r="D66" s="442"/>
      <c r="E66" s="443"/>
      <c r="F66" s="444"/>
      <c r="G66" s="445"/>
      <c r="H66" s="446"/>
      <c r="I66" s="447"/>
      <c r="J66" s="448"/>
      <c r="K66" s="449"/>
      <c r="L66" s="457"/>
      <c r="M66" s="45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customHeight="1">
      <c r="B67" s="466"/>
      <c r="C67" s="430"/>
      <c r="D67" s="460"/>
      <c r="E67" s="461"/>
      <c r="F67" s="462"/>
      <c r="G67" s="460"/>
      <c r="H67" s="463"/>
      <c r="I67" s="463"/>
      <c r="J67" s="463"/>
      <c r="K67" s="464"/>
      <c r="L67" s="465"/>
      <c r="M67" s="5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 t="s">
        <v>41</v>
      </c>
      <c r="O68" s="56"/>
      <c r="P68" s="60"/>
    </row>
    <row r="69" spans="2:57" ht="15.75" thickBot="1">
      <c r="B69" s="556" t="s">
        <v>55</v>
      </c>
      <c r="C69" s="557"/>
      <c r="D69" s="557"/>
      <c r="E69" s="557"/>
      <c r="F69" s="558"/>
      <c r="G69" s="556" t="s">
        <v>56</v>
      </c>
      <c r="H69" s="557"/>
      <c r="I69" s="557"/>
      <c r="J69" s="558"/>
      <c r="K69" s="556" t="s">
        <v>51</v>
      </c>
      <c r="L69" s="557"/>
      <c r="M69" s="557"/>
      <c r="N69" s="559"/>
      <c r="O69" s="56"/>
      <c r="P69" s="50"/>
    </row>
    <row r="70" spans="2:57" ht="15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/>
      <c r="L70" s="62" t="s">
        <v>37</v>
      </c>
      <c r="M70" s="62" t="s">
        <v>38</v>
      </c>
      <c r="N70" s="63" t="s">
        <v>39</v>
      </c>
      <c r="O70" s="56"/>
      <c r="P70" s="64"/>
    </row>
    <row r="71" spans="2:57" ht="15">
      <c r="B71" s="29" t="s">
        <v>6</v>
      </c>
      <c r="C71" s="282"/>
      <c r="D71" s="76"/>
      <c r="E71" s="76">
        <v>6.8559119177728363</v>
      </c>
      <c r="F71" s="66">
        <v>4.8</v>
      </c>
      <c r="G71" s="65"/>
      <c r="H71" s="477"/>
      <c r="I71" s="477">
        <v>6.4485548463211986</v>
      </c>
      <c r="J71" s="66">
        <v>4.8</v>
      </c>
      <c r="K71" s="67"/>
      <c r="L71" s="194"/>
      <c r="M71" s="194">
        <v>0.47702789960432723</v>
      </c>
      <c r="N71" s="68">
        <v>1</v>
      </c>
      <c r="O71" s="56"/>
      <c r="P71" s="69"/>
    </row>
    <row r="72" spans="2:57" ht="15">
      <c r="B72" s="33" t="s">
        <v>9</v>
      </c>
      <c r="C72" s="65"/>
      <c r="D72" s="76"/>
      <c r="E72" s="76">
        <v>6.3411334413966323</v>
      </c>
      <c r="F72" s="66">
        <v>4.8</v>
      </c>
      <c r="G72" s="65"/>
      <c r="H72" s="76"/>
      <c r="I72" s="76">
        <v>5.6038747647231943</v>
      </c>
      <c r="J72" s="66">
        <v>4.8</v>
      </c>
      <c r="K72" s="67"/>
      <c r="L72" s="194"/>
      <c r="M72" s="194">
        <v>0.72493688613389806</v>
      </c>
      <c r="N72" s="68">
        <v>1</v>
      </c>
      <c r="P72" s="69"/>
    </row>
    <row r="73" spans="2:57" ht="15">
      <c r="B73" s="34" t="s">
        <v>40</v>
      </c>
      <c r="C73" s="65"/>
      <c r="D73" s="76"/>
      <c r="E73" s="76">
        <v>12.380135651360392</v>
      </c>
      <c r="F73" s="66">
        <v>5.5</v>
      </c>
      <c r="G73" s="65"/>
      <c r="H73" s="76"/>
      <c r="I73" s="76">
        <v>13.201587402597006</v>
      </c>
      <c r="J73" s="66">
        <v>5.5</v>
      </c>
      <c r="K73" s="67"/>
      <c r="L73" s="194"/>
      <c r="M73" s="194">
        <v>0.27273830409356731</v>
      </c>
      <c r="N73" s="68">
        <v>1</v>
      </c>
      <c r="P73" s="69"/>
    </row>
    <row r="74" spans="2:57" ht="15">
      <c r="B74" s="22" t="s">
        <v>33</v>
      </c>
      <c r="C74" s="65">
        <f>L58</f>
        <v>4.7233904885150508</v>
      </c>
      <c r="D74" s="76">
        <v>4.78</v>
      </c>
      <c r="E74" s="76">
        <v>4.3540706469594381</v>
      </c>
      <c r="F74" s="66">
        <v>3.3</v>
      </c>
      <c r="G74" s="65">
        <f>[32]May_2026!$E$74</f>
        <v>4.3391036476163682</v>
      </c>
      <c r="H74" s="76">
        <v>4.3899999999999997</v>
      </c>
      <c r="I74" s="76">
        <v>4.0978233713032033</v>
      </c>
      <c r="J74" s="66">
        <v>3.3</v>
      </c>
      <c r="K74" s="67">
        <f>K58</f>
        <v>1.0333333333333334</v>
      </c>
      <c r="L74" s="194">
        <v>1.0333333333333334</v>
      </c>
      <c r="M74" s="194">
        <v>0.87007017543859644</v>
      </c>
      <c r="N74" s="68">
        <v>1</v>
      </c>
      <c r="P74" s="69"/>
    </row>
    <row r="75" spans="2:57" ht="15">
      <c r="B75" s="35" t="s">
        <v>164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K75" s="67"/>
      <c r="L75" s="194"/>
      <c r="M75" s="194"/>
      <c r="N75" s="68">
        <v>1</v>
      </c>
      <c r="P75" s="69"/>
    </row>
    <row r="76" spans="2:57" ht="15">
      <c r="B76" s="36" t="s">
        <v>15</v>
      </c>
      <c r="C76" s="65"/>
      <c r="D76" s="76"/>
      <c r="E76" s="76">
        <v>5.1105651105651271</v>
      </c>
      <c r="F76" s="70">
        <f>[31]May_2022!$M$43</f>
        <v>3.4878406700073312</v>
      </c>
      <c r="G76" s="282"/>
      <c r="H76" s="76"/>
      <c r="I76" s="76">
        <v>7.9131369535794072</v>
      </c>
      <c r="J76" s="66">
        <v>5.5</v>
      </c>
      <c r="K76" s="67"/>
      <c r="L76" s="194"/>
      <c r="M76" s="194">
        <v>1.3550877192982456</v>
      </c>
      <c r="N76" s="68">
        <v>1</v>
      </c>
      <c r="P76" s="69"/>
    </row>
    <row r="77" spans="2:57" ht="15">
      <c r="B77" s="37" t="s">
        <v>16</v>
      </c>
      <c r="C77" s="65"/>
      <c r="D77" s="76"/>
      <c r="E77" s="76">
        <v>3.9654240950837312</v>
      </c>
      <c r="F77" s="66">
        <v>3.3</v>
      </c>
      <c r="G77" s="282"/>
      <c r="H77" s="76"/>
      <c r="I77" s="76">
        <v>4.8236555171494695</v>
      </c>
      <c r="J77" s="66">
        <v>3.3</v>
      </c>
      <c r="K77" s="67"/>
      <c r="L77" s="194"/>
      <c r="M77" s="194">
        <v>0.89457115009746591</v>
      </c>
      <c r="N77" s="71">
        <v>1</v>
      </c>
      <c r="P77" s="69"/>
    </row>
    <row r="78" spans="2:57" ht="15.75" thickBot="1">
      <c r="B78" s="38" t="s">
        <v>163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5.75" thickBot="1">
      <c r="B79" s="414" t="s">
        <v>161</v>
      </c>
      <c r="C79" s="65"/>
      <c r="D79" s="76"/>
      <c r="E79" s="76"/>
      <c r="F79" s="66">
        <v>4.8</v>
      </c>
      <c r="G79" s="282"/>
      <c r="H79" s="76"/>
      <c r="I79" s="76"/>
      <c r="J79" s="66">
        <v>4.8</v>
      </c>
      <c r="K79" s="67"/>
      <c r="L79" s="194"/>
      <c r="M79" s="194"/>
      <c r="N79" s="71">
        <v>1</v>
      </c>
      <c r="O79" s="74"/>
      <c r="P79" s="75"/>
    </row>
    <row r="80" spans="2:57" ht="15">
      <c r="D80" s="76">
        <v>4.78</v>
      </c>
      <c r="E80" s="76">
        <v>6.5715116121501689</v>
      </c>
      <c r="F80" s="341">
        <v>5.5</v>
      </c>
      <c r="H80" s="76">
        <v>4.3899999999999997</v>
      </c>
      <c r="I80" s="76">
        <v>6.4706008590475257</v>
      </c>
      <c r="J80" s="341">
        <v>5.5</v>
      </c>
      <c r="L80" s="194">
        <v>1.0333333333333334</v>
      </c>
      <c r="M80" s="194">
        <v>0.57646042314621904</v>
      </c>
      <c r="N80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9:F69"/>
    <mergeCell ref="G69:J69"/>
    <mergeCell ref="K69:N69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3650" priority="88" operator="notBetween">
      <formula>#REF!</formula>
      <formula>#REF!</formula>
    </cfRule>
  </conditionalFormatting>
  <conditionalFormatting sqref="C55">
    <cfRule type="cellIs" dxfId="3649" priority="182" stopIfTrue="1" operator="lessThan">
      <formula>96</formula>
    </cfRule>
    <cfRule type="cellIs" dxfId="3648" priority="183" stopIfTrue="1" operator="greaterThan">
      <formula>100</formula>
    </cfRule>
  </conditionalFormatting>
  <conditionalFormatting sqref="C71:C75">
    <cfRule type="cellIs" dxfId="3647" priority="151" stopIfTrue="1" operator="lessThanOrEqual">
      <formula>0</formula>
    </cfRule>
  </conditionalFormatting>
  <conditionalFormatting sqref="C71:C79">
    <cfRule type="cellIs" dxfId="3646" priority="150" stopIfTrue="1" operator="greaterThan">
      <formula>$F71</formula>
    </cfRule>
  </conditionalFormatting>
  <conditionalFormatting sqref="C72">
    <cfRule type="cellIs" dxfId="3645" priority="184" stopIfTrue="1" operator="greaterThan">
      <formula>$F71</formula>
    </cfRule>
  </conditionalFormatting>
  <conditionalFormatting sqref="C76">
    <cfRule type="cellIs" dxfId="3644" priority="112" stopIfTrue="1" operator="lessThanOrEqual">
      <formula>0</formula>
    </cfRule>
    <cfRule type="cellIs" dxfId="3643" priority="113" stopIfTrue="1" operator="greaterThan">
      <formula>$F75</formula>
    </cfRule>
  </conditionalFormatting>
  <conditionalFormatting sqref="C77:C79">
    <cfRule type="cellIs" dxfId="3642" priority="152" stopIfTrue="1" operator="lessThanOrEqual">
      <formula>0</formula>
    </cfRule>
  </conditionalFormatting>
  <conditionalFormatting sqref="C82:C86">
    <cfRule type="cellIs" dxfId="3641" priority="174" stopIfTrue="1" operator="lessThanOrEqual">
      <formula>0</formula>
    </cfRule>
  </conditionalFormatting>
  <conditionalFormatting sqref="C83:C86">
    <cfRule type="cellIs" dxfId="3640" priority="173" stopIfTrue="1" operator="greaterThan">
      <formula>$F$82</formula>
    </cfRule>
  </conditionalFormatting>
  <conditionalFormatting sqref="C88">
    <cfRule type="cellIs" dxfId="3639" priority="175" stopIfTrue="1" operator="greaterThan">
      <formula>$F$82</formula>
    </cfRule>
    <cfRule type="cellIs" dxfId="3638" priority="176" stopIfTrue="1" operator="lessThanOrEqual">
      <formula>0</formula>
    </cfRule>
  </conditionalFormatting>
  <conditionalFormatting sqref="C82:D82 D84:D90">
    <cfRule type="cellIs" dxfId="3637" priority="168" stopIfTrue="1" operator="greaterThan">
      <formula>4.5</formula>
    </cfRule>
  </conditionalFormatting>
  <conditionalFormatting sqref="D51:D52">
    <cfRule type="cellIs" dxfId="3636" priority="89" operator="notBetween">
      <formula>#REF!</formula>
      <formula>#REF!</formula>
    </cfRule>
  </conditionalFormatting>
  <conditionalFormatting sqref="D71:D78">
    <cfRule type="cellIs" dxfId="3635" priority="63" stopIfTrue="1" operator="lessThanOrEqual">
      <formula>0</formula>
    </cfRule>
  </conditionalFormatting>
  <conditionalFormatting sqref="D71:D80">
    <cfRule type="cellIs" dxfId="3634" priority="46" stopIfTrue="1" operator="lessThanOrEqual">
      <formula>0</formula>
    </cfRule>
  </conditionalFormatting>
  <conditionalFormatting sqref="D79">
    <cfRule type="cellIs" dxfId="3633" priority="62" stopIfTrue="1" operator="lessThanOrEqual">
      <formula>0</formula>
    </cfRule>
  </conditionalFormatting>
  <conditionalFormatting sqref="D80">
    <cfRule type="cellIs" dxfId="3632" priority="59" stopIfTrue="1" operator="lessThanOrEqual">
      <formula>0</formula>
    </cfRule>
  </conditionalFormatting>
  <conditionalFormatting sqref="D82 D84:D90">
    <cfRule type="cellIs" dxfId="3631" priority="169" stopIfTrue="1" operator="lessThanOrEqual">
      <formula>0</formula>
    </cfRule>
  </conditionalFormatting>
  <conditionalFormatting sqref="D83">
    <cfRule type="cellIs" dxfId="3630" priority="160" stopIfTrue="1" operator="greaterThan">
      <formula>$F$82</formula>
    </cfRule>
    <cfRule type="cellIs" dxfId="3629" priority="161" stopIfTrue="1" operator="lessThanOrEqual">
      <formula>0</formula>
    </cfRule>
  </conditionalFormatting>
  <conditionalFormatting sqref="D71:E80">
    <cfRule type="cellIs" dxfId="3628" priority="48" stopIfTrue="1" operator="greaterThan">
      <formula>$F71</formula>
    </cfRule>
  </conditionalFormatting>
  <conditionalFormatting sqref="D80:E80">
    <cfRule type="cellIs" dxfId="3627" priority="50" stopIfTrue="1" operator="lessThanOrEqual">
      <formula>0</formula>
    </cfRule>
  </conditionalFormatting>
  <conditionalFormatting sqref="E10:E26">
    <cfRule type="cellIs" dxfId="3626" priority="19" operator="lessThan">
      <formula>48</formula>
    </cfRule>
  </conditionalFormatting>
  <conditionalFormatting sqref="E54 E55:F55">
    <cfRule type="cellIs" dxfId="3625" priority="165" stopIfTrue="1" operator="greaterThan">
      <formula>100</formula>
    </cfRule>
  </conditionalFormatting>
  <conditionalFormatting sqref="E55">
    <cfRule type="cellIs" dxfId="3624" priority="162" stopIfTrue="1" operator="lessThan">
      <formula>96.8</formula>
    </cfRule>
    <cfRule type="cellIs" dxfId="3623" priority="163" stopIfTrue="1" operator="greaterThan">
      <formula>100</formula>
    </cfRule>
  </conditionalFormatting>
  <conditionalFormatting sqref="E71:E79">
    <cfRule type="cellIs" dxfId="3622" priority="47" stopIfTrue="1" operator="lessThanOrEqual">
      <formula>0</formula>
    </cfRule>
  </conditionalFormatting>
  <conditionalFormatting sqref="E71:E80">
    <cfRule type="cellIs" dxfId="3621" priority="49" stopIfTrue="1" operator="lessThanOrEqual">
      <formula>0</formula>
    </cfRule>
  </conditionalFormatting>
  <conditionalFormatting sqref="E82:E90">
    <cfRule type="cellIs" dxfId="3620" priority="154" stopIfTrue="1" operator="greaterThan">
      <formula>4.5</formula>
    </cfRule>
    <cfRule type="cellIs" dxfId="3619" priority="155" stopIfTrue="1" operator="lessThanOrEqual">
      <formula>0</formula>
    </cfRule>
  </conditionalFormatting>
  <conditionalFormatting sqref="E55:F55 E54">
    <cfRule type="cellIs" dxfId="3618" priority="164" stopIfTrue="1" operator="lessThan">
      <formula>96.5</formula>
    </cfRule>
  </conditionalFormatting>
  <conditionalFormatting sqref="F10:F26">
    <cfRule type="cellIs" dxfId="3617" priority="24" operator="greaterThan">
      <formula>60</formula>
    </cfRule>
  </conditionalFormatting>
  <conditionalFormatting sqref="F55">
    <cfRule type="cellIs" dxfId="3616" priority="181" stopIfTrue="1" operator="greaterThan">
      <formula>100</formula>
    </cfRule>
    <cfRule type="cellIs" dxfId="3615" priority="180" stopIfTrue="1" operator="lessThan">
      <formula>96.8</formula>
    </cfRule>
  </conditionalFormatting>
  <conditionalFormatting sqref="F80">
    <cfRule type="cellIs" dxfId="3614" priority="60" stopIfTrue="1" operator="greaterThan">
      <formula>$F80</formula>
    </cfRule>
    <cfRule type="cellIs" dxfId="3613" priority="61" stopIfTrue="1" operator="lessThanOrEqual">
      <formula>0</formula>
    </cfRule>
  </conditionalFormatting>
  <conditionalFormatting sqref="G10:G26">
    <cfRule type="expression" dxfId="3612" priority="21">
      <formula>IF(+(IF(G10&lt;S10,0,IF(G10&gt;T10,0,1)))=0,1)</formula>
    </cfRule>
  </conditionalFormatting>
  <conditionalFormatting sqref="G71:G72">
    <cfRule type="cellIs" dxfId="3611" priority="64" stopIfTrue="1" operator="greaterThan">
      <formula>$F71</formula>
    </cfRule>
    <cfRule type="cellIs" dxfId="3610" priority="65" stopIfTrue="1" operator="lessThanOrEqual">
      <formula>0</formula>
    </cfRule>
  </conditionalFormatting>
  <conditionalFormatting sqref="G71:G74">
    <cfRule type="cellIs" dxfId="3609" priority="28" stopIfTrue="1" operator="lessThanOrEqual">
      <formula>0</formula>
    </cfRule>
    <cfRule type="cellIs" dxfId="3608" priority="27" stopIfTrue="1" operator="greaterThan">
      <formula>$F71</formula>
    </cfRule>
  </conditionalFormatting>
  <conditionalFormatting sqref="G73">
    <cfRule type="cellIs" dxfId="3607" priority="25" stopIfTrue="1" operator="greaterThan">
      <formula>$F73</formula>
    </cfRule>
    <cfRule type="cellIs" dxfId="3606" priority="26" stopIfTrue="1" operator="lessThanOrEqual">
      <formula>0</formula>
    </cfRule>
  </conditionalFormatting>
  <conditionalFormatting sqref="G74">
    <cfRule type="cellIs" dxfId="3605" priority="54" stopIfTrue="1" operator="greaterThan">
      <formula>$F74</formula>
    </cfRule>
    <cfRule type="cellIs" dxfId="3604" priority="55" stopIfTrue="1" operator="lessThanOrEqual">
      <formula>0</formula>
    </cfRule>
  </conditionalFormatting>
  <conditionalFormatting sqref="G75:G79">
    <cfRule type="cellIs" dxfId="3603" priority="66" stopIfTrue="1" operator="greaterThan">
      <formula>$J75</formula>
    </cfRule>
    <cfRule type="cellIs" dxfId="3602" priority="67" stopIfTrue="1" operator="lessThanOrEqual">
      <formula>0</formula>
    </cfRule>
  </conditionalFormatting>
  <conditionalFormatting sqref="G84:G89 C87 C89">
    <cfRule type="cellIs" dxfId="3601" priority="178" stopIfTrue="1" operator="lessThanOrEqual">
      <formula>0</formula>
    </cfRule>
    <cfRule type="cellIs" dxfId="3600" priority="177" stopIfTrue="1" operator="greaterThan">
      <formula>4.5</formula>
    </cfRule>
  </conditionalFormatting>
  <conditionalFormatting sqref="G83:H83">
    <cfRule type="cellIs" dxfId="3599" priority="159" stopIfTrue="1" operator="lessThanOrEqual">
      <formula>0</formula>
    </cfRule>
    <cfRule type="cellIs" dxfId="3598" priority="158" stopIfTrue="1" operator="greaterThan">
      <formula>$F$82</formula>
    </cfRule>
  </conditionalFormatting>
  <conditionalFormatting sqref="H40:H41 H54">
    <cfRule type="cellIs" dxfId="3597" priority="156" stopIfTrue="1" operator="greaterThan">
      <formula>0</formula>
    </cfRule>
  </conditionalFormatting>
  <conditionalFormatting sqref="H58">
    <cfRule type="cellIs" dxfId="3596" priority="30" stopIfTrue="1" operator="lessThanOrEqual">
      <formula>0</formula>
    </cfRule>
    <cfRule type="cellIs" dxfId="3595" priority="39" stopIfTrue="1" operator="greaterThan">
      <formula>$F$71</formula>
    </cfRule>
    <cfRule type="cellIs" dxfId="3594" priority="31" stopIfTrue="1" operator="greaterThan">
      <formula>$F$68</formula>
    </cfRule>
    <cfRule type="cellIs" dxfId="3593" priority="40" stopIfTrue="1" operator="lessThanOrEqual">
      <formula>0</formula>
    </cfRule>
    <cfRule type="cellIs" dxfId="3592" priority="41" stopIfTrue="1" operator="greaterThan">
      <formula>$F$69</formula>
    </cfRule>
    <cfRule type="cellIs" dxfId="3591" priority="42" stopIfTrue="1" operator="lessThanOrEqual">
      <formula>0</formula>
    </cfRule>
  </conditionalFormatting>
  <conditionalFormatting sqref="H59:H62">
    <cfRule type="cellIs" dxfId="3590" priority="80" stopIfTrue="1" operator="greaterThan">
      <formula>$F$74</formula>
    </cfRule>
    <cfRule type="cellIs" dxfId="3589" priority="81" stopIfTrue="1" operator="lessThanOrEqual">
      <formula>0</formula>
    </cfRule>
    <cfRule type="cellIs" dxfId="3588" priority="71" stopIfTrue="1" operator="lessThanOrEqual">
      <formula>0</formula>
    </cfRule>
    <cfRule type="cellIs" dxfId="3587" priority="72" stopIfTrue="1" operator="greaterThan">
      <formula>$F$71</formula>
    </cfRule>
    <cfRule type="cellIs" dxfId="3586" priority="82" stopIfTrue="1" operator="greaterThan">
      <formula>$F$72</formula>
    </cfRule>
    <cfRule type="cellIs" dxfId="3585" priority="83" stopIfTrue="1" operator="lessThanOrEqual">
      <formula>0</formula>
    </cfRule>
  </conditionalFormatting>
  <conditionalFormatting sqref="H63:H64">
    <cfRule type="cellIs" dxfId="3584" priority="116" stopIfTrue="1" operator="greaterThan">
      <formula>#REF!</formula>
    </cfRule>
    <cfRule type="cellIs" dxfId="3583" priority="115" stopIfTrue="1" operator="lessThanOrEqual">
      <formula>0</formula>
    </cfRule>
    <cfRule type="cellIs" dxfId="3582" priority="127" stopIfTrue="1" operator="lessThanOrEqual">
      <formula>0</formula>
    </cfRule>
    <cfRule type="cellIs" dxfId="3581" priority="126" stopIfTrue="1" operator="greaterThan">
      <formula>#REF!</formula>
    </cfRule>
    <cfRule type="cellIs" dxfId="3580" priority="125" stopIfTrue="1" operator="lessThanOrEqual">
      <formula>0</formula>
    </cfRule>
    <cfRule type="cellIs" dxfId="3579" priority="124" stopIfTrue="1" operator="greaterThan">
      <formula>$F$26</formula>
    </cfRule>
  </conditionalFormatting>
  <conditionalFormatting sqref="H65">
    <cfRule type="cellIs" dxfId="3578" priority="138" stopIfTrue="1" operator="greaterThan">
      <formula>$F$42</formula>
    </cfRule>
    <cfRule type="cellIs" dxfId="3577" priority="139" stopIfTrue="1" operator="lessThanOrEqual">
      <formula>0</formula>
    </cfRule>
    <cfRule type="cellIs" dxfId="3576" priority="140" stopIfTrue="1" operator="greaterThan">
      <formula>$F$40</formula>
    </cfRule>
    <cfRule type="cellIs" dxfId="3575" priority="141" stopIfTrue="1" operator="lessThanOrEqual">
      <formula>0</formula>
    </cfRule>
    <cfRule type="cellIs" dxfId="3574" priority="129" stopIfTrue="1" operator="lessThanOrEqual">
      <formula>0</formula>
    </cfRule>
    <cfRule type="cellIs" dxfId="3573" priority="130" stopIfTrue="1" operator="greaterThan">
      <formula>$F$39</formula>
    </cfRule>
  </conditionalFormatting>
  <conditionalFormatting sqref="H66:H67">
    <cfRule type="cellIs" dxfId="3572" priority="111" stopIfTrue="1" operator="lessThanOrEqual">
      <formula>0</formula>
    </cfRule>
    <cfRule type="cellIs" dxfId="3571" priority="99" stopIfTrue="1" operator="lessThanOrEqual">
      <formula>0</formula>
    </cfRule>
    <cfRule type="cellIs" dxfId="3570" priority="100" stopIfTrue="1" operator="greaterThan">
      <formula>#REF!</formula>
    </cfRule>
    <cfRule type="cellIs" dxfId="3569" priority="110" stopIfTrue="1" operator="greaterThan">
      <formula>#REF!</formula>
    </cfRule>
    <cfRule type="cellIs" dxfId="3568" priority="108" stopIfTrue="1" operator="greaterThan">
      <formula>$F$26</formula>
    </cfRule>
    <cfRule type="cellIs" dxfId="3567" priority="109" stopIfTrue="1" operator="lessThanOrEqual">
      <formula>0</formula>
    </cfRule>
  </conditionalFormatting>
  <conditionalFormatting sqref="H82 H84:H90">
    <cfRule type="cellIs" dxfId="3566" priority="170" stopIfTrue="1" operator="greaterThan">
      <formula>4.5</formula>
    </cfRule>
    <cfRule type="cellIs" dxfId="3565" priority="171" stopIfTrue="1" operator="lessThanOrEqual">
      <formula>0</formula>
    </cfRule>
  </conditionalFormatting>
  <conditionalFormatting sqref="H58:I58">
    <cfRule type="cellIs" dxfId="3564" priority="29" stopIfTrue="1" operator="greaterThan">
      <formula>$F$70</formula>
    </cfRule>
    <cfRule type="cellIs" dxfId="3563" priority="32" stopIfTrue="1" operator="lessThanOrEqual">
      <formula>0</formula>
    </cfRule>
  </conditionalFormatting>
  <conditionalFormatting sqref="H59:I62">
    <cfRule type="cellIs" dxfId="3562" priority="73" stopIfTrue="1" operator="lessThanOrEqual">
      <formula>0</formula>
    </cfRule>
    <cfRule type="cellIs" dxfId="3561" priority="70" stopIfTrue="1" operator="greaterThan">
      <formula>$F$73</formula>
    </cfRule>
  </conditionalFormatting>
  <conditionalFormatting sqref="H63:I64">
    <cfRule type="cellIs" dxfId="3560" priority="114" stopIfTrue="1" operator="greaterThan">
      <formula>#REF!</formula>
    </cfRule>
    <cfRule type="cellIs" dxfId="3559" priority="117" stopIfTrue="1" operator="lessThanOrEqual">
      <formula>0</formula>
    </cfRule>
  </conditionalFormatting>
  <conditionalFormatting sqref="H65:I65">
    <cfRule type="cellIs" dxfId="3558" priority="131" stopIfTrue="1" operator="lessThanOrEqual">
      <formula>0</formula>
    </cfRule>
    <cfRule type="cellIs" dxfId="3557" priority="128" stopIfTrue="1" operator="greaterThan">
      <formula>$F$41</formula>
    </cfRule>
  </conditionalFormatting>
  <conditionalFormatting sqref="H66:I67">
    <cfRule type="cellIs" dxfId="3556" priority="98" stopIfTrue="1" operator="greaterThan">
      <formula>#REF!</formula>
    </cfRule>
    <cfRule type="cellIs" dxfId="3555" priority="101" stopIfTrue="1" operator="lessThanOrEqual">
      <formula>0</formula>
    </cfRule>
  </conditionalFormatting>
  <conditionalFormatting sqref="H71:I78">
    <cfRule type="cellIs" dxfId="3554" priority="45" stopIfTrue="1" operator="lessThanOrEqual">
      <formula>0</formula>
    </cfRule>
    <cfRule type="cellIs" dxfId="3553" priority="44" stopIfTrue="1" operator="greaterThan">
      <formula>$J71</formula>
    </cfRule>
  </conditionalFormatting>
  <conditionalFormatting sqref="H79:I79">
    <cfRule type="cellIs" dxfId="3552" priority="53" operator="greaterThan">
      <formula>5.3</formula>
    </cfRule>
  </conditionalFormatting>
  <conditionalFormatting sqref="H80:I80">
    <cfRule type="cellIs" dxfId="3551" priority="52" stopIfTrue="1" operator="lessThanOrEqual">
      <formula>0</formula>
    </cfRule>
    <cfRule type="cellIs" dxfId="3550" priority="51" stopIfTrue="1" operator="greaterThan">
      <formula>$J80</formula>
    </cfRule>
  </conditionalFormatting>
  <conditionalFormatting sqref="I58">
    <cfRule type="cellIs" dxfId="3549" priority="36" stopIfTrue="1" operator="lessThanOrEqual">
      <formula>0</formula>
    </cfRule>
    <cfRule type="cellIs" dxfId="3548" priority="37" stopIfTrue="1" operator="greaterThan">
      <formula>$F$68</formula>
    </cfRule>
    <cfRule type="cellIs" dxfId="3547" priority="38" stopIfTrue="1" operator="lessThanOrEqual">
      <formula>0</formula>
    </cfRule>
    <cfRule type="cellIs" dxfId="3546" priority="34" stopIfTrue="1" operator="lessThanOrEqual">
      <formula>0</formula>
    </cfRule>
    <cfRule type="cellIs" dxfId="3545" priority="33" stopIfTrue="1" operator="greaterThan">
      <formula>$F$68</formula>
    </cfRule>
    <cfRule type="cellIs" dxfId="3544" priority="35" stopIfTrue="1" operator="greaterThan">
      <formula>$F$70</formula>
    </cfRule>
  </conditionalFormatting>
  <conditionalFormatting sqref="I59:I62">
    <cfRule type="cellIs" dxfId="3543" priority="74" stopIfTrue="1" operator="greaterThan">
      <formula>$F$71</formula>
    </cfRule>
    <cfRule type="cellIs" dxfId="3542" priority="79" stopIfTrue="1" operator="lessThanOrEqual">
      <formula>0</formula>
    </cfRule>
    <cfRule type="cellIs" dxfId="3541" priority="77" stopIfTrue="1" operator="lessThanOrEqual">
      <formula>0</formula>
    </cfRule>
    <cfRule type="cellIs" dxfId="3540" priority="76" stopIfTrue="1" operator="greaterThan">
      <formula>$F$73</formula>
    </cfRule>
    <cfRule type="cellIs" dxfId="3539" priority="75" stopIfTrue="1" operator="lessThanOrEqual">
      <formula>0</formula>
    </cfRule>
    <cfRule type="cellIs" dxfId="3538" priority="78" stopIfTrue="1" operator="greaterThan">
      <formula>$F$71</formula>
    </cfRule>
  </conditionalFormatting>
  <conditionalFormatting sqref="I63:I64">
    <cfRule type="cellIs" dxfId="3537" priority="121" stopIfTrue="1" operator="lessThanOrEqual">
      <formula>0</formula>
    </cfRule>
    <cfRule type="cellIs" dxfId="3536" priority="122" stopIfTrue="1" operator="greaterThan">
      <formula>#REF!</formula>
    </cfRule>
    <cfRule type="cellIs" dxfId="3535" priority="123" stopIfTrue="1" operator="lessThanOrEqual">
      <formula>0</formula>
    </cfRule>
    <cfRule type="cellIs" dxfId="3534" priority="120" stopIfTrue="1" operator="greaterThan">
      <formula>#REF!</formula>
    </cfRule>
    <cfRule type="cellIs" dxfId="3533" priority="119" stopIfTrue="1" operator="lessThanOrEqual">
      <formula>0</formula>
    </cfRule>
    <cfRule type="cellIs" dxfId="3532" priority="118" stopIfTrue="1" operator="greaterThan">
      <formula>#REF!</formula>
    </cfRule>
  </conditionalFormatting>
  <conditionalFormatting sqref="I65">
    <cfRule type="cellIs" dxfId="3531" priority="132" stopIfTrue="1" operator="greaterThan">
      <formula>$F$39</formula>
    </cfRule>
    <cfRule type="cellIs" dxfId="3530" priority="133" stopIfTrue="1" operator="lessThanOrEqual">
      <formula>0</formula>
    </cfRule>
    <cfRule type="cellIs" dxfId="3529" priority="134" stopIfTrue="1" operator="greaterThan">
      <formula>$F$41</formula>
    </cfRule>
    <cfRule type="cellIs" dxfId="3528" priority="135" stopIfTrue="1" operator="lessThanOrEqual">
      <formula>0</formula>
    </cfRule>
    <cfRule type="cellIs" dxfId="3527" priority="136" stopIfTrue="1" operator="greaterThan">
      <formula>$F$39</formula>
    </cfRule>
    <cfRule type="cellIs" dxfId="3526" priority="137" stopIfTrue="1" operator="lessThanOrEqual">
      <formula>0</formula>
    </cfRule>
  </conditionalFormatting>
  <conditionalFormatting sqref="I66:I67">
    <cfRule type="cellIs" dxfId="3525" priority="102" stopIfTrue="1" operator="greaterThan">
      <formula>#REF!</formula>
    </cfRule>
    <cfRule type="cellIs" dxfId="3524" priority="107" stopIfTrue="1" operator="lessThanOrEqual">
      <formula>0</formula>
    </cfRule>
    <cfRule type="cellIs" dxfId="3523" priority="106" stopIfTrue="1" operator="greaterThan">
      <formula>#REF!</formula>
    </cfRule>
    <cfRule type="cellIs" dxfId="3522" priority="105" stopIfTrue="1" operator="lessThanOrEqual">
      <formula>0</formula>
    </cfRule>
    <cfRule type="cellIs" dxfId="3521" priority="104" stopIfTrue="1" operator="greaterThan">
      <formula>#REF!</formula>
    </cfRule>
    <cfRule type="cellIs" dxfId="3520" priority="103" stopIfTrue="1" operator="lessThanOrEqual">
      <formula>0</formula>
    </cfRule>
  </conditionalFormatting>
  <conditionalFormatting sqref="I82:I90">
    <cfRule type="cellIs" dxfId="3519" priority="167" stopIfTrue="1" operator="lessThanOrEqual">
      <formula>0</formula>
    </cfRule>
    <cfRule type="cellIs" dxfId="3518" priority="166" stopIfTrue="1" operator="greaterThan">
      <formula>4.5</formula>
    </cfRule>
  </conditionalFormatting>
  <conditionalFormatting sqref="I10:J26">
    <cfRule type="cellIs" dxfId="3517" priority="13" operator="lessThan">
      <formula>97.9</formula>
    </cfRule>
  </conditionalFormatting>
  <conditionalFormatting sqref="J29">
    <cfRule type="cellIs" dxfId="3516" priority="69" operator="lessThan">
      <formula>97.95</formula>
    </cfRule>
  </conditionalFormatting>
  <conditionalFormatting sqref="J31">
    <cfRule type="cellIs" dxfId="3515" priority="143" stopIfTrue="1" operator="lessThan">
      <formula>96.8</formula>
    </cfRule>
    <cfRule type="cellIs" dxfId="3514" priority="144" stopIfTrue="1" operator="greaterThan">
      <formula>100</formula>
    </cfRule>
    <cfRule type="cellIs" dxfId="3513" priority="145" operator="lessThan">
      <formula>98</formula>
    </cfRule>
  </conditionalFormatting>
  <conditionalFormatting sqref="J31:J33">
    <cfRule type="cellIs" dxfId="3512" priority="142" operator="lessThan">
      <formula>97.4</formula>
    </cfRule>
  </conditionalFormatting>
  <conditionalFormatting sqref="J34:J35">
    <cfRule type="cellIs" dxfId="3511" priority="146" operator="lessThan">
      <formula>98</formula>
    </cfRule>
  </conditionalFormatting>
  <conditionalFormatting sqref="J36:J37">
    <cfRule type="cellIs" dxfId="3510" priority="148" stopIfTrue="1" operator="greaterThan">
      <formula>100</formula>
    </cfRule>
    <cfRule type="cellIs" dxfId="3509" priority="147" stopIfTrue="1" operator="lessThan">
      <formula>96.8</formula>
    </cfRule>
  </conditionalFormatting>
  <conditionalFormatting sqref="J36:J38">
    <cfRule type="cellIs" dxfId="3508" priority="149" operator="lessThan">
      <formula>98</formula>
    </cfRule>
  </conditionalFormatting>
  <conditionalFormatting sqref="J67">
    <cfRule type="cellIs" dxfId="3507" priority="90" stopIfTrue="1" operator="greaterThan">
      <formula>#REF!</formula>
    </cfRule>
    <cfRule type="cellIs" dxfId="3506" priority="91" stopIfTrue="1" operator="lessThanOrEqual">
      <formula>0</formula>
    </cfRule>
    <cfRule type="cellIs" dxfId="3505" priority="92" stopIfTrue="1" operator="greaterThan">
      <formula>#REF!</formula>
    </cfRule>
    <cfRule type="cellIs" dxfId="3504" priority="93" stopIfTrue="1" operator="lessThanOrEqual">
      <formula>0</formula>
    </cfRule>
    <cfRule type="cellIs" dxfId="3503" priority="97" stopIfTrue="1" operator="lessThanOrEqual">
      <formula>0</formula>
    </cfRule>
    <cfRule type="cellIs" dxfId="3502" priority="94" stopIfTrue="1" operator="greaterThan">
      <formula>#REF!</formula>
    </cfRule>
    <cfRule type="cellIs" dxfId="3501" priority="95" stopIfTrue="1" operator="lessThanOrEqual">
      <formula>0</formula>
    </cfRule>
    <cfRule type="cellIs" dxfId="3500" priority="96" stopIfTrue="1" operator="greaterThan">
      <formula>#REF!</formula>
    </cfRule>
  </conditionalFormatting>
  <conditionalFormatting sqref="J80">
    <cfRule type="cellIs" dxfId="3499" priority="56" stopIfTrue="1" operator="greaterThan">
      <formula>$F80</formula>
    </cfRule>
    <cfRule type="cellIs" dxfId="3498" priority="57" stopIfTrue="1" operator="lessThanOrEqual">
      <formula>0</formula>
    </cfRule>
  </conditionalFormatting>
  <conditionalFormatting sqref="K10:K26">
    <cfRule type="cellIs" dxfId="3497" priority="16" operator="greaterThan">
      <formula>6.4</formula>
    </cfRule>
    <cfRule type="cellIs" dxfId="3496" priority="15" operator="lessThan">
      <formula>4</formula>
    </cfRule>
    <cfRule type="cellIs" dxfId="3495" priority="14" operator="greaterThan">
      <formula>6</formula>
    </cfRule>
  </conditionalFormatting>
  <conditionalFormatting sqref="K58:K67">
    <cfRule type="cellIs" dxfId="3494" priority="84" stopIfTrue="1" operator="lessThan">
      <formula>100%</formula>
    </cfRule>
  </conditionalFormatting>
  <conditionalFormatting sqref="K82:K87">
    <cfRule type="cellIs" dxfId="3493" priority="172" stopIfTrue="1" operator="lessThan">
      <formula>100%</formula>
    </cfRule>
  </conditionalFormatting>
  <conditionalFormatting sqref="K89:K90">
    <cfRule type="cellIs" dxfId="3492" priority="179" stopIfTrue="1" operator="lessThan">
      <formula>100%</formula>
    </cfRule>
  </conditionalFormatting>
  <conditionalFormatting sqref="K71:M79">
    <cfRule type="cellIs" dxfId="3491" priority="43" stopIfTrue="1" operator="lessThan">
      <formula>100%</formula>
    </cfRule>
  </conditionalFormatting>
  <conditionalFormatting sqref="L10:L26">
    <cfRule type="cellIs" dxfId="3490" priority="17" operator="between">
      <formula>61</formula>
      <formula>65</formula>
    </cfRule>
    <cfRule type="cellIs" dxfId="3489" priority="18" operator="greaterThan">
      <formula>65</formula>
    </cfRule>
  </conditionalFormatting>
  <conditionalFormatting sqref="L29:M40">
    <cfRule type="cellIs" dxfId="3488" priority="86" operator="lessThan">
      <formula>97.95</formula>
    </cfRule>
  </conditionalFormatting>
  <conditionalFormatting sqref="L80:M80">
    <cfRule type="cellIs" dxfId="3487" priority="58" stopIfTrue="1" operator="lessThan">
      <formula>100%</formula>
    </cfRule>
  </conditionalFormatting>
  <conditionalFormatting sqref="L44:N44">
    <cfRule type="cellIs" dxfId="3486" priority="87" operator="notEqual">
      <formula>#REF!</formula>
    </cfRule>
  </conditionalFormatting>
  <conditionalFormatting sqref="L82:N90">
    <cfRule type="cellIs" dxfId="3485" priority="157" stopIfTrue="1" operator="lessThan">
      <formula>100%</formula>
    </cfRule>
  </conditionalFormatting>
  <conditionalFormatting sqref="M10:M24">
    <cfRule type="expression" dxfId="3484" priority="23">
      <formula>IF(+(IF(M10&lt;U10,0,IF(M10&gt;V10,0,1)))=0,1)</formula>
    </cfRule>
  </conditionalFormatting>
  <conditionalFormatting sqref="M10:N21 H10:H26">
    <cfRule type="expression" dxfId="3483" priority="20">
      <formula>IF(+(IF(H10&lt;#REF!,0,IF(H10&gt;#REF!,0,1)))=0,1)</formula>
    </cfRule>
  </conditionalFormatting>
  <conditionalFormatting sqref="M25:N26">
    <cfRule type="expression" dxfId="3482" priority="85">
      <formula>IF(+(IF(M25&lt;#REF!,0,IF(M25&gt;#REF!,0,1)))=0,1)</formula>
    </cfRule>
  </conditionalFormatting>
  <conditionalFormatting sqref="N10:N24">
    <cfRule type="expression" dxfId="3481" priority="22">
      <formula>IF(+(IF(N10&lt;W10,0,IF(N10&gt;X10,0,1)))=0,1)</formula>
    </cfRule>
  </conditionalFormatting>
  <conditionalFormatting sqref="N71:N80">
    <cfRule type="cellIs" dxfId="3480" priority="68" stopIfTrue="1" operator="lessThan">
      <formula>100%</formula>
    </cfRule>
  </conditionalFormatting>
  <conditionalFormatting sqref="P6">
    <cfRule type="cellIs" dxfId="3479" priority="153" operator="greaterThanOrEqual">
      <formula>19</formula>
    </cfRule>
  </conditionalFormatting>
  <dataValidations count="1">
    <dataValidation type="list" allowBlank="1" showInputMessage="1" showErrorMessage="1" sqref="R8" xr:uid="{2F474810-892C-43DC-8786-729B90FAFC2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446E-A249-45E9-AED1-B16D3D826C40}">
  <sheetPr>
    <pageSetUpPr fitToPage="1"/>
  </sheetPr>
  <dimension ref="A1:BE78"/>
  <sheetViews>
    <sheetView topLeftCell="A43" zoomScale="85" zoomScaleNormal="85" workbookViewId="0">
      <selection activeCell="D72" sqref="D72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46147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65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95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[4]Brewhouse!$A380</f>
        <v>CA335</v>
      </c>
      <c r="D10" s="279">
        <f>[4]Brewhouse!$AF380</f>
        <v>52</v>
      </c>
      <c r="E10" s="279">
        <f>[4]Brewhouse!$AI380</f>
        <v>49.5</v>
      </c>
      <c r="F10" s="278">
        <f>[4]Brewhouse!$V380</f>
        <v>69</v>
      </c>
      <c r="G10" s="279">
        <f>[4]Brewhouse!AG380</f>
        <v>11.9</v>
      </c>
      <c r="H10" s="396">
        <v>11.9</v>
      </c>
      <c r="I10" s="368">
        <f>[4]Brewhouse!$AU380</f>
        <v>97.004179140412717</v>
      </c>
      <c r="J10" s="368">
        <f>[4]Brewhouse!$AV380</f>
        <v>98.579775558001117</v>
      </c>
      <c r="K10" s="281">
        <f>[4]Brewhouse!$Q380</f>
        <v>6.5064695009242195</v>
      </c>
      <c r="L10" s="276">
        <f>[4]Brewhouse!$P380</f>
        <v>58</v>
      </c>
      <c r="M10" s="397">
        <f>[4]Brewhouse!$U380-[4]Brewhouse!$T380</f>
        <v>0.12013888888888891</v>
      </c>
      <c r="N10" s="370">
        <f>[4]Brewhouse!$Z380</f>
        <v>0.27569444444444446</v>
      </c>
      <c r="O10" s="420" t="str">
        <f>[4]Brewhouse!$AX380</f>
        <v>R. Sookram</v>
      </c>
      <c r="P10" s="418"/>
      <c r="R10" s="277" t="str">
        <f t="shared" ref="R10:R38" si="0">B10</f>
        <v>CARIB</v>
      </c>
      <c r="S10" s="472">
        <f t="shared" ref="S10:S38" si="1">VLOOKUP($B10,$R$3:$X$9,2,FALSE)</f>
        <v>11.6</v>
      </c>
      <c r="T10" s="472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2">
        <f t="shared" ref="Z10:Z38" si="8">VLOOKUP($B10,$R$3:$Z$9,9,FALSE)</f>
        <v>60</v>
      </c>
    </row>
    <row r="11" spans="2:29" ht="15">
      <c r="B11" s="29" t="s">
        <v>6</v>
      </c>
      <c r="C11" s="366" t="str">
        <f>[4]Brewhouse!$A381</f>
        <v>CA336</v>
      </c>
      <c r="D11" s="279">
        <f>[4]Brewhouse!$AF381</f>
        <v>55.3</v>
      </c>
      <c r="E11" s="279">
        <f>[4]Brewhouse!$AI381</f>
        <v>53.4</v>
      </c>
      <c r="F11" s="278">
        <f>[4]Brewhouse!$V381</f>
        <v>65</v>
      </c>
      <c r="G11" s="279">
        <f>[4]Brewhouse!AG381</f>
        <v>11.2</v>
      </c>
      <c r="H11" s="482">
        <v>11.2</v>
      </c>
      <c r="I11" s="368">
        <f>[4]Brewhouse!$AU381</f>
        <v>98.419019214153593</v>
      </c>
      <c r="J11" s="368">
        <f>[4]Brewhouse!$AV381</f>
        <v>100.01738540360921</v>
      </c>
      <c r="K11" s="281">
        <f>[4]Brewhouse!$Q381</f>
        <v>5.3974121996303168</v>
      </c>
      <c r="L11" s="276">
        <f>[4]Brewhouse!$P381</f>
        <v>57</v>
      </c>
      <c r="M11" s="397">
        <f>[4]Brewhouse!$U381-[4]Brewhouse!$T381</f>
        <v>0.11388888888888893</v>
      </c>
      <c r="N11" s="370">
        <f>[4]Brewhouse!$Z381</f>
        <v>0.27986111111111117</v>
      </c>
      <c r="O11" s="420" t="str">
        <f>[4]Brewhouse!$AX381</f>
        <v>R. Sookram</v>
      </c>
      <c r="P11" s="418"/>
      <c r="R11" s="277" t="str">
        <f t="shared" ref="R11:R27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[4]Brewhouse!$A382</f>
        <v>CA337</v>
      </c>
      <c r="D12" s="279">
        <f>[4]Brewhouse!$AF382</f>
        <v>50.1</v>
      </c>
      <c r="E12" s="279">
        <f>[4]Brewhouse!$AI382</f>
        <v>49.2</v>
      </c>
      <c r="F12" s="278">
        <f>[4]Brewhouse!$V382</f>
        <v>56</v>
      </c>
      <c r="G12" s="279">
        <f>[4]Brewhouse!AG382</f>
        <v>12.3</v>
      </c>
      <c r="H12" s="482">
        <v>12.6</v>
      </c>
      <c r="I12" s="368">
        <f>[4]Brewhouse!$AU382</f>
        <v>100.07208608682477</v>
      </c>
      <c r="J12" s="368">
        <f>[4]Brewhouse!$AV382</f>
        <v>101.69729877626874</v>
      </c>
      <c r="K12" s="281">
        <f>[4]Brewhouse!$Q382</f>
        <v>8.7245841035120115</v>
      </c>
      <c r="L12" s="276">
        <f>[4]Brewhouse!$P382</f>
        <v>61</v>
      </c>
      <c r="M12" s="397">
        <f>[4]Brewhouse!$U382-[4]Brewhouse!$T382</f>
        <v>0.12430555555555556</v>
      </c>
      <c r="N12" s="370">
        <f>[4]Brewhouse!$Z382</f>
        <v>0.34861111111111115</v>
      </c>
      <c r="O12" s="420" t="str">
        <f>[4]Brewhouse!$AX382</f>
        <v>R. Sookram</v>
      </c>
      <c r="P12" s="418" t="s">
        <v>176</v>
      </c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[4]Brewhouse!$A383</f>
        <v>CA338</v>
      </c>
      <c r="D13" s="279">
        <f>[4]Brewhouse!$AF383</f>
        <v>52.4</v>
      </c>
      <c r="E13" s="279">
        <f>[4]Brewhouse!$AI383</f>
        <v>50.5</v>
      </c>
      <c r="F13" s="278">
        <f>[4]Brewhouse!$V383</f>
        <v>55</v>
      </c>
      <c r="G13" s="279">
        <f>[4]Brewhouse!AG383</f>
        <v>11.9</v>
      </c>
      <c r="H13" s="482">
        <v>12.2</v>
      </c>
      <c r="I13" s="368">
        <f>[4]Brewhouse!$AU383</f>
        <v>99.210048636900865</v>
      </c>
      <c r="J13" s="368">
        <f>[4]Brewhouse!$AV383</f>
        <v>100.82126147626499</v>
      </c>
      <c r="K13" s="281">
        <f>[4]Brewhouse!$Q383</f>
        <v>5.0370370370370354</v>
      </c>
      <c r="L13" s="276">
        <f>[4]Brewhouse!$P383</f>
        <v>61</v>
      </c>
      <c r="M13" s="397">
        <f>[4]Brewhouse!$U383-[4]Brewhouse!$T383</f>
        <v>0.11111111111111116</v>
      </c>
      <c r="N13" s="370">
        <f>[4]Brewhouse!$Z383</f>
        <v>0.25902777777777786</v>
      </c>
      <c r="O13" s="420" t="str">
        <f>[4]Brewhouse!$AX383</f>
        <v>R. Sookram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[4]Brewhouse!$A384</f>
        <v>CA339</v>
      </c>
      <c r="D14" s="279">
        <f>[4]Brewhouse!$AF384</f>
        <v>50.4</v>
      </c>
      <c r="E14" s="279">
        <f>[4]Brewhouse!$AI384</f>
        <v>49.5</v>
      </c>
      <c r="F14" s="278">
        <f>[4]Brewhouse!$V384</f>
        <v>52</v>
      </c>
      <c r="G14" s="279">
        <f>[4]Brewhouse!AG384</f>
        <v>11.7</v>
      </c>
      <c r="H14" s="396">
        <v>12</v>
      </c>
      <c r="I14" s="368">
        <f>[4]Brewhouse!$AU384</f>
        <v>95.646066734056419</v>
      </c>
      <c r="J14" s="368">
        <f>[4]Brewhouse!$AV384</f>
        <v>97.199296171031207</v>
      </c>
      <c r="K14" s="281">
        <f>[4]Brewhouse!$Q384</f>
        <v>8</v>
      </c>
      <c r="L14" s="276">
        <f>[4]Brewhouse!$P384</f>
        <v>59</v>
      </c>
      <c r="M14" s="397">
        <f>[4]Brewhouse!$U384-[4]Brewhouse!$T384</f>
        <v>0.11597222222222225</v>
      </c>
      <c r="N14" s="370">
        <f>[4]Brewhouse!$Z384</f>
        <v>0.27569444444444446</v>
      </c>
      <c r="O14" s="420" t="str">
        <f>[4]Brewhouse!$AX384</f>
        <v>K. Benjamin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[4]Brewhouse!$A385</f>
        <v>CA340</v>
      </c>
      <c r="D15" s="279">
        <f>[4]Brewhouse!$AF385</f>
        <v>52.5</v>
      </c>
      <c r="E15" s="279">
        <f>[4]Brewhouse!$AI385</f>
        <v>50.9</v>
      </c>
      <c r="F15" s="278">
        <f>[4]Brewhouse!$V385</f>
        <v>63</v>
      </c>
      <c r="G15" s="279">
        <f>[4]Brewhouse!AG385</f>
        <v>11.9</v>
      </c>
      <c r="H15" s="396">
        <v>11.8</v>
      </c>
      <c r="I15" s="368">
        <f>[4]Brewhouse!$AU385</f>
        <v>99.871647112886492</v>
      </c>
      <c r="J15" s="368">
        <f>[4]Brewhouse!$AV385</f>
        <v>101.49371170616574</v>
      </c>
      <c r="K15" s="281">
        <f>[4]Brewhouse!$Q385</f>
        <v>4.1111111111111089</v>
      </c>
      <c r="L15" s="276">
        <f>[4]Brewhouse!$P385</f>
        <v>61</v>
      </c>
      <c r="M15" s="397">
        <f>[4]Brewhouse!$U385-[4]Brewhouse!$T385</f>
        <v>0.11319444444444438</v>
      </c>
      <c r="N15" s="370">
        <f>[4]Brewhouse!$Z385</f>
        <v>0.27569444444444446</v>
      </c>
      <c r="O15" s="420" t="str">
        <f>[4]Brewhouse!$AX385</f>
        <v>K. Benjamin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[4]Brewhouse!$A386</f>
        <v>CA341</v>
      </c>
      <c r="D16" s="279">
        <f>[4]Brewhouse!$AF386</f>
        <v>52.7</v>
      </c>
      <c r="E16" s="279">
        <f>[4]Brewhouse!$AI386</f>
        <v>50.8</v>
      </c>
      <c r="F16" s="278">
        <f>[4]Brewhouse!$V386</f>
        <v>59</v>
      </c>
      <c r="G16" s="279">
        <f>[4]Brewhouse!AG386</f>
        <v>11.8</v>
      </c>
      <c r="H16" s="396">
        <v>11.8</v>
      </c>
      <c r="I16" s="368">
        <f>[4]Brewhouse!$AU386</f>
        <v>98.917653360549238</v>
      </c>
      <c r="J16" s="368">
        <f>[4]Brewhouse!$AV386</f>
        <v>100.52411757787458</v>
      </c>
      <c r="K16" s="281">
        <f>[4]Brewhouse!$Q386</f>
        <v>3.9186691312384427</v>
      </c>
      <c r="L16" s="276">
        <f>[4]Brewhouse!$P386</f>
        <v>61</v>
      </c>
      <c r="M16" s="397">
        <f>[4]Brewhouse!$U386-[4]Brewhouse!$T386</f>
        <v>0.10763888888888884</v>
      </c>
      <c r="N16" s="370">
        <f>[4]Brewhouse!$Z386</f>
        <v>0.26944444444444438</v>
      </c>
      <c r="O16" s="420" t="str">
        <f>[4]Brewhouse!$AX386</f>
        <v>K. Benjamin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29" t="s">
        <v>6</v>
      </c>
      <c r="C17" s="366" t="str">
        <f>[4]Brewhouse!$A387</f>
        <v>CA342</v>
      </c>
      <c r="D17" s="279">
        <f>[4]Brewhouse!$AF387</f>
        <v>52.6</v>
      </c>
      <c r="E17" s="279">
        <f>[4]Brewhouse!$AI387</f>
        <v>50.9</v>
      </c>
      <c r="F17" s="278">
        <f>[4]Brewhouse!$V387</f>
        <v>63</v>
      </c>
      <c r="G17" s="279">
        <f>[4]Brewhouse!AG387</f>
        <v>11.7</v>
      </c>
      <c r="H17" s="396">
        <v>11.8</v>
      </c>
      <c r="I17" s="368">
        <f>[4]Brewhouse!$AU387</f>
        <v>97.985121162080063</v>
      </c>
      <c r="J17" s="368">
        <f>[4]Brewhouse!$AV387</f>
        <v>99.576650591512873</v>
      </c>
      <c r="K17" s="281">
        <f>[4]Brewhouse!$Q387</f>
        <v>3.9259259259259207</v>
      </c>
      <c r="L17" s="276">
        <f>[4]Brewhouse!$P387</f>
        <v>59</v>
      </c>
      <c r="M17" s="397">
        <f>[4]Brewhouse!$U387-[4]Brewhouse!$T387</f>
        <v>0.11041666666666661</v>
      </c>
      <c r="N17" s="370">
        <f>[4]Brewhouse!$Z387</f>
        <v>0.32013888888888886</v>
      </c>
      <c r="O17" s="420" t="str">
        <f>[4]Brewhouse!$AX387</f>
        <v>K. Benjamin</v>
      </c>
      <c r="P17" s="418" t="s">
        <v>175</v>
      </c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>
      <c r="B20" s="34"/>
      <c r="C20" s="366"/>
      <c r="D20" s="279"/>
      <c r="E20" s="279"/>
      <c r="F20" s="278"/>
      <c r="G20" s="279"/>
      <c r="H20" s="396"/>
      <c r="I20" s="483"/>
      <c r="J20" s="483"/>
      <c r="K20" s="484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34"/>
      <c r="C21" s="366"/>
      <c r="D21" s="279"/>
      <c r="E21" s="279"/>
      <c r="F21" s="278"/>
      <c r="G21" s="279"/>
      <c r="H21" s="396"/>
      <c r="I21" s="483"/>
      <c r="J21" s="483"/>
      <c r="K21" s="484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34"/>
      <c r="C22" s="366"/>
      <c r="D22" s="279"/>
      <c r="E22" s="279"/>
      <c r="F22" s="278"/>
      <c r="G22" s="279"/>
      <c r="H22" s="396"/>
      <c r="I22" s="483"/>
      <c r="J22" s="483"/>
      <c r="K22" s="484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8" hidden="1" customHeight="1">
      <c r="B23" s="29"/>
      <c r="C23" s="366"/>
      <c r="D23" s="279"/>
      <c r="E23" s="279"/>
      <c r="F23" s="278"/>
      <c r="G23" s="279"/>
      <c r="H23" s="482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.75" customHeight="1" thickBot="1">
      <c r="B25" s="358"/>
      <c r="C25" s="358"/>
      <c r="D25" s="358"/>
      <c r="E25" s="358"/>
      <c r="F25" s="294"/>
      <c r="G25" s="294"/>
      <c r="H25" s="348"/>
      <c r="I25" s="525"/>
      <c r="J25" s="525"/>
      <c r="K25" s="525"/>
      <c r="L25" s="525"/>
      <c r="M25" s="525"/>
      <c r="N25" s="525"/>
      <c r="O25" s="1"/>
      <c r="P25" s="12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.75" customHeight="1" thickBot="1">
      <c r="B26" s="388" t="s">
        <v>162</v>
      </c>
      <c r="C26" s="388"/>
      <c r="D26" s="526" t="s">
        <v>35</v>
      </c>
      <c r="E26" s="527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28"/>
      <c r="C27" s="362"/>
      <c r="D27" s="531"/>
      <c r="E27" s="532"/>
      <c r="F27" s="294"/>
      <c r="G27" s="294"/>
      <c r="H27" s="348"/>
      <c r="I27" s="29" t="s">
        <v>6</v>
      </c>
      <c r="J27" s="323">
        <f>AVERAGE(I10:I17)</f>
        <v>98.390727680983019</v>
      </c>
      <c r="K27" s="284">
        <f>COUNTA([4]Brewhouse!$A$372:$A$387)</f>
        <v>16</v>
      </c>
      <c r="L27" s="305">
        <f>AVERAGE([4]Brewhouse!$AU$372:$AU$387)</f>
        <v>98.902892478421435</v>
      </c>
      <c r="M27" s="305">
        <f>AVERAGE([4]Brewhouse!$AU$42:$AU$123,[4]Brewhouse!$AU$125:$AU$188,[4]Brewhouse!$AU$198:$AU$290,[4]Brewhouse!$AU$292:$AU$370,[4]Brewhouse!$AU$372:$AU$387)</f>
        <v>98.047809454746684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" customHeight="1">
      <c r="A28" s="28"/>
      <c r="B28" s="529"/>
      <c r="C28" s="362"/>
      <c r="D28" s="533"/>
      <c r="E28" s="534"/>
      <c r="F28" s="294"/>
      <c r="G28" s="294"/>
      <c r="H28" s="348"/>
      <c r="I28" s="33" t="s">
        <v>9</v>
      </c>
      <c r="J28" s="280"/>
      <c r="K28" s="284"/>
      <c r="L28" s="302"/>
      <c r="M28" s="302">
        <f>AVERAGE([3]Brewhouse!$AS$52:$AS$81,[3]Brewhouse!$AS$83:$AS$124,[3]Brewhouse!$AS$134:$AS$177,[3]Brewhouse!$AS$22:$AS$179)</f>
        <v>97.946757744825319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29"/>
      <c r="C29" s="362"/>
      <c r="D29" s="535"/>
      <c r="E29" s="536"/>
      <c r="F29" s="294"/>
      <c r="G29" s="294"/>
      <c r="H29" s="348"/>
      <c r="I29" s="34" t="s">
        <v>12</v>
      </c>
      <c r="J29" s="280"/>
      <c r="K29" s="284"/>
      <c r="L29" s="302"/>
      <c r="M29" s="302">
        <f>AVERAGE([5]Brewhouse!$AU$16:$AU$23,[5]Brewhouse!$AU$25:$AU$32,[5]Brewhouse!$AU$34:$AU$41,[5]Brewhouse!$AU$43:$AU$55)</f>
        <v>96.793456653928644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29"/>
      <c r="C30" s="362"/>
      <c r="D30" s="537"/>
      <c r="E30" s="534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AVERAGE([6]Brewhouse!$AV$23:$AV$34,[6]Brewhouse!$AV$36,[6]Brewhouse!$AV$38:$AV$52,[6]Brewhouse!$AV$54:$AV$60)</f>
        <v>97.437512946773296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9"/>
      <c r="C31" s="362"/>
      <c r="D31" s="535"/>
      <c r="E31" s="536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9"/>
      <c r="C32" s="362"/>
      <c r="D32" s="537"/>
      <c r="E32" s="534"/>
      <c r="F32" s="417"/>
      <c r="G32" s="294"/>
      <c r="H32" s="348"/>
      <c r="I32" s="36" t="s">
        <v>15</v>
      </c>
      <c r="J32" s="323"/>
      <c r="K32" s="284"/>
      <c r="L32" s="302"/>
      <c r="M32" s="302">
        <f>AVERAGE([7]Brewhouse!$AT$4:$AT$11)</f>
        <v>92.826224508052405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9"/>
      <c r="C33" s="362"/>
      <c r="D33" s="535"/>
      <c r="E33" s="536"/>
      <c r="F33" s="417"/>
      <c r="G33" s="294"/>
      <c r="H33" s="348"/>
      <c r="I33" s="37" t="s">
        <v>16</v>
      </c>
      <c r="J33" s="323"/>
      <c r="K33" s="284"/>
      <c r="L33" s="302"/>
      <c r="M33" s="302">
        <f>AVERAGE([8]Brewhouse!$AY$5:$AY$14,[8]Brewhouse!$AY$16:$AY$23,[8]Brewhouse!$AY$42,[8]Brewhouse!$AY$44:$AY$51)</f>
        <v>97.608428475776392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9"/>
      <c r="C34" s="362"/>
      <c r="D34" s="537"/>
      <c r="E34" s="534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29"/>
      <c r="C35" s="349"/>
      <c r="D35" s="535"/>
      <c r="E35" s="536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29"/>
      <c r="C36" s="349"/>
      <c r="D36" s="537"/>
      <c r="E36" s="534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29"/>
      <c r="C37" s="349"/>
      <c r="D37" s="531"/>
      <c r="E37" s="532"/>
      <c r="F37" s="294"/>
      <c r="G37" s="294"/>
      <c r="H37" s="348"/>
      <c r="I37" s="1"/>
      <c r="J37" s="39"/>
      <c r="K37" s="404">
        <f>SUM(K27:K36)</f>
        <v>16</v>
      </c>
      <c r="L37" s="405">
        <f>((L27*K27)+(L28*K28)+(L29*K29)+(L30*K30)+(L31*K31)+(K34*L34)+(L32*K32)+(L33*K33)+(L36*K36))/(K37)</f>
        <v>98.902892478421435</v>
      </c>
      <c r="M37" s="405">
        <f>AVERAGE('[9]Jan30th-31st'!$L$42,L37)</f>
        <v>98.365467107131451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30"/>
      <c r="C38" s="350"/>
      <c r="D38" s="533"/>
      <c r="E38" s="534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28"/>
      <c r="C39" s="362"/>
      <c r="D39" s="539"/>
      <c r="E39" s="540"/>
      <c r="F39" s="294"/>
      <c r="G39" s="42"/>
      <c r="H39" s="41"/>
      <c r="I39" s="42"/>
      <c r="J39" s="541" t="s">
        <v>129</v>
      </c>
      <c r="K39" s="541"/>
      <c r="L39" s="294"/>
      <c r="M39" s="294"/>
      <c r="N39" s="294"/>
      <c r="O39" s="294"/>
      <c r="P39" s="12"/>
    </row>
    <row r="40" spans="1:56" ht="15.75" thickBot="1">
      <c r="B40" s="529"/>
      <c r="C40" s="362"/>
      <c r="D40" s="537"/>
      <c r="E40" s="534"/>
      <c r="F40" s="294"/>
      <c r="G40" s="42"/>
      <c r="H40" s="42"/>
      <c r="I40" s="42"/>
      <c r="J40" s="292" t="s">
        <v>17</v>
      </c>
      <c r="K40" s="293" t="s">
        <v>172</v>
      </c>
      <c r="L40" s="542" t="s">
        <v>136</v>
      </c>
      <c r="M40" s="542"/>
      <c r="N40" s="543"/>
      <c r="O40" s="294"/>
      <c r="P40" s="12"/>
    </row>
    <row r="41" spans="1:56" ht="15" customHeight="1" thickBot="1">
      <c r="B41" s="529"/>
      <c r="C41" s="349"/>
      <c r="D41" s="535"/>
      <c r="E41" s="536"/>
      <c r="F41" s="294"/>
      <c r="G41" s="42"/>
      <c r="H41" s="42"/>
      <c r="I41" s="42"/>
      <c r="J41" s="287" t="s">
        <v>6</v>
      </c>
      <c r="K41" s="324">
        <v>8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9"/>
      <c r="C42" s="349"/>
      <c r="D42" s="537"/>
      <c r="E42" s="534"/>
      <c r="F42" s="294"/>
      <c r="G42" s="42"/>
      <c r="H42" s="42"/>
      <c r="I42" s="42"/>
      <c r="J42" s="345" t="s">
        <v>9</v>
      </c>
      <c r="K42" s="324"/>
      <c r="L42" s="344">
        <f>AVERAGE('May 2nd-23rd'!K53,'May 4th'!K51,'May 2nd-23rd'!K53)</f>
        <v>3.3333333333333335</v>
      </c>
      <c r="M42" s="325">
        <f>AVERAGE('[9]Jan30th-31st'!$L$47,L42,'[10]Feb 26th '!$L$39,'[11]Mar 31st'!$L$47,'[12]Apr 30th'!$L$46)</f>
        <v>5.8740579710144925</v>
      </c>
      <c r="N42" s="416">
        <v>9.1999999999999993</v>
      </c>
      <c r="O42" s="294"/>
      <c r="P42" s="12"/>
    </row>
    <row r="43" spans="1:56" ht="15" customHeight="1">
      <c r="B43" s="529"/>
      <c r="C43" s="349"/>
      <c r="D43" s="535"/>
      <c r="E43" s="536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9"/>
      <c r="C44" s="349"/>
      <c r="D44" s="537"/>
      <c r="E44" s="534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9"/>
      <c r="C45" s="349"/>
      <c r="D45" s="535"/>
      <c r="E45" s="536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9"/>
      <c r="C46" s="349"/>
      <c r="D46" s="537"/>
      <c r="E46" s="534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9"/>
      <c r="C47" s="349"/>
      <c r="D47" s="535"/>
      <c r="E47" s="536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38"/>
      <c r="C48" s="350"/>
      <c r="D48" s="544"/>
      <c r="E48" s="545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1:57" ht="17.649999999999999" customHeight="1" thickBot="1">
      <c r="B49" s="312" t="s">
        <v>139</v>
      </c>
      <c r="C49" s="313"/>
      <c r="D49" s="546"/>
      <c r="E49" s="547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1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1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8</v>
      </c>
      <c r="L51" s="294"/>
      <c r="M51" s="294"/>
      <c r="N51" s="294"/>
      <c r="O51" s="294"/>
      <c r="P51" s="12"/>
    </row>
    <row r="52" spans="1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1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1:57" ht="15" customHeight="1" thickBot="1">
      <c r="B54" s="548" t="s">
        <v>17</v>
      </c>
      <c r="C54" s="548" t="s">
        <v>44</v>
      </c>
      <c r="D54" s="551" t="s">
        <v>45</v>
      </c>
      <c r="E54" s="516" t="s">
        <v>46</v>
      </c>
      <c r="F54" s="565" t="s">
        <v>47</v>
      </c>
      <c r="G54" s="560" t="s">
        <v>48</v>
      </c>
      <c r="H54" s="548" t="s">
        <v>49</v>
      </c>
      <c r="I54" s="548" t="s">
        <v>50</v>
      </c>
      <c r="J54" s="554" t="s">
        <v>28</v>
      </c>
      <c r="K54" s="514" t="s">
        <v>51</v>
      </c>
      <c r="L54" s="563" t="s">
        <v>52</v>
      </c>
      <c r="M54" s="554" t="s">
        <v>53</v>
      </c>
      <c r="N54" s="13"/>
      <c r="O54" s="13"/>
      <c r="P54" s="50"/>
    </row>
    <row r="55" spans="1:57" ht="28.5" customHeight="1" thickTop="1" thickBot="1">
      <c r="B55" s="549"/>
      <c r="C55" s="550"/>
      <c r="D55" s="552"/>
      <c r="E55" s="553"/>
      <c r="F55" s="566"/>
      <c r="G55" s="561"/>
      <c r="H55" s="549"/>
      <c r="I55" s="549"/>
      <c r="J55" s="555"/>
      <c r="K55" s="562"/>
      <c r="L55" s="564"/>
      <c r="M55" s="555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1:57" s="54" customFormat="1" ht="36.75" customHeight="1" thickBot="1">
      <c r="B56" s="480" t="str">
        <f>J41</f>
        <v>CARIB</v>
      </c>
      <c r="C56" s="479">
        <v>46146</v>
      </c>
      <c r="D56" s="442">
        <f>[32]May_2026!$G$3</f>
        <v>410.5</v>
      </c>
      <c r="E56" s="443"/>
      <c r="F56" s="444"/>
      <c r="G56" s="445">
        <f>[32]May_2026!$G$7</f>
        <v>386.3</v>
      </c>
      <c r="H56" s="458"/>
      <c r="I56" s="458"/>
      <c r="J56" s="448" t="s">
        <v>173</v>
      </c>
      <c r="K56" s="449">
        <f>[34]May_2026!$G$18</f>
        <v>1.3554385964912281</v>
      </c>
      <c r="L56" s="457">
        <f>(((D56+E56)-G56)/(D56+E56))*100</f>
        <v>5.8952496954932982</v>
      </c>
      <c r="M56" s="455" t="s">
        <v>174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[13]January_2019!L5</f>
        <v>0</v>
      </c>
      <c r="AC56" s="57">
        <f>[13]January_2019!M5</f>
        <v>0</v>
      </c>
      <c r="AD56" s="57">
        <f>[13]January_2019!N5</f>
        <v>0</v>
      </c>
      <c r="AE56" s="57">
        <f>[13]January_2019!O5</f>
        <v>0</v>
      </c>
      <c r="AF56" s="57">
        <f>[13]January_2019!P5</f>
        <v>0</v>
      </c>
      <c r="AG56" s="57">
        <f>[13]January_2019!Q5</f>
        <v>0</v>
      </c>
      <c r="AH56" s="57">
        <f>[13]January_2019!R5</f>
        <v>0</v>
      </c>
      <c r="AI56" s="57">
        <f>[13]January_2019!S5</f>
        <v>0</v>
      </c>
      <c r="AJ56" s="57">
        <f>[13]January_2019!T5</f>
        <v>0</v>
      </c>
      <c r="AK56" s="57">
        <f>[13]January_2019!U5</f>
        <v>0</v>
      </c>
      <c r="AL56" s="57">
        <f>[13]January_2019!V5</f>
        <v>0</v>
      </c>
      <c r="AM56" s="57">
        <f>[13]January_2019!W5</f>
        <v>0</v>
      </c>
      <c r="AN56" s="57">
        <f>[13]January_2019!X5</f>
        <v>0</v>
      </c>
      <c r="AO56" s="57">
        <f>[13]January_2019!Y5</f>
        <v>0</v>
      </c>
      <c r="AP56" s="57">
        <f>[13]January_2019!Z5</f>
        <v>0</v>
      </c>
      <c r="AQ56" s="57">
        <f>[13]January_2019!AA5</f>
        <v>0</v>
      </c>
      <c r="AR56" s="57">
        <f>[13]January_2019!AB5</f>
        <v>0</v>
      </c>
      <c r="AS56" s="57">
        <f>[13]January_2019!AC5</f>
        <v>0</v>
      </c>
      <c r="AT56" s="57">
        <f>[13]January_2019!AD5</f>
        <v>0</v>
      </c>
      <c r="AU56" s="57">
        <f>[13]January_2019!AE5</f>
        <v>0</v>
      </c>
      <c r="AV56" s="57">
        <f>[13]January_2019!AF5</f>
        <v>0</v>
      </c>
      <c r="AW56" s="57">
        <f>[13]January_2019!AG5</f>
        <v>0</v>
      </c>
      <c r="AX56" s="277">
        <f>[13]January_2019!AH5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4.25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[13]January_2019!L6</f>
        <v>0</v>
      </c>
      <c r="AC57" s="57">
        <f>[13]January_2019!M6</f>
        <v>0</v>
      </c>
      <c r="AD57" s="57">
        <f>[13]January_2019!N6</f>
        <v>0</v>
      </c>
      <c r="AE57" s="57">
        <f>[13]January_2019!O6</f>
        <v>0</v>
      </c>
      <c r="AF57" s="57">
        <f>[13]January_2019!P6</f>
        <v>0</v>
      </c>
      <c r="AG57" s="57">
        <f>[13]January_2019!Q6</f>
        <v>0</v>
      </c>
      <c r="AH57" s="57">
        <f>[13]January_2019!R6</f>
        <v>0</v>
      </c>
      <c r="AI57" s="57">
        <f>[13]January_2019!S6</f>
        <v>0</v>
      </c>
      <c r="AJ57" s="57">
        <f>[13]January_2019!T6</f>
        <v>0</v>
      </c>
      <c r="AK57" s="57">
        <f>[13]January_2019!U6</f>
        <v>0</v>
      </c>
      <c r="AL57" s="57">
        <f>[13]January_2019!V6</f>
        <v>0</v>
      </c>
      <c r="AM57" s="57">
        <f>[13]January_2019!W6</f>
        <v>0</v>
      </c>
      <c r="AN57" s="57">
        <f>[13]January_2019!X6</f>
        <v>0</v>
      </c>
      <c r="AO57" s="57">
        <f>[13]January_2019!Y6</f>
        <v>0</v>
      </c>
      <c r="AP57" s="57">
        <f>[13]January_2019!Z6</f>
        <v>0</v>
      </c>
      <c r="AQ57" s="57">
        <f>[13]January_2019!AA6</f>
        <v>0</v>
      </c>
      <c r="AR57" s="57">
        <f>[13]January_2019!AB6</f>
        <v>0</v>
      </c>
      <c r="AS57" s="57">
        <f>[13]January_2019!AC6</f>
        <v>0</v>
      </c>
      <c r="AT57" s="57">
        <f>[13]January_2019!AD6</f>
        <v>0</v>
      </c>
      <c r="AU57" s="57">
        <f>[13]January_2019!AE6</f>
        <v>0</v>
      </c>
      <c r="AV57" s="57">
        <f>[13]January_2019!AF6</f>
        <v>0</v>
      </c>
      <c r="AW57" s="57">
        <f>[13]January_2019!AG6</f>
        <v>0</v>
      </c>
      <c r="AX57" s="277">
        <f>[13]January_2019!AH6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37.15" customHeight="1" thickBot="1">
      <c r="A58" s="54" t="s">
        <v>168</v>
      </c>
      <c r="B58" s="481" t="str">
        <f>J44</f>
        <v>VITAMALT</v>
      </c>
      <c r="C58" s="479">
        <v>46146</v>
      </c>
      <c r="D58" s="442">
        <f>[32]May_2026!$G$65</f>
        <v>38.1</v>
      </c>
      <c r="E58" s="443">
        <f>SUM([33]VITAMALT!$J$10)</f>
        <v>2.0499999999999998</v>
      </c>
      <c r="F58" s="444"/>
      <c r="G58" s="445">
        <f>[32]May_2026!$G$70</f>
        <v>37.799999999999997</v>
      </c>
      <c r="H58" s="458"/>
      <c r="I58" s="458"/>
      <c r="J58" s="448" t="s">
        <v>173</v>
      </c>
      <c r="K58" s="449">
        <f>[34]May_2026!$G$60</f>
        <v>0.13263157894736841</v>
      </c>
      <c r="L58" s="457">
        <f>(((D58+E58)-G58)/(D58+E58))*100</f>
        <v>5.8530510585305144</v>
      </c>
      <c r="M58" s="455" t="s">
        <v>177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[13]January_2019!L7</f>
        <v>285.8</v>
      </c>
      <c r="AC58" s="57">
        <f>[13]January_2019!M7</f>
        <v>508.1</v>
      </c>
      <c r="AD58" s="57">
        <f>[13]January_2019!N7</f>
        <v>0</v>
      </c>
      <c r="AE58" s="57">
        <f>[13]January_2019!O7</f>
        <v>0</v>
      </c>
      <c r="AF58" s="57">
        <f>[13]January_2019!P7</f>
        <v>109.56666666666666</v>
      </c>
      <c r="AG58" s="57">
        <f>[13]January_2019!Q7</f>
        <v>297.64999999999998</v>
      </c>
      <c r="AH58" s="57">
        <f>[13]January_2019!R7</f>
        <v>122.3</v>
      </c>
      <c r="AI58" s="57">
        <f>[13]January_2019!S7</f>
        <v>0</v>
      </c>
      <c r="AJ58" s="57">
        <f>[13]January_2019!T7</f>
        <v>294.7</v>
      </c>
      <c r="AK58" s="57">
        <f>[13]January_2019!U7</f>
        <v>280.5</v>
      </c>
      <c r="AL58" s="57">
        <f>[13]January_2019!V7</f>
        <v>0</v>
      </c>
      <c r="AM58" s="57">
        <f>[13]January_2019!W7</f>
        <v>0</v>
      </c>
      <c r="AN58" s="57">
        <f>[13]January_2019!X7</f>
        <v>188.25</v>
      </c>
      <c r="AO58" s="57">
        <f>[13]January_2019!Y7</f>
        <v>295.7</v>
      </c>
      <c r="AP58" s="57">
        <f>[13]January_2019!Z7</f>
        <v>257.8</v>
      </c>
      <c r="AQ58" s="57">
        <f>[13]January_2019!AA7</f>
        <v>291.2</v>
      </c>
      <c r="AR58" s="57">
        <f>[13]January_2019!AB7</f>
        <v>187</v>
      </c>
      <c r="AS58" s="57">
        <f>[13]January_2019!AC7</f>
        <v>0</v>
      </c>
      <c r="AT58" s="57">
        <f>[13]January_2019!AD7</f>
        <v>0</v>
      </c>
      <c r="AU58" s="57">
        <f>[13]January_2019!AE7</f>
        <v>485.1</v>
      </c>
      <c r="AV58" s="57">
        <f>[13]January_2019!AF7</f>
        <v>171.55</v>
      </c>
      <c r="AW58" s="57">
        <f>[13]January_2019!AG7</f>
        <v>423.8</v>
      </c>
      <c r="AX58" s="277">
        <f>[13]January_2019!AH7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9.5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8.450000000000003" hidden="1" customHeight="1" thickBot="1">
      <c r="B60" s="480"/>
      <c r="C60" s="479"/>
      <c r="D60" s="442"/>
      <c r="E60" s="443"/>
      <c r="F60" s="444"/>
      <c r="G60" s="445"/>
      <c r="H60" s="458"/>
      <c r="I60" s="458"/>
      <c r="J60" s="448" t="s">
        <v>171</v>
      </c>
      <c r="K60" s="459"/>
      <c r="L60" s="457" t="e">
        <f>(((D60+E60)-G60)/(D60+E60))*100</f>
        <v>#DIV/0!</v>
      </c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5.75" hidden="1" thickBot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B62" s="480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1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56" t="s">
        <v>55</v>
      </c>
      <c r="C67" s="557"/>
      <c r="D67" s="557"/>
      <c r="E67" s="557"/>
      <c r="F67" s="558"/>
      <c r="G67" s="556" t="s">
        <v>56</v>
      </c>
      <c r="H67" s="557"/>
      <c r="I67" s="557"/>
      <c r="J67" s="558"/>
      <c r="K67" s="556" t="s">
        <v>51</v>
      </c>
      <c r="L67" s="557"/>
      <c r="M67" s="557"/>
      <c r="N67" s="559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/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>
        <f>L56</f>
        <v>5.8952496954932982</v>
      </c>
      <c r="D69" s="76">
        <v>5.8952496954932982</v>
      </c>
      <c r="E69" s="76">
        <v>6.8201051090861107</v>
      </c>
      <c r="F69" s="66">
        <v>4.8</v>
      </c>
      <c r="G69" s="65">
        <f>[32]May_2026!$G$11</f>
        <v>5.5884697434003687</v>
      </c>
      <c r="H69" s="477">
        <v>5.5884697434003687</v>
      </c>
      <c r="I69" s="477">
        <v>6.4256093724751562</v>
      </c>
      <c r="J69" s="66">
        <v>4.8</v>
      </c>
      <c r="K69" s="67">
        <f>K56</f>
        <v>1.3554385964912281</v>
      </c>
      <c r="L69" s="194">
        <v>1.3554385964912281</v>
      </c>
      <c r="M69" s="194">
        <v>0.49483103246817467</v>
      </c>
      <c r="N69" s="68">
        <v>1</v>
      </c>
      <c r="O69" s="56"/>
      <c r="P69" s="69"/>
    </row>
    <row r="70" spans="2:57" ht="15">
      <c r="B70" s="33" t="s">
        <v>9</v>
      </c>
      <c r="C70" s="65"/>
      <c r="D70" s="76"/>
      <c r="E70" s="76">
        <v>6.3411334413966323</v>
      </c>
      <c r="F70" s="66">
        <v>4.8</v>
      </c>
      <c r="G70" s="65"/>
      <c r="H70" s="76"/>
      <c r="I70" s="76">
        <v>5.6038747647231943</v>
      </c>
      <c r="J70" s="66">
        <v>4.8</v>
      </c>
      <c r="K70" s="67"/>
      <c r="L70" s="194"/>
      <c r="M70" s="194">
        <v>0.72493688613389806</v>
      </c>
      <c r="N70" s="68">
        <v>1</v>
      </c>
      <c r="P70" s="69"/>
    </row>
    <row r="71" spans="2:57" ht="15">
      <c r="B71" s="34" t="s">
        <v>40</v>
      </c>
      <c r="C71" s="65"/>
      <c r="D71" s="76"/>
      <c r="E71" s="76">
        <v>12.380135651360392</v>
      </c>
      <c r="F71" s="66">
        <v>5.5</v>
      </c>
      <c r="G71" s="65"/>
      <c r="H71" s="76"/>
      <c r="I71" s="76">
        <v>13.201587402597006</v>
      </c>
      <c r="J71" s="66">
        <v>5.5</v>
      </c>
      <c r="K71" s="67"/>
      <c r="L71" s="194"/>
      <c r="M71" s="194">
        <v>0.27273830409356731</v>
      </c>
      <c r="N71" s="68">
        <v>1</v>
      </c>
      <c r="P71" s="69"/>
    </row>
    <row r="72" spans="2:57" ht="15">
      <c r="B72" s="22" t="s">
        <v>33</v>
      </c>
      <c r="C72" s="65">
        <f>L58</f>
        <v>5.8530510585305144</v>
      </c>
      <c r="D72" s="76">
        <v>4.8532569792412277</v>
      </c>
      <c r="E72" s="76">
        <v>4.6518562695690884</v>
      </c>
      <c r="F72" s="66">
        <v>3.3</v>
      </c>
      <c r="G72" s="65">
        <f>[32]May_2026!$G$74</f>
        <v>7.6847338191997654</v>
      </c>
      <c r="H72" s="76">
        <v>4.7372529705103688</v>
      </c>
      <c r="I72" s="76">
        <v>4.4089875005606158</v>
      </c>
      <c r="J72" s="66">
        <v>3.3</v>
      </c>
      <c r="K72" s="67">
        <f>K58</f>
        <v>0.13263157894736841</v>
      </c>
      <c r="L72" s="194">
        <v>0.58298245614035094</v>
      </c>
      <c r="M72" s="194">
        <v>0.74716374269005859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5.1105651105651271</v>
      </c>
      <c r="F74" s="70">
        <f>[31]May_2022!$M$43</f>
        <v>3.4878406700073312</v>
      </c>
      <c r="G74" s="282"/>
      <c r="H74" s="76"/>
      <c r="I74" s="76">
        <v>7.9131369535794072</v>
      </c>
      <c r="J74" s="66">
        <v>5.5</v>
      </c>
      <c r="K74" s="67"/>
      <c r="L74" s="194"/>
      <c r="M74" s="194">
        <v>1.3550877192982456</v>
      </c>
      <c r="N74" s="68">
        <v>1</v>
      </c>
      <c r="P74" s="69"/>
    </row>
    <row r="75" spans="2:57" ht="15">
      <c r="B75" s="37" t="s">
        <v>16</v>
      </c>
      <c r="C75" s="65"/>
      <c r="D75" s="76"/>
      <c r="E75" s="76">
        <v>3.9654240950837312</v>
      </c>
      <c r="F75" s="66">
        <v>3.3</v>
      </c>
      <c r="G75" s="282"/>
      <c r="H75" s="76"/>
      <c r="I75" s="76">
        <v>4.8236555171494695</v>
      </c>
      <c r="J75" s="66">
        <v>3.3</v>
      </c>
      <c r="K75" s="67"/>
      <c r="L75" s="194"/>
      <c r="M75" s="194">
        <v>0.89457115009746591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5.4162553471536663</v>
      </c>
      <c r="E78" s="76">
        <v>6.5780088221662423</v>
      </c>
      <c r="F78" s="341">
        <v>5.5</v>
      </c>
      <c r="H78" s="76">
        <v>5.1225381830991452</v>
      </c>
      <c r="I78" s="76">
        <v>6.4786794000137151</v>
      </c>
      <c r="J78" s="341">
        <v>5.5</v>
      </c>
      <c r="L78" s="194">
        <v>0.84046783625730992</v>
      </c>
      <c r="M78" s="194">
        <v>0.58040335643029151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3478" priority="76" operator="notBetween">
      <formula>#REF!</formula>
      <formula>#REF!</formula>
    </cfRule>
  </conditionalFormatting>
  <conditionalFormatting sqref="C53">
    <cfRule type="cellIs" dxfId="3477" priority="170" stopIfTrue="1" operator="lessThan">
      <formula>96</formula>
    </cfRule>
    <cfRule type="cellIs" dxfId="3476" priority="171" stopIfTrue="1" operator="greaterThan">
      <formula>100</formula>
    </cfRule>
  </conditionalFormatting>
  <conditionalFormatting sqref="C69:C73">
    <cfRule type="cellIs" dxfId="3475" priority="139" stopIfTrue="1" operator="lessThanOrEqual">
      <formula>0</formula>
    </cfRule>
  </conditionalFormatting>
  <conditionalFormatting sqref="C69:C77">
    <cfRule type="cellIs" dxfId="3474" priority="138" stopIfTrue="1" operator="greaterThan">
      <formula>$F69</formula>
    </cfRule>
  </conditionalFormatting>
  <conditionalFormatting sqref="C70">
    <cfRule type="cellIs" dxfId="3473" priority="172" stopIfTrue="1" operator="greaterThan">
      <formula>$F69</formula>
    </cfRule>
  </conditionalFormatting>
  <conditionalFormatting sqref="C74">
    <cfRule type="cellIs" dxfId="3472" priority="100" stopIfTrue="1" operator="lessThanOrEqual">
      <formula>0</formula>
    </cfRule>
    <cfRule type="cellIs" dxfId="3471" priority="101" stopIfTrue="1" operator="greaterThan">
      <formula>$F73</formula>
    </cfRule>
  </conditionalFormatting>
  <conditionalFormatting sqref="C75:C77">
    <cfRule type="cellIs" dxfId="3470" priority="140" stopIfTrue="1" operator="lessThanOrEqual">
      <formula>0</formula>
    </cfRule>
  </conditionalFormatting>
  <conditionalFormatting sqref="C80:C84">
    <cfRule type="cellIs" dxfId="3469" priority="162" stopIfTrue="1" operator="lessThanOrEqual">
      <formula>0</formula>
    </cfRule>
  </conditionalFormatting>
  <conditionalFormatting sqref="C81:C84">
    <cfRule type="cellIs" dxfId="3468" priority="161" stopIfTrue="1" operator="greaterThan">
      <formula>$F$80</formula>
    </cfRule>
  </conditionalFormatting>
  <conditionalFormatting sqref="C86">
    <cfRule type="cellIs" dxfId="3467" priority="163" stopIfTrue="1" operator="greaterThan">
      <formula>$F$80</formula>
    </cfRule>
    <cfRule type="cellIs" dxfId="3466" priority="164" stopIfTrue="1" operator="lessThanOrEqual">
      <formula>0</formula>
    </cfRule>
  </conditionalFormatting>
  <conditionalFormatting sqref="C80:D80 D82:D88">
    <cfRule type="cellIs" dxfId="3465" priority="156" stopIfTrue="1" operator="greaterThan">
      <formula>4.5</formula>
    </cfRule>
  </conditionalFormatting>
  <conditionalFormatting sqref="D49:D50">
    <cfRule type="cellIs" dxfId="3464" priority="77" operator="notBetween">
      <formula>#REF!</formula>
      <formula>#REF!</formula>
    </cfRule>
  </conditionalFormatting>
  <conditionalFormatting sqref="D69:D76">
    <cfRule type="cellIs" dxfId="3463" priority="51" stopIfTrue="1" operator="lessThanOrEqual">
      <formula>0</formula>
    </cfRule>
  </conditionalFormatting>
  <conditionalFormatting sqref="D69:D78">
    <cfRule type="cellIs" dxfId="3462" priority="34" stopIfTrue="1" operator="lessThanOrEqual">
      <formula>0</formula>
    </cfRule>
  </conditionalFormatting>
  <conditionalFormatting sqref="D77">
    <cfRule type="cellIs" dxfId="3461" priority="50" stopIfTrue="1" operator="lessThanOrEqual">
      <formula>0</formula>
    </cfRule>
  </conditionalFormatting>
  <conditionalFormatting sqref="D78">
    <cfRule type="cellIs" dxfId="3460" priority="47" stopIfTrue="1" operator="lessThanOrEqual">
      <formula>0</formula>
    </cfRule>
  </conditionalFormatting>
  <conditionalFormatting sqref="D80 D82:D88">
    <cfRule type="cellIs" dxfId="3459" priority="157" stopIfTrue="1" operator="lessThanOrEqual">
      <formula>0</formula>
    </cfRule>
  </conditionalFormatting>
  <conditionalFormatting sqref="D81">
    <cfRule type="cellIs" dxfId="3458" priority="148" stopIfTrue="1" operator="greaterThan">
      <formula>$F$80</formula>
    </cfRule>
    <cfRule type="cellIs" dxfId="3457" priority="149" stopIfTrue="1" operator="lessThanOrEqual">
      <formula>0</formula>
    </cfRule>
  </conditionalFormatting>
  <conditionalFormatting sqref="D69:E78">
    <cfRule type="cellIs" dxfId="3456" priority="36" stopIfTrue="1" operator="greaterThan">
      <formula>$F69</formula>
    </cfRule>
  </conditionalFormatting>
  <conditionalFormatting sqref="D78:E78">
    <cfRule type="cellIs" dxfId="3455" priority="38" stopIfTrue="1" operator="lessThanOrEqual">
      <formula>0</formula>
    </cfRule>
  </conditionalFormatting>
  <conditionalFormatting sqref="E10:E24">
    <cfRule type="cellIs" dxfId="3454" priority="7" operator="lessThan">
      <formula>48</formula>
    </cfRule>
  </conditionalFormatting>
  <conditionalFormatting sqref="E52 E53:F53">
    <cfRule type="cellIs" dxfId="3453" priority="153" stopIfTrue="1" operator="greaterThan">
      <formula>100</formula>
    </cfRule>
  </conditionalFormatting>
  <conditionalFormatting sqref="E53">
    <cfRule type="cellIs" dxfId="3452" priority="150" stopIfTrue="1" operator="lessThan">
      <formula>96.8</formula>
    </cfRule>
    <cfRule type="cellIs" dxfId="3451" priority="151" stopIfTrue="1" operator="greaterThan">
      <formula>100</formula>
    </cfRule>
  </conditionalFormatting>
  <conditionalFormatting sqref="E69:E77">
    <cfRule type="cellIs" dxfId="3450" priority="35" stopIfTrue="1" operator="lessThanOrEqual">
      <formula>0</formula>
    </cfRule>
  </conditionalFormatting>
  <conditionalFormatting sqref="E69:E78">
    <cfRule type="cellIs" dxfId="3449" priority="37" stopIfTrue="1" operator="lessThanOrEqual">
      <formula>0</formula>
    </cfRule>
  </conditionalFormatting>
  <conditionalFormatting sqref="E80:E88">
    <cfRule type="cellIs" dxfId="3448" priority="142" stopIfTrue="1" operator="greaterThan">
      <formula>4.5</formula>
    </cfRule>
    <cfRule type="cellIs" dxfId="3447" priority="143" stopIfTrue="1" operator="lessThanOrEqual">
      <formula>0</formula>
    </cfRule>
  </conditionalFormatting>
  <conditionalFormatting sqref="E53:F53 E52">
    <cfRule type="cellIs" dxfId="3446" priority="152" stopIfTrue="1" operator="lessThan">
      <formula>96.5</formula>
    </cfRule>
  </conditionalFormatting>
  <conditionalFormatting sqref="F10:F24">
    <cfRule type="cellIs" dxfId="3445" priority="12" operator="greaterThan">
      <formula>60</formula>
    </cfRule>
  </conditionalFormatting>
  <conditionalFormatting sqref="F53">
    <cfRule type="cellIs" dxfId="3444" priority="169" stopIfTrue="1" operator="greaterThan">
      <formula>100</formula>
    </cfRule>
    <cfRule type="cellIs" dxfId="3443" priority="168" stopIfTrue="1" operator="lessThan">
      <formula>96.8</formula>
    </cfRule>
  </conditionalFormatting>
  <conditionalFormatting sqref="F78">
    <cfRule type="cellIs" dxfId="3442" priority="48" stopIfTrue="1" operator="greaterThan">
      <formula>$F78</formula>
    </cfRule>
    <cfRule type="cellIs" dxfId="3441" priority="49" stopIfTrue="1" operator="lessThanOrEqual">
      <formula>0</formula>
    </cfRule>
  </conditionalFormatting>
  <conditionalFormatting sqref="G10:G24">
    <cfRule type="expression" dxfId="3440" priority="9">
      <formula>IF(+(IF(G10&lt;S10,0,IF(G10&gt;T10,0,1)))=0,1)</formula>
    </cfRule>
  </conditionalFormatting>
  <conditionalFormatting sqref="G69:G70">
    <cfRule type="cellIs" dxfId="3439" priority="52" stopIfTrue="1" operator="greaterThan">
      <formula>$F69</formula>
    </cfRule>
    <cfRule type="cellIs" dxfId="3438" priority="53" stopIfTrue="1" operator="lessThanOrEqual">
      <formula>0</formula>
    </cfRule>
  </conditionalFormatting>
  <conditionalFormatting sqref="G69:G72">
    <cfRule type="cellIs" dxfId="3437" priority="16" stopIfTrue="1" operator="lessThanOrEqual">
      <formula>0</formula>
    </cfRule>
    <cfRule type="cellIs" dxfId="3436" priority="15" stopIfTrue="1" operator="greaterThan">
      <formula>$F69</formula>
    </cfRule>
  </conditionalFormatting>
  <conditionalFormatting sqref="G71">
    <cfRule type="cellIs" dxfId="3435" priority="13" stopIfTrue="1" operator="greaterThan">
      <formula>$F71</formula>
    </cfRule>
    <cfRule type="cellIs" dxfId="3434" priority="14" stopIfTrue="1" operator="lessThanOrEqual">
      <formula>0</formula>
    </cfRule>
  </conditionalFormatting>
  <conditionalFormatting sqref="G72">
    <cfRule type="cellIs" dxfId="3433" priority="42" stopIfTrue="1" operator="greaterThan">
      <formula>$F72</formula>
    </cfRule>
    <cfRule type="cellIs" dxfId="3432" priority="43" stopIfTrue="1" operator="lessThanOrEqual">
      <formula>0</formula>
    </cfRule>
  </conditionalFormatting>
  <conditionalFormatting sqref="G73:G77">
    <cfRule type="cellIs" dxfId="3431" priority="54" stopIfTrue="1" operator="greaterThan">
      <formula>$J73</formula>
    </cfRule>
    <cfRule type="cellIs" dxfId="3430" priority="55" stopIfTrue="1" operator="lessThanOrEqual">
      <formula>0</formula>
    </cfRule>
  </conditionalFormatting>
  <conditionalFormatting sqref="G82:G87 C85 C87">
    <cfRule type="cellIs" dxfId="3429" priority="166" stopIfTrue="1" operator="lessThanOrEqual">
      <formula>0</formula>
    </cfRule>
    <cfRule type="cellIs" dxfId="3428" priority="165" stopIfTrue="1" operator="greaterThan">
      <formula>4.5</formula>
    </cfRule>
  </conditionalFormatting>
  <conditionalFormatting sqref="G81:H81">
    <cfRule type="cellIs" dxfId="3427" priority="147" stopIfTrue="1" operator="lessThanOrEqual">
      <formula>0</formula>
    </cfRule>
    <cfRule type="cellIs" dxfId="3426" priority="146" stopIfTrue="1" operator="greaterThan">
      <formula>$F$80</formula>
    </cfRule>
  </conditionalFormatting>
  <conditionalFormatting sqref="H38:H39 H52">
    <cfRule type="cellIs" dxfId="3425" priority="144" stopIfTrue="1" operator="greaterThan">
      <formula>0</formula>
    </cfRule>
  </conditionalFormatting>
  <conditionalFormatting sqref="H56">
    <cfRule type="cellIs" dxfId="3424" priority="18" stopIfTrue="1" operator="lessThanOrEqual">
      <formula>0</formula>
    </cfRule>
    <cfRule type="cellIs" dxfId="3423" priority="27" stopIfTrue="1" operator="greaterThan">
      <formula>$F$69</formula>
    </cfRule>
    <cfRule type="cellIs" dxfId="3422" priority="19" stopIfTrue="1" operator="greaterThan">
      <formula>$F$66</formula>
    </cfRule>
    <cfRule type="cellIs" dxfId="3421" priority="28" stopIfTrue="1" operator="lessThanOrEqual">
      <formula>0</formula>
    </cfRule>
    <cfRule type="cellIs" dxfId="3420" priority="29" stopIfTrue="1" operator="greaterThan">
      <formula>$F$67</formula>
    </cfRule>
    <cfRule type="cellIs" dxfId="3419" priority="30" stopIfTrue="1" operator="lessThanOrEqual">
      <formula>0</formula>
    </cfRule>
  </conditionalFormatting>
  <conditionalFormatting sqref="H57:H60">
    <cfRule type="cellIs" dxfId="3418" priority="68" stopIfTrue="1" operator="greaterThan">
      <formula>$F$72</formula>
    </cfRule>
    <cfRule type="cellIs" dxfId="3417" priority="69" stopIfTrue="1" operator="lessThanOrEqual">
      <formula>0</formula>
    </cfRule>
    <cfRule type="cellIs" dxfId="3416" priority="59" stopIfTrue="1" operator="lessThanOrEqual">
      <formula>0</formula>
    </cfRule>
    <cfRule type="cellIs" dxfId="3415" priority="60" stopIfTrue="1" operator="greaterThan">
      <formula>$F$69</formula>
    </cfRule>
    <cfRule type="cellIs" dxfId="3414" priority="70" stopIfTrue="1" operator="greaterThan">
      <formula>$F$70</formula>
    </cfRule>
    <cfRule type="cellIs" dxfId="3413" priority="71" stopIfTrue="1" operator="lessThanOrEqual">
      <formula>0</formula>
    </cfRule>
  </conditionalFormatting>
  <conditionalFormatting sqref="H61:H62">
    <cfRule type="cellIs" dxfId="3412" priority="104" stopIfTrue="1" operator="greaterThan">
      <formula>#REF!</formula>
    </cfRule>
    <cfRule type="cellIs" dxfId="3411" priority="103" stopIfTrue="1" operator="lessThanOrEqual">
      <formula>0</formula>
    </cfRule>
    <cfRule type="cellIs" dxfId="3410" priority="115" stopIfTrue="1" operator="lessThanOrEqual">
      <formula>0</formula>
    </cfRule>
    <cfRule type="cellIs" dxfId="3409" priority="114" stopIfTrue="1" operator="greaterThan">
      <formula>#REF!</formula>
    </cfRule>
    <cfRule type="cellIs" dxfId="3408" priority="113" stopIfTrue="1" operator="lessThanOrEqual">
      <formula>0</formula>
    </cfRule>
    <cfRule type="cellIs" dxfId="3407" priority="112" stopIfTrue="1" operator="greaterThan">
      <formula>$F$24</formula>
    </cfRule>
  </conditionalFormatting>
  <conditionalFormatting sqref="H63">
    <cfRule type="cellIs" dxfId="3406" priority="126" stopIfTrue="1" operator="greaterThan">
      <formula>$F$40</formula>
    </cfRule>
    <cfRule type="cellIs" dxfId="3405" priority="127" stopIfTrue="1" operator="lessThanOrEqual">
      <formula>0</formula>
    </cfRule>
    <cfRule type="cellIs" dxfId="3404" priority="128" stopIfTrue="1" operator="greaterThan">
      <formula>$F$38</formula>
    </cfRule>
    <cfRule type="cellIs" dxfId="3403" priority="129" stopIfTrue="1" operator="lessThanOrEqual">
      <formula>0</formula>
    </cfRule>
    <cfRule type="cellIs" dxfId="3402" priority="117" stopIfTrue="1" operator="lessThanOrEqual">
      <formula>0</formula>
    </cfRule>
    <cfRule type="cellIs" dxfId="3401" priority="118" stopIfTrue="1" operator="greaterThan">
      <formula>$F$37</formula>
    </cfRule>
  </conditionalFormatting>
  <conditionalFormatting sqref="H64:H65">
    <cfRule type="cellIs" dxfId="3400" priority="99" stopIfTrue="1" operator="lessThanOrEqual">
      <formula>0</formula>
    </cfRule>
    <cfRule type="cellIs" dxfId="3399" priority="87" stopIfTrue="1" operator="lessThanOrEqual">
      <formula>0</formula>
    </cfRule>
    <cfRule type="cellIs" dxfId="3398" priority="88" stopIfTrue="1" operator="greaterThan">
      <formula>#REF!</formula>
    </cfRule>
    <cfRule type="cellIs" dxfId="3397" priority="98" stopIfTrue="1" operator="greaterThan">
      <formula>#REF!</formula>
    </cfRule>
    <cfRule type="cellIs" dxfId="3396" priority="96" stopIfTrue="1" operator="greaterThan">
      <formula>$F$24</formula>
    </cfRule>
    <cfRule type="cellIs" dxfId="3395" priority="97" stopIfTrue="1" operator="lessThanOrEqual">
      <formula>0</formula>
    </cfRule>
  </conditionalFormatting>
  <conditionalFormatting sqref="H80 H82:H88">
    <cfRule type="cellIs" dxfId="3394" priority="158" stopIfTrue="1" operator="greaterThan">
      <formula>4.5</formula>
    </cfRule>
    <cfRule type="cellIs" dxfId="3393" priority="159" stopIfTrue="1" operator="lessThanOrEqual">
      <formula>0</formula>
    </cfRule>
  </conditionalFormatting>
  <conditionalFormatting sqref="H56:I56">
    <cfRule type="cellIs" dxfId="3392" priority="17" stopIfTrue="1" operator="greaterThan">
      <formula>$F$68</formula>
    </cfRule>
    <cfRule type="cellIs" dxfId="3391" priority="20" stopIfTrue="1" operator="lessThanOrEqual">
      <formula>0</formula>
    </cfRule>
  </conditionalFormatting>
  <conditionalFormatting sqref="H57:I60">
    <cfRule type="cellIs" dxfId="3390" priority="61" stopIfTrue="1" operator="lessThanOrEqual">
      <formula>0</formula>
    </cfRule>
    <cfRule type="cellIs" dxfId="3389" priority="58" stopIfTrue="1" operator="greaterThan">
      <formula>$F$71</formula>
    </cfRule>
  </conditionalFormatting>
  <conditionalFormatting sqref="H61:I62">
    <cfRule type="cellIs" dxfId="3388" priority="102" stopIfTrue="1" operator="greaterThan">
      <formula>#REF!</formula>
    </cfRule>
    <cfRule type="cellIs" dxfId="3387" priority="105" stopIfTrue="1" operator="lessThanOrEqual">
      <formula>0</formula>
    </cfRule>
  </conditionalFormatting>
  <conditionalFormatting sqref="H63:I63">
    <cfRule type="cellIs" dxfId="3386" priority="119" stopIfTrue="1" operator="lessThanOrEqual">
      <formula>0</formula>
    </cfRule>
    <cfRule type="cellIs" dxfId="3385" priority="116" stopIfTrue="1" operator="greaterThan">
      <formula>$F$39</formula>
    </cfRule>
  </conditionalFormatting>
  <conditionalFormatting sqref="H64:I65">
    <cfRule type="cellIs" dxfId="3384" priority="86" stopIfTrue="1" operator="greaterThan">
      <formula>#REF!</formula>
    </cfRule>
    <cfRule type="cellIs" dxfId="3383" priority="89" stopIfTrue="1" operator="lessThanOrEqual">
      <formula>0</formula>
    </cfRule>
  </conditionalFormatting>
  <conditionalFormatting sqref="H69:I76">
    <cfRule type="cellIs" dxfId="3382" priority="33" stopIfTrue="1" operator="lessThanOrEqual">
      <formula>0</formula>
    </cfRule>
    <cfRule type="cellIs" dxfId="3381" priority="32" stopIfTrue="1" operator="greaterThan">
      <formula>$J69</formula>
    </cfRule>
  </conditionalFormatting>
  <conditionalFormatting sqref="H77:I77">
    <cfRule type="cellIs" dxfId="3380" priority="41" operator="greaterThan">
      <formula>5.3</formula>
    </cfRule>
  </conditionalFormatting>
  <conditionalFormatting sqref="H78:I78">
    <cfRule type="cellIs" dxfId="3379" priority="40" stopIfTrue="1" operator="lessThanOrEqual">
      <formula>0</formula>
    </cfRule>
    <cfRule type="cellIs" dxfId="3378" priority="39" stopIfTrue="1" operator="greaterThan">
      <formula>$J78</formula>
    </cfRule>
  </conditionalFormatting>
  <conditionalFormatting sqref="I56">
    <cfRule type="cellIs" dxfId="3377" priority="24" stopIfTrue="1" operator="lessThanOrEqual">
      <formula>0</formula>
    </cfRule>
    <cfRule type="cellIs" dxfId="3376" priority="25" stopIfTrue="1" operator="greaterThan">
      <formula>$F$66</formula>
    </cfRule>
    <cfRule type="cellIs" dxfId="3375" priority="26" stopIfTrue="1" operator="lessThanOrEqual">
      <formula>0</formula>
    </cfRule>
    <cfRule type="cellIs" dxfId="3374" priority="22" stopIfTrue="1" operator="lessThanOrEqual">
      <formula>0</formula>
    </cfRule>
    <cfRule type="cellIs" dxfId="3373" priority="21" stopIfTrue="1" operator="greaterThan">
      <formula>$F$66</formula>
    </cfRule>
    <cfRule type="cellIs" dxfId="3372" priority="23" stopIfTrue="1" operator="greaterThan">
      <formula>$F$68</formula>
    </cfRule>
  </conditionalFormatting>
  <conditionalFormatting sqref="I57:I60">
    <cfRule type="cellIs" dxfId="3371" priority="62" stopIfTrue="1" operator="greaterThan">
      <formula>$F$69</formula>
    </cfRule>
    <cfRule type="cellIs" dxfId="3370" priority="67" stopIfTrue="1" operator="lessThanOrEqual">
      <formula>0</formula>
    </cfRule>
    <cfRule type="cellIs" dxfId="3369" priority="65" stopIfTrue="1" operator="lessThanOrEqual">
      <formula>0</formula>
    </cfRule>
    <cfRule type="cellIs" dxfId="3368" priority="64" stopIfTrue="1" operator="greaterThan">
      <formula>$F$71</formula>
    </cfRule>
    <cfRule type="cellIs" dxfId="3367" priority="63" stopIfTrue="1" operator="lessThanOrEqual">
      <formula>0</formula>
    </cfRule>
    <cfRule type="cellIs" dxfId="3366" priority="66" stopIfTrue="1" operator="greaterThan">
      <formula>$F$69</formula>
    </cfRule>
  </conditionalFormatting>
  <conditionalFormatting sqref="I61:I62">
    <cfRule type="cellIs" dxfId="3365" priority="109" stopIfTrue="1" operator="lessThanOrEqual">
      <formula>0</formula>
    </cfRule>
    <cfRule type="cellIs" dxfId="3364" priority="110" stopIfTrue="1" operator="greaterThan">
      <formula>#REF!</formula>
    </cfRule>
    <cfRule type="cellIs" dxfId="3363" priority="111" stopIfTrue="1" operator="lessThanOrEqual">
      <formula>0</formula>
    </cfRule>
    <cfRule type="cellIs" dxfId="3362" priority="108" stopIfTrue="1" operator="greaterThan">
      <formula>#REF!</formula>
    </cfRule>
    <cfRule type="cellIs" dxfId="3361" priority="107" stopIfTrue="1" operator="lessThanOrEqual">
      <formula>0</formula>
    </cfRule>
    <cfRule type="cellIs" dxfId="3360" priority="106" stopIfTrue="1" operator="greaterThan">
      <formula>#REF!</formula>
    </cfRule>
  </conditionalFormatting>
  <conditionalFormatting sqref="I63">
    <cfRule type="cellIs" dxfId="3359" priority="120" stopIfTrue="1" operator="greaterThan">
      <formula>$F$37</formula>
    </cfRule>
    <cfRule type="cellIs" dxfId="3358" priority="121" stopIfTrue="1" operator="lessThanOrEqual">
      <formula>0</formula>
    </cfRule>
    <cfRule type="cellIs" dxfId="3357" priority="122" stopIfTrue="1" operator="greaterThan">
      <formula>$F$39</formula>
    </cfRule>
    <cfRule type="cellIs" dxfId="3356" priority="123" stopIfTrue="1" operator="lessThanOrEqual">
      <formula>0</formula>
    </cfRule>
    <cfRule type="cellIs" dxfId="3355" priority="124" stopIfTrue="1" operator="greaterThan">
      <formula>$F$37</formula>
    </cfRule>
    <cfRule type="cellIs" dxfId="3354" priority="125" stopIfTrue="1" operator="lessThanOrEqual">
      <formula>0</formula>
    </cfRule>
  </conditionalFormatting>
  <conditionalFormatting sqref="I64:I65">
    <cfRule type="cellIs" dxfId="3353" priority="90" stopIfTrue="1" operator="greaterThan">
      <formula>#REF!</formula>
    </cfRule>
    <cfRule type="cellIs" dxfId="3352" priority="95" stopIfTrue="1" operator="lessThanOrEqual">
      <formula>0</formula>
    </cfRule>
    <cfRule type="cellIs" dxfId="3351" priority="94" stopIfTrue="1" operator="greaterThan">
      <formula>#REF!</formula>
    </cfRule>
    <cfRule type="cellIs" dxfId="3350" priority="93" stopIfTrue="1" operator="lessThanOrEqual">
      <formula>0</formula>
    </cfRule>
    <cfRule type="cellIs" dxfId="3349" priority="92" stopIfTrue="1" operator="greaterThan">
      <formula>#REF!</formula>
    </cfRule>
    <cfRule type="cellIs" dxfId="3348" priority="91" stopIfTrue="1" operator="lessThanOrEqual">
      <formula>0</formula>
    </cfRule>
  </conditionalFormatting>
  <conditionalFormatting sqref="I80:I88">
    <cfRule type="cellIs" dxfId="3347" priority="155" stopIfTrue="1" operator="lessThanOrEqual">
      <formula>0</formula>
    </cfRule>
    <cfRule type="cellIs" dxfId="3346" priority="154" stopIfTrue="1" operator="greaterThan">
      <formula>4.5</formula>
    </cfRule>
  </conditionalFormatting>
  <conditionalFormatting sqref="I10:J24">
    <cfRule type="cellIs" dxfId="3345" priority="1" operator="lessThan">
      <formula>97.9</formula>
    </cfRule>
  </conditionalFormatting>
  <conditionalFormatting sqref="J27">
    <cfRule type="cellIs" dxfId="3344" priority="57" operator="lessThan">
      <formula>97.95</formula>
    </cfRule>
  </conditionalFormatting>
  <conditionalFormatting sqref="J29">
    <cfRule type="cellIs" dxfId="3343" priority="131" stopIfTrue="1" operator="lessThan">
      <formula>96.8</formula>
    </cfRule>
    <cfRule type="cellIs" dxfId="3342" priority="132" stopIfTrue="1" operator="greaterThan">
      <formula>100</formula>
    </cfRule>
    <cfRule type="cellIs" dxfId="3341" priority="133" operator="lessThan">
      <formula>98</formula>
    </cfRule>
  </conditionalFormatting>
  <conditionalFormatting sqref="J29:J31">
    <cfRule type="cellIs" dxfId="3340" priority="130" operator="lessThan">
      <formula>97.4</formula>
    </cfRule>
  </conditionalFormatting>
  <conditionalFormatting sqref="J32:J33">
    <cfRule type="cellIs" dxfId="3339" priority="134" operator="lessThan">
      <formula>98</formula>
    </cfRule>
  </conditionalFormatting>
  <conditionalFormatting sqref="J34:J35">
    <cfRule type="cellIs" dxfId="3338" priority="136" stopIfTrue="1" operator="greaterThan">
      <formula>100</formula>
    </cfRule>
    <cfRule type="cellIs" dxfId="3337" priority="135" stopIfTrue="1" operator="lessThan">
      <formula>96.8</formula>
    </cfRule>
  </conditionalFormatting>
  <conditionalFormatting sqref="J34:J36">
    <cfRule type="cellIs" dxfId="3336" priority="137" operator="lessThan">
      <formula>98</formula>
    </cfRule>
  </conditionalFormatting>
  <conditionalFormatting sqref="J65">
    <cfRule type="cellIs" dxfId="3335" priority="78" stopIfTrue="1" operator="greaterThan">
      <formula>#REF!</formula>
    </cfRule>
    <cfRule type="cellIs" dxfId="3334" priority="79" stopIfTrue="1" operator="lessThanOrEqual">
      <formula>0</formula>
    </cfRule>
    <cfRule type="cellIs" dxfId="3333" priority="80" stopIfTrue="1" operator="greaterThan">
      <formula>#REF!</formula>
    </cfRule>
    <cfRule type="cellIs" dxfId="3332" priority="81" stopIfTrue="1" operator="lessThanOrEqual">
      <formula>0</formula>
    </cfRule>
    <cfRule type="cellIs" dxfId="3331" priority="85" stopIfTrue="1" operator="lessThanOrEqual">
      <formula>0</formula>
    </cfRule>
    <cfRule type="cellIs" dxfId="3330" priority="82" stopIfTrue="1" operator="greaterThan">
      <formula>#REF!</formula>
    </cfRule>
    <cfRule type="cellIs" dxfId="3329" priority="83" stopIfTrue="1" operator="lessThanOrEqual">
      <formula>0</formula>
    </cfRule>
    <cfRule type="cellIs" dxfId="3328" priority="84" stopIfTrue="1" operator="greaterThan">
      <formula>#REF!</formula>
    </cfRule>
  </conditionalFormatting>
  <conditionalFormatting sqref="J78">
    <cfRule type="cellIs" dxfId="3327" priority="44" stopIfTrue="1" operator="greaterThan">
      <formula>$F78</formula>
    </cfRule>
    <cfRule type="cellIs" dxfId="3326" priority="45" stopIfTrue="1" operator="lessThanOrEqual">
      <formula>0</formula>
    </cfRule>
  </conditionalFormatting>
  <conditionalFormatting sqref="K10:K24">
    <cfRule type="cellIs" dxfId="3325" priority="4" operator="greaterThan">
      <formula>6.4</formula>
    </cfRule>
    <cfRule type="cellIs" dxfId="3324" priority="3" operator="lessThan">
      <formula>4</formula>
    </cfRule>
    <cfRule type="cellIs" dxfId="3323" priority="2" operator="greaterThan">
      <formula>6</formula>
    </cfRule>
  </conditionalFormatting>
  <conditionalFormatting sqref="K56:K65">
    <cfRule type="cellIs" dxfId="3322" priority="72" stopIfTrue="1" operator="lessThan">
      <formula>100%</formula>
    </cfRule>
  </conditionalFormatting>
  <conditionalFormatting sqref="K80:K85">
    <cfRule type="cellIs" dxfId="3321" priority="160" stopIfTrue="1" operator="lessThan">
      <formula>100%</formula>
    </cfRule>
  </conditionalFormatting>
  <conditionalFormatting sqref="K87:K88">
    <cfRule type="cellIs" dxfId="3320" priority="167" stopIfTrue="1" operator="lessThan">
      <formula>100%</formula>
    </cfRule>
  </conditionalFormatting>
  <conditionalFormatting sqref="K69:M77">
    <cfRule type="cellIs" dxfId="3319" priority="31" stopIfTrue="1" operator="lessThan">
      <formula>100%</formula>
    </cfRule>
  </conditionalFormatting>
  <conditionalFormatting sqref="L10:L24">
    <cfRule type="cellIs" dxfId="3318" priority="5" operator="between">
      <formula>61</formula>
      <formula>65</formula>
    </cfRule>
    <cfRule type="cellIs" dxfId="3317" priority="6" operator="greaterThan">
      <formula>65</formula>
    </cfRule>
  </conditionalFormatting>
  <conditionalFormatting sqref="L27:M38">
    <cfRule type="cellIs" dxfId="3316" priority="74" operator="lessThan">
      <formula>97.95</formula>
    </cfRule>
  </conditionalFormatting>
  <conditionalFormatting sqref="L78:M78">
    <cfRule type="cellIs" dxfId="3315" priority="46" stopIfTrue="1" operator="lessThan">
      <formula>100%</formula>
    </cfRule>
  </conditionalFormatting>
  <conditionalFormatting sqref="L42:N42">
    <cfRule type="cellIs" dxfId="3314" priority="75" operator="notEqual">
      <formula>#REF!</formula>
    </cfRule>
  </conditionalFormatting>
  <conditionalFormatting sqref="L80:N88">
    <cfRule type="cellIs" dxfId="3313" priority="145" stopIfTrue="1" operator="lessThan">
      <formula>100%</formula>
    </cfRule>
  </conditionalFormatting>
  <conditionalFormatting sqref="M10:M22">
    <cfRule type="expression" dxfId="3312" priority="11">
      <formula>IF(+(IF(M10&lt;U10,0,IF(M10&gt;V10,0,1)))=0,1)</formula>
    </cfRule>
  </conditionalFormatting>
  <conditionalFormatting sqref="M10:N19 H10:H24">
    <cfRule type="expression" dxfId="3311" priority="8">
      <formula>IF(+(IF(H10&lt;#REF!,0,IF(H10&gt;#REF!,0,1)))=0,1)</formula>
    </cfRule>
  </conditionalFormatting>
  <conditionalFormatting sqref="M23:N24">
    <cfRule type="expression" dxfId="3310" priority="73">
      <formula>IF(+(IF(M23&lt;#REF!,0,IF(M23&gt;#REF!,0,1)))=0,1)</formula>
    </cfRule>
  </conditionalFormatting>
  <conditionalFormatting sqref="N10:N22">
    <cfRule type="expression" dxfId="3309" priority="10">
      <formula>IF(+(IF(N10&lt;W10,0,IF(N10&gt;X10,0,1)))=0,1)</formula>
    </cfRule>
  </conditionalFormatting>
  <conditionalFormatting sqref="N69:N78">
    <cfRule type="cellIs" dxfId="3308" priority="56" stopIfTrue="1" operator="lessThan">
      <formula>100%</formula>
    </cfRule>
  </conditionalFormatting>
  <conditionalFormatting sqref="P6">
    <cfRule type="cellIs" dxfId="3307" priority="141" operator="greaterThanOrEqual">
      <formula>19</formula>
    </cfRule>
  </conditionalFormatting>
  <dataValidations count="1">
    <dataValidation type="list" allowBlank="1" showInputMessage="1" showErrorMessage="1" sqref="R8" xr:uid="{5F6D0A90-E78A-4EF0-89A4-34B74A5465B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BC2D4-25CF-4199-A4FE-A7E2B888EA27}">
  <sheetPr>
    <pageSetUpPr fitToPage="1"/>
  </sheetPr>
  <dimension ref="A1:BE74"/>
  <sheetViews>
    <sheetView topLeftCell="C15" zoomScale="85" zoomScaleNormal="85" workbookViewId="0">
      <selection activeCell="L38" sqref="L38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46148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65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95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3" t="s">
        <v>9</v>
      </c>
      <c r="C10" s="366" t="str">
        <f>[3]Brewhouse!$A214</f>
        <v>ST160</v>
      </c>
      <c r="D10" s="279">
        <f>[3]Brewhouse!$AB214</f>
        <v>53.1</v>
      </c>
      <c r="E10" s="279">
        <f>[3]Brewhouse!$AG214</f>
        <v>47</v>
      </c>
      <c r="F10" s="278">
        <f>[3]Brewhouse!$V214</f>
        <v>59</v>
      </c>
      <c r="G10" s="279">
        <f>[3]Brewhouse!$AE214</f>
        <v>12</v>
      </c>
      <c r="H10" s="396"/>
      <c r="I10" s="368">
        <f>[3]Brewhouse!$AS214</f>
        <v>94.642949948026541</v>
      </c>
      <c r="J10" s="368">
        <f>[3]Brewhouse!$AT214</f>
        <v>95.923205277999188</v>
      </c>
      <c r="K10" s="281">
        <f>[3]Brewhouse!$Q214</f>
        <v>7.4858757062146912</v>
      </c>
      <c r="L10" s="276">
        <f>[3]Brewhouse!$P214</f>
        <v>60</v>
      </c>
      <c r="M10" s="374">
        <f>[3]Brewhouse!$U214-[3]Brewhouse!$T214</f>
        <v>0.22569444444444453</v>
      </c>
      <c r="N10" s="370">
        <f>[3]Brewhouse!$AW214</f>
        <v>0.38680555555555562</v>
      </c>
      <c r="O10" s="371" t="str">
        <f>[3]Brewhouse!$AV214</f>
        <v>R.Sookram</v>
      </c>
      <c r="P10" s="418" t="s">
        <v>178</v>
      </c>
      <c r="R10" s="277" t="str">
        <f t="shared" ref="R10:R34" si="0">B10</f>
        <v>STAG</v>
      </c>
      <c r="S10" s="472">
        <f t="shared" ref="S10:S34" si="1">VLOOKUP($B10,$R$3:$X$9,2,FALSE)</f>
        <v>11.6</v>
      </c>
      <c r="T10" s="472">
        <f t="shared" ref="T10:T34" si="2">VLOOKUP($B10,$R$3:$X$9,3,FALSE)</f>
        <v>12</v>
      </c>
      <c r="U10" s="297">
        <f t="shared" ref="U10:U34" si="3">VLOOKUP($B10,$R$3:$X$9,4,FALSE)</f>
        <v>0</v>
      </c>
      <c r="V10" s="297">
        <f t="shared" ref="V10:V34" si="4">VLOOKUP($B10,$R$3:$X$9,5,FALSE)</f>
        <v>0.118055555555556</v>
      </c>
      <c r="W10" s="297">
        <f t="shared" ref="W10:W34" si="5">VLOOKUP($B10,$R$3:$X$9,6,FALSE)</f>
        <v>0.22569444444444445</v>
      </c>
      <c r="X10" s="297">
        <f t="shared" ref="X10:X34" si="6">VLOOKUP($B10,$R$3:$X$9,7,FALSE)</f>
        <v>0.2638888888888889</v>
      </c>
      <c r="Y10" s="297">
        <f t="shared" ref="Y10:Y34" si="7">VLOOKUP($B10,$R$3:$Z$9,8,FALSE)</f>
        <v>0</v>
      </c>
      <c r="Z10" s="472">
        <f t="shared" ref="Z10:Z34" si="8">VLOOKUP($B10,$R$3:$Z$9,9,FALSE)</f>
        <v>60</v>
      </c>
    </row>
    <row r="11" spans="2:29" ht="15">
      <c r="B11" s="33" t="s">
        <v>9</v>
      </c>
      <c r="C11" s="366" t="str">
        <f>[3]Brewhouse!$A215</f>
        <v>ST161</v>
      </c>
      <c r="D11" s="279">
        <f>[3]Brewhouse!$AB215</f>
        <v>53</v>
      </c>
      <c r="E11" s="279">
        <f>[3]Brewhouse!$AG215</f>
        <v>50.1</v>
      </c>
      <c r="F11" s="278">
        <f>[3]Brewhouse!$V215</f>
        <v>62</v>
      </c>
      <c r="G11" s="279">
        <f>[3]Brewhouse!$AE215</f>
        <v>11.7</v>
      </c>
      <c r="H11" s="396"/>
      <c r="I11" s="368">
        <f>[3]Brewhouse!$AS215</f>
        <v>97.740620302660346</v>
      </c>
      <c r="J11" s="368">
        <f>[3]Brewhouse!$AT215</f>
        <v>99.064530932583423</v>
      </c>
      <c r="K11" s="281">
        <f>[3]Brewhouse!$Q215</f>
        <v>2.5943396226415096</v>
      </c>
      <c r="L11" s="276">
        <f>[3]Brewhouse!$P215</f>
        <v>61</v>
      </c>
      <c r="M11" s="374">
        <f>[3]Brewhouse!$U215-[3]Brewhouse!$T215</f>
        <v>0.11597222222222225</v>
      </c>
      <c r="N11" s="370">
        <f>[3]Brewhouse!$AW215</f>
        <v>0.39722222222222225</v>
      </c>
      <c r="O11" s="371" t="str">
        <f>[3]Brewhouse!$AV215</f>
        <v>R.Sookram</v>
      </c>
      <c r="P11" s="418" t="s">
        <v>179</v>
      </c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485">
        <v>46148</v>
      </c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18"/>
      <c r="R12" s="277">
        <f t="shared" ref="R12:R24" si="9">B12</f>
        <v>46148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5">
      <c r="B13" s="33" t="s">
        <v>9</v>
      </c>
      <c r="C13" s="366" t="str">
        <f>[3]Brewhouse!$A216</f>
        <v>ST162</v>
      </c>
      <c r="D13" s="279">
        <f>[3]Brewhouse!$AB216</f>
        <v>53.1</v>
      </c>
      <c r="E13" s="279">
        <f>[3]Brewhouse!$AG216</f>
        <v>50</v>
      </c>
      <c r="F13" s="278">
        <f>[3]Brewhouse!$V216</f>
        <v>63</v>
      </c>
      <c r="G13" s="279">
        <f>[3]Brewhouse!$AE216</f>
        <v>11.6</v>
      </c>
      <c r="H13" s="396"/>
      <c r="I13" s="368">
        <f>[3]Brewhouse!$AS216</f>
        <v>97.156843184212079</v>
      </c>
      <c r="J13" s="368">
        <f>[3]Brewhouse!$AT216</f>
        <v>98.471104483106629</v>
      </c>
      <c r="K13" s="281">
        <f>[3]Brewhouse!$Q216</f>
        <v>4.2843691148775873</v>
      </c>
      <c r="L13" s="276">
        <f>[3]Brewhouse!$P216</f>
        <v>61</v>
      </c>
      <c r="M13" s="374">
        <f>[3]Brewhouse!$U216-[3]Brewhouse!$T216</f>
        <v>0.125</v>
      </c>
      <c r="N13" s="370">
        <f>[3]Brewhouse!$AW216</f>
        <v>0.27499999999999991</v>
      </c>
      <c r="O13" s="371" t="str">
        <f>[3]Brewhouse!$AV216</f>
        <v xml:space="preserve">D. Gomaz </v>
      </c>
      <c r="P13" s="418" t="s">
        <v>180</v>
      </c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9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 hidden="1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 hidden="1">
      <c r="B17" s="34"/>
      <c r="C17" s="366"/>
      <c r="D17" s="279"/>
      <c r="E17" s="279"/>
      <c r="F17" s="278"/>
      <c r="G17" s="279"/>
      <c r="H17" s="396"/>
      <c r="I17" s="483"/>
      <c r="J17" s="483"/>
      <c r="K17" s="484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hidden="1">
      <c r="B18" s="34"/>
      <c r="C18" s="366"/>
      <c r="D18" s="279"/>
      <c r="E18" s="279"/>
      <c r="F18" s="278"/>
      <c r="G18" s="279"/>
      <c r="H18" s="396"/>
      <c r="I18" s="483"/>
      <c r="J18" s="483"/>
      <c r="K18" s="484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8" hidden="1" customHeight="1">
      <c r="B19" s="29"/>
      <c r="C19" s="366"/>
      <c r="D19" s="279"/>
      <c r="E19" s="279"/>
      <c r="F19" s="278"/>
      <c r="G19" s="279"/>
      <c r="H19" s="482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25"/>
      <c r="J21" s="525"/>
      <c r="K21" s="525"/>
      <c r="L21" s="525"/>
      <c r="M21" s="525"/>
      <c r="N21" s="525"/>
      <c r="O21" s="1"/>
      <c r="P21" s="12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88" t="s">
        <v>162</v>
      </c>
      <c r="C22" s="388"/>
      <c r="D22" s="526" t="s">
        <v>35</v>
      </c>
      <c r="E22" s="527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9"/>
        <v xml:space="preserve">BRAND 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28"/>
      <c r="C23" s="362"/>
      <c r="D23" s="531"/>
      <c r="E23" s="532"/>
      <c r="F23" s="294"/>
      <c r="G23" s="294"/>
      <c r="H23" s="348"/>
      <c r="I23" s="29" t="s">
        <v>6</v>
      </c>
      <c r="J23" s="323"/>
      <c r="K23" s="284">
        <f>COUNTA([4]Brewhouse!$A$372:$A$387)</f>
        <v>16</v>
      </c>
      <c r="L23" s="305">
        <f>AVERAGE([4]Brewhouse!$AU$372:$AU$387)</f>
        <v>98.902892478421435</v>
      </c>
      <c r="M23" s="305">
        <f>AVERAGE([4]Brewhouse!$AU$42:$AU$123,[4]Brewhouse!$AU$125:$AU$188,[4]Brewhouse!$AU$198:$AU$290,[4]Brewhouse!$AU$292:$AU$370,[4]Brewhouse!$AU$372:$AU$387)</f>
        <v>98.047809454746684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29"/>
      <c r="C24" s="362"/>
      <c r="D24" s="533"/>
      <c r="E24" s="534"/>
      <c r="F24" s="294"/>
      <c r="G24" s="294"/>
      <c r="H24" s="348"/>
      <c r="I24" s="33" t="s">
        <v>9</v>
      </c>
      <c r="J24" s="323">
        <f>AVERAGE(I10:I11)</f>
        <v>96.191785125343443</v>
      </c>
      <c r="K24" s="284">
        <f>COUNTA([3]Brewhouse!$A$214:$A$215)</f>
        <v>2</v>
      </c>
      <c r="L24" s="302">
        <f>AVERAGE([3]Brewhouse!$AS$214:$AS$215)</f>
        <v>96.191785125343443</v>
      </c>
      <c r="M24" s="302">
        <f>AVERAGE([3]Brewhouse!$AS$52:$AS$81,[3]Brewhouse!$AS$83:$AS$124,[3]Brewhouse!$AS$134:$AS$177,[3]Brewhouse!$AS$22:$AS$179,[3]Brewhouse!$AS$214:$AS$215)</f>
        <v>97.934040551930522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29"/>
      <c r="C25" s="362"/>
      <c r="D25" s="535"/>
      <c r="E25" s="536"/>
      <c r="F25" s="294"/>
      <c r="G25" s="294"/>
      <c r="H25" s="348"/>
      <c r="I25" s="34" t="s">
        <v>12</v>
      </c>
      <c r="J25" s="280"/>
      <c r="K25" s="284"/>
      <c r="L25" s="302"/>
      <c r="M25" s="302">
        <f>AVERAGE([5]Brewhouse!$AU$16:$AU$23,[5]Brewhouse!$AU$25:$AU$32,[5]Brewhouse!$AU$34:$AU$41,[5]Brewhouse!$AU$43:$AU$55)</f>
        <v>96.793456653928644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29"/>
      <c r="C26" s="362"/>
      <c r="D26" s="537"/>
      <c r="E26" s="534"/>
      <c r="F26" s="294"/>
      <c r="G26" s="294"/>
      <c r="H26" s="348"/>
      <c r="I26" s="22" t="s">
        <v>33</v>
      </c>
      <c r="J26" s="280"/>
      <c r="K26" s="284"/>
      <c r="L26" s="302"/>
      <c r="M26" s="302">
        <f>AVERAGE([6]Brewhouse!$AV$23:$AV$34,[6]Brewhouse!$AV$36,[6]Brewhouse!$AV$38:$AV$52,[6]Brewhouse!$AV$54:$AV$60)</f>
        <v>97.437512946773296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9"/>
      <c r="C27" s="362"/>
      <c r="D27" s="535"/>
      <c r="E27" s="536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9"/>
      <c r="C28" s="362"/>
      <c r="D28" s="537"/>
      <c r="E28" s="534"/>
      <c r="F28" s="417"/>
      <c r="G28" s="294"/>
      <c r="H28" s="348"/>
      <c r="I28" s="36" t="s">
        <v>15</v>
      </c>
      <c r="J28" s="323"/>
      <c r="K28" s="284"/>
      <c r="L28" s="302"/>
      <c r="M28" s="302">
        <f>AVERAGE([7]Brewhouse!$AT$4:$AT$11)</f>
        <v>92.826224508052405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9"/>
      <c r="C29" s="362"/>
      <c r="D29" s="535"/>
      <c r="E29" s="536"/>
      <c r="F29" s="417"/>
      <c r="G29" s="294"/>
      <c r="H29" s="348"/>
      <c r="I29" s="37" t="s">
        <v>16</v>
      </c>
      <c r="J29" s="323"/>
      <c r="K29" s="284"/>
      <c r="L29" s="302"/>
      <c r="M29" s="302">
        <f>AVERAGE([8]Brewhouse!$AY$5:$AY$14,[8]Brewhouse!$AY$16:$AY$23,[8]Brewhouse!$AY$42,[8]Brewhouse!$AY$44:$AY$51)</f>
        <v>97.608428475776392</v>
      </c>
      <c r="N29" s="30">
        <v>98</v>
      </c>
      <c r="O29" s="11"/>
      <c r="P29" s="31" t="s">
        <v>41</v>
      </c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29"/>
      <c r="C30" s="362"/>
      <c r="D30" s="537"/>
      <c r="E30" s="534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29"/>
      <c r="C31" s="349"/>
      <c r="D31" s="535"/>
      <c r="E31" s="536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29"/>
      <c r="C32" s="349"/>
      <c r="D32" s="537"/>
      <c r="E32" s="534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29"/>
      <c r="C33" s="349"/>
      <c r="D33" s="531"/>
      <c r="E33" s="532"/>
      <c r="F33" s="294"/>
      <c r="G33" s="294"/>
      <c r="H33" s="348"/>
      <c r="I33" s="1"/>
      <c r="J33" s="39"/>
      <c r="K33" s="404">
        <f>SUM(K23:K32)</f>
        <v>18</v>
      </c>
      <c r="L33" s="405">
        <f>((L23*K23)+(L24*K24)+(L25*K25)+(L26*K26)+(L27*K27)+(K30*L30)+(L28*K28)+(L29*K29)+(L32*K32))/(K33)</f>
        <v>98.601658328079438</v>
      </c>
      <c r="M33" s="405">
        <f>AVERAGE('[9]Jan30th-31st'!$L$42,L33)</f>
        <v>98.214850031960452</v>
      </c>
      <c r="N33" s="4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.75" thickBot="1">
      <c r="B34" s="530"/>
      <c r="C34" s="350"/>
      <c r="D34" s="533"/>
      <c r="E34" s="534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28"/>
      <c r="C35" s="362"/>
      <c r="D35" s="539"/>
      <c r="E35" s="540"/>
      <c r="F35" s="294"/>
      <c r="G35" s="42"/>
      <c r="H35" s="41"/>
      <c r="I35" s="42"/>
      <c r="J35" s="541" t="s">
        <v>129</v>
      </c>
      <c r="K35" s="541"/>
      <c r="L35" s="294"/>
      <c r="M35" s="294"/>
      <c r="N35" s="294"/>
      <c r="O35" s="294"/>
      <c r="P35" s="12"/>
    </row>
    <row r="36" spans="1:56" ht="15.75" thickBot="1">
      <c r="B36" s="529"/>
      <c r="C36" s="362"/>
      <c r="D36" s="537"/>
      <c r="E36" s="534"/>
      <c r="F36" s="294"/>
      <c r="G36" s="42"/>
      <c r="H36" s="42"/>
      <c r="I36" s="42"/>
      <c r="J36" s="292" t="s">
        <v>17</v>
      </c>
      <c r="K36" s="293" t="s">
        <v>172</v>
      </c>
      <c r="L36" s="542" t="s">
        <v>136</v>
      </c>
      <c r="M36" s="542"/>
      <c r="N36" s="543"/>
      <c r="O36" s="294"/>
      <c r="P36" s="12"/>
    </row>
    <row r="37" spans="1:56" ht="15" customHeight="1" thickBot="1">
      <c r="B37" s="529"/>
      <c r="C37" s="349"/>
      <c r="D37" s="535"/>
      <c r="E37" s="536"/>
      <c r="F37" s="294"/>
      <c r="G37" s="42"/>
      <c r="H37" s="42"/>
      <c r="I37" s="42"/>
      <c r="J37" s="287" t="s">
        <v>6</v>
      </c>
      <c r="K37" s="324"/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29"/>
      <c r="C38" s="349"/>
      <c r="D38" s="537"/>
      <c r="E38" s="534"/>
      <c r="F38" s="294"/>
      <c r="G38" s="42"/>
      <c r="H38" s="42"/>
      <c r="I38" s="42"/>
      <c r="J38" s="345" t="s">
        <v>9</v>
      </c>
      <c r="K38" s="324">
        <v>2</v>
      </c>
      <c r="L38" s="344">
        <f>AVERAGE('May 2nd-23rd'!K53,'May 5th'!K47,'May 4th'!K51,'May 2nd-23rd'!K53)</f>
        <v>3</v>
      </c>
      <c r="M38" s="325">
        <f>AVERAGE('[9]Jan30th-31st'!$L$47,L38,'[10]Feb 26th '!$L$39,'[11]Mar 31st'!$L$47,'[12]Apr 30th'!$L$46)</f>
        <v>5.807391304347826</v>
      </c>
      <c r="N38" s="416">
        <v>9.1999999999999993</v>
      </c>
      <c r="O38" s="294"/>
      <c r="P38" s="12"/>
    </row>
    <row r="39" spans="1:56" ht="15" customHeight="1">
      <c r="B39" s="529"/>
      <c r="C39" s="349"/>
      <c r="D39" s="535"/>
      <c r="E39" s="536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29"/>
      <c r="C40" s="349"/>
      <c r="D40" s="537"/>
      <c r="E40" s="534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29"/>
      <c r="C41" s="349"/>
      <c r="D41" s="535"/>
      <c r="E41" s="536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29"/>
      <c r="C42" s="349"/>
      <c r="D42" s="537"/>
      <c r="E42" s="534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9"/>
      <c r="C43" s="349"/>
      <c r="D43" s="535"/>
      <c r="E43" s="536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38"/>
      <c r="C44" s="350"/>
      <c r="D44" s="544"/>
      <c r="E44" s="545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46"/>
      <c r="E45" s="547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2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294"/>
      <c r="N48" s="315"/>
      <c r="P48" s="334"/>
    </row>
    <row r="49" spans="1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1:57" ht="15" customHeight="1" thickBot="1">
      <c r="B50" s="548" t="s">
        <v>17</v>
      </c>
      <c r="C50" s="548" t="s">
        <v>44</v>
      </c>
      <c r="D50" s="551" t="s">
        <v>45</v>
      </c>
      <c r="E50" s="516" t="s">
        <v>46</v>
      </c>
      <c r="F50" s="565" t="s">
        <v>47</v>
      </c>
      <c r="G50" s="560" t="s">
        <v>48</v>
      </c>
      <c r="H50" s="548" t="s">
        <v>49</v>
      </c>
      <c r="I50" s="548" t="s">
        <v>50</v>
      </c>
      <c r="J50" s="554" t="s">
        <v>28</v>
      </c>
      <c r="K50" s="514" t="s">
        <v>51</v>
      </c>
      <c r="L50" s="563" t="s">
        <v>52</v>
      </c>
      <c r="M50" s="554" t="s">
        <v>53</v>
      </c>
      <c r="N50" s="13"/>
      <c r="O50" s="13"/>
      <c r="P50" s="50"/>
    </row>
    <row r="51" spans="1:57" ht="28.5" customHeight="1" thickTop="1" thickBot="1">
      <c r="B51" s="549"/>
      <c r="C51" s="550"/>
      <c r="D51" s="552"/>
      <c r="E51" s="553"/>
      <c r="F51" s="566"/>
      <c r="G51" s="561"/>
      <c r="H51" s="549"/>
      <c r="I51" s="549"/>
      <c r="J51" s="555"/>
      <c r="K51" s="562"/>
      <c r="L51" s="564"/>
      <c r="M51" s="555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1:57" s="54" customFormat="1" ht="36.75" customHeight="1" thickBot="1">
      <c r="B52" s="480"/>
      <c r="C52" s="479"/>
      <c r="D52" s="442"/>
      <c r="E52" s="443"/>
      <c r="F52" s="444"/>
      <c r="G52" s="445"/>
      <c r="H52" s="458"/>
      <c r="I52" s="458"/>
      <c r="J52" s="448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[13]January_2019!L5</f>
        <v>0</v>
      </c>
      <c r="AC52" s="57">
        <f>[13]January_2019!M5</f>
        <v>0</v>
      </c>
      <c r="AD52" s="57">
        <f>[13]January_2019!N5</f>
        <v>0</v>
      </c>
      <c r="AE52" s="57">
        <f>[13]January_2019!O5</f>
        <v>0</v>
      </c>
      <c r="AF52" s="57">
        <f>[13]January_2019!P5</f>
        <v>0</v>
      </c>
      <c r="AG52" s="57">
        <f>[13]January_2019!Q5</f>
        <v>0</v>
      </c>
      <c r="AH52" s="57">
        <f>[13]January_2019!R5</f>
        <v>0</v>
      </c>
      <c r="AI52" s="57">
        <f>[13]January_2019!S5</f>
        <v>0</v>
      </c>
      <c r="AJ52" s="57">
        <f>[13]January_2019!T5</f>
        <v>0</v>
      </c>
      <c r="AK52" s="57">
        <f>[13]January_2019!U5</f>
        <v>0</v>
      </c>
      <c r="AL52" s="57">
        <f>[13]January_2019!V5</f>
        <v>0</v>
      </c>
      <c r="AM52" s="57">
        <f>[13]January_2019!W5</f>
        <v>0</v>
      </c>
      <c r="AN52" s="57">
        <f>[13]January_2019!X5</f>
        <v>0</v>
      </c>
      <c r="AO52" s="57">
        <f>[13]January_2019!Y5</f>
        <v>0</v>
      </c>
      <c r="AP52" s="57">
        <f>[13]January_2019!Z5</f>
        <v>0</v>
      </c>
      <c r="AQ52" s="57">
        <f>[13]January_2019!AA5</f>
        <v>0</v>
      </c>
      <c r="AR52" s="57">
        <f>[13]January_2019!AB5</f>
        <v>0</v>
      </c>
      <c r="AS52" s="57">
        <f>[13]January_2019!AC5</f>
        <v>0</v>
      </c>
      <c r="AT52" s="57">
        <f>[13]January_2019!AD5</f>
        <v>0</v>
      </c>
      <c r="AU52" s="57">
        <f>[13]January_2019!AE5</f>
        <v>0</v>
      </c>
      <c r="AV52" s="57">
        <f>[13]January_2019!AF5</f>
        <v>0</v>
      </c>
      <c r="AW52" s="57">
        <f>[13]January_2019!AG5</f>
        <v>0</v>
      </c>
      <c r="AX52" s="277">
        <f>[13]January_2019!AH5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1:57" s="54" customFormat="1" ht="14.25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[13]January_2019!L6</f>
        <v>0</v>
      </c>
      <c r="AC53" s="57">
        <f>[13]January_2019!M6</f>
        <v>0</v>
      </c>
      <c r="AD53" s="57">
        <f>[13]January_2019!N6</f>
        <v>0</v>
      </c>
      <c r="AE53" s="57">
        <f>[13]January_2019!O6</f>
        <v>0</v>
      </c>
      <c r="AF53" s="57">
        <f>[13]January_2019!P6</f>
        <v>0</v>
      </c>
      <c r="AG53" s="57">
        <f>[13]January_2019!Q6</f>
        <v>0</v>
      </c>
      <c r="AH53" s="57">
        <f>[13]January_2019!R6</f>
        <v>0</v>
      </c>
      <c r="AI53" s="57">
        <f>[13]January_2019!S6</f>
        <v>0</v>
      </c>
      <c r="AJ53" s="57">
        <f>[13]January_2019!T6</f>
        <v>0</v>
      </c>
      <c r="AK53" s="57">
        <f>[13]January_2019!U6</f>
        <v>0</v>
      </c>
      <c r="AL53" s="57">
        <f>[13]January_2019!V6</f>
        <v>0</v>
      </c>
      <c r="AM53" s="57">
        <f>[13]January_2019!W6</f>
        <v>0</v>
      </c>
      <c r="AN53" s="57">
        <f>[13]January_2019!X6</f>
        <v>0</v>
      </c>
      <c r="AO53" s="57">
        <f>[13]January_2019!Y6</f>
        <v>0</v>
      </c>
      <c r="AP53" s="57">
        <f>[13]January_2019!Z6</f>
        <v>0</v>
      </c>
      <c r="AQ53" s="57">
        <f>[13]January_2019!AA6</f>
        <v>0</v>
      </c>
      <c r="AR53" s="57">
        <f>[13]January_2019!AB6</f>
        <v>0</v>
      </c>
      <c r="AS53" s="57">
        <f>[13]January_2019!AC6</f>
        <v>0</v>
      </c>
      <c r="AT53" s="57">
        <f>[13]January_2019!AD6</f>
        <v>0</v>
      </c>
      <c r="AU53" s="57">
        <f>[13]January_2019!AE6</f>
        <v>0</v>
      </c>
      <c r="AV53" s="57">
        <f>[13]January_2019!AF6</f>
        <v>0</v>
      </c>
      <c r="AW53" s="57">
        <f>[13]January_2019!AG6</f>
        <v>0</v>
      </c>
      <c r="AX53" s="277">
        <f>[13]January_2019!AH6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37.15" hidden="1" customHeight="1" thickBot="1">
      <c r="A54" s="54" t="s">
        <v>168</v>
      </c>
      <c r="B54" s="481"/>
      <c r="C54" s="479"/>
      <c r="D54" s="442"/>
      <c r="E54" s="443"/>
      <c r="F54" s="444"/>
      <c r="G54" s="445"/>
      <c r="H54" s="458"/>
      <c r="I54" s="458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[13]January_2019!L7</f>
        <v>285.8</v>
      </c>
      <c r="AC54" s="57">
        <f>[13]January_2019!M7</f>
        <v>508.1</v>
      </c>
      <c r="AD54" s="57">
        <f>[13]January_2019!N7</f>
        <v>0</v>
      </c>
      <c r="AE54" s="57">
        <f>[13]January_2019!O7</f>
        <v>0</v>
      </c>
      <c r="AF54" s="57">
        <f>[13]January_2019!P7</f>
        <v>109.56666666666666</v>
      </c>
      <c r="AG54" s="57">
        <f>[13]January_2019!Q7</f>
        <v>297.64999999999998</v>
      </c>
      <c r="AH54" s="57">
        <f>[13]January_2019!R7</f>
        <v>122.3</v>
      </c>
      <c r="AI54" s="57">
        <f>[13]January_2019!S7</f>
        <v>0</v>
      </c>
      <c r="AJ54" s="57">
        <f>[13]January_2019!T7</f>
        <v>294.7</v>
      </c>
      <c r="AK54" s="57">
        <f>[13]January_2019!U7</f>
        <v>280.5</v>
      </c>
      <c r="AL54" s="57">
        <f>[13]January_2019!V7</f>
        <v>0</v>
      </c>
      <c r="AM54" s="57">
        <f>[13]January_2019!W7</f>
        <v>0</v>
      </c>
      <c r="AN54" s="57">
        <f>[13]January_2019!X7</f>
        <v>188.25</v>
      </c>
      <c r="AO54" s="57">
        <f>[13]January_2019!Y7</f>
        <v>295.7</v>
      </c>
      <c r="AP54" s="57">
        <f>[13]January_2019!Z7</f>
        <v>257.8</v>
      </c>
      <c r="AQ54" s="57">
        <f>[13]January_2019!AA7</f>
        <v>291.2</v>
      </c>
      <c r="AR54" s="57">
        <f>[13]January_2019!AB7</f>
        <v>187</v>
      </c>
      <c r="AS54" s="57">
        <f>[13]January_2019!AC7</f>
        <v>0</v>
      </c>
      <c r="AT54" s="57">
        <f>[13]January_2019!AD7</f>
        <v>0</v>
      </c>
      <c r="AU54" s="57">
        <f>[13]January_2019!AE7</f>
        <v>485.1</v>
      </c>
      <c r="AV54" s="57">
        <f>[13]January_2019!AF7</f>
        <v>171.55</v>
      </c>
      <c r="AW54" s="57">
        <f>[13]January_2019!AG7</f>
        <v>423.8</v>
      </c>
      <c r="AX54" s="277">
        <f>[13]January_2019!AH7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19.5" hidden="1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38.450000000000003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 t="s">
        <v>171</v>
      </c>
      <c r="K56" s="459"/>
      <c r="L56" s="457" t="e">
        <f>(((D56+E56)-G56)/(D56+E56))*100</f>
        <v>#DIV/0!</v>
      </c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7.15" hidden="1" customHeight="1" thickBot="1">
      <c r="B58" s="480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1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1:57" ht="15.75" thickBot="1">
      <c r="B63" s="556" t="s">
        <v>55</v>
      </c>
      <c r="C63" s="557"/>
      <c r="D63" s="557"/>
      <c r="E63" s="557"/>
      <c r="F63" s="558"/>
      <c r="G63" s="556" t="s">
        <v>56</v>
      </c>
      <c r="H63" s="557"/>
      <c r="I63" s="557"/>
      <c r="J63" s="558"/>
      <c r="K63" s="556" t="s">
        <v>51</v>
      </c>
      <c r="L63" s="557"/>
      <c r="M63" s="557"/>
      <c r="N63" s="559"/>
      <c r="O63" s="56"/>
      <c r="P63" s="50"/>
    </row>
    <row r="64" spans="1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/>
      <c r="D65" s="76">
        <v>5.8952496954932982</v>
      </c>
      <c r="E65" s="76">
        <v>6.8201051090861107</v>
      </c>
      <c r="F65" s="66">
        <v>4.8</v>
      </c>
      <c r="G65" s="65"/>
      <c r="H65" s="477">
        <v>5.5884697434003687</v>
      </c>
      <c r="I65" s="477">
        <v>6.4256093724751562</v>
      </c>
      <c r="J65" s="66">
        <v>4.8</v>
      </c>
      <c r="K65" s="67"/>
      <c r="L65" s="194">
        <v>1.3554385964912281</v>
      </c>
      <c r="M65" s="194">
        <v>0.49483103246817467</v>
      </c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>
        <v>6.3411334413966323</v>
      </c>
      <c r="F66" s="66">
        <v>4.8</v>
      </c>
      <c r="G66" s="65"/>
      <c r="H66" s="76"/>
      <c r="I66" s="76">
        <v>5.6038747647231943</v>
      </c>
      <c r="J66" s="66">
        <v>4.8</v>
      </c>
      <c r="K66" s="67"/>
      <c r="L66" s="194"/>
      <c r="M66" s="194">
        <v>0.72493688613389806</v>
      </c>
      <c r="N66" s="68">
        <v>1</v>
      </c>
      <c r="P66" s="69"/>
    </row>
    <row r="67" spans="2:16" ht="15">
      <c r="B67" s="34" t="s">
        <v>40</v>
      </c>
      <c r="C67" s="65"/>
      <c r="D67" s="76"/>
      <c r="E67" s="76">
        <v>12.380135651360392</v>
      </c>
      <c r="F67" s="66">
        <v>5.5</v>
      </c>
      <c r="G67" s="65"/>
      <c r="H67" s="76"/>
      <c r="I67" s="76">
        <v>13.201587402597006</v>
      </c>
      <c r="J67" s="66">
        <v>5.5</v>
      </c>
      <c r="K67" s="67"/>
      <c r="L67" s="194"/>
      <c r="M67" s="194">
        <v>0.27273830409356731</v>
      </c>
      <c r="N67" s="68">
        <v>1</v>
      </c>
      <c r="P67" s="69"/>
    </row>
    <row r="68" spans="2:16" ht="15">
      <c r="B68" s="22" t="s">
        <v>33</v>
      </c>
      <c r="C68" s="65"/>
      <c r="D68" s="76">
        <v>4.8532569792412277</v>
      </c>
      <c r="E68" s="76">
        <v>4.6518562695690884</v>
      </c>
      <c r="F68" s="66">
        <v>3.3</v>
      </c>
      <c r="G68" s="65"/>
      <c r="H68" s="76">
        <v>4.7372529705103688</v>
      </c>
      <c r="I68" s="76">
        <v>4.4089875005606158</v>
      </c>
      <c r="J68" s="66">
        <v>3.3</v>
      </c>
      <c r="K68" s="67"/>
      <c r="L68" s="194">
        <v>0.58298245614035094</v>
      </c>
      <c r="M68" s="194">
        <v>0.74716374269005859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>
        <v>5.1105651105651271</v>
      </c>
      <c r="F70" s="70">
        <f>[31]May_2022!$M$43</f>
        <v>3.4878406700073312</v>
      </c>
      <c r="G70" s="282"/>
      <c r="H70" s="76"/>
      <c r="I70" s="76">
        <v>7.9131369535794072</v>
      </c>
      <c r="J70" s="66">
        <v>5.5</v>
      </c>
      <c r="K70" s="67"/>
      <c r="L70" s="194"/>
      <c r="M70" s="194">
        <v>1.3550877192982456</v>
      </c>
      <c r="N70" s="68">
        <v>1</v>
      </c>
      <c r="P70" s="69"/>
    </row>
    <row r="71" spans="2:16" ht="15">
      <c r="B71" s="37" t="s">
        <v>16</v>
      </c>
      <c r="C71" s="65"/>
      <c r="D71" s="76"/>
      <c r="E71" s="76">
        <v>3.9654240950837312</v>
      </c>
      <c r="F71" s="66">
        <v>3.3</v>
      </c>
      <c r="G71" s="282"/>
      <c r="H71" s="76"/>
      <c r="I71" s="76">
        <v>4.8236555171494695</v>
      </c>
      <c r="J71" s="66">
        <v>3.3</v>
      </c>
      <c r="K71" s="67"/>
      <c r="L71" s="194"/>
      <c r="M71" s="194">
        <v>0.89457115009746591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>
        <v>5.4162553471536663</v>
      </c>
      <c r="E74" s="76">
        <v>6.5780088221662423</v>
      </c>
      <c r="F74" s="341">
        <v>5.5</v>
      </c>
      <c r="H74" s="76">
        <v>5.1225381830991452</v>
      </c>
      <c r="I74" s="76">
        <v>6.4786794000137151</v>
      </c>
      <c r="J74" s="341">
        <v>5.5</v>
      </c>
      <c r="L74" s="194">
        <v>0.84046783625730992</v>
      </c>
      <c r="M74" s="194">
        <v>0.58040335643029151</v>
      </c>
      <c r="N74" s="386">
        <v>1</v>
      </c>
    </row>
  </sheetData>
  <mergeCells count="51"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  <mergeCell ref="D45:E45"/>
    <mergeCell ref="B50:B51"/>
    <mergeCell ref="C50:C51"/>
    <mergeCell ref="D50:D51"/>
    <mergeCell ref="E50:E51"/>
    <mergeCell ref="B35:B44"/>
    <mergeCell ref="D35:E36"/>
    <mergeCell ref="J35:K35"/>
    <mergeCell ref="L36:N36"/>
    <mergeCell ref="D37:E38"/>
    <mergeCell ref="D39:E40"/>
    <mergeCell ref="D41:E42"/>
    <mergeCell ref="D43:E4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5:B46">
    <cfRule type="cellIs" dxfId="3306" priority="87" operator="notBetween">
      <formula>#REF!</formula>
      <formula>#REF!</formula>
    </cfRule>
  </conditionalFormatting>
  <conditionalFormatting sqref="C49">
    <cfRule type="cellIs" dxfId="3305" priority="182" stopIfTrue="1" operator="greaterThan">
      <formula>100</formula>
    </cfRule>
    <cfRule type="cellIs" dxfId="3304" priority="181" stopIfTrue="1" operator="lessThan">
      <formula>96</formula>
    </cfRule>
  </conditionalFormatting>
  <conditionalFormatting sqref="C65:C69">
    <cfRule type="cellIs" dxfId="3303" priority="150" stopIfTrue="1" operator="lessThanOrEqual">
      <formula>0</formula>
    </cfRule>
  </conditionalFormatting>
  <conditionalFormatting sqref="C65:C73">
    <cfRule type="cellIs" dxfId="3302" priority="149" stopIfTrue="1" operator="greaterThan">
      <formula>$F65</formula>
    </cfRule>
  </conditionalFormatting>
  <conditionalFormatting sqref="C66">
    <cfRule type="cellIs" dxfId="3301" priority="183" stopIfTrue="1" operator="greaterThan">
      <formula>$F65</formula>
    </cfRule>
  </conditionalFormatting>
  <conditionalFormatting sqref="C70">
    <cfRule type="cellIs" dxfId="3300" priority="111" stopIfTrue="1" operator="lessThanOrEqual">
      <formula>0</formula>
    </cfRule>
    <cfRule type="cellIs" dxfId="3299" priority="112" stopIfTrue="1" operator="greaterThan">
      <formula>$F69</formula>
    </cfRule>
  </conditionalFormatting>
  <conditionalFormatting sqref="C71:C73">
    <cfRule type="cellIs" dxfId="3298" priority="151" stopIfTrue="1" operator="lessThanOrEqual">
      <formula>0</formula>
    </cfRule>
  </conditionalFormatting>
  <conditionalFormatting sqref="C76:C80">
    <cfRule type="cellIs" dxfId="3297" priority="173" stopIfTrue="1" operator="lessThanOrEqual">
      <formula>0</formula>
    </cfRule>
  </conditionalFormatting>
  <conditionalFormatting sqref="C77:C80">
    <cfRule type="cellIs" dxfId="3296" priority="172" stopIfTrue="1" operator="greaterThan">
      <formula>$F$76</formula>
    </cfRule>
  </conditionalFormatting>
  <conditionalFormatting sqref="C82">
    <cfRule type="cellIs" dxfId="3295" priority="175" stopIfTrue="1" operator="lessThanOrEqual">
      <formula>0</formula>
    </cfRule>
    <cfRule type="cellIs" dxfId="3294" priority="174" stopIfTrue="1" operator="greaterThan">
      <formula>$F$76</formula>
    </cfRule>
  </conditionalFormatting>
  <conditionalFormatting sqref="C76:D76 D78:D84">
    <cfRule type="cellIs" dxfId="3293" priority="167" stopIfTrue="1" operator="greaterThan">
      <formula>4.5</formula>
    </cfRule>
  </conditionalFormatting>
  <conditionalFormatting sqref="D45:D46">
    <cfRule type="cellIs" dxfId="3292" priority="88" operator="notBetween">
      <formula>#REF!</formula>
      <formula>#REF!</formula>
    </cfRule>
  </conditionalFormatting>
  <conditionalFormatting sqref="D65:D72">
    <cfRule type="cellIs" dxfId="3291" priority="62" stopIfTrue="1" operator="lessThanOrEqual">
      <formula>0</formula>
    </cfRule>
  </conditionalFormatting>
  <conditionalFormatting sqref="D65:D74">
    <cfRule type="cellIs" dxfId="3290" priority="45" stopIfTrue="1" operator="lessThanOrEqual">
      <formula>0</formula>
    </cfRule>
  </conditionalFormatting>
  <conditionalFormatting sqref="D73">
    <cfRule type="cellIs" dxfId="3289" priority="61" stopIfTrue="1" operator="lessThanOrEqual">
      <formula>0</formula>
    </cfRule>
  </conditionalFormatting>
  <conditionalFormatting sqref="D74">
    <cfRule type="cellIs" dxfId="3288" priority="58" stopIfTrue="1" operator="lessThanOrEqual">
      <formula>0</formula>
    </cfRule>
  </conditionalFormatting>
  <conditionalFormatting sqref="D76 D78:D84">
    <cfRule type="cellIs" dxfId="3287" priority="168" stopIfTrue="1" operator="lessThanOrEqual">
      <formula>0</formula>
    </cfRule>
  </conditionalFormatting>
  <conditionalFormatting sqref="D77">
    <cfRule type="cellIs" dxfId="3286" priority="160" stopIfTrue="1" operator="lessThanOrEqual">
      <formula>0</formula>
    </cfRule>
    <cfRule type="cellIs" dxfId="3285" priority="159" stopIfTrue="1" operator="greaterThan">
      <formula>$F$76</formula>
    </cfRule>
  </conditionalFormatting>
  <conditionalFormatting sqref="D65:E74">
    <cfRule type="cellIs" dxfId="3284" priority="47" stopIfTrue="1" operator="greaterThan">
      <formula>$F65</formula>
    </cfRule>
  </conditionalFormatting>
  <conditionalFormatting sqref="D74:E74">
    <cfRule type="cellIs" dxfId="3283" priority="49" stopIfTrue="1" operator="lessThanOrEqual">
      <formula>0</formula>
    </cfRule>
  </conditionalFormatting>
  <conditionalFormatting sqref="E10:E20">
    <cfRule type="cellIs" dxfId="3282" priority="18" operator="lessThan">
      <formula>48</formula>
    </cfRule>
  </conditionalFormatting>
  <conditionalFormatting sqref="E48 E49:F49">
    <cfRule type="cellIs" dxfId="3281" priority="164" stopIfTrue="1" operator="greaterThan">
      <formula>100</formula>
    </cfRule>
  </conditionalFormatting>
  <conditionalFormatting sqref="E49">
    <cfRule type="cellIs" dxfId="3280" priority="161" stopIfTrue="1" operator="lessThan">
      <formula>96.8</formula>
    </cfRule>
    <cfRule type="cellIs" dxfId="3279" priority="162" stopIfTrue="1" operator="greaterThan">
      <formula>100</formula>
    </cfRule>
  </conditionalFormatting>
  <conditionalFormatting sqref="E65:E73">
    <cfRule type="cellIs" dxfId="3278" priority="46" stopIfTrue="1" operator="lessThanOrEqual">
      <formula>0</formula>
    </cfRule>
  </conditionalFormatting>
  <conditionalFormatting sqref="E65:E74">
    <cfRule type="cellIs" dxfId="3277" priority="48" stopIfTrue="1" operator="lessThanOrEqual">
      <formula>0</formula>
    </cfRule>
  </conditionalFormatting>
  <conditionalFormatting sqref="E76:E84">
    <cfRule type="cellIs" dxfId="3276" priority="154" stopIfTrue="1" operator="lessThanOrEqual">
      <formula>0</formula>
    </cfRule>
    <cfRule type="cellIs" dxfId="3275" priority="153" stopIfTrue="1" operator="greaterThan">
      <formula>4.5</formula>
    </cfRule>
  </conditionalFormatting>
  <conditionalFormatting sqref="E49:F49 E48">
    <cfRule type="cellIs" dxfId="3274" priority="163" stopIfTrue="1" operator="lessThan">
      <formula>96.5</formula>
    </cfRule>
  </conditionalFormatting>
  <conditionalFormatting sqref="F17:F20">
    <cfRule type="cellIs" dxfId="3273" priority="23" operator="greaterThan">
      <formula>60</formula>
    </cfRule>
  </conditionalFormatting>
  <conditionalFormatting sqref="F49">
    <cfRule type="cellIs" dxfId="3272" priority="180" stopIfTrue="1" operator="greaterThan">
      <formula>100</formula>
    </cfRule>
    <cfRule type="cellIs" dxfId="3271" priority="179" stopIfTrue="1" operator="lessThan">
      <formula>96.8</formula>
    </cfRule>
  </conditionalFormatting>
  <conditionalFormatting sqref="F74">
    <cfRule type="cellIs" dxfId="3270" priority="60" stopIfTrue="1" operator="lessThanOrEqual">
      <formula>0</formula>
    </cfRule>
    <cfRule type="cellIs" dxfId="3269" priority="59" stopIfTrue="1" operator="greaterThan">
      <formula>$F74</formula>
    </cfRule>
  </conditionalFormatting>
  <conditionalFormatting sqref="G10:G20">
    <cfRule type="expression" dxfId="3268" priority="20">
      <formula>IF(+(IF(G10&lt;S10,0,IF(G10&gt;T10,0,1)))=0,1)</formula>
    </cfRule>
  </conditionalFormatting>
  <conditionalFormatting sqref="G65:G66">
    <cfRule type="cellIs" dxfId="3267" priority="63" stopIfTrue="1" operator="greaterThan">
      <formula>$F65</formula>
    </cfRule>
    <cfRule type="cellIs" dxfId="3266" priority="64" stopIfTrue="1" operator="lessThanOrEqual">
      <formula>0</formula>
    </cfRule>
  </conditionalFormatting>
  <conditionalFormatting sqref="G65:G68">
    <cfRule type="cellIs" dxfId="3265" priority="26" stopIfTrue="1" operator="greaterThan">
      <formula>$F65</formula>
    </cfRule>
    <cfRule type="cellIs" dxfId="3264" priority="27" stopIfTrue="1" operator="lessThanOrEqual">
      <formula>0</formula>
    </cfRule>
  </conditionalFormatting>
  <conditionalFormatting sqref="G67">
    <cfRule type="cellIs" dxfId="3263" priority="24" stopIfTrue="1" operator="greaterThan">
      <formula>$F67</formula>
    </cfRule>
    <cfRule type="cellIs" dxfId="3262" priority="25" stopIfTrue="1" operator="lessThanOrEqual">
      <formula>0</formula>
    </cfRule>
  </conditionalFormatting>
  <conditionalFormatting sqref="G68">
    <cfRule type="cellIs" dxfId="3261" priority="54" stopIfTrue="1" operator="lessThanOrEqual">
      <formula>0</formula>
    </cfRule>
    <cfRule type="cellIs" dxfId="3260" priority="53" stopIfTrue="1" operator="greaterThan">
      <formula>$F68</formula>
    </cfRule>
  </conditionalFormatting>
  <conditionalFormatting sqref="G69:G73">
    <cfRule type="cellIs" dxfId="3259" priority="65" stopIfTrue="1" operator="greaterThan">
      <formula>$J69</formula>
    </cfRule>
    <cfRule type="cellIs" dxfId="3258" priority="66" stopIfTrue="1" operator="lessThanOrEqual">
      <formula>0</formula>
    </cfRule>
  </conditionalFormatting>
  <conditionalFormatting sqref="G78:G83 C81 C83">
    <cfRule type="cellIs" dxfId="3257" priority="176" stopIfTrue="1" operator="greaterThan">
      <formula>4.5</formula>
    </cfRule>
    <cfRule type="cellIs" dxfId="3256" priority="177" stopIfTrue="1" operator="lessThanOrEqual">
      <formula>0</formula>
    </cfRule>
  </conditionalFormatting>
  <conditionalFormatting sqref="G77:H77">
    <cfRule type="cellIs" dxfId="3255" priority="157" stopIfTrue="1" operator="greaterThan">
      <formula>$F$76</formula>
    </cfRule>
    <cfRule type="cellIs" dxfId="3254" priority="158" stopIfTrue="1" operator="lessThanOrEqual">
      <formula>0</formula>
    </cfRule>
  </conditionalFormatting>
  <conditionalFormatting sqref="H34:H35 H48">
    <cfRule type="cellIs" dxfId="3253" priority="155" stopIfTrue="1" operator="greaterThan">
      <formula>0</formula>
    </cfRule>
  </conditionalFormatting>
  <conditionalFormatting sqref="H52">
    <cfRule type="cellIs" dxfId="3252" priority="29" stopIfTrue="1" operator="lessThanOrEqual">
      <formula>0</formula>
    </cfRule>
    <cfRule type="cellIs" dxfId="3251" priority="30" stopIfTrue="1" operator="greaterThan">
      <formula>$F$62</formula>
    </cfRule>
    <cfRule type="cellIs" dxfId="3250" priority="39" stopIfTrue="1" operator="lessThanOrEqual">
      <formula>0</formula>
    </cfRule>
    <cfRule type="cellIs" dxfId="3249" priority="40" stopIfTrue="1" operator="greaterThan">
      <formula>$F$63</formula>
    </cfRule>
    <cfRule type="cellIs" dxfId="3248" priority="41" stopIfTrue="1" operator="lessThanOrEqual">
      <formula>0</formula>
    </cfRule>
    <cfRule type="cellIs" dxfId="3247" priority="38" stopIfTrue="1" operator="greaterThan">
      <formula>$F$65</formula>
    </cfRule>
  </conditionalFormatting>
  <conditionalFormatting sqref="H53:H56">
    <cfRule type="cellIs" dxfId="3246" priority="82" stopIfTrue="1" operator="lessThanOrEqual">
      <formula>0</formula>
    </cfRule>
    <cfRule type="cellIs" dxfId="3245" priority="81" stopIfTrue="1" operator="greaterThan">
      <formula>$F$66</formula>
    </cfRule>
    <cfRule type="cellIs" dxfId="3244" priority="70" stopIfTrue="1" operator="lessThanOrEqual">
      <formula>0</formula>
    </cfRule>
    <cfRule type="cellIs" dxfId="3243" priority="71" stopIfTrue="1" operator="greaterThan">
      <formula>$F$65</formula>
    </cfRule>
    <cfRule type="cellIs" dxfId="3242" priority="79" stopIfTrue="1" operator="greaterThan">
      <formula>$F$68</formula>
    </cfRule>
    <cfRule type="cellIs" dxfId="3241" priority="80" stopIfTrue="1" operator="lessThanOrEqual">
      <formula>0</formula>
    </cfRule>
  </conditionalFormatting>
  <conditionalFormatting sqref="H57:H58">
    <cfRule type="cellIs" dxfId="3240" priority="115" stopIfTrue="1" operator="greaterThan">
      <formula>#REF!</formula>
    </cfRule>
    <cfRule type="cellIs" dxfId="3239" priority="114" stopIfTrue="1" operator="lessThanOrEqual">
      <formula>0</formula>
    </cfRule>
    <cfRule type="cellIs" dxfId="3238" priority="126" stopIfTrue="1" operator="lessThanOrEqual">
      <formula>0</formula>
    </cfRule>
    <cfRule type="cellIs" dxfId="3237" priority="125" stopIfTrue="1" operator="greaterThan">
      <formula>#REF!</formula>
    </cfRule>
    <cfRule type="cellIs" dxfId="3236" priority="124" stopIfTrue="1" operator="lessThanOrEqual">
      <formula>0</formula>
    </cfRule>
    <cfRule type="cellIs" dxfId="3235" priority="123" stopIfTrue="1" operator="greaterThan">
      <formula>$F$20</formula>
    </cfRule>
  </conditionalFormatting>
  <conditionalFormatting sqref="H59">
    <cfRule type="cellIs" dxfId="3234" priority="139" stopIfTrue="1" operator="greaterThan">
      <formula>$F$34</formula>
    </cfRule>
    <cfRule type="cellIs" dxfId="3233" priority="129" stopIfTrue="1" operator="greaterThan">
      <formula>$F$33</formula>
    </cfRule>
    <cfRule type="cellIs" dxfId="3232" priority="137" stopIfTrue="1" operator="greaterThan">
      <formula>$F$36</formula>
    </cfRule>
    <cfRule type="cellIs" dxfId="3231" priority="138" stopIfTrue="1" operator="lessThanOrEqual">
      <formula>0</formula>
    </cfRule>
    <cfRule type="cellIs" dxfId="3230" priority="140" stopIfTrue="1" operator="lessThanOrEqual">
      <formula>0</formula>
    </cfRule>
    <cfRule type="cellIs" dxfId="3229" priority="128" stopIfTrue="1" operator="lessThanOrEqual">
      <formula>0</formula>
    </cfRule>
  </conditionalFormatting>
  <conditionalFormatting sqref="H60:H61">
    <cfRule type="cellIs" dxfId="3228" priority="98" stopIfTrue="1" operator="lessThanOrEqual">
      <formula>0</formula>
    </cfRule>
    <cfRule type="cellIs" dxfId="3227" priority="110" stopIfTrue="1" operator="lessThanOrEqual">
      <formula>0</formula>
    </cfRule>
    <cfRule type="cellIs" dxfId="3226" priority="109" stopIfTrue="1" operator="greaterThan">
      <formula>#REF!</formula>
    </cfRule>
    <cfRule type="cellIs" dxfId="3225" priority="99" stopIfTrue="1" operator="greaterThan">
      <formula>#REF!</formula>
    </cfRule>
    <cfRule type="cellIs" dxfId="3224" priority="107" stopIfTrue="1" operator="greaterThan">
      <formula>$F$20</formula>
    </cfRule>
    <cfRule type="cellIs" dxfId="3223" priority="108" stopIfTrue="1" operator="lessThanOrEqual">
      <formula>0</formula>
    </cfRule>
  </conditionalFormatting>
  <conditionalFormatting sqref="H76 H78:H84">
    <cfRule type="cellIs" dxfId="3222" priority="169" stopIfTrue="1" operator="greaterThan">
      <formula>4.5</formula>
    </cfRule>
    <cfRule type="cellIs" dxfId="3221" priority="170" stopIfTrue="1" operator="lessThanOrEqual">
      <formula>0</formula>
    </cfRule>
  </conditionalFormatting>
  <conditionalFormatting sqref="H52:I52">
    <cfRule type="cellIs" dxfId="3220" priority="31" stopIfTrue="1" operator="lessThanOrEqual">
      <formula>0</formula>
    </cfRule>
    <cfRule type="cellIs" dxfId="3219" priority="28" stopIfTrue="1" operator="greaterThan">
      <formula>$F$64</formula>
    </cfRule>
  </conditionalFormatting>
  <conditionalFormatting sqref="H53:I56">
    <cfRule type="cellIs" dxfId="3218" priority="72" stopIfTrue="1" operator="lessThanOrEqual">
      <formula>0</formula>
    </cfRule>
    <cfRule type="cellIs" dxfId="3217" priority="69" stopIfTrue="1" operator="greaterThan">
      <formula>$F$67</formula>
    </cfRule>
  </conditionalFormatting>
  <conditionalFormatting sqref="H57:I58">
    <cfRule type="cellIs" dxfId="3216" priority="113" stopIfTrue="1" operator="greaterThan">
      <formula>#REF!</formula>
    </cfRule>
    <cfRule type="cellIs" dxfId="3215" priority="116" stopIfTrue="1" operator="lessThanOrEqual">
      <formula>0</formula>
    </cfRule>
  </conditionalFormatting>
  <conditionalFormatting sqref="H59:I59">
    <cfRule type="cellIs" dxfId="3214" priority="127" stopIfTrue="1" operator="greaterThan">
      <formula>$F$35</formula>
    </cfRule>
    <cfRule type="cellIs" dxfId="3213" priority="130" stopIfTrue="1" operator="lessThanOrEqual">
      <formula>0</formula>
    </cfRule>
  </conditionalFormatting>
  <conditionalFormatting sqref="H60:I61">
    <cfRule type="cellIs" dxfId="3212" priority="97" stopIfTrue="1" operator="greaterThan">
      <formula>#REF!</formula>
    </cfRule>
    <cfRule type="cellIs" dxfId="3211" priority="100" stopIfTrue="1" operator="lessThanOrEqual">
      <formula>0</formula>
    </cfRule>
  </conditionalFormatting>
  <conditionalFormatting sqref="H65:I72">
    <cfRule type="cellIs" dxfId="3210" priority="43" stopIfTrue="1" operator="greaterThan">
      <formula>$J65</formula>
    </cfRule>
    <cfRule type="cellIs" dxfId="3209" priority="44" stopIfTrue="1" operator="lessThanOrEqual">
      <formula>0</formula>
    </cfRule>
  </conditionalFormatting>
  <conditionalFormatting sqref="H73:I73">
    <cfRule type="cellIs" dxfId="3208" priority="52" operator="greaterThan">
      <formula>5.3</formula>
    </cfRule>
  </conditionalFormatting>
  <conditionalFormatting sqref="H74:I74">
    <cfRule type="cellIs" dxfId="3207" priority="50" stopIfTrue="1" operator="greaterThan">
      <formula>$J74</formula>
    </cfRule>
    <cfRule type="cellIs" dxfId="3206" priority="51" stopIfTrue="1" operator="lessThanOrEqual">
      <formula>0</formula>
    </cfRule>
  </conditionalFormatting>
  <conditionalFormatting sqref="I52">
    <cfRule type="cellIs" dxfId="3205" priority="35" stopIfTrue="1" operator="lessThanOrEqual">
      <formula>0</formula>
    </cfRule>
    <cfRule type="cellIs" dxfId="3204" priority="36" stopIfTrue="1" operator="greaterThan">
      <formula>$F$62</formula>
    </cfRule>
    <cfRule type="cellIs" dxfId="3203" priority="37" stopIfTrue="1" operator="lessThanOrEqual">
      <formula>0</formula>
    </cfRule>
    <cfRule type="cellIs" dxfId="3202" priority="32" stopIfTrue="1" operator="greaterThan">
      <formula>$F$62</formula>
    </cfRule>
    <cfRule type="cellIs" dxfId="3201" priority="33" stopIfTrue="1" operator="lessThanOrEqual">
      <formula>0</formula>
    </cfRule>
    <cfRule type="cellIs" dxfId="3200" priority="34" stopIfTrue="1" operator="greaterThan">
      <formula>$F$64</formula>
    </cfRule>
  </conditionalFormatting>
  <conditionalFormatting sqref="I53:I56">
    <cfRule type="cellIs" dxfId="3199" priority="73" stopIfTrue="1" operator="greaterThan">
      <formula>$F$65</formula>
    </cfRule>
    <cfRule type="cellIs" dxfId="3198" priority="78" stopIfTrue="1" operator="lessThanOrEqual">
      <formula>0</formula>
    </cfRule>
    <cfRule type="cellIs" dxfId="3197" priority="76" stopIfTrue="1" operator="lessThanOrEqual">
      <formula>0</formula>
    </cfRule>
    <cfRule type="cellIs" dxfId="3196" priority="75" stopIfTrue="1" operator="greaterThan">
      <formula>$F$67</formula>
    </cfRule>
    <cfRule type="cellIs" dxfId="3195" priority="74" stopIfTrue="1" operator="lessThanOrEqual">
      <formula>0</formula>
    </cfRule>
    <cfRule type="cellIs" dxfId="3194" priority="77" stopIfTrue="1" operator="greaterThan">
      <formula>$F$65</formula>
    </cfRule>
  </conditionalFormatting>
  <conditionalFormatting sqref="I57:I58">
    <cfRule type="cellIs" dxfId="3193" priority="120" stopIfTrue="1" operator="lessThanOrEqual">
      <formula>0</formula>
    </cfRule>
    <cfRule type="cellIs" dxfId="3192" priority="121" stopIfTrue="1" operator="greaterThan">
      <formula>#REF!</formula>
    </cfRule>
    <cfRule type="cellIs" dxfId="3191" priority="122" stopIfTrue="1" operator="lessThanOrEqual">
      <formula>0</formula>
    </cfRule>
    <cfRule type="cellIs" dxfId="3190" priority="119" stopIfTrue="1" operator="greaterThan">
      <formula>#REF!</formula>
    </cfRule>
    <cfRule type="cellIs" dxfId="3189" priority="118" stopIfTrue="1" operator="lessThanOrEqual">
      <formula>0</formula>
    </cfRule>
    <cfRule type="cellIs" dxfId="3188" priority="117" stopIfTrue="1" operator="greaterThan">
      <formula>#REF!</formula>
    </cfRule>
  </conditionalFormatting>
  <conditionalFormatting sqref="I59">
    <cfRule type="cellIs" dxfId="3187" priority="131" stopIfTrue="1" operator="greaterThan">
      <formula>$F$33</formula>
    </cfRule>
    <cfRule type="cellIs" dxfId="3186" priority="132" stopIfTrue="1" operator="lessThanOrEqual">
      <formula>0</formula>
    </cfRule>
    <cfRule type="cellIs" dxfId="3185" priority="133" stopIfTrue="1" operator="greaterThan">
      <formula>$F$35</formula>
    </cfRule>
    <cfRule type="cellIs" dxfId="3184" priority="134" stopIfTrue="1" operator="lessThanOrEqual">
      <formula>0</formula>
    </cfRule>
    <cfRule type="cellIs" dxfId="3183" priority="135" stopIfTrue="1" operator="greaterThan">
      <formula>$F$33</formula>
    </cfRule>
    <cfRule type="cellIs" dxfId="3182" priority="136" stopIfTrue="1" operator="lessThanOrEqual">
      <formula>0</formula>
    </cfRule>
  </conditionalFormatting>
  <conditionalFormatting sqref="I60:I61">
    <cfRule type="cellIs" dxfId="3181" priority="106" stopIfTrue="1" operator="lessThanOrEqual">
      <formula>0</formula>
    </cfRule>
    <cfRule type="cellIs" dxfId="3180" priority="105" stopIfTrue="1" operator="greaterThan">
      <formula>#REF!</formula>
    </cfRule>
    <cfRule type="cellIs" dxfId="3179" priority="104" stopIfTrue="1" operator="lessThanOrEqual">
      <formula>0</formula>
    </cfRule>
    <cfRule type="cellIs" dxfId="3178" priority="103" stopIfTrue="1" operator="greaterThan">
      <formula>#REF!</formula>
    </cfRule>
    <cfRule type="cellIs" dxfId="3177" priority="102" stopIfTrue="1" operator="lessThanOrEqual">
      <formula>0</formula>
    </cfRule>
    <cfRule type="cellIs" dxfId="3176" priority="101" stopIfTrue="1" operator="greaterThan">
      <formula>#REF!</formula>
    </cfRule>
  </conditionalFormatting>
  <conditionalFormatting sqref="I76:I84">
    <cfRule type="cellIs" dxfId="3175" priority="166" stopIfTrue="1" operator="lessThanOrEqual">
      <formula>0</formula>
    </cfRule>
    <cfRule type="cellIs" dxfId="3174" priority="165" stopIfTrue="1" operator="greaterThan">
      <formula>4.5</formula>
    </cfRule>
  </conditionalFormatting>
  <conditionalFormatting sqref="I10:J20">
    <cfRule type="cellIs" dxfId="3173" priority="12" operator="lessThan">
      <formula>97.9</formula>
    </cfRule>
  </conditionalFormatting>
  <conditionalFormatting sqref="J23:J24">
    <cfRule type="cellIs" dxfId="3172" priority="1" operator="lessThan">
      <formula>97.95</formula>
    </cfRule>
  </conditionalFormatting>
  <conditionalFormatting sqref="J25">
    <cfRule type="cellIs" dxfId="3171" priority="142" stopIfTrue="1" operator="lessThan">
      <formula>96.8</formula>
    </cfRule>
    <cfRule type="cellIs" dxfId="3170" priority="143" stopIfTrue="1" operator="greaterThan">
      <formula>100</formula>
    </cfRule>
    <cfRule type="cellIs" dxfId="3169" priority="144" operator="lessThan">
      <formula>98</formula>
    </cfRule>
  </conditionalFormatting>
  <conditionalFormatting sqref="J25:J27">
    <cfRule type="cellIs" dxfId="3168" priority="141" operator="lessThan">
      <formula>97.4</formula>
    </cfRule>
  </conditionalFormatting>
  <conditionalFormatting sqref="J28:J29">
    <cfRule type="cellIs" dxfId="3167" priority="145" operator="lessThan">
      <formula>98</formula>
    </cfRule>
  </conditionalFormatting>
  <conditionalFormatting sqref="J30:J31">
    <cfRule type="cellIs" dxfId="3166" priority="147" stopIfTrue="1" operator="greaterThan">
      <formula>100</formula>
    </cfRule>
    <cfRule type="cellIs" dxfId="3165" priority="146" stopIfTrue="1" operator="lessThan">
      <formula>96.8</formula>
    </cfRule>
  </conditionalFormatting>
  <conditionalFormatting sqref="J30:J32">
    <cfRule type="cellIs" dxfId="3164" priority="148" operator="lessThan">
      <formula>98</formula>
    </cfRule>
  </conditionalFormatting>
  <conditionalFormatting sqref="J61">
    <cfRule type="cellIs" dxfId="3163" priority="89" stopIfTrue="1" operator="greaterThan">
      <formula>#REF!</formula>
    </cfRule>
    <cfRule type="cellIs" dxfId="3162" priority="90" stopIfTrue="1" operator="lessThanOrEqual">
      <formula>0</formula>
    </cfRule>
    <cfRule type="cellIs" dxfId="3161" priority="91" stopIfTrue="1" operator="greaterThan">
      <formula>#REF!</formula>
    </cfRule>
    <cfRule type="cellIs" dxfId="3160" priority="92" stopIfTrue="1" operator="lessThanOrEqual">
      <formula>0</formula>
    </cfRule>
    <cfRule type="cellIs" dxfId="3159" priority="96" stopIfTrue="1" operator="lessThanOrEqual">
      <formula>0</formula>
    </cfRule>
    <cfRule type="cellIs" dxfId="3158" priority="93" stopIfTrue="1" operator="greaterThan">
      <formula>#REF!</formula>
    </cfRule>
    <cfRule type="cellIs" dxfId="3157" priority="94" stopIfTrue="1" operator="lessThanOrEqual">
      <formula>0</formula>
    </cfRule>
    <cfRule type="cellIs" dxfId="3156" priority="95" stopIfTrue="1" operator="greaterThan">
      <formula>#REF!</formula>
    </cfRule>
  </conditionalFormatting>
  <conditionalFormatting sqref="J74">
    <cfRule type="cellIs" dxfId="3155" priority="55" stopIfTrue="1" operator="greaterThan">
      <formula>$F74</formula>
    </cfRule>
    <cfRule type="cellIs" dxfId="3154" priority="56" stopIfTrue="1" operator="lessThanOrEqual">
      <formula>0</formula>
    </cfRule>
  </conditionalFormatting>
  <conditionalFormatting sqref="K10:K20">
    <cfRule type="cellIs" dxfId="3153" priority="15" operator="greaterThan">
      <formula>6.4</formula>
    </cfRule>
    <cfRule type="cellIs" dxfId="3152" priority="14" operator="lessThan">
      <formula>4</formula>
    </cfRule>
    <cfRule type="cellIs" dxfId="3151" priority="13" operator="greaterThan">
      <formula>6</formula>
    </cfRule>
  </conditionalFormatting>
  <conditionalFormatting sqref="K52:K61">
    <cfRule type="cellIs" dxfId="3150" priority="83" stopIfTrue="1" operator="lessThan">
      <formula>100%</formula>
    </cfRule>
  </conditionalFormatting>
  <conditionalFormatting sqref="K76:K81">
    <cfRule type="cellIs" dxfId="3149" priority="171" stopIfTrue="1" operator="lessThan">
      <formula>100%</formula>
    </cfRule>
  </conditionalFormatting>
  <conditionalFormatting sqref="K83:K84">
    <cfRule type="cellIs" dxfId="3148" priority="178" stopIfTrue="1" operator="lessThan">
      <formula>100%</formula>
    </cfRule>
  </conditionalFormatting>
  <conditionalFormatting sqref="K65:M73">
    <cfRule type="cellIs" dxfId="3147" priority="42" stopIfTrue="1" operator="lessThan">
      <formula>100%</formula>
    </cfRule>
  </conditionalFormatting>
  <conditionalFormatting sqref="L10:L20">
    <cfRule type="cellIs" dxfId="3146" priority="17" operator="greaterThan">
      <formula>65</formula>
    </cfRule>
    <cfRule type="cellIs" dxfId="3145" priority="16" operator="between">
      <formula>61</formula>
      <formula>65</formula>
    </cfRule>
  </conditionalFormatting>
  <conditionalFormatting sqref="L23:M34">
    <cfRule type="cellIs" dxfId="3144" priority="85" operator="lessThan">
      <formula>97.95</formula>
    </cfRule>
  </conditionalFormatting>
  <conditionalFormatting sqref="L74:M74">
    <cfRule type="cellIs" dxfId="3143" priority="57" stopIfTrue="1" operator="lessThan">
      <formula>100%</formula>
    </cfRule>
  </conditionalFormatting>
  <conditionalFormatting sqref="L38:N38">
    <cfRule type="cellIs" dxfId="3142" priority="86" operator="notEqual">
      <formula>#REF!</formula>
    </cfRule>
  </conditionalFormatting>
  <conditionalFormatting sqref="L76:N84">
    <cfRule type="cellIs" dxfId="3141" priority="156" stopIfTrue="1" operator="lessThan">
      <formula>100%</formula>
    </cfRule>
  </conditionalFormatting>
  <conditionalFormatting sqref="M17:M18">
    <cfRule type="expression" dxfId="3140" priority="22">
      <formula>IF(+(IF(M17&lt;U17,0,IF(M17&gt;V17,0,1)))=0,1)</formula>
    </cfRule>
  </conditionalFormatting>
  <conditionalFormatting sqref="M10:N16 H10:H20">
    <cfRule type="expression" dxfId="3139" priority="19">
      <formula>IF(+(IF(H10&lt;#REF!,0,IF(H10&gt;#REF!,0,1)))=0,1)</formula>
    </cfRule>
  </conditionalFormatting>
  <conditionalFormatting sqref="M19:N20">
    <cfRule type="expression" dxfId="3138" priority="84">
      <formula>IF(+(IF(M19&lt;#REF!,0,IF(M19&gt;#REF!,0,1)))=0,1)</formula>
    </cfRule>
  </conditionalFormatting>
  <conditionalFormatting sqref="N10:N18">
    <cfRule type="expression" dxfId="3137" priority="21">
      <formula>IF(+(IF(N10&lt;W10,0,IF(N10&gt;X10,0,1)))=0,1)</formula>
    </cfRule>
  </conditionalFormatting>
  <conditionalFormatting sqref="N65:N74">
    <cfRule type="cellIs" dxfId="3136" priority="67" stopIfTrue="1" operator="lessThan">
      <formula>100%</formula>
    </cfRule>
  </conditionalFormatting>
  <conditionalFormatting sqref="P6">
    <cfRule type="cellIs" dxfId="3135" priority="152" operator="greaterThanOrEqual">
      <formula>19</formula>
    </cfRule>
  </conditionalFormatting>
  <dataValidations count="1">
    <dataValidation type="list" allowBlank="1" showInputMessage="1" showErrorMessage="1" sqref="R8" xr:uid="{174BB546-834C-4563-A495-7E201C9C889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D43F-BD1E-4655-B588-12A566EF8B67}">
  <sheetPr>
    <pageSetUpPr fitToPage="1"/>
  </sheetPr>
  <dimension ref="A1:BE81"/>
  <sheetViews>
    <sheetView topLeftCell="A16" zoomScale="85" zoomScaleNormal="85" workbookViewId="0">
      <selection activeCell="L45" sqref="L4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46149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65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95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3" t="s">
        <v>9</v>
      </c>
      <c r="C10" s="366" t="str">
        <f>[3]Brewhouse!$A216</f>
        <v>ST162</v>
      </c>
      <c r="D10" s="279">
        <f>[3]Brewhouse!$AB216</f>
        <v>53.1</v>
      </c>
      <c r="E10" s="279">
        <f>[3]Brewhouse!$AG216</f>
        <v>50</v>
      </c>
      <c r="F10" s="278">
        <f>[3]Brewhouse!$V216</f>
        <v>63</v>
      </c>
      <c r="G10" s="279">
        <f>[3]Brewhouse!$AE216</f>
        <v>11.6</v>
      </c>
      <c r="H10" s="396">
        <v>11.6</v>
      </c>
      <c r="I10" s="368">
        <f>[3]Brewhouse!$AS216</f>
        <v>97.156843184212079</v>
      </c>
      <c r="J10" s="368">
        <f>[3]Brewhouse!$AT216</f>
        <v>98.471104483106629</v>
      </c>
      <c r="K10" s="281">
        <f>[3]Brewhouse!$Q216</f>
        <v>4.2843691148775873</v>
      </c>
      <c r="L10" s="276">
        <f>[3]Brewhouse!$P216</f>
        <v>61</v>
      </c>
      <c r="M10" s="374">
        <f>[3]Brewhouse!$U216-[3]Brewhouse!$T216</f>
        <v>0.125</v>
      </c>
      <c r="N10" s="370">
        <f>[3]Brewhouse!$AW216</f>
        <v>0.27499999999999991</v>
      </c>
      <c r="O10" s="371" t="str">
        <f>[3]Brewhouse!$AV216</f>
        <v xml:space="preserve">D. Gomaz </v>
      </c>
      <c r="P10" s="418" t="s">
        <v>180</v>
      </c>
      <c r="R10" s="277" t="str">
        <f t="shared" ref="R10:R41" si="0">B10</f>
        <v>STAG</v>
      </c>
      <c r="S10" s="472">
        <f t="shared" ref="S10:S41" si="1">VLOOKUP($B10,$R$3:$X$9,2,FALSE)</f>
        <v>11.6</v>
      </c>
      <c r="T10" s="472">
        <f t="shared" ref="T10:T41" si="2">VLOOKUP($B10,$R$3:$X$9,3,FALSE)</f>
        <v>12</v>
      </c>
      <c r="U10" s="297">
        <f t="shared" ref="U10:U41" si="3">VLOOKUP($B10,$R$3:$X$9,4,FALSE)</f>
        <v>0</v>
      </c>
      <c r="V10" s="297">
        <f t="shared" ref="V10:V41" si="4">VLOOKUP($B10,$R$3:$X$9,5,FALSE)</f>
        <v>0.118055555555556</v>
      </c>
      <c r="W10" s="297">
        <f t="shared" ref="W10:W41" si="5">VLOOKUP($B10,$R$3:$X$9,6,FALSE)</f>
        <v>0.22569444444444445</v>
      </c>
      <c r="X10" s="297">
        <f t="shared" ref="X10:X41" si="6">VLOOKUP($B10,$R$3:$X$9,7,FALSE)</f>
        <v>0.2638888888888889</v>
      </c>
      <c r="Y10" s="297">
        <f t="shared" ref="Y10:Y41" si="7">VLOOKUP($B10,$R$3:$Z$9,8,FALSE)</f>
        <v>0</v>
      </c>
      <c r="Z10" s="472">
        <f t="shared" ref="Z10:Z41" si="8">VLOOKUP($B10,$R$3:$Z$9,9,FALSE)</f>
        <v>60</v>
      </c>
    </row>
    <row r="11" spans="2:29" ht="15">
      <c r="B11" s="33" t="s">
        <v>9</v>
      </c>
      <c r="C11" s="366" t="str">
        <f>[3]Brewhouse!$A217</f>
        <v>ST163</v>
      </c>
      <c r="D11" s="279">
        <f>[3]Brewhouse!$AB217</f>
        <v>53.1</v>
      </c>
      <c r="E11" s="279">
        <f>[3]Brewhouse!$AG217</f>
        <v>50.3</v>
      </c>
      <c r="F11" s="278">
        <f>[3]Brewhouse!$V217</f>
        <v>53</v>
      </c>
      <c r="G11" s="279">
        <f>[3]Brewhouse!$AE217</f>
        <v>11.7</v>
      </c>
      <c r="H11" s="396">
        <v>11.7</v>
      </c>
      <c r="I11" s="368">
        <f>[3]Brewhouse!$AS217</f>
        <v>98.378206632279046</v>
      </c>
      <c r="J11" s="368">
        <f>[3]Brewhouse!$AT217</f>
        <v>99.709873732930305</v>
      </c>
      <c r="K11" s="281">
        <f>[3]Brewhouse!$Q217</f>
        <v>2.5894538606403015</v>
      </c>
      <c r="L11" s="276">
        <f>[3]Brewhouse!$P217</f>
        <v>62</v>
      </c>
      <c r="M11" s="374">
        <f>[3]Brewhouse!$U217-[3]Brewhouse!$T217</f>
        <v>0.11319444444444449</v>
      </c>
      <c r="N11" s="370">
        <f>[3]Brewhouse!$AW217</f>
        <v>0.27777777777777779</v>
      </c>
      <c r="O11" s="371" t="str">
        <f>[3]Brewhouse!$AV217</f>
        <v xml:space="preserve">D. Gomaz </v>
      </c>
      <c r="P11" s="418" t="s">
        <v>183</v>
      </c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3" t="s">
        <v>9</v>
      </c>
      <c r="C12" s="366" t="str">
        <f>[3]Brewhouse!$A218</f>
        <v>ST164</v>
      </c>
      <c r="D12" s="279">
        <f>[3]Brewhouse!$AB218</f>
        <v>53.1</v>
      </c>
      <c r="E12" s="279">
        <f>[3]Brewhouse!$AG218</f>
        <v>49.3</v>
      </c>
      <c r="F12" s="278">
        <f>[3]Brewhouse!$V218</f>
        <v>61</v>
      </c>
      <c r="G12" s="279">
        <f>[3]Brewhouse!$AE218</f>
        <v>11.9</v>
      </c>
      <c r="H12" s="396">
        <v>11.9</v>
      </c>
      <c r="I12" s="368">
        <f>[3]Brewhouse!$AS218</f>
        <v>98.866051801226916</v>
      </c>
      <c r="J12" s="368">
        <f>[3]Brewhouse!$AT218</f>
        <v>99.736116939213858</v>
      </c>
      <c r="K12" s="281">
        <f>[3]Brewhouse!$Q218</f>
        <v>4.096045197740108</v>
      </c>
      <c r="L12" s="276">
        <f>[3]Brewhouse!$P218</f>
        <v>58</v>
      </c>
      <c r="M12" s="374">
        <f>[3]Brewhouse!$U218-[3]Brewhouse!$T218</f>
        <v>0.11944444444444441</v>
      </c>
      <c r="N12" s="370">
        <f>[3]Brewhouse!$AW218</f>
        <v>0.29791666666666666</v>
      </c>
      <c r="O12" s="371" t="str">
        <f>[3]Brewhouse!$AV218</f>
        <v xml:space="preserve">D. Gomaz </v>
      </c>
      <c r="P12" s="418" t="s">
        <v>184</v>
      </c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33" t="s">
        <v>9</v>
      </c>
      <c r="C13" s="366" t="str">
        <f>[3]Brewhouse!$A219</f>
        <v>ST165</v>
      </c>
      <c r="D13" s="279">
        <f>[3]Brewhouse!$AB219</f>
        <v>53.1</v>
      </c>
      <c r="E13" s="279">
        <f>[3]Brewhouse!$AG219</f>
        <v>49.8</v>
      </c>
      <c r="F13" s="278">
        <f>[3]Brewhouse!$V219</f>
        <v>59</v>
      </c>
      <c r="G13" s="279">
        <f>[3]Brewhouse!$AE219</f>
        <v>11.8</v>
      </c>
      <c r="H13" s="396">
        <v>11.8</v>
      </c>
      <c r="I13" s="368">
        <f>[3]Brewhouse!$AS219</f>
        <v>98.986375596522507</v>
      </c>
      <c r="J13" s="368">
        <f>[3]Brewhouse!$AT219</f>
        <v>99.857499637314319</v>
      </c>
      <c r="K13" s="281">
        <f>[3]Brewhouse!$Q219</f>
        <v>3.1544256120527256</v>
      </c>
      <c r="L13" s="276">
        <f>[3]Brewhouse!$P219</f>
        <v>58</v>
      </c>
      <c r="M13" s="374">
        <f>[3]Brewhouse!$U219-[3]Brewhouse!$T219</f>
        <v>0.12222222222222218</v>
      </c>
      <c r="N13" s="370">
        <f>[3]Brewhouse!$AW219</f>
        <v>0.28333333333333327</v>
      </c>
      <c r="O13" s="371" t="str">
        <f>[3]Brewhouse!$AV219</f>
        <v>R.Sookram</v>
      </c>
      <c r="P13" s="418"/>
      <c r="R13" s="277" t="str">
        <f t="shared" ref="R13:R32" si="9">B13</f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33" t="s">
        <v>9</v>
      </c>
      <c r="C14" s="366" t="str">
        <f>[3]Brewhouse!$A220</f>
        <v>ST166</v>
      </c>
      <c r="D14" s="279">
        <f>[3]Brewhouse!$AB220</f>
        <v>53.1</v>
      </c>
      <c r="E14" s="279">
        <f>[3]Brewhouse!$AG220</f>
        <v>49.6</v>
      </c>
      <c r="F14" s="278">
        <f>[3]Brewhouse!$V220</f>
        <v>56</v>
      </c>
      <c r="G14" s="279">
        <f>[3]Brewhouse!$AE220</f>
        <v>11.8</v>
      </c>
      <c r="H14" s="396">
        <v>12</v>
      </c>
      <c r="I14" s="368">
        <f>[3]Brewhouse!$AS220</f>
        <v>98.588839951556579</v>
      </c>
      <c r="J14" s="368">
        <f>[3]Brewhouse!$AT220</f>
        <v>99.456465502224717</v>
      </c>
      <c r="K14" s="281">
        <f>[3]Brewhouse!$Q220</f>
        <v>2.5894538606403015</v>
      </c>
      <c r="L14" s="276">
        <f>[3]Brewhouse!$P220</f>
        <v>58</v>
      </c>
      <c r="M14" s="374">
        <f>[3]Brewhouse!$U220-[3]Brewhouse!$T220</f>
        <v>0.11250000000000004</v>
      </c>
      <c r="N14" s="370">
        <f>[3]Brewhouse!$AW220</f>
        <v>0.28541666666666671</v>
      </c>
      <c r="O14" s="371" t="str">
        <f>[3]Brewhouse!$AV220</f>
        <v>R.Sookram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33" t="s">
        <v>9</v>
      </c>
      <c r="C15" s="366" t="str">
        <f>[3]Brewhouse!$A221</f>
        <v>ST167</v>
      </c>
      <c r="D15" s="279">
        <f>[3]Brewhouse!$AB221</f>
        <v>53.1</v>
      </c>
      <c r="E15" s="279">
        <f>[3]Brewhouse!$AG221</f>
        <v>49</v>
      </c>
      <c r="F15" s="278">
        <f>[3]Brewhouse!$V221</f>
        <v>55</v>
      </c>
      <c r="G15" s="279">
        <f>[3]Brewhouse!$AE221</f>
        <v>11.9</v>
      </c>
      <c r="H15" s="482">
        <v>12.1</v>
      </c>
      <c r="I15" s="368">
        <f>[3]Brewhouse!$AS221</f>
        <v>98.140556826659378</v>
      </c>
      <c r="J15" s="368">
        <f>[3]Brewhouse!$AT221</f>
        <v>99.004524557893376</v>
      </c>
      <c r="K15" s="281">
        <f>[3]Brewhouse!$Q221</f>
        <v>3.7193973634651627</v>
      </c>
      <c r="L15" s="276">
        <f>[3]Brewhouse!$P221</f>
        <v>66</v>
      </c>
      <c r="M15" s="374">
        <f>[3]Brewhouse!$U221-[3]Brewhouse!$T221</f>
        <v>0.12291666666666667</v>
      </c>
      <c r="N15" s="370">
        <f>[3]Brewhouse!$AW221</f>
        <v>0.26041666666666663</v>
      </c>
      <c r="O15" s="371" t="str">
        <f>[3]Brewhouse!$AV221</f>
        <v>R.Sookram</v>
      </c>
      <c r="P15" s="418"/>
      <c r="R15" s="277" t="str">
        <f t="shared" si="9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5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>
      <c r="B24" s="34"/>
      <c r="C24" s="366"/>
      <c r="D24" s="279"/>
      <c r="E24" s="279"/>
      <c r="F24" s="278"/>
      <c r="G24" s="279"/>
      <c r="H24" s="396"/>
      <c r="I24" s="483"/>
      <c r="J24" s="483"/>
      <c r="K24" s="484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hidden="1">
      <c r="B25" s="34"/>
      <c r="C25" s="366"/>
      <c r="D25" s="279"/>
      <c r="E25" s="279"/>
      <c r="F25" s="278"/>
      <c r="G25" s="279"/>
      <c r="H25" s="396"/>
      <c r="I25" s="483"/>
      <c r="J25" s="483"/>
      <c r="K25" s="484"/>
      <c r="L25" s="276"/>
      <c r="M25" s="374"/>
      <c r="N25" s="370"/>
      <c r="O25" s="420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8" hidden="1" customHeight="1">
      <c r="B26" s="29"/>
      <c r="C26" s="366"/>
      <c r="D26" s="279"/>
      <c r="E26" s="279"/>
      <c r="F26" s="278"/>
      <c r="G26" s="279"/>
      <c r="H26" s="482"/>
      <c r="I26" s="368"/>
      <c r="J26" s="368"/>
      <c r="K26" s="281"/>
      <c r="L26" s="276"/>
      <c r="M26" s="374"/>
      <c r="N26" s="370"/>
      <c r="O26" s="371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6.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.75" customHeight="1" thickBot="1">
      <c r="B28" s="358"/>
      <c r="C28" s="358"/>
      <c r="D28" s="358"/>
      <c r="E28" s="358"/>
      <c r="F28" s="294"/>
      <c r="G28" s="294"/>
      <c r="H28" s="348"/>
      <c r="I28" s="525"/>
      <c r="J28" s="525"/>
      <c r="K28" s="525"/>
      <c r="L28" s="525"/>
      <c r="M28" s="525"/>
      <c r="N28" s="525"/>
      <c r="O28" s="1"/>
      <c r="P28" s="12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.75" customHeight="1" thickBot="1">
      <c r="B29" s="388" t="s">
        <v>162</v>
      </c>
      <c r="C29" s="388"/>
      <c r="D29" s="526" t="s">
        <v>35</v>
      </c>
      <c r="E29" s="527"/>
      <c r="F29" s="294"/>
      <c r="G29" s="294"/>
      <c r="H29" s="348"/>
      <c r="I29" s="24" t="s">
        <v>17</v>
      </c>
      <c r="J29" s="25"/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9"/>
        <v xml:space="preserve">BRAND 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" customHeight="1">
      <c r="A30" s="28"/>
      <c r="B30" s="528"/>
      <c r="C30" s="362"/>
      <c r="D30" s="531"/>
      <c r="E30" s="532"/>
      <c r="F30" s="294"/>
      <c r="G30" s="294"/>
      <c r="H30" s="348"/>
      <c r="I30" s="29" t="s">
        <v>6</v>
      </c>
      <c r="J30" s="323"/>
      <c r="K30" s="284">
        <f>COUNTA([4]Brewhouse!$A$372:$A$387)</f>
        <v>16</v>
      </c>
      <c r="L30" s="305">
        <f>AVERAGE([4]Brewhouse!$AU$372:$AU$387)</f>
        <v>98.902892478421435</v>
      </c>
      <c r="M30" s="305">
        <f>AVERAGE([4]Brewhouse!$AU$42:$AU$123,[4]Brewhouse!$AU$125:$AU$188,[4]Brewhouse!$AU$198:$AU$290,[4]Brewhouse!$AU$292:$AU$370,[4]Brewhouse!$AU$372:$AU$387)</f>
        <v>98.047809454746684</v>
      </c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5" customHeight="1">
      <c r="A31" s="28"/>
      <c r="B31" s="529"/>
      <c r="C31" s="362"/>
      <c r="D31" s="533"/>
      <c r="E31" s="534"/>
      <c r="F31" s="294"/>
      <c r="G31" s="294"/>
      <c r="H31" s="348"/>
      <c r="I31" s="33" t="s">
        <v>9</v>
      </c>
      <c r="J31" s="323">
        <f>AVERAGE(I10:I15)</f>
        <v>98.352812332076084</v>
      </c>
      <c r="K31" s="284">
        <f>COUNTA([3]Brewhouse!$A$214:$A$221)</f>
        <v>8</v>
      </c>
      <c r="L31" s="302">
        <f>AVERAGE([3]Brewhouse!$AS$214:$AS$221)</f>
        <v>97.812555530392913</v>
      </c>
      <c r="M31" s="302">
        <f>AVERAGE([3]Brewhouse!$AS$52:$AS$81,[3]Brewhouse!$AS$83:$AS$124,[3]Brewhouse!$AS$134:$AS$177,[3]Brewhouse!$AS$22:$AS$179,[3]Brewhouse!$AS$214:$AS$221)</f>
        <v>97.942950589805974</v>
      </c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9"/>
      <c r="C32" s="362"/>
      <c r="D32" s="535"/>
      <c r="E32" s="536"/>
      <c r="F32" s="294"/>
      <c r="G32" s="294"/>
      <c r="H32" s="348"/>
      <c r="I32" s="34" t="s">
        <v>12</v>
      </c>
      <c r="J32" s="280"/>
      <c r="K32" s="284"/>
      <c r="L32" s="302"/>
      <c r="M32" s="302">
        <f>AVERAGE([5]Brewhouse!$AU$16:$AU$23,[5]Brewhouse!$AU$25:$AU$32,[5]Brewhouse!$AU$34:$AU$41,[5]Brewhouse!$AU$43:$AU$55)</f>
        <v>96.793456653928644</v>
      </c>
      <c r="N32" s="3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9"/>
      <c r="C33" s="362"/>
      <c r="D33" s="537"/>
      <c r="E33" s="534"/>
      <c r="F33" s="294"/>
      <c r="G33" s="294"/>
      <c r="H33" s="348"/>
      <c r="I33" s="22" t="s">
        <v>33</v>
      </c>
      <c r="J33" s="280"/>
      <c r="K33" s="284"/>
      <c r="L33" s="302"/>
      <c r="M33" s="302">
        <f>AVERAGE([6]Brewhouse!$AV$23:$AV$34,[6]Brewhouse!$AV$36,[6]Brewhouse!$AV$38:$AV$52,[6]Brewhouse!$AV$54:$AV$60)</f>
        <v>97.437512946773296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9"/>
      <c r="C34" s="362"/>
      <c r="D34" s="535"/>
      <c r="E34" s="536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29"/>
      <c r="C35" s="362"/>
      <c r="D35" s="537"/>
      <c r="E35" s="534"/>
      <c r="F35" s="417"/>
      <c r="G35" s="294"/>
      <c r="H35" s="348"/>
      <c r="I35" s="36" t="s">
        <v>15</v>
      </c>
      <c r="J35" s="323"/>
      <c r="K35" s="284"/>
      <c r="L35" s="302"/>
      <c r="M35" s="302">
        <f>AVERAGE([7]Brewhouse!$AT$4:$AT$11)</f>
        <v>92.826224508052405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65" customHeight="1">
      <c r="A36" s="28"/>
      <c r="B36" s="529"/>
      <c r="C36" s="362"/>
      <c r="D36" s="535"/>
      <c r="E36" s="536"/>
      <c r="F36" s="417"/>
      <c r="G36" s="294"/>
      <c r="H36" s="348"/>
      <c r="I36" s="37" t="s">
        <v>16</v>
      </c>
      <c r="J36" s="323"/>
      <c r="K36" s="284"/>
      <c r="L36" s="302"/>
      <c r="M36" s="302">
        <f>AVERAGE([8]Brewhouse!$AY$5:$AY$14,[8]Brewhouse!$AY$16:$AY$23,[8]Brewhouse!$AY$42,[8]Brewhouse!$AY$44:$AY$51)</f>
        <v>97.608428475776392</v>
      </c>
      <c r="N36" s="30">
        <v>98</v>
      </c>
      <c r="O36" s="11"/>
      <c r="P36" s="31" t="s">
        <v>41</v>
      </c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56" ht="14.65" customHeight="1">
      <c r="A37" s="28"/>
      <c r="B37" s="529"/>
      <c r="C37" s="362"/>
      <c r="D37" s="537"/>
      <c r="E37" s="534"/>
      <c r="F37" s="294"/>
      <c r="G37" s="294"/>
      <c r="H37" s="348"/>
      <c r="I37" s="411" t="s">
        <v>158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56" ht="14.65" customHeight="1">
      <c r="A38" s="28"/>
      <c r="B38" s="529"/>
      <c r="C38" s="349"/>
      <c r="D38" s="535"/>
      <c r="E38" s="536"/>
      <c r="F38" s="294"/>
      <c r="G38" s="294"/>
      <c r="H38" s="348"/>
      <c r="I38" s="410" t="s">
        <v>157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29"/>
      <c r="C39" s="349"/>
      <c r="D39" s="537"/>
      <c r="E39" s="534"/>
      <c r="F39" s="294"/>
      <c r="G39" s="294"/>
      <c r="H39" s="348"/>
      <c r="I39" s="406" t="s">
        <v>156</v>
      </c>
      <c r="J39" s="327"/>
      <c r="K39" s="407"/>
      <c r="L39" s="408"/>
      <c r="M39" s="408"/>
      <c r="N39" s="409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" customHeight="1" thickBot="1">
      <c r="A40" s="28"/>
      <c r="B40" s="529"/>
      <c r="C40" s="349"/>
      <c r="D40" s="531"/>
      <c r="E40" s="532"/>
      <c r="F40" s="294"/>
      <c r="G40" s="294"/>
      <c r="H40" s="348"/>
      <c r="I40" s="1"/>
      <c r="J40" s="39"/>
      <c r="K40" s="404">
        <f>SUM(K30:K39)</f>
        <v>24</v>
      </c>
      <c r="L40" s="405">
        <f>((L30*K30)+(L31*K31)+(L32*K32)+(L33*K33)+(L34*K34)+(K37*L37)+(L35*K35)+(L36*K36)+(L39*K39))/(K40)</f>
        <v>98.539446829078599</v>
      </c>
      <c r="M40" s="405">
        <f>AVERAGE('[9]Jan30th-31st'!$L$42,L40)</f>
        <v>98.183744282460026</v>
      </c>
      <c r="N40" s="4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.75" thickBot="1">
      <c r="B41" s="530"/>
      <c r="C41" s="350"/>
      <c r="D41" s="533"/>
      <c r="E41" s="534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56" ht="15.75" thickBot="1">
      <c r="B42" s="528"/>
      <c r="C42" s="362"/>
      <c r="D42" s="539"/>
      <c r="E42" s="540"/>
      <c r="F42" s="294"/>
      <c r="G42" s="42"/>
      <c r="H42" s="41"/>
      <c r="I42" s="42"/>
      <c r="J42" s="541" t="s">
        <v>129</v>
      </c>
      <c r="K42" s="541"/>
      <c r="L42" s="294"/>
      <c r="M42" s="294"/>
      <c r="N42" s="294"/>
      <c r="O42" s="294"/>
      <c r="P42" s="12"/>
    </row>
    <row r="43" spans="1:56" ht="15.75" thickBot="1">
      <c r="B43" s="529"/>
      <c r="C43" s="362"/>
      <c r="D43" s="537"/>
      <c r="E43" s="534"/>
      <c r="F43" s="294"/>
      <c r="G43" s="42"/>
      <c r="H43" s="42"/>
      <c r="I43" s="42"/>
      <c r="J43" s="292" t="s">
        <v>17</v>
      </c>
      <c r="K43" s="293" t="s">
        <v>172</v>
      </c>
      <c r="L43" s="542" t="s">
        <v>136</v>
      </c>
      <c r="M43" s="542"/>
      <c r="N43" s="543"/>
      <c r="O43" s="294"/>
      <c r="P43" s="12"/>
    </row>
    <row r="44" spans="1:56" ht="15" customHeight="1" thickBot="1">
      <c r="B44" s="529"/>
      <c r="C44" s="349"/>
      <c r="D44" s="535"/>
      <c r="E44" s="536"/>
      <c r="F44" s="294"/>
      <c r="G44" s="42"/>
      <c r="H44" s="42"/>
      <c r="I44" s="42"/>
      <c r="J44" s="287" t="s">
        <v>6</v>
      </c>
      <c r="K44" s="324"/>
      <c r="L44" s="473" t="s">
        <v>37</v>
      </c>
      <c r="M44" s="474" t="s">
        <v>38</v>
      </c>
      <c r="N44" s="474" t="s">
        <v>84</v>
      </c>
      <c r="O44" s="294"/>
      <c r="P44" s="12"/>
    </row>
    <row r="45" spans="1:56" ht="15.75" customHeight="1" thickBot="1">
      <c r="B45" s="529"/>
      <c r="C45" s="349"/>
      <c r="D45" s="537"/>
      <c r="E45" s="534"/>
      <c r="F45" s="294"/>
      <c r="G45" s="42"/>
      <c r="H45" s="42"/>
      <c r="I45" s="42"/>
      <c r="J45" s="345" t="s">
        <v>9</v>
      </c>
      <c r="K45" s="324">
        <v>6</v>
      </c>
      <c r="L45" s="344">
        <f>AVERAGE('May 2nd-23rd'!K53,'May 6th'!K54,'May 4th'!K51,'May 5th'!K47,'May 2nd-23rd'!K53)</f>
        <v>3.6</v>
      </c>
      <c r="M45" s="325">
        <f>AVERAGE('[9]Jan30th-31st'!$L$47,L45,'[10]Feb 26th '!$L$39,'[11]Mar 31st'!$L$47,'[12]Apr 30th'!$L$46)</f>
        <v>5.9273913043478261</v>
      </c>
      <c r="N45" s="416">
        <v>9.1999999999999993</v>
      </c>
      <c r="O45" s="294"/>
      <c r="P45" s="12"/>
    </row>
    <row r="46" spans="1:56" ht="15" customHeight="1">
      <c r="B46" s="529"/>
      <c r="C46" s="349"/>
      <c r="D46" s="535"/>
      <c r="E46" s="536"/>
      <c r="F46" s="294"/>
      <c r="G46" s="42"/>
      <c r="H46" s="42"/>
      <c r="I46" s="42"/>
      <c r="J46" s="288" t="s">
        <v>40</v>
      </c>
      <c r="K46" s="324"/>
      <c r="L46" s="294"/>
      <c r="M46" s="294"/>
      <c r="N46" s="294"/>
      <c r="O46" s="294"/>
      <c r="P46" s="12"/>
    </row>
    <row r="47" spans="1:56" ht="15" customHeight="1">
      <c r="B47" s="529"/>
      <c r="C47" s="349"/>
      <c r="D47" s="537"/>
      <c r="E47" s="534"/>
      <c r="F47" s="294"/>
      <c r="G47" s="42"/>
      <c r="H47" s="42"/>
      <c r="I47" s="42"/>
      <c r="J47" s="289" t="s">
        <v>33</v>
      </c>
      <c r="K47" s="324"/>
      <c r="L47" s="294"/>
      <c r="M47" s="294"/>
      <c r="N47" s="294"/>
      <c r="O47" s="294"/>
      <c r="P47" s="12"/>
    </row>
    <row r="48" spans="1:56" ht="15">
      <c r="B48" s="529"/>
      <c r="C48" s="349"/>
      <c r="D48" s="535"/>
      <c r="E48" s="536"/>
      <c r="F48" s="294"/>
      <c r="G48" s="42"/>
      <c r="H48" s="42"/>
      <c r="I48" s="42"/>
      <c r="J48" s="290" t="s">
        <v>16</v>
      </c>
      <c r="K48" s="324"/>
      <c r="L48" s="294"/>
      <c r="M48" s="294"/>
      <c r="N48" s="294"/>
      <c r="O48" s="294"/>
      <c r="P48" s="12"/>
      <c r="BC48" s="44"/>
      <c r="BD48" s="44"/>
    </row>
    <row r="49" spans="1:57" ht="15">
      <c r="B49" s="529"/>
      <c r="C49" s="349"/>
      <c r="D49" s="537"/>
      <c r="E49" s="534"/>
      <c r="F49" s="294"/>
      <c r="G49" s="42"/>
      <c r="H49" s="42"/>
      <c r="I49" s="42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1:57" ht="15">
      <c r="B50" s="529"/>
      <c r="C50" s="349"/>
      <c r="D50" s="535"/>
      <c r="E50" s="536"/>
      <c r="F50" s="294"/>
      <c r="G50" s="42"/>
      <c r="H50" s="42"/>
      <c r="I50" s="42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1:57" ht="15.75" thickBot="1">
      <c r="B51" s="538"/>
      <c r="C51" s="350"/>
      <c r="D51" s="544"/>
      <c r="E51" s="545"/>
      <c r="F51" s="294" t="s">
        <v>166</v>
      </c>
      <c r="G51" s="42"/>
      <c r="H51" s="42"/>
      <c r="I51" s="42"/>
      <c r="J51" s="291" t="s">
        <v>148</v>
      </c>
      <c r="K51" s="324"/>
      <c r="L51" s="294"/>
      <c r="M51" s="294"/>
      <c r="N51" s="294" t="s">
        <v>41</v>
      </c>
      <c r="O51" s="294"/>
      <c r="P51" s="12"/>
      <c r="BC51" s="44"/>
      <c r="BD51" s="44"/>
    </row>
    <row r="52" spans="1:57" ht="17.649999999999999" customHeight="1" thickBot="1">
      <c r="B52" s="312" t="s">
        <v>139</v>
      </c>
      <c r="C52" s="313"/>
      <c r="D52" s="546"/>
      <c r="E52" s="547"/>
      <c r="F52" s="294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1:57" ht="17.649999999999999" customHeight="1">
      <c r="B53" s="363"/>
      <c r="C53" s="364"/>
      <c r="D53" s="365"/>
      <c r="E53" s="365"/>
      <c r="F53" s="294"/>
      <c r="G53" s="42"/>
      <c r="H53" s="42"/>
      <c r="I53" s="42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1:57" ht="15.6" customHeight="1">
      <c r="B54" s="45"/>
      <c r="C54" s="11"/>
      <c r="D54" s="11"/>
      <c r="E54" s="46"/>
      <c r="F54" s="294"/>
      <c r="G54" s="42"/>
      <c r="H54" s="42"/>
      <c r="I54" s="42"/>
      <c r="J54" s="346" t="s">
        <v>130</v>
      </c>
      <c r="K54" s="324">
        <f>SUM(K44:K53)</f>
        <v>6</v>
      </c>
      <c r="L54" s="294"/>
      <c r="M54" s="294"/>
      <c r="N54" s="294"/>
      <c r="O54" s="294"/>
      <c r="P54" s="12"/>
    </row>
    <row r="55" spans="1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L55" s="294"/>
      <c r="N55" s="315"/>
      <c r="P55" s="334"/>
    </row>
    <row r="56" spans="1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1:57" ht="15" customHeight="1" thickBot="1">
      <c r="B57" s="548" t="s">
        <v>17</v>
      </c>
      <c r="C57" s="548" t="s">
        <v>44</v>
      </c>
      <c r="D57" s="551" t="s">
        <v>45</v>
      </c>
      <c r="E57" s="516" t="s">
        <v>46</v>
      </c>
      <c r="F57" s="565" t="s">
        <v>47</v>
      </c>
      <c r="G57" s="560" t="s">
        <v>48</v>
      </c>
      <c r="H57" s="548" t="s">
        <v>49</v>
      </c>
      <c r="I57" s="548" t="s">
        <v>50</v>
      </c>
      <c r="J57" s="554" t="s">
        <v>28</v>
      </c>
      <c r="K57" s="514" t="s">
        <v>51</v>
      </c>
      <c r="L57" s="563" t="s">
        <v>52</v>
      </c>
      <c r="M57" s="554" t="s">
        <v>53</v>
      </c>
      <c r="N57" s="13"/>
      <c r="O57" s="13"/>
      <c r="P57" s="50"/>
    </row>
    <row r="58" spans="1:57" ht="28.5" customHeight="1" thickTop="1" thickBot="1">
      <c r="B58" s="549"/>
      <c r="C58" s="550"/>
      <c r="D58" s="552"/>
      <c r="E58" s="553"/>
      <c r="F58" s="566"/>
      <c r="G58" s="561"/>
      <c r="H58" s="549"/>
      <c r="I58" s="549"/>
      <c r="J58" s="555"/>
      <c r="K58" s="562"/>
      <c r="L58" s="564"/>
      <c r="M58" s="555"/>
      <c r="N58" s="13"/>
      <c r="O58" s="13"/>
      <c r="P58" s="50"/>
      <c r="Q58" s="355"/>
      <c r="AB58" s="475">
        <v>43474</v>
      </c>
      <c r="AC58" s="475">
        <v>43475</v>
      </c>
      <c r="AD58" s="475">
        <v>43476</v>
      </c>
      <c r="AE58" s="475">
        <v>43477</v>
      </c>
      <c r="AF58" s="475">
        <v>43478</v>
      </c>
      <c r="AG58" s="475">
        <v>43479</v>
      </c>
      <c r="AH58" s="475">
        <v>43480</v>
      </c>
      <c r="AI58" s="475">
        <v>43481</v>
      </c>
      <c r="AJ58" s="475">
        <v>43482</v>
      </c>
      <c r="AK58" s="475">
        <v>43483</v>
      </c>
      <c r="AL58" s="475">
        <v>43484</v>
      </c>
      <c r="AM58" s="475">
        <v>43485</v>
      </c>
      <c r="AN58" s="475">
        <v>43486</v>
      </c>
      <c r="AO58" s="475">
        <v>43487</v>
      </c>
      <c r="AP58" s="475">
        <v>43488</v>
      </c>
      <c r="AQ58" s="475">
        <v>43489</v>
      </c>
      <c r="AR58" s="475">
        <v>43490</v>
      </c>
      <c r="AS58" s="475">
        <v>43491</v>
      </c>
      <c r="AT58" s="475">
        <v>43492</v>
      </c>
      <c r="AU58" s="475">
        <v>43493</v>
      </c>
      <c r="AV58" s="475">
        <v>43494</v>
      </c>
      <c r="AW58" s="475">
        <v>43495</v>
      </c>
      <c r="AX58" s="475">
        <v>43496</v>
      </c>
    </row>
    <row r="59" spans="1:57" s="54" customFormat="1" ht="36.75" customHeight="1" thickBot="1">
      <c r="B59" s="480" t="str">
        <f>I30</f>
        <v>CARIB</v>
      </c>
      <c r="C59" s="479">
        <v>46148</v>
      </c>
      <c r="D59" s="442">
        <f>[32]May_2026!$I$3</f>
        <v>708.8</v>
      </c>
      <c r="E59" s="443"/>
      <c r="F59" s="444"/>
      <c r="G59" s="445">
        <f>[32]May_2026!$I$7</f>
        <v>667</v>
      </c>
      <c r="H59" s="458"/>
      <c r="I59" s="458"/>
      <c r="J59" s="448" t="s">
        <v>181</v>
      </c>
      <c r="K59" s="449">
        <f>[34]May_2026!$I$18</f>
        <v>0.39005847953216377</v>
      </c>
      <c r="L59" s="457">
        <f>(((D59+E59)-G59)/(D59+E59))*100</f>
        <v>5.8972911963882559</v>
      </c>
      <c r="M59" s="455" t="s">
        <v>182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[13]January_2019!L5</f>
        <v>0</v>
      </c>
      <c r="AC59" s="57">
        <f>[13]January_2019!M5</f>
        <v>0</v>
      </c>
      <c r="AD59" s="57">
        <f>[13]January_2019!N5</f>
        <v>0</v>
      </c>
      <c r="AE59" s="57">
        <f>[13]January_2019!O5</f>
        <v>0</v>
      </c>
      <c r="AF59" s="57">
        <f>[13]January_2019!P5</f>
        <v>0</v>
      </c>
      <c r="AG59" s="57">
        <f>[13]January_2019!Q5</f>
        <v>0</v>
      </c>
      <c r="AH59" s="57">
        <f>[13]January_2019!R5</f>
        <v>0</v>
      </c>
      <c r="AI59" s="57">
        <f>[13]January_2019!S5</f>
        <v>0</v>
      </c>
      <c r="AJ59" s="57">
        <f>[13]January_2019!T5</f>
        <v>0</v>
      </c>
      <c r="AK59" s="57">
        <f>[13]January_2019!U5</f>
        <v>0</v>
      </c>
      <c r="AL59" s="57">
        <f>[13]January_2019!V5</f>
        <v>0</v>
      </c>
      <c r="AM59" s="57">
        <f>[13]January_2019!W5</f>
        <v>0</v>
      </c>
      <c r="AN59" s="57">
        <f>[13]January_2019!X5</f>
        <v>0</v>
      </c>
      <c r="AO59" s="57">
        <f>[13]January_2019!Y5</f>
        <v>0</v>
      </c>
      <c r="AP59" s="57">
        <f>[13]January_2019!Z5</f>
        <v>0</v>
      </c>
      <c r="AQ59" s="57">
        <f>[13]January_2019!AA5</f>
        <v>0</v>
      </c>
      <c r="AR59" s="57">
        <f>[13]January_2019!AB5</f>
        <v>0</v>
      </c>
      <c r="AS59" s="57">
        <f>[13]January_2019!AC5</f>
        <v>0</v>
      </c>
      <c r="AT59" s="57">
        <f>[13]January_2019!AD5</f>
        <v>0</v>
      </c>
      <c r="AU59" s="57">
        <f>[13]January_2019!AE5</f>
        <v>0</v>
      </c>
      <c r="AV59" s="57">
        <f>[13]January_2019!AF5</f>
        <v>0</v>
      </c>
      <c r="AW59" s="57">
        <f>[13]January_2019!AG5</f>
        <v>0</v>
      </c>
      <c r="AX59" s="277">
        <f>[13]January_2019!AH5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14.25" customHeight="1" thickBot="1">
      <c r="B60" s="480"/>
      <c r="C60" s="479"/>
      <c r="D60" s="442"/>
      <c r="E60" s="443"/>
      <c r="F60" s="444"/>
      <c r="G60" s="445"/>
      <c r="H60" s="458"/>
      <c r="I60" s="458"/>
      <c r="J60" s="476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[13]January_2019!L6</f>
        <v>0</v>
      </c>
      <c r="AC60" s="57">
        <f>[13]January_2019!M6</f>
        <v>0</v>
      </c>
      <c r="AD60" s="57">
        <f>[13]January_2019!N6</f>
        <v>0</v>
      </c>
      <c r="AE60" s="57">
        <f>[13]January_2019!O6</f>
        <v>0</v>
      </c>
      <c r="AF60" s="57">
        <f>[13]January_2019!P6</f>
        <v>0</v>
      </c>
      <c r="AG60" s="57">
        <f>[13]January_2019!Q6</f>
        <v>0</v>
      </c>
      <c r="AH60" s="57">
        <f>[13]January_2019!R6</f>
        <v>0</v>
      </c>
      <c r="AI60" s="57">
        <f>[13]January_2019!S6</f>
        <v>0</v>
      </c>
      <c r="AJ60" s="57">
        <f>[13]January_2019!T6</f>
        <v>0</v>
      </c>
      <c r="AK60" s="57">
        <f>[13]January_2019!U6</f>
        <v>0</v>
      </c>
      <c r="AL60" s="57">
        <f>[13]January_2019!V6</f>
        <v>0</v>
      </c>
      <c r="AM60" s="57">
        <f>[13]January_2019!W6</f>
        <v>0</v>
      </c>
      <c r="AN60" s="57">
        <f>[13]January_2019!X6</f>
        <v>0</v>
      </c>
      <c r="AO60" s="57">
        <f>[13]January_2019!Y6</f>
        <v>0</v>
      </c>
      <c r="AP60" s="57">
        <f>[13]January_2019!Z6</f>
        <v>0</v>
      </c>
      <c r="AQ60" s="57">
        <f>[13]January_2019!AA6</f>
        <v>0</v>
      </c>
      <c r="AR60" s="57">
        <f>[13]January_2019!AB6</f>
        <v>0</v>
      </c>
      <c r="AS60" s="57">
        <f>[13]January_2019!AC6</f>
        <v>0</v>
      </c>
      <c r="AT60" s="57">
        <f>[13]January_2019!AD6</f>
        <v>0</v>
      </c>
      <c r="AU60" s="57">
        <f>[13]January_2019!AE6</f>
        <v>0</v>
      </c>
      <c r="AV60" s="57">
        <f>[13]January_2019!AF6</f>
        <v>0</v>
      </c>
      <c r="AW60" s="57">
        <f>[13]January_2019!AG6</f>
        <v>0</v>
      </c>
      <c r="AX60" s="277">
        <f>[13]January_2019!AH6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A61" s="54" t="s">
        <v>168</v>
      </c>
      <c r="B61" s="481"/>
      <c r="C61" s="479"/>
      <c r="D61" s="442"/>
      <c r="E61" s="443"/>
      <c r="F61" s="444"/>
      <c r="G61" s="445"/>
      <c r="H61" s="458"/>
      <c r="I61" s="458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[13]January_2019!L7</f>
        <v>285.8</v>
      </c>
      <c r="AC61" s="57">
        <f>[13]January_2019!M7</f>
        <v>508.1</v>
      </c>
      <c r="AD61" s="57">
        <f>[13]January_2019!N7</f>
        <v>0</v>
      </c>
      <c r="AE61" s="57">
        <f>[13]January_2019!O7</f>
        <v>0</v>
      </c>
      <c r="AF61" s="57">
        <f>[13]January_2019!P7</f>
        <v>109.56666666666666</v>
      </c>
      <c r="AG61" s="57">
        <f>[13]January_2019!Q7</f>
        <v>297.64999999999998</v>
      </c>
      <c r="AH61" s="57">
        <f>[13]January_2019!R7</f>
        <v>122.3</v>
      </c>
      <c r="AI61" s="57">
        <f>[13]January_2019!S7</f>
        <v>0</v>
      </c>
      <c r="AJ61" s="57">
        <f>[13]January_2019!T7</f>
        <v>294.7</v>
      </c>
      <c r="AK61" s="57">
        <f>[13]January_2019!U7</f>
        <v>280.5</v>
      </c>
      <c r="AL61" s="57">
        <f>[13]January_2019!V7</f>
        <v>0</v>
      </c>
      <c r="AM61" s="57">
        <f>[13]January_2019!W7</f>
        <v>0</v>
      </c>
      <c r="AN61" s="57">
        <f>[13]January_2019!X7</f>
        <v>188.25</v>
      </c>
      <c r="AO61" s="57">
        <f>[13]January_2019!Y7</f>
        <v>295.7</v>
      </c>
      <c r="AP61" s="57">
        <f>[13]January_2019!Z7</f>
        <v>257.8</v>
      </c>
      <c r="AQ61" s="57">
        <f>[13]January_2019!AA7</f>
        <v>291.2</v>
      </c>
      <c r="AR61" s="57">
        <f>[13]January_2019!AB7</f>
        <v>187</v>
      </c>
      <c r="AS61" s="57">
        <f>[13]January_2019!AC7</f>
        <v>0</v>
      </c>
      <c r="AT61" s="57">
        <f>[13]January_2019!AD7</f>
        <v>0</v>
      </c>
      <c r="AU61" s="57">
        <f>[13]January_2019!AE7</f>
        <v>485.1</v>
      </c>
      <c r="AV61" s="57">
        <f>[13]January_2019!AF7</f>
        <v>171.55</v>
      </c>
      <c r="AW61" s="57">
        <f>[13]January_2019!AG7</f>
        <v>423.8</v>
      </c>
      <c r="AX61" s="277">
        <f>[13]January_2019!AH7</f>
        <v>0</v>
      </c>
      <c r="AY61" s="277"/>
      <c r="AZ61" s="277"/>
      <c r="BA61" s="277"/>
      <c r="BB61" s="277"/>
      <c r="BC61" s="277"/>
      <c r="BD61" s="277"/>
      <c r="BE61" s="277"/>
    </row>
    <row r="62" spans="1:57" s="54" customFormat="1" ht="19.5" hidden="1" customHeight="1" thickBot="1">
      <c r="B62" s="478"/>
      <c r="C62" s="430"/>
      <c r="D62" s="431"/>
      <c r="E62" s="432"/>
      <c r="F62" s="433"/>
      <c r="G62" s="434"/>
      <c r="H62" s="458"/>
      <c r="I62" s="458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8.450000000000003" hidden="1" customHeight="1" thickBot="1">
      <c r="B63" s="480"/>
      <c r="C63" s="479"/>
      <c r="D63" s="442"/>
      <c r="E63" s="443"/>
      <c r="F63" s="444"/>
      <c r="G63" s="445"/>
      <c r="H63" s="458"/>
      <c r="I63" s="458"/>
      <c r="J63" s="448" t="s">
        <v>171</v>
      </c>
      <c r="K63" s="459"/>
      <c r="L63" s="457" t="e">
        <f>(((D63+E63)-G63)/(D63+E63))*100</f>
        <v>#DIV/0!</v>
      </c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15" hidden="1">
      <c r="B64" s="453"/>
      <c r="C64" s="430"/>
      <c r="D64" s="431"/>
      <c r="E64" s="432"/>
      <c r="F64" s="433"/>
      <c r="G64" s="434"/>
      <c r="H64" s="435"/>
      <c r="I64" s="450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hidden="1" customHeight="1" thickBot="1">
      <c r="B65" s="480"/>
      <c r="C65" s="479"/>
      <c r="D65" s="442"/>
      <c r="E65" s="443"/>
      <c r="F65" s="444"/>
      <c r="G65" s="445"/>
      <c r="H65" s="446"/>
      <c r="I65" s="447"/>
      <c r="J65" s="448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6.5" hidden="1" customHeight="1" thickBot="1">
      <c r="B66" s="437"/>
      <c r="C66" s="423"/>
      <c r="D66" s="424"/>
      <c r="E66" s="425"/>
      <c r="F66" s="426"/>
      <c r="G66" s="427"/>
      <c r="H66" s="428"/>
      <c r="I66" s="438"/>
      <c r="J66" s="439"/>
      <c r="K66" s="429"/>
      <c r="L66" s="440"/>
      <c r="M66" s="422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5"/>
      <c r="AC66" s="415"/>
      <c r="AD66" s="415"/>
      <c r="AE66" s="415"/>
      <c r="AF66" s="415"/>
      <c r="AG66" s="415"/>
      <c r="AH66" s="415"/>
      <c r="AI66" s="415"/>
      <c r="AJ66" s="415"/>
      <c r="AK66" s="415"/>
      <c r="AL66" s="415"/>
      <c r="AM66" s="415"/>
      <c r="AN66" s="415"/>
      <c r="AO66" s="415"/>
      <c r="AP66" s="415"/>
      <c r="AQ66" s="415"/>
      <c r="AR66" s="415"/>
      <c r="AS66" s="415"/>
      <c r="AT66" s="415"/>
      <c r="AU66" s="415"/>
      <c r="AV66" s="415"/>
      <c r="AW66" s="415"/>
    </row>
    <row r="67" spans="2:57" s="54" customFormat="1" ht="37.15" hidden="1" customHeight="1" thickBot="1">
      <c r="B67" s="456"/>
      <c r="C67" s="441"/>
      <c r="D67" s="442"/>
      <c r="E67" s="443"/>
      <c r="F67" s="444"/>
      <c r="G67" s="445"/>
      <c r="H67" s="446"/>
      <c r="I67" s="447"/>
      <c r="J67" s="448"/>
      <c r="K67" s="449"/>
      <c r="L67" s="457"/>
      <c r="M67" s="454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customHeight="1">
      <c r="B68" s="466"/>
      <c r="C68" s="430"/>
      <c r="D68" s="460"/>
      <c r="E68" s="461"/>
      <c r="F68" s="462"/>
      <c r="G68" s="460"/>
      <c r="H68" s="463"/>
      <c r="I68" s="463"/>
      <c r="J68" s="463"/>
      <c r="K68" s="464"/>
      <c r="L68" s="465"/>
      <c r="M68" s="50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5.75" thickBot="1">
      <c r="B70" s="556" t="s">
        <v>55</v>
      </c>
      <c r="C70" s="557"/>
      <c r="D70" s="557"/>
      <c r="E70" s="557"/>
      <c r="F70" s="558"/>
      <c r="G70" s="556" t="s">
        <v>56</v>
      </c>
      <c r="H70" s="557"/>
      <c r="I70" s="557"/>
      <c r="J70" s="558"/>
      <c r="K70" s="556" t="s">
        <v>51</v>
      </c>
      <c r="L70" s="557"/>
      <c r="M70" s="557"/>
      <c r="N70" s="559"/>
      <c r="O70" s="56"/>
      <c r="P70" s="50"/>
    </row>
    <row r="71" spans="2:57" ht="15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/>
      <c r="L71" s="62" t="s">
        <v>37</v>
      </c>
      <c r="M71" s="62" t="s">
        <v>38</v>
      </c>
      <c r="N71" s="63" t="s">
        <v>39</v>
      </c>
      <c r="O71" s="56"/>
      <c r="P71" s="64"/>
    </row>
    <row r="72" spans="2:57" ht="15">
      <c r="B72" s="29" t="s">
        <v>6</v>
      </c>
      <c r="C72" s="282">
        <f>L59</f>
        <v>5.8972911963882559</v>
      </c>
      <c r="D72" s="76">
        <v>5.8965424819083161</v>
      </c>
      <c r="E72" s="76">
        <v>6.7643054328056857</v>
      </c>
      <c r="F72" s="66">
        <v>4.8</v>
      </c>
      <c r="G72" s="65">
        <f>[32]May_2026!$I$11</f>
        <v>5.9737974637082658</v>
      </c>
      <c r="H72" s="477">
        <v>5.8326981132418485</v>
      </c>
      <c r="I72" s="477">
        <v>6.4056668925466571</v>
      </c>
      <c r="J72" s="66">
        <v>4.8</v>
      </c>
      <c r="K72" s="67">
        <f>K59</f>
        <v>0.39005847953216377</v>
      </c>
      <c r="L72" s="194">
        <v>0.87274853801169594</v>
      </c>
      <c r="M72" s="194">
        <v>0.49274974380861108</v>
      </c>
      <c r="N72" s="68">
        <v>1</v>
      </c>
      <c r="O72" s="56"/>
      <c r="P72" s="69"/>
    </row>
    <row r="73" spans="2:57" ht="15">
      <c r="B73" s="33" t="s">
        <v>9</v>
      </c>
      <c r="C73" s="65"/>
      <c r="D73" s="76"/>
      <c r="E73" s="76">
        <v>6.3411334413966323</v>
      </c>
      <c r="F73" s="66">
        <v>4.8</v>
      </c>
      <c r="G73" s="65"/>
      <c r="H73" s="76"/>
      <c r="I73" s="76">
        <v>5.6038747647231943</v>
      </c>
      <c r="J73" s="66">
        <v>4.8</v>
      </c>
      <c r="K73" s="67"/>
      <c r="L73" s="194"/>
      <c r="M73" s="194">
        <v>0.72493688613389806</v>
      </c>
      <c r="N73" s="68">
        <v>1</v>
      </c>
      <c r="P73" s="69"/>
    </row>
    <row r="74" spans="2:57" ht="15">
      <c r="B74" s="34" t="s">
        <v>40</v>
      </c>
      <c r="C74" s="65"/>
      <c r="D74" s="76"/>
      <c r="E74" s="76">
        <v>12.380135651360392</v>
      </c>
      <c r="F74" s="66">
        <v>5.5</v>
      </c>
      <c r="G74" s="65"/>
      <c r="H74" s="76"/>
      <c r="I74" s="76">
        <v>13.201587402597006</v>
      </c>
      <c r="J74" s="66">
        <v>5.5</v>
      </c>
      <c r="K74" s="67"/>
      <c r="L74" s="194"/>
      <c r="M74" s="194">
        <v>0.27273830409356731</v>
      </c>
      <c r="N74" s="68">
        <v>1</v>
      </c>
      <c r="P74" s="69"/>
    </row>
    <row r="75" spans="2:57" ht="15">
      <c r="B75" s="22" t="s">
        <v>33</v>
      </c>
      <c r="C75" s="65"/>
      <c r="D75" s="76">
        <v>4.8532569792412277</v>
      </c>
      <c r="E75" s="76">
        <v>4.6518562695690884</v>
      </c>
      <c r="F75" s="66">
        <v>3.3</v>
      </c>
      <c r="G75" s="65"/>
      <c r="H75" s="76">
        <v>4.7372529705103688</v>
      </c>
      <c r="I75" s="76">
        <v>4.4089875005606158</v>
      </c>
      <c r="J75" s="66">
        <v>3.3</v>
      </c>
      <c r="K75" s="67"/>
      <c r="L75" s="194">
        <v>0.58298245614035094</v>
      </c>
      <c r="M75" s="194">
        <v>0.74716374269005859</v>
      </c>
      <c r="N75" s="68">
        <v>1</v>
      </c>
      <c r="P75" s="69"/>
    </row>
    <row r="76" spans="2:57" ht="15">
      <c r="B76" s="35" t="s">
        <v>164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K76" s="67"/>
      <c r="L76" s="194"/>
      <c r="M76" s="194"/>
      <c r="N76" s="68">
        <v>1</v>
      </c>
      <c r="P76" s="69"/>
    </row>
    <row r="77" spans="2:57" ht="15">
      <c r="B77" s="36" t="s">
        <v>15</v>
      </c>
      <c r="C77" s="65"/>
      <c r="D77" s="76"/>
      <c r="E77" s="76">
        <v>5.1105651105651271</v>
      </c>
      <c r="F77" s="70">
        <f>[31]May_2022!$M$43</f>
        <v>3.4878406700073312</v>
      </c>
      <c r="G77" s="282"/>
      <c r="H77" s="76"/>
      <c r="I77" s="76">
        <v>7.9131369535794072</v>
      </c>
      <c r="J77" s="66">
        <v>5.5</v>
      </c>
      <c r="K77" s="67"/>
      <c r="L77" s="194"/>
      <c r="M77" s="194">
        <v>1.3550877192982456</v>
      </c>
      <c r="N77" s="68">
        <v>1</v>
      </c>
      <c r="P77" s="69"/>
    </row>
    <row r="78" spans="2:57" ht="15">
      <c r="B78" s="37" t="s">
        <v>16</v>
      </c>
      <c r="C78" s="65"/>
      <c r="D78" s="76"/>
      <c r="E78" s="76">
        <v>3.9654240950837312</v>
      </c>
      <c r="F78" s="66">
        <v>3.3</v>
      </c>
      <c r="G78" s="282"/>
      <c r="H78" s="76"/>
      <c r="I78" s="76">
        <v>4.8236555171494695</v>
      </c>
      <c r="J78" s="66">
        <v>3.3</v>
      </c>
      <c r="K78" s="67"/>
      <c r="L78" s="194"/>
      <c r="M78" s="194">
        <v>0.89457115009746591</v>
      </c>
      <c r="N78" s="71">
        <v>1</v>
      </c>
      <c r="P78" s="69"/>
    </row>
    <row r="79" spans="2:57" ht="15.75" thickBot="1">
      <c r="B79" s="38" t="s">
        <v>163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5.75" thickBot="1">
      <c r="B80" s="414" t="s">
        <v>161</v>
      </c>
      <c r="C80" s="65"/>
      <c r="D80" s="76"/>
      <c r="E80" s="76"/>
      <c r="F80" s="66">
        <v>4.8</v>
      </c>
      <c r="G80" s="282"/>
      <c r="H80" s="76"/>
      <c r="I80" s="76"/>
      <c r="J80" s="66">
        <v>4.8</v>
      </c>
      <c r="K80" s="67"/>
      <c r="L80" s="194"/>
      <c r="M80" s="194"/>
      <c r="N80" s="71">
        <v>1</v>
      </c>
      <c r="O80" s="74"/>
      <c r="P80" s="75"/>
    </row>
    <row r="81" spans="4:14" ht="15">
      <c r="D81" s="76">
        <v>5.6484287222089691</v>
      </c>
      <c r="E81" s="76">
        <v>6.5566265797064673</v>
      </c>
      <c r="F81" s="341">
        <v>5.5</v>
      </c>
      <c r="H81" s="76">
        <v>5.496487992663587</v>
      </c>
      <c r="I81" s="76">
        <v>6.4677829006762524</v>
      </c>
      <c r="J81" s="341">
        <v>5.5</v>
      </c>
      <c r="L81" s="194">
        <v>0.72786549707602333</v>
      </c>
      <c r="M81" s="194">
        <v>0.57819004390822015</v>
      </c>
      <c r="N81" s="386">
        <v>1</v>
      </c>
    </row>
  </sheetData>
  <mergeCells count="51">
    <mergeCell ref="M57:M58"/>
    <mergeCell ref="B70:F70"/>
    <mergeCell ref="G70:J70"/>
    <mergeCell ref="K70:N70"/>
    <mergeCell ref="G57:G58"/>
    <mergeCell ref="H57:H58"/>
    <mergeCell ref="I57:I58"/>
    <mergeCell ref="J57:J58"/>
    <mergeCell ref="K57:K58"/>
    <mergeCell ref="L57:L58"/>
    <mergeCell ref="F57:F58"/>
    <mergeCell ref="D52:E52"/>
    <mergeCell ref="B57:B58"/>
    <mergeCell ref="C57:C58"/>
    <mergeCell ref="D57:D58"/>
    <mergeCell ref="E57:E58"/>
    <mergeCell ref="B42:B51"/>
    <mergeCell ref="D42:E43"/>
    <mergeCell ref="J42:K42"/>
    <mergeCell ref="L43:N43"/>
    <mergeCell ref="D44:E45"/>
    <mergeCell ref="D46:E47"/>
    <mergeCell ref="D48:E49"/>
    <mergeCell ref="D50:E51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2:B53">
    <cfRule type="cellIs" dxfId="3134" priority="76" operator="notBetween">
      <formula>#REF!</formula>
      <formula>#REF!</formula>
    </cfRule>
  </conditionalFormatting>
  <conditionalFormatting sqref="C56">
    <cfRule type="cellIs" dxfId="3133" priority="171" stopIfTrue="1" operator="greaterThan">
      <formula>100</formula>
    </cfRule>
    <cfRule type="cellIs" dxfId="3132" priority="170" stopIfTrue="1" operator="lessThan">
      <formula>96</formula>
    </cfRule>
  </conditionalFormatting>
  <conditionalFormatting sqref="C72:C76">
    <cfRule type="cellIs" dxfId="3131" priority="139" stopIfTrue="1" operator="lessThanOrEqual">
      <formula>0</formula>
    </cfRule>
  </conditionalFormatting>
  <conditionalFormatting sqref="C72:C80">
    <cfRule type="cellIs" dxfId="3130" priority="138" stopIfTrue="1" operator="greaterThan">
      <formula>$F72</formula>
    </cfRule>
  </conditionalFormatting>
  <conditionalFormatting sqref="C73">
    <cfRule type="cellIs" dxfId="3129" priority="172" stopIfTrue="1" operator="greaterThan">
      <formula>$F72</formula>
    </cfRule>
  </conditionalFormatting>
  <conditionalFormatting sqref="C77">
    <cfRule type="cellIs" dxfId="3128" priority="100" stopIfTrue="1" operator="lessThanOrEqual">
      <formula>0</formula>
    </cfRule>
    <cfRule type="cellIs" dxfId="3127" priority="101" stopIfTrue="1" operator="greaterThan">
      <formula>$F76</formula>
    </cfRule>
  </conditionalFormatting>
  <conditionalFormatting sqref="C78:C80">
    <cfRule type="cellIs" dxfId="3126" priority="140" stopIfTrue="1" operator="lessThanOrEqual">
      <formula>0</formula>
    </cfRule>
  </conditionalFormatting>
  <conditionalFormatting sqref="C83:C87">
    <cfRule type="cellIs" dxfId="3125" priority="162" stopIfTrue="1" operator="lessThanOrEqual">
      <formula>0</formula>
    </cfRule>
  </conditionalFormatting>
  <conditionalFormatting sqref="C84:C87">
    <cfRule type="cellIs" dxfId="3124" priority="161" stopIfTrue="1" operator="greaterThan">
      <formula>$F$83</formula>
    </cfRule>
  </conditionalFormatting>
  <conditionalFormatting sqref="C89">
    <cfRule type="cellIs" dxfId="3123" priority="164" stopIfTrue="1" operator="lessThanOrEqual">
      <formula>0</formula>
    </cfRule>
    <cfRule type="cellIs" dxfId="3122" priority="163" stopIfTrue="1" operator="greaterThan">
      <formula>$F$83</formula>
    </cfRule>
  </conditionalFormatting>
  <conditionalFormatting sqref="C83:D83 D85:D91">
    <cfRule type="cellIs" dxfId="3121" priority="156" stopIfTrue="1" operator="greaterThan">
      <formula>4.5</formula>
    </cfRule>
  </conditionalFormatting>
  <conditionalFormatting sqref="D52:D53">
    <cfRule type="cellIs" dxfId="3120" priority="77" operator="notBetween">
      <formula>#REF!</formula>
      <formula>#REF!</formula>
    </cfRule>
  </conditionalFormatting>
  <conditionalFormatting sqref="D72:D79">
    <cfRule type="cellIs" dxfId="3119" priority="52" stopIfTrue="1" operator="lessThanOrEqual">
      <formula>0</formula>
    </cfRule>
  </conditionalFormatting>
  <conditionalFormatting sqref="D72:D81">
    <cfRule type="cellIs" dxfId="3118" priority="35" stopIfTrue="1" operator="lessThanOrEqual">
      <formula>0</formula>
    </cfRule>
  </conditionalFormatting>
  <conditionalFormatting sqref="D80">
    <cfRule type="cellIs" dxfId="3117" priority="51" stopIfTrue="1" operator="lessThanOrEqual">
      <formula>0</formula>
    </cfRule>
  </conditionalFormatting>
  <conditionalFormatting sqref="D81">
    <cfRule type="cellIs" dxfId="3116" priority="48" stopIfTrue="1" operator="lessThanOrEqual">
      <formula>0</formula>
    </cfRule>
  </conditionalFormatting>
  <conditionalFormatting sqref="D83 D85:D91">
    <cfRule type="cellIs" dxfId="3115" priority="157" stopIfTrue="1" operator="lessThanOrEqual">
      <formula>0</formula>
    </cfRule>
  </conditionalFormatting>
  <conditionalFormatting sqref="D84">
    <cfRule type="cellIs" dxfId="3114" priority="149" stopIfTrue="1" operator="lessThanOrEqual">
      <formula>0</formula>
    </cfRule>
    <cfRule type="cellIs" dxfId="3113" priority="148" stopIfTrue="1" operator="greaterThan">
      <formula>$F$83</formula>
    </cfRule>
  </conditionalFormatting>
  <conditionalFormatting sqref="D72:E81">
    <cfRule type="cellIs" dxfId="3112" priority="37" stopIfTrue="1" operator="greaterThan">
      <formula>$F72</formula>
    </cfRule>
  </conditionalFormatting>
  <conditionalFormatting sqref="D81:E81">
    <cfRule type="cellIs" dxfId="3111" priority="39" stopIfTrue="1" operator="lessThanOrEqual">
      <formula>0</formula>
    </cfRule>
  </conditionalFormatting>
  <conditionalFormatting sqref="E10:E27">
    <cfRule type="cellIs" dxfId="3110" priority="8" operator="lessThan">
      <formula>48</formula>
    </cfRule>
  </conditionalFormatting>
  <conditionalFormatting sqref="E55 E56:F56">
    <cfRule type="cellIs" dxfId="3109" priority="153" stopIfTrue="1" operator="greaterThan">
      <formula>100</formula>
    </cfRule>
  </conditionalFormatting>
  <conditionalFormatting sqref="E56">
    <cfRule type="cellIs" dxfId="3108" priority="150" stopIfTrue="1" operator="lessThan">
      <formula>96.8</formula>
    </cfRule>
    <cfRule type="cellIs" dxfId="3107" priority="151" stopIfTrue="1" operator="greaterThan">
      <formula>100</formula>
    </cfRule>
  </conditionalFormatting>
  <conditionalFormatting sqref="E72:E80">
    <cfRule type="cellIs" dxfId="3106" priority="36" stopIfTrue="1" operator="lessThanOrEqual">
      <formula>0</formula>
    </cfRule>
  </conditionalFormatting>
  <conditionalFormatting sqref="E72:E81">
    <cfRule type="cellIs" dxfId="3105" priority="38" stopIfTrue="1" operator="lessThanOrEqual">
      <formula>0</formula>
    </cfRule>
  </conditionalFormatting>
  <conditionalFormatting sqref="E83:E91">
    <cfRule type="cellIs" dxfId="3104" priority="143" stopIfTrue="1" operator="lessThanOrEqual">
      <formula>0</formula>
    </cfRule>
    <cfRule type="cellIs" dxfId="3103" priority="142" stopIfTrue="1" operator="greaterThan">
      <formula>4.5</formula>
    </cfRule>
  </conditionalFormatting>
  <conditionalFormatting sqref="E56:F56 E55">
    <cfRule type="cellIs" dxfId="3102" priority="152" stopIfTrue="1" operator="lessThan">
      <formula>96.5</formula>
    </cfRule>
  </conditionalFormatting>
  <conditionalFormatting sqref="F24:F27">
    <cfRule type="cellIs" dxfId="3101" priority="13" operator="greaterThan">
      <formula>60</formula>
    </cfRule>
  </conditionalFormatting>
  <conditionalFormatting sqref="F56">
    <cfRule type="cellIs" dxfId="3100" priority="169" stopIfTrue="1" operator="greaterThan">
      <formula>100</formula>
    </cfRule>
    <cfRule type="cellIs" dxfId="3099" priority="168" stopIfTrue="1" operator="lessThan">
      <formula>96.8</formula>
    </cfRule>
  </conditionalFormatting>
  <conditionalFormatting sqref="F81">
    <cfRule type="cellIs" dxfId="3098" priority="50" stopIfTrue="1" operator="lessThanOrEqual">
      <formula>0</formula>
    </cfRule>
    <cfRule type="cellIs" dxfId="3097" priority="49" stopIfTrue="1" operator="greaterThan">
      <formula>$F81</formula>
    </cfRule>
  </conditionalFormatting>
  <conditionalFormatting sqref="G10:G27">
    <cfRule type="expression" dxfId="3096" priority="10">
      <formula>IF(+(IF(G10&lt;S10,0,IF(G10&gt;T10,0,1)))=0,1)</formula>
    </cfRule>
  </conditionalFormatting>
  <conditionalFormatting sqref="G72:G73">
    <cfRule type="cellIs" dxfId="3095" priority="53" stopIfTrue="1" operator="greaterThan">
      <formula>$F72</formula>
    </cfRule>
    <cfRule type="cellIs" dxfId="3094" priority="54" stopIfTrue="1" operator="lessThanOrEqual">
      <formula>0</formula>
    </cfRule>
  </conditionalFormatting>
  <conditionalFormatting sqref="G72:G75">
    <cfRule type="cellIs" dxfId="3093" priority="16" stopIfTrue="1" operator="greaterThan">
      <formula>$F72</formula>
    </cfRule>
    <cfRule type="cellIs" dxfId="3092" priority="17" stopIfTrue="1" operator="lessThanOrEqual">
      <formula>0</formula>
    </cfRule>
  </conditionalFormatting>
  <conditionalFormatting sqref="G74">
    <cfRule type="cellIs" dxfId="3091" priority="14" stopIfTrue="1" operator="greaterThan">
      <formula>$F74</formula>
    </cfRule>
    <cfRule type="cellIs" dxfId="3090" priority="15" stopIfTrue="1" operator="lessThanOrEqual">
      <formula>0</formula>
    </cfRule>
  </conditionalFormatting>
  <conditionalFormatting sqref="G75">
    <cfRule type="cellIs" dxfId="3089" priority="44" stopIfTrue="1" operator="lessThanOrEqual">
      <formula>0</formula>
    </cfRule>
    <cfRule type="cellIs" dxfId="3088" priority="43" stopIfTrue="1" operator="greaterThan">
      <formula>$F75</formula>
    </cfRule>
  </conditionalFormatting>
  <conditionalFormatting sqref="G76:G80">
    <cfRule type="cellIs" dxfId="3087" priority="55" stopIfTrue="1" operator="greaterThan">
      <formula>$J76</formula>
    </cfRule>
    <cfRule type="cellIs" dxfId="3086" priority="56" stopIfTrue="1" operator="lessThanOrEqual">
      <formula>0</formula>
    </cfRule>
  </conditionalFormatting>
  <conditionalFormatting sqref="G85:G90 C88 C90">
    <cfRule type="cellIs" dxfId="3085" priority="165" stopIfTrue="1" operator="greaterThan">
      <formula>4.5</formula>
    </cfRule>
    <cfRule type="cellIs" dxfId="3084" priority="166" stopIfTrue="1" operator="lessThanOrEqual">
      <formula>0</formula>
    </cfRule>
  </conditionalFormatting>
  <conditionalFormatting sqref="G84:H84">
    <cfRule type="cellIs" dxfId="3083" priority="146" stopIfTrue="1" operator="greaterThan">
      <formula>$F$83</formula>
    </cfRule>
    <cfRule type="cellIs" dxfId="3082" priority="147" stopIfTrue="1" operator="lessThanOrEqual">
      <formula>0</formula>
    </cfRule>
  </conditionalFormatting>
  <conditionalFormatting sqref="H41:H42 H55">
    <cfRule type="cellIs" dxfId="3081" priority="144" stopIfTrue="1" operator="greaterThan">
      <formula>0</formula>
    </cfRule>
  </conditionalFormatting>
  <conditionalFormatting sqref="H59">
    <cfRule type="cellIs" dxfId="3080" priority="19" stopIfTrue="1" operator="lessThanOrEqual">
      <formula>0</formula>
    </cfRule>
    <cfRule type="cellIs" dxfId="3079" priority="20" stopIfTrue="1" operator="greaterThan">
      <formula>$F$69</formula>
    </cfRule>
    <cfRule type="cellIs" dxfId="3078" priority="29" stopIfTrue="1" operator="lessThanOrEqual">
      <formula>0</formula>
    </cfRule>
    <cfRule type="cellIs" dxfId="3077" priority="30" stopIfTrue="1" operator="greaterThan">
      <formula>$F$70</formula>
    </cfRule>
    <cfRule type="cellIs" dxfId="3076" priority="31" stopIfTrue="1" operator="lessThanOrEqual">
      <formula>0</formula>
    </cfRule>
    <cfRule type="cellIs" dxfId="3075" priority="28" stopIfTrue="1" operator="greaterThan">
      <formula>$F$72</formula>
    </cfRule>
  </conditionalFormatting>
  <conditionalFormatting sqref="H60:H63">
    <cfRule type="cellIs" dxfId="3074" priority="71" stopIfTrue="1" operator="lessThanOrEqual">
      <formula>0</formula>
    </cfRule>
    <cfRule type="cellIs" dxfId="3073" priority="70" stopIfTrue="1" operator="greaterThan">
      <formula>$F$73</formula>
    </cfRule>
    <cfRule type="cellIs" dxfId="3072" priority="59" stopIfTrue="1" operator="lessThanOrEqual">
      <formula>0</formula>
    </cfRule>
    <cfRule type="cellIs" dxfId="3071" priority="60" stopIfTrue="1" operator="greaterThan">
      <formula>$F$72</formula>
    </cfRule>
    <cfRule type="cellIs" dxfId="3070" priority="68" stopIfTrue="1" operator="greaterThan">
      <formula>$F$75</formula>
    </cfRule>
    <cfRule type="cellIs" dxfId="3069" priority="69" stopIfTrue="1" operator="lessThanOrEqual">
      <formula>0</formula>
    </cfRule>
  </conditionalFormatting>
  <conditionalFormatting sqref="H64:H65">
    <cfRule type="cellIs" dxfId="3068" priority="104" stopIfTrue="1" operator="greaterThan">
      <formula>#REF!</formula>
    </cfRule>
    <cfRule type="cellIs" dxfId="3067" priority="103" stopIfTrue="1" operator="lessThanOrEqual">
      <formula>0</formula>
    </cfRule>
    <cfRule type="cellIs" dxfId="3066" priority="115" stopIfTrue="1" operator="lessThanOrEqual">
      <formula>0</formula>
    </cfRule>
    <cfRule type="cellIs" dxfId="3065" priority="114" stopIfTrue="1" operator="greaterThan">
      <formula>#REF!</formula>
    </cfRule>
    <cfRule type="cellIs" dxfId="3064" priority="113" stopIfTrue="1" operator="lessThanOrEqual">
      <formula>0</formula>
    </cfRule>
    <cfRule type="cellIs" dxfId="3063" priority="112" stopIfTrue="1" operator="greaterThan">
      <formula>$F$27</formula>
    </cfRule>
  </conditionalFormatting>
  <conditionalFormatting sqref="H66">
    <cfRule type="cellIs" dxfId="3062" priority="128" stopIfTrue="1" operator="greaterThan">
      <formula>$F$41</formula>
    </cfRule>
    <cfRule type="cellIs" dxfId="3061" priority="118" stopIfTrue="1" operator="greaterThan">
      <formula>$F$40</formula>
    </cfRule>
    <cfRule type="cellIs" dxfId="3060" priority="126" stopIfTrue="1" operator="greaterThan">
      <formula>$F$43</formula>
    </cfRule>
    <cfRule type="cellIs" dxfId="3059" priority="127" stopIfTrue="1" operator="lessThanOrEqual">
      <formula>0</formula>
    </cfRule>
    <cfRule type="cellIs" dxfId="3058" priority="129" stopIfTrue="1" operator="lessThanOrEqual">
      <formula>0</formula>
    </cfRule>
    <cfRule type="cellIs" dxfId="3057" priority="117" stopIfTrue="1" operator="lessThanOrEqual">
      <formula>0</formula>
    </cfRule>
  </conditionalFormatting>
  <conditionalFormatting sqref="H67:H68">
    <cfRule type="cellIs" dxfId="3056" priority="87" stopIfTrue="1" operator="lessThanOrEqual">
      <formula>0</formula>
    </cfRule>
    <cfRule type="cellIs" dxfId="3055" priority="99" stopIfTrue="1" operator="lessThanOrEqual">
      <formula>0</formula>
    </cfRule>
    <cfRule type="cellIs" dxfId="3054" priority="98" stopIfTrue="1" operator="greaterThan">
      <formula>#REF!</formula>
    </cfRule>
    <cfRule type="cellIs" dxfId="3053" priority="88" stopIfTrue="1" operator="greaterThan">
      <formula>#REF!</formula>
    </cfRule>
    <cfRule type="cellIs" dxfId="3052" priority="96" stopIfTrue="1" operator="greaterThan">
      <formula>$F$27</formula>
    </cfRule>
    <cfRule type="cellIs" dxfId="3051" priority="97" stopIfTrue="1" operator="lessThanOrEqual">
      <formula>0</formula>
    </cfRule>
  </conditionalFormatting>
  <conditionalFormatting sqref="H83 H85:H91">
    <cfRule type="cellIs" dxfId="3050" priority="158" stopIfTrue="1" operator="greaterThan">
      <formula>4.5</formula>
    </cfRule>
    <cfRule type="cellIs" dxfId="3049" priority="159" stopIfTrue="1" operator="lessThanOrEqual">
      <formula>0</formula>
    </cfRule>
  </conditionalFormatting>
  <conditionalFormatting sqref="H59:I59">
    <cfRule type="cellIs" dxfId="3048" priority="21" stopIfTrue="1" operator="lessThanOrEqual">
      <formula>0</formula>
    </cfRule>
    <cfRule type="cellIs" dxfId="3047" priority="18" stopIfTrue="1" operator="greaterThan">
      <formula>$F$71</formula>
    </cfRule>
  </conditionalFormatting>
  <conditionalFormatting sqref="H60:I63">
    <cfRule type="cellIs" dxfId="3046" priority="61" stopIfTrue="1" operator="lessThanOrEqual">
      <formula>0</formula>
    </cfRule>
    <cfRule type="cellIs" dxfId="3045" priority="58" stopIfTrue="1" operator="greaterThan">
      <formula>$F$74</formula>
    </cfRule>
  </conditionalFormatting>
  <conditionalFormatting sqref="H64:I65">
    <cfRule type="cellIs" dxfId="3044" priority="102" stopIfTrue="1" operator="greaterThan">
      <formula>#REF!</formula>
    </cfRule>
    <cfRule type="cellIs" dxfId="3043" priority="105" stopIfTrue="1" operator="lessThanOrEqual">
      <formula>0</formula>
    </cfRule>
  </conditionalFormatting>
  <conditionalFormatting sqref="H66:I66">
    <cfRule type="cellIs" dxfId="3042" priority="116" stopIfTrue="1" operator="greaterThan">
      <formula>$F$42</formula>
    </cfRule>
    <cfRule type="cellIs" dxfId="3041" priority="119" stopIfTrue="1" operator="lessThanOrEqual">
      <formula>0</formula>
    </cfRule>
  </conditionalFormatting>
  <conditionalFormatting sqref="H67:I68">
    <cfRule type="cellIs" dxfId="3040" priority="86" stopIfTrue="1" operator="greaterThan">
      <formula>#REF!</formula>
    </cfRule>
    <cfRule type="cellIs" dxfId="3039" priority="89" stopIfTrue="1" operator="lessThanOrEqual">
      <formula>0</formula>
    </cfRule>
  </conditionalFormatting>
  <conditionalFormatting sqref="H72:I79">
    <cfRule type="cellIs" dxfId="3038" priority="33" stopIfTrue="1" operator="greaterThan">
      <formula>$J72</formula>
    </cfRule>
    <cfRule type="cellIs" dxfId="3037" priority="34" stopIfTrue="1" operator="lessThanOrEqual">
      <formula>0</formula>
    </cfRule>
  </conditionalFormatting>
  <conditionalFormatting sqref="H80:I80">
    <cfRule type="cellIs" dxfId="3036" priority="42" operator="greaterThan">
      <formula>5.3</formula>
    </cfRule>
  </conditionalFormatting>
  <conditionalFormatting sqref="H81:I81">
    <cfRule type="cellIs" dxfId="3035" priority="40" stopIfTrue="1" operator="greaterThan">
      <formula>$J81</formula>
    </cfRule>
    <cfRule type="cellIs" dxfId="3034" priority="41" stopIfTrue="1" operator="lessThanOrEqual">
      <formula>0</formula>
    </cfRule>
  </conditionalFormatting>
  <conditionalFormatting sqref="I59">
    <cfRule type="cellIs" dxfId="3033" priority="25" stopIfTrue="1" operator="lessThanOrEqual">
      <formula>0</formula>
    </cfRule>
    <cfRule type="cellIs" dxfId="3032" priority="26" stopIfTrue="1" operator="greaterThan">
      <formula>$F$69</formula>
    </cfRule>
    <cfRule type="cellIs" dxfId="3031" priority="27" stopIfTrue="1" operator="lessThanOrEqual">
      <formula>0</formula>
    </cfRule>
    <cfRule type="cellIs" dxfId="3030" priority="22" stopIfTrue="1" operator="greaterThan">
      <formula>$F$69</formula>
    </cfRule>
    <cfRule type="cellIs" dxfId="3029" priority="23" stopIfTrue="1" operator="lessThanOrEqual">
      <formula>0</formula>
    </cfRule>
    <cfRule type="cellIs" dxfId="3028" priority="24" stopIfTrue="1" operator="greaterThan">
      <formula>$F$71</formula>
    </cfRule>
  </conditionalFormatting>
  <conditionalFormatting sqref="I60:I63">
    <cfRule type="cellIs" dxfId="3027" priority="62" stopIfTrue="1" operator="greaterThan">
      <formula>$F$72</formula>
    </cfRule>
    <cfRule type="cellIs" dxfId="3026" priority="67" stopIfTrue="1" operator="lessThanOrEqual">
      <formula>0</formula>
    </cfRule>
    <cfRule type="cellIs" dxfId="3025" priority="65" stopIfTrue="1" operator="lessThanOrEqual">
      <formula>0</formula>
    </cfRule>
    <cfRule type="cellIs" dxfId="3024" priority="64" stopIfTrue="1" operator="greaterThan">
      <formula>$F$74</formula>
    </cfRule>
    <cfRule type="cellIs" dxfId="3023" priority="63" stopIfTrue="1" operator="lessThanOrEqual">
      <formula>0</formula>
    </cfRule>
    <cfRule type="cellIs" dxfId="3022" priority="66" stopIfTrue="1" operator="greaterThan">
      <formula>$F$72</formula>
    </cfRule>
  </conditionalFormatting>
  <conditionalFormatting sqref="I64:I65">
    <cfRule type="cellIs" dxfId="3021" priority="109" stopIfTrue="1" operator="lessThanOrEqual">
      <formula>0</formula>
    </cfRule>
    <cfRule type="cellIs" dxfId="3020" priority="110" stopIfTrue="1" operator="greaterThan">
      <formula>#REF!</formula>
    </cfRule>
    <cfRule type="cellIs" dxfId="3019" priority="111" stopIfTrue="1" operator="lessThanOrEqual">
      <formula>0</formula>
    </cfRule>
    <cfRule type="cellIs" dxfId="3018" priority="108" stopIfTrue="1" operator="greaterThan">
      <formula>#REF!</formula>
    </cfRule>
    <cfRule type="cellIs" dxfId="3017" priority="107" stopIfTrue="1" operator="lessThanOrEqual">
      <formula>0</formula>
    </cfRule>
    <cfRule type="cellIs" dxfId="3016" priority="106" stopIfTrue="1" operator="greaterThan">
      <formula>#REF!</formula>
    </cfRule>
  </conditionalFormatting>
  <conditionalFormatting sqref="I66">
    <cfRule type="cellIs" dxfId="3015" priority="120" stopIfTrue="1" operator="greaterThan">
      <formula>$F$40</formula>
    </cfRule>
    <cfRule type="cellIs" dxfId="3014" priority="121" stopIfTrue="1" operator="lessThanOrEqual">
      <formula>0</formula>
    </cfRule>
    <cfRule type="cellIs" dxfId="3013" priority="122" stopIfTrue="1" operator="greaterThan">
      <formula>$F$42</formula>
    </cfRule>
    <cfRule type="cellIs" dxfId="3012" priority="123" stopIfTrue="1" operator="lessThanOrEqual">
      <formula>0</formula>
    </cfRule>
    <cfRule type="cellIs" dxfId="3011" priority="124" stopIfTrue="1" operator="greaterThan">
      <formula>$F$40</formula>
    </cfRule>
    <cfRule type="cellIs" dxfId="3010" priority="125" stopIfTrue="1" operator="lessThanOrEqual">
      <formula>0</formula>
    </cfRule>
  </conditionalFormatting>
  <conditionalFormatting sqref="I67:I68">
    <cfRule type="cellIs" dxfId="3009" priority="95" stopIfTrue="1" operator="lessThanOrEqual">
      <formula>0</formula>
    </cfRule>
    <cfRule type="cellIs" dxfId="3008" priority="94" stopIfTrue="1" operator="greaterThan">
      <formula>#REF!</formula>
    </cfRule>
    <cfRule type="cellIs" dxfId="3007" priority="93" stopIfTrue="1" operator="lessThanOrEqual">
      <formula>0</formula>
    </cfRule>
    <cfRule type="cellIs" dxfId="3006" priority="92" stopIfTrue="1" operator="greaterThan">
      <formula>#REF!</formula>
    </cfRule>
    <cfRule type="cellIs" dxfId="3005" priority="91" stopIfTrue="1" operator="lessThanOrEqual">
      <formula>0</formula>
    </cfRule>
    <cfRule type="cellIs" dxfId="3004" priority="90" stopIfTrue="1" operator="greaterThan">
      <formula>#REF!</formula>
    </cfRule>
  </conditionalFormatting>
  <conditionalFormatting sqref="I83:I91">
    <cfRule type="cellIs" dxfId="3003" priority="155" stopIfTrue="1" operator="lessThanOrEqual">
      <formula>0</formula>
    </cfRule>
    <cfRule type="cellIs" dxfId="3002" priority="154" stopIfTrue="1" operator="greaterThan">
      <formula>4.5</formula>
    </cfRule>
  </conditionalFormatting>
  <conditionalFormatting sqref="I10:J27">
    <cfRule type="cellIs" dxfId="3001" priority="2" operator="lessThan">
      <formula>97.9</formula>
    </cfRule>
  </conditionalFormatting>
  <conditionalFormatting sqref="J30:J31">
    <cfRule type="cellIs" dxfId="3000" priority="1" operator="lessThan">
      <formula>97.95</formula>
    </cfRule>
  </conditionalFormatting>
  <conditionalFormatting sqref="J32">
    <cfRule type="cellIs" dxfId="2999" priority="131" stopIfTrue="1" operator="lessThan">
      <formula>96.8</formula>
    </cfRule>
    <cfRule type="cellIs" dxfId="2998" priority="132" stopIfTrue="1" operator="greaterThan">
      <formula>100</formula>
    </cfRule>
    <cfRule type="cellIs" dxfId="2997" priority="133" operator="lessThan">
      <formula>98</formula>
    </cfRule>
  </conditionalFormatting>
  <conditionalFormatting sqref="J32:J34">
    <cfRule type="cellIs" dxfId="2996" priority="130" operator="lessThan">
      <formula>97.4</formula>
    </cfRule>
  </conditionalFormatting>
  <conditionalFormatting sqref="J35:J36">
    <cfRule type="cellIs" dxfId="2995" priority="134" operator="lessThan">
      <formula>98</formula>
    </cfRule>
  </conditionalFormatting>
  <conditionalFormatting sqref="J37:J38">
    <cfRule type="cellIs" dxfId="2994" priority="136" stopIfTrue="1" operator="greaterThan">
      <formula>100</formula>
    </cfRule>
    <cfRule type="cellIs" dxfId="2993" priority="135" stopIfTrue="1" operator="lessThan">
      <formula>96.8</formula>
    </cfRule>
  </conditionalFormatting>
  <conditionalFormatting sqref="J37:J39">
    <cfRule type="cellIs" dxfId="2992" priority="137" operator="lessThan">
      <formula>98</formula>
    </cfRule>
  </conditionalFormatting>
  <conditionalFormatting sqref="J68">
    <cfRule type="cellIs" dxfId="2991" priority="78" stopIfTrue="1" operator="greaterThan">
      <formula>#REF!</formula>
    </cfRule>
    <cfRule type="cellIs" dxfId="2990" priority="79" stopIfTrue="1" operator="lessThanOrEqual">
      <formula>0</formula>
    </cfRule>
    <cfRule type="cellIs" dxfId="2989" priority="80" stopIfTrue="1" operator="greaterThan">
      <formula>#REF!</formula>
    </cfRule>
    <cfRule type="cellIs" dxfId="2988" priority="81" stopIfTrue="1" operator="lessThanOrEqual">
      <formula>0</formula>
    </cfRule>
    <cfRule type="cellIs" dxfId="2987" priority="85" stopIfTrue="1" operator="lessThanOrEqual">
      <formula>0</formula>
    </cfRule>
    <cfRule type="cellIs" dxfId="2986" priority="82" stopIfTrue="1" operator="greaterThan">
      <formula>#REF!</formula>
    </cfRule>
    <cfRule type="cellIs" dxfId="2985" priority="83" stopIfTrue="1" operator="lessThanOrEqual">
      <formula>0</formula>
    </cfRule>
    <cfRule type="cellIs" dxfId="2984" priority="84" stopIfTrue="1" operator="greaterThan">
      <formula>#REF!</formula>
    </cfRule>
  </conditionalFormatting>
  <conditionalFormatting sqref="J81">
    <cfRule type="cellIs" dxfId="2983" priority="45" stopIfTrue="1" operator="greaterThan">
      <formula>$F81</formula>
    </cfRule>
    <cfRule type="cellIs" dxfId="2982" priority="46" stopIfTrue="1" operator="lessThanOrEqual">
      <formula>0</formula>
    </cfRule>
  </conditionalFormatting>
  <conditionalFormatting sqref="K10:K27">
    <cfRule type="cellIs" dxfId="2981" priority="5" operator="greaterThan">
      <formula>6.4</formula>
    </cfRule>
    <cfRule type="cellIs" dxfId="2980" priority="4" operator="lessThan">
      <formula>4</formula>
    </cfRule>
    <cfRule type="cellIs" dxfId="2979" priority="3" operator="greaterThan">
      <formula>6</formula>
    </cfRule>
  </conditionalFormatting>
  <conditionalFormatting sqref="K59:K68">
    <cfRule type="cellIs" dxfId="2978" priority="72" stopIfTrue="1" operator="lessThan">
      <formula>100%</formula>
    </cfRule>
  </conditionalFormatting>
  <conditionalFormatting sqref="K83:K88">
    <cfRule type="cellIs" dxfId="2977" priority="160" stopIfTrue="1" operator="lessThan">
      <formula>100%</formula>
    </cfRule>
  </conditionalFormatting>
  <conditionalFormatting sqref="K90:K91">
    <cfRule type="cellIs" dxfId="2976" priority="167" stopIfTrue="1" operator="lessThan">
      <formula>100%</formula>
    </cfRule>
  </conditionalFormatting>
  <conditionalFormatting sqref="K72:M80">
    <cfRule type="cellIs" dxfId="2975" priority="32" stopIfTrue="1" operator="lessThan">
      <formula>100%</formula>
    </cfRule>
  </conditionalFormatting>
  <conditionalFormatting sqref="L10:L27">
    <cfRule type="cellIs" dxfId="2974" priority="7" operator="greaterThan">
      <formula>65</formula>
    </cfRule>
    <cfRule type="cellIs" dxfId="2973" priority="6" operator="between">
      <formula>61</formula>
      <formula>65</formula>
    </cfRule>
  </conditionalFormatting>
  <conditionalFormatting sqref="L30:M41">
    <cfRule type="cellIs" dxfId="2972" priority="74" operator="lessThan">
      <formula>97.95</formula>
    </cfRule>
  </conditionalFormatting>
  <conditionalFormatting sqref="L81:M81">
    <cfRule type="cellIs" dxfId="2971" priority="47" stopIfTrue="1" operator="lessThan">
      <formula>100%</formula>
    </cfRule>
  </conditionalFormatting>
  <conditionalFormatting sqref="L45:N45">
    <cfRule type="cellIs" dxfId="2970" priority="75" operator="notEqual">
      <formula>#REF!</formula>
    </cfRule>
  </conditionalFormatting>
  <conditionalFormatting sqref="L83:N91">
    <cfRule type="cellIs" dxfId="2969" priority="145" stopIfTrue="1" operator="lessThan">
      <formula>100%</formula>
    </cfRule>
  </conditionalFormatting>
  <conditionalFormatting sqref="M24:M25">
    <cfRule type="expression" dxfId="2968" priority="12">
      <formula>IF(+(IF(M24&lt;U24,0,IF(M24&gt;V24,0,1)))=0,1)</formula>
    </cfRule>
  </conditionalFormatting>
  <conditionalFormatting sqref="M10:N23 H10:H27">
    <cfRule type="expression" dxfId="2967" priority="9">
      <formula>IF(+(IF(H10&lt;#REF!,0,IF(H10&gt;#REF!,0,1)))=0,1)</formula>
    </cfRule>
  </conditionalFormatting>
  <conditionalFormatting sqref="M26:N27">
    <cfRule type="expression" dxfId="2966" priority="73">
      <formula>IF(+(IF(M26&lt;#REF!,0,IF(M26&gt;#REF!,0,1)))=0,1)</formula>
    </cfRule>
  </conditionalFormatting>
  <conditionalFormatting sqref="N10:N25">
    <cfRule type="expression" dxfId="2965" priority="11">
      <formula>IF(+(IF(N10&lt;W10,0,IF(N10&gt;X10,0,1)))=0,1)</formula>
    </cfRule>
  </conditionalFormatting>
  <conditionalFormatting sqref="N72:N81">
    <cfRule type="cellIs" dxfId="2964" priority="57" stopIfTrue="1" operator="lessThan">
      <formula>100%</formula>
    </cfRule>
  </conditionalFormatting>
  <conditionalFormatting sqref="P6">
    <cfRule type="cellIs" dxfId="2963" priority="141" operator="greaterThanOrEqual">
      <formula>19</formula>
    </cfRule>
  </conditionalFormatting>
  <dataValidations count="1">
    <dataValidation type="list" allowBlank="1" showInputMessage="1" showErrorMessage="1" sqref="R8" xr:uid="{C6643960-9D88-417D-A261-4CA0F84662E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4F4E-E870-4D07-A42B-CA400291B1C0}">
  <sheetPr>
    <pageSetUpPr fitToPage="1"/>
  </sheetPr>
  <dimension ref="A1:BE75"/>
  <sheetViews>
    <sheetView topLeftCell="A4" zoomScale="85" zoomScaleNormal="85" workbookViewId="0">
      <selection activeCell="E10" sqref="E10:E20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46150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65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95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3" t="s">
        <v>9</v>
      </c>
      <c r="C10" s="366" t="str">
        <f>[3]Brewhouse!$A222</f>
        <v>ST168</v>
      </c>
      <c r="D10" s="279">
        <f>[3]Brewhouse!$AB222</f>
        <v>53.1</v>
      </c>
      <c r="E10" s="279">
        <f>[3]Brewhouse!$AG222</f>
        <v>46.2</v>
      </c>
      <c r="F10" s="278">
        <f>[3]Brewhouse!$V222</f>
        <v>50</v>
      </c>
      <c r="G10" s="279">
        <f>[3]Brewhouse!$AE222</f>
        <v>12</v>
      </c>
      <c r="H10" s="396">
        <v>12</v>
      </c>
      <c r="I10" s="368">
        <f>[3]Brewhouse!$AS222</f>
        <v>94.541913901166239</v>
      </c>
      <c r="J10" s="368">
        <f>[3]Brewhouse!$AT222</f>
        <v>95.371402345786223</v>
      </c>
      <c r="K10" s="281">
        <f>[3]Brewhouse!$Q222</f>
        <v>9.5574387947269361</v>
      </c>
      <c r="L10" s="276">
        <f>[3]Brewhouse!$P222</f>
        <v>58</v>
      </c>
      <c r="M10" s="374">
        <f>[3]Brewhouse!$U222-[3]Brewhouse!$T222</f>
        <v>0.10833333333333334</v>
      </c>
      <c r="N10" s="370">
        <f>[3]Brewhouse!$AW222</f>
        <v>0.26111111111111107</v>
      </c>
      <c r="O10" s="371" t="str">
        <f>[3]Brewhouse!$AV222</f>
        <v>G. Mason</v>
      </c>
      <c r="P10" s="418"/>
      <c r="R10" s="277" t="str">
        <f t="shared" ref="R10:R35" si="0">B10</f>
        <v>STAG</v>
      </c>
      <c r="S10" s="472">
        <f t="shared" ref="S10:S35" si="1">VLOOKUP($B10,$R$3:$X$9,2,FALSE)</f>
        <v>11.6</v>
      </c>
      <c r="T10" s="472">
        <f t="shared" ref="T10:T35" si="2">VLOOKUP($B10,$R$3:$X$9,3,FALSE)</f>
        <v>12</v>
      </c>
      <c r="U10" s="297">
        <f t="shared" ref="U10:U35" si="3">VLOOKUP($B10,$R$3:$X$9,4,FALSE)</f>
        <v>0</v>
      </c>
      <c r="V10" s="297">
        <f t="shared" ref="V10:V35" si="4">VLOOKUP($B10,$R$3:$X$9,5,FALSE)</f>
        <v>0.118055555555556</v>
      </c>
      <c r="W10" s="297">
        <f t="shared" ref="W10:W35" si="5">VLOOKUP($B10,$R$3:$X$9,6,FALSE)</f>
        <v>0.22569444444444445</v>
      </c>
      <c r="X10" s="297">
        <f t="shared" ref="X10:X35" si="6">VLOOKUP($B10,$R$3:$X$9,7,FALSE)</f>
        <v>0.2638888888888889</v>
      </c>
      <c r="Y10" s="297">
        <f t="shared" ref="Y10:Y35" si="7">VLOOKUP($B10,$R$3:$Z$9,8,FALSE)</f>
        <v>0</v>
      </c>
      <c r="Z10" s="472">
        <f t="shared" ref="Z10:Z35" si="8">VLOOKUP($B10,$R$3:$Z$9,9,FALSE)</f>
        <v>60</v>
      </c>
    </row>
    <row r="11" spans="2:29" ht="15">
      <c r="B11" s="33" t="s">
        <v>9</v>
      </c>
      <c r="C11" s="366" t="str">
        <f>[3]Brewhouse!$A223</f>
        <v>ST169</v>
      </c>
      <c r="D11" s="279">
        <f>[3]Brewhouse!$AB223</f>
        <v>53.1</v>
      </c>
      <c r="E11" s="279">
        <f>[3]Brewhouse!$AG223</f>
        <v>49.84</v>
      </c>
      <c r="F11" s="278">
        <f>[3]Brewhouse!$V223</f>
        <v>52</v>
      </c>
      <c r="G11" s="279">
        <f>[3]Brewhouse!$AE223</f>
        <v>11.8</v>
      </c>
      <c r="H11" s="396">
        <v>11.8</v>
      </c>
      <c r="I11" s="368">
        <f>[3]Brewhouse!$AS223</f>
        <v>99.065882725515735</v>
      </c>
      <c r="J11" s="368">
        <f>[3]Brewhouse!$AT223</f>
        <v>99.937706464332265</v>
      </c>
      <c r="K11" s="281">
        <f>[3]Brewhouse!$Q223</f>
        <v>4.2843691148775873</v>
      </c>
      <c r="L11" s="276">
        <f>[3]Brewhouse!$P223</f>
        <v>59</v>
      </c>
      <c r="M11" s="374">
        <f>[3]Brewhouse!$U223-[3]Brewhouse!$T223</f>
        <v>0.1111111111111111</v>
      </c>
      <c r="N11" s="370">
        <f>[3]Brewhouse!$AW223</f>
        <v>0.26527777777777778</v>
      </c>
      <c r="O11" s="371" t="str">
        <f>[3]Brewhouse!$AV223</f>
        <v>R.Sookram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3" t="s">
        <v>9</v>
      </c>
      <c r="C12" s="366" t="str">
        <f>[3]Brewhouse!$A224</f>
        <v>ST170</v>
      </c>
      <c r="D12" s="279">
        <f>[3]Brewhouse!$AB224</f>
        <v>53.1</v>
      </c>
      <c r="E12" s="279">
        <f>[3]Brewhouse!$AG224</f>
        <v>48.1</v>
      </c>
      <c r="F12" s="278">
        <f>[3]Brewhouse!$V224</f>
        <v>51</v>
      </c>
      <c r="G12" s="279">
        <f>[3]Brewhouse!$AE224</f>
        <v>11.8</v>
      </c>
      <c r="H12" s="396">
        <v>12.2</v>
      </c>
      <c r="I12" s="368">
        <f>[3]Brewhouse!$AS224</f>
        <v>95.607322614311911</v>
      </c>
      <c r="J12" s="368">
        <f>[3]Brewhouse!$AT224</f>
        <v>96.448709489052604</v>
      </c>
      <c r="K12" s="281">
        <f>[3]Brewhouse!$Q224</f>
        <v>6.1676082862523511</v>
      </c>
      <c r="L12" s="276">
        <f>[3]Brewhouse!$P224</f>
        <v>59</v>
      </c>
      <c r="M12" s="374">
        <f>[3]Brewhouse!$U224-[3]Brewhouse!$T224</f>
        <v>0.12083333333333335</v>
      </c>
      <c r="N12" s="370">
        <f>[3]Brewhouse!$AW224</f>
        <v>0.26805555555555555</v>
      </c>
      <c r="O12" s="371" t="str">
        <f>[3]Brewhouse!$AV224</f>
        <v>R.Sookram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33" t="s">
        <v>9</v>
      </c>
      <c r="C13" s="366" t="str">
        <f>[3]Brewhouse!$A225</f>
        <v>ST171</v>
      </c>
      <c r="D13" s="279">
        <f>[3]Brewhouse!$AB225</f>
        <v>53</v>
      </c>
      <c r="E13" s="279">
        <f>[3]Brewhouse!$AG225</f>
        <v>48.8</v>
      </c>
      <c r="F13" s="278">
        <f>[3]Brewhouse!$V225</f>
        <v>54</v>
      </c>
      <c r="G13" s="279">
        <f>[3]Brewhouse!$AE225</f>
        <v>12</v>
      </c>
      <c r="H13" s="396">
        <v>12.5</v>
      </c>
      <c r="I13" s="368">
        <f>[3]Brewhouse!$AS225</f>
        <v>98.852784636210828</v>
      </c>
      <c r="J13" s="368">
        <f>[3]Brewhouse!$AT225</f>
        <v>99.722442931724771</v>
      </c>
      <c r="K13" s="281">
        <f>[3]Brewhouse!$Q225</f>
        <v>4.6698113207547198</v>
      </c>
      <c r="L13" s="276">
        <f>[3]Brewhouse!$P225</f>
        <v>62</v>
      </c>
      <c r="M13" s="374">
        <f>[3]Brewhouse!$U225-[3]Brewhouse!$T225</f>
        <v>0.11249999999999993</v>
      </c>
      <c r="N13" s="370">
        <f>[3]Brewhouse!$AW225</f>
        <v>0.26874999999999993</v>
      </c>
      <c r="O13" s="371" t="str">
        <f>[3]Brewhouse!$AV225</f>
        <v>R.Sookram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33" t="s">
        <v>9</v>
      </c>
      <c r="C14" s="366" t="str">
        <f>[3]Brewhouse!$A226</f>
        <v>ST172</v>
      </c>
      <c r="D14" s="279">
        <f>[3]Brewhouse!$AB226</f>
        <v>53</v>
      </c>
      <c r="E14" s="279">
        <f>[3]Brewhouse!$AG226</f>
        <v>49.3</v>
      </c>
      <c r="F14" s="278">
        <f>[3]Brewhouse!$V226</f>
        <v>58</v>
      </c>
      <c r="G14" s="279">
        <f>[3]Brewhouse!$AE226</f>
        <v>11.9</v>
      </c>
      <c r="H14" s="396">
        <v>12.2</v>
      </c>
      <c r="I14" s="368">
        <f>[3]Brewhouse!$AS226</f>
        <v>98.991001256161667</v>
      </c>
      <c r="J14" s="368">
        <f>[3]Brewhouse!$AT226</f>
        <v>99.861875513679706</v>
      </c>
      <c r="K14" s="281">
        <f>[3]Brewhouse!$Q226</f>
        <v>5.6132075471698144</v>
      </c>
      <c r="L14" s="276">
        <f>[3]Brewhouse!$P226</f>
        <v>61</v>
      </c>
      <c r="M14" s="374">
        <f>[3]Brewhouse!$U226-[3]Brewhouse!$T226</f>
        <v>0.11805555555555558</v>
      </c>
      <c r="N14" s="370">
        <f>[3]Brewhouse!$AW226</f>
        <v>0.26666666666666672</v>
      </c>
      <c r="O14" s="371" t="str">
        <f>[3]Brewhouse!$AV226</f>
        <v>K. Benjamin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33" t="s">
        <v>9</v>
      </c>
      <c r="C15" s="366" t="str">
        <f>[3]Brewhouse!$A227</f>
        <v>ST173</v>
      </c>
      <c r="D15" s="279">
        <f>[3]Brewhouse!$AB227</f>
        <v>53</v>
      </c>
      <c r="E15" s="279">
        <f>[3]Brewhouse!$AG227</f>
        <v>49.7</v>
      </c>
      <c r="F15" s="278">
        <f>[3]Brewhouse!$V227</f>
        <v>60</v>
      </c>
      <c r="G15" s="279">
        <f>[3]Brewhouse!$AE227</f>
        <v>11.8</v>
      </c>
      <c r="H15" s="396">
        <v>11.8</v>
      </c>
      <c r="I15" s="368">
        <f>[3]Brewhouse!$AS227</f>
        <v>98.91245808939847</v>
      </c>
      <c r="J15" s="368">
        <f>[3]Brewhouse!$AT227</f>
        <v>99.782641362673814</v>
      </c>
      <c r="K15" s="281">
        <f>[3]Brewhouse!$Q227</f>
        <v>4.1037735849056549</v>
      </c>
      <c r="L15" s="276">
        <f>[3]Brewhouse!$P227</f>
        <v>59</v>
      </c>
      <c r="M15" s="374">
        <f>[3]Brewhouse!$U227-[3]Brewhouse!$T227</f>
        <v>0.11736111111111125</v>
      </c>
      <c r="N15" s="370">
        <f>[3]Brewhouse!$AW227</f>
        <v>0.26388888888888895</v>
      </c>
      <c r="O15" s="371" t="str">
        <f>[3]Brewhouse!$AV227</f>
        <v>K. Benjamin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33" t="s">
        <v>9</v>
      </c>
      <c r="C16" s="366" t="str">
        <f>[3]Brewhouse!$A228</f>
        <v>ST174</v>
      </c>
      <c r="D16" s="279">
        <f>[3]Brewhouse!$AB228</f>
        <v>53</v>
      </c>
      <c r="E16" s="279">
        <f>[3]Brewhouse!$AG228</f>
        <v>49.7</v>
      </c>
      <c r="F16" s="278">
        <f>[3]Brewhouse!$V228</f>
        <v>60</v>
      </c>
      <c r="G16" s="279">
        <f>[3]Brewhouse!$AE228</f>
        <v>11.7</v>
      </c>
      <c r="H16" s="396">
        <v>11.9</v>
      </c>
      <c r="I16" s="368">
        <f>[3]Brewhouse!$AS228</f>
        <v>98.030742498650199</v>
      </c>
      <c r="J16" s="368">
        <f>[3]Brewhouse!$AT228</f>
        <v>98.893168870786113</v>
      </c>
      <c r="K16" s="281">
        <f>[3]Brewhouse!$Q228</f>
        <v>3.9150943396226339</v>
      </c>
      <c r="L16" s="276">
        <f>[3]Brewhouse!$P228</f>
        <v>62</v>
      </c>
      <c r="M16" s="374">
        <f>[3]Brewhouse!$U228-[3]Brewhouse!$T228</f>
        <v>0.11736111111111125</v>
      </c>
      <c r="N16" s="370">
        <f>[3]Brewhouse!$AW228</f>
        <v>0.25763888888888897</v>
      </c>
      <c r="O16" s="371" t="str">
        <f>[3]Brewhouse!$AV228</f>
        <v>K. Benjamin</v>
      </c>
      <c r="P16" s="418"/>
      <c r="R16" s="277" t="str">
        <f t="shared" ref="R16:R20" si="9">B16</f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>
      <c r="B17" s="33" t="s">
        <v>9</v>
      </c>
      <c r="C17" s="366" t="str">
        <f>[3]Brewhouse!$A229</f>
        <v>ST175</v>
      </c>
      <c r="D17" s="279">
        <f>[3]Brewhouse!$AB229</f>
        <v>53</v>
      </c>
      <c r="E17" s="279">
        <f>[3]Brewhouse!$AG229</f>
        <v>49.8</v>
      </c>
      <c r="F17" s="278">
        <f>[3]Brewhouse!$V229</f>
        <v>60</v>
      </c>
      <c r="G17" s="279">
        <f>[3]Brewhouse!$AE229</f>
        <v>11.7</v>
      </c>
      <c r="H17" s="396">
        <v>11.7</v>
      </c>
      <c r="I17" s="368">
        <f>[3]Brewhouse!$AS229</f>
        <v>98.227987453375846</v>
      </c>
      <c r="J17" s="368">
        <f>[3]Brewhouse!$AT229</f>
        <v>99.092149089842025</v>
      </c>
      <c r="K17" s="281">
        <f>[3]Brewhouse!$Q229</f>
        <v>5.2358490566037714</v>
      </c>
      <c r="L17" s="276">
        <f>[3]Brewhouse!$P229</f>
        <v>61</v>
      </c>
      <c r="M17" s="374">
        <f>[3]Brewhouse!$U229-[3]Brewhouse!$T229</f>
        <v>0.13055555555555554</v>
      </c>
      <c r="N17" s="370">
        <f>[3]Brewhouse!$AW229</f>
        <v>0.2763888888888888</v>
      </c>
      <c r="O17" s="371" t="str">
        <f>[3]Brewhouse!$AV229</f>
        <v>K. Benjamin</v>
      </c>
      <c r="P17" s="418"/>
      <c r="R17" s="277" t="str">
        <f t="shared" si="9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">
      <c r="B20" s="29" t="s">
        <v>6</v>
      </c>
      <c r="C20" s="366" t="str">
        <f>[4]Brewhouse!$A388</f>
        <v>CA343</v>
      </c>
      <c r="D20" s="279">
        <f>[4]Brewhouse!$AF388</f>
        <v>52.4</v>
      </c>
      <c r="E20" s="279">
        <f>[4]Brewhouse!$AI388</f>
        <v>50.5</v>
      </c>
      <c r="F20" s="278">
        <f>[4]Brewhouse!$V388</f>
        <v>63</v>
      </c>
      <c r="G20" s="279">
        <f>[4]Brewhouse!AG388</f>
        <v>11.5</v>
      </c>
      <c r="H20" s="396">
        <v>11.5</v>
      </c>
      <c r="I20" s="368">
        <f>[4]Brewhouse!$AU388</f>
        <v>95.883570904040326</v>
      </c>
      <c r="J20" s="368">
        <f>[4]Brewhouse!$AV388</f>
        <v>96.896837035964452</v>
      </c>
      <c r="K20" s="281">
        <f>[4]Brewhouse!$Q388</f>
        <v>4.4731977818854007</v>
      </c>
      <c r="L20" s="276">
        <f>[4]Brewhouse!$P388</f>
        <v>59</v>
      </c>
      <c r="M20" s="397">
        <f>[4]Brewhouse!$U388-[4]Brewhouse!$T388</f>
        <v>0.11944444444444446</v>
      </c>
      <c r="N20" s="370">
        <f>[4]Brewhouse!$Z388</f>
        <v>0.27638888888888891</v>
      </c>
      <c r="O20" s="420" t="str">
        <f>[4]Brewhouse!$AX388</f>
        <v>D. Gomaz</v>
      </c>
      <c r="P20" s="418" t="s">
        <v>191</v>
      </c>
      <c r="R20" s="277" t="str">
        <f t="shared" si="9"/>
        <v>CARIB</v>
      </c>
      <c r="S20" s="472">
        <f t="shared" si="1"/>
        <v>11.6</v>
      </c>
      <c r="T20" s="472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2">
        <f t="shared" si="8"/>
        <v>60</v>
      </c>
    </row>
    <row r="21" spans="1:27" ht="16.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25"/>
      <c r="J22" s="525"/>
      <c r="K22" s="525"/>
      <c r="L22" s="525"/>
      <c r="M22" s="525"/>
      <c r="N22" s="525"/>
      <c r="O22" s="1"/>
      <c r="P22" s="12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88" t="s">
        <v>162</v>
      </c>
      <c r="C23" s="388"/>
      <c r="D23" s="526" t="s">
        <v>35</v>
      </c>
      <c r="E23" s="52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28"/>
      <c r="C24" s="362"/>
      <c r="D24" s="531"/>
      <c r="E24" s="532"/>
      <c r="F24" s="294"/>
      <c r="G24" s="294"/>
      <c r="H24" s="348"/>
      <c r="I24" s="29" t="s">
        <v>6</v>
      </c>
      <c r="J24" s="323">
        <f>I20</f>
        <v>95.883570904040326</v>
      </c>
      <c r="K24" s="284">
        <f>COUNTA([4]Brewhouse!$A$372:$A$388)</f>
        <v>17</v>
      </c>
      <c r="L24" s="305">
        <f>AVERAGE([4]Brewhouse!$AU$372:$AU$388)</f>
        <v>98.725285326987262</v>
      </c>
      <c r="M24" s="305">
        <f>AVERAGE([4]Brewhouse!$AU$42:$AU$123,[4]Brewhouse!$AU$125:$AU$188,[4]Brewhouse!$AU$198:$AU$290,[4]Brewhouse!$AU$292:$AU$370,[4]Brewhouse!$AU$372:$AU$388)</f>
        <v>98.04132969860683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29"/>
      <c r="C25" s="362"/>
      <c r="D25" s="533"/>
      <c r="E25" s="534"/>
      <c r="F25" s="294"/>
      <c r="G25" s="294"/>
      <c r="H25" s="348"/>
      <c r="I25" s="33" t="s">
        <v>9</v>
      </c>
      <c r="J25" s="323">
        <f>AVERAGE(I10:I17)</f>
        <v>97.778761646848849</v>
      </c>
      <c r="K25" s="284">
        <f>COUNTA([3]Brewhouse!$A$214:$A$229)</f>
        <v>16</v>
      </c>
      <c r="L25" s="302">
        <f>AVERAGE([3]Brewhouse!$AS$214:$AS$229)</f>
        <v>97.795658588620881</v>
      </c>
      <c r="M25" s="302">
        <f>AVERAGE([3]Brewhouse!$AS$52:$AS$81,[3]Brewhouse!$AS$83:$AS$124,[3]Brewhouse!$AS$134:$AS$177,[3]Brewhouse!$AS$22:$AS$179,[3]Brewhouse!$AS$214:$AS$229)</f>
        <v>97.93842123965544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29"/>
      <c r="C26" s="362"/>
      <c r="D26" s="535"/>
      <c r="E26" s="536"/>
      <c r="F26" s="294"/>
      <c r="G26" s="294"/>
      <c r="H26" s="348"/>
      <c r="I26" s="34" t="s">
        <v>12</v>
      </c>
      <c r="J26" s="280"/>
      <c r="K26" s="284"/>
      <c r="L26" s="302"/>
      <c r="M26" s="302">
        <f>AVERAGE([5]Brewhouse!$AU$16:$AU$23,[5]Brewhouse!$AU$25:$AU$32,[5]Brewhouse!$AU$34:$AU$41,[5]Brewhouse!$AU$43:$AU$55)</f>
        <v>96.793456653928644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9"/>
      <c r="C27" s="362"/>
      <c r="D27" s="537"/>
      <c r="E27" s="534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AVERAGE([6]Brewhouse!$AV$23:$AV$34,[6]Brewhouse!$AV$36,[6]Brewhouse!$AV$38:$AV$52,[6]Brewhouse!$AV$54:$AV$60)</f>
        <v>97.437512946773296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9"/>
      <c r="C28" s="362"/>
      <c r="D28" s="535"/>
      <c r="E28" s="536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9"/>
      <c r="C29" s="362"/>
      <c r="D29" s="537"/>
      <c r="E29" s="534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AVERAGE([7]Brewhouse!$AT$4:$AT$11)</f>
        <v>92.826224508052405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29"/>
      <c r="C30" s="362"/>
      <c r="D30" s="535"/>
      <c r="E30" s="536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AVERAGE([8]Brewhouse!$AY$5:$AY$14,[8]Brewhouse!$AY$16:$AY$23,[8]Brewhouse!$AY$42,[8]Brewhouse!$AY$44:$AY$51)</f>
        <v>97.608428475776392</v>
      </c>
      <c r="N30" s="30">
        <v>98</v>
      </c>
      <c r="O30" s="11"/>
      <c r="P30" s="31" t="s">
        <v>41</v>
      </c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29"/>
      <c r="C31" s="362"/>
      <c r="D31" s="537"/>
      <c r="E31" s="534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7" ht="14.65" customHeight="1">
      <c r="A32" s="28"/>
      <c r="B32" s="529"/>
      <c r="C32" s="349"/>
      <c r="D32" s="535"/>
      <c r="E32" s="536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29"/>
      <c r="C33" s="349"/>
      <c r="D33" s="537"/>
      <c r="E33" s="534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29"/>
      <c r="C34" s="349"/>
      <c r="D34" s="531"/>
      <c r="E34" s="532"/>
      <c r="F34" s="294"/>
      <c r="G34" s="294"/>
      <c r="H34" s="348"/>
      <c r="I34" s="1"/>
      <c r="J34" s="39"/>
      <c r="K34" s="404">
        <f>SUM(K24:K33)</f>
        <v>33</v>
      </c>
      <c r="L34" s="405">
        <f>((L24*K24)+(L25*K25)+(L26*K26)+(L27*K27)+(L28*K28)+(K31*L31)+(L29*K29)+(L30*K30)+(L33*K33))/(K34)</f>
        <v>98.274557211415683</v>
      </c>
      <c r="M34" s="405">
        <f>AVERAGE('[9]Jan30th-31st'!$L$42,L34)</f>
        <v>98.051299473628575</v>
      </c>
      <c r="N34" s="4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30"/>
      <c r="C35" s="350"/>
      <c r="D35" s="533"/>
      <c r="E35" s="534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28"/>
      <c r="C36" s="362"/>
      <c r="D36" s="539"/>
      <c r="E36" s="540"/>
      <c r="F36" s="294"/>
      <c r="G36" s="42"/>
      <c r="H36" s="41"/>
      <c r="I36" s="42"/>
      <c r="J36" s="541" t="s">
        <v>129</v>
      </c>
      <c r="K36" s="541"/>
      <c r="L36" s="294"/>
      <c r="M36" s="294"/>
      <c r="N36" s="294"/>
      <c r="O36" s="294"/>
      <c r="P36" s="12"/>
    </row>
    <row r="37" spans="1:56" ht="15.75" thickBot="1">
      <c r="B37" s="529"/>
      <c r="C37" s="362"/>
      <c r="D37" s="537"/>
      <c r="E37" s="534"/>
      <c r="F37" s="294"/>
      <c r="G37" s="42"/>
      <c r="H37" s="42"/>
      <c r="I37" s="42"/>
      <c r="J37" s="292" t="s">
        <v>17</v>
      </c>
      <c r="K37" s="293" t="s">
        <v>172</v>
      </c>
      <c r="L37" s="542" t="s">
        <v>136</v>
      </c>
      <c r="M37" s="542"/>
      <c r="N37" s="543"/>
      <c r="O37" s="294"/>
      <c r="P37" s="12"/>
    </row>
    <row r="38" spans="1:56" ht="15" customHeight="1" thickBot="1">
      <c r="B38" s="529"/>
      <c r="C38" s="349"/>
      <c r="D38" s="535"/>
      <c r="E38" s="536"/>
      <c r="F38" s="294"/>
      <c r="G38" s="42"/>
      <c r="H38" s="42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9"/>
      <c r="C39" s="349"/>
      <c r="D39" s="537"/>
      <c r="E39" s="534"/>
      <c r="F39" s="294"/>
      <c r="G39" s="42"/>
      <c r="H39" s="42"/>
      <c r="I39" s="42"/>
      <c r="J39" s="345" t="s">
        <v>9</v>
      </c>
      <c r="K39" s="324">
        <v>8</v>
      </c>
      <c r="L39" s="344">
        <f>AVEDEV('May 2nd-23rd'!J53,'May 2nd-23rd'!K53,'May 4th'!K51,'May 5th'!K47,'May 6th'!K54,K48)</f>
        <v>2.5555555555555558</v>
      </c>
      <c r="M39" s="325">
        <f>AVERAGE('[9]Jan30th-31st'!$L$47,L39,'[10]Feb 26th '!$L$39,'[11]Mar 31st'!$L$47,'[12]Apr 30th'!$L$46)</f>
        <v>5.7185024154589374</v>
      </c>
      <c r="N39" s="416">
        <v>9.1999999999999993</v>
      </c>
      <c r="O39" s="294"/>
      <c r="P39" s="12"/>
    </row>
    <row r="40" spans="1:56" ht="15" customHeight="1">
      <c r="B40" s="529"/>
      <c r="C40" s="349"/>
      <c r="D40" s="535"/>
      <c r="E40" s="536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9"/>
      <c r="C41" s="349"/>
      <c r="D41" s="537"/>
      <c r="E41" s="534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9"/>
      <c r="C42" s="349"/>
      <c r="D42" s="535"/>
      <c r="E42" s="536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9"/>
      <c r="C43" s="349"/>
      <c r="D43" s="537"/>
      <c r="E43" s="534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35"/>
      <c r="E44" s="536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8"/>
      <c r="C45" s="350"/>
      <c r="D45" s="544"/>
      <c r="E45" s="545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46"/>
      <c r="E46" s="547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8</v>
      </c>
      <c r="L48" s="294"/>
      <c r="M48" s="294"/>
      <c r="N48" s="294"/>
      <c r="O48" s="294"/>
      <c r="P48" s="12"/>
    </row>
    <row r="49" spans="1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1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1:57" ht="15" customHeight="1" thickBot="1">
      <c r="B51" s="548" t="s">
        <v>17</v>
      </c>
      <c r="C51" s="548" t="s">
        <v>44</v>
      </c>
      <c r="D51" s="551" t="s">
        <v>45</v>
      </c>
      <c r="E51" s="516" t="s">
        <v>46</v>
      </c>
      <c r="F51" s="565" t="s">
        <v>47</v>
      </c>
      <c r="G51" s="560" t="s">
        <v>48</v>
      </c>
      <c r="H51" s="548" t="s">
        <v>49</v>
      </c>
      <c r="I51" s="548" t="s">
        <v>50</v>
      </c>
      <c r="J51" s="554" t="s">
        <v>28</v>
      </c>
      <c r="K51" s="514" t="s">
        <v>51</v>
      </c>
      <c r="L51" s="563" t="s">
        <v>52</v>
      </c>
      <c r="M51" s="554" t="s">
        <v>53</v>
      </c>
      <c r="N51" s="13"/>
      <c r="O51" s="13"/>
      <c r="P51" s="50"/>
    </row>
    <row r="52" spans="1:57" ht="28.5" customHeight="1" thickTop="1" thickBot="1">
      <c r="B52" s="549"/>
      <c r="C52" s="550"/>
      <c r="D52" s="552"/>
      <c r="E52" s="553"/>
      <c r="F52" s="566"/>
      <c r="G52" s="561"/>
      <c r="H52" s="549"/>
      <c r="I52" s="549"/>
      <c r="J52" s="555"/>
      <c r="K52" s="562"/>
      <c r="L52" s="564"/>
      <c r="M52" s="555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1:57" s="54" customFormat="1" ht="36.75" customHeight="1" thickBot="1">
      <c r="B53" s="486" t="str">
        <f>J39</f>
        <v>STAG</v>
      </c>
      <c r="C53" s="479">
        <v>46149</v>
      </c>
      <c r="D53" s="442">
        <f>[32]May_2026!$I$13</f>
        <v>404</v>
      </c>
      <c r="E53" s="443"/>
      <c r="F53" s="444"/>
      <c r="G53" s="445">
        <f>[32]May_2026!$I$17</f>
        <v>384.6</v>
      </c>
      <c r="H53" s="458"/>
      <c r="I53" s="458"/>
      <c r="J53" s="448" t="s">
        <v>186</v>
      </c>
      <c r="K53" s="449">
        <f>[34]May_2026!$I$25</f>
        <v>0.44982456140350885</v>
      </c>
      <c r="L53" s="457">
        <f>(((D53+E53)-G53)/(D53+E53))*100</f>
        <v>4.8019801980197965</v>
      </c>
      <c r="M53" s="455" t="s">
        <v>187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[13]January_2019!L5</f>
        <v>0</v>
      </c>
      <c r="AC53" s="57">
        <f>[13]January_2019!M5</f>
        <v>0</v>
      </c>
      <c r="AD53" s="57">
        <f>[13]January_2019!N5</f>
        <v>0</v>
      </c>
      <c r="AE53" s="57">
        <f>[13]January_2019!O5</f>
        <v>0</v>
      </c>
      <c r="AF53" s="57">
        <f>[13]January_2019!P5</f>
        <v>0</v>
      </c>
      <c r="AG53" s="57">
        <f>[13]January_2019!Q5</f>
        <v>0</v>
      </c>
      <c r="AH53" s="57">
        <f>[13]January_2019!R5</f>
        <v>0</v>
      </c>
      <c r="AI53" s="57">
        <f>[13]January_2019!S5</f>
        <v>0</v>
      </c>
      <c r="AJ53" s="57">
        <f>[13]January_2019!T5</f>
        <v>0</v>
      </c>
      <c r="AK53" s="57">
        <f>[13]January_2019!U5</f>
        <v>0</v>
      </c>
      <c r="AL53" s="57">
        <f>[13]January_2019!V5</f>
        <v>0</v>
      </c>
      <c r="AM53" s="57">
        <f>[13]January_2019!W5</f>
        <v>0</v>
      </c>
      <c r="AN53" s="57">
        <f>[13]January_2019!X5</f>
        <v>0</v>
      </c>
      <c r="AO53" s="57">
        <f>[13]January_2019!Y5</f>
        <v>0</v>
      </c>
      <c r="AP53" s="57">
        <f>[13]January_2019!Z5</f>
        <v>0</v>
      </c>
      <c r="AQ53" s="57">
        <f>[13]January_2019!AA5</f>
        <v>0</v>
      </c>
      <c r="AR53" s="57">
        <f>[13]January_2019!AB5</f>
        <v>0</v>
      </c>
      <c r="AS53" s="57">
        <f>[13]January_2019!AC5</f>
        <v>0</v>
      </c>
      <c r="AT53" s="57">
        <f>[13]January_2019!AD5</f>
        <v>0</v>
      </c>
      <c r="AU53" s="57">
        <f>[13]January_2019!AE5</f>
        <v>0</v>
      </c>
      <c r="AV53" s="57">
        <f>[13]January_2019!AF5</f>
        <v>0</v>
      </c>
      <c r="AW53" s="57">
        <f>[13]January_2019!AG5</f>
        <v>0</v>
      </c>
      <c r="AX53" s="277">
        <f>[13]January_2019!AH5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[13]January_2019!L6</f>
        <v>0</v>
      </c>
      <c r="AC54" s="57">
        <f>[13]January_2019!M6</f>
        <v>0</v>
      </c>
      <c r="AD54" s="57">
        <f>[13]January_2019!N6</f>
        <v>0</v>
      </c>
      <c r="AE54" s="57">
        <f>[13]January_2019!O6</f>
        <v>0</v>
      </c>
      <c r="AF54" s="57">
        <f>[13]January_2019!P6</f>
        <v>0</v>
      </c>
      <c r="AG54" s="57">
        <f>[13]January_2019!Q6</f>
        <v>0</v>
      </c>
      <c r="AH54" s="57">
        <f>[13]January_2019!R6</f>
        <v>0</v>
      </c>
      <c r="AI54" s="57">
        <f>[13]January_2019!S6</f>
        <v>0</v>
      </c>
      <c r="AJ54" s="57">
        <f>[13]January_2019!T6</f>
        <v>0</v>
      </c>
      <c r="AK54" s="57">
        <f>[13]January_2019!U6</f>
        <v>0</v>
      </c>
      <c r="AL54" s="57">
        <f>[13]January_2019!V6</f>
        <v>0</v>
      </c>
      <c r="AM54" s="57">
        <f>[13]January_2019!W6</f>
        <v>0</v>
      </c>
      <c r="AN54" s="57">
        <f>[13]January_2019!X6</f>
        <v>0</v>
      </c>
      <c r="AO54" s="57">
        <f>[13]January_2019!Y6</f>
        <v>0</v>
      </c>
      <c r="AP54" s="57">
        <f>[13]January_2019!Z6</f>
        <v>0</v>
      </c>
      <c r="AQ54" s="57">
        <f>[13]January_2019!AA6</f>
        <v>0</v>
      </c>
      <c r="AR54" s="57">
        <f>[13]January_2019!AB6</f>
        <v>0</v>
      </c>
      <c r="AS54" s="57">
        <f>[13]January_2019!AC6</f>
        <v>0</v>
      </c>
      <c r="AT54" s="57">
        <f>[13]January_2019!AD6</f>
        <v>0</v>
      </c>
      <c r="AU54" s="57">
        <f>[13]January_2019!AE6</f>
        <v>0</v>
      </c>
      <c r="AV54" s="57">
        <f>[13]January_2019!AF6</f>
        <v>0</v>
      </c>
      <c r="AW54" s="57">
        <f>[13]January_2019!AG6</f>
        <v>0</v>
      </c>
      <c r="AX54" s="277">
        <f>[13]January_2019!AH6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37.15" customHeight="1" thickBot="1">
      <c r="A55" s="54" t="s">
        <v>168</v>
      </c>
      <c r="B55" s="486" t="str">
        <f>J39</f>
        <v>STAG</v>
      </c>
      <c r="C55" s="479">
        <v>46149</v>
      </c>
      <c r="D55" s="442">
        <f>[32]May_2026!$J$13</f>
        <v>185.70000000000002</v>
      </c>
      <c r="E55" s="443"/>
      <c r="F55" s="444"/>
      <c r="G55" s="445">
        <f>[32]May_2026!$J$17</f>
        <v>170</v>
      </c>
      <c r="H55" s="458"/>
      <c r="I55" s="458"/>
      <c r="J55" s="448" t="s">
        <v>171</v>
      </c>
      <c r="K55" s="449">
        <f>[34]May_2026!$J$25</f>
        <v>0.2982456140350877</v>
      </c>
      <c r="L55" s="457">
        <f>(((D55+E55)-G55)/(D55+E55))*100</f>
        <v>8.454496499730757</v>
      </c>
      <c r="M55" s="455" t="s">
        <v>188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[13]January_2019!L7</f>
        <v>285.8</v>
      </c>
      <c r="AC55" s="57">
        <f>[13]January_2019!M7</f>
        <v>508.1</v>
      </c>
      <c r="AD55" s="57">
        <f>[13]January_2019!N7</f>
        <v>0</v>
      </c>
      <c r="AE55" s="57">
        <f>[13]January_2019!O7</f>
        <v>0</v>
      </c>
      <c r="AF55" s="57">
        <f>[13]January_2019!P7</f>
        <v>109.56666666666666</v>
      </c>
      <c r="AG55" s="57">
        <f>[13]January_2019!Q7</f>
        <v>297.64999999999998</v>
      </c>
      <c r="AH55" s="57">
        <f>[13]January_2019!R7</f>
        <v>122.3</v>
      </c>
      <c r="AI55" s="57">
        <f>[13]January_2019!S7</f>
        <v>0</v>
      </c>
      <c r="AJ55" s="57">
        <f>[13]January_2019!T7</f>
        <v>294.7</v>
      </c>
      <c r="AK55" s="57">
        <f>[13]January_2019!U7</f>
        <v>280.5</v>
      </c>
      <c r="AL55" s="57">
        <f>[13]January_2019!V7</f>
        <v>0</v>
      </c>
      <c r="AM55" s="57">
        <f>[13]January_2019!W7</f>
        <v>0</v>
      </c>
      <c r="AN55" s="57">
        <f>[13]January_2019!X7</f>
        <v>188.25</v>
      </c>
      <c r="AO55" s="57">
        <f>[13]January_2019!Y7</f>
        <v>295.7</v>
      </c>
      <c r="AP55" s="57">
        <f>[13]January_2019!Z7</f>
        <v>257.8</v>
      </c>
      <c r="AQ55" s="57">
        <f>[13]January_2019!AA7</f>
        <v>291.2</v>
      </c>
      <c r="AR55" s="57">
        <f>[13]January_2019!AB7</f>
        <v>187</v>
      </c>
      <c r="AS55" s="57">
        <f>[13]January_2019!AC7</f>
        <v>0</v>
      </c>
      <c r="AT55" s="57">
        <f>[13]January_2019!AD7</f>
        <v>0</v>
      </c>
      <c r="AU55" s="57">
        <f>[13]January_2019!AE7</f>
        <v>485.1</v>
      </c>
      <c r="AV55" s="57">
        <f>[13]January_2019!AF7</f>
        <v>171.55</v>
      </c>
      <c r="AW55" s="57">
        <f>[13]January_2019!AG7</f>
        <v>423.8</v>
      </c>
      <c r="AX55" s="277">
        <f>[13]January_2019!AH7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 t="s">
        <v>171</v>
      </c>
      <c r="K57" s="459"/>
      <c r="L57" s="457" t="e">
        <f>(((D57+E57)-G57)/(D57+E57))*100</f>
        <v>#DIV/0!</v>
      </c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5.75" hidden="1" thickBot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B59" s="480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1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1:57" ht="15.75" thickBot="1">
      <c r="B64" s="556" t="s">
        <v>55</v>
      </c>
      <c r="C64" s="557"/>
      <c r="D64" s="557"/>
      <c r="E64" s="557"/>
      <c r="F64" s="558"/>
      <c r="G64" s="556" t="s">
        <v>56</v>
      </c>
      <c r="H64" s="557"/>
      <c r="I64" s="557"/>
      <c r="J64" s="558"/>
      <c r="K64" s="556" t="s">
        <v>51</v>
      </c>
      <c r="L64" s="557"/>
      <c r="M64" s="557"/>
      <c r="N64" s="559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282"/>
      <c r="D66" s="76">
        <v>5.8965424819083161</v>
      </c>
      <c r="E66" s="76">
        <v>6.7643054328056857</v>
      </c>
      <c r="F66" s="66">
        <v>4.8</v>
      </c>
      <c r="G66" s="65"/>
      <c r="H66" s="477">
        <v>5.8326981132418485</v>
      </c>
      <c r="I66" s="477">
        <v>6.4056668925466571</v>
      </c>
      <c r="J66" s="66">
        <v>4.8</v>
      </c>
      <c r="K66" s="67"/>
      <c r="L66" s="194">
        <v>0.87274853801169594</v>
      </c>
      <c r="M66" s="194">
        <v>0.49274974380861108</v>
      </c>
      <c r="N66" s="68">
        <v>1</v>
      </c>
      <c r="O66" s="56"/>
      <c r="P66" s="69"/>
    </row>
    <row r="67" spans="2:16" ht="15">
      <c r="B67" s="33" t="s">
        <v>9</v>
      </c>
      <c r="C67" s="65">
        <f>SUM(L53,L55)</f>
        <v>13.256476697750553</v>
      </c>
      <c r="D67" s="76">
        <v>5.9521790741054623</v>
      </c>
      <c r="E67" s="76">
        <v>6.3038269924221453</v>
      </c>
      <c r="F67" s="66">
        <v>4.8</v>
      </c>
      <c r="G67" s="65">
        <f>AVERAGE([32]May_2026!$I$21:$J$21)</f>
        <v>6.2534039246083033</v>
      </c>
      <c r="H67" s="76">
        <v>5.6002539008647689</v>
      </c>
      <c r="I67" s="76">
        <v>5.6036172408817846</v>
      </c>
      <c r="J67" s="66">
        <v>4.8</v>
      </c>
      <c r="K67" s="67">
        <f>AVERAGE(K53,K55)</f>
        <v>0.37403508771929828</v>
      </c>
      <c r="L67" s="194">
        <v>0.37403508771929828</v>
      </c>
      <c r="M67" s="194">
        <v>0.68732636611359599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12.380135651360392</v>
      </c>
      <c r="F68" s="66">
        <v>5.5</v>
      </c>
      <c r="G68" s="65"/>
      <c r="H68" s="76"/>
      <c r="I68" s="76">
        <v>13.201587402597006</v>
      </c>
      <c r="J68" s="66">
        <v>5.5</v>
      </c>
      <c r="K68" s="67"/>
      <c r="L68" s="194"/>
      <c r="M68" s="194">
        <v>0.27273830409356731</v>
      </c>
      <c r="N68" s="68">
        <v>1</v>
      </c>
      <c r="P68" s="69"/>
    </row>
    <row r="69" spans="2:16" ht="15">
      <c r="B69" s="22" t="s">
        <v>33</v>
      </c>
      <c r="C69" s="65"/>
      <c r="D69" s="76">
        <v>4.8532569792412277</v>
      </c>
      <c r="E69" s="76">
        <v>4.6518562695690884</v>
      </c>
      <c r="F69" s="66">
        <v>3.3</v>
      </c>
      <c r="G69" s="65"/>
      <c r="H69" s="76">
        <v>4.7372529705103688</v>
      </c>
      <c r="I69" s="76">
        <v>4.4089875005606158</v>
      </c>
      <c r="J69" s="66">
        <v>3.3</v>
      </c>
      <c r="K69" s="67"/>
      <c r="L69" s="194">
        <v>0.58298245614035094</v>
      </c>
      <c r="M69" s="194">
        <v>0.74716374269005859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5.1105651105651271</v>
      </c>
      <c r="F71" s="487">
        <v>5.5</v>
      </c>
      <c r="G71" s="282"/>
      <c r="H71" s="76"/>
      <c r="I71" s="76">
        <v>7.9131369535794072</v>
      </c>
      <c r="J71" s="66">
        <v>5.5</v>
      </c>
      <c r="K71" s="67"/>
      <c r="L71" s="194"/>
      <c r="M71" s="194">
        <v>1.3550877192982456</v>
      </c>
      <c r="N71" s="68">
        <v>1</v>
      </c>
      <c r="P71" s="69"/>
    </row>
    <row r="72" spans="2:16" ht="15">
      <c r="B72" s="37" t="s">
        <v>16</v>
      </c>
      <c r="C72" s="65"/>
      <c r="D72" s="76"/>
      <c r="E72" s="76">
        <v>3.9654240950837312</v>
      </c>
      <c r="F72" s="66">
        <v>3.3</v>
      </c>
      <c r="G72" s="282"/>
      <c r="H72" s="76"/>
      <c r="I72" s="76">
        <v>4.8236555171494695</v>
      </c>
      <c r="J72" s="66">
        <v>3.3</v>
      </c>
      <c r="K72" s="67"/>
      <c r="L72" s="194"/>
      <c r="M72" s="194">
        <v>0.89457115009746591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5.7354548767156546</v>
      </c>
      <c r="E75" s="76">
        <v>6.5412326855629743</v>
      </c>
      <c r="F75" s="341">
        <v>5.5</v>
      </c>
      <c r="H75" s="76">
        <v>5.5244550695628529</v>
      </c>
      <c r="I75" s="76">
        <v>6.4523370353578429</v>
      </c>
      <c r="J75" s="341">
        <v>5.5</v>
      </c>
      <c r="L75" s="194">
        <v>0.60992202729044831</v>
      </c>
      <c r="M75" s="194">
        <v>0.57355015854029012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2962" priority="155" operator="notBetween">
      <formula>#REF!</formula>
      <formula>#REF!</formula>
    </cfRule>
  </conditionalFormatting>
  <conditionalFormatting sqref="C50">
    <cfRule type="cellIs" dxfId="2961" priority="250" stopIfTrue="1" operator="greaterThan">
      <formula>100</formula>
    </cfRule>
    <cfRule type="cellIs" dxfId="2960" priority="249" stopIfTrue="1" operator="lessThan">
      <formula>96</formula>
    </cfRule>
  </conditionalFormatting>
  <conditionalFormatting sqref="C66:C70">
    <cfRule type="cellIs" dxfId="2959" priority="48" stopIfTrue="1" operator="lessThanOrEqual">
      <formula>0</formula>
    </cfRule>
  </conditionalFormatting>
  <conditionalFormatting sqref="C66:C74">
    <cfRule type="cellIs" dxfId="2958" priority="47" stopIfTrue="1" operator="greaterThan">
      <formula>$F66</formula>
    </cfRule>
  </conditionalFormatting>
  <conditionalFormatting sqref="C67">
    <cfRule type="cellIs" dxfId="2957" priority="50" stopIfTrue="1" operator="greaterThan">
      <formula>$F66</formula>
    </cfRule>
  </conditionalFormatting>
  <conditionalFormatting sqref="C71">
    <cfRule type="cellIs" dxfId="2956" priority="45" stopIfTrue="1" operator="lessThanOrEqual">
      <formula>0</formula>
    </cfRule>
    <cfRule type="cellIs" dxfId="2955" priority="46" stopIfTrue="1" operator="greaterThan">
      <formula>$F70</formula>
    </cfRule>
  </conditionalFormatting>
  <conditionalFormatting sqref="C72:C74">
    <cfRule type="cellIs" dxfId="2954" priority="49" stopIfTrue="1" operator="lessThanOrEqual">
      <formula>0</formula>
    </cfRule>
  </conditionalFormatting>
  <conditionalFormatting sqref="C77:C81">
    <cfRule type="cellIs" dxfId="2953" priority="241" stopIfTrue="1" operator="lessThanOrEqual">
      <formula>0</formula>
    </cfRule>
  </conditionalFormatting>
  <conditionalFormatting sqref="C78:C81">
    <cfRule type="cellIs" dxfId="2952" priority="240" stopIfTrue="1" operator="greaterThan">
      <formula>$F$77</formula>
    </cfRule>
  </conditionalFormatting>
  <conditionalFormatting sqref="C83">
    <cfRule type="cellIs" dxfId="2951" priority="242" stopIfTrue="1" operator="greaterThan">
      <formula>$F$77</formula>
    </cfRule>
    <cfRule type="cellIs" dxfId="2950" priority="243" stopIfTrue="1" operator="lessThanOrEqual">
      <formula>0</formula>
    </cfRule>
  </conditionalFormatting>
  <conditionalFormatting sqref="C77:D77 D79:D85">
    <cfRule type="cellIs" dxfId="2949" priority="235" stopIfTrue="1" operator="greaterThan">
      <formula>4.5</formula>
    </cfRule>
  </conditionalFormatting>
  <conditionalFormatting sqref="D46:D47">
    <cfRule type="cellIs" dxfId="2948" priority="156" operator="notBetween">
      <formula>#REF!</formula>
      <formula>#REF!</formula>
    </cfRule>
  </conditionalFormatting>
  <conditionalFormatting sqref="D66:D73">
    <cfRule type="cellIs" dxfId="2947" priority="39" stopIfTrue="1" operator="lessThanOrEqual">
      <formula>0</formula>
    </cfRule>
  </conditionalFormatting>
  <conditionalFormatting sqref="D66:D75">
    <cfRule type="cellIs" dxfId="2946" priority="22" stopIfTrue="1" operator="lessThanOrEqual">
      <formula>0</formula>
    </cfRule>
  </conditionalFormatting>
  <conditionalFormatting sqref="D74">
    <cfRule type="cellIs" dxfId="2945" priority="38" stopIfTrue="1" operator="lessThanOrEqual">
      <formula>0</formula>
    </cfRule>
  </conditionalFormatting>
  <conditionalFormatting sqref="D75">
    <cfRule type="cellIs" dxfId="2944" priority="35" stopIfTrue="1" operator="lessThanOrEqual">
      <formula>0</formula>
    </cfRule>
  </conditionalFormatting>
  <conditionalFormatting sqref="D77 D79:D85">
    <cfRule type="cellIs" dxfId="2943" priority="236" stopIfTrue="1" operator="lessThanOrEqual">
      <formula>0</formula>
    </cfRule>
  </conditionalFormatting>
  <conditionalFormatting sqref="D78">
    <cfRule type="cellIs" dxfId="2942" priority="227" stopIfTrue="1" operator="greaterThan">
      <formula>$F$77</formula>
    </cfRule>
    <cfRule type="cellIs" dxfId="2941" priority="228" stopIfTrue="1" operator="lessThanOrEqual">
      <formula>0</formula>
    </cfRule>
  </conditionalFormatting>
  <conditionalFormatting sqref="D66:E75">
    <cfRule type="cellIs" dxfId="2940" priority="24" stopIfTrue="1" operator="greaterThan">
      <formula>$F66</formula>
    </cfRule>
  </conditionalFormatting>
  <conditionalFormatting sqref="D75:E75">
    <cfRule type="cellIs" dxfId="2939" priority="26" stopIfTrue="1" operator="lessThanOrEqual">
      <formula>0</formula>
    </cfRule>
  </conditionalFormatting>
  <conditionalFormatting sqref="E10:E21">
    <cfRule type="cellIs" dxfId="2938" priority="8" operator="lessThan">
      <formula>48</formula>
    </cfRule>
  </conditionalFormatting>
  <conditionalFormatting sqref="E49 E50:F50">
    <cfRule type="cellIs" dxfId="2937" priority="232" stopIfTrue="1" operator="greaterThan">
      <formula>100</formula>
    </cfRule>
  </conditionalFormatting>
  <conditionalFormatting sqref="E50">
    <cfRule type="cellIs" dxfId="2936" priority="229" stopIfTrue="1" operator="lessThan">
      <formula>96.8</formula>
    </cfRule>
    <cfRule type="cellIs" dxfId="2935" priority="230" stopIfTrue="1" operator="greaterThan">
      <formula>100</formula>
    </cfRule>
  </conditionalFormatting>
  <conditionalFormatting sqref="E66:E74">
    <cfRule type="cellIs" dxfId="2934" priority="23" stopIfTrue="1" operator="lessThanOrEqual">
      <formula>0</formula>
    </cfRule>
  </conditionalFormatting>
  <conditionalFormatting sqref="E66:E75">
    <cfRule type="cellIs" dxfId="2933" priority="25" stopIfTrue="1" operator="lessThanOrEqual">
      <formula>0</formula>
    </cfRule>
  </conditionalFormatting>
  <conditionalFormatting sqref="E77:E85">
    <cfRule type="cellIs" dxfId="2932" priority="221" stopIfTrue="1" operator="greaterThan">
      <formula>4.5</formula>
    </cfRule>
    <cfRule type="cellIs" dxfId="2931" priority="222" stopIfTrue="1" operator="lessThanOrEqual">
      <formula>0</formula>
    </cfRule>
  </conditionalFormatting>
  <conditionalFormatting sqref="E50:F50 E49">
    <cfRule type="cellIs" dxfId="2930" priority="231" stopIfTrue="1" operator="lessThan">
      <formula>96.5</formula>
    </cfRule>
  </conditionalFormatting>
  <conditionalFormatting sqref="F20:F21">
    <cfRule type="cellIs" dxfId="2929" priority="13" operator="greaterThan">
      <formula>60</formula>
    </cfRule>
  </conditionalFormatting>
  <conditionalFormatting sqref="F50">
    <cfRule type="cellIs" dxfId="2928" priority="248" stopIfTrue="1" operator="greaterThan">
      <formula>100</formula>
    </cfRule>
    <cfRule type="cellIs" dxfId="2927" priority="247" stopIfTrue="1" operator="lessThan">
      <formula>96.8</formula>
    </cfRule>
  </conditionalFormatting>
  <conditionalFormatting sqref="F75">
    <cfRule type="cellIs" dxfId="2926" priority="36" stopIfTrue="1" operator="greaterThan">
      <formula>$F75</formula>
    </cfRule>
    <cfRule type="cellIs" dxfId="2925" priority="37" stopIfTrue="1" operator="lessThanOrEqual">
      <formula>0</formula>
    </cfRule>
  </conditionalFormatting>
  <conditionalFormatting sqref="G10:G21">
    <cfRule type="expression" dxfId="2924" priority="89">
      <formula>IF(+(IF(G10&lt;S10,0,IF(G10&gt;T10,0,1)))=0,1)</formula>
    </cfRule>
  </conditionalFormatting>
  <conditionalFormatting sqref="G66:G67">
    <cfRule type="cellIs" dxfId="2923" priority="40" stopIfTrue="1" operator="greaterThan">
      <formula>$F66</formula>
    </cfRule>
    <cfRule type="cellIs" dxfId="2922" priority="41" stopIfTrue="1" operator="lessThanOrEqual">
      <formula>0</formula>
    </cfRule>
  </conditionalFormatting>
  <conditionalFormatting sqref="G66:G69">
    <cfRule type="cellIs" dxfId="2921" priority="17" stopIfTrue="1" operator="greaterThan">
      <formula>$F66</formula>
    </cfRule>
    <cfRule type="cellIs" dxfId="2920" priority="18" stopIfTrue="1" operator="lessThanOrEqual">
      <formula>0</formula>
    </cfRule>
  </conditionalFormatting>
  <conditionalFormatting sqref="G68">
    <cfRule type="cellIs" dxfId="2919" priority="15" stopIfTrue="1" operator="greaterThan">
      <formula>$F68</formula>
    </cfRule>
    <cfRule type="cellIs" dxfId="2918" priority="16" stopIfTrue="1" operator="lessThanOrEqual">
      <formula>0</formula>
    </cfRule>
  </conditionalFormatting>
  <conditionalFormatting sqref="G69">
    <cfRule type="cellIs" dxfId="2917" priority="31" stopIfTrue="1" operator="lessThanOrEqual">
      <formula>0</formula>
    </cfRule>
    <cfRule type="cellIs" dxfId="2916" priority="30" stopIfTrue="1" operator="greaterThan">
      <formula>$F69</formula>
    </cfRule>
  </conditionalFormatting>
  <conditionalFormatting sqref="G70:G74">
    <cfRule type="cellIs" dxfId="2915" priority="43" stopIfTrue="1" operator="lessThanOrEqual">
      <formula>0</formula>
    </cfRule>
    <cfRule type="cellIs" dxfId="2914" priority="42" stopIfTrue="1" operator="greaterThan">
      <formula>$J70</formula>
    </cfRule>
  </conditionalFormatting>
  <conditionalFormatting sqref="G79:G84 C82 C84">
    <cfRule type="cellIs" dxfId="2913" priority="245" stopIfTrue="1" operator="lessThanOrEqual">
      <formula>0</formula>
    </cfRule>
    <cfRule type="cellIs" dxfId="2912" priority="244" stopIfTrue="1" operator="greaterThan">
      <formula>4.5</formula>
    </cfRule>
  </conditionalFormatting>
  <conditionalFormatting sqref="G78:H78">
    <cfRule type="cellIs" dxfId="2911" priority="226" stopIfTrue="1" operator="lessThanOrEqual">
      <formula>0</formula>
    </cfRule>
    <cfRule type="cellIs" dxfId="2910" priority="225" stopIfTrue="1" operator="greaterThan">
      <formula>$F$77</formula>
    </cfRule>
  </conditionalFormatting>
  <conditionalFormatting sqref="H10:H21">
    <cfRule type="expression" dxfId="2909" priority="88">
      <formula>IF(+(IF(H10&lt;#REF!,0,IF(H10&gt;#REF!,0,1)))=0,1)</formula>
    </cfRule>
  </conditionalFormatting>
  <conditionalFormatting sqref="H35:H36 H49">
    <cfRule type="cellIs" dxfId="2908" priority="223" stopIfTrue="1" operator="greaterThan">
      <formula>0</formula>
    </cfRule>
  </conditionalFormatting>
  <conditionalFormatting sqref="H53">
    <cfRule type="cellIs" dxfId="2907" priority="64" stopIfTrue="1" operator="lessThanOrEqual">
      <formula>0</formula>
    </cfRule>
    <cfRule type="cellIs" dxfId="2906" priority="53" stopIfTrue="1" operator="greaterThan">
      <formula>$F$63</formula>
    </cfRule>
    <cfRule type="cellIs" dxfId="2905" priority="61" stopIfTrue="1" operator="greaterThan">
      <formula>$F$66</formula>
    </cfRule>
    <cfRule type="cellIs" dxfId="2904" priority="52" stopIfTrue="1" operator="lessThanOrEqual">
      <formula>0</formula>
    </cfRule>
    <cfRule type="cellIs" dxfId="2903" priority="62" stopIfTrue="1" operator="lessThanOrEqual">
      <formula>0</formula>
    </cfRule>
    <cfRule type="cellIs" dxfId="2902" priority="63" stopIfTrue="1" operator="greaterThan">
      <formula>$F$64</formula>
    </cfRule>
  </conditionalFormatting>
  <conditionalFormatting sqref="H54:H55">
    <cfRule type="cellIs" dxfId="2901" priority="67" stopIfTrue="1" operator="greaterThan">
      <formula>$F$66</formula>
    </cfRule>
    <cfRule type="cellIs" dxfId="2900" priority="66" stopIfTrue="1" operator="lessThanOrEqual">
      <formula>0</formula>
    </cfRule>
    <cfRule type="cellIs" dxfId="2899" priority="75" stopIfTrue="1" operator="greaterThan">
      <formula>$F$69</formula>
    </cfRule>
    <cfRule type="cellIs" dxfId="2898" priority="76" stopIfTrue="1" operator="lessThanOrEqual">
      <formula>0</formula>
    </cfRule>
    <cfRule type="cellIs" dxfId="2897" priority="77" stopIfTrue="1" operator="greaterThan">
      <formula>$F$67</formula>
    </cfRule>
  </conditionalFormatting>
  <conditionalFormatting sqref="H54:H57">
    <cfRule type="cellIs" dxfId="2896" priority="78" stopIfTrue="1" operator="lessThanOrEqual">
      <formula>0</formula>
    </cfRule>
  </conditionalFormatting>
  <conditionalFormatting sqref="H56:H57">
    <cfRule type="cellIs" dxfId="2895" priority="147" stopIfTrue="1" operator="greaterThan">
      <formula>$F$69</formula>
    </cfRule>
    <cfRule type="cellIs" dxfId="2894" priority="150" stopIfTrue="1" operator="lessThanOrEqual">
      <formula>0</formula>
    </cfRule>
    <cfRule type="cellIs" dxfId="2893" priority="148" stopIfTrue="1" operator="lessThanOrEqual">
      <formula>0</formula>
    </cfRule>
    <cfRule type="cellIs" dxfId="2892" priority="139" stopIfTrue="1" operator="greaterThan">
      <formula>$F$66</formula>
    </cfRule>
    <cfRule type="cellIs" dxfId="2891" priority="149" stopIfTrue="1" operator="greaterThan">
      <formula>$F$67</formula>
    </cfRule>
  </conditionalFormatting>
  <conditionalFormatting sqref="H58:H59">
    <cfRule type="cellIs" dxfId="2890" priority="194" stopIfTrue="1" operator="lessThanOrEqual">
      <formula>0</formula>
    </cfRule>
    <cfRule type="cellIs" dxfId="2889" priority="193" stopIfTrue="1" operator="greaterThan">
      <formula>#REF!</formula>
    </cfRule>
    <cfRule type="cellIs" dxfId="2888" priority="192" stopIfTrue="1" operator="lessThanOrEqual">
      <formula>0</formula>
    </cfRule>
    <cfRule type="cellIs" dxfId="2887" priority="182" stopIfTrue="1" operator="lessThanOrEqual">
      <formula>0</formula>
    </cfRule>
    <cfRule type="cellIs" dxfId="2886" priority="183" stopIfTrue="1" operator="greaterThan">
      <formula>#REF!</formula>
    </cfRule>
    <cfRule type="cellIs" dxfId="2885" priority="191" stopIfTrue="1" operator="greaterThan">
      <formula>$F$21</formula>
    </cfRule>
  </conditionalFormatting>
  <conditionalFormatting sqref="H60">
    <cfRule type="cellIs" dxfId="2884" priority="206" stopIfTrue="1" operator="lessThanOrEqual">
      <formula>0</formula>
    </cfRule>
    <cfRule type="cellIs" dxfId="2883" priority="205" stopIfTrue="1" operator="greaterThan">
      <formula>$F$37</formula>
    </cfRule>
    <cfRule type="cellIs" dxfId="2882" priority="207" stopIfTrue="1" operator="greaterThan">
      <formula>$F$35</formula>
    </cfRule>
    <cfRule type="cellIs" dxfId="2881" priority="208" stopIfTrue="1" operator="lessThanOrEqual">
      <formula>0</formula>
    </cfRule>
    <cfRule type="cellIs" dxfId="2880" priority="197" stopIfTrue="1" operator="greaterThan">
      <formula>$F$34</formula>
    </cfRule>
    <cfRule type="cellIs" dxfId="2879" priority="196" stopIfTrue="1" operator="lessThanOrEqual">
      <formula>0</formula>
    </cfRule>
  </conditionalFormatting>
  <conditionalFormatting sqref="H61:H62">
    <cfRule type="cellIs" dxfId="2878" priority="178" stopIfTrue="1" operator="lessThanOrEqual">
      <formula>0</formula>
    </cfRule>
    <cfRule type="cellIs" dxfId="2877" priority="167" stopIfTrue="1" operator="greaterThan">
      <formula>#REF!</formula>
    </cfRule>
    <cfRule type="cellIs" dxfId="2876" priority="176" stopIfTrue="1" operator="lessThanOrEqual">
      <formula>0</formula>
    </cfRule>
    <cfRule type="cellIs" dxfId="2875" priority="166" stopIfTrue="1" operator="lessThanOrEqual">
      <formula>0</formula>
    </cfRule>
    <cfRule type="cellIs" dxfId="2874" priority="175" stopIfTrue="1" operator="greaterThan">
      <formula>$F$21</formula>
    </cfRule>
    <cfRule type="cellIs" dxfId="2873" priority="177" stopIfTrue="1" operator="greaterThan">
      <formula>#REF!</formula>
    </cfRule>
  </conditionalFormatting>
  <conditionalFormatting sqref="H77 H79:H85">
    <cfRule type="cellIs" dxfId="2872" priority="238" stopIfTrue="1" operator="lessThanOrEqual">
      <formula>0</formula>
    </cfRule>
    <cfRule type="cellIs" dxfId="2871" priority="237" stopIfTrue="1" operator="greaterThan">
      <formula>4.5</formula>
    </cfRule>
  </conditionalFormatting>
  <conditionalFormatting sqref="H53:I53">
    <cfRule type="cellIs" dxfId="2870" priority="51" stopIfTrue="1" operator="greaterThan">
      <formula>$F$65</formula>
    </cfRule>
    <cfRule type="cellIs" dxfId="2869" priority="54" stopIfTrue="1" operator="lessThanOrEqual">
      <formula>0</formula>
    </cfRule>
  </conditionalFormatting>
  <conditionalFormatting sqref="H54:I55">
    <cfRule type="cellIs" dxfId="2868" priority="68" stopIfTrue="1" operator="lessThanOrEqual">
      <formula>0</formula>
    </cfRule>
  </conditionalFormatting>
  <conditionalFormatting sqref="H54:I57">
    <cfRule type="cellIs" dxfId="2867" priority="65" stopIfTrue="1" operator="greaterThan">
      <formula>$F$68</formula>
    </cfRule>
  </conditionalFormatting>
  <conditionalFormatting sqref="H56:I57">
    <cfRule type="cellIs" dxfId="2866" priority="140" stopIfTrue="1" operator="lessThanOrEqual">
      <formula>0</formula>
    </cfRule>
  </conditionalFormatting>
  <conditionalFormatting sqref="H58:I59">
    <cfRule type="cellIs" dxfId="2865" priority="184" stopIfTrue="1" operator="lessThanOrEqual">
      <formula>0</formula>
    </cfRule>
    <cfRule type="cellIs" dxfId="2864" priority="181" stopIfTrue="1" operator="greaterThan">
      <formula>#REF!</formula>
    </cfRule>
  </conditionalFormatting>
  <conditionalFormatting sqref="H60:I60">
    <cfRule type="cellIs" dxfId="2863" priority="198" stopIfTrue="1" operator="lessThanOrEqual">
      <formula>0</formula>
    </cfRule>
    <cfRule type="cellIs" dxfId="2862" priority="195" stopIfTrue="1" operator="greaterThan">
      <formula>$F$36</formula>
    </cfRule>
  </conditionalFormatting>
  <conditionalFormatting sqref="H61:I62">
    <cfRule type="cellIs" dxfId="2861" priority="168" stopIfTrue="1" operator="lessThanOrEqual">
      <formula>0</formula>
    </cfRule>
    <cfRule type="cellIs" dxfId="2860" priority="165" stopIfTrue="1" operator="greaterThan">
      <formula>#REF!</formula>
    </cfRule>
  </conditionalFormatting>
  <conditionalFormatting sqref="H66:I73">
    <cfRule type="cellIs" dxfId="2859" priority="20" stopIfTrue="1" operator="greaterThan">
      <formula>$J66</formula>
    </cfRule>
    <cfRule type="cellIs" dxfId="2858" priority="21" stopIfTrue="1" operator="lessThanOrEqual">
      <formula>0</formula>
    </cfRule>
  </conditionalFormatting>
  <conditionalFormatting sqref="H74:I74">
    <cfRule type="cellIs" dxfId="2857" priority="29" operator="greaterThan">
      <formula>5.3</formula>
    </cfRule>
  </conditionalFormatting>
  <conditionalFormatting sqref="H75:I75">
    <cfRule type="cellIs" dxfId="2856" priority="27" stopIfTrue="1" operator="greaterThan">
      <formula>$J75</formula>
    </cfRule>
    <cfRule type="cellIs" dxfId="2855" priority="28" stopIfTrue="1" operator="lessThanOrEqual">
      <formula>0</formula>
    </cfRule>
  </conditionalFormatting>
  <conditionalFormatting sqref="I53">
    <cfRule type="cellIs" dxfId="2854" priority="56" stopIfTrue="1" operator="lessThanOrEqual">
      <formula>0</formula>
    </cfRule>
    <cfRule type="cellIs" dxfId="2853" priority="55" stopIfTrue="1" operator="greaterThan">
      <formula>$F$63</formula>
    </cfRule>
    <cfRule type="cellIs" dxfId="2852" priority="60" stopIfTrue="1" operator="lessThanOrEqual">
      <formula>0</formula>
    </cfRule>
    <cfRule type="cellIs" dxfId="2851" priority="59" stopIfTrue="1" operator="greaterThan">
      <formula>$F$63</formula>
    </cfRule>
    <cfRule type="cellIs" dxfId="2850" priority="58" stopIfTrue="1" operator="lessThanOrEqual">
      <formula>0</formula>
    </cfRule>
    <cfRule type="cellIs" dxfId="2849" priority="57" stopIfTrue="1" operator="greaterThan">
      <formula>$F$65</formula>
    </cfRule>
  </conditionalFormatting>
  <conditionalFormatting sqref="I54:I55">
    <cfRule type="cellIs" dxfId="2848" priority="74" stopIfTrue="1" operator="lessThanOrEqual">
      <formula>0</formula>
    </cfRule>
    <cfRule type="cellIs" dxfId="2847" priority="72" stopIfTrue="1" operator="lessThanOrEqual">
      <formula>0</formula>
    </cfRule>
    <cfRule type="cellIs" dxfId="2846" priority="71" stopIfTrue="1" operator="greaterThan">
      <formula>$F$68</formula>
    </cfRule>
    <cfRule type="cellIs" dxfId="2845" priority="70" stopIfTrue="1" operator="lessThanOrEqual">
      <formula>0</formula>
    </cfRule>
    <cfRule type="cellIs" dxfId="2844" priority="73" stopIfTrue="1" operator="greaterThan">
      <formula>$F$66</formula>
    </cfRule>
    <cfRule type="cellIs" dxfId="2843" priority="69" stopIfTrue="1" operator="greaterThan">
      <formula>$F$66</formula>
    </cfRule>
  </conditionalFormatting>
  <conditionalFormatting sqref="I56:I57">
    <cfRule type="cellIs" dxfId="2842" priority="141" stopIfTrue="1" operator="greaterThan">
      <formula>$F$66</formula>
    </cfRule>
    <cfRule type="cellIs" dxfId="2841" priority="143" stopIfTrue="1" operator="greaterThan">
      <formula>$F$68</formula>
    </cfRule>
    <cfRule type="cellIs" dxfId="2840" priority="144" stopIfTrue="1" operator="lessThanOrEqual">
      <formula>0</formula>
    </cfRule>
    <cfRule type="cellIs" dxfId="2839" priority="142" stopIfTrue="1" operator="lessThanOrEqual">
      <formula>0</formula>
    </cfRule>
    <cfRule type="cellIs" dxfId="2838" priority="145" stopIfTrue="1" operator="greaterThan">
      <formula>$F$66</formula>
    </cfRule>
    <cfRule type="cellIs" dxfId="2837" priority="146" stopIfTrue="1" operator="lessThanOrEqual">
      <formula>0</formula>
    </cfRule>
  </conditionalFormatting>
  <conditionalFormatting sqref="I58:I59">
    <cfRule type="cellIs" dxfId="2836" priority="190" stopIfTrue="1" operator="lessThanOrEqual">
      <formula>0</formula>
    </cfRule>
    <cfRule type="cellIs" dxfId="2835" priority="185" stopIfTrue="1" operator="greaterThan">
      <formula>#REF!</formula>
    </cfRule>
    <cfRule type="cellIs" dxfId="2834" priority="186" stopIfTrue="1" operator="lessThanOrEqual">
      <formula>0</formula>
    </cfRule>
    <cfRule type="cellIs" dxfId="2833" priority="187" stopIfTrue="1" operator="greaterThan">
      <formula>#REF!</formula>
    </cfRule>
    <cfRule type="cellIs" dxfId="2832" priority="188" stopIfTrue="1" operator="lessThanOrEqual">
      <formula>0</formula>
    </cfRule>
    <cfRule type="cellIs" dxfId="2831" priority="189" stopIfTrue="1" operator="greaterThan">
      <formula>#REF!</formula>
    </cfRule>
  </conditionalFormatting>
  <conditionalFormatting sqref="I60">
    <cfRule type="cellIs" dxfId="2830" priority="203" stopIfTrue="1" operator="greaterThan">
      <formula>$F$34</formula>
    </cfRule>
    <cfRule type="cellIs" dxfId="2829" priority="204" stopIfTrue="1" operator="lessThanOrEqual">
      <formula>0</formula>
    </cfRule>
    <cfRule type="cellIs" dxfId="2828" priority="201" stopIfTrue="1" operator="greaterThan">
      <formula>$F$36</formula>
    </cfRule>
    <cfRule type="cellIs" dxfId="2827" priority="199" stopIfTrue="1" operator="greaterThan">
      <formula>$F$34</formula>
    </cfRule>
    <cfRule type="cellIs" dxfId="2826" priority="200" stopIfTrue="1" operator="lessThanOrEqual">
      <formula>0</formula>
    </cfRule>
    <cfRule type="cellIs" dxfId="2825" priority="202" stopIfTrue="1" operator="lessThanOrEqual">
      <formula>0</formula>
    </cfRule>
  </conditionalFormatting>
  <conditionalFormatting sqref="I61:I62">
    <cfRule type="cellIs" dxfId="2824" priority="171" stopIfTrue="1" operator="greaterThan">
      <formula>#REF!</formula>
    </cfRule>
    <cfRule type="cellIs" dxfId="2823" priority="172" stopIfTrue="1" operator="lessThanOrEqual">
      <formula>0</formula>
    </cfRule>
    <cfRule type="cellIs" dxfId="2822" priority="173" stopIfTrue="1" operator="greaterThan">
      <formula>#REF!</formula>
    </cfRule>
    <cfRule type="cellIs" dxfId="2821" priority="174" stopIfTrue="1" operator="lessThanOrEqual">
      <formula>0</formula>
    </cfRule>
    <cfRule type="cellIs" dxfId="2820" priority="170" stopIfTrue="1" operator="lessThanOrEqual">
      <formula>0</formula>
    </cfRule>
    <cfRule type="cellIs" dxfId="2819" priority="169" stopIfTrue="1" operator="greaterThan">
      <formula>#REF!</formula>
    </cfRule>
  </conditionalFormatting>
  <conditionalFormatting sqref="I77:I85">
    <cfRule type="cellIs" dxfId="2818" priority="233" stopIfTrue="1" operator="greaterThan">
      <formula>4.5</formula>
    </cfRule>
    <cfRule type="cellIs" dxfId="2817" priority="234" stopIfTrue="1" operator="lessThanOrEqual">
      <formula>0</formula>
    </cfRule>
  </conditionalFormatting>
  <conditionalFormatting sqref="I10:J21">
    <cfRule type="cellIs" dxfId="2816" priority="2" operator="lessThan">
      <formula>97.9</formula>
    </cfRule>
  </conditionalFormatting>
  <conditionalFormatting sqref="J24:J25">
    <cfRule type="cellIs" dxfId="2815" priority="80" operator="lessThan">
      <formula>97.95</formula>
    </cfRule>
  </conditionalFormatting>
  <conditionalFormatting sqref="J26">
    <cfRule type="cellIs" dxfId="2814" priority="210" stopIfTrue="1" operator="lessThan">
      <formula>96.8</formula>
    </cfRule>
    <cfRule type="cellIs" dxfId="2813" priority="211" stopIfTrue="1" operator="greaterThan">
      <formula>100</formula>
    </cfRule>
    <cfRule type="cellIs" dxfId="2812" priority="212" operator="lessThan">
      <formula>98</formula>
    </cfRule>
  </conditionalFormatting>
  <conditionalFormatting sqref="J26:J28">
    <cfRule type="cellIs" dxfId="2811" priority="209" operator="lessThan">
      <formula>97.4</formula>
    </cfRule>
  </conditionalFormatting>
  <conditionalFormatting sqref="J29:J30">
    <cfRule type="cellIs" dxfId="2810" priority="213" operator="lessThan">
      <formula>98</formula>
    </cfRule>
  </conditionalFormatting>
  <conditionalFormatting sqref="J31:J32">
    <cfRule type="cellIs" dxfId="2809" priority="214" stopIfTrue="1" operator="lessThan">
      <formula>96.8</formula>
    </cfRule>
    <cfRule type="cellIs" dxfId="2808" priority="215" stopIfTrue="1" operator="greaterThan">
      <formula>100</formula>
    </cfRule>
  </conditionalFormatting>
  <conditionalFormatting sqref="J31:J33">
    <cfRule type="cellIs" dxfId="2807" priority="216" operator="lessThan">
      <formula>98</formula>
    </cfRule>
  </conditionalFormatting>
  <conditionalFormatting sqref="J62">
    <cfRule type="cellIs" dxfId="2806" priority="159" stopIfTrue="1" operator="greaterThan">
      <formula>#REF!</formula>
    </cfRule>
    <cfRule type="cellIs" dxfId="2805" priority="160" stopIfTrue="1" operator="lessThanOrEqual">
      <formula>0</formula>
    </cfRule>
    <cfRule type="cellIs" dxfId="2804" priority="161" stopIfTrue="1" operator="greaterThan">
      <formula>#REF!</formula>
    </cfRule>
    <cfRule type="cellIs" dxfId="2803" priority="163" stopIfTrue="1" operator="greaterThan">
      <formula>#REF!</formula>
    </cfRule>
    <cfRule type="cellIs" dxfId="2802" priority="164" stopIfTrue="1" operator="lessThanOrEqual">
      <formula>0</formula>
    </cfRule>
    <cfRule type="cellIs" dxfId="2801" priority="162" stopIfTrue="1" operator="lessThanOrEqual">
      <formula>0</formula>
    </cfRule>
    <cfRule type="cellIs" dxfId="2800" priority="157" stopIfTrue="1" operator="greaterThan">
      <formula>#REF!</formula>
    </cfRule>
    <cfRule type="cellIs" dxfId="2799" priority="158" stopIfTrue="1" operator="lessThanOrEqual">
      <formula>0</formula>
    </cfRule>
  </conditionalFormatting>
  <conditionalFormatting sqref="J75">
    <cfRule type="cellIs" dxfId="2798" priority="32" stopIfTrue="1" operator="greaterThan">
      <formula>$F75</formula>
    </cfRule>
    <cfRule type="cellIs" dxfId="2797" priority="33" stopIfTrue="1" operator="lessThanOrEqual">
      <formula>0</formula>
    </cfRule>
  </conditionalFormatting>
  <conditionalFormatting sqref="K10:K21">
    <cfRule type="cellIs" dxfId="2796" priority="5" operator="greaterThan">
      <formula>6.4</formula>
    </cfRule>
    <cfRule type="cellIs" dxfId="2795" priority="3" operator="greaterThan">
      <formula>6</formula>
    </cfRule>
    <cfRule type="cellIs" dxfId="2794" priority="4" operator="lessThan">
      <formula>4</formula>
    </cfRule>
  </conditionalFormatting>
  <conditionalFormatting sqref="K53:K62">
    <cfRule type="cellIs" dxfId="2793" priority="79" stopIfTrue="1" operator="lessThan">
      <formula>100%</formula>
    </cfRule>
  </conditionalFormatting>
  <conditionalFormatting sqref="K77:K82">
    <cfRule type="cellIs" dxfId="2792" priority="239" stopIfTrue="1" operator="lessThan">
      <formula>100%</formula>
    </cfRule>
  </conditionalFormatting>
  <conditionalFormatting sqref="K84:K85">
    <cfRule type="cellIs" dxfId="2791" priority="246" stopIfTrue="1" operator="lessThan">
      <formula>100%</formula>
    </cfRule>
  </conditionalFormatting>
  <conditionalFormatting sqref="K66:M74">
    <cfRule type="cellIs" dxfId="2790" priority="19" stopIfTrue="1" operator="lessThan">
      <formula>100%</formula>
    </cfRule>
  </conditionalFormatting>
  <conditionalFormatting sqref="L10:L21">
    <cfRule type="cellIs" dxfId="2789" priority="7" operator="greaterThan">
      <formula>65</formula>
    </cfRule>
    <cfRule type="cellIs" dxfId="2788" priority="6" operator="between">
      <formula>61</formula>
      <formula>65</formula>
    </cfRule>
  </conditionalFormatting>
  <conditionalFormatting sqref="L24:M35">
    <cfRule type="cellIs" dxfId="2787" priority="153" operator="lessThan">
      <formula>97.95</formula>
    </cfRule>
  </conditionalFormatting>
  <conditionalFormatting sqref="L75:M75">
    <cfRule type="cellIs" dxfId="2786" priority="34" stopIfTrue="1" operator="lessThan">
      <formula>100%</formula>
    </cfRule>
  </conditionalFormatting>
  <conditionalFormatting sqref="L39:N39">
    <cfRule type="cellIs" dxfId="2785" priority="1" operator="notEqual">
      <formula>#REF!</formula>
    </cfRule>
  </conditionalFormatting>
  <conditionalFormatting sqref="L77:N85">
    <cfRule type="cellIs" dxfId="2784" priority="224" stopIfTrue="1" operator="lessThan">
      <formula>100%</formula>
    </cfRule>
  </conditionalFormatting>
  <conditionalFormatting sqref="M20">
    <cfRule type="expression" dxfId="2783" priority="12">
      <formula>IF(+(IF(M20&lt;U20,0,IF(M20&gt;V20,0,1)))=0,1)</formula>
    </cfRule>
  </conditionalFormatting>
  <conditionalFormatting sqref="M10:N21">
    <cfRule type="expression" dxfId="2782" priority="9">
      <formula>IF(+(IF(M10&lt;#REF!,0,IF(M10&gt;#REF!,0,1)))=0,1)</formula>
    </cfRule>
  </conditionalFormatting>
  <conditionalFormatting sqref="N10:N20">
    <cfRule type="expression" dxfId="2781" priority="90">
      <formula>IF(+(IF(N10&lt;W10,0,IF(N10&gt;X10,0,1)))=0,1)</formula>
    </cfRule>
  </conditionalFormatting>
  <conditionalFormatting sqref="N66:N75">
    <cfRule type="cellIs" dxfId="2780" priority="44" stopIfTrue="1" operator="lessThan">
      <formula>100%</formula>
    </cfRule>
  </conditionalFormatting>
  <conditionalFormatting sqref="P6">
    <cfRule type="cellIs" dxfId="2779" priority="220" operator="greaterThanOrEqual">
      <formula>19</formula>
    </cfRule>
  </conditionalFormatting>
  <dataValidations count="1">
    <dataValidation type="list" allowBlank="1" showInputMessage="1" showErrorMessage="1" sqref="R8" xr:uid="{233139E6-2470-44D3-90FF-BA8A22F5E06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8243-4ECB-4779-A84F-864E662CBDC1}">
  <sheetPr>
    <pageSetUpPr fitToPage="1"/>
  </sheetPr>
  <dimension ref="A1:BE82"/>
  <sheetViews>
    <sheetView zoomScale="85" zoomScaleNormal="85" workbookViewId="0">
      <selection activeCell="E10" sqref="E10:E16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46153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65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95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[4]Brewhouse!$A389</f>
        <v>CA344</v>
      </c>
      <c r="D10" s="279">
        <f>[4]Brewhouse!$AF389</f>
        <v>52.4</v>
      </c>
      <c r="E10" s="279">
        <f>[4]Brewhouse!$AI389</f>
        <v>50.4</v>
      </c>
      <c r="F10" s="278">
        <f>[4]Brewhouse!$V389</f>
        <v>65</v>
      </c>
      <c r="G10" s="279">
        <f>[4]Brewhouse!AG389</f>
        <v>11.7</v>
      </c>
      <c r="H10" s="396">
        <v>11.7</v>
      </c>
      <c r="I10" s="368">
        <f>[4]Brewhouse!$AU389</f>
        <v>97.688668777521585</v>
      </c>
      <c r="J10" s="368">
        <f>[4]Brewhouse!$AV389</f>
        <v>98.72087476978551</v>
      </c>
      <c r="K10" s="281">
        <f>[4]Brewhouse!$Q389</f>
        <v>4.4731977818854007</v>
      </c>
      <c r="L10" s="276">
        <f>[4]Brewhouse!$P389</f>
        <v>57</v>
      </c>
      <c r="M10" s="397">
        <f>[4]Brewhouse!$U389-[4]Brewhouse!$T389</f>
        <v>0.11875000000000008</v>
      </c>
      <c r="N10" s="370">
        <f>[4]Brewhouse!$Z389</f>
        <v>0.29027777777777786</v>
      </c>
      <c r="O10" s="420" t="str">
        <f>[4]Brewhouse!$AX389</f>
        <v>D. Gomaz</v>
      </c>
      <c r="P10" s="418"/>
      <c r="R10" s="277" t="str">
        <f t="shared" ref="R10:R17" si="0">B10</f>
        <v>CARIB</v>
      </c>
      <c r="S10" s="472">
        <f t="shared" ref="S10:S17" si="1">VLOOKUP($B10,$R$3:$X$9,2,FALSE)</f>
        <v>11.6</v>
      </c>
      <c r="T10" s="472">
        <f t="shared" ref="T10:T17" si="2">VLOOKUP($B10,$R$3:$X$9,3,FALSE)</f>
        <v>12</v>
      </c>
      <c r="U10" s="297">
        <f t="shared" ref="U10:U17" si="3">VLOOKUP($B10,$R$3:$X$9,4,FALSE)</f>
        <v>0</v>
      </c>
      <c r="V10" s="297">
        <f t="shared" ref="V10:V17" si="4">VLOOKUP($B10,$R$3:$X$9,5,FALSE)</f>
        <v>0.118055555555556</v>
      </c>
      <c r="W10" s="297">
        <f t="shared" ref="W10:W17" si="5">VLOOKUP($B10,$R$3:$X$9,6,FALSE)</f>
        <v>0.22569444444444445</v>
      </c>
      <c r="X10" s="297">
        <f t="shared" ref="X10:X17" si="6">VLOOKUP($B10,$R$3:$X$9,7,FALSE)</f>
        <v>0.2638888888888889</v>
      </c>
      <c r="Y10" s="297">
        <f t="shared" ref="Y10:Y17" si="7">VLOOKUP($B10,$R$3:$Z$9,8,FALSE)</f>
        <v>0</v>
      </c>
      <c r="Z10" s="472">
        <f t="shared" ref="Z10:Z17" si="8">VLOOKUP($B10,$R$3:$Z$9,9,FALSE)</f>
        <v>60</v>
      </c>
    </row>
    <row r="11" spans="2:29" ht="15">
      <c r="B11" s="29" t="s">
        <v>6</v>
      </c>
      <c r="C11" s="366" t="str">
        <f>[4]Brewhouse!$A390</f>
        <v>CA345</v>
      </c>
      <c r="D11" s="279">
        <f>[4]Brewhouse!$AF390</f>
        <v>52.5</v>
      </c>
      <c r="E11" s="279">
        <f>[4]Brewhouse!$AI390</f>
        <v>50.6</v>
      </c>
      <c r="F11" s="278">
        <f>[4]Brewhouse!$V390</f>
        <v>60</v>
      </c>
      <c r="G11" s="279">
        <f>[4]Brewhouse!AG390</f>
        <v>11.7</v>
      </c>
      <c r="H11" s="367"/>
      <c r="I11" s="368">
        <f>[4]Brewhouse!$AU390</f>
        <v>98.076322225051427</v>
      </c>
      <c r="J11" s="368">
        <f>[4]Brewhouse!$AV390</f>
        <v>99.112624272840208</v>
      </c>
      <c r="K11" s="281">
        <f>[4]Brewhouse!$Q390</f>
        <v>4.288354898336415</v>
      </c>
      <c r="L11" s="276">
        <f>[4]Brewhouse!$P390</f>
        <v>59</v>
      </c>
      <c r="M11" s="397">
        <f>[4]Brewhouse!$U390-[4]Brewhouse!$T390</f>
        <v>0.11458333333333337</v>
      </c>
      <c r="N11" s="370">
        <f>[4]Brewhouse!$Z390</f>
        <v>0.27916666666666667</v>
      </c>
      <c r="O11" s="420" t="str">
        <f>[4]Brewhouse!$AX390</f>
        <v>R. Sookram</v>
      </c>
      <c r="P11" s="418" t="s">
        <v>192</v>
      </c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[4]Brewhouse!$A391</f>
        <v>CA346</v>
      </c>
      <c r="D12" s="279">
        <f>[4]Brewhouse!$AF391</f>
        <v>52.2</v>
      </c>
      <c r="E12" s="279">
        <f>[4]Brewhouse!$AI391</f>
        <v>50.3</v>
      </c>
      <c r="F12" s="278">
        <f>[4]Brewhouse!$V391</f>
        <v>71</v>
      </c>
      <c r="G12" s="279">
        <f>[4]Brewhouse!AG391</f>
        <v>11.6</v>
      </c>
      <c r="H12" s="396">
        <v>11.9</v>
      </c>
      <c r="I12" s="368">
        <f>[4]Brewhouse!$AU391</f>
        <v>96.738087826903367</v>
      </c>
      <c r="J12" s="368">
        <f>[4]Brewhouse!$AV391</f>
        <v>97.760182212166356</v>
      </c>
      <c r="K12" s="281">
        <f>[4]Brewhouse!$Q391</f>
        <v>4.8428835489833597</v>
      </c>
      <c r="L12" s="276">
        <f>[4]Brewhouse!$P391</f>
        <v>60</v>
      </c>
      <c r="M12" s="397">
        <f>[4]Brewhouse!$U391-[4]Brewhouse!$T391</f>
        <v>0.12847222222222221</v>
      </c>
      <c r="N12" s="370">
        <f>[4]Brewhouse!$Z391</f>
        <v>0.28611111111111109</v>
      </c>
      <c r="O12" s="420" t="str">
        <f>[4]Brewhouse!$AX391</f>
        <v>R. Sookram</v>
      </c>
      <c r="P12" s="418" t="s">
        <v>193</v>
      </c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[4]Brewhouse!$A392</f>
        <v>CA347</v>
      </c>
      <c r="D13" s="279">
        <f>[4]Brewhouse!$AF392</f>
        <v>48</v>
      </c>
      <c r="E13" s="279">
        <f>[4]Brewhouse!$AI392</f>
        <v>46.1</v>
      </c>
      <c r="F13" s="278">
        <f>[4]Brewhouse!$V392</f>
        <v>61</v>
      </c>
      <c r="G13" s="279">
        <f>[4]Brewhouse!AG392</f>
        <v>11.7</v>
      </c>
      <c r="H13" s="396">
        <v>11.9</v>
      </c>
      <c r="I13" s="368">
        <f>[4]Brewhouse!$AU392</f>
        <v>89.576614302132214</v>
      </c>
      <c r="J13" s="368">
        <f>[4]Brewhouse!$AV392</f>
        <v>90.522980878475536</v>
      </c>
      <c r="K13" s="281">
        <f>[4]Brewhouse!$Q392</f>
        <v>12.444444444444443</v>
      </c>
      <c r="L13" s="276">
        <f>[4]Brewhouse!$P392</f>
        <v>60</v>
      </c>
      <c r="M13" s="397">
        <f>[4]Brewhouse!$U392-[4]Brewhouse!$T392</f>
        <v>0.12430555555555556</v>
      </c>
      <c r="N13" s="370">
        <f>[4]Brewhouse!$Z392</f>
        <v>0.29861111111111116</v>
      </c>
      <c r="O13" s="420" t="str">
        <f>[4]Brewhouse!$AX392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[4]Brewhouse!$A393</f>
        <v>CA348</v>
      </c>
      <c r="D14" s="279">
        <f>[4]Brewhouse!$AF393</f>
        <v>52.2</v>
      </c>
      <c r="E14" s="279">
        <f>[4]Brewhouse!$AI393</f>
        <v>51.5</v>
      </c>
      <c r="F14" s="278">
        <f>[4]Brewhouse!$V393</f>
        <v>56</v>
      </c>
      <c r="G14" s="279">
        <f>[4]Brewhouse!AG393</f>
        <v>11.6</v>
      </c>
      <c r="H14" s="396">
        <v>11.6</v>
      </c>
      <c r="I14" s="368">
        <f>[4]Brewhouse!$AU393</f>
        <v>99.045954733310609</v>
      </c>
      <c r="J14" s="368">
        <f>[4]Brewhouse!$AV393</f>
        <v>100.09243308005105</v>
      </c>
      <c r="K14" s="281">
        <f>[4]Brewhouse!$Q393</f>
        <v>4.666666666666659</v>
      </c>
      <c r="L14" s="276">
        <f>[4]Brewhouse!$P393</f>
        <v>60</v>
      </c>
      <c r="M14" s="397">
        <f>[4]Brewhouse!$U393-[4]Brewhouse!$T393</f>
        <v>0.12638888888888888</v>
      </c>
      <c r="N14" s="370">
        <f>[4]Brewhouse!$Z393</f>
        <v>0.29791666666666672</v>
      </c>
      <c r="O14" s="420" t="str">
        <f>[4]Brewhouse!$AX393</f>
        <v>K. Benjamin</v>
      </c>
      <c r="P14" s="418" t="s">
        <v>194</v>
      </c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[4]Brewhouse!$A394</f>
        <v>CA349</v>
      </c>
      <c r="D15" s="279">
        <f>[4]Brewhouse!$AF394</f>
        <v>52.4</v>
      </c>
      <c r="E15" s="279">
        <f>[4]Brewhouse!$AI394</f>
        <v>50.6</v>
      </c>
      <c r="F15" s="278">
        <f>[4]Brewhouse!$V394</f>
        <v>173</v>
      </c>
      <c r="G15" s="279">
        <f>[4]Brewhouse!AG394</f>
        <v>11.6</v>
      </c>
      <c r="H15" s="396">
        <v>11.6</v>
      </c>
      <c r="I15" s="368">
        <f>[4]Brewhouse!$AU394</f>
        <v>97.073638621963838</v>
      </c>
      <c r="J15" s="368">
        <f>[4]Brewhouse!$AV394</f>
        <v>98.099413599458771</v>
      </c>
      <c r="K15" s="281">
        <f>[4]Brewhouse!$Q394</f>
        <v>4.2962962962962967</v>
      </c>
      <c r="L15" s="276">
        <f>[4]Brewhouse!$P394</f>
        <v>60</v>
      </c>
      <c r="M15" s="397">
        <f>[4]Brewhouse!$U394-[4]Brewhouse!$T394</f>
        <v>0.19930555555555562</v>
      </c>
      <c r="N15" s="370">
        <f>[4]Brewhouse!$Z394</f>
        <v>0.39791666666666681</v>
      </c>
      <c r="O15" s="420" t="str">
        <f>[4]Brewhouse!$AX394</f>
        <v>K. Benjamin</v>
      </c>
      <c r="P15" s="418" t="s">
        <v>195</v>
      </c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[4]Brewhouse!$A395</f>
        <v>CA350</v>
      </c>
      <c r="D16" s="279">
        <f>[4]Brewhouse!$AF395</f>
        <v>52.9</v>
      </c>
      <c r="E16" s="279">
        <f>[4]Brewhouse!$AI395</f>
        <v>50.7</v>
      </c>
      <c r="F16" s="278">
        <f>[4]Brewhouse!$V395</f>
        <v>79</v>
      </c>
      <c r="G16" s="279">
        <f>[4]Brewhouse!AG395</f>
        <v>11.5</v>
      </c>
      <c r="H16" s="482">
        <v>11.5</v>
      </c>
      <c r="I16" s="368">
        <f>[4]Brewhouse!$AU395</f>
        <v>96.622408854490644</v>
      </c>
      <c r="J16" s="368">
        <f>[4]Brewhouse!$AV395</f>
        <v>97.643281023862755</v>
      </c>
      <c r="K16" s="281">
        <f>[4]Brewhouse!$Q395</f>
        <v>3.3703703703703707</v>
      </c>
      <c r="L16" s="276">
        <f>[4]Brewhouse!$P395</f>
        <v>59</v>
      </c>
      <c r="M16" s="397">
        <f>[4]Brewhouse!$U395-[4]Brewhouse!$T395</f>
        <v>0.12013888888888902</v>
      </c>
      <c r="N16" s="370">
        <f>[4]Brewhouse!$Z395</f>
        <v>0.37847222222222221</v>
      </c>
      <c r="O16" s="420" t="str">
        <f>[4]Brewhouse!$AX395</f>
        <v>K. Benjamin</v>
      </c>
      <c r="P16" s="418" t="s">
        <v>193</v>
      </c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>
      <c r="B18" s="485">
        <v>46151</v>
      </c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ref="R18:R42" si="9">B18</f>
        <v>46151</v>
      </c>
      <c r="S18" s="472" t="e">
        <f t="shared" ref="S18:S42" si="10">VLOOKUP($B18,$R$3:$X$9,2,FALSE)</f>
        <v>#N/A</v>
      </c>
      <c r="T18" s="472" t="e">
        <f t="shared" ref="T18:T42" si="11">VLOOKUP($B18,$R$3:$X$9,3,FALSE)</f>
        <v>#N/A</v>
      </c>
      <c r="U18" s="297" t="e">
        <f t="shared" ref="U18:U42" si="12">VLOOKUP($B18,$R$3:$X$9,4,FALSE)</f>
        <v>#N/A</v>
      </c>
      <c r="V18" s="297" t="e">
        <f t="shared" ref="V18:V42" si="13">VLOOKUP($B18,$R$3:$X$9,5,FALSE)</f>
        <v>#N/A</v>
      </c>
      <c r="W18" s="297" t="e">
        <f t="shared" ref="W18:W42" si="14">VLOOKUP($B18,$R$3:$X$9,6,FALSE)</f>
        <v>#N/A</v>
      </c>
      <c r="X18" s="297" t="e">
        <f t="shared" ref="X18:X42" si="15">VLOOKUP($B18,$R$3:$X$9,7,FALSE)</f>
        <v>#N/A</v>
      </c>
      <c r="Y18" s="297" t="e">
        <f t="shared" ref="Y18:Y42" si="16">VLOOKUP($B18,$R$3:$Z$9,8,FALSE)</f>
        <v>#N/A</v>
      </c>
      <c r="Z18" s="472" t="e">
        <f t="shared" ref="Z18:Z42" si="17">VLOOKUP($B18,$R$3:$Z$9,9,FALSE)</f>
        <v>#N/A</v>
      </c>
    </row>
    <row r="19" spans="1:26" ht="15">
      <c r="B19" s="36" t="s">
        <v>15</v>
      </c>
      <c r="C19" s="366" t="str">
        <f>[7]Brewhouse!$A13</f>
        <v>MK009</v>
      </c>
      <c r="D19" s="279">
        <f>[7]Brewhouse!$AF13</f>
        <v>51</v>
      </c>
      <c r="E19" s="279">
        <f>[7]Brewhouse!$AI13</f>
        <v>50.4</v>
      </c>
      <c r="F19" s="278">
        <f>[7]Brewhouse!$X13</f>
        <v>58</v>
      </c>
      <c r="G19" s="279">
        <f>[7]Brewhouse!$AG13</f>
        <v>13.4</v>
      </c>
      <c r="H19" s="396">
        <v>13.4</v>
      </c>
      <c r="I19" s="483">
        <f>[7]Brewhouse!$AT13</f>
        <v>90.128375863432225</v>
      </c>
      <c r="J19" s="483">
        <f>[7]Brewhouse!$AU13</f>
        <v>90.979178386223154</v>
      </c>
      <c r="K19" s="484">
        <f>[7]Brewhouse!$S13</f>
        <v>9.6556149732620362</v>
      </c>
      <c r="L19" s="276">
        <f>[7]Brewhouse!$R13</f>
        <v>113</v>
      </c>
      <c r="M19" s="374">
        <f>[7]Brewhouse!$W13-[7]Brewhouse!$V13</f>
        <v>0.25416666666666665</v>
      </c>
      <c r="N19" s="370">
        <f>[7]Brewhouse!$AA13</f>
        <v>0.44444444444444442</v>
      </c>
      <c r="O19" s="420" t="str">
        <f>[7]Brewhouse!$AX13</f>
        <v>D. Gomaz</v>
      </c>
      <c r="P19" s="418" t="s">
        <v>189</v>
      </c>
      <c r="R19" s="277" t="str">
        <f t="shared" si="9"/>
        <v>MACKESON</v>
      </c>
      <c r="S19" s="472">
        <f t="shared" si="10"/>
        <v>13.3</v>
      </c>
      <c r="T19" s="472">
        <f t="shared" si="11"/>
        <v>13.5</v>
      </c>
      <c r="U19" s="297">
        <f t="shared" si="12"/>
        <v>0</v>
      </c>
      <c r="V19" s="297">
        <f t="shared" si="13"/>
        <v>0.12905092592592593</v>
      </c>
      <c r="W19" s="297">
        <f t="shared" si="14"/>
        <v>0.27430555555555552</v>
      </c>
      <c r="X19" s="297">
        <f t="shared" si="15"/>
        <v>0.30208333333333331</v>
      </c>
      <c r="Y19" s="297">
        <f t="shared" si="16"/>
        <v>0</v>
      </c>
      <c r="Z19" s="472">
        <f t="shared" si="17"/>
        <v>0</v>
      </c>
    </row>
    <row r="20" spans="1:26" ht="15">
      <c r="B20" s="36" t="s">
        <v>15</v>
      </c>
      <c r="C20" s="366" t="str">
        <f>[7]Brewhouse!$A14</f>
        <v>MK010</v>
      </c>
      <c r="D20" s="279">
        <f>[7]Brewhouse!$AF14</f>
        <v>53.3</v>
      </c>
      <c r="E20" s="279">
        <f>[7]Brewhouse!$AI14</f>
        <v>50.3</v>
      </c>
      <c r="F20" s="278">
        <f>[7]Brewhouse!$X14</f>
        <v>71</v>
      </c>
      <c r="G20" s="279">
        <f>[7]Brewhouse!$AG14</f>
        <v>13.3</v>
      </c>
      <c r="H20" s="396">
        <v>13.3</v>
      </c>
      <c r="I20" s="483">
        <f>[7]Brewhouse!$AT14</f>
        <v>88.195975747735361</v>
      </c>
      <c r="J20" s="483">
        <f>[7]Brewhouse!$AU14</f>
        <v>89.030288139525993</v>
      </c>
      <c r="K20" s="484">
        <f>[7]Brewhouse!$S14</f>
        <v>5.5557932263814704</v>
      </c>
      <c r="L20" s="276">
        <f>[7]Brewhouse!$R14</f>
        <v>74</v>
      </c>
      <c r="M20" s="374">
        <f>[7]Brewhouse!$W14-[7]Brewhouse!$V14</f>
        <v>0.13819444444444451</v>
      </c>
      <c r="N20" s="370">
        <f>[7]Brewhouse!$AA14</f>
        <v>0.45625000000000004</v>
      </c>
      <c r="O20" s="420" t="str">
        <f>[7]Brewhouse!$AX14</f>
        <v>D. Gomaz</v>
      </c>
      <c r="P20" s="418" t="s">
        <v>190</v>
      </c>
      <c r="R20" s="277" t="str">
        <f t="shared" si="9"/>
        <v>MACKESON</v>
      </c>
      <c r="S20" s="472">
        <f t="shared" si="10"/>
        <v>13.3</v>
      </c>
      <c r="T20" s="472">
        <f t="shared" si="11"/>
        <v>13.5</v>
      </c>
      <c r="U20" s="297">
        <f t="shared" si="12"/>
        <v>0</v>
      </c>
      <c r="V20" s="297">
        <f t="shared" si="13"/>
        <v>0.12905092592592593</v>
      </c>
      <c r="W20" s="297">
        <f t="shared" si="14"/>
        <v>0.27430555555555552</v>
      </c>
      <c r="X20" s="297">
        <f t="shared" si="15"/>
        <v>0.30208333333333331</v>
      </c>
      <c r="Y20" s="297">
        <f t="shared" si="16"/>
        <v>0</v>
      </c>
      <c r="Z20" s="472">
        <f t="shared" si="17"/>
        <v>0</v>
      </c>
    </row>
    <row r="21" spans="1:26" ht="15">
      <c r="B21" s="36" t="s">
        <v>15</v>
      </c>
      <c r="C21" s="366" t="str">
        <f>[7]Brewhouse!$A15</f>
        <v>MK011</v>
      </c>
      <c r="D21" s="279">
        <f>[7]Brewhouse!$AF15</f>
        <v>53</v>
      </c>
      <c r="E21" s="279">
        <f>[7]Brewhouse!$AI15</f>
        <v>50.4</v>
      </c>
      <c r="F21" s="278">
        <f>[7]Brewhouse!$X15</f>
        <v>69</v>
      </c>
      <c r="G21" s="279">
        <f>[7]Brewhouse!$AG15</f>
        <v>13.3</v>
      </c>
      <c r="H21" s="396">
        <v>13.3</v>
      </c>
      <c r="I21" s="483">
        <f>[7]Brewhouse!$AT15</f>
        <v>88.458193469652173</v>
      </c>
      <c r="J21" s="483">
        <f>[7]Brewhouse!$AU15</f>
        <v>89.294841563128301</v>
      </c>
      <c r="K21" s="484">
        <f>[7]Brewhouse!$S15</f>
        <v>6.0905525846702346</v>
      </c>
      <c r="L21" s="276">
        <f>[7]Brewhouse!$R15</f>
        <v>72</v>
      </c>
      <c r="M21" s="374">
        <f>[7]Brewhouse!$W15-[7]Brewhouse!$V15</f>
        <v>0.10972222222222217</v>
      </c>
      <c r="N21" s="370">
        <f>[7]Brewhouse!$AA15</f>
        <v>0.28888888888888886</v>
      </c>
      <c r="O21" s="420" t="str">
        <f>[7]Brewhouse!$AX15</f>
        <v>R. Sookram</v>
      </c>
      <c r="P21" s="418"/>
      <c r="R21" s="277" t="str">
        <f t="shared" si="9"/>
        <v>MACKESON</v>
      </c>
      <c r="S21" s="472">
        <f t="shared" si="10"/>
        <v>13.3</v>
      </c>
      <c r="T21" s="472">
        <f t="shared" si="11"/>
        <v>13.5</v>
      </c>
      <c r="U21" s="297">
        <f t="shared" si="12"/>
        <v>0</v>
      </c>
      <c r="V21" s="297">
        <f t="shared" si="13"/>
        <v>0.12905092592592593</v>
      </c>
      <c r="W21" s="297">
        <f t="shared" si="14"/>
        <v>0.27430555555555552</v>
      </c>
      <c r="X21" s="297">
        <f t="shared" si="15"/>
        <v>0.30208333333333331</v>
      </c>
      <c r="Y21" s="297">
        <f t="shared" si="16"/>
        <v>0</v>
      </c>
      <c r="Z21" s="472">
        <f t="shared" si="17"/>
        <v>0</v>
      </c>
    </row>
    <row r="22" spans="1:26" ht="15">
      <c r="B22" s="36" t="s">
        <v>15</v>
      </c>
      <c r="C22" s="366" t="str">
        <f>[7]Brewhouse!$A16</f>
        <v>MK012</v>
      </c>
      <c r="D22" s="279">
        <f>[7]Brewhouse!$AF16</f>
        <v>54</v>
      </c>
      <c r="E22" s="279">
        <f>[7]Brewhouse!$AI16</f>
        <v>51.2</v>
      </c>
      <c r="F22" s="278">
        <f>[7]Brewhouse!$X16</f>
        <v>47</v>
      </c>
      <c r="G22" s="279">
        <f>[7]Brewhouse!$AG16</f>
        <v>13.2</v>
      </c>
      <c r="H22" s="396">
        <v>13.2</v>
      </c>
      <c r="I22" s="483">
        <f>[7]Brewhouse!$AT16</f>
        <v>89.068163344426111</v>
      </c>
      <c r="J22" s="483">
        <f>[7]Brewhouse!$AU16</f>
        <v>89.910726417880113</v>
      </c>
      <c r="K22" s="484">
        <f>[7]Brewhouse!$S16</f>
        <v>4.3080213903743347</v>
      </c>
      <c r="L22" s="276">
        <f>[7]Brewhouse!$R16</f>
        <v>73</v>
      </c>
      <c r="M22" s="374">
        <f>[7]Brewhouse!$W16-[7]Brewhouse!$V16</f>
        <v>0.10833333333333328</v>
      </c>
      <c r="N22" s="370">
        <f>[7]Brewhouse!$AA16</f>
        <v>0.2631944444444444</v>
      </c>
      <c r="O22" s="420" t="str">
        <f>[7]Brewhouse!$AX16</f>
        <v>R. Sookram</v>
      </c>
      <c r="P22" s="418"/>
      <c r="R22" s="277" t="str">
        <f t="shared" si="9"/>
        <v>MACKESON</v>
      </c>
      <c r="S22" s="472">
        <f t="shared" si="10"/>
        <v>13.3</v>
      </c>
      <c r="T22" s="472">
        <f t="shared" si="11"/>
        <v>13.5</v>
      </c>
      <c r="U22" s="297">
        <f t="shared" si="12"/>
        <v>0</v>
      </c>
      <c r="V22" s="297">
        <f t="shared" si="13"/>
        <v>0.12905092592592593</v>
      </c>
      <c r="W22" s="297">
        <f t="shared" si="14"/>
        <v>0.27430555555555552</v>
      </c>
      <c r="X22" s="297">
        <f t="shared" si="15"/>
        <v>0.30208333333333331</v>
      </c>
      <c r="Y22" s="297">
        <f t="shared" si="16"/>
        <v>0</v>
      </c>
      <c r="Z22" s="472">
        <f t="shared" si="17"/>
        <v>0</v>
      </c>
    </row>
    <row r="23" spans="1:26" ht="15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5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5">
      <c r="B25" s="34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5" hidden="1">
      <c r="B26" s="34"/>
      <c r="C26" s="366"/>
      <c r="D26" s="279"/>
      <c r="E26" s="279"/>
      <c r="F26" s="278"/>
      <c r="G26" s="279"/>
      <c r="H26" s="396"/>
      <c r="I26" s="483"/>
      <c r="J26" s="483"/>
      <c r="K26" s="484"/>
      <c r="L26" s="276"/>
      <c r="M26" s="374"/>
      <c r="N26" s="370"/>
      <c r="O26" s="420"/>
      <c r="P26" s="418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8" hidden="1" customHeight="1">
      <c r="B27" s="29"/>
      <c r="C27" s="366"/>
      <c r="D27" s="279"/>
      <c r="E27" s="279"/>
      <c r="F27" s="278"/>
      <c r="G27" s="279"/>
      <c r="H27" s="482"/>
      <c r="I27" s="368"/>
      <c r="J27" s="368"/>
      <c r="K27" s="281"/>
      <c r="L27" s="276"/>
      <c r="M27" s="374"/>
      <c r="N27" s="370"/>
      <c r="O27" s="371"/>
      <c r="P27" s="418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6.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5.75" customHeight="1" thickBot="1">
      <c r="B29" s="358"/>
      <c r="C29" s="358"/>
      <c r="D29" s="358"/>
      <c r="E29" s="358"/>
      <c r="F29" s="294"/>
      <c r="G29" s="294"/>
      <c r="H29" s="348"/>
      <c r="I29" s="525"/>
      <c r="J29" s="525"/>
      <c r="K29" s="525"/>
      <c r="L29" s="525"/>
      <c r="M29" s="525"/>
      <c r="N29" s="525"/>
      <c r="O29" s="1"/>
      <c r="P29" s="12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5.75" customHeight="1" thickBot="1">
      <c r="B30" s="388" t="s">
        <v>162</v>
      </c>
      <c r="C30" s="388"/>
      <c r="D30" s="526" t="s">
        <v>35</v>
      </c>
      <c r="E30" s="527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9"/>
        <v xml:space="preserve">BRAND 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5" customHeight="1">
      <c r="A31" s="28"/>
      <c r="B31" s="528"/>
      <c r="C31" s="362"/>
      <c r="D31" s="531"/>
      <c r="E31" s="532"/>
      <c r="F31" s="294"/>
      <c r="G31" s="294"/>
      <c r="H31" s="348"/>
      <c r="I31" s="29" t="s">
        <v>6</v>
      </c>
      <c r="J31" s="323">
        <f>AVERAGE(I10:I16)</f>
        <v>96.403099334481979</v>
      </c>
      <c r="K31" s="284">
        <f>COUNTA([4]Brewhouse!$A$372:$A$387)</f>
        <v>16</v>
      </c>
      <c r="L31" s="305">
        <f>AVERAGE([4]Brewhouse!$AU$372:$AU$387)</f>
        <v>98.902892478421435</v>
      </c>
      <c r="M31" s="305">
        <f>AVERAGE([4]Brewhouse!$AU$42:$AU$123,[4]Brewhouse!$AU$125:$AU$188,[4]Brewhouse!$AU$198:$AU$290,[4]Brewhouse!$AU$292:$AU$370,[4]Brewhouse!$AU$372:$AU$387)</f>
        <v>98.047809454746684</v>
      </c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5" customHeight="1">
      <c r="A32" s="28"/>
      <c r="B32" s="529"/>
      <c r="C32" s="362"/>
      <c r="D32" s="533"/>
      <c r="E32" s="534"/>
      <c r="F32" s="294"/>
      <c r="G32" s="294"/>
      <c r="H32" s="348"/>
      <c r="I32" s="33" t="s">
        <v>9</v>
      </c>
      <c r="J32" s="323"/>
      <c r="K32" s="284">
        <f>COUNTA([3]Brewhouse!$A$214:$A$229)</f>
        <v>16</v>
      </c>
      <c r="L32" s="302">
        <f>AVERAGE([3]Brewhouse!$AS$214:$AS$229)</f>
        <v>97.795658588620881</v>
      </c>
      <c r="M32" s="302">
        <f>AVERAGE([3]Brewhouse!$AS$52:$AS$81,[3]Brewhouse!$AS$83:$AS$124,[3]Brewhouse!$AS$134:$AS$177,[3]Brewhouse!$AS$22:$AS$179,[3]Brewhouse!$AS$214:$AS$229)</f>
        <v>97.93842123965544</v>
      </c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27" ht="14.65" customHeight="1">
      <c r="A33" s="28"/>
      <c r="B33" s="529"/>
      <c r="C33" s="362"/>
      <c r="D33" s="535"/>
      <c r="E33" s="536"/>
      <c r="F33" s="294"/>
      <c r="G33" s="294"/>
      <c r="H33" s="348"/>
      <c r="I33" s="34" t="s">
        <v>12</v>
      </c>
      <c r="J33" s="280"/>
      <c r="K33" s="284"/>
      <c r="L33" s="302"/>
      <c r="M33" s="302">
        <f>AVERAGE([5]Brewhouse!$AU$16:$AU$23,[5]Brewhouse!$AU$25:$AU$32,[5]Brewhouse!$AU$34:$AU$41,[5]Brewhouse!$AU$43:$AU$55)</f>
        <v>96.793456653928644</v>
      </c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27" ht="14.65" customHeight="1">
      <c r="A34" s="28"/>
      <c r="B34" s="529"/>
      <c r="C34" s="362"/>
      <c r="D34" s="537"/>
      <c r="E34" s="534"/>
      <c r="F34" s="294"/>
      <c r="G34" s="294"/>
      <c r="H34" s="348"/>
      <c r="I34" s="22" t="s">
        <v>33</v>
      </c>
      <c r="J34" s="280"/>
      <c r="K34" s="284"/>
      <c r="L34" s="302"/>
      <c r="M34" s="302">
        <f>AVERAGE([6]Brewhouse!$AV$23:$AV$34,[6]Brewhouse!$AV$36,[6]Brewhouse!$AV$38:$AV$52,[6]Brewhouse!$AV$54:$AV$60)</f>
        <v>97.437512946773296</v>
      </c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27" ht="14.65" customHeight="1">
      <c r="A35" s="28"/>
      <c r="B35" s="529"/>
      <c r="C35" s="362"/>
      <c r="D35" s="535"/>
      <c r="E35" s="536"/>
      <c r="F35" s="417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</row>
    <row r="36" spans="1:27" ht="14.65" customHeight="1">
      <c r="A36" s="28"/>
      <c r="B36" s="529"/>
      <c r="C36" s="362"/>
      <c r="D36" s="537"/>
      <c r="E36" s="534"/>
      <c r="F36" s="417"/>
      <c r="G36" s="294"/>
      <c r="H36" s="348"/>
      <c r="I36" s="36" t="s">
        <v>15</v>
      </c>
      <c r="J36" s="323">
        <f>AVERAGE(I19:I22)</f>
        <v>88.962677106311475</v>
      </c>
      <c r="K36" s="284">
        <f>COUNTA([7]Brewhouse!$A$13:$A$16)</f>
        <v>4</v>
      </c>
      <c r="L36" s="302">
        <f>AVERAGE([7]Brewhouse!$AT$13:$AT$16)</f>
        <v>88.962677106311475</v>
      </c>
      <c r="M36" s="302">
        <f>AVERAGE([7]Brewhouse!$AT$4:$AT$11,[7]Brewhouse!$AT$13:$AT$16)</f>
        <v>91.538375374138752</v>
      </c>
      <c r="N36" s="3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</row>
    <row r="37" spans="1:27" ht="14.65" customHeight="1">
      <c r="A37" s="28"/>
      <c r="B37" s="529"/>
      <c r="C37" s="362"/>
      <c r="D37" s="535"/>
      <c r="E37" s="536"/>
      <c r="F37" s="417"/>
      <c r="G37" s="294"/>
      <c r="H37" s="348"/>
      <c r="I37" s="37" t="s">
        <v>16</v>
      </c>
      <c r="J37" s="323"/>
      <c r="K37" s="284"/>
      <c r="L37" s="302"/>
      <c r="M37" s="302">
        <f>AVERAGE([8]Brewhouse!$AY$5:$AY$14,[8]Brewhouse!$AY$16:$AY$23,[8]Brewhouse!$AY$42,[8]Brewhouse!$AY$44:$AY$51)</f>
        <v>97.608428475776392</v>
      </c>
      <c r="N37" s="30">
        <v>98</v>
      </c>
      <c r="O37" s="11"/>
      <c r="P37" s="31" t="s">
        <v>41</v>
      </c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</row>
    <row r="38" spans="1:27" ht="14.65" customHeight="1">
      <c r="A38" s="28"/>
      <c r="B38" s="529"/>
      <c r="C38" s="362"/>
      <c r="D38" s="537"/>
      <c r="E38" s="534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</row>
    <row r="39" spans="1:27" ht="14.65" customHeight="1">
      <c r="A39" s="28"/>
      <c r="B39" s="529"/>
      <c r="C39" s="349"/>
      <c r="D39" s="535"/>
      <c r="E39" s="536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  <c r="AA39" s="472"/>
    </row>
    <row r="40" spans="1:27" ht="15" customHeight="1" thickBot="1">
      <c r="A40" s="28"/>
      <c r="B40" s="529"/>
      <c r="C40" s="349"/>
      <c r="D40" s="537"/>
      <c r="E40" s="534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9"/>
        <v>0</v>
      </c>
      <c r="S40" s="472" t="e">
        <f t="shared" si="10"/>
        <v>#N/A</v>
      </c>
      <c r="T40" s="472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472" t="e">
        <f t="shared" si="17"/>
        <v>#N/A</v>
      </c>
      <c r="AA40" s="472"/>
    </row>
    <row r="41" spans="1:27" ht="15" customHeight="1" thickBot="1">
      <c r="A41" s="28"/>
      <c r="B41" s="529"/>
      <c r="C41" s="349"/>
      <c r="D41" s="531"/>
      <c r="E41" s="532"/>
      <c r="F41" s="294"/>
      <c r="G41" s="294"/>
      <c r="H41" s="348"/>
      <c r="I41" s="1"/>
      <c r="J41" s="39"/>
      <c r="K41" s="404">
        <f>SUM(K31:K40)</f>
        <v>36</v>
      </c>
      <c r="L41" s="405">
        <f>((L31*K31)+(L32*K32)+(L33*K33)+(L34*K34)+(L35*K35)+(K38*L38)+(L36*K36)+(L37*K37)+(L40*K40))/(K41)</f>
        <v>97.30632015272009</v>
      </c>
      <c r="M41" s="405">
        <f>AVERAGE('[9]Jan30th-31st'!$L$42,L41)</f>
        <v>97.567180944280778</v>
      </c>
      <c r="N41" s="40">
        <v>98</v>
      </c>
      <c r="O41" s="11"/>
      <c r="P41" s="31"/>
      <c r="R41" s="277">
        <f t="shared" si="9"/>
        <v>0</v>
      </c>
      <c r="S41" s="472" t="e">
        <f t="shared" si="10"/>
        <v>#N/A</v>
      </c>
      <c r="T41" s="472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472" t="e">
        <f t="shared" si="17"/>
        <v>#N/A</v>
      </c>
      <c r="AA41" s="472"/>
    </row>
    <row r="42" spans="1:27" ht="15.75" thickBot="1">
      <c r="B42" s="530"/>
      <c r="C42" s="350"/>
      <c r="D42" s="533"/>
      <c r="E42" s="534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9"/>
        <v>0</v>
      </c>
      <c r="S42" s="472" t="e">
        <f t="shared" si="10"/>
        <v>#N/A</v>
      </c>
      <c r="T42" s="472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472" t="e">
        <f t="shared" si="17"/>
        <v>#N/A</v>
      </c>
      <c r="AA42" s="472"/>
    </row>
    <row r="43" spans="1:27" ht="15.75" thickBot="1">
      <c r="B43" s="528"/>
      <c r="C43" s="362"/>
      <c r="D43" s="539"/>
      <c r="E43" s="540"/>
      <c r="F43" s="294"/>
      <c r="G43" s="42"/>
      <c r="H43" s="41"/>
      <c r="I43" s="42"/>
      <c r="J43" s="541" t="s">
        <v>129</v>
      </c>
      <c r="K43" s="541"/>
      <c r="L43" s="294"/>
      <c r="M43" s="294"/>
      <c r="N43" s="294"/>
      <c r="O43" s="294"/>
      <c r="P43" s="12"/>
    </row>
    <row r="44" spans="1:27" ht="15.75" thickBot="1">
      <c r="B44" s="529"/>
      <c r="C44" s="362"/>
      <c r="D44" s="537"/>
      <c r="E44" s="534"/>
      <c r="F44" s="294"/>
      <c r="G44" s="42"/>
      <c r="H44" s="42"/>
      <c r="I44" s="292" t="s">
        <v>17</v>
      </c>
      <c r="J44" s="293" t="s">
        <v>196</v>
      </c>
      <c r="K44" s="293" t="s">
        <v>172</v>
      </c>
      <c r="L44" s="542" t="s">
        <v>136</v>
      </c>
      <c r="M44" s="542"/>
      <c r="N44" s="543"/>
      <c r="O44" s="294"/>
      <c r="P44" s="12"/>
    </row>
    <row r="45" spans="1:27" ht="15" customHeight="1" thickBot="1">
      <c r="B45" s="529"/>
      <c r="C45" s="349"/>
      <c r="D45" s="535"/>
      <c r="E45" s="536"/>
      <c r="F45" s="294"/>
      <c r="G45" s="42"/>
      <c r="H45" s="42"/>
      <c r="I45" s="287" t="s">
        <v>6</v>
      </c>
      <c r="J45" s="324">
        <v>7</v>
      </c>
      <c r="K45" s="324"/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29"/>
      <c r="C46" s="349"/>
      <c r="D46" s="537"/>
      <c r="E46" s="534"/>
      <c r="F46" s="294"/>
      <c r="G46" s="42"/>
      <c r="H46" s="42"/>
      <c r="I46" s="345" t="s">
        <v>9</v>
      </c>
      <c r="J46" s="324"/>
      <c r="K46" s="324"/>
      <c r="L46" s="344">
        <f>AVERAGE('May 2nd-23rd'!J53,'May 2nd-23rd'!K53,'May 4th'!K51,'May 5th'!K47,'May 6th'!K54,'May 7th'!K48,'May 8th -9th'!K55,J55)</f>
        <v>5.375</v>
      </c>
      <c r="M46" s="325">
        <f>AVERAGE('[9]Jan30th-31st'!$L$47,L46,'[10]Feb 26th '!$L$39,'[11]Mar 31st'!$L$47,'[12]Apr 30th'!$L$46)</f>
        <v>6.2823913043478257</v>
      </c>
      <c r="N46" s="416">
        <v>9.1999999999999993</v>
      </c>
      <c r="O46" s="294"/>
      <c r="P46" s="12"/>
    </row>
    <row r="47" spans="1:27" ht="15" customHeight="1">
      <c r="B47" s="529"/>
      <c r="C47" s="349"/>
      <c r="D47" s="535"/>
      <c r="E47" s="536"/>
      <c r="F47" s="294"/>
      <c r="G47" s="42"/>
      <c r="H47" s="42"/>
      <c r="I47" s="288" t="s">
        <v>40</v>
      </c>
      <c r="J47" s="324"/>
      <c r="K47" s="324"/>
      <c r="L47" s="294"/>
      <c r="M47" s="294"/>
      <c r="N47" s="294"/>
      <c r="O47" s="294"/>
      <c r="P47" s="12"/>
    </row>
    <row r="48" spans="1:27" ht="15" customHeight="1">
      <c r="B48" s="529"/>
      <c r="C48" s="349"/>
      <c r="D48" s="537"/>
      <c r="E48" s="534"/>
      <c r="F48" s="294"/>
      <c r="G48" s="42"/>
      <c r="H48" s="42"/>
      <c r="I48" s="289" t="s">
        <v>33</v>
      </c>
      <c r="J48" s="324"/>
      <c r="K48" s="324"/>
      <c r="L48" s="294"/>
      <c r="M48" s="294"/>
      <c r="N48" s="294"/>
      <c r="O48" s="294"/>
      <c r="P48" s="12"/>
    </row>
    <row r="49" spans="1:57" ht="15">
      <c r="B49" s="529"/>
      <c r="C49" s="349"/>
      <c r="D49" s="535"/>
      <c r="E49" s="536"/>
      <c r="F49" s="294"/>
      <c r="G49" s="42"/>
      <c r="H49" s="42"/>
      <c r="I49" s="290" t="s">
        <v>16</v>
      </c>
      <c r="J49" s="324"/>
      <c r="K49" s="324"/>
      <c r="L49" s="294"/>
      <c r="M49" s="294"/>
      <c r="N49" s="294"/>
      <c r="O49" s="294"/>
      <c r="P49" s="12"/>
      <c r="BC49" s="44"/>
      <c r="BD49" s="44"/>
    </row>
    <row r="50" spans="1:57" ht="15">
      <c r="B50" s="529"/>
      <c r="C50" s="349"/>
      <c r="D50" s="537"/>
      <c r="E50" s="534"/>
      <c r="F50" s="294"/>
      <c r="G50" s="42"/>
      <c r="H50" s="42"/>
      <c r="I50" s="291" t="s">
        <v>15</v>
      </c>
      <c r="J50" s="324"/>
      <c r="K50" s="324">
        <v>4</v>
      </c>
      <c r="L50" s="294"/>
      <c r="M50" s="294"/>
      <c r="N50" s="294"/>
      <c r="O50" s="294"/>
      <c r="P50" s="12"/>
      <c r="BC50" s="44"/>
      <c r="BD50" s="44"/>
    </row>
    <row r="51" spans="1:57" ht="15">
      <c r="B51" s="529"/>
      <c r="C51" s="349"/>
      <c r="D51" s="535"/>
      <c r="E51" s="536"/>
      <c r="F51" s="294"/>
      <c r="G51" s="42"/>
      <c r="H51" s="42"/>
      <c r="I51" s="291" t="s">
        <v>149</v>
      </c>
      <c r="J51" s="324"/>
      <c r="K51" s="324"/>
      <c r="L51" s="294"/>
      <c r="M51" s="294"/>
      <c r="N51" s="294"/>
      <c r="O51" s="294"/>
      <c r="P51" s="12"/>
      <c r="BC51" s="44"/>
      <c r="BD51" s="44"/>
    </row>
    <row r="52" spans="1:57" ht="15.75" thickBot="1">
      <c r="B52" s="538"/>
      <c r="C52" s="350"/>
      <c r="D52" s="544"/>
      <c r="E52" s="545"/>
      <c r="F52" s="294" t="s">
        <v>166</v>
      </c>
      <c r="G52" s="42"/>
      <c r="H52" s="42"/>
      <c r="I52" s="291" t="s">
        <v>148</v>
      </c>
      <c r="J52" s="324"/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1:57" ht="17.649999999999999" customHeight="1" thickBot="1">
      <c r="B53" s="312" t="s">
        <v>139</v>
      </c>
      <c r="C53" s="313"/>
      <c r="D53" s="546"/>
      <c r="E53" s="547"/>
      <c r="F53" s="294"/>
      <c r="I53" s="295" t="s">
        <v>134</v>
      </c>
      <c r="J53" s="324"/>
      <c r="K53" s="324"/>
      <c r="L53" s="294"/>
      <c r="M53" s="294"/>
      <c r="N53" s="294"/>
      <c r="O53" s="294"/>
      <c r="P53" s="12"/>
      <c r="BC53" s="44"/>
      <c r="BD53" s="44"/>
    </row>
    <row r="54" spans="1:57" ht="17.649999999999999" customHeight="1">
      <c r="B54" s="363"/>
      <c r="C54" s="364"/>
      <c r="D54" s="365"/>
      <c r="E54" s="365"/>
      <c r="F54" s="294"/>
      <c r="G54" s="42"/>
      <c r="H54" s="42"/>
      <c r="I54" s="295" t="s">
        <v>131</v>
      </c>
      <c r="J54" s="324"/>
      <c r="K54" s="324"/>
      <c r="L54" s="294"/>
      <c r="M54" s="294"/>
      <c r="N54" s="294"/>
      <c r="O54" s="294"/>
      <c r="P54" s="12"/>
      <c r="BC54" s="44"/>
      <c r="BD54" s="44"/>
    </row>
    <row r="55" spans="1:57" ht="15.6" customHeight="1">
      <c r="B55" s="45"/>
      <c r="C55" s="11"/>
      <c r="D55" s="11"/>
      <c r="E55" s="46"/>
      <c r="F55" s="294"/>
      <c r="G55" s="42"/>
      <c r="H55" s="42"/>
      <c r="I55" s="346" t="s">
        <v>130</v>
      </c>
      <c r="J55" s="324">
        <f>SUM(J45:J54)</f>
        <v>7</v>
      </c>
      <c r="K55" s="324">
        <f>SUM(K45:K54)</f>
        <v>4</v>
      </c>
      <c r="L55" s="294"/>
      <c r="M55" s="294"/>
      <c r="N55" s="294"/>
      <c r="O55" s="294"/>
      <c r="P55" s="12"/>
    </row>
    <row r="56" spans="1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294"/>
      <c r="N56" s="315"/>
      <c r="P56" s="334"/>
    </row>
    <row r="57" spans="1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1:57" ht="15" customHeight="1" thickBot="1">
      <c r="B58" s="548" t="s">
        <v>17</v>
      </c>
      <c r="C58" s="548" t="s">
        <v>44</v>
      </c>
      <c r="D58" s="551" t="s">
        <v>45</v>
      </c>
      <c r="E58" s="516" t="s">
        <v>46</v>
      </c>
      <c r="F58" s="565" t="s">
        <v>47</v>
      </c>
      <c r="G58" s="560" t="s">
        <v>48</v>
      </c>
      <c r="H58" s="548" t="s">
        <v>49</v>
      </c>
      <c r="I58" s="548" t="s">
        <v>50</v>
      </c>
      <c r="J58" s="554" t="s">
        <v>28</v>
      </c>
      <c r="K58" s="514" t="s">
        <v>51</v>
      </c>
      <c r="L58" s="563" t="s">
        <v>52</v>
      </c>
      <c r="M58" s="554" t="s">
        <v>53</v>
      </c>
      <c r="N58" s="13"/>
      <c r="O58" s="13"/>
      <c r="P58" s="50"/>
    </row>
    <row r="59" spans="1:57" ht="28.5" customHeight="1" thickTop="1" thickBot="1">
      <c r="B59" s="549"/>
      <c r="C59" s="550"/>
      <c r="D59" s="552"/>
      <c r="E59" s="553"/>
      <c r="F59" s="566"/>
      <c r="G59" s="561"/>
      <c r="H59" s="549"/>
      <c r="I59" s="549"/>
      <c r="J59" s="555"/>
      <c r="K59" s="562"/>
      <c r="L59" s="564"/>
      <c r="M59" s="555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1:57" s="54" customFormat="1" ht="36.75" customHeight="1" thickBot="1">
      <c r="B60" s="488" t="str">
        <f>I33</f>
        <v>GUINNESS</v>
      </c>
      <c r="C60" s="479">
        <v>46150</v>
      </c>
      <c r="D60" s="442">
        <f>[32]May_2026!$K$23</f>
        <v>208</v>
      </c>
      <c r="E60" s="443">
        <f>SUM([33]GUINNESS!$S$6)</f>
        <v>5.0999999999999996</v>
      </c>
      <c r="F60" s="444"/>
      <c r="G60" s="445">
        <f>[32]May_2026!$K$28</f>
        <v>195.3</v>
      </c>
      <c r="H60" s="458"/>
      <c r="I60" s="458"/>
      <c r="J60" s="448" t="s">
        <v>186</v>
      </c>
      <c r="K60" s="449">
        <f>[34]May_2026!$K$32</f>
        <v>0.22842105263157897</v>
      </c>
      <c r="L60" s="457">
        <f>(((D60+E60)-G60)/(D60+E60))*100</f>
        <v>8.3528859690286179</v>
      </c>
      <c r="M60" s="455" t="s">
        <v>197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[13]January_2019!L5</f>
        <v>0</v>
      </c>
      <c r="AC60" s="57">
        <f>[13]January_2019!M5</f>
        <v>0</v>
      </c>
      <c r="AD60" s="57">
        <f>[13]January_2019!N5</f>
        <v>0</v>
      </c>
      <c r="AE60" s="57">
        <f>[13]January_2019!O5</f>
        <v>0</v>
      </c>
      <c r="AF60" s="57">
        <f>[13]January_2019!P5</f>
        <v>0</v>
      </c>
      <c r="AG60" s="57">
        <f>[13]January_2019!Q5</f>
        <v>0</v>
      </c>
      <c r="AH60" s="57">
        <f>[13]January_2019!R5</f>
        <v>0</v>
      </c>
      <c r="AI60" s="57">
        <f>[13]January_2019!S5</f>
        <v>0</v>
      </c>
      <c r="AJ60" s="57">
        <f>[13]January_2019!T5</f>
        <v>0</v>
      </c>
      <c r="AK60" s="57">
        <f>[13]January_2019!U5</f>
        <v>0</v>
      </c>
      <c r="AL60" s="57">
        <f>[13]January_2019!V5</f>
        <v>0</v>
      </c>
      <c r="AM60" s="57">
        <f>[13]January_2019!W5</f>
        <v>0</v>
      </c>
      <c r="AN60" s="57">
        <f>[13]January_2019!X5</f>
        <v>0</v>
      </c>
      <c r="AO60" s="57">
        <f>[13]January_2019!Y5</f>
        <v>0</v>
      </c>
      <c r="AP60" s="57">
        <f>[13]January_2019!Z5</f>
        <v>0</v>
      </c>
      <c r="AQ60" s="57">
        <f>[13]January_2019!AA5</f>
        <v>0</v>
      </c>
      <c r="AR60" s="57">
        <f>[13]January_2019!AB5</f>
        <v>0</v>
      </c>
      <c r="AS60" s="57">
        <f>[13]January_2019!AC5</f>
        <v>0</v>
      </c>
      <c r="AT60" s="57">
        <f>[13]January_2019!AD5</f>
        <v>0</v>
      </c>
      <c r="AU60" s="57">
        <f>[13]January_2019!AE5</f>
        <v>0</v>
      </c>
      <c r="AV60" s="57">
        <f>[13]January_2019!AF5</f>
        <v>0</v>
      </c>
      <c r="AW60" s="57">
        <f>[13]January_2019!AG5</f>
        <v>0</v>
      </c>
      <c r="AX60" s="277">
        <f>[13]January_2019!AH5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14.25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[13]January_2019!L6</f>
        <v>0</v>
      </c>
      <c r="AC61" s="57">
        <f>[13]January_2019!M6</f>
        <v>0</v>
      </c>
      <c r="AD61" s="57">
        <f>[13]January_2019!N6</f>
        <v>0</v>
      </c>
      <c r="AE61" s="57">
        <f>[13]January_2019!O6</f>
        <v>0</v>
      </c>
      <c r="AF61" s="57">
        <f>[13]January_2019!P6</f>
        <v>0</v>
      </c>
      <c r="AG61" s="57">
        <f>[13]January_2019!Q6</f>
        <v>0</v>
      </c>
      <c r="AH61" s="57">
        <f>[13]January_2019!R6</f>
        <v>0</v>
      </c>
      <c r="AI61" s="57">
        <f>[13]January_2019!S6</f>
        <v>0</v>
      </c>
      <c r="AJ61" s="57">
        <f>[13]January_2019!T6</f>
        <v>0</v>
      </c>
      <c r="AK61" s="57">
        <f>[13]January_2019!U6</f>
        <v>0</v>
      </c>
      <c r="AL61" s="57">
        <f>[13]January_2019!V6</f>
        <v>0</v>
      </c>
      <c r="AM61" s="57">
        <f>[13]January_2019!W6</f>
        <v>0</v>
      </c>
      <c r="AN61" s="57">
        <f>[13]January_2019!X6</f>
        <v>0</v>
      </c>
      <c r="AO61" s="57">
        <f>[13]January_2019!Y6</f>
        <v>0</v>
      </c>
      <c r="AP61" s="57">
        <f>[13]January_2019!Z6</f>
        <v>0</v>
      </c>
      <c r="AQ61" s="57">
        <f>[13]January_2019!AA6</f>
        <v>0</v>
      </c>
      <c r="AR61" s="57">
        <f>[13]January_2019!AB6</f>
        <v>0</v>
      </c>
      <c r="AS61" s="57">
        <f>[13]January_2019!AC6</f>
        <v>0</v>
      </c>
      <c r="AT61" s="57">
        <f>[13]January_2019!AD6</f>
        <v>0</v>
      </c>
      <c r="AU61" s="57">
        <f>[13]January_2019!AE6</f>
        <v>0</v>
      </c>
      <c r="AV61" s="57">
        <f>[13]January_2019!AF6</f>
        <v>0</v>
      </c>
      <c r="AW61" s="57">
        <f>[13]January_2019!AG6</f>
        <v>0</v>
      </c>
      <c r="AX61" s="277">
        <f>[13]January_2019!AH6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1:57" s="54" customFormat="1" ht="37.15" customHeight="1" thickBot="1">
      <c r="A62" s="54" t="s">
        <v>168</v>
      </c>
      <c r="B62" s="488" t="str">
        <f>I33</f>
        <v>GUINNESS</v>
      </c>
      <c r="C62" s="479">
        <v>46151</v>
      </c>
      <c r="D62" s="442">
        <f>[32]May_2026!$L$23</f>
        <v>312.39999999999998</v>
      </c>
      <c r="E62" s="443">
        <f>SUM([33]GUINNESS!$S$10)</f>
        <v>6.5000000000000009</v>
      </c>
      <c r="F62" s="444"/>
      <c r="G62" s="445">
        <f>[32]May_2026!$L$28</f>
        <v>285.8</v>
      </c>
      <c r="H62" s="458"/>
      <c r="I62" s="458"/>
      <c r="J62" s="448" t="s">
        <v>198</v>
      </c>
      <c r="K62" s="449">
        <f>[34]May_2026!$L$32</f>
        <v>0.25070175438596493</v>
      </c>
      <c r="L62" s="457">
        <f>(((D62+E62)-G62)/(D62+E62))*100</f>
        <v>10.379429288178102</v>
      </c>
      <c r="M62" s="455" t="s">
        <v>187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[13]January_2019!L7</f>
        <v>285.8</v>
      </c>
      <c r="AC62" s="57">
        <f>[13]January_2019!M7</f>
        <v>508.1</v>
      </c>
      <c r="AD62" s="57">
        <f>[13]January_2019!N7</f>
        <v>0</v>
      </c>
      <c r="AE62" s="57">
        <f>[13]January_2019!O7</f>
        <v>0</v>
      </c>
      <c r="AF62" s="57">
        <f>[13]January_2019!P7</f>
        <v>109.56666666666666</v>
      </c>
      <c r="AG62" s="57">
        <f>[13]January_2019!Q7</f>
        <v>297.64999999999998</v>
      </c>
      <c r="AH62" s="57">
        <f>[13]January_2019!R7</f>
        <v>122.3</v>
      </c>
      <c r="AI62" s="57">
        <f>[13]January_2019!S7</f>
        <v>0</v>
      </c>
      <c r="AJ62" s="57">
        <f>[13]January_2019!T7</f>
        <v>294.7</v>
      </c>
      <c r="AK62" s="57">
        <f>[13]January_2019!U7</f>
        <v>280.5</v>
      </c>
      <c r="AL62" s="57">
        <f>[13]January_2019!V7</f>
        <v>0</v>
      </c>
      <c r="AM62" s="57">
        <f>[13]January_2019!W7</f>
        <v>0</v>
      </c>
      <c r="AN62" s="57">
        <f>[13]January_2019!X7</f>
        <v>188.25</v>
      </c>
      <c r="AO62" s="57">
        <f>[13]January_2019!Y7</f>
        <v>295.7</v>
      </c>
      <c r="AP62" s="57">
        <f>[13]January_2019!Z7</f>
        <v>257.8</v>
      </c>
      <c r="AQ62" s="57">
        <f>[13]January_2019!AA7</f>
        <v>291.2</v>
      </c>
      <c r="AR62" s="57">
        <f>[13]January_2019!AB7</f>
        <v>187</v>
      </c>
      <c r="AS62" s="57">
        <f>[13]January_2019!AC7</f>
        <v>0</v>
      </c>
      <c r="AT62" s="57">
        <f>[13]January_2019!AD7</f>
        <v>0</v>
      </c>
      <c r="AU62" s="57">
        <f>[13]January_2019!AE7</f>
        <v>485.1</v>
      </c>
      <c r="AV62" s="57">
        <f>[13]January_2019!AF7</f>
        <v>171.55</v>
      </c>
      <c r="AW62" s="57">
        <f>[13]January_2019!AG7</f>
        <v>423.8</v>
      </c>
      <c r="AX62" s="277">
        <f>[13]January_2019!AH7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1:57" s="54" customFormat="1" ht="19.5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8.450000000000003" customHeight="1" thickBot="1">
      <c r="B64" s="480" t="str">
        <f>I31</f>
        <v>CARIB</v>
      </c>
      <c r="C64" s="479">
        <v>46151</v>
      </c>
      <c r="D64" s="442">
        <f>[32]May_2026!$L$3</f>
        <v>101.1</v>
      </c>
      <c r="E64" s="443"/>
      <c r="F64" s="444"/>
      <c r="G64" s="445">
        <f>[32]May_2026!$L$7</f>
        <v>91.2</v>
      </c>
      <c r="H64" s="458"/>
      <c r="I64" s="458"/>
      <c r="J64" s="448" t="s">
        <v>171</v>
      </c>
      <c r="K64" s="459">
        <f>[34]May_2026!$L$18</f>
        <v>0.16</v>
      </c>
      <c r="L64" s="457">
        <f>(((D64+E64)-G64)/(D64+E64))*100</f>
        <v>9.7922848664688349</v>
      </c>
      <c r="M64" s="455" t="s">
        <v>187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.75" hidden="1" thickBot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0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556" t="s">
        <v>55</v>
      </c>
      <c r="C71" s="557"/>
      <c r="D71" s="557"/>
      <c r="E71" s="557"/>
      <c r="F71" s="558"/>
      <c r="G71" s="556" t="s">
        <v>56</v>
      </c>
      <c r="H71" s="557"/>
      <c r="I71" s="557"/>
      <c r="J71" s="558"/>
      <c r="K71" s="556" t="s">
        <v>51</v>
      </c>
      <c r="L71" s="557"/>
      <c r="M71" s="557"/>
      <c r="N71" s="559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/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282">
        <f>L64</f>
        <v>9.7922848664688349</v>
      </c>
      <c r="D73" s="76">
        <v>6.4389359129383008</v>
      </c>
      <c r="E73" s="76">
        <v>6.8096481474959862</v>
      </c>
      <c r="F73" s="66">
        <v>4.8</v>
      </c>
      <c r="G73" s="65">
        <f>[32]May_2026!$L$11</f>
        <v>11.4005261411347</v>
      </c>
      <c r="H73" s="477">
        <v>13.628456174517364</v>
      </c>
      <c r="I73" s="477">
        <v>7.0327518978307122</v>
      </c>
      <c r="J73" s="66">
        <v>4.8</v>
      </c>
      <c r="K73" s="67">
        <f>K64</f>
        <v>0.16</v>
      </c>
      <c r="L73" s="194">
        <v>0.63516569200779738</v>
      </c>
      <c r="M73" s="194">
        <v>0.48626847689372799</v>
      </c>
      <c r="N73" s="68">
        <v>1</v>
      </c>
      <c r="O73" s="56"/>
      <c r="P73" s="69"/>
    </row>
    <row r="74" spans="2:57" ht="15">
      <c r="B74" s="33" t="s">
        <v>9</v>
      </c>
      <c r="C74" s="65"/>
      <c r="D74" s="76">
        <v>5.9521790741054623</v>
      </c>
      <c r="E74" s="76">
        <v>6.3038269924221453</v>
      </c>
      <c r="F74" s="66">
        <v>4.8</v>
      </c>
      <c r="G74" s="65"/>
      <c r="H74" s="76">
        <v>5.6002539008647689</v>
      </c>
      <c r="I74" s="76">
        <v>5.6036172408817846</v>
      </c>
      <c r="J74" s="66">
        <v>4.8</v>
      </c>
      <c r="K74" s="67"/>
      <c r="L74" s="194">
        <v>0.37403508771929828</v>
      </c>
      <c r="M74" s="194">
        <v>0.68732636611359599</v>
      </c>
      <c r="N74" s="68">
        <v>1</v>
      </c>
      <c r="P74" s="69"/>
    </row>
    <row r="75" spans="2:57" ht="15">
      <c r="B75" s="34" t="s">
        <v>40</v>
      </c>
      <c r="C75" s="65">
        <f>AVERAGE(L60,L62)</f>
        <v>9.3661576286033608</v>
      </c>
      <c r="D75" s="76">
        <v>10.182228066879567</v>
      </c>
      <c r="E75" s="76">
        <v>11.735537190082644</v>
      </c>
      <c r="F75" s="66">
        <v>5.5</v>
      </c>
      <c r="G75" s="65">
        <f>AVERAGE([32]May_2026!$K$32:$L$32)</f>
        <v>10.491494841303194</v>
      </c>
      <c r="H75" s="76">
        <v>11.362028737847183</v>
      </c>
      <c r="I75" s="76">
        <v>12.769538510720032</v>
      </c>
      <c r="J75" s="66">
        <v>5.5</v>
      </c>
      <c r="K75" s="67">
        <f>AVERAGE(K60,K62)</f>
        <v>0.23956140350877195</v>
      </c>
      <c r="L75" s="194">
        <v>0.23824561403508773</v>
      </c>
      <c r="M75" s="194">
        <v>0.26411513157894739</v>
      </c>
      <c r="N75" s="68">
        <v>1</v>
      </c>
      <c r="P75" s="69"/>
    </row>
    <row r="76" spans="2:57" ht="15">
      <c r="B76" s="22" t="s">
        <v>33</v>
      </c>
      <c r="C76" s="65"/>
      <c r="D76" s="76">
        <v>4.8532569792412277</v>
      </c>
      <c r="E76" s="76">
        <v>4.6518562695690884</v>
      </c>
      <c r="F76" s="66">
        <v>3.3</v>
      </c>
      <c r="G76" s="65"/>
      <c r="H76" s="76">
        <v>4.7372529705103688</v>
      </c>
      <c r="I76" s="76">
        <v>4.4089875005606158</v>
      </c>
      <c r="J76" s="66">
        <v>3.3</v>
      </c>
      <c r="K76" s="67"/>
      <c r="L76" s="194">
        <v>0.58298245614035094</v>
      </c>
      <c r="M76" s="194">
        <v>0.74716374269005859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>
        <v>5.1105651105651271</v>
      </c>
      <c r="F78" s="487">
        <v>5.5</v>
      </c>
      <c r="G78" s="282"/>
      <c r="H78" s="76"/>
      <c r="I78" s="76">
        <v>7.9131369535794072</v>
      </c>
      <c r="J78" s="66">
        <v>5.5</v>
      </c>
      <c r="K78" s="67"/>
      <c r="L78" s="194"/>
      <c r="M78" s="194">
        <v>1.3550877192982456</v>
      </c>
      <c r="N78" s="68">
        <v>1</v>
      </c>
      <c r="P78" s="69"/>
    </row>
    <row r="79" spans="2:57" ht="15">
      <c r="B79" s="37" t="s">
        <v>16</v>
      </c>
      <c r="C79" s="65"/>
      <c r="D79" s="76"/>
      <c r="E79" s="76">
        <v>3.9654240950837312</v>
      </c>
      <c r="F79" s="66">
        <v>3.3</v>
      </c>
      <c r="G79" s="282"/>
      <c r="H79" s="76"/>
      <c r="I79" s="76">
        <v>4.8236555171494695</v>
      </c>
      <c r="J79" s="66">
        <v>3.3</v>
      </c>
      <c r="K79" s="67"/>
      <c r="L79" s="194"/>
      <c r="M79" s="194">
        <v>0.89457115009746591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>
        <v>6.8510798189267792</v>
      </c>
      <c r="E82" s="76">
        <v>6.6468935386155792</v>
      </c>
      <c r="F82" s="341">
        <v>5.5</v>
      </c>
      <c r="H82" s="76">
        <v>10.209647458787206</v>
      </c>
      <c r="I82" s="76">
        <v>6.8631302595733166</v>
      </c>
      <c r="J82" s="341">
        <v>5.5</v>
      </c>
      <c r="L82" s="194">
        <v>0.47733593242365174</v>
      </c>
      <c r="M82" s="194">
        <v>0.5616363206551177</v>
      </c>
      <c r="N82" s="386">
        <v>1</v>
      </c>
    </row>
  </sheetData>
  <mergeCells count="51"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  <mergeCell ref="D53:E53"/>
    <mergeCell ref="B58:B59"/>
    <mergeCell ref="C58:C59"/>
    <mergeCell ref="D58:D59"/>
    <mergeCell ref="E58:E59"/>
    <mergeCell ref="B43:B52"/>
    <mergeCell ref="D43:E44"/>
    <mergeCell ref="J43:K43"/>
    <mergeCell ref="L44:N44"/>
    <mergeCell ref="D45:E46"/>
    <mergeCell ref="D47:E48"/>
    <mergeCell ref="D49:E50"/>
    <mergeCell ref="D51:E52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3:B54">
    <cfRule type="cellIs" dxfId="2778" priority="119" operator="notBetween">
      <formula>#REF!</formula>
      <formula>#REF!</formula>
    </cfRule>
  </conditionalFormatting>
  <conditionalFormatting sqref="C57">
    <cfRule type="cellIs" dxfId="2777" priority="208" stopIfTrue="1" operator="lessThan">
      <formula>96</formula>
    </cfRule>
    <cfRule type="cellIs" dxfId="2776" priority="209" stopIfTrue="1" operator="greaterThan">
      <formula>100</formula>
    </cfRule>
  </conditionalFormatting>
  <conditionalFormatting sqref="C73:C77">
    <cfRule type="cellIs" dxfId="2775" priority="60" stopIfTrue="1" operator="lessThanOrEqual">
      <formula>0</formula>
    </cfRule>
  </conditionalFormatting>
  <conditionalFormatting sqref="C73:C81">
    <cfRule type="cellIs" dxfId="2774" priority="59" stopIfTrue="1" operator="greaterThan">
      <formula>$F73</formula>
    </cfRule>
  </conditionalFormatting>
  <conditionalFormatting sqref="C74">
    <cfRule type="cellIs" dxfId="2773" priority="62" stopIfTrue="1" operator="greaterThan">
      <formula>$F73</formula>
    </cfRule>
  </conditionalFormatting>
  <conditionalFormatting sqref="C78">
    <cfRule type="cellIs" dxfId="2772" priority="58" stopIfTrue="1" operator="greaterThan">
      <formula>$F77</formula>
    </cfRule>
    <cfRule type="cellIs" dxfId="2771" priority="57" stopIfTrue="1" operator="lessThanOrEqual">
      <formula>0</formula>
    </cfRule>
  </conditionalFormatting>
  <conditionalFormatting sqref="C79:C81">
    <cfRule type="cellIs" dxfId="2770" priority="61" stopIfTrue="1" operator="lessThanOrEqual">
      <formula>0</formula>
    </cfRule>
  </conditionalFormatting>
  <conditionalFormatting sqref="C84:C88">
    <cfRule type="cellIs" dxfId="2769" priority="200" stopIfTrue="1" operator="lessThanOrEqual">
      <formula>0</formula>
    </cfRule>
  </conditionalFormatting>
  <conditionalFormatting sqref="C85:C88">
    <cfRule type="cellIs" dxfId="2768" priority="199" stopIfTrue="1" operator="greaterThan">
      <formula>$F$84</formula>
    </cfRule>
  </conditionalFormatting>
  <conditionalFormatting sqref="C90">
    <cfRule type="cellIs" dxfId="2767" priority="202" stopIfTrue="1" operator="lessThanOrEqual">
      <formula>0</formula>
    </cfRule>
    <cfRule type="cellIs" dxfId="2766" priority="201" stopIfTrue="1" operator="greaterThan">
      <formula>$F$84</formula>
    </cfRule>
  </conditionalFormatting>
  <conditionalFormatting sqref="C84:D84 D86:D92">
    <cfRule type="cellIs" dxfId="2765" priority="194" stopIfTrue="1" operator="greaterThan">
      <formula>4.5</formula>
    </cfRule>
  </conditionalFormatting>
  <conditionalFormatting sqref="D53:D54">
    <cfRule type="cellIs" dxfId="2764" priority="120" operator="notBetween">
      <formula>#REF!</formula>
      <formula>#REF!</formula>
    </cfRule>
  </conditionalFormatting>
  <conditionalFormatting sqref="D73:D80">
    <cfRule type="cellIs" dxfId="2763" priority="51" stopIfTrue="1" operator="lessThanOrEqual">
      <formula>0</formula>
    </cfRule>
  </conditionalFormatting>
  <conditionalFormatting sqref="D73:D82">
    <cfRule type="cellIs" dxfId="2762" priority="34" stopIfTrue="1" operator="lessThanOrEqual">
      <formula>0</formula>
    </cfRule>
  </conditionalFormatting>
  <conditionalFormatting sqref="D81">
    <cfRule type="cellIs" dxfId="2761" priority="50" stopIfTrue="1" operator="lessThanOrEqual">
      <formula>0</formula>
    </cfRule>
  </conditionalFormatting>
  <conditionalFormatting sqref="D82">
    <cfRule type="cellIs" dxfId="2760" priority="47" stopIfTrue="1" operator="lessThanOrEqual">
      <formula>0</formula>
    </cfRule>
  </conditionalFormatting>
  <conditionalFormatting sqref="D84 D86:D92">
    <cfRule type="cellIs" dxfId="2759" priority="195" stopIfTrue="1" operator="lessThanOrEqual">
      <formula>0</formula>
    </cfRule>
  </conditionalFormatting>
  <conditionalFormatting sqref="D85">
    <cfRule type="cellIs" dxfId="2758" priority="187" stopIfTrue="1" operator="lessThanOrEqual">
      <formula>0</formula>
    </cfRule>
    <cfRule type="cellIs" dxfId="2757" priority="186" stopIfTrue="1" operator="greaterThan">
      <formula>$F$84</formula>
    </cfRule>
  </conditionalFormatting>
  <conditionalFormatting sqref="D73:E82">
    <cfRule type="cellIs" dxfId="2756" priority="36" stopIfTrue="1" operator="greaterThan">
      <formula>$F73</formula>
    </cfRule>
  </conditionalFormatting>
  <conditionalFormatting sqref="D82:E82">
    <cfRule type="cellIs" dxfId="2755" priority="38" stopIfTrue="1" operator="lessThanOrEqual">
      <formula>0</formula>
    </cfRule>
  </conditionalFormatting>
  <conditionalFormatting sqref="E10:E28">
    <cfRule type="cellIs" dxfId="2754" priority="1" operator="lessThan">
      <formula>48</formula>
    </cfRule>
  </conditionalFormatting>
  <conditionalFormatting sqref="E56 E57:F57">
    <cfRule type="cellIs" dxfId="2753" priority="191" stopIfTrue="1" operator="greaterThan">
      <formula>100</formula>
    </cfRule>
  </conditionalFormatting>
  <conditionalFormatting sqref="E57">
    <cfRule type="cellIs" dxfId="2752" priority="188" stopIfTrue="1" operator="lessThan">
      <formula>96.8</formula>
    </cfRule>
    <cfRule type="cellIs" dxfId="2751" priority="189" stopIfTrue="1" operator="greaterThan">
      <formula>100</formula>
    </cfRule>
  </conditionalFormatting>
  <conditionalFormatting sqref="E73:E81">
    <cfRule type="cellIs" dxfId="2750" priority="35" stopIfTrue="1" operator="lessThanOrEqual">
      <formula>0</formula>
    </cfRule>
  </conditionalFormatting>
  <conditionalFormatting sqref="E73:E82">
    <cfRule type="cellIs" dxfId="2749" priority="37" stopIfTrue="1" operator="lessThanOrEqual">
      <formula>0</formula>
    </cfRule>
  </conditionalFormatting>
  <conditionalFormatting sqref="E84:E92">
    <cfRule type="cellIs" dxfId="2748" priority="181" stopIfTrue="1" operator="lessThanOrEqual">
      <formula>0</formula>
    </cfRule>
    <cfRule type="cellIs" dxfId="2747" priority="180" stopIfTrue="1" operator="greaterThan">
      <formula>4.5</formula>
    </cfRule>
  </conditionalFormatting>
  <conditionalFormatting sqref="E57:F57 E56">
    <cfRule type="cellIs" dxfId="2746" priority="190" stopIfTrue="1" operator="lessThan">
      <formula>96.5</formula>
    </cfRule>
  </conditionalFormatting>
  <conditionalFormatting sqref="F10:F17 F25:F28">
    <cfRule type="cellIs" dxfId="2745" priority="104" operator="greaterThan">
      <formula>60</formula>
    </cfRule>
  </conditionalFormatting>
  <conditionalFormatting sqref="F19:F22">
    <cfRule type="cellIs" dxfId="2744" priority="8" operator="greaterThan">
      <formula>60</formula>
    </cfRule>
  </conditionalFormatting>
  <conditionalFormatting sqref="F57">
    <cfRule type="cellIs" dxfId="2743" priority="207" stopIfTrue="1" operator="greaterThan">
      <formula>100</formula>
    </cfRule>
    <cfRule type="cellIs" dxfId="2742" priority="206" stopIfTrue="1" operator="lessThan">
      <formula>96.8</formula>
    </cfRule>
  </conditionalFormatting>
  <conditionalFormatting sqref="F82">
    <cfRule type="cellIs" dxfId="2741" priority="49" stopIfTrue="1" operator="lessThanOrEqual">
      <formula>0</formula>
    </cfRule>
    <cfRule type="cellIs" dxfId="2740" priority="48" stopIfTrue="1" operator="greaterThan">
      <formula>$F82</formula>
    </cfRule>
  </conditionalFormatting>
  <conditionalFormatting sqref="G10:G28">
    <cfRule type="expression" dxfId="2739" priority="12">
      <formula>IF(+(IF(G10&lt;S10,0,IF(G10&gt;T10,0,1)))=0,1)</formula>
    </cfRule>
  </conditionalFormatting>
  <conditionalFormatting sqref="G73:G74">
    <cfRule type="cellIs" dxfId="2738" priority="53" stopIfTrue="1" operator="lessThanOrEqual">
      <formula>0</formula>
    </cfRule>
    <cfRule type="cellIs" dxfId="2737" priority="52" stopIfTrue="1" operator="greaterThan">
      <formula>$F73</formula>
    </cfRule>
  </conditionalFormatting>
  <conditionalFormatting sqref="G73:G76">
    <cfRule type="cellIs" dxfId="2736" priority="29" stopIfTrue="1" operator="greaterThan">
      <formula>$F73</formula>
    </cfRule>
    <cfRule type="cellIs" dxfId="2735" priority="30" stopIfTrue="1" operator="lessThanOrEqual">
      <formula>0</formula>
    </cfRule>
  </conditionalFormatting>
  <conditionalFormatting sqref="G75">
    <cfRule type="cellIs" dxfId="2734" priority="27" stopIfTrue="1" operator="greaterThan">
      <formula>$F75</formula>
    </cfRule>
    <cfRule type="cellIs" dxfId="2733" priority="28" stopIfTrue="1" operator="lessThanOrEqual">
      <formula>0</formula>
    </cfRule>
  </conditionalFormatting>
  <conditionalFormatting sqref="G76">
    <cfRule type="cellIs" dxfId="2732" priority="42" stopIfTrue="1" operator="greaterThan">
      <formula>$F76</formula>
    </cfRule>
    <cfRule type="cellIs" dxfId="2731" priority="43" stopIfTrue="1" operator="lessThanOrEqual">
      <formula>0</formula>
    </cfRule>
  </conditionalFormatting>
  <conditionalFormatting sqref="G77:G81">
    <cfRule type="cellIs" dxfId="2730" priority="55" stopIfTrue="1" operator="lessThanOrEqual">
      <formula>0</formula>
    </cfRule>
    <cfRule type="cellIs" dxfId="2729" priority="54" stopIfTrue="1" operator="greaterThan">
      <formula>$J77</formula>
    </cfRule>
  </conditionalFormatting>
  <conditionalFormatting sqref="G86:G91 C89 C91">
    <cfRule type="cellIs" dxfId="2728" priority="204" stopIfTrue="1" operator="lessThanOrEqual">
      <formula>0</formula>
    </cfRule>
    <cfRule type="cellIs" dxfId="2727" priority="203" stopIfTrue="1" operator="greaterThan">
      <formula>4.5</formula>
    </cfRule>
  </conditionalFormatting>
  <conditionalFormatting sqref="G85:H85">
    <cfRule type="cellIs" dxfId="2726" priority="185" stopIfTrue="1" operator="lessThanOrEqual">
      <formula>0</formula>
    </cfRule>
    <cfRule type="cellIs" dxfId="2725" priority="184" stopIfTrue="1" operator="greaterThan">
      <formula>$F$84</formula>
    </cfRule>
  </conditionalFormatting>
  <conditionalFormatting sqref="H10:H28">
    <cfRule type="expression" dxfId="2724" priority="9">
      <formula>IF(+(IF(H10&lt;#REF!,0,IF(H10&gt;#REF!,0,1)))=0,1)</formula>
    </cfRule>
  </conditionalFormatting>
  <conditionalFormatting sqref="H42:H43 H56">
    <cfRule type="cellIs" dxfId="2723" priority="182" stopIfTrue="1" operator="greaterThan">
      <formula>0</formula>
    </cfRule>
  </conditionalFormatting>
  <conditionalFormatting sqref="H60">
    <cfRule type="cellIs" dxfId="2722" priority="76" stopIfTrue="1" operator="lessThanOrEqual">
      <formula>0</formula>
    </cfRule>
    <cfRule type="cellIs" dxfId="2721" priority="75" stopIfTrue="1" operator="greaterThan">
      <formula>$F$71</formula>
    </cfRule>
    <cfRule type="cellIs" dxfId="2720" priority="74" stopIfTrue="1" operator="lessThanOrEqual">
      <formula>0</formula>
    </cfRule>
    <cfRule type="cellIs" dxfId="2719" priority="73" stopIfTrue="1" operator="greaterThan">
      <formula>$F$73</formula>
    </cfRule>
    <cfRule type="cellIs" dxfId="2718" priority="64" stopIfTrue="1" operator="lessThanOrEqual">
      <formula>0</formula>
    </cfRule>
    <cfRule type="cellIs" dxfId="2717" priority="65" stopIfTrue="1" operator="greaterThan">
      <formula>$F$70</formula>
    </cfRule>
  </conditionalFormatting>
  <conditionalFormatting sqref="H61:H62">
    <cfRule type="cellIs" dxfId="2716" priority="78" stopIfTrue="1" operator="lessThanOrEqual">
      <formula>0</formula>
    </cfRule>
    <cfRule type="cellIs" dxfId="2715" priority="79" stopIfTrue="1" operator="greaterThan">
      <formula>$F$73</formula>
    </cfRule>
    <cfRule type="cellIs" dxfId="2714" priority="87" stopIfTrue="1" operator="greaterThan">
      <formula>$F$76</formula>
    </cfRule>
    <cfRule type="cellIs" dxfId="2713" priority="88" stopIfTrue="1" operator="lessThanOrEqual">
      <formula>0</formula>
    </cfRule>
    <cfRule type="cellIs" dxfId="2712" priority="89" stopIfTrue="1" operator="greaterThan">
      <formula>$F$74</formula>
    </cfRule>
  </conditionalFormatting>
  <conditionalFormatting sqref="H61:H64">
    <cfRule type="cellIs" dxfId="2711" priority="90" stopIfTrue="1" operator="lessThanOrEqual">
      <formula>0</formula>
    </cfRule>
  </conditionalFormatting>
  <conditionalFormatting sqref="H63:H64">
    <cfRule type="cellIs" dxfId="2710" priority="105" stopIfTrue="1" operator="greaterThan">
      <formula>$F$73</formula>
    </cfRule>
    <cfRule type="cellIs" dxfId="2709" priority="113" stopIfTrue="1" operator="greaterThan">
      <formula>$F$76</formula>
    </cfRule>
    <cfRule type="cellIs" dxfId="2708" priority="116" stopIfTrue="1" operator="lessThanOrEqual">
      <formula>0</formula>
    </cfRule>
    <cfRule type="cellIs" dxfId="2707" priority="115" stopIfTrue="1" operator="greaterThan">
      <formula>$F$74</formula>
    </cfRule>
    <cfRule type="cellIs" dxfId="2706" priority="114" stopIfTrue="1" operator="lessThanOrEqual">
      <formula>0</formula>
    </cfRule>
  </conditionalFormatting>
  <conditionalFormatting sqref="H65:H66">
    <cfRule type="cellIs" dxfId="2705" priority="154" stopIfTrue="1" operator="lessThanOrEqual">
      <formula>0</formula>
    </cfRule>
    <cfRule type="cellIs" dxfId="2704" priority="156" stopIfTrue="1" operator="lessThanOrEqual">
      <formula>0</formula>
    </cfRule>
    <cfRule type="cellIs" dxfId="2703" priority="155" stopIfTrue="1" operator="greaterThan">
      <formula>#REF!</formula>
    </cfRule>
    <cfRule type="cellIs" dxfId="2702" priority="153" stopIfTrue="1" operator="greaterThan">
      <formula>$F$28</formula>
    </cfRule>
    <cfRule type="cellIs" dxfId="2701" priority="145" stopIfTrue="1" operator="greaterThan">
      <formula>#REF!</formula>
    </cfRule>
    <cfRule type="cellIs" dxfId="2700" priority="144" stopIfTrue="1" operator="lessThanOrEqual">
      <formula>0</formula>
    </cfRule>
  </conditionalFormatting>
  <conditionalFormatting sqref="H67">
    <cfRule type="cellIs" dxfId="2699" priority="159" stopIfTrue="1" operator="greaterThan">
      <formula>$F$41</formula>
    </cfRule>
    <cfRule type="cellIs" dxfId="2698" priority="167" stopIfTrue="1" operator="greaterThan">
      <formula>$F$44</formula>
    </cfRule>
    <cfRule type="cellIs" dxfId="2697" priority="170" stopIfTrue="1" operator="lessThanOrEqual">
      <formula>0</formula>
    </cfRule>
    <cfRule type="cellIs" dxfId="2696" priority="168" stopIfTrue="1" operator="lessThanOrEqual">
      <formula>0</formula>
    </cfRule>
    <cfRule type="cellIs" dxfId="2695" priority="169" stopIfTrue="1" operator="greaterThan">
      <formula>$F$42</formula>
    </cfRule>
    <cfRule type="cellIs" dxfId="2694" priority="158" stopIfTrue="1" operator="lessThanOrEqual">
      <formula>0</formula>
    </cfRule>
  </conditionalFormatting>
  <conditionalFormatting sqref="H68:H69">
    <cfRule type="cellIs" dxfId="2693" priority="131" stopIfTrue="1" operator="greaterThan">
      <formula>#REF!</formula>
    </cfRule>
    <cfRule type="cellIs" dxfId="2692" priority="140" stopIfTrue="1" operator="lessThanOrEqual">
      <formula>0</formula>
    </cfRule>
    <cfRule type="cellIs" dxfId="2691" priority="139" stopIfTrue="1" operator="greaterThan">
      <formula>$F$28</formula>
    </cfRule>
    <cfRule type="cellIs" dxfId="2690" priority="141" stopIfTrue="1" operator="greaterThan">
      <formula>#REF!</formula>
    </cfRule>
    <cfRule type="cellIs" dxfId="2689" priority="130" stopIfTrue="1" operator="lessThanOrEqual">
      <formula>0</formula>
    </cfRule>
    <cfRule type="cellIs" dxfId="2688" priority="142" stopIfTrue="1" operator="lessThanOrEqual">
      <formula>0</formula>
    </cfRule>
  </conditionalFormatting>
  <conditionalFormatting sqref="H84 H86:H92">
    <cfRule type="cellIs" dxfId="2687" priority="196" stopIfTrue="1" operator="greaterThan">
      <formula>4.5</formula>
    </cfRule>
    <cfRule type="cellIs" dxfId="2686" priority="197" stopIfTrue="1" operator="lessThanOrEqual">
      <formula>0</formula>
    </cfRule>
  </conditionalFormatting>
  <conditionalFormatting sqref="H60:I60">
    <cfRule type="cellIs" dxfId="2685" priority="66" stopIfTrue="1" operator="lessThanOrEqual">
      <formula>0</formula>
    </cfRule>
    <cfRule type="cellIs" dxfId="2684" priority="63" stopIfTrue="1" operator="greaterThan">
      <formula>$F$72</formula>
    </cfRule>
  </conditionalFormatting>
  <conditionalFormatting sqref="H61:I62">
    <cfRule type="cellIs" dxfId="2683" priority="80" stopIfTrue="1" operator="lessThanOrEqual">
      <formula>0</formula>
    </cfRule>
  </conditionalFormatting>
  <conditionalFormatting sqref="H61:I64">
    <cfRule type="cellIs" dxfId="2682" priority="77" stopIfTrue="1" operator="greaterThan">
      <formula>$F$75</formula>
    </cfRule>
  </conditionalFormatting>
  <conditionalFormatting sqref="H63:I64">
    <cfRule type="cellIs" dxfId="2681" priority="106" stopIfTrue="1" operator="lessThanOrEqual">
      <formula>0</formula>
    </cfRule>
  </conditionalFormatting>
  <conditionalFormatting sqref="H65:I66">
    <cfRule type="cellIs" dxfId="2680" priority="146" stopIfTrue="1" operator="lessThanOrEqual">
      <formula>0</formula>
    </cfRule>
    <cfRule type="cellIs" dxfId="2679" priority="143" stopIfTrue="1" operator="greaterThan">
      <formula>#REF!</formula>
    </cfRule>
  </conditionalFormatting>
  <conditionalFormatting sqref="H67:I67">
    <cfRule type="cellIs" dxfId="2678" priority="157" stopIfTrue="1" operator="greaterThan">
      <formula>$F$43</formula>
    </cfRule>
    <cfRule type="cellIs" dxfId="2677" priority="160" stopIfTrue="1" operator="lessThanOrEqual">
      <formula>0</formula>
    </cfRule>
  </conditionalFormatting>
  <conditionalFormatting sqref="H68:I69">
    <cfRule type="cellIs" dxfId="2676" priority="129" stopIfTrue="1" operator="greaterThan">
      <formula>#REF!</formula>
    </cfRule>
    <cfRule type="cellIs" dxfId="2675" priority="132" stopIfTrue="1" operator="lessThanOrEqual">
      <formula>0</formula>
    </cfRule>
  </conditionalFormatting>
  <conditionalFormatting sqref="H73:I80">
    <cfRule type="cellIs" dxfId="2674" priority="32" stopIfTrue="1" operator="greaterThan">
      <formula>$J73</formula>
    </cfRule>
    <cfRule type="cellIs" dxfId="2673" priority="33" stopIfTrue="1" operator="lessThanOrEqual">
      <formula>0</formula>
    </cfRule>
  </conditionalFormatting>
  <conditionalFormatting sqref="H81:I81">
    <cfRule type="cellIs" dxfId="2672" priority="41" operator="greaterThan">
      <formula>5.3</formula>
    </cfRule>
  </conditionalFormatting>
  <conditionalFormatting sqref="H82:I82">
    <cfRule type="cellIs" dxfId="2671" priority="39" stopIfTrue="1" operator="greaterThan">
      <formula>$J82</formula>
    </cfRule>
    <cfRule type="cellIs" dxfId="2670" priority="40" stopIfTrue="1" operator="lessThanOrEqual">
      <formula>0</formula>
    </cfRule>
  </conditionalFormatting>
  <conditionalFormatting sqref="I60">
    <cfRule type="cellIs" dxfId="2669" priority="72" stopIfTrue="1" operator="lessThanOrEqual">
      <formula>0</formula>
    </cfRule>
    <cfRule type="cellIs" dxfId="2668" priority="67" stopIfTrue="1" operator="greaterThan">
      <formula>$F$70</formula>
    </cfRule>
    <cfRule type="cellIs" dxfId="2667" priority="68" stopIfTrue="1" operator="lessThanOrEqual">
      <formula>0</formula>
    </cfRule>
    <cfRule type="cellIs" dxfId="2666" priority="69" stopIfTrue="1" operator="greaterThan">
      <formula>$F$72</formula>
    </cfRule>
    <cfRule type="cellIs" dxfId="2665" priority="70" stopIfTrue="1" operator="lessThanOrEqual">
      <formula>0</formula>
    </cfRule>
    <cfRule type="cellIs" dxfId="2664" priority="71" stopIfTrue="1" operator="greaterThan">
      <formula>$F$70</formula>
    </cfRule>
  </conditionalFormatting>
  <conditionalFormatting sqref="I61:I62">
    <cfRule type="cellIs" dxfId="2663" priority="85" stopIfTrue="1" operator="greaterThan">
      <formula>$F$73</formula>
    </cfRule>
    <cfRule type="cellIs" dxfId="2662" priority="83" stopIfTrue="1" operator="greaterThan">
      <formula>$F$75</formula>
    </cfRule>
    <cfRule type="cellIs" dxfId="2661" priority="82" stopIfTrue="1" operator="lessThanOrEqual">
      <formula>0</formula>
    </cfRule>
    <cfRule type="cellIs" dxfId="2660" priority="86" stopIfTrue="1" operator="lessThanOrEqual">
      <formula>0</formula>
    </cfRule>
    <cfRule type="cellIs" dxfId="2659" priority="81" stopIfTrue="1" operator="greaterThan">
      <formula>$F$73</formula>
    </cfRule>
    <cfRule type="cellIs" dxfId="2658" priority="84" stopIfTrue="1" operator="lessThanOrEqual">
      <formula>0</formula>
    </cfRule>
  </conditionalFormatting>
  <conditionalFormatting sqref="I63:I64">
    <cfRule type="cellIs" dxfId="2657" priority="109" stopIfTrue="1" operator="greaterThan">
      <formula>$F$75</formula>
    </cfRule>
    <cfRule type="cellIs" dxfId="2656" priority="112" stopIfTrue="1" operator="lessThanOrEqual">
      <formula>0</formula>
    </cfRule>
    <cfRule type="cellIs" dxfId="2655" priority="111" stopIfTrue="1" operator="greaterThan">
      <formula>$F$73</formula>
    </cfRule>
    <cfRule type="cellIs" dxfId="2654" priority="110" stopIfTrue="1" operator="lessThanOrEqual">
      <formula>0</formula>
    </cfRule>
    <cfRule type="cellIs" dxfId="2653" priority="108" stopIfTrue="1" operator="lessThanOrEqual">
      <formula>0</formula>
    </cfRule>
    <cfRule type="cellIs" dxfId="2652" priority="107" stopIfTrue="1" operator="greaterThan">
      <formula>$F$73</formula>
    </cfRule>
  </conditionalFormatting>
  <conditionalFormatting sqref="I65:I66">
    <cfRule type="cellIs" dxfId="2651" priority="147" stopIfTrue="1" operator="greaterThan">
      <formula>#REF!</formula>
    </cfRule>
    <cfRule type="cellIs" dxfId="2650" priority="148" stopIfTrue="1" operator="lessThanOrEqual">
      <formula>0</formula>
    </cfRule>
    <cfRule type="cellIs" dxfId="2649" priority="149" stopIfTrue="1" operator="greaterThan">
      <formula>#REF!</formula>
    </cfRule>
    <cfRule type="cellIs" dxfId="2648" priority="150" stopIfTrue="1" operator="lessThanOrEqual">
      <formula>0</formula>
    </cfRule>
    <cfRule type="cellIs" dxfId="2647" priority="151" stopIfTrue="1" operator="greaterThan">
      <formula>#REF!</formula>
    </cfRule>
    <cfRule type="cellIs" dxfId="2646" priority="152" stopIfTrue="1" operator="lessThanOrEqual">
      <formula>0</formula>
    </cfRule>
  </conditionalFormatting>
  <conditionalFormatting sqref="I67">
    <cfRule type="cellIs" dxfId="2645" priority="161" stopIfTrue="1" operator="greaterThan">
      <formula>$F$41</formula>
    </cfRule>
    <cfRule type="cellIs" dxfId="2644" priority="166" stopIfTrue="1" operator="lessThanOrEqual">
      <formula>0</formula>
    </cfRule>
    <cfRule type="cellIs" dxfId="2643" priority="162" stopIfTrue="1" operator="lessThanOrEqual">
      <formula>0</formula>
    </cfRule>
    <cfRule type="cellIs" dxfId="2642" priority="163" stopIfTrue="1" operator="greaterThan">
      <formula>$F$43</formula>
    </cfRule>
    <cfRule type="cellIs" dxfId="2641" priority="165" stopIfTrue="1" operator="greaterThan">
      <formula>$F$41</formula>
    </cfRule>
    <cfRule type="cellIs" dxfId="2640" priority="164" stopIfTrue="1" operator="lessThanOrEqual">
      <formula>0</formula>
    </cfRule>
  </conditionalFormatting>
  <conditionalFormatting sqref="I68:I69">
    <cfRule type="cellIs" dxfId="2639" priority="135" stopIfTrue="1" operator="greaterThan">
      <formula>#REF!</formula>
    </cfRule>
    <cfRule type="cellIs" dxfId="2638" priority="133" stopIfTrue="1" operator="greaterThan">
      <formula>#REF!</formula>
    </cfRule>
    <cfRule type="cellIs" dxfId="2637" priority="134" stopIfTrue="1" operator="lessThanOrEqual">
      <formula>0</formula>
    </cfRule>
    <cfRule type="cellIs" dxfId="2636" priority="136" stopIfTrue="1" operator="lessThanOrEqual">
      <formula>0</formula>
    </cfRule>
    <cfRule type="cellIs" dxfId="2635" priority="138" stopIfTrue="1" operator="lessThanOrEqual">
      <formula>0</formula>
    </cfRule>
    <cfRule type="cellIs" dxfId="2634" priority="137" stopIfTrue="1" operator="greaterThan">
      <formula>#REF!</formula>
    </cfRule>
  </conditionalFormatting>
  <conditionalFormatting sqref="I84:I92">
    <cfRule type="cellIs" dxfId="2633" priority="192" stopIfTrue="1" operator="greaterThan">
      <formula>4.5</formula>
    </cfRule>
    <cfRule type="cellIs" dxfId="2632" priority="193" stopIfTrue="1" operator="lessThanOrEqual">
      <formula>0</formula>
    </cfRule>
  </conditionalFormatting>
  <conditionalFormatting sqref="I10:J28">
    <cfRule type="cellIs" dxfId="2631" priority="2" operator="lessThan">
      <formula>97.9</formula>
    </cfRule>
  </conditionalFormatting>
  <conditionalFormatting sqref="J31:J32">
    <cfRule type="cellIs" dxfId="2630" priority="92" operator="lessThan">
      <formula>97.95</formula>
    </cfRule>
  </conditionalFormatting>
  <conditionalFormatting sqref="J33">
    <cfRule type="cellIs" dxfId="2629" priority="173" stopIfTrue="1" operator="greaterThan">
      <formula>100</formula>
    </cfRule>
    <cfRule type="cellIs" dxfId="2628" priority="172" stopIfTrue="1" operator="lessThan">
      <formula>96.8</formula>
    </cfRule>
    <cfRule type="cellIs" dxfId="2627" priority="174" operator="lessThan">
      <formula>98</formula>
    </cfRule>
  </conditionalFormatting>
  <conditionalFormatting sqref="J33:J35">
    <cfRule type="cellIs" dxfId="2626" priority="171" operator="lessThan">
      <formula>97.4</formula>
    </cfRule>
  </conditionalFormatting>
  <conditionalFormatting sqref="J36:J37">
    <cfRule type="cellIs" dxfId="2625" priority="175" operator="lessThan">
      <formula>98</formula>
    </cfRule>
  </conditionalFormatting>
  <conditionalFormatting sqref="J38:J39">
    <cfRule type="cellIs" dxfId="2624" priority="177" stopIfTrue="1" operator="greaterThan">
      <formula>100</formula>
    </cfRule>
    <cfRule type="cellIs" dxfId="2623" priority="176" stopIfTrue="1" operator="lessThan">
      <formula>96.8</formula>
    </cfRule>
  </conditionalFormatting>
  <conditionalFormatting sqref="J38:J40">
    <cfRule type="cellIs" dxfId="2622" priority="178" operator="lessThan">
      <formula>98</formula>
    </cfRule>
  </conditionalFormatting>
  <conditionalFormatting sqref="J69">
    <cfRule type="cellIs" dxfId="2621" priority="127" stopIfTrue="1" operator="greaterThan">
      <formula>#REF!</formula>
    </cfRule>
    <cfRule type="cellIs" dxfId="2620" priority="128" stopIfTrue="1" operator="lessThanOrEqual">
      <formula>0</formula>
    </cfRule>
    <cfRule type="cellIs" dxfId="2619" priority="126" stopIfTrue="1" operator="lessThanOrEqual">
      <formula>0</formula>
    </cfRule>
    <cfRule type="cellIs" dxfId="2618" priority="125" stopIfTrue="1" operator="greaterThan">
      <formula>#REF!</formula>
    </cfRule>
    <cfRule type="cellIs" dxfId="2617" priority="124" stopIfTrue="1" operator="lessThanOrEqual">
      <formula>0</formula>
    </cfRule>
    <cfRule type="cellIs" dxfId="2616" priority="123" stopIfTrue="1" operator="greaterThan">
      <formula>#REF!</formula>
    </cfRule>
    <cfRule type="cellIs" dxfId="2615" priority="121" stopIfTrue="1" operator="greaterThan">
      <formula>#REF!</formula>
    </cfRule>
    <cfRule type="cellIs" dxfId="2614" priority="122" stopIfTrue="1" operator="lessThanOrEqual">
      <formula>0</formula>
    </cfRule>
  </conditionalFormatting>
  <conditionalFormatting sqref="J82">
    <cfRule type="cellIs" dxfId="2613" priority="45" stopIfTrue="1" operator="lessThanOrEqual">
      <formula>0</formula>
    </cfRule>
    <cfRule type="cellIs" dxfId="2612" priority="44" stopIfTrue="1" operator="greaterThan">
      <formula>$F82</formula>
    </cfRule>
  </conditionalFormatting>
  <conditionalFormatting sqref="K10:K28">
    <cfRule type="cellIs" dxfId="2611" priority="5" operator="greaterThan">
      <formula>6</formula>
    </cfRule>
    <cfRule type="cellIs" dxfId="2610" priority="7" operator="greaterThan">
      <formula>6.4</formula>
    </cfRule>
    <cfRule type="cellIs" dxfId="2609" priority="6" operator="lessThan">
      <formula>4</formula>
    </cfRule>
  </conditionalFormatting>
  <conditionalFormatting sqref="K60:K69">
    <cfRule type="cellIs" dxfId="2608" priority="91" stopIfTrue="1" operator="lessThan">
      <formula>100%</formula>
    </cfRule>
  </conditionalFormatting>
  <conditionalFormatting sqref="K84:K89">
    <cfRule type="cellIs" dxfId="2607" priority="198" stopIfTrue="1" operator="lessThan">
      <formula>100%</formula>
    </cfRule>
  </conditionalFormatting>
  <conditionalFormatting sqref="K91:K92">
    <cfRule type="cellIs" dxfId="2606" priority="205" stopIfTrue="1" operator="lessThan">
      <formula>100%</formula>
    </cfRule>
  </conditionalFormatting>
  <conditionalFormatting sqref="K73:M81">
    <cfRule type="cellIs" dxfId="2605" priority="31" stopIfTrue="1" operator="lessThan">
      <formula>100%</formula>
    </cfRule>
  </conditionalFormatting>
  <conditionalFormatting sqref="L10:L28">
    <cfRule type="cellIs" dxfId="2604" priority="4" operator="greaterThan">
      <formula>65</formula>
    </cfRule>
    <cfRule type="cellIs" dxfId="2603" priority="3" operator="between">
      <formula>61</formula>
      <formula>65</formula>
    </cfRule>
  </conditionalFormatting>
  <conditionalFormatting sqref="L31:M42">
    <cfRule type="cellIs" dxfId="2602" priority="118" operator="lessThan">
      <formula>97.95</formula>
    </cfRule>
  </conditionalFormatting>
  <conditionalFormatting sqref="L82:M82">
    <cfRule type="cellIs" dxfId="2601" priority="46" stopIfTrue="1" operator="lessThan">
      <formula>100%</formula>
    </cfRule>
  </conditionalFormatting>
  <conditionalFormatting sqref="L46:N46">
    <cfRule type="cellIs" dxfId="2600" priority="26" operator="notEqual">
      <formula>#REF!</formula>
    </cfRule>
  </conditionalFormatting>
  <conditionalFormatting sqref="L84:N92">
    <cfRule type="cellIs" dxfId="2599" priority="183" stopIfTrue="1" operator="lessThan">
      <formula>100%</formula>
    </cfRule>
  </conditionalFormatting>
  <conditionalFormatting sqref="M10:M17 M26">
    <cfRule type="expression" dxfId="2598" priority="103">
      <formula>IF(+(IF(M10&lt;U10,0,IF(M10&gt;V10,0,1)))=0,1)</formula>
    </cfRule>
  </conditionalFormatting>
  <conditionalFormatting sqref="M19:M22">
    <cfRule type="expression" dxfId="2597" priority="11">
      <formula>IF(+(IF(M19&lt;U19,0,IF(M19&gt;V19,0,1)))=0,1)</formula>
    </cfRule>
  </conditionalFormatting>
  <conditionalFormatting sqref="M10:N18 M23:N25">
    <cfRule type="expression" dxfId="2596" priority="100">
      <formula>IF(+(IF(M10&lt;#REF!,0,IF(M10&gt;#REF!,0,1)))=0,1)</formula>
    </cfRule>
  </conditionalFormatting>
  <conditionalFormatting sqref="M27:N28">
    <cfRule type="expression" dxfId="2595" priority="117">
      <formula>IF(+(IF(M27&lt;#REF!,0,IF(M27&gt;#REF!,0,1)))=0,1)</formula>
    </cfRule>
  </conditionalFormatting>
  <conditionalFormatting sqref="N10:N26">
    <cfRule type="expression" dxfId="2594" priority="10">
      <formula>IF(+(IF(N10&lt;W10,0,IF(N10&gt;X10,0,1)))=0,1)</formula>
    </cfRule>
  </conditionalFormatting>
  <conditionalFormatting sqref="N73:N82">
    <cfRule type="cellIs" dxfId="2593" priority="56" stopIfTrue="1" operator="lessThan">
      <formula>100%</formula>
    </cfRule>
  </conditionalFormatting>
  <conditionalFormatting sqref="P6">
    <cfRule type="cellIs" dxfId="2592" priority="179" operator="greaterThanOrEqual">
      <formula>19</formula>
    </cfRule>
  </conditionalFormatting>
  <dataValidations count="1">
    <dataValidation type="list" allowBlank="1" showInputMessage="1" showErrorMessage="1" sqref="R8" xr:uid="{5C36A942-2975-4173-AEE9-7FC40EC0818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D67B-23F2-4FA4-B09F-C99465A90DDF}">
  <sheetPr>
    <pageSetUpPr fitToPage="1"/>
  </sheetPr>
  <dimension ref="A1:BE78"/>
  <sheetViews>
    <sheetView topLeftCell="A8" zoomScale="85" zoomScaleNormal="85" workbookViewId="0">
      <selection activeCell="E10" sqref="E10:E16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46154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65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95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[4]Brewhouse!$A396</f>
        <v>CA351</v>
      </c>
      <c r="D10" s="279">
        <f>[4]Brewhouse!$AF396</f>
        <v>52.4</v>
      </c>
      <c r="E10" s="279">
        <f>[4]Brewhouse!$AI396</f>
        <v>49.9</v>
      </c>
      <c r="F10" s="278">
        <f>[4]Brewhouse!$V396</f>
        <v>60</v>
      </c>
      <c r="G10" s="279">
        <f>[4]Brewhouse!AG396</f>
        <v>11.6</v>
      </c>
      <c r="H10" s="396">
        <v>11.6</v>
      </c>
      <c r="I10" s="368">
        <f>[4]Brewhouse!$AU396</f>
        <v>95.968798858100953</v>
      </c>
      <c r="J10" s="368">
        <f>[4]Brewhouse!$AV396</f>
        <v>96.982765256204786</v>
      </c>
      <c r="K10" s="281">
        <f>[4]Brewhouse!$Q396</f>
        <v>4.4731977818854007</v>
      </c>
      <c r="L10" s="276">
        <f>[4]Brewhouse!$P396</f>
        <v>61</v>
      </c>
      <c r="M10" s="397">
        <f>[4]Brewhouse!$U396-[4]Brewhouse!$T396</f>
        <v>0.12152777777777779</v>
      </c>
      <c r="N10" s="370">
        <f>[4]Brewhouse!$Z396</f>
        <v>0.27083333333333331</v>
      </c>
      <c r="O10" s="420" t="str">
        <f>[4]Brewhouse!$AX396</f>
        <v>D. Gomaz</v>
      </c>
      <c r="P10" s="418"/>
      <c r="R10" s="277" t="str">
        <f t="shared" ref="R10:R38" si="0">B10</f>
        <v>CARIB</v>
      </c>
      <c r="S10" s="472">
        <f t="shared" ref="S10:S38" si="1">VLOOKUP($B10,$R$3:$X$9,2,FALSE)</f>
        <v>11.6</v>
      </c>
      <c r="T10" s="472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2">
        <f t="shared" ref="Z10:Z38" si="8">VLOOKUP($B10,$R$3:$Z$9,9,FALSE)</f>
        <v>60</v>
      </c>
    </row>
    <row r="11" spans="2:29" ht="15">
      <c r="B11" s="29" t="s">
        <v>6</v>
      </c>
      <c r="C11" s="366" t="str">
        <f>[4]Brewhouse!$A397</f>
        <v>CA352</v>
      </c>
      <c r="D11" s="279">
        <f>[4]Brewhouse!$AF397</f>
        <v>52.9</v>
      </c>
      <c r="E11" s="279">
        <f>[4]Brewhouse!$AI397</f>
        <v>50.05</v>
      </c>
      <c r="F11" s="278">
        <f>[4]Brewhouse!$V397</f>
        <v>64</v>
      </c>
      <c r="G11" s="279">
        <f>[4]Brewhouse!AG397</f>
        <v>11.7</v>
      </c>
      <c r="H11" s="396">
        <v>11.7</v>
      </c>
      <c r="I11" s="368">
        <f>[4]Brewhouse!$AU397</f>
        <v>97.010275244344342</v>
      </c>
      <c r="J11" s="368">
        <f>[4]Brewhouse!$AV397</f>
        <v>98.035313139439765</v>
      </c>
      <c r="K11" s="281">
        <f>[4]Brewhouse!$Q397</f>
        <v>3.3703703703703707</v>
      </c>
      <c r="L11" s="276">
        <f>[4]Brewhouse!$P397</f>
        <v>60</v>
      </c>
      <c r="M11" s="397">
        <f>[4]Brewhouse!$U397-[4]Brewhouse!$T397</f>
        <v>0.11180555555555549</v>
      </c>
      <c r="N11" s="370">
        <f>[4]Brewhouse!$Z397</f>
        <v>0.27708333333333335</v>
      </c>
      <c r="O11" s="420" t="str">
        <f>[4]Brewhouse!$AX397</f>
        <v>D. Gomaz</v>
      </c>
      <c r="P11" s="418" t="s">
        <v>199</v>
      </c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[4]Brewhouse!$A398</f>
        <v>CA353</v>
      </c>
      <c r="D12" s="279">
        <f>[4]Brewhouse!$AF398</f>
        <v>52.5</v>
      </c>
      <c r="E12" s="279">
        <f>[4]Brewhouse!$AI398</f>
        <v>50.6</v>
      </c>
      <c r="F12" s="278">
        <f>[4]Brewhouse!$V398</f>
        <v>52</v>
      </c>
      <c r="G12" s="279">
        <f>[4]Brewhouse!AG398</f>
        <v>11.6</v>
      </c>
      <c r="H12" s="396">
        <v>11.8</v>
      </c>
      <c r="I12" s="368">
        <f>[4]Brewhouse!$AU398</f>
        <v>97.315054553505178</v>
      </c>
      <c r="J12" s="368">
        <f>[4]Brewhouse!$AV398</f>
        <v>98.343244929137526</v>
      </c>
      <c r="K12" s="281">
        <f>[4]Brewhouse!$Q398</f>
        <v>4.288354898336415</v>
      </c>
      <c r="L12" s="276">
        <f>[4]Brewhouse!$P398</f>
        <v>57</v>
      </c>
      <c r="M12" s="397">
        <f>[4]Brewhouse!$U398-[4]Brewhouse!$T398</f>
        <v>0.10555555555555551</v>
      </c>
      <c r="N12" s="370">
        <f>[4]Brewhouse!$Z398</f>
        <v>0.28749999999999998</v>
      </c>
      <c r="O12" s="420" t="str">
        <f>[4]Brewhouse!$AX398</f>
        <v>D. Gomaz</v>
      </c>
      <c r="P12" s="418" t="s">
        <v>191</v>
      </c>
      <c r="R12" s="277" t="str">
        <f t="shared" ref="R12:R26" si="9">B12</f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[4]Brewhouse!$A399</f>
        <v>CA354</v>
      </c>
      <c r="D13" s="279">
        <f>[4]Brewhouse!$AF399</f>
        <v>52.5</v>
      </c>
      <c r="E13" s="279">
        <f>[4]Brewhouse!$AI399</f>
        <v>50.6</v>
      </c>
      <c r="F13" s="278">
        <f>[4]Brewhouse!$V399</f>
        <v>62</v>
      </c>
      <c r="G13" s="279">
        <f>[4]Brewhouse!AG399</f>
        <v>11.6</v>
      </c>
      <c r="H13" s="396">
        <v>11.6</v>
      </c>
      <c r="I13" s="368">
        <f>[4]Brewhouse!$AU399</f>
        <v>97.194196677647014</v>
      </c>
      <c r="J13" s="368">
        <f>[4]Brewhouse!$AV398</f>
        <v>98.343244929137526</v>
      </c>
      <c r="K13" s="281">
        <f>[4]Brewhouse!$Q399</f>
        <v>4.288354898336415</v>
      </c>
      <c r="L13" s="276">
        <f>[4]Brewhouse!$P399</f>
        <v>62</v>
      </c>
      <c r="M13" s="397">
        <f>[4]Brewhouse!$U399-[4]Brewhouse!$T399</f>
        <v>0.11041666666666672</v>
      </c>
      <c r="N13" s="370">
        <f>[4]Brewhouse!$Z399</f>
        <v>0.27569444444444446</v>
      </c>
      <c r="O13" s="420" t="str">
        <f>[4]Brewhouse!$AX399</f>
        <v>D. Gomaz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[4]Brewhouse!$A400</f>
        <v>CA355</v>
      </c>
      <c r="D14" s="279">
        <f>[4]Brewhouse!$AF400</f>
        <v>52</v>
      </c>
      <c r="E14" s="279">
        <f>[4]Brewhouse!$AI400</f>
        <v>50.1</v>
      </c>
      <c r="F14" s="278">
        <f>[4]Brewhouse!$V400</f>
        <v>62</v>
      </c>
      <c r="G14" s="279">
        <f>[4]Brewhouse!AG400</f>
        <v>11.7</v>
      </c>
      <c r="H14" s="367"/>
      <c r="I14" s="368">
        <f>[4]Brewhouse!$AU400</f>
        <v>97.107188606226813</v>
      </c>
      <c r="J14" s="368">
        <f>[4]Brewhouse!$AV400</f>
        <v>98.133250515203457</v>
      </c>
      <c r="K14" s="281">
        <f>[4]Brewhouse!$Q400</f>
        <v>5.2125693160813311</v>
      </c>
      <c r="L14" s="276">
        <f>[4]Brewhouse!$P400</f>
        <v>57</v>
      </c>
      <c r="M14" s="397">
        <f>[4]Brewhouse!$U400-[4]Brewhouse!$T400</f>
        <v>0.11041666666666672</v>
      </c>
      <c r="N14" s="370">
        <f>[4]Brewhouse!$Z400</f>
        <v>0.28819444444444442</v>
      </c>
      <c r="O14" s="420" t="str">
        <f>[4]Brewhouse!$AX400</f>
        <v>R. Sookram</v>
      </c>
      <c r="P14" s="418" t="s">
        <v>200</v>
      </c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[4]Brewhouse!$A401</f>
        <v>CA356</v>
      </c>
      <c r="D15" s="279">
        <f>[4]Brewhouse!$AF401</f>
        <v>52.5</v>
      </c>
      <c r="E15" s="279">
        <f>[4]Brewhouse!$AI401</f>
        <v>50.2</v>
      </c>
      <c r="F15" s="278">
        <f>[4]Brewhouse!$V401</f>
        <v>60</v>
      </c>
      <c r="G15" s="279">
        <f>[4]Brewhouse!AG401</f>
        <v>11.7</v>
      </c>
      <c r="H15" s="396">
        <v>11.8</v>
      </c>
      <c r="I15" s="368">
        <f>[4]Brewhouse!$AU401</f>
        <v>97.543298003623377</v>
      </c>
      <c r="J15" s="368">
        <f>[4]Brewhouse!$AV401</f>
        <v>98.573831672439738</v>
      </c>
      <c r="K15" s="281">
        <f>[4]Brewhouse!$Q401</f>
        <v>4.288354898336415</v>
      </c>
      <c r="L15" s="276">
        <f>[4]Brewhouse!$P401</f>
        <v>60</v>
      </c>
      <c r="M15" s="397">
        <f>[4]Brewhouse!$U401-[4]Brewhouse!$T401</f>
        <v>0.12361111111111101</v>
      </c>
      <c r="N15" s="370">
        <f>[4]Brewhouse!$Z401</f>
        <v>0.29999999999999993</v>
      </c>
      <c r="O15" s="420" t="str">
        <f>[4]Brewhouse!$AX401</f>
        <v>R. Sookram</v>
      </c>
      <c r="P15" s="418" t="s">
        <v>199</v>
      </c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[4]Brewhouse!$A402</f>
        <v>CA357</v>
      </c>
      <c r="D16" s="279">
        <f>[4]Brewhouse!$AF402</f>
        <v>52.7</v>
      </c>
      <c r="E16" s="279">
        <f>[4]Brewhouse!$AI402</f>
        <v>50.8</v>
      </c>
      <c r="F16" s="278">
        <f>[4]Brewhouse!$V402</f>
        <v>55</v>
      </c>
      <c r="G16" s="279">
        <f>[4]Brewhouse!AG402</f>
        <v>11.8</v>
      </c>
      <c r="H16" s="396">
        <v>11.9</v>
      </c>
      <c r="I16" s="368">
        <f>[4]Brewhouse!$AU402</f>
        <v>99.596971567739487</v>
      </c>
      <c r="J16" s="368">
        <f>[4]Brewhouse!$AV402</f>
        <v>100.64920206038583</v>
      </c>
      <c r="K16" s="281">
        <f>[4]Brewhouse!$Q402</f>
        <v>3.7407407407407334</v>
      </c>
      <c r="L16" s="276">
        <f>[4]Brewhouse!$P402</f>
        <v>60</v>
      </c>
      <c r="M16" s="397">
        <f>[4]Brewhouse!$U402-[4]Brewhouse!$T402</f>
        <v>0.12291666666666656</v>
      </c>
      <c r="N16" s="370">
        <f>[4]Brewhouse!$Z402</f>
        <v>0.27499999999999991</v>
      </c>
      <c r="O16" s="420" t="str">
        <f>[4]Brewhouse!$AX402</f>
        <v>R. Sookram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36"/>
      <c r="C17" s="366"/>
      <c r="D17" s="279"/>
      <c r="E17" s="279"/>
      <c r="F17" s="278"/>
      <c r="G17" s="279"/>
      <c r="H17" s="396"/>
      <c r="I17" s="483"/>
      <c r="J17" s="483"/>
      <c r="K17" s="484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>
      <c r="B18" s="36"/>
      <c r="C18" s="366"/>
      <c r="D18" s="279"/>
      <c r="E18" s="279"/>
      <c r="F18" s="278"/>
      <c r="G18" s="279"/>
      <c r="H18" s="396"/>
      <c r="I18" s="483"/>
      <c r="J18" s="483"/>
      <c r="K18" s="484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34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34"/>
      <c r="C22" s="366"/>
      <c r="D22" s="279"/>
      <c r="E22" s="279"/>
      <c r="F22" s="278"/>
      <c r="G22" s="279"/>
      <c r="H22" s="396"/>
      <c r="I22" s="483"/>
      <c r="J22" s="483"/>
      <c r="K22" s="484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8" hidden="1" customHeight="1">
      <c r="B23" s="29"/>
      <c r="C23" s="366"/>
      <c r="D23" s="279"/>
      <c r="E23" s="279"/>
      <c r="F23" s="278"/>
      <c r="G23" s="279"/>
      <c r="H23" s="482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.75" customHeight="1" thickBot="1">
      <c r="B25" s="358"/>
      <c r="C25" s="358"/>
      <c r="D25" s="358"/>
      <c r="E25" s="358"/>
      <c r="F25" s="294"/>
      <c r="G25" s="294"/>
      <c r="H25" s="348"/>
      <c r="I25" s="525"/>
      <c r="J25" s="525"/>
      <c r="K25" s="525"/>
      <c r="L25" s="525"/>
      <c r="M25" s="525"/>
      <c r="N25" s="525"/>
      <c r="O25" s="1"/>
      <c r="P25" s="12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.75" customHeight="1" thickBot="1">
      <c r="B26" s="388" t="s">
        <v>162</v>
      </c>
      <c r="C26" s="388"/>
      <c r="D26" s="526" t="s">
        <v>35</v>
      </c>
      <c r="E26" s="527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28"/>
      <c r="C27" s="362"/>
      <c r="D27" s="531"/>
      <c r="E27" s="532"/>
      <c r="F27" s="294"/>
      <c r="G27" s="294"/>
      <c r="H27" s="348"/>
      <c r="I27" s="29" t="s">
        <v>6</v>
      </c>
      <c r="J27" s="323">
        <f>AVERAGE(I10:I16)</f>
        <v>97.390826215883877</v>
      </c>
      <c r="K27" s="284">
        <f>COUNTA([4]Brewhouse!$A$372:$A$402)</f>
        <v>31</v>
      </c>
      <c r="L27" s="305">
        <f>AVERAGE([4]Brewhouse!$AU$372:$AU$402)</f>
        <v>97.899591271333676</v>
      </c>
      <c r="M27" s="305">
        <f>AVERAGE([4]Brewhouse!$AU$42:$AU$123,[4]Brewhouse!$AU$125:$AU$188,[4]Brewhouse!$AU$198:$AU$290,[4]Brewhouse!$AU$292:$AU$370,[4]Brewhouse!$AU$372:$AU$402)</f>
        <v>97.995291948813914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" customHeight="1">
      <c r="A28" s="28"/>
      <c r="B28" s="529"/>
      <c r="C28" s="362"/>
      <c r="D28" s="533"/>
      <c r="E28" s="534"/>
      <c r="F28" s="294"/>
      <c r="G28" s="294"/>
      <c r="H28" s="348"/>
      <c r="I28" s="33" t="s">
        <v>9</v>
      </c>
      <c r="J28" s="323"/>
      <c r="K28" s="284">
        <f>COUNTA([3]Brewhouse!$A$214:$A$229)</f>
        <v>16</v>
      </c>
      <c r="L28" s="302">
        <f>AVERAGE([3]Brewhouse!$AS$214:$AS$229)</f>
        <v>97.795658588620881</v>
      </c>
      <c r="M28" s="302">
        <f>AVERAGE([3]Brewhouse!$AS$52:$AS$81,[3]Brewhouse!$AS$83:$AS$124,[3]Brewhouse!$AS$134:$AS$177,[3]Brewhouse!$AS$22:$AS$179,[3]Brewhouse!$AS$214:$AS$229)</f>
        <v>97.93842123965544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29"/>
      <c r="C29" s="362"/>
      <c r="D29" s="535"/>
      <c r="E29" s="536"/>
      <c r="F29" s="294"/>
      <c r="G29" s="294"/>
      <c r="H29" s="348"/>
      <c r="I29" s="34" t="s">
        <v>12</v>
      </c>
      <c r="J29" s="280"/>
      <c r="K29" s="284"/>
      <c r="L29" s="302"/>
      <c r="M29" s="302">
        <f>AVERAGE([5]Brewhouse!$AU$16:$AU$23,[5]Brewhouse!$AU$25:$AU$32,[5]Brewhouse!$AU$34:$AU$41,[5]Brewhouse!$AU$43:$AU$55)</f>
        <v>96.793456653928644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29"/>
      <c r="C30" s="362"/>
      <c r="D30" s="537"/>
      <c r="E30" s="534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AVERAGE([6]Brewhouse!$AV$23:$AV$34,[6]Brewhouse!$AV$36,[6]Brewhouse!$AV$38:$AV$52,[6]Brewhouse!$AV$54:$AV$60)</f>
        <v>97.437512946773296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9"/>
      <c r="C31" s="362"/>
      <c r="D31" s="535"/>
      <c r="E31" s="536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9"/>
      <c r="C32" s="362"/>
      <c r="D32" s="537"/>
      <c r="E32" s="534"/>
      <c r="F32" s="417"/>
      <c r="G32" s="294"/>
      <c r="H32" s="348"/>
      <c r="I32" s="36" t="s">
        <v>15</v>
      </c>
      <c r="J32" s="323"/>
      <c r="K32" s="284">
        <f>COUNTA([7]Brewhouse!$A$13:$A$16)</f>
        <v>4</v>
      </c>
      <c r="L32" s="302">
        <f>AVERAGE([7]Brewhouse!$AT$13:$AT$16)</f>
        <v>88.962677106311475</v>
      </c>
      <c r="M32" s="302">
        <f>AVERAGE([7]Brewhouse!$AT$4:$AT$11,[7]Brewhouse!$AT$13:$AT$16)</f>
        <v>91.538375374138752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9"/>
      <c r="C33" s="362"/>
      <c r="D33" s="535"/>
      <c r="E33" s="536"/>
      <c r="F33" s="417"/>
      <c r="G33" s="294"/>
      <c r="H33" s="348"/>
      <c r="I33" s="37" t="s">
        <v>16</v>
      </c>
      <c r="J33" s="323"/>
      <c r="K33" s="284"/>
      <c r="L33" s="302"/>
      <c r="M33" s="302">
        <f>AVERAGE([8]Brewhouse!$AY$5:$AY$14,[8]Brewhouse!$AY$16:$AY$23,[8]Brewhouse!$AY$42,[8]Brewhouse!$AY$44:$AY$51)</f>
        <v>97.608428475776392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9"/>
      <c r="C34" s="362"/>
      <c r="D34" s="537"/>
      <c r="E34" s="534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29"/>
      <c r="C35" s="349"/>
      <c r="D35" s="535"/>
      <c r="E35" s="536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29"/>
      <c r="C36" s="349"/>
      <c r="D36" s="537"/>
      <c r="E36" s="534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29"/>
      <c r="C37" s="349"/>
      <c r="D37" s="531"/>
      <c r="E37" s="532"/>
      <c r="F37" s="294"/>
      <c r="G37" s="294"/>
      <c r="H37" s="348"/>
      <c r="I37" s="1"/>
      <c r="J37" s="39"/>
      <c r="K37" s="404">
        <f>SUM(K27:K36)</f>
        <v>51</v>
      </c>
      <c r="L37" s="405">
        <f>((L27*K27)+(L28*K28)+(L29*K29)+(L30*K30)+(L31*K31)+(K34*L34)+(L32*K32)+(L33*K33)+(L36*K36))/(K37)</f>
        <v>97.166050495186738</v>
      </c>
      <c r="M37" s="405">
        <f>AVERAGE('[9]Jan30th-31st'!$L$42,L37)</f>
        <v>97.497046115514109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30"/>
      <c r="C38" s="350"/>
      <c r="D38" s="533"/>
      <c r="E38" s="534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28"/>
      <c r="C39" s="362"/>
      <c r="D39" s="539"/>
      <c r="E39" s="540"/>
      <c r="F39" s="294"/>
      <c r="G39" s="42"/>
      <c r="H39" s="41"/>
      <c r="I39" s="42"/>
      <c r="J39" s="541" t="s">
        <v>129</v>
      </c>
      <c r="K39" s="541"/>
      <c r="L39" s="294"/>
      <c r="M39" s="294"/>
      <c r="N39" s="294"/>
      <c r="O39" s="294"/>
      <c r="P39" s="12"/>
    </row>
    <row r="40" spans="1:56" ht="15.75" thickBot="1">
      <c r="B40" s="529"/>
      <c r="C40" s="362"/>
      <c r="D40" s="537"/>
      <c r="E40" s="534"/>
      <c r="F40" s="294"/>
      <c r="G40" s="42"/>
      <c r="H40" s="42"/>
      <c r="I40" s="42"/>
      <c r="J40" s="292" t="s">
        <v>17</v>
      </c>
      <c r="K40" s="293" t="s">
        <v>172</v>
      </c>
      <c r="L40" s="542" t="s">
        <v>136</v>
      </c>
      <c r="M40" s="542"/>
      <c r="N40" s="543"/>
      <c r="O40" s="294"/>
      <c r="P40" s="12"/>
    </row>
    <row r="41" spans="1:56" ht="15" customHeight="1" thickBot="1">
      <c r="B41" s="529"/>
      <c r="C41" s="349"/>
      <c r="D41" s="535"/>
      <c r="E41" s="536"/>
      <c r="F41" s="294"/>
      <c r="G41" s="42"/>
      <c r="H41" s="42"/>
      <c r="I41" s="42"/>
      <c r="J41" s="287" t="s">
        <v>6</v>
      </c>
      <c r="K41" s="324">
        <v>7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9"/>
      <c r="C42" s="349"/>
      <c r="D42" s="537"/>
      <c r="E42" s="534"/>
      <c r="F42" s="294"/>
      <c r="G42" s="42"/>
      <c r="H42" s="42"/>
      <c r="I42" s="42"/>
      <c r="J42" s="345" t="s">
        <v>9</v>
      </c>
      <c r="K42" s="324"/>
      <c r="L42" s="344">
        <f>AVERAGE('May 2nd-23rd'!J53,'May 2nd-23rd'!K53,'May 4th'!K51,'May 5th'!K47,'May 6th'!K54,'May 7th'!K48,'May 11th'!K51,'May 8th -9th'!K55,'May 8th -9th'!J55)</f>
        <v>5.5555555555555554</v>
      </c>
      <c r="M42" s="325">
        <f>AVERAGE('[9]Jan30th-31st'!$L$47,L42,'[10]Feb 26th '!$L$39,'[11]Mar 31st'!$L$47,'[12]Apr 30th'!$L$46)</f>
        <v>6.3185024154589371</v>
      </c>
      <c r="N42" s="416">
        <v>9.1999999999999993</v>
      </c>
      <c r="O42" s="294"/>
      <c r="P42" s="12"/>
    </row>
    <row r="43" spans="1:56" ht="15" customHeight="1">
      <c r="B43" s="529"/>
      <c r="C43" s="349"/>
      <c r="D43" s="535"/>
      <c r="E43" s="536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9"/>
      <c r="C44" s="349"/>
      <c r="D44" s="537"/>
      <c r="E44" s="534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9"/>
      <c r="C45" s="349"/>
      <c r="D45" s="535"/>
      <c r="E45" s="536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9"/>
      <c r="C46" s="349"/>
      <c r="D46" s="537"/>
      <c r="E46" s="534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9"/>
      <c r="C47" s="349"/>
      <c r="D47" s="535"/>
      <c r="E47" s="536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38"/>
      <c r="C48" s="350"/>
      <c r="D48" s="544"/>
      <c r="E48" s="545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1:57" ht="17.649999999999999" customHeight="1" thickBot="1">
      <c r="B49" s="312" t="s">
        <v>139</v>
      </c>
      <c r="C49" s="313"/>
      <c r="D49" s="546"/>
      <c r="E49" s="547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1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1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7</v>
      </c>
      <c r="L51" s="294"/>
      <c r="M51" s="294"/>
      <c r="N51" s="294"/>
      <c r="O51" s="294"/>
      <c r="P51" s="12"/>
    </row>
    <row r="52" spans="1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1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1:57" ht="15" customHeight="1" thickBot="1">
      <c r="B54" s="548" t="s">
        <v>17</v>
      </c>
      <c r="C54" s="548" t="s">
        <v>44</v>
      </c>
      <c r="D54" s="551" t="s">
        <v>45</v>
      </c>
      <c r="E54" s="516" t="s">
        <v>46</v>
      </c>
      <c r="F54" s="565" t="s">
        <v>47</v>
      </c>
      <c r="G54" s="560" t="s">
        <v>48</v>
      </c>
      <c r="H54" s="548" t="s">
        <v>49</v>
      </c>
      <c r="I54" s="548" t="s">
        <v>50</v>
      </c>
      <c r="J54" s="554" t="s">
        <v>28</v>
      </c>
      <c r="K54" s="514" t="s">
        <v>51</v>
      </c>
      <c r="L54" s="563" t="s">
        <v>52</v>
      </c>
      <c r="M54" s="554" t="s">
        <v>53</v>
      </c>
      <c r="N54" s="13"/>
      <c r="O54" s="13"/>
      <c r="P54" s="50"/>
    </row>
    <row r="55" spans="1:57" ht="28.5" customHeight="1" thickTop="1" thickBot="1">
      <c r="B55" s="549"/>
      <c r="C55" s="550"/>
      <c r="D55" s="552"/>
      <c r="E55" s="553"/>
      <c r="F55" s="566"/>
      <c r="G55" s="561"/>
      <c r="H55" s="549"/>
      <c r="I55" s="549"/>
      <c r="J55" s="555"/>
      <c r="K55" s="562"/>
      <c r="L55" s="564"/>
      <c r="M55" s="555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1:57" s="54" customFormat="1" ht="36.75" customHeight="1" thickBot="1">
      <c r="B56" s="480" t="str">
        <f>I27</f>
        <v>CARIB</v>
      </c>
      <c r="C56" s="479">
        <v>46153</v>
      </c>
      <c r="D56" s="442">
        <f>[32]May_2026!$M$3</f>
        <v>102.80000000000001</v>
      </c>
      <c r="E56" s="443"/>
      <c r="F56" s="444"/>
      <c r="G56" s="445">
        <f>[32]May_2026!$M$7</f>
        <v>93.5</v>
      </c>
      <c r="H56" s="458"/>
      <c r="I56" s="458"/>
      <c r="J56" s="448" t="s">
        <v>173</v>
      </c>
      <c r="K56" s="449">
        <f>[34]May_2026!$M$18</f>
        <v>0.32807017543859651</v>
      </c>
      <c r="L56" s="457">
        <f>(((D56+E56)-G56)/(D56+E56))*100</f>
        <v>9.0466926070038998</v>
      </c>
      <c r="M56" s="455" t="s">
        <v>201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[13]January_2019!L5</f>
        <v>0</v>
      </c>
      <c r="AC56" s="57">
        <f>[13]January_2019!M5</f>
        <v>0</v>
      </c>
      <c r="AD56" s="57">
        <f>[13]January_2019!N5</f>
        <v>0</v>
      </c>
      <c r="AE56" s="57">
        <f>[13]January_2019!O5</f>
        <v>0</v>
      </c>
      <c r="AF56" s="57">
        <f>[13]January_2019!P5</f>
        <v>0</v>
      </c>
      <c r="AG56" s="57">
        <f>[13]January_2019!Q5</f>
        <v>0</v>
      </c>
      <c r="AH56" s="57">
        <f>[13]January_2019!R5</f>
        <v>0</v>
      </c>
      <c r="AI56" s="57">
        <f>[13]January_2019!S5</f>
        <v>0</v>
      </c>
      <c r="AJ56" s="57">
        <f>[13]January_2019!T5</f>
        <v>0</v>
      </c>
      <c r="AK56" s="57">
        <f>[13]January_2019!U5</f>
        <v>0</v>
      </c>
      <c r="AL56" s="57">
        <f>[13]January_2019!V5</f>
        <v>0</v>
      </c>
      <c r="AM56" s="57">
        <f>[13]January_2019!W5</f>
        <v>0</v>
      </c>
      <c r="AN56" s="57">
        <f>[13]January_2019!X5</f>
        <v>0</v>
      </c>
      <c r="AO56" s="57">
        <f>[13]January_2019!Y5</f>
        <v>0</v>
      </c>
      <c r="AP56" s="57">
        <f>[13]January_2019!Z5</f>
        <v>0</v>
      </c>
      <c r="AQ56" s="57">
        <f>[13]January_2019!AA5</f>
        <v>0</v>
      </c>
      <c r="AR56" s="57">
        <f>[13]January_2019!AB5</f>
        <v>0</v>
      </c>
      <c r="AS56" s="57">
        <f>[13]January_2019!AC5</f>
        <v>0</v>
      </c>
      <c r="AT56" s="57">
        <f>[13]January_2019!AD5</f>
        <v>0</v>
      </c>
      <c r="AU56" s="57">
        <f>[13]January_2019!AE5</f>
        <v>0</v>
      </c>
      <c r="AV56" s="57">
        <f>[13]January_2019!AF5</f>
        <v>0</v>
      </c>
      <c r="AW56" s="57">
        <f>[13]January_2019!AG5</f>
        <v>0</v>
      </c>
      <c r="AX56" s="277">
        <f>[13]January_2019!AH5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4.25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[13]January_2019!L6</f>
        <v>0</v>
      </c>
      <c r="AC57" s="57">
        <f>[13]January_2019!M6</f>
        <v>0</v>
      </c>
      <c r="AD57" s="57">
        <f>[13]January_2019!N6</f>
        <v>0</v>
      </c>
      <c r="AE57" s="57">
        <f>[13]January_2019!O6</f>
        <v>0</v>
      </c>
      <c r="AF57" s="57">
        <f>[13]January_2019!P6</f>
        <v>0</v>
      </c>
      <c r="AG57" s="57">
        <f>[13]January_2019!Q6</f>
        <v>0</v>
      </c>
      <c r="AH57" s="57">
        <f>[13]January_2019!R6</f>
        <v>0</v>
      </c>
      <c r="AI57" s="57">
        <f>[13]January_2019!S6</f>
        <v>0</v>
      </c>
      <c r="AJ57" s="57">
        <f>[13]January_2019!T6</f>
        <v>0</v>
      </c>
      <c r="AK57" s="57">
        <f>[13]January_2019!U6</f>
        <v>0</v>
      </c>
      <c r="AL57" s="57">
        <f>[13]January_2019!V6</f>
        <v>0</v>
      </c>
      <c r="AM57" s="57">
        <f>[13]January_2019!W6</f>
        <v>0</v>
      </c>
      <c r="AN57" s="57">
        <f>[13]January_2019!X6</f>
        <v>0</v>
      </c>
      <c r="AO57" s="57">
        <f>[13]January_2019!Y6</f>
        <v>0</v>
      </c>
      <c r="AP57" s="57">
        <f>[13]January_2019!Z6</f>
        <v>0</v>
      </c>
      <c r="AQ57" s="57">
        <f>[13]January_2019!AA6</f>
        <v>0</v>
      </c>
      <c r="AR57" s="57">
        <f>[13]January_2019!AB6</f>
        <v>0</v>
      </c>
      <c r="AS57" s="57">
        <f>[13]January_2019!AC6</f>
        <v>0</v>
      </c>
      <c r="AT57" s="57">
        <f>[13]January_2019!AD6</f>
        <v>0</v>
      </c>
      <c r="AU57" s="57">
        <f>[13]January_2019!AE6</f>
        <v>0</v>
      </c>
      <c r="AV57" s="57">
        <f>[13]January_2019!AF6</f>
        <v>0</v>
      </c>
      <c r="AW57" s="57">
        <f>[13]January_2019!AG6</f>
        <v>0</v>
      </c>
      <c r="AX57" s="277">
        <f>[13]January_2019!AH6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37.15" customHeight="1" thickBot="1">
      <c r="A58" s="54" t="s">
        <v>168</v>
      </c>
      <c r="B58" s="480" t="str">
        <f>I27</f>
        <v>CARIB</v>
      </c>
      <c r="C58" s="479">
        <v>46153</v>
      </c>
      <c r="D58" s="442">
        <f>[32]May_2026!$N$3</f>
        <v>501.60000000000008</v>
      </c>
      <c r="E58" s="443"/>
      <c r="F58" s="444"/>
      <c r="G58" s="445">
        <f>[32]May_2026!$N$7</f>
        <v>476.79999999999995</v>
      </c>
      <c r="H58" s="458"/>
      <c r="I58" s="458"/>
      <c r="J58" s="448" t="s">
        <v>202</v>
      </c>
      <c r="K58" s="449">
        <f>[34]May_2026!$N$18</f>
        <v>0.2788304093567251</v>
      </c>
      <c r="L58" s="457">
        <f>(((D58+E58)-G58)/(D58+E58))*100</f>
        <v>4.9441786283891789</v>
      </c>
      <c r="M58" s="455" t="s">
        <v>201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[13]January_2019!L7</f>
        <v>285.8</v>
      </c>
      <c r="AC58" s="57">
        <f>[13]January_2019!M7</f>
        <v>508.1</v>
      </c>
      <c r="AD58" s="57">
        <f>[13]January_2019!N7</f>
        <v>0</v>
      </c>
      <c r="AE58" s="57">
        <f>[13]January_2019!O7</f>
        <v>0</v>
      </c>
      <c r="AF58" s="57">
        <f>[13]January_2019!P7</f>
        <v>109.56666666666666</v>
      </c>
      <c r="AG58" s="57">
        <f>[13]January_2019!Q7</f>
        <v>297.64999999999998</v>
      </c>
      <c r="AH58" s="57">
        <f>[13]January_2019!R7</f>
        <v>122.3</v>
      </c>
      <c r="AI58" s="57">
        <f>[13]January_2019!S7</f>
        <v>0</v>
      </c>
      <c r="AJ58" s="57">
        <f>[13]January_2019!T7</f>
        <v>294.7</v>
      </c>
      <c r="AK58" s="57">
        <f>[13]January_2019!U7</f>
        <v>280.5</v>
      </c>
      <c r="AL58" s="57">
        <f>[13]January_2019!V7</f>
        <v>0</v>
      </c>
      <c r="AM58" s="57">
        <f>[13]January_2019!W7</f>
        <v>0</v>
      </c>
      <c r="AN58" s="57">
        <f>[13]January_2019!X7</f>
        <v>188.25</v>
      </c>
      <c r="AO58" s="57">
        <f>[13]January_2019!Y7</f>
        <v>295.7</v>
      </c>
      <c r="AP58" s="57">
        <f>[13]January_2019!Z7</f>
        <v>257.8</v>
      </c>
      <c r="AQ58" s="57">
        <f>[13]January_2019!AA7</f>
        <v>291.2</v>
      </c>
      <c r="AR58" s="57">
        <f>[13]January_2019!AB7</f>
        <v>187</v>
      </c>
      <c r="AS58" s="57">
        <f>[13]January_2019!AC7</f>
        <v>0</v>
      </c>
      <c r="AT58" s="57">
        <f>[13]January_2019!AD7</f>
        <v>0</v>
      </c>
      <c r="AU58" s="57">
        <f>[13]January_2019!AE7</f>
        <v>485.1</v>
      </c>
      <c r="AV58" s="57">
        <f>[13]January_2019!AF7</f>
        <v>171.55</v>
      </c>
      <c r="AW58" s="57">
        <f>[13]January_2019!AG7</f>
        <v>423.8</v>
      </c>
      <c r="AX58" s="277">
        <f>[13]January_2019!AH7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9.5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8.450000000000003" hidden="1" customHeight="1" thickBot="1">
      <c r="B60" s="480"/>
      <c r="C60" s="479"/>
      <c r="D60" s="442"/>
      <c r="E60" s="443"/>
      <c r="F60" s="444"/>
      <c r="G60" s="445"/>
      <c r="H60" s="458"/>
      <c r="I60" s="458"/>
      <c r="J60" s="448"/>
      <c r="K60" s="45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B62" s="480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1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56" t="s">
        <v>55</v>
      </c>
      <c r="C67" s="557"/>
      <c r="D67" s="557"/>
      <c r="E67" s="557"/>
      <c r="F67" s="558"/>
      <c r="G67" s="556" t="s">
        <v>56</v>
      </c>
      <c r="H67" s="557"/>
      <c r="I67" s="557"/>
      <c r="J67" s="558"/>
      <c r="K67" s="556" t="s">
        <v>51</v>
      </c>
      <c r="L67" s="557"/>
      <c r="M67" s="557"/>
      <c r="N67" s="559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/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>
        <f>AVERAGE(L56,L58)</f>
        <v>6.9954356176965398</v>
      </c>
      <c r="D69" s="76">
        <v>6.0280578693554983</v>
      </c>
      <c r="E69" s="76">
        <v>6.7343546069159004</v>
      </c>
      <c r="F69" s="66">
        <v>4.8</v>
      </c>
      <c r="G69" s="65">
        <f>AVERAGE([32]May_2026!$M$11:$N$11)</f>
        <v>7.9475587402734531</v>
      </c>
      <c r="H69" s="477">
        <v>6.1737418812095832</v>
      </c>
      <c r="I69" s="477">
        <v>6.4186889281491899</v>
      </c>
      <c r="J69" s="66">
        <v>4.8</v>
      </c>
      <c r="K69" s="67">
        <f>AVERAGE(K56,K58)</f>
        <v>0.3034502923976608</v>
      </c>
      <c r="L69" s="194">
        <v>0.50247953216374275</v>
      </c>
      <c r="M69" s="194">
        <v>0.47941368157834274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5.9521790741054623</v>
      </c>
      <c r="E70" s="76">
        <v>6.3038269924221453</v>
      </c>
      <c r="F70" s="66">
        <v>4.8</v>
      </c>
      <c r="G70" s="65"/>
      <c r="H70" s="76">
        <v>5.6002539008647689</v>
      </c>
      <c r="I70" s="76">
        <v>5.6036172408817846</v>
      </c>
      <c r="J70" s="66">
        <v>4.8</v>
      </c>
      <c r="K70" s="67"/>
      <c r="L70" s="194">
        <v>0.37403508771929828</v>
      </c>
      <c r="M70" s="194">
        <v>0.68732636611359599</v>
      </c>
      <c r="N70" s="68">
        <v>1</v>
      </c>
      <c r="P70" s="69"/>
    </row>
    <row r="71" spans="2:57" ht="15">
      <c r="B71" s="34" t="s">
        <v>40</v>
      </c>
      <c r="C71" s="65"/>
      <c r="D71" s="76">
        <v>10.182228066879567</v>
      </c>
      <c r="E71" s="76">
        <v>11.735537190082644</v>
      </c>
      <c r="F71" s="66">
        <v>5.5</v>
      </c>
      <c r="G71" s="65"/>
      <c r="H71" s="76">
        <v>11.362028737847183</v>
      </c>
      <c r="I71" s="76">
        <v>12.769538510720032</v>
      </c>
      <c r="J71" s="66">
        <v>5.5</v>
      </c>
      <c r="K71" s="67"/>
      <c r="L71" s="194">
        <v>0.23824561403508773</v>
      </c>
      <c r="M71" s="194">
        <v>0.26411513157894739</v>
      </c>
      <c r="N71" s="68">
        <v>1</v>
      </c>
      <c r="P71" s="69"/>
    </row>
    <row r="72" spans="2:57" ht="15">
      <c r="B72" s="22" t="s">
        <v>33</v>
      </c>
      <c r="C72" s="65"/>
      <c r="D72" s="76">
        <v>4.8532569792412277</v>
      </c>
      <c r="E72" s="76">
        <v>4.6518562695690884</v>
      </c>
      <c r="F72" s="66">
        <v>3.3</v>
      </c>
      <c r="G72" s="65"/>
      <c r="H72" s="76">
        <v>4.7372529705103688</v>
      </c>
      <c r="I72" s="76">
        <v>4.4089875005606158</v>
      </c>
      <c r="J72" s="66">
        <v>3.3</v>
      </c>
      <c r="K72" s="67"/>
      <c r="L72" s="194">
        <v>0.58298245614035094</v>
      </c>
      <c r="M72" s="194">
        <v>0.74716374269005859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5.1105651105651271</v>
      </c>
      <c r="F74" s="487">
        <v>5.5</v>
      </c>
      <c r="G74" s="282"/>
      <c r="H74" s="76"/>
      <c r="I74" s="76">
        <v>7.9131369535794072</v>
      </c>
      <c r="J74" s="66">
        <v>5.5</v>
      </c>
      <c r="K74" s="67"/>
      <c r="L74" s="194"/>
      <c r="M74" s="194">
        <v>1.3550877192982456</v>
      </c>
      <c r="N74" s="68">
        <v>1</v>
      </c>
      <c r="P74" s="69"/>
    </row>
    <row r="75" spans="2:57" ht="15">
      <c r="B75" s="37" t="s">
        <v>16</v>
      </c>
      <c r="C75" s="65"/>
      <c r="D75" s="76"/>
      <c r="E75" s="76">
        <v>3.9654240950837312</v>
      </c>
      <c r="F75" s="66">
        <v>3.3</v>
      </c>
      <c r="G75" s="282"/>
      <c r="H75" s="76"/>
      <c r="I75" s="76">
        <v>4.8236555171494695</v>
      </c>
      <c r="J75" s="66">
        <v>3.3</v>
      </c>
      <c r="K75" s="67"/>
      <c r="L75" s="194"/>
      <c r="M75" s="194">
        <v>0.89457115009746591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6.5608834817432582</v>
      </c>
      <c r="E78" s="76">
        <v>6.6118795815617828</v>
      </c>
      <c r="F78" s="341">
        <v>5.5</v>
      </c>
      <c r="H78" s="76">
        <v>7.0165464907299597</v>
      </c>
      <c r="I78" s="76">
        <v>6.5710286538727276</v>
      </c>
      <c r="J78" s="341">
        <v>5.5</v>
      </c>
      <c r="L78" s="194">
        <v>0.44572036150983524</v>
      </c>
      <c r="M78" s="194">
        <v>0.55608393295065628</v>
      </c>
      <c r="N78" s="386">
        <v>1</v>
      </c>
    </row>
  </sheetData>
  <mergeCells count="51"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2591" priority="97" operator="notBetween">
      <formula>#REF!</formula>
      <formula>#REF!</formula>
    </cfRule>
  </conditionalFormatting>
  <conditionalFormatting sqref="C53">
    <cfRule type="cellIs" dxfId="2590" priority="186" stopIfTrue="1" operator="lessThan">
      <formula>96</formula>
    </cfRule>
    <cfRule type="cellIs" dxfId="2589" priority="187" stopIfTrue="1" operator="greaterThan">
      <formula>100</formula>
    </cfRule>
  </conditionalFormatting>
  <conditionalFormatting sqref="C69:C73">
    <cfRule type="cellIs" dxfId="2588" priority="47" stopIfTrue="1" operator="lessThanOrEqual">
      <formula>0</formula>
    </cfRule>
  </conditionalFormatting>
  <conditionalFormatting sqref="C69:C77">
    <cfRule type="cellIs" dxfId="2587" priority="46" stopIfTrue="1" operator="greaterThan">
      <formula>$F69</formula>
    </cfRule>
  </conditionalFormatting>
  <conditionalFormatting sqref="C70">
    <cfRule type="cellIs" dxfId="2586" priority="49" stopIfTrue="1" operator="greaterThan">
      <formula>$F69</formula>
    </cfRule>
  </conditionalFormatting>
  <conditionalFormatting sqref="C74">
    <cfRule type="cellIs" dxfId="2585" priority="45" stopIfTrue="1" operator="greaterThan">
      <formula>$F73</formula>
    </cfRule>
    <cfRule type="cellIs" dxfId="2584" priority="44" stopIfTrue="1" operator="lessThanOrEqual">
      <formula>0</formula>
    </cfRule>
  </conditionalFormatting>
  <conditionalFormatting sqref="C75:C77">
    <cfRule type="cellIs" dxfId="2583" priority="48" stopIfTrue="1" operator="lessThanOrEqual">
      <formula>0</formula>
    </cfRule>
  </conditionalFormatting>
  <conditionalFormatting sqref="C80:C84">
    <cfRule type="cellIs" dxfId="2582" priority="178" stopIfTrue="1" operator="lessThanOrEqual">
      <formula>0</formula>
    </cfRule>
  </conditionalFormatting>
  <conditionalFormatting sqref="C81:C84">
    <cfRule type="cellIs" dxfId="2581" priority="177" stopIfTrue="1" operator="greaterThan">
      <formula>$F$80</formula>
    </cfRule>
  </conditionalFormatting>
  <conditionalFormatting sqref="C86">
    <cfRule type="cellIs" dxfId="2580" priority="180" stopIfTrue="1" operator="lessThanOrEqual">
      <formula>0</formula>
    </cfRule>
    <cfRule type="cellIs" dxfId="2579" priority="179" stopIfTrue="1" operator="greaterThan">
      <formula>$F$80</formula>
    </cfRule>
  </conditionalFormatting>
  <conditionalFormatting sqref="C80:D80 D82:D88">
    <cfRule type="cellIs" dxfId="2578" priority="172" stopIfTrue="1" operator="greaterThan">
      <formula>4.5</formula>
    </cfRule>
  </conditionalFormatting>
  <conditionalFormatting sqref="D49:D50">
    <cfRule type="cellIs" dxfId="2577" priority="98" operator="notBetween">
      <formula>#REF!</formula>
      <formula>#REF!</formula>
    </cfRule>
  </conditionalFormatting>
  <conditionalFormatting sqref="D69:D76">
    <cfRule type="cellIs" dxfId="2576" priority="38" stopIfTrue="1" operator="lessThanOrEqual">
      <formula>0</formula>
    </cfRule>
  </conditionalFormatting>
  <conditionalFormatting sqref="D69:D78">
    <cfRule type="cellIs" dxfId="2575" priority="21" stopIfTrue="1" operator="lessThanOrEqual">
      <formula>0</formula>
    </cfRule>
  </conditionalFormatting>
  <conditionalFormatting sqref="D77">
    <cfRule type="cellIs" dxfId="2574" priority="37" stopIfTrue="1" operator="lessThanOrEqual">
      <formula>0</formula>
    </cfRule>
  </conditionalFormatting>
  <conditionalFormatting sqref="D78">
    <cfRule type="cellIs" dxfId="2573" priority="34" stopIfTrue="1" operator="lessThanOrEqual">
      <formula>0</formula>
    </cfRule>
  </conditionalFormatting>
  <conditionalFormatting sqref="D80 D82:D88">
    <cfRule type="cellIs" dxfId="2572" priority="173" stopIfTrue="1" operator="lessThanOrEqual">
      <formula>0</formula>
    </cfRule>
  </conditionalFormatting>
  <conditionalFormatting sqref="D81">
    <cfRule type="cellIs" dxfId="2571" priority="164" stopIfTrue="1" operator="greaterThan">
      <formula>$F$80</formula>
    </cfRule>
    <cfRule type="cellIs" dxfId="2570" priority="165" stopIfTrue="1" operator="lessThanOrEqual">
      <formula>0</formula>
    </cfRule>
  </conditionalFormatting>
  <conditionalFormatting sqref="D69:E78">
    <cfRule type="cellIs" dxfId="2569" priority="23" stopIfTrue="1" operator="greaterThan">
      <formula>$F69</formula>
    </cfRule>
  </conditionalFormatting>
  <conditionalFormatting sqref="D78:E78">
    <cfRule type="cellIs" dxfId="2568" priority="25" stopIfTrue="1" operator="lessThanOrEqual">
      <formula>0</formula>
    </cfRule>
  </conditionalFormatting>
  <conditionalFormatting sqref="E10:E24">
    <cfRule type="cellIs" dxfId="2567" priority="1" operator="lessThan">
      <formula>48</formula>
    </cfRule>
  </conditionalFormatting>
  <conditionalFormatting sqref="E52 E53:F53">
    <cfRule type="cellIs" dxfId="2566" priority="169" stopIfTrue="1" operator="greaterThan">
      <formula>100</formula>
    </cfRule>
  </conditionalFormatting>
  <conditionalFormatting sqref="E53">
    <cfRule type="cellIs" dxfId="2565" priority="167" stopIfTrue="1" operator="greaterThan">
      <formula>100</formula>
    </cfRule>
    <cfRule type="cellIs" dxfId="2564" priority="166" stopIfTrue="1" operator="lessThan">
      <formula>96.8</formula>
    </cfRule>
  </conditionalFormatting>
  <conditionalFormatting sqref="E69:E77">
    <cfRule type="cellIs" dxfId="2563" priority="22" stopIfTrue="1" operator="lessThanOrEqual">
      <formula>0</formula>
    </cfRule>
  </conditionalFormatting>
  <conditionalFormatting sqref="E69:E78">
    <cfRule type="cellIs" dxfId="2562" priority="24" stopIfTrue="1" operator="lessThanOrEqual">
      <formula>0</formula>
    </cfRule>
  </conditionalFormatting>
  <conditionalFormatting sqref="E80:E88">
    <cfRule type="cellIs" dxfId="2561" priority="159" stopIfTrue="1" operator="lessThanOrEqual">
      <formula>0</formula>
    </cfRule>
    <cfRule type="cellIs" dxfId="2560" priority="158" stopIfTrue="1" operator="greaterThan">
      <formula>4.5</formula>
    </cfRule>
  </conditionalFormatting>
  <conditionalFormatting sqref="E53:F53 E52">
    <cfRule type="cellIs" dxfId="2559" priority="168" stopIfTrue="1" operator="lessThan">
      <formula>96.5</formula>
    </cfRule>
  </conditionalFormatting>
  <conditionalFormatting sqref="F10:F18">
    <cfRule type="cellIs" dxfId="2558" priority="8" operator="greaterThan">
      <formula>60</formula>
    </cfRule>
  </conditionalFormatting>
  <conditionalFormatting sqref="F21:F24">
    <cfRule type="cellIs" dxfId="2557" priority="82" operator="greaterThan">
      <formula>60</formula>
    </cfRule>
  </conditionalFormatting>
  <conditionalFormatting sqref="F53">
    <cfRule type="cellIs" dxfId="2556" priority="185" stopIfTrue="1" operator="greaterThan">
      <formula>100</formula>
    </cfRule>
    <cfRule type="cellIs" dxfId="2555" priority="184" stopIfTrue="1" operator="lessThan">
      <formula>96.8</formula>
    </cfRule>
  </conditionalFormatting>
  <conditionalFormatting sqref="F78">
    <cfRule type="cellIs" dxfId="2554" priority="35" stopIfTrue="1" operator="greaterThan">
      <formula>$F78</formula>
    </cfRule>
    <cfRule type="cellIs" dxfId="2553" priority="36" stopIfTrue="1" operator="lessThanOrEqual">
      <formula>0</formula>
    </cfRule>
  </conditionalFormatting>
  <conditionalFormatting sqref="G10:G24">
    <cfRule type="expression" dxfId="2552" priority="12">
      <formula>IF(+(IF(G10&lt;S10,0,IF(G10&gt;T10,0,1)))=0,1)</formula>
    </cfRule>
  </conditionalFormatting>
  <conditionalFormatting sqref="G69:G70">
    <cfRule type="cellIs" dxfId="2551" priority="40" stopIfTrue="1" operator="lessThanOrEqual">
      <formula>0</formula>
    </cfRule>
    <cfRule type="cellIs" dxfId="2550" priority="39" stopIfTrue="1" operator="greaterThan">
      <formula>$F69</formula>
    </cfRule>
  </conditionalFormatting>
  <conditionalFormatting sqref="G69:G72">
    <cfRule type="cellIs" dxfId="2549" priority="16" stopIfTrue="1" operator="greaterThan">
      <formula>$F69</formula>
    </cfRule>
    <cfRule type="cellIs" dxfId="2548" priority="17" stopIfTrue="1" operator="lessThanOrEqual">
      <formula>0</formula>
    </cfRule>
  </conditionalFormatting>
  <conditionalFormatting sqref="G71">
    <cfRule type="cellIs" dxfId="2547" priority="14" stopIfTrue="1" operator="greaterThan">
      <formula>$F71</formula>
    </cfRule>
    <cfRule type="cellIs" dxfId="2546" priority="15" stopIfTrue="1" operator="lessThanOrEqual">
      <formula>0</formula>
    </cfRule>
  </conditionalFormatting>
  <conditionalFormatting sqref="G72">
    <cfRule type="cellIs" dxfId="2545" priority="29" stopIfTrue="1" operator="greaterThan">
      <formula>$F72</formula>
    </cfRule>
    <cfRule type="cellIs" dxfId="2544" priority="30" stopIfTrue="1" operator="lessThanOrEqual">
      <formula>0</formula>
    </cfRule>
  </conditionalFormatting>
  <conditionalFormatting sqref="G73:G77">
    <cfRule type="cellIs" dxfId="2543" priority="41" stopIfTrue="1" operator="greaterThan">
      <formula>$J73</formula>
    </cfRule>
    <cfRule type="cellIs" dxfId="2542" priority="42" stopIfTrue="1" operator="lessThanOrEqual">
      <formula>0</formula>
    </cfRule>
  </conditionalFormatting>
  <conditionalFormatting sqref="G82:G87 C85 C87">
    <cfRule type="cellIs" dxfId="2541" priority="182" stopIfTrue="1" operator="lessThanOrEqual">
      <formula>0</formula>
    </cfRule>
    <cfRule type="cellIs" dxfId="2540" priority="181" stopIfTrue="1" operator="greaterThan">
      <formula>4.5</formula>
    </cfRule>
  </conditionalFormatting>
  <conditionalFormatting sqref="G81:H81">
    <cfRule type="cellIs" dxfId="2539" priority="163" stopIfTrue="1" operator="lessThanOrEqual">
      <formula>0</formula>
    </cfRule>
    <cfRule type="cellIs" dxfId="2538" priority="162" stopIfTrue="1" operator="greaterThan">
      <formula>$F$80</formula>
    </cfRule>
  </conditionalFormatting>
  <conditionalFormatting sqref="H38:H39 H52">
    <cfRule type="cellIs" dxfId="2537" priority="160" stopIfTrue="1" operator="greaterThan">
      <formula>0</formula>
    </cfRule>
  </conditionalFormatting>
  <conditionalFormatting sqref="H56">
    <cfRule type="cellIs" dxfId="2536" priority="51" stopIfTrue="1" operator="lessThanOrEqual">
      <formula>0</formula>
    </cfRule>
    <cfRule type="cellIs" dxfId="2535" priority="52" stopIfTrue="1" operator="greaterThan">
      <formula>$F$66</formula>
    </cfRule>
    <cfRule type="cellIs" dxfId="2534" priority="60" stopIfTrue="1" operator="greaterThan">
      <formula>$F$69</formula>
    </cfRule>
    <cfRule type="cellIs" dxfId="2533" priority="61" stopIfTrue="1" operator="lessThanOrEqual">
      <formula>0</formula>
    </cfRule>
    <cfRule type="cellIs" dxfId="2532" priority="62" stopIfTrue="1" operator="greaterThan">
      <formula>$F$67</formula>
    </cfRule>
    <cfRule type="cellIs" dxfId="2531" priority="63" stopIfTrue="1" operator="lessThanOrEqual">
      <formula>0</formula>
    </cfRule>
  </conditionalFormatting>
  <conditionalFormatting sqref="H57:H58">
    <cfRule type="cellIs" dxfId="2530" priority="76" stopIfTrue="1" operator="greaterThan">
      <formula>$F$70</formula>
    </cfRule>
    <cfRule type="cellIs" dxfId="2529" priority="75" stopIfTrue="1" operator="lessThanOrEqual">
      <formula>0</formula>
    </cfRule>
    <cfRule type="cellIs" dxfId="2528" priority="65" stopIfTrue="1" operator="lessThanOrEqual">
      <formula>0</formula>
    </cfRule>
    <cfRule type="cellIs" dxfId="2527" priority="66" stopIfTrue="1" operator="greaterThan">
      <formula>$F$69</formula>
    </cfRule>
    <cfRule type="cellIs" dxfId="2526" priority="74" stopIfTrue="1" operator="greaterThan">
      <formula>$F$72</formula>
    </cfRule>
  </conditionalFormatting>
  <conditionalFormatting sqref="H57:H60">
    <cfRule type="cellIs" dxfId="2525" priority="77" stopIfTrue="1" operator="lessThanOrEqual">
      <formula>0</formula>
    </cfRule>
  </conditionalFormatting>
  <conditionalFormatting sqref="H59:H60">
    <cfRule type="cellIs" dxfId="2524" priority="91" stopIfTrue="1" operator="greaterThan">
      <formula>$F$72</formula>
    </cfRule>
    <cfRule type="cellIs" dxfId="2523" priority="92" stopIfTrue="1" operator="lessThanOrEqual">
      <formula>0</formula>
    </cfRule>
    <cfRule type="cellIs" dxfId="2522" priority="83" stopIfTrue="1" operator="greaterThan">
      <formula>$F$69</formula>
    </cfRule>
    <cfRule type="cellIs" dxfId="2521" priority="94" stopIfTrue="1" operator="lessThanOrEqual">
      <formula>0</formula>
    </cfRule>
    <cfRule type="cellIs" dxfId="2520" priority="93" stopIfTrue="1" operator="greaterThan">
      <formula>$F$70</formula>
    </cfRule>
  </conditionalFormatting>
  <conditionalFormatting sqref="H61:H62">
    <cfRule type="cellIs" dxfId="2519" priority="131" stopIfTrue="1" operator="greaterThan">
      <formula>$F$24</formula>
    </cfRule>
    <cfRule type="cellIs" dxfId="2518" priority="132" stopIfTrue="1" operator="lessThanOrEqual">
      <formula>0</formula>
    </cfRule>
    <cfRule type="cellIs" dxfId="2517" priority="133" stopIfTrue="1" operator="greaterThan">
      <formula>#REF!</formula>
    </cfRule>
    <cfRule type="cellIs" dxfId="2516" priority="134" stopIfTrue="1" operator="lessThanOrEqual">
      <formula>0</formula>
    </cfRule>
    <cfRule type="cellIs" dxfId="2515" priority="123" stopIfTrue="1" operator="greaterThan">
      <formula>#REF!</formula>
    </cfRule>
    <cfRule type="cellIs" dxfId="2514" priority="122" stopIfTrue="1" operator="lessThanOrEqual">
      <formula>0</formula>
    </cfRule>
  </conditionalFormatting>
  <conditionalFormatting sqref="H63">
    <cfRule type="cellIs" dxfId="2513" priority="136" stopIfTrue="1" operator="lessThanOrEqual">
      <formula>0</formula>
    </cfRule>
    <cfRule type="cellIs" dxfId="2512" priority="137" stopIfTrue="1" operator="greaterThan">
      <formula>$F$37</formula>
    </cfRule>
    <cfRule type="cellIs" dxfId="2511" priority="147" stopIfTrue="1" operator="greaterThan">
      <formula>$F$38</formula>
    </cfRule>
    <cfRule type="cellIs" dxfId="2510" priority="146" stopIfTrue="1" operator="lessThanOrEqual">
      <formula>0</formula>
    </cfRule>
    <cfRule type="cellIs" dxfId="2509" priority="145" stopIfTrue="1" operator="greaterThan">
      <formula>$F$40</formula>
    </cfRule>
    <cfRule type="cellIs" dxfId="2508" priority="148" stopIfTrue="1" operator="lessThanOrEqual">
      <formula>0</formula>
    </cfRule>
  </conditionalFormatting>
  <conditionalFormatting sqref="H64:H65">
    <cfRule type="cellIs" dxfId="2507" priority="109" stopIfTrue="1" operator="greaterThan">
      <formula>#REF!</formula>
    </cfRule>
    <cfRule type="cellIs" dxfId="2506" priority="108" stopIfTrue="1" operator="lessThanOrEqual">
      <formula>0</formula>
    </cfRule>
    <cfRule type="cellIs" dxfId="2505" priority="117" stopIfTrue="1" operator="greaterThan">
      <formula>$F$24</formula>
    </cfRule>
    <cfRule type="cellIs" dxfId="2504" priority="118" stopIfTrue="1" operator="lessThanOrEqual">
      <formula>0</formula>
    </cfRule>
    <cfRule type="cellIs" dxfId="2503" priority="119" stopIfTrue="1" operator="greaterThan">
      <formula>#REF!</formula>
    </cfRule>
    <cfRule type="cellIs" dxfId="2502" priority="120" stopIfTrue="1" operator="lessThanOrEqual">
      <formula>0</formula>
    </cfRule>
  </conditionalFormatting>
  <conditionalFormatting sqref="H80 H82:H88">
    <cfRule type="cellIs" dxfId="2501" priority="174" stopIfTrue="1" operator="greaterThan">
      <formula>4.5</formula>
    </cfRule>
    <cfRule type="cellIs" dxfId="2500" priority="175" stopIfTrue="1" operator="lessThanOrEqual">
      <formula>0</formula>
    </cfRule>
  </conditionalFormatting>
  <conditionalFormatting sqref="H56:I56">
    <cfRule type="cellIs" dxfId="2499" priority="50" stopIfTrue="1" operator="greaterThan">
      <formula>$F$68</formula>
    </cfRule>
    <cfRule type="cellIs" dxfId="2498" priority="53" stopIfTrue="1" operator="lessThanOrEqual">
      <formula>0</formula>
    </cfRule>
  </conditionalFormatting>
  <conditionalFormatting sqref="H57:I58">
    <cfRule type="cellIs" dxfId="2497" priority="67" stopIfTrue="1" operator="lessThanOrEqual">
      <formula>0</formula>
    </cfRule>
  </conditionalFormatting>
  <conditionalFormatting sqref="H57:I60">
    <cfRule type="cellIs" dxfId="2496" priority="64" stopIfTrue="1" operator="greaterThan">
      <formula>$F$71</formula>
    </cfRule>
  </conditionalFormatting>
  <conditionalFormatting sqref="H59:I60">
    <cfRule type="cellIs" dxfId="2495" priority="84" stopIfTrue="1" operator="lessThanOrEqual">
      <formula>0</formula>
    </cfRule>
  </conditionalFormatting>
  <conditionalFormatting sqref="H61:I62">
    <cfRule type="cellIs" dxfId="2494" priority="124" stopIfTrue="1" operator="lessThanOrEqual">
      <formula>0</formula>
    </cfRule>
    <cfRule type="cellIs" dxfId="2493" priority="121" stopIfTrue="1" operator="greaterThan">
      <formula>#REF!</formula>
    </cfRule>
  </conditionalFormatting>
  <conditionalFormatting sqref="H63:I63">
    <cfRule type="cellIs" dxfId="2492" priority="138" stopIfTrue="1" operator="lessThanOrEqual">
      <formula>0</formula>
    </cfRule>
    <cfRule type="cellIs" dxfId="2491" priority="135" stopIfTrue="1" operator="greaterThan">
      <formula>$F$39</formula>
    </cfRule>
  </conditionalFormatting>
  <conditionalFormatting sqref="H64:I65">
    <cfRule type="cellIs" dxfId="2490" priority="107" stopIfTrue="1" operator="greaterThan">
      <formula>#REF!</formula>
    </cfRule>
    <cfRule type="cellIs" dxfId="2489" priority="110" stopIfTrue="1" operator="lessThanOrEqual">
      <formula>0</formula>
    </cfRule>
  </conditionalFormatting>
  <conditionalFormatting sqref="H69:I76">
    <cfRule type="cellIs" dxfId="2488" priority="19" stopIfTrue="1" operator="greaterThan">
      <formula>$J69</formula>
    </cfRule>
    <cfRule type="cellIs" dxfId="2487" priority="20" stopIfTrue="1" operator="lessThanOrEqual">
      <formula>0</formula>
    </cfRule>
  </conditionalFormatting>
  <conditionalFormatting sqref="H77:I77">
    <cfRule type="cellIs" dxfId="2486" priority="28" operator="greaterThan">
      <formula>5.3</formula>
    </cfRule>
  </conditionalFormatting>
  <conditionalFormatting sqref="H78:I78">
    <cfRule type="cellIs" dxfId="2485" priority="26" stopIfTrue="1" operator="greaterThan">
      <formula>$J78</formula>
    </cfRule>
    <cfRule type="cellIs" dxfId="2484" priority="27" stopIfTrue="1" operator="lessThanOrEqual">
      <formula>0</formula>
    </cfRule>
  </conditionalFormatting>
  <conditionalFormatting sqref="I56">
    <cfRule type="cellIs" dxfId="2483" priority="55" stopIfTrue="1" operator="lessThanOrEqual">
      <formula>0</formula>
    </cfRule>
    <cfRule type="cellIs" dxfId="2482" priority="56" stopIfTrue="1" operator="greaterThan">
      <formula>$F$68</formula>
    </cfRule>
    <cfRule type="cellIs" dxfId="2481" priority="57" stopIfTrue="1" operator="lessThanOrEqual">
      <formula>0</formula>
    </cfRule>
    <cfRule type="cellIs" dxfId="2480" priority="59" stopIfTrue="1" operator="lessThanOrEqual">
      <formula>0</formula>
    </cfRule>
    <cfRule type="cellIs" dxfId="2479" priority="54" stopIfTrue="1" operator="greaterThan">
      <formula>$F$66</formula>
    </cfRule>
    <cfRule type="cellIs" dxfId="2478" priority="58" stopIfTrue="1" operator="greaterThan">
      <formula>$F$66</formula>
    </cfRule>
  </conditionalFormatting>
  <conditionalFormatting sqref="I57:I58">
    <cfRule type="cellIs" dxfId="2477" priority="70" stopIfTrue="1" operator="greaterThan">
      <formula>$F$71</formula>
    </cfRule>
    <cfRule type="cellIs" dxfId="2476" priority="69" stopIfTrue="1" operator="lessThanOrEqual">
      <formula>0</formula>
    </cfRule>
    <cfRule type="cellIs" dxfId="2475" priority="72" stopIfTrue="1" operator="greaterThan">
      <formula>$F$69</formula>
    </cfRule>
    <cfRule type="cellIs" dxfId="2474" priority="68" stopIfTrue="1" operator="greaterThan">
      <formula>$F$69</formula>
    </cfRule>
    <cfRule type="cellIs" dxfId="2473" priority="71" stopIfTrue="1" operator="lessThanOrEqual">
      <formula>0</formula>
    </cfRule>
    <cfRule type="cellIs" dxfId="2472" priority="73" stopIfTrue="1" operator="lessThanOrEqual">
      <formula>0</formula>
    </cfRule>
  </conditionalFormatting>
  <conditionalFormatting sqref="I59:I60">
    <cfRule type="cellIs" dxfId="2471" priority="88" stopIfTrue="1" operator="lessThanOrEqual">
      <formula>0</formula>
    </cfRule>
    <cfRule type="cellIs" dxfId="2470" priority="90" stopIfTrue="1" operator="lessThanOrEqual">
      <formula>0</formula>
    </cfRule>
    <cfRule type="cellIs" dxfId="2469" priority="89" stopIfTrue="1" operator="greaterThan">
      <formula>$F$69</formula>
    </cfRule>
    <cfRule type="cellIs" dxfId="2468" priority="87" stopIfTrue="1" operator="greaterThan">
      <formula>$F$71</formula>
    </cfRule>
    <cfRule type="cellIs" dxfId="2467" priority="86" stopIfTrue="1" operator="lessThanOrEqual">
      <formula>0</formula>
    </cfRule>
    <cfRule type="cellIs" dxfId="2466" priority="85" stopIfTrue="1" operator="greaterThan">
      <formula>$F$69</formula>
    </cfRule>
  </conditionalFormatting>
  <conditionalFormatting sqref="I61:I62">
    <cfRule type="cellIs" dxfId="2465" priority="125" stopIfTrue="1" operator="greaterThan">
      <formula>#REF!</formula>
    </cfRule>
    <cfRule type="cellIs" dxfId="2464" priority="126" stopIfTrue="1" operator="lessThanOrEqual">
      <formula>0</formula>
    </cfRule>
    <cfRule type="cellIs" dxfId="2463" priority="127" stopIfTrue="1" operator="greaterThan">
      <formula>#REF!</formula>
    </cfRule>
    <cfRule type="cellIs" dxfId="2462" priority="128" stopIfTrue="1" operator="lessThanOrEqual">
      <formula>0</formula>
    </cfRule>
    <cfRule type="cellIs" dxfId="2461" priority="129" stopIfTrue="1" operator="greaterThan">
      <formula>#REF!</formula>
    </cfRule>
    <cfRule type="cellIs" dxfId="2460" priority="130" stopIfTrue="1" operator="lessThanOrEqual">
      <formula>0</formula>
    </cfRule>
  </conditionalFormatting>
  <conditionalFormatting sqref="I63">
    <cfRule type="cellIs" dxfId="2459" priority="144" stopIfTrue="1" operator="lessThanOrEqual">
      <formula>0</formula>
    </cfRule>
    <cfRule type="cellIs" dxfId="2458" priority="142" stopIfTrue="1" operator="lessThanOrEqual">
      <formula>0</formula>
    </cfRule>
    <cfRule type="cellIs" dxfId="2457" priority="143" stopIfTrue="1" operator="greaterThan">
      <formula>$F$37</formula>
    </cfRule>
    <cfRule type="cellIs" dxfId="2456" priority="141" stopIfTrue="1" operator="greaterThan">
      <formula>$F$39</formula>
    </cfRule>
    <cfRule type="cellIs" dxfId="2455" priority="140" stopIfTrue="1" operator="lessThanOrEqual">
      <formula>0</formula>
    </cfRule>
    <cfRule type="cellIs" dxfId="2454" priority="139" stopIfTrue="1" operator="greaterThan">
      <formula>$F$37</formula>
    </cfRule>
  </conditionalFormatting>
  <conditionalFormatting sqref="I64:I65">
    <cfRule type="cellIs" dxfId="2453" priority="113" stopIfTrue="1" operator="greaterThan">
      <formula>#REF!</formula>
    </cfRule>
    <cfRule type="cellIs" dxfId="2452" priority="116" stopIfTrue="1" operator="lessThanOrEqual">
      <formula>0</formula>
    </cfRule>
    <cfRule type="cellIs" dxfId="2451" priority="115" stopIfTrue="1" operator="greaterThan">
      <formula>#REF!</formula>
    </cfRule>
    <cfRule type="cellIs" dxfId="2450" priority="111" stopIfTrue="1" operator="greaterThan">
      <formula>#REF!</formula>
    </cfRule>
    <cfRule type="cellIs" dxfId="2449" priority="112" stopIfTrue="1" operator="lessThanOrEqual">
      <formula>0</formula>
    </cfRule>
    <cfRule type="cellIs" dxfId="2448" priority="114" stopIfTrue="1" operator="lessThanOrEqual">
      <formula>0</formula>
    </cfRule>
  </conditionalFormatting>
  <conditionalFormatting sqref="I80:I88">
    <cfRule type="cellIs" dxfId="2447" priority="170" stopIfTrue="1" operator="greaterThan">
      <formula>4.5</formula>
    </cfRule>
    <cfRule type="cellIs" dxfId="2446" priority="171" stopIfTrue="1" operator="lessThanOrEqual">
      <formula>0</formula>
    </cfRule>
  </conditionalFormatting>
  <conditionalFormatting sqref="I10:J24">
    <cfRule type="cellIs" dxfId="2445" priority="2" operator="lessThan">
      <formula>97.9</formula>
    </cfRule>
  </conditionalFormatting>
  <conditionalFormatting sqref="J27:J28">
    <cfRule type="cellIs" dxfId="2444" priority="79" operator="lessThan">
      <formula>97.95</formula>
    </cfRule>
  </conditionalFormatting>
  <conditionalFormatting sqref="J29">
    <cfRule type="cellIs" dxfId="2443" priority="151" stopIfTrue="1" operator="greaterThan">
      <formula>100</formula>
    </cfRule>
    <cfRule type="cellIs" dxfId="2442" priority="152" operator="lessThan">
      <formula>98</formula>
    </cfRule>
    <cfRule type="cellIs" dxfId="2441" priority="150" stopIfTrue="1" operator="lessThan">
      <formula>96.8</formula>
    </cfRule>
  </conditionalFormatting>
  <conditionalFormatting sqref="J29:J31">
    <cfRule type="cellIs" dxfId="2440" priority="149" operator="lessThan">
      <formula>97.4</formula>
    </cfRule>
  </conditionalFormatting>
  <conditionalFormatting sqref="J32:J33">
    <cfRule type="cellIs" dxfId="2439" priority="153" operator="lessThan">
      <formula>98</formula>
    </cfRule>
  </conditionalFormatting>
  <conditionalFormatting sqref="J34:J35">
    <cfRule type="cellIs" dxfId="2438" priority="154" stopIfTrue="1" operator="lessThan">
      <formula>96.8</formula>
    </cfRule>
    <cfRule type="cellIs" dxfId="2437" priority="155" stopIfTrue="1" operator="greaterThan">
      <formula>100</formula>
    </cfRule>
  </conditionalFormatting>
  <conditionalFormatting sqref="J34:J36">
    <cfRule type="cellIs" dxfId="2436" priority="156" operator="lessThan">
      <formula>98</formula>
    </cfRule>
  </conditionalFormatting>
  <conditionalFormatting sqref="J65">
    <cfRule type="cellIs" dxfId="2435" priority="105" stopIfTrue="1" operator="greaterThan">
      <formula>#REF!</formula>
    </cfRule>
    <cfRule type="cellIs" dxfId="2434" priority="106" stopIfTrue="1" operator="lessThanOrEqual">
      <formula>0</formula>
    </cfRule>
    <cfRule type="cellIs" dxfId="2433" priority="104" stopIfTrue="1" operator="lessThanOrEqual">
      <formula>0</formula>
    </cfRule>
    <cfRule type="cellIs" dxfId="2432" priority="103" stopIfTrue="1" operator="greaterThan">
      <formula>#REF!</formula>
    </cfRule>
    <cfRule type="cellIs" dxfId="2431" priority="102" stopIfTrue="1" operator="lessThanOrEqual">
      <formula>0</formula>
    </cfRule>
    <cfRule type="cellIs" dxfId="2430" priority="100" stopIfTrue="1" operator="lessThanOrEqual">
      <formula>0</formula>
    </cfRule>
    <cfRule type="cellIs" dxfId="2429" priority="99" stopIfTrue="1" operator="greaterThan">
      <formula>#REF!</formula>
    </cfRule>
    <cfRule type="cellIs" dxfId="2428" priority="101" stopIfTrue="1" operator="greaterThan">
      <formula>#REF!</formula>
    </cfRule>
  </conditionalFormatting>
  <conditionalFormatting sqref="J78">
    <cfRule type="cellIs" dxfId="2427" priority="32" stopIfTrue="1" operator="lessThanOrEqual">
      <formula>0</formula>
    </cfRule>
    <cfRule type="cellIs" dxfId="2426" priority="31" stopIfTrue="1" operator="greaterThan">
      <formula>$F78</formula>
    </cfRule>
  </conditionalFormatting>
  <conditionalFormatting sqref="K10:K24">
    <cfRule type="cellIs" dxfId="2425" priority="5" operator="greaterThan">
      <formula>6</formula>
    </cfRule>
    <cfRule type="cellIs" dxfId="2424" priority="7" operator="greaterThan">
      <formula>6.4</formula>
    </cfRule>
    <cfRule type="cellIs" dxfId="2423" priority="6" operator="lessThan">
      <formula>4</formula>
    </cfRule>
  </conditionalFormatting>
  <conditionalFormatting sqref="K56:K65">
    <cfRule type="cellIs" dxfId="2422" priority="78" stopIfTrue="1" operator="lessThan">
      <formula>100%</formula>
    </cfRule>
  </conditionalFormatting>
  <conditionalFormatting sqref="K80:K85">
    <cfRule type="cellIs" dxfId="2421" priority="176" stopIfTrue="1" operator="lessThan">
      <formula>100%</formula>
    </cfRule>
  </conditionalFormatting>
  <conditionalFormatting sqref="K87:K88">
    <cfRule type="cellIs" dxfId="2420" priority="183" stopIfTrue="1" operator="lessThan">
      <formula>100%</formula>
    </cfRule>
  </conditionalFormatting>
  <conditionalFormatting sqref="K69:M77">
    <cfRule type="cellIs" dxfId="2419" priority="18" stopIfTrue="1" operator="lessThan">
      <formula>100%</formula>
    </cfRule>
  </conditionalFormatting>
  <conditionalFormatting sqref="L10:L24">
    <cfRule type="cellIs" dxfId="2418" priority="3" operator="between">
      <formula>61</formula>
      <formula>65</formula>
    </cfRule>
    <cfRule type="cellIs" dxfId="2417" priority="4" operator="greaterThan">
      <formula>65</formula>
    </cfRule>
  </conditionalFormatting>
  <conditionalFormatting sqref="L27:M38">
    <cfRule type="cellIs" dxfId="2416" priority="96" operator="lessThan">
      <formula>97.95</formula>
    </cfRule>
  </conditionalFormatting>
  <conditionalFormatting sqref="L78:M78">
    <cfRule type="cellIs" dxfId="2415" priority="33" stopIfTrue="1" operator="lessThan">
      <formula>100%</formula>
    </cfRule>
  </conditionalFormatting>
  <conditionalFormatting sqref="L42:N42">
    <cfRule type="cellIs" dxfId="2414" priority="13" operator="notEqual">
      <formula>#REF!</formula>
    </cfRule>
  </conditionalFormatting>
  <conditionalFormatting sqref="L80:N88">
    <cfRule type="cellIs" dxfId="2413" priority="161" stopIfTrue="1" operator="lessThan">
      <formula>100%</formula>
    </cfRule>
  </conditionalFormatting>
  <conditionalFormatting sqref="M10:M18 M22">
    <cfRule type="expression" dxfId="2412" priority="81">
      <formula>IF(+(IF(M10&lt;U10,0,IF(M10&gt;V10,0,1)))=0,1)</formula>
    </cfRule>
  </conditionalFormatting>
  <conditionalFormatting sqref="M10:N16 H10:H24">
    <cfRule type="expression" dxfId="2411" priority="9">
      <formula>IF(+(IF(H10&lt;#REF!,0,IF(H10&gt;#REF!,0,1)))=0,1)</formula>
    </cfRule>
  </conditionalFormatting>
  <conditionalFormatting sqref="M19:N21">
    <cfRule type="expression" dxfId="2410" priority="80">
      <formula>IF(+(IF(M19&lt;#REF!,0,IF(M19&gt;#REF!,0,1)))=0,1)</formula>
    </cfRule>
  </conditionalFormatting>
  <conditionalFormatting sqref="M23:N24">
    <cfRule type="expression" dxfId="2409" priority="95">
      <formula>IF(+(IF(M23&lt;#REF!,0,IF(M23&gt;#REF!,0,1)))=0,1)</formula>
    </cfRule>
  </conditionalFormatting>
  <conditionalFormatting sqref="N10:N22">
    <cfRule type="expression" dxfId="2408" priority="10">
      <formula>IF(+(IF(N10&lt;W10,0,IF(N10&gt;X10,0,1)))=0,1)</formula>
    </cfRule>
  </conditionalFormatting>
  <conditionalFormatting sqref="N69:N78">
    <cfRule type="cellIs" dxfId="2407" priority="43" stopIfTrue="1" operator="lessThan">
      <formula>100%</formula>
    </cfRule>
  </conditionalFormatting>
  <conditionalFormatting sqref="P6">
    <cfRule type="cellIs" dxfId="2406" priority="157" operator="greaterThanOrEqual">
      <formula>19</formula>
    </cfRule>
  </conditionalFormatting>
  <dataValidations disablePrompts="1" count="1">
    <dataValidation type="list" allowBlank="1" showInputMessage="1" showErrorMessage="1" sqref="R8" xr:uid="{967373A4-B95C-4CE0-917F-A591D021197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1BC2-8098-41E3-A773-93666C782562}">
  <sheetPr>
    <pageSetUpPr fitToPage="1"/>
  </sheetPr>
  <dimension ref="A1:BE73"/>
  <sheetViews>
    <sheetView topLeftCell="B8" zoomScale="85" zoomScaleNormal="85" workbookViewId="0">
      <selection activeCell="B10" sqref="B10:O10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46155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65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95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[4]Brewhouse!$A403</f>
        <v>CA358</v>
      </c>
      <c r="D10" s="279">
        <f>[4]Brewhouse!$AF403</f>
        <v>53</v>
      </c>
      <c r="E10" s="279">
        <f>[4]Brewhouse!$AI403</f>
        <v>50.4</v>
      </c>
      <c r="F10" s="278">
        <f>[4]Brewhouse!$V403</f>
        <v>61</v>
      </c>
      <c r="G10" s="279">
        <f>[4]Brewhouse!AG403</f>
        <v>11.8</v>
      </c>
      <c r="H10" s="396">
        <v>11.9</v>
      </c>
      <c r="I10" s="368">
        <f>[4]Brewhouse!$AU403</f>
        <v>98.567307662683234</v>
      </c>
      <c r="J10" s="368">
        <f>[4]Brewhouse!$AV403</f>
        <v>99.608797600911927</v>
      </c>
      <c r="K10" s="281">
        <f>[4]Brewhouse!$Q405</f>
        <v>9.1111111111111143</v>
      </c>
      <c r="L10" s="276">
        <f>[4]Brewhouse!$P403</f>
        <v>61</v>
      </c>
      <c r="M10" s="397">
        <f>[4]Brewhouse!$U403-[4]Brewhouse!$T403</f>
        <v>0.13958333333333317</v>
      </c>
      <c r="N10" s="370">
        <f>[4]Brewhouse!$Z403</f>
        <v>0.30208333333333326</v>
      </c>
      <c r="O10" s="420" t="str">
        <f>[4]Brewhouse!$AX403</f>
        <v>K. Benjamin</v>
      </c>
      <c r="P10" s="418"/>
      <c r="R10" s="277" t="str">
        <f t="shared" ref="R10:R33" si="0">B10</f>
        <v>CARIB</v>
      </c>
      <c r="S10" s="472">
        <f t="shared" ref="S10:S33" si="1">VLOOKUP($B10,$R$3:$X$9,2,FALSE)</f>
        <v>11.6</v>
      </c>
      <c r="T10" s="472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472">
        <f t="shared" ref="Z10:Z33" si="8">VLOOKUP($B10,$R$3:$Z$9,9,FALSE)</f>
        <v>60</v>
      </c>
    </row>
    <row r="11" spans="2:29" ht="15">
      <c r="B11" s="36"/>
      <c r="C11" s="366"/>
      <c r="D11" s="279"/>
      <c r="E11" s="279"/>
      <c r="F11" s="278"/>
      <c r="G11" s="279"/>
      <c r="H11" s="396"/>
      <c r="I11" s="483"/>
      <c r="J11" s="483"/>
      <c r="K11" s="484"/>
      <c r="L11" s="276"/>
      <c r="M11" s="374"/>
      <c r="N11" s="370"/>
      <c r="O11" s="420"/>
      <c r="P11" s="418"/>
      <c r="R11" s="277">
        <f t="shared" ref="R11:R22" si="9">B11</f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5">
      <c r="B12" s="22" t="s">
        <v>33</v>
      </c>
      <c r="C12" s="366" t="str">
        <f>[6]Brewhouse!A62</f>
        <v>VM036</v>
      </c>
      <c r="D12" s="279">
        <f>[6]Brewhouse!AE62</f>
        <v>50.1</v>
      </c>
      <c r="E12" s="279">
        <f>[6]Brewhouse!AJ62</f>
        <v>60.1</v>
      </c>
      <c r="F12" s="278">
        <f>[6]Brewhouse!X62</f>
        <v>101</v>
      </c>
      <c r="G12" s="279">
        <f>[6]Brewhouse!AH62</f>
        <v>11.2</v>
      </c>
      <c r="H12" s="482">
        <v>11.3</v>
      </c>
      <c r="I12" s="368">
        <f>[6]Brewhouse!AV62</f>
        <v>94.315096961978696</v>
      </c>
      <c r="J12" s="368">
        <f>[6]Brewhouse!AW62</f>
        <v>94.524291068220961</v>
      </c>
      <c r="K12" s="281">
        <f>[6]Brewhouse!S62</f>
        <v>-20.43912175648703</v>
      </c>
      <c r="L12" s="276">
        <f>[6]Brewhouse!R62</f>
        <v>58</v>
      </c>
      <c r="M12" s="374">
        <f>[6]Brewhouse!$W62-[6]Brewhouse!$V62</f>
        <v>0.16527777777777775</v>
      </c>
      <c r="N12" s="370">
        <f>[6]Brewhouse!AB62</f>
        <v>0.32152777777777775</v>
      </c>
      <c r="O12" s="371" t="str">
        <f>[6]Brewhouse!$AZ62</f>
        <v>R.Sookram</v>
      </c>
      <c r="P12" s="418"/>
      <c r="R12" s="277" t="str">
        <f t="shared" si="9"/>
        <v>VITAMALT</v>
      </c>
      <c r="S12" s="472">
        <f t="shared" si="1"/>
        <v>14.2</v>
      </c>
      <c r="T12" s="472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2">
        <f t="shared" si="8"/>
        <v>75</v>
      </c>
    </row>
    <row r="13" spans="2:29" ht="15">
      <c r="B13" s="22" t="s">
        <v>33</v>
      </c>
      <c r="C13" s="366" t="str">
        <f>[6]Brewhouse!A63</f>
        <v>VM037</v>
      </c>
      <c r="D13" s="279">
        <f>[6]Brewhouse!AE63</f>
        <v>50.1</v>
      </c>
      <c r="E13" s="279">
        <f>[6]Brewhouse!AJ63</f>
        <v>61.77</v>
      </c>
      <c r="F13" s="278">
        <f>[6]Brewhouse!X63</f>
        <v>142</v>
      </c>
      <c r="G13" s="279">
        <f>[6]Brewhouse!AH63</f>
        <v>11.9</v>
      </c>
      <c r="H13" s="482">
        <v>12.1</v>
      </c>
      <c r="I13" s="368">
        <f>[6]Brewhouse!AV63</f>
        <v>103.32629416839619</v>
      </c>
      <c r="J13" s="368">
        <f>[6]Brewhouse!AW63</f>
        <v>103.55547541780525</v>
      </c>
      <c r="K13" s="392"/>
      <c r="L13" s="276">
        <f>[6]Brewhouse!R63</f>
        <v>57</v>
      </c>
      <c r="M13" s="374">
        <f>[6]Brewhouse!$W63-[6]Brewhouse!$V63</f>
        <v>0.20138888888888884</v>
      </c>
      <c r="N13" s="370">
        <f>[6]Brewhouse!AB63</f>
        <v>0.37291666666666667</v>
      </c>
      <c r="O13" s="371" t="str">
        <f>[6]Brewhouse!$AZ63</f>
        <v>R.Sookram</v>
      </c>
      <c r="P13" s="418"/>
      <c r="R13" s="277" t="str">
        <f t="shared" si="9"/>
        <v>VITAMALT</v>
      </c>
      <c r="S13" s="472">
        <f t="shared" si="1"/>
        <v>14.2</v>
      </c>
      <c r="T13" s="472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472">
        <f t="shared" si="8"/>
        <v>75</v>
      </c>
    </row>
    <row r="14" spans="2:29" ht="15">
      <c r="B14" s="22" t="s">
        <v>33</v>
      </c>
      <c r="C14" s="366" t="str">
        <f>[6]Brewhouse!A64</f>
        <v>VM038</v>
      </c>
      <c r="D14" s="279">
        <f>[6]Brewhouse!AE64</f>
        <v>50</v>
      </c>
      <c r="E14" s="279">
        <f>[6]Brewhouse!AJ64</f>
        <v>45.1</v>
      </c>
      <c r="F14" s="278">
        <f>[6]Brewhouse!X64</f>
        <v>82</v>
      </c>
      <c r="G14" s="279">
        <f>[6]Brewhouse!AH64</f>
        <v>14.7</v>
      </c>
      <c r="H14" s="396"/>
      <c r="I14" s="368">
        <f>[6]Brewhouse!AV64</f>
        <v>94.325329127415785</v>
      </c>
      <c r="J14" s="368">
        <f>[6]Brewhouse!AW64</f>
        <v>94.533667972313836</v>
      </c>
      <c r="K14" s="281">
        <f>[6]Brewhouse!S64</f>
        <v>11.319999999999993</v>
      </c>
      <c r="L14" s="276">
        <f>[6]Brewhouse!R64</f>
        <v>57</v>
      </c>
      <c r="M14" s="374">
        <f>[6]Brewhouse!$W64-[6]Brewhouse!$V64</f>
        <v>0.1479166666666667</v>
      </c>
      <c r="N14" s="370">
        <f>[6]Brewhouse!AB64</f>
        <v>0.82916666666666672</v>
      </c>
      <c r="O14" s="371" t="str">
        <f>[6]Brewhouse!$AZ64</f>
        <v>R.Sookram</v>
      </c>
      <c r="P14" s="418"/>
      <c r="R14" s="277" t="str">
        <f t="shared" si="9"/>
        <v>VITAMALT</v>
      </c>
      <c r="S14" s="472">
        <f t="shared" si="1"/>
        <v>14.2</v>
      </c>
      <c r="T14" s="472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472">
        <f t="shared" si="8"/>
        <v>75</v>
      </c>
    </row>
    <row r="15" spans="2:29" ht="15">
      <c r="B15" s="22" t="s">
        <v>33</v>
      </c>
      <c r="C15" s="366" t="str">
        <f>[6]Brewhouse!A65</f>
        <v>VM039</v>
      </c>
      <c r="D15" s="279">
        <f>[6]Brewhouse!AE65</f>
        <v>47</v>
      </c>
      <c r="E15" s="279">
        <f>[6]Brewhouse!AJ65</f>
        <v>43.8</v>
      </c>
      <c r="F15" s="278">
        <f>[6]Brewhouse!X65</f>
        <v>79</v>
      </c>
      <c r="G15" s="279">
        <f>[6]Brewhouse!AH65</f>
        <v>15.9</v>
      </c>
      <c r="H15" s="396"/>
      <c r="I15" s="368">
        <f>[6]Brewhouse!AV65</f>
        <v>99.559385897285338</v>
      </c>
      <c r="J15" s="368">
        <f>[6]Brewhouse!AW65</f>
        <v>99.779285341564844</v>
      </c>
      <c r="K15" s="281">
        <f>[6]Brewhouse!S65</f>
        <v>13.744680851063817</v>
      </c>
      <c r="L15" s="276">
        <f>[6]Brewhouse!R65</f>
        <v>72</v>
      </c>
      <c r="M15" s="374">
        <f>[6]Brewhouse!$W65-[6]Brewhouse!$V65</f>
        <v>0.15138888888888902</v>
      </c>
      <c r="N15" s="370">
        <f>[6]Brewhouse!AB65</f>
        <v>0.99513888888888902</v>
      </c>
      <c r="O15" s="371" t="str">
        <f>[6]Brewhouse!$AZ65</f>
        <v>R.Sookram</v>
      </c>
      <c r="P15" s="418"/>
      <c r="R15" s="277" t="str">
        <f t="shared" si="9"/>
        <v>VITAMALT</v>
      </c>
      <c r="S15" s="472">
        <f t="shared" si="1"/>
        <v>14.2</v>
      </c>
      <c r="T15" s="472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472">
        <f t="shared" si="8"/>
        <v>75</v>
      </c>
    </row>
    <row r="16" spans="2:29" ht="15">
      <c r="B16" s="22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>
      <c r="B17" s="34"/>
      <c r="C17" s="366"/>
      <c r="D17" s="279"/>
      <c r="E17" s="279"/>
      <c r="F17" s="278"/>
      <c r="G17" s="279"/>
      <c r="H17" s="396"/>
      <c r="I17" s="483"/>
      <c r="J17" s="483"/>
      <c r="K17" s="484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8" customHeight="1">
      <c r="B18" s="29"/>
      <c r="C18" s="366"/>
      <c r="D18" s="279"/>
      <c r="E18" s="279"/>
      <c r="F18" s="278"/>
      <c r="G18" s="279"/>
      <c r="H18" s="482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.75" customHeight="1" thickBot="1">
      <c r="B20" s="358"/>
      <c r="C20" s="358"/>
      <c r="D20" s="358"/>
      <c r="E20" s="358"/>
      <c r="F20" s="294"/>
      <c r="G20" s="294"/>
      <c r="H20" s="348"/>
      <c r="I20" s="525"/>
      <c r="J20" s="525"/>
      <c r="K20" s="525"/>
      <c r="L20" s="525"/>
      <c r="M20" s="525"/>
      <c r="N20" s="525"/>
      <c r="O20" s="1"/>
      <c r="P20" s="12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.75" customHeight="1" thickBot="1">
      <c r="B21" s="388" t="s">
        <v>162</v>
      </c>
      <c r="C21" s="388"/>
      <c r="D21" s="526" t="s">
        <v>35</v>
      </c>
      <c r="E21" s="527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9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" customHeight="1">
      <c r="A22" s="28"/>
      <c r="B22" s="528"/>
      <c r="C22" s="362"/>
      <c r="D22" s="531"/>
      <c r="E22" s="532"/>
      <c r="F22" s="294"/>
      <c r="G22" s="294"/>
      <c r="H22" s="348"/>
      <c r="I22" s="29" t="s">
        <v>6</v>
      </c>
      <c r="J22" s="323">
        <f>I10</f>
        <v>98.567307662683234</v>
      </c>
      <c r="K22" s="284">
        <f>COUNTA([4]Brewhouse!$A$372:$A$402)</f>
        <v>31</v>
      </c>
      <c r="L22" s="305">
        <f>AVERAGE([4]Brewhouse!$AU$372:$AU$402)</f>
        <v>97.899591271333676</v>
      </c>
      <c r="M22" s="305">
        <f>AVERAGE([4]Brewhouse!$AU$42:$AU$123,[4]Brewhouse!$AU$125:$AU$188,[4]Brewhouse!$AU$198:$AU$290,[4]Brewhouse!$AU$292:$AU$370,[4]Brewhouse!$AU$372:$AU$402)</f>
        <v>97.995291948813914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29"/>
      <c r="C23" s="362"/>
      <c r="D23" s="533"/>
      <c r="E23" s="534"/>
      <c r="F23" s="294"/>
      <c r="G23" s="294"/>
      <c r="H23" s="348"/>
      <c r="I23" s="33" t="s">
        <v>9</v>
      </c>
      <c r="J23" s="323"/>
      <c r="K23" s="284">
        <f>COUNTA([3]Brewhouse!$A$214:$A$229)</f>
        <v>16</v>
      </c>
      <c r="L23" s="302">
        <f>AVERAGE([3]Brewhouse!$AS$214:$AS$229)</f>
        <v>97.795658588620881</v>
      </c>
      <c r="M23" s="302">
        <f>AVERAGE([3]Brewhouse!$AS$52:$AS$81,[3]Brewhouse!$AS$83:$AS$124,[3]Brewhouse!$AS$134:$AS$177,[3]Brewhouse!$AS$22:$AS$179,[3]Brewhouse!$AS$214:$AS$229)</f>
        <v>97.93842123965544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29"/>
      <c r="C24" s="362"/>
      <c r="D24" s="535"/>
      <c r="E24" s="536"/>
      <c r="F24" s="294"/>
      <c r="G24" s="294"/>
      <c r="H24" s="348"/>
      <c r="I24" s="34" t="s">
        <v>12</v>
      </c>
      <c r="J24" s="280"/>
      <c r="K24" s="284"/>
      <c r="L24" s="302"/>
      <c r="M24" s="302">
        <f>AVERAGE([5]Brewhouse!$AU$16:$AU$23,[5]Brewhouse!$AU$25:$AU$32,[5]Brewhouse!$AU$34:$AU$41,[5]Brewhouse!$AU$43:$AU$55)</f>
        <v>96.793456653928644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29"/>
      <c r="C25" s="362"/>
      <c r="D25" s="537"/>
      <c r="E25" s="534"/>
      <c r="F25" s="294"/>
      <c r="G25" s="294"/>
      <c r="H25" s="348"/>
      <c r="I25" s="22" t="s">
        <v>33</v>
      </c>
      <c r="J25" s="280">
        <f>AVERAGE(I12:I13)</f>
        <v>98.820695565187435</v>
      </c>
      <c r="K25" s="284">
        <f>COUNTA([6]Brewhouse!$A$62:$A$63)</f>
        <v>2</v>
      </c>
      <c r="L25" s="302">
        <f>AVERAGE([6]Brewhouse!$AV$62:$AV$63)</f>
        <v>98.820695565187435</v>
      </c>
      <c r="M25" s="302">
        <f>AVERAGE([6]Brewhouse!$AV$23:$AV$34,[6]Brewhouse!$AV$36,[6]Brewhouse!$AV$38:$AV$52,[6]Brewhouse!$AV$54:$AV$60,[6]Brewhouse!$AV$62:$AV$63)</f>
        <v>97.512279574795684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29"/>
      <c r="C26" s="362"/>
      <c r="D26" s="535"/>
      <c r="E26" s="536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9"/>
      <c r="C27" s="362"/>
      <c r="D27" s="537"/>
      <c r="E27" s="534"/>
      <c r="F27" s="417"/>
      <c r="G27" s="294"/>
      <c r="H27" s="348"/>
      <c r="I27" s="36" t="s">
        <v>15</v>
      </c>
      <c r="J27" s="323"/>
      <c r="K27" s="284">
        <f>COUNTA([7]Brewhouse!$A$13:$A$16)</f>
        <v>4</v>
      </c>
      <c r="L27" s="302">
        <f>AVERAGE([7]Brewhouse!$AT$13:$AT$16)</f>
        <v>88.962677106311475</v>
      </c>
      <c r="M27" s="302">
        <f>AVERAGE([7]Brewhouse!$AT$4:$AT$11,[7]Brewhouse!$AT$13:$AT$16)</f>
        <v>91.538375374138752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9"/>
      <c r="C28" s="362"/>
      <c r="D28" s="535"/>
      <c r="E28" s="536"/>
      <c r="F28" s="417"/>
      <c r="G28" s="294"/>
      <c r="H28" s="348"/>
      <c r="I28" s="37" t="s">
        <v>16</v>
      </c>
      <c r="J28" s="323"/>
      <c r="K28" s="284"/>
      <c r="L28" s="302"/>
      <c r="M28" s="302">
        <f>AVERAGE([8]Brewhouse!$AY$5:$AY$14,[8]Brewhouse!$AY$16:$AY$23,[8]Brewhouse!$AY$42,[8]Brewhouse!$AY$44:$AY$51)</f>
        <v>97.608428475776392</v>
      </c>
      <c r="N28" s="30">
        <v>98</v>
      </c>
      <c r="O28" s="11"/>
      <c r="P28" s="31" t="s">
        <v>41</v>
      </c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9"/>
      <c r="C29" s="362"/>
      <c r="D29" s="537"/>
      <c r="E29" s="534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29"/>
      <c r="C30" s="349"/>
      <c r="D30" s="535"/>
      <c r="E30" s="536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29"/>
      <c r="C31" s="349"/>
      <c r="D31" s="537"/>
      <c r="E31" s="534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29"/>
      <c r="C32" s="349"/>
      <c r="D32" s="531"/>
      <c r="E32" s="532"/>
      <c r="F32" s="294"/>
      <c r="G32" s="294"/>
      <c r="H32" s="348"/>
      <c r="I32" s="1"/>
      <c r="J32" s="39"/>
      <c r="K32" s="404">
        <f>SUM(K22:K31)</f>
        <v>53</v>
      </c>
      <c r="L32" s="405">
        <f>((L22*K22)+(L23*K23)+(L24*K24)+(L25*K25)+(L26*K26)+(K29*L29)+(L27*K27)+(L28*K28)+(L31*K31))/(K32)</f>
        <v>97.228489931790548</v>
      </c>
      <c r="M32" s="405">
        <f>AVERAGE('[9]Jan30th-31st'!$L$42,L32)</f>
        <v>97.528265833816008</v>
      </c>
      <c r="N32" s="4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30"/>
      <c r="C33" s="350"/>
      <c r="D33" s="533"/>
      <c r="E33" s="534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28"/>
      <c r="C34" s="362"/>
      <c r="D34" s="539"/>
      <c r="E34" s="540"/>
      <c r="F34" s="294"/>
      <c r="G34" s="42"/>
      <c r="H34" s="41"/>
      <c r="I34" s="42"/>
      <c r="J34" s="541" t="s">
        <v>129</v>
      </c>
      <c r="K34" s="541"/>
      <c r="L34" s="294"/>
      <c r="M34" s="294"/>
      <c r="N34" s="294"/>
      <c r="O34" s="294"/>
      <c r="P34" s="12"/>
    </row>
    <row r="35" spans="2:56" ht="15.75" thickBot="1">
      <c r="B35" s="529"/>
      <c r="C35" s="362"/>
      <c r="D35" s="537"/>
      <c r="E35" s="534"/>
      <c r="F35" s="294"/>
      <c r="G35" s="42"/>
      <c r="H35" s="42"/>
      <c r="I35" s="42"/>
      <c r="J35" s="292" t="s">
        <v>17</v>
      </c>
      <c r="K35" s="293" t="s">
        <v>172</v>
      </c>
      <c r="L35" s="542" t="s">
        <v>136</v>
      </c>
      <c r="M35" s="542"/>
      <c r="N35" s="543"/>
      <c r="O35" s="294"/>
      <c r="P35" s="12"/>
    </row>
    <row r="36" spans="2:56" ht="15" customHeight="1" thickBot="1">
      <c r="B36" s="529"/>
      <c r="C36" s="349"/>
      <c r="D36" s="535"/>
      <c r="E36" s="536"/>
      <c r="F36" s="294"/>
      <c r="G36" s="42"/>
      <c r="H36" s="42"/>
      <c r="I36" s="42"/>
      <c r="J36" s="287" t="s">
        <v>6</v>
      </c>
      <c r="K36" s="324">
        <v>1</v>
      </c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9"/>
      <c r="C37" s="349"/>
      <c r="D37" s="537"/>
      <c r="E37" s="534"/>
      <c r="F37" s="294"/>
      <c r="G37" s="42"/>
      <c r="H37" s="42"/>
      <c r="I37" s="42"/>
      <c r="J37" s="345" t="s">
        <v>9</v>
      </c>
      <c r="K37" s="324"/>
      <c r="L37" s="344">
        <f>AVERAGE('May 2nd-23rd'!J53,'May 2nd-23rd'!K53,'May 4th'!K51,'May 5th'!K47,'May 6th'!K54,'May 7th'!K48,'May 12th '!K46,'May 8th -9th'!K55,'May 8th -9th'!J55,'May 11th'!K51)</f>
        <v>5.5</v>
      </c>
      <c r="M37" s="325">
        <f>AVERAGE('[9]Jan30th-31st'!$L$47,L37,'[10]Feb 26th '!$L$39,'[11]Mar 31st'!$L$47,'[12]Apr 30th'!$L$46)</f>
        <v>6.307391304347826</v>
      </c>
      <c r="N37" s="416">
        <v>9.1999999999999993</v>
      </c>
      <c r="O37" s="294"/>
      <c r="P37" s="12"/>
    </row>
    <row r="38" spans="2:56" ht="15" customHeight="1">
      <c r="B38" s="529"/>
      <c r="C38" s="349"/>
      <c r="D38" s="535"/>
      <c r="E38" s="536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9"/>
      <c r="C39" s="349"/>
      <c r="D39" s="537"/>
      <c r="E39" s="534"/>
      <c r="F39" s="294"/>
      <c r="G39" s="42"/>
      <c r="H39" s="42"/>
      <c r="I39" s="42"/>
      <c r="J39" s="289" t="s">
        <v>33</v>
      </c>
      <c r="K39" s="324">
        <v>4</v>
      </c>
      <c r="L39" s="294"/>
      <c r="M39" s="294"/>
      <c r="N39" s="294"/>
      <c r="O39" s="294"/>
      <c r="P39" s="12"/>
    </row>
    <row r="40" spans="2:56" ht="15">
      <c r="B40" s="529"/>
      <c r="C40" s="349"/>
      <c r="D40" s="535"/>
      <c r="E40" s="536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9"/>
      <c r="C41" s="349"/>
      <c r="D41" s="537"/>
      <c r="E41" s="534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9"/>
      <c r="C42" s="349"/>
      <c r="D42" s="535"/>
      <c r="E42" s="536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38"/>
      <c r="C43" s="350"/>
      <c r="D43" s="544"/>
      <c r="E43" s="545"/>
      <c r="F43" s="294" t="s">
        <v>166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46"/>
      <c r="E44" s="547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5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294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1:57" ht="15" customHeight="1" thickBot="1">
      <c r="B49" s="548" t="s">
        <v>17</v>
      </c>
      <c r="C49" s="548" t="s">
        <v>44</v>
      </c>
      <c r="D49" s="551" t="s">
        <v>45</v>
      </c>
      <c r="E49" s="516" t="s">
        <v>46</v>
      </c>
      <c r="F49" s="565" t="s">
        <v>47</v>
      </c>
      <c r="G49" s="560" t="s">
        <v>48</v>
      </c>
      <c r="H49" s="548" t="s">
        <v>49</v>
      </c>
      <c r="I49" s="548" t="s">
        <v>50</v>
      </c>
      <c r="J49" s="554" t="s">
        <v>28</v>
      </c>
      <c r="K49" s="514" t="s">
        <v>51</v>
      </c>
      <c r="L49" s="563" t="s">
        <v>52</v>
      </c>
      <c r="M49" s="554" t="s">
        <v>53</v>
      </c>
      <c r="N49" s="13"/>
      <c r="O49" s="13"/>
      <c r="P49" s="50"/>
    </row>
    <row r="50" spans="1:57" ht="28.5" customHeight="1" thickTop="1" thickBot="1">
      <c r="B50" s="549"/>
      <c r="C50" s="550"/>
      <c r="D50" s="552"/>
      <c r="E50" s="553"/>
      <c r="F50" s="566"/>
      <c r="G50" s="561"/>
      <c r="H50" s="549"/>
      <c r="I50" s="549"/>
      <c r="J50" s="555"/>
      <c r="K50" s="562"/>
      <c r="L50" s="564"/>
      <c r="M50" s="555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1:57" s="54" customFormat="1" ht="36.75" customHeight="1" thickBot="1">
      <c r="B51" s="486" t="str">
        <f>J37</f>
        <v>STAG</v>
      </c>
      <c r="C51" s="479">
        <v>46154</v>
      </c>
      <c r="D51" s="442">
        <f>[32]May_2026!$N$13</f>
        <v>398.60000000000008</v>
      </c>
      <c r="E51" s="443"/>
      <c r="F51" s="444">
        <f>SUM([33]STAG!$L$27:$L$30,[33]STAG!$L$37:$L$40)</f>
        <v>393.20000000000005</v>
      </c>
      <c r="G51" s="445">
        <f>[32]May_2026!$N$17</f>
        <v>390.1</v>
      </c>
      <c r="H51" s="458">
        <f>(D51-F51)/D51*100</f>
        <v>1.3547415955845541</v>
      </c>
      <c r="I51" s="458">
        <f>((F51+E51)-G51)/(F51+E51)*100</f>
        <v>0.78840284842319996</v>
      </c>
      <c r="J51" s="448" t="s">
        <v>173</v>
      </c>
      <c r="K51" s="449">
        <f>[34]May_2026!$N$25</f>
        <v>1.3687719298245615</v>
      </c>
      <c r="L51" s="476">
        <f>(((D51+E51)-G51)/(D51+E51))*100</f>
        <v>2.1324636226793916</v>
      </c>
      <c r="M51" s="455" t="s">
        <v>174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[13]January_2019!L5</f>
        <v>0</v>
      </c>
      <c r="AC51" s="57">
        <f>[13]January_2019!M5</f>
        <v>0</v>
      </c>
      <c r="AD51" s="57">
        <f>[13]January_2019!N5</f>
        <v>0</v>
      </c>
      <c r="AE51" s="57">
        <f>[13]January_2019!O5</f>
        <v>0</v>
      </c>
      <c r="AF51" s="57">
        <f>[13]January_2019!P5</f>
        <v>0</v>
      </c>
      <c r="AG51" s="57">
        <f>[13]January_2019!Q5</f>
        <v>0</v>
      </c>
      <c r="AH51" s="57">
        <f>[13]January_2019!R5</f>
        <v>0</v>
      </c>
      <c r="AI51" s="57">
        <f>[13]January_2019!S5</f>
        <v>0</v>
      </c>
      <c r="AJ51" s="57">
        <f>[13]January_2019!T5</f>
        <v>0</v>
      </c>
      <c r="AK51" s="57">
        <f>[13]January_2019!U5</f>
        <v>0</v>
      </c>
      <c r="AL51" s="57">
        <f>[13]January_2019!V5</f>
        <v>0</v>
      </c>
      <c r="AM51" s="57">
        <f>[13]January_2019!W5</f>
        <v>0</v>
      </c>
      <c r="AN51" s="57">
        <f>[13]January_2019!X5</f>
        <v>0</v>
      </c>
      <c r="AO51" s="57">
        <f>[13]January_2019!Y5</f>
        <v>0</v>
      </c>
      <c r="AP51" s="57">
        <f>[13]January_2019!Z5</f>
        <v>0</v>
      </c>
      <c r="AQ51" s="57">
        <f>[13]January_2019!AA5</f>
        <v>0</v>
      </c>
      <c r="AR51" s="57">
        <f>[13]January_2019!AB5</f>
        <v>0</v>
      </c>
      <c r="AS51" s="57">
        <f>[13]January_2019!AC5</f>
        <v>0</v>
      </c>
      <c r="AT51" s="57">
        <f>[13]January_2019!AD5</f>
        <v>0</v>
      </c>
      <c r="AU51" s="57">
        <f>[13]January_2019!AE5</f>
        <v>0</v>
      </c>
      <c r="AV51" s="57">
        <f>[13]January_2019!AF5</f>
        <v>0</v>
      </c>
      <c r="AW51" s="57">
        <f>[13]January_2019!AG5</f>
        <v>0</v>
      </c>
      <c r="AX51" s="277">
        <f>[13]January_2019!AH5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1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[13]January_2019!L6</f>
        <v>0</v>
      </c>
      <c r="AC52" s="57">
        <f>[13]January_2019!M6</f>
        <v>0</v>
      </c>
      <c r="AD52" s="57">
        <f>[13]January_2019!N6</f>
        <v>0</v>
      </c>
      <c r="AE52" s="57">
        <f>[13]January_2019!O6</f>
        <v>0</v>
      </c>
      <c r="AF52" s="57">
        <f>[13]January_2019!P6</f>
        <v>0</v>
      </c>
      <c r="AG52" s="57">
        <f>[13]January_2019!Q6</f>
        <v>0</v>
      </c>
      <c r="AH52" s="57">
        <f>[13]January_2019!R6</f>
        <v>0</v>
      </c>
      <c r="AI52" s="57">
        <f>[13]January_2019!S6</f>
        <v>0</v>
      </c>
      <c r="AJ52" s="57">
        <f>[13]January_2019!T6</f>
        <v>0</v>
      </c>
      <c r="AK52" s="57">
        <f>[13]January_2019!U6</f>
        <v>0</v>
      </c>
      <c r="AL52" s="57">
        <f>[13]January_2019!V6</f>
        <v>0</v>
      </c>
      <c r="AM52" s="57">
        <f>[13]January_2019!W6</f>
        <v>0</v>
      </c>
      <c r="AN52" s="57">
        <f>[13]January_2019!X6</f>
        <v>0</v>
      </c>
      <c r="AO52" s="57">
        <f>[13]January_2019!Y6</f>
        <v>0</v>
      </c>
      <c r="AP52" s="57">
        <f>[13]January_2019!Z6</f>
        <v>0</v>
      </c>
      <c r="AQ52" s="57">
        <f>[13]January_2019!AA6</f>
        <v>0</v>
      </c>
      <c r="AR52" s="57">
        <f>[13]January_2019!AB6</f>
        <v>0</v>
      </c>
      <c r="AS52" s="57">
        <f>[13]January_2019!AC6</f>
        <v>0</v>
      </c>
      <c r="AT52" s="57">
        <f>[13]January_2019!AD6</f>
        <v>0</v>
      </c>
      <c r="AU52" s="57">
        <f>[13]January_2019!AE6</f>
        <v>0</v>
      </c>
      <c r="AV52" s="57">
        <f>[13]January_2019!AF6</f>
        <v>0</v>
      </c>
      <c r="AW52" s="57">
        <f>[13]January_2019!AG6</f>
        <v>0</v>
      </c>
      <c r="AX52" s="277">
        <f>[13]January_2019!AH6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1:57" s="54" customFormat="1" ht="37.15" hidden="1" customHeight="1" thickBot="1">
      <c r="A53" s="54" t="s">
        <v>168</v>
      </c>
      <c r="B53" s="480"/>
      <c r="C53" s="479"/>
      <c r="D53" s="442"/>
      <c r="E53" s="443"/>
      <c r="F53" s="444"/>
      <c r="G53" s="445"/>
      <c r="H53" s="458"/>
      <c r="I53" s="458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[13]January_2019!L7</f>
        <v>285.8</v>
      </c>
      <c r="AC53" s="57">
        <f>[13]January_2019!M7</f>
        <v>508.1</v>
      </c>
      <c r="AD53" s="57">
        <f>[13]January_2019!N7</f>
        <v>0</v>
      </c>
      <c r="AE53" s="57">
        <f>[13]January_2019!O7</f>
        <v>0</v>
      </c>
      <c r="AF53" s="57">
        <f>[13]January_2019!P7</f>
        <v>109.56666666666666</v>
      </c>
      <c r="AG53" s="57">
        <f>[13]January_2019!Q7</f>
        <v>297.64999999999998</v>
      </c>
      <c r="AH53" s="57">
        <f>[13]January_2019!R7</f>
        <v>122.3</v>
      </c>
      <c r="AI53" s="57">
        <f>[13]January_2019!S7</f>
        <v>0</v>
      </c>
      <c r="AJ53" s="57">
        <f>[13]January_2019!T7</f>
        <v>294.7</v>
      </c>
      <c r="AK53" s="57">
        <f>[13]January_2019!U7</f>
        <v>280.5</v>
      </c>
      <c r="AL53" s="57">
        <f>[13]January_2019!V7</f>
        <v>0</v>
      </c>
      <c r="AM53" s="57">
        <f>[13]January_2019!W7</f>
        <v>0</v>
      </c>
      <c r="AN53" s="57">
        <f>[13]January_2019!X7</f>
        <v>188.25</v>
      </c>
      <c r="AO53" s="57">
        <f>[13]January_2019!Y7</f>
        <v>295.7</v>
      </c>
      <c r="AP53" s="57">
        <f>[13]January_2019!Z7</f>
        <v>257.8</v>
      </c>
      <c r="AQ53" s="57">
        <f>[13]January_2019!AA7</f>
        <v>291.2</v>
      </c>
      <c r="AR53" s="57">
        <f>[13]January_2019!AB7</f>
        <v>187</v>
      </c>
      <c r="AS53" s="57">
        <f>[13]January_2019!AC7</f>
        <v>0</v>
      </c>
      <c r="AT53" s="57">
        <f>[13]January_2019!AD7</f>
        <v>0</v>
      </c>
      <c r="AU53" s="57">
        <f>[13]January_2019!AE7</f>
        <v>485.1</v>
      </c>
      <c r="AV53" s="57">
        <f>[13]January_2019!AF7</f>
        <v>171.55</v>
      </c>
      <c r="AW53" s="57">
        <f>[13]January_2019!AG7</f>
        <v>423.8</v>
      </c>
      <c r="AX53" s="277">
        <f>[13]January_2019!AH7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19.5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38.450000000000003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B57" s="480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1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1:57" ht="15.75" thickBot="1">
      <c r="B62" s="556" t="s">
        <v>55</v>
      </c>
      <c r="C62" s="557"/>
      <c r="D62" s="557"/>
      <c r="E62" s="557"/>
      <c r="F62" s="558"/>
      <c r="G62" s="556" t="s">
        <v>56</v>
      </c>
      <c r="H62" s="557"/>
      <c r="I62" s="557"/>
      <c r="J62" s="558"/>
      <c r="K62" s="556" t="s">
        <v>51</v>
      </c>
      <c r="L62" s="557"/>
      <c r="M62" s="557"/>
      <c r="N62" s="559"/>
      <c r="O62" s="56"/>
      <c r="P62" s="50"/>
    </row>
    <row r="63" spans="1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/>
      <c r="L63" s="62" t="s">
        <v>37</v>
      </c>
      <c r="M63" s="62" t="s">
        <v>38</v>
      </c>
      <c r="N63" s="63" t="s">
        <v>39</v>
      </c>
      <c r="O63" s="56"/>
      <c r="P63" s="64"/>
    </row>
    <row r="64" spans="1:57" ht="15">
      <c r="B64" s="29" t="s">
        <v>6</v>
      </c>
      <c r="C64" s="282"/>
      <c r="D64" s="76">
        <v>6.0280578693554983</v>
      </c>
      <c r="E64" s="76">
        <v>6.7343546069159004</v>
      </c>
      <c r="F64" s="66">
        <v>4.8</v>
      </c>
      <c r="G64" s="65"/>
      <c r="H64" s="477">
        <v>6.4186889281491899</v>
      </c>
      <c r="I64" s="477">
        <v>6.1737418812095832</v>
      </c>
      <c r="J64" s="66">
        <v>4.8</v>
      </c>
      <c r="K64" s="67"/>
      <c r="L64" s="194">
        <v>0.50247953216374275</v>
      </c>
      <c r="M64" s="194">
        <v>0.47941368157834274</v>
      </c>
      <c r="N64" s="68">
        <v>1</v>
      </c>
      <c r="O64" s="56"/>
      <c r="P64" s="69"/>
    </row>
    <row r="65" spans="2:16" ht="15">
      <c r="B65" s="33" t="s">
        <v>9</v>
      </c>
      <c r="C65" s="65">
        <f>L51</f>
        <v>2.1324636226793916</v>
      </c>
      <c r="D65" s="76">
        <v>5.3086760511546238</v>
      </c>
      <c r="E65" s="76">
        <v>6.1722673079151376</v>
      </c>
      <c r="F65" s="66">
        <v>4.8</v>
      </c>
      <c r="G65" s="65">
        <f>[32]May_2026!$N$21</f>
        <v>3.639338169818044</v>
      </c>
      <c r="H65" s="76">
        <v>5.6129104451731306</v>
      </c>
      <c r="I65" s="76">
        <v>5.6770677379197769</v>
      </c>
      <c r="J65" s="66">
        <v>4.8</v>
      </c>
      <c r="K65" s="67">
        <f>K51</f>
        <v>1.3687719298245615</v>
      </c>
      <c r="L65" s="194">
        <v>0.52921052631578958</v>
      </c>
      <c r="M65" s="194">
        <v>0.68704171614755305</v>
      </c>
      <c r="N65" s="68">
        <v>1</v>
      </c>
      <c r="P65" s="69"/>
    </row>
    <row r="66" spans="2:16" ht="15">
      <c r="B66" s="34" t="s">
        <v>40</v>
      </c>
      <c r="C66" s="65"/>
      <c r="D66" s="76">
        <v>10.182228066879567</v>
      </c>
      <c r="E66" s="76">
        <v>11.735537190082644</v>
      </c>
      <c r="F66" s="66">
        <v>5.5</v>
      </c>
      <c r="G66" s="65"/>
      <c r="H66" s="76">
        <v>12.769538510720032</v>
      </c>
      <c r="I66" s="76">
        <v>11.362028737847183</v>
      </c>
      <c r="J66" s="66">
        <v>5.5</v>
      </c>
      <c r="K66" s="67"/>
      <c r="L66" s="194">
        <v>0.23824561403508773</v>
      </c>
      <c r="M66" s="194">
        <v>0.26411513157894739</v>
      </c>
      <c r="N66" s="68">
        <v>1</v>
      </c>
      <c r="P66" s="69"/>
    </row>
    <row r="67" spans="2:16" ht="15">
      <c r="B67" s="22" t="s">
        <v>33</v>
      </c>
      <c r="C67" s="65"/>
      <c r="D67" s="76">
        <v>4.8532569792412277</v>
      </c>
      <c r="E67" s="76">
        <v>4.6518562695690884</v>
      </c>
      <c r="F67" s="66">
        <v>3.3</v>
      </c>
      <c r="G67" s="65"/>
      <c r="H67" s="76">
        <v>4.4089875005606158</v>
      </c>
      <c r="I67" s="76">
        <v>4.7372529705103688</v>
      </c>
      <c r="J67" s="66">
        <v>3.3</v>
      </c>
      <c r="K67" s="67"/>
      <c r="L67" s="194">
        <v>0.58298245614035094</v>
      </c>
      <c r="M67" s="194">
        <v>0.74716374269005859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/>
      <c r="E69" s="76">
        <v>5.1105651105651271</v>
      </c>
      <c r="F69" s="487">
        <v>5.5</v>
      </c>
      <c r="G69" s="282"/>
      <c r="H69" s="76">
        <v>7.9131369535794072</v>
      </c>
      <c r="I69" s="76"/>
      <c r="J69" s="66">
        <v>5.5</v>
      </c>
      <c r="K69" s="67"/>
      <c r="L69" s="194"/>
      <c r="M69" s="194">
        <v>1.3550877192982456</v>
      </c>
      <c r="N69" s="68">
        <v>1</v>
      </c>
      <c r="P69" s="69"/>
    </row>
    <row r="70" spans="2:16" ht="15">
      <c r="B70" s="37" t="s">
        <v>16</v>
      </c>
      <c r="C70" s="65"/>
      <c r="D70" s="76"/>
      <c r="E70" s="76">
        <v>3.9654240950837312</v>
      </c>
      <c r="F70" s="66">
        <v>3.3</v>
      </c>
      <c r="G70" s="282"/>
      <c r="H70" s="76">
        <v>4.8236555171494695</v>
      </c>
      <c r="I70" s="76"/>
      <c r="J70" s="66">
        <v>3.3</v>
      </c>
      <c r="K70" s="67"/>
      <c r="L70" s="194"/>
      <c r="M70" s="194">
        <v>0.89457115009746591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6.2967112634284215</v>
      </c>
      <c r="E73" s="76">
        <v>6.5706005791124955</v>
      </c>
      <c r="F73" s="341">
        <v>5.5</v>
      </c>
      <c r="H73" s="76">
        <v>6.5597165714298971</v>
      </c>
      <c r="I73" s="76">
        <v>6.8687353873519834</v>
      </c>
      <c r="J73" s="341">
        <v>5.5</v>
      </c>
      <c r="L73" s="194">
        <v>0.48243814664867296</v>
      </c>
      <c r="M73" s="194">
        <v>0.55878502836037469</v>
      </c>
      <c r="N7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B34:B43"/>
    <mergeCell ref="D34:E35"/>
    <mergeCell ref="J34:K34"/>
    <mergeCell ref="L35:N35"/>
    <mergeCell ref="D36:E37"/>
    <mergeCell ref="D38:E39"/>
    <mergeCell ref="D40:E41"/>
    <mergeCell ref="D42:E43"/>
    <mergeCell ref="D44:E44"/>
    <mergeCell ref="B49:B50"/>
    <mergeCell ref="C49:C50"/>
    <mergeCell ref="D49:D50"/>
    <mergeCell ref="E49:E50"/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</mergeCells>
  <conditionalFormatting sqref="B44:B45">
    <cfRule type="cellIs" dxfId="2405" priority="122" operator="notBetween">
      <formula>#REF!</formula>
      <formula>#REF!</formula>
    </cfRule>
  </conditionalFormatting>
  <conditionalFormatting sqref="C48">
    <cfRule type="cellIs" dxfId="2404" priority="211" stopIfTrue="1" operator="lessThan">
      <formula>96</formula>
    </cfRule>
    <cfRule type="cellIs" dxfId="2403" priority="212" stopIfTrue="1" operator="greaterThan">
      <formula>100</formula>
    </cfRule>
  </conditionalFormatting>
  <conditionalFormatting sqref="C64:C68">
    <cfRule type="cellIs" dxfId="2402" priority="72" stopIfTrue="1" operator="lessThanOrEqual">
      <formula>0</formula>
    </cfRule>
  </conditionalFormatting>
  <conditionalFormatting sqref="C64:C72">
    <cfRule type="cellIs" dxfId="2401" priority="71" stopIfTrue="1" operator="greaterThan">
      <formula>$F64</formula>
    </cfRule>
  </conditionalFormatting>
  <conditionalFormatting sqref="C65">
    <cfRule type="cellIs" dxfId="2400" priority="74" stopIfTrue="1" operator="greaterThan">
      <formula>$F64</formula>
    </cfRule>
  </conditionalFormatting>
  <conditionalFormatting sqref="C69">
    <cfRule type="cellIs" dxfId="2399" priority="69" stopIfTrue="1" operator="lessThanOrEqual">
      <formula>0</formula>
    </cfRule>
    <cfRule type="cellIs" dxfId="2398" priority="70" stopIfTrue="1" operator="greaterThan">
      <formula>$F68</formula>
    </cfRule>
  </conditionalFormatting>
  <conditionalFormatting sqref="C70:C72">
    <cfRule type="cellIs" dxfId="2397" priority="73" stopIfTrue="1" operator="lessThanOrEqual">
      <formula>0</formula>
    </cfRule>
  </conditionalFormatting>
  <conditionalFormatting sqref="C75:C79">
    <cfRule type="cellIs" dxfId="2396" priority="203" stopIfTrue="1" operator="lessThanOrEqual">
      <formula>0</formula>
    </cfRule>
  </conditionalFormatting>
  <conditionalFormatting sqref="C76:C79">
    <cfRule type="cellIs" dxfId="2395" priority="202" stopIfTrue="1" operator="greaterThan">
      <formula>$F$75</formula>
    </cfRule>
  </conditionalFormatting>
  <conditionalFormatting sqref="C81">
    <cfRule type="cellIs" dxfId="2394" priority="205" stopIfTrue="1" operator="lessThanOrEqual">
      <formula>0</formula>
    </cfRule>
    <cfRule type="cellIs" dxfId="2393" priority="204" stopIfTrue="1" operator="greaterThan">
      <formula>$F$75</formula>
    </cfRule>
  </conditionalFormatting>
  <conditionalFormatting sqref="C75:D75 D77:D83">
    <cfRule type="cellIs" dxfId="2392" priority="197" stopIfTrue="1" operator="greaterThan">
      <formula>4.5</formula>
    </cfRule>
  </conditionalFormatting>
  <conditionalFormatting sqref="D44:D45">
    <cfRule type="cellIs" dxfId="2391" priority="123" operator="notBetween">
      <formula>#REF!</formula>
      <formula>#REF!</formula>
    </cfRule>
  </conditionalFormatting>
  <conditionalFormatting sqref="D64:D71">
    <cfRule type="cellIs" dxfId="2390" priority="63" stopIfTrue="1" operator="lessThanOrEqual">
      <formula>0</formula>
    </cfRule>
  </conditionalFormatting>
  <conditionalFormatting sqref="D64:D73">
    <cfRule type="cellIs" dxfId="2389" priority="46" stopIfTrue="1" operator="lessThanOrEqual">
      <formula>0</formula>
    </cfRule>
  </conditionalFormatting>
  <conditionalFormatting sqref="D72">
    <cfRule type="cellIs" dxfId="2388" priority="62" stopIfTrue="1" operator="lessThanOrEqual">
      <formula>0</formula>
    </cfRule>
  </conditionalFormatting>
  <conditionalFormatting sqref="D73">
    <cfRule type="cellIs" dxfId="2387" priority="59" stopIfTrue="1" operator="lessThanOrEqual">
      <formula>0</formula>
    </cfRule>
  </conditionalFormatting>
  <conditionalFormatting sqref="D75 D77:D83">
    <cfRule type="cellIs" dxfId="2386" priority="198" stopIfTrue="1" operator="lessThanOrEqual">
      <formula>0</formula>
    </cfRule>
  </conditionalFormatting>
  <conditionalFormatting sqref="D76">
    <cfRule type="cellIs" dxfId="2385" priority="190" stopIfTrue="1" operator="lessThanOrEqual">
      <formula>0</formula>
    </cfRule>
    <cfRule type="cellIs" dxfId="2384" priority="189" stopIfTrue="1" operator="greaterThan">
      <formula>$F$75</formula>
    </cfRule>
  </conditionalFormatting>
  <conditionalFormatting sqref="D64:E73">
    <cfRule type="cellIs" dxfId="2383" priority="48" stopIfTrue="1" operator="greaterThan">
      <formula>$F64</formula>
    </cfRule>
  </conditionalFormatting>
  <conditionalFormatting sqref="D73:E73">
    <cfRule type="cellIs" dxfId="2382" priority="50" stopIfTrue="1" operator="lessThanOrEqual">
      <formula>0</formula>
    </cfRule>
  </conditionalFormatting>
  <conditionalFormatting sqref="E10:E19">
    <cfRule type="cellIs" dxfId="2381" priority="27" operator="lessThan">
      <formula>48</formula>
    </cfRule>
  </conditionalFormatting>
  <conditionalFormatting sqref="E47 E48:F48">
    <cfRule type="cellIs" dxfId="2380" priority="194" stopIfTrue="1" operator="greaterThan">
      <formula>100</formula>
    </cfRule>
  </conditionalFormatting>
  <conditionalFormatting sqref="E48">
    <cfRule type="cellIs" dxfId="2379" priority="192" stopIfTrue="1" operator="greaterThan">
      <formula>100</formula>
    </cfRule>
    <cfRule type="cellIs" dxfId="2378" priority="191" stopIfTrue="1" operator="lessThan">
      <formula>96.8</formula>
    </cfRule>
  </conditionalFormatting>
  <conditionalFormatting sqref="E64:E72">
    <cfRule type="cellIs" dxfId="2377" priority="47" stopIfTrue="1" operator="lessThanOrEqual">
      <formula>0</formula>
    </cfRule>
  </conditionalFormatting>
  <conditionalFormatting sqref="E64:E73">
    <cfRule type="cellIs" dxfId="2376" priority="49" stopIfTrue="1" operator="lessThanOrEqual">
      <formula>0</formula>
    </cfRule>
  </conditionalFormatting>
  <conditionalFormatting sqref="E75:E83">
    <cfRule type="cellIs" dxfId="2375" priority="183" stopIfTrue="1" operator="greaterThan">
      <formula>4.5</formula>
    </cfRule>
    <cfRule type="cellIs" dxfId="2374" priority="184" stopIfTrue="1" operator="lessThanOrEqual">
      <formula>0</formula>
    </cfRule>
  </conditionalFormatting>
  <conditionalFormatting sqref="E48:F48 E47">
    <cfRule type="cellIs" dxfId="2373" priority="193" stopIfTrue="1" operator="lessThan">
      <formula>96.5</formula>
    </cfRule>
  </conditionalFormatting>
  <conditionalFormatting sqref="F10:F19">
    <cfRule type="cellIs" dxfId="2372" priority="34" operator="greaterThan">
      <formula>60</formula>
    </cfRule>
  </conditionalFormatting>
  <conditionalFormatting sqref="F48">
    <cfRule type="cellIs" dxfId="2371" priority="210" stopIfTrue="1" operator="greaterThan">
      <formula>100</formula>
    </cfRule>
    <cfRule type="cellIs" dxfId="2370" priority="209" stopIfTrue="1" operator="lessThan">
      <formula>96.8</formula>
    </cfRule>
  </conditionalFormatting>
  <conditionalFormatting sqref="F73">
    <cfRule type="cellIs" dxfId="2369" priority="60" stopIfTrue="1" operator="greaterThan">
      <formula>$F73</formula>
    </cfRule>
    <cfRule type="cellIs" dxfId="2368" priority="61" stopIfTrue="1" operator="lessThanOrEqual">
      <formula>0</formula>
    </cfRule>
  </conditionalFormatting>
  <conditionalFormatting sqref="G10:G19">
    <cfRule type="expression" dxfId="2367" priority="37">
      <formula>IF(+(IF(G10&lt;S10,0,IF(G10&gt;T10,0,1)))=0,1)</formula>
    </cfRule>
  </conditionalFormatting>
  <conditionalFormatting sqref="G64:G65">
    <cfRule type="cellIs" dxfId="2366" priority="64" stopIfTrue="1" operator="greaterThan">
      <formula>$F64</formula>
    </cfRule>
    <cfRule type="cellIs" dxfId="2365" priority="65" stopIfTrue="1" operator="lessThanOrEqual">
      <formula>0</formula>
    </cfRule>
  </conditionalFormatting>
  <conditionalFormatting sqref="G64:G67">
    <cfRule type="cellIs" dxfId="2364" priority="42" stopIfTrue="1" operator="lessThanOrEqual">
      <formula>0</formula>
    </cfRule>
    <cfRule type="cellIs" dxfId="2363" priority="41" stopIfTrue="1" operator="greaterThan">
      <formula>$F64</formula>
    </cfRule>
  </conditionalFormatting>
  <conditionalFormatting sqref="G66">
    <cfRule type="cellIs" dxfId="2362" priority="39" stopIfTrue="1" operator="greaterThan">
      <formula>$F66</formula>
    </cfRule>
    <cfRule type="cellIs" dxfId="2361" priority="40" stopIfTrue="1" operator="lessThanOrEqual">
      <formula>0</formula>
    </cfRule>
  </conditionalFormatting>
  <conditionalFormatting sqref="G67">
    <cfRule type="cellIs" dxfId="2360" priority="55" stopIfTrue="1" operator="lessThanOrEqual">
      <formula>0</formula>
    </cfRule>
    <cfRule type="cellIs" dxfId="2359" priority="54" stopIfTrue="1" operator="greaterThan">
      <formula>$F67</formula>
    </cfRule>
  </conditionalFormatting>
  <conditionalFormatting sqref="G68:G72">
    <cfRule type="cellIs" dxfId="2358" priority="67" stopIfTrue="1" operator="lessThanOrEqual">
      <formula>0</formula>
    </cfRule>
    <cfRule type="cellIs" dxfId="2357" priority="66" stopIfTrue="1" operator="greaterThan">
      <formula>$J68</formula>
    </cfRule>
  </conditionalFormatting>
  <conditionalFormatting sqref="G77:G82 C80 C82">
    <cfRule type="cellIs" dxfId="2356" priority="207" stopIfTrue="1" operator="lessThanOrEqual">
      <formula>0</formula>
    </cfRule>
    <cfRule type="cellIs" dxfId="2355" priority="206" stopIfTrue="1" operator="greaterThan">
      <formula>4.5</formula>
    </cfRule>
  </conditionalFormatting>
  <conditionalFormatting sqref="G76:H76">
    <cfRule type="cellIs" dxfId="2354" priority="188" stopIfTrue="1" operator="lessThanOrEqual">
      <formula>0</formula>
    </cfRule>
    <cfRule type="cellIs" dxfId="2353" priority="187" stopIfTrue="1" operator="greaterThan">
      <formula>$F$75</formula>
    </cfRule>
  </conditionalFormatting>
  <conditionalFormatting sqref="H33:H34 H47">
    <cfRule type="cellIs" dxfId="2352" priority="185" stopIfTrue="1" operator="greaterThan">
      <formula>0</formula>
    </cfRule>
  </conditionalFormatting>
  <conditionalFormatting sqref="H51">
    <cfRule type="cellIs" dxfId="2351" priority="3" stopIfTrue="1" operator="greaterThan">
      <formula>$F$67</formula>
    </cfRule>
    <cfRule type="cellIs" dxfId="2350" priority="11" stopIfTrue="1" operator="greaterThan">
      <formula>$F$70</formula>
    </cfRule>
    <cfRule type="cellIs" dxfId="2349" priority="14" stopIfTrue="1" operator="lessThanOrEqual">
      <formula>0</formula>
    </cfRule>
    <cfRule type="cellIs" dxfId="2348" priority="2" stopIfTrue="1" operator="lessThanOrEqual">
      <formula>0</formula>
    </cfRule>
    <cfRule type="cellIs" dxfId="2347" priority="12" stopIfTrue="1" operator="lessThanOrEqual">
      <formula>0</formula>
    </cfRule>
    <cfRule type="cellIs" dxfId="2346" priority="13" stopIfTrue="1" operator="greaterThan">
      <formula>$F$68</formula>
    </cfRule>
  </conditionalFormatting>
  <conditionalFormatting sqref="H52:H53">
    <cfRule type="cellIs" dxfId="2345" priority="90" stopIfTrue="1" operator="lessThanOrEqual">
      <formula>0</formula>
    </cfRule>
    <cfRule type="cellIs" dxfId="2344" priority="91" stopIfTrue="1" operator="greaterThan">
      <formula>$F$64</formula>
    </cfRule>
    <cfRule type="cellIs" dxfId="2343" priority="99" stopIfTrue="1" operator="greaterThan">
      <formula>$F$67</formula>
    </cfRule>
    <cfRule type="cellIs" dxfId="2342" priority="100" stopIfTrue="1" operator="lessThanOrEqual">
      <formula>0</formula>
    </cfRule>
    <cfRule type="cellIs" dxfId="2341" priority="101" stopIfTrue="1" operator="greaterThan">
      <formula>$F$65</formula>
    </cfRule>
  </conditionalFormatting>
  <conditionalFormatting sqref="H52:H55">
    <cfRule type="cellIs" dxfId="2340" priority="102" stopIfTrue="1" operator="lessThanOrEqual">
      <formula>0</formula>
    </cfRule>
  </conditionalFormatting>
  <conditionalFormatting sqref="H54:H55">
    <cfRule type="cellIs" dxfId="2339" priority="108" stopIfTrue="1" operator="greaterThan">
      <formula>$F$64</formula>
    </cfRule>
    <cfRule type="cellIs" dxfId="2338" priority="119" stopIfTrue="1" operator="lessThanOrEqual">
      <formula>0</formula>
    </cfRule>
    <cfRule type="cellIs" dxfId="2337" priority="116" stopIfTrue="1" operator="greaterThan">
      <formula>$F$67</formula>
    </cfRule>
    <cfRule type="cellIs" dxfId="2336" priority="117" stopIfTrue="1" operator="lessThanOrEqual">
      <formula>0</formula>
    </cfRule>
    <cfRule type="cellIs" dxfId="2335" priority="118" stopIfTrue="1" operator="greaterThan">
      <formula>$F$65</formula>
    </cfRule>
  </conditionalFormatting>
  <conditionalFormatting sqref="H56:H57">
    <cfRule type="cellIs" dxfId="2334" priority="159" stopIfTrue="1" operator="lessThanOrEqual">
      <formula>0</formula>
    </cfRule>
    <cfRule type="cellIs" dxfId="2333" priority="158" stopIfTrue="1" operator="greaterThan">
      <formula>#REF!</formula>
    </cfRule>
    <cfRule type="cellIs" dxfId="2332" priority="157" stopIfTrue="1" operator="lessThanOrEqual">
      <formula>0</formula>
    </cfRule>
    <cfRule type="cellIs" dxfId="2331" priority="156" stopIfTrue="1" operator="greaterThan">
      <formula>$F$19</formula>
    </cfRule>
    <cfRule type="cellIs" dxfId="2330" priority="148" stopIfTrue="1" operator="greaterThan">
      <formula>#REF!</formula>
    </cfRule>
    <cfRule type="cellIs" dxfId="2329" priority="147" stopIfTrue="1" operator="lessThanOrEqual">
      <formula>0</formula>
    </cfRule>
  </conditionalFormatting>
  <conditionalFormatting sqref="H58">
    <cfRule type="cellIs" dxfId="2328" priority="172" stopIfTrue="1" operator="greaterThan">
      <formula>$F$33</formula>
    </cfRule>
    <cfRule type="cellIs" dxfId="2327" priority="171" stopIfTrue="1" operator="lessThanOrEqual">
      <formula>0</formula>
    </cfRule>
    <cfRule type="cellIs" dxfId="2326" priority="170" stopIfTrue="1" operator="greaterThan">
      <formula>$F$35</formula>
    </cfRule>
    <cfRule type="cellIs" dxfId="2325" priority="173" stopIfTrue="1" operator="lessThanOrEqual">
      <formula>0</formula>
    </cfRule>
    <cfRule type="cellIs" dxfId="2324" priority="162" stopIfTrue="1" operator="greaterThan">
      <formula>$F$32</formula>
    </cfRule>
    <cfRule type="cellIs" dxfId="2323" priority="161" stopIfTrue="1" operator="lessThanOrEqual">
      <formula>0</formula>
    </cfRule>
  </conditionalFormatting>
  <conditionalFormatting sqref="H59:H60">
    <cfRule type="cellIs" dxfId="2322" priority="144" stopIfTrue="1" operator="greaterThan">
      <formula>#REF!</formula>
    </cfRule>
    <cfRule type="cellIs" dxfId="2321" priority="145" stopIfTrue="1" operator="lessThanOrEqual">
      <formula>0</formula>
    </cfRule>
    <cfRule type="cellIs" dxfId="2320" priority="143" stopIfTrue="1" operator="lessThanOrEqual">
      <formula>0</formula>
    </cfRule>
    <cfRule type="cellIs" dxfId="2319" priority="134" stopIfTrue="1" operator="greaterThan">
      <formula>#REF!</formula>
    </cfRule>
    <cfRule type="cellIs" dxfId="2318" priority="133" stopIfTrue="1" operator="lessThanOrEqual">
      <formula>0</formula>
    </cfRule>
    <cfRule type="cellIs" dxfId="2317" priority="142" stopIfTrue="1" operator="greaterThan">
      <formula>$F$19</formula>
    </cfRule>
  </conditionalFormatting>
  <conditionalFormatting sqref="H75 H77:H83">
    <cfRule type="cellIs" dxfId="2316" priority="200" stopIfTrue="1" operator="lessThanOrEqual">
      <formula>0</formula>
    </cfRule>
    <cfRule type="cellIs" dxfId="2315" priority="199" stopIfTrue="1" operator="greaterThan">
      <formula>4.5</formula>
    </cfRule>
  </conditionalFormatting>
  <conditionalFormatting sqref="H51:I51">
    <cfRule type="cellIs" dxfId="2314" priority="4" stopIfTrue="1" operator="lessThanOrEqual">
      <formula>0</formula>
    </cfRule>
    <cfRule type="cellIs" dxfId="2313" priority="1" stopIfTrue="1" operator="greaterThan">
      <formula>$F$69</formula>
    </cfRule>
  </conditionalFormatting>
  <conditionalFormatting sqref="H52:I53">
    <cfRule type="cellIs" dxfId="2312" priority="92" stopIfTrue="1" operator="lessThanOrEqual">
      <formula>0</formula>
    </cfRule>
  </conditionalFormatting>
  <conditionalFormatting sqref="H52:I55">
    <cfRule type="cellIs" dxfId="2311" priority="89" stopIfTrue="1" operator="greaterThan">
      <formula>$F$66</formula>
    </cfRule>
  </conditionalFormatting>
  <conditionalFormatting sqref="H54:I55">
    <cfRule type="cellIs" dxfId="2310" priority="109" stopIfTrue="1" operator="lessThanOrEqual">
      <formula>0</formula>
    </cfRule>
  </conditionalFormatting>
  <conditionalFormatting sqref="H56:I57">
    <cfRule type="cellIs" dxfId="2309" priority="146" stopIfTrue="1" operator="greaterThan">
      <formula>#REF!</formula>
    </cfRule>
    <cfRule type="cellIs" dxfId="2308" priority="149" stopIfTrue="1" operator="lessThanOrEqual">
      <formula>0</formula>
    </cfRule>
  </conditionalFormatting>
  <conditionalFormatting sqref="H58:I58">
    <cfRule type="cellIs" dxfId="2307" priority="163" stopIfTrue="1" operator="lessThanOrEqual">
      <formula>0</formula>
    </cfRule>
    <cfRule type="cellIs" dxfId="2306" priority="160" stopIfTrue="1" operator="greaterThan">
      <formula>$F$34</formula>
    </cfRule>
  </conditionalFormatting>
  <conditionalFormatting sqref="H59:I60">
    <cfRule type="cellIs" dxfId="2305" priority="132" stopIfTrue="1" operator="greaterThan">
      <formula>#REF!</formula>
    </cfRule>
    <cfRule type="cellIs" dxfId="2304" priority="135" stopIfTrue="1" operator="lessThanOrEqual">
      <formula>0</formula>
    </cfRule>
  </conditionalFormatting>
  <conditionalFormatting sqref="H64:I71">
    <cfRule type="cellIs" dxfId="2303" priority="44" stopIfTrue="1" operator="greaterThan">
      <formula>$J64</formula>
    </cfRule>
    <cfRule type="cellIs" dxfId="2302" priority="45" stopIfTrue="1" operator="lessThanOrEqual">
      <formula>0</formula>
    </cfRule>
  </conditionalFormatting>
  <conditionalFormatting sqref="H72:I72">
    <cfRule type="cellIs" dxfId="2301" priority="53" operator="greaterThan">
      <formula>5.3</formula>
    </cfRule>
  </conditionalFormatting>
  <conditionalFormatting sqref="H73:I73">
    <cfRule type="cellIs" dxfId="2300" priority="51" stopIfTrue="1" operator="greaterThan">
      <formula>$J73</formula>
    </cfRule>
    <cfRule type="cellIs" dxfId="2299" priority="52" stopIfTrue="1" operator="lessThanOrEqual">
      <formula>0</formula>
    </cfRule>
  </conditionalFormatting>
  <conditionalFormatting sqref="I51">
    <cfRule type="cellIs" dxfId="2298" priority="5" stopIfTrue="1" operator="greaterThan">
      <formula>$F$67</formula>
    </cfRule>
    <cfRule type="cellIs" dxfId="2297" priority="10" stopIfTrue="1" operator="lessThanOrEqual">
      <formula>0</formula>
    </cfRule>
    <cfRule type="cellIs" dxfId="2296" priority="9" stopIfTrue="1" operator="greaterThan">
      <formula>$F$67</formula>
    </cfRule>
    <cfRule type="cellIs" dxfId="2295" priority="8" stopIfTrue="1" operator="lessThanOrEqual">
      <formula>0</formula>
    </cfRule>
    <cfRule type="cellIs" dxfId="2294" priority="7" stopIfTrue="1" operator="greaterThan">
      <formula>$F$69</formula>
    </cfRule>
    <cfRule type="cellIs" dxfId="2293" priority="6" stopIfTrue="1" operator="lessThanOrEqual">
      <formula>0</formula>
    </cfRule>
  </conditionalFormatting>
  <conditionalFormatting sqref="I52:I53">
    <cfRule type="cellIs" dxfId="2292" priority="96" stopIfTrue="1" operator="lessThanOrEqual">
      <formula>0</formula>
    </cfRule>
    <cfRule type="cellIs" dxfId="2291" priority="93" stopIfTrue="1" operator="greaterThan">
      <formula>$F$64</formula>
    </cfRule>
    <cfRule type="cellIs" dxfId="2290" priority="94" stopIfTrue="1" operator="lessThanOrEqual">
      <formula>0</formula>
    </cfRule>
    <cfRule type="cellIs" dxfId="2289" priority="95" stopIfTrue="1" operator="greaterThan">
      <formula>$F$66</formula>
    </cfRule>
    <cfRule type="cellIs" dxfId="2288" priority="97" stopIfTrue="1" operator="greaterThan">
      <formula>$F$64</formula>
    </cfRule>
    <cfRule type="cellIs" dxfId="2287" priority="98" stopIfTrue="1" operator="lessThanOrEqual">
      <formula>0</formula>
    </cfRule>
  </conditionalFormatting>
  <conditionalFormatting sqref="I54:I55">
    <cfRule type="cellIs" dxfId="2286" priority="114" stopIfTrue="1" operator="greaterThan">
      <formula>$F$64</formula>
    </cfRule>
    <cfRule type="cellIs" dxfId="2285" priority="115" stopIfTrue="1" operator="lessThanOrEqual">
      <formula>0</formula>
    </cfRule>
    <cfRule type="cellIs" dxfId="2284" priority="113" stopIfTrue="1" operator="lessThanOrEqual">
      <formula>0</formula>
    </cfRule>
    <cfRule type="cellIs" dxfId="2283" priority="112" stopIfTrue="1" operator="greaterThan">
      <formula>$F$66</formula>
    </cfRule>
    <cfRule type="cellIs" dxfId="2282" priority="111" stopIfTrue="1" operator="lessThanOrEqual">
      <formula>0</formula>
    </cfRule>
    <cfRule type="cellIs" dxfId="2281" priority="110" stopIfTrue="1" operator="greaterThan">
      <formula>$F$64</formula>
    </cfRule>
  </conditionalFormatting>
  <conditionalFormatting sqref="I56:I57">
    <cfRule type="cellIs" dxfId="2280" priority="155" stopIfTrue="1" operator="lessThanOrEqual">
      <formula>0</formula>
    </cfRule>
    <cfRule type="cellIs" dxfId="2279" priority="154" stopIfTrue="1" operator="greaterThan">
      <formula>#REF!</formula>
    </cfRule>
    <cfRule type="cellIs" dxfId="2278" priority="150" stopIfTrue="1" operator="greaterThan">
      <formula>#REF!</formula>
    </cfRule>
    <cfRule type="cellIs" dxfId="2277" priority="151" stopIfTrue="1" operator="lessThanOrEqual">
      <formula>0</formula>
    </cfRule>
    <cfRule type="cellIs" dxfId="2276" priority="152" stopIfTrue="1" operator="greaterThan">
      <formula>#REF!</formula>
    </cfRule>
    <cfRule type="cellIs" dxfId="2275" priority="153" stopIfTrue="1" operator="lessThanOrEqual">
      <formula>0</formula>
    </cfRule>
  </conditionalFormatting>
  <conditionalFormatting sqref="I58">
    <cfRule type="cellIs" dxfId="2274" priority="169" stopIfTrue="1" operator="lessThanOrEqual">
      <formula>0</formula>
    </cfRule>
    <cfRule type="cellIs" dxfId="2273" priority="167" stopIfTrue="1" operator="lessThanOrEqual">
      <formula>0</formula>
    </cfRule>
    <cfRule type="cellIs" dxfId="2272" priority="168" stopIfTrue="1" operator="greaterThan">
      <formula>$F$32</formula>
    </cfRule>
    <cfRule type="cellIs" dxfId="2271" priority="166" stopIfTrue="1" operator="greaterThan">
      <formula>$F$34</formula>
    </cfRule>
    <cfRule type="cellIs" dxfId="2270" priority="164" stopIfTrue="1" operator="greaterThan">
      <formula>$F$32</formula>
    </cfRule>
    <cfRule type="cellIs" dxfId="2269" priority="165" stopIfTrue="1" operator="lessThanOrEqual">
      <formula>0</formula>
    </cfRule>
  </conditionalFormatting>
  <conditionalFormatting sqref="I59:I60">
    <cfRule type="cellIs" dxfId="2268" priority="140" stopIfTrue="1" operator="greaterThan">
      <formula>#REF!</formula>
    </cfRule>
    <cfRule type="cellIs" dxfId="2267" priority="139" stopIfTrue="1" operator="lessThanOrEqual">
      <formula>0</formula>
    </cfRule>
    <cfRule type="cellIs" dxfId="2266" priority="138" stopIfTrue="1" operator="greaterThan">
      <formula>#REF!</formula>
    </cfRule>
    <cfRule type="cellIs" dxfId="2265" priority="137" stopIfTrue="1" operator="lessThanOrEqual">
      <formula>0</formula>
    </cfRule>
    <cfRule type="cellIs" dxfId="2264" priority="136" stopIfTrue="1" operator="greaterThan">
      <formula>#REF!</formula>
    </cfRule>
    <cfRule type="cellIs" dxfId="2263" priority="141" stopIfTrue="1" operator="lessThanOrEqual">
      <formula>0</formula>
    </cfRule>
  </conditionalFormatting>
  <conditionalFormatting sqref="I75:I83">
    <cfRule type="cellIs" dxfId="2262" priority="195" stopIfTrue="1" operator="greaterThan">
      <formula>4.5</formula>
    </cfRule>
    <cfRule type="cellIs" dxfId="2261" priority="196" stopIfTrue="1" operator="lessThanOrEqual">
      <formula>0</formula>
    </cfRule>
  </conditionalFormatting>
  <conditionalFormatting sqref="I10:J19">
    <cfRule type="cellIs" dxfId="2260" priority="28" operator="lessThan">
      <formula>97.9</formula>
    </cfRule>
  </conditionalFormatting>
  <conditionalFormatting sqref="J22:J23">
    <cfRule type="cellIs" dxfId="2259" priority="104" operator="lessThan">
      <formula>97.95</formula>
    </cfRule>
  </conditionalFormatting>
  <conditionalFormatting sqref="J24">
    <cfRule type="cellIs" dxfId="2258" priority="176" stopIfTrue="1" operator="greaterThan">
      <formula>100</formula>
    </cfRule>
    <cfRule type="cellIs" dxfId="2257" priority="177" operator="lessThan">
      <formula>98</formula>
    </cfRule>
    <cfRule type="cellIs" dxfId="2256" priority="175" stopIfTrue="1" operator="lessThan">
      <formula>96.8</formula>
    </cfRule>
  </conditionalFormatting>
  <conditionalFormatting sqref="J24:J26">
    <cfRule type="cellIs" dxfId="2255" priority="174" operator="lessThan">
      <formula>97.4</formula>
    </cfRule>
  </conditionalFormatting>
  <conditionalFormatting sqref="J27:J28">
    <cfRule type="cellIs" dxfId="2254" priority="178" operator="lessThan">
      <formula>98</formula>
    </cfRule>
  </conditionalFormatting>
  <conditionalFormatting sqref="J29:J30">
    <cfRule type="cellIs" dxfId="2253" priority="179" stopIfTrue="1" operator="lessThan">
      <formula>96.8</formula>
    </cfRule>
    <cfRule type="cellIs" dxfId="2252" priority="180" stopIfTrue="1" operator="greaterThan">
      <formula>100</formula>
    </cfRule>
  </conditionalFormatting>
  <conditionalFormatting sqref="J29:J31">
    <cfRule type="cellIs" dxfId="2251" priority="181" operator="lessThan">
      <formula>98</formula>
    </cfRule>
  </conditionalFormatting>
  <conditionalFormatting sqref="J60">
    <cfRule type="cellIs" dxfId="2250" priority="130" stopIfTrue="1" operator="greaterThan">
      <formula>#REF!</formula>
    </cfRule>
    <cfRule type="cellIs" dxfId="2249" priority="129" stopIfTrue="1" operator="lessThanOrEqual">
      <formula>0</formula>
    </cfRule>
    <cfRule type="cellIs" dxfId="2248" priority="128" stopIfTrue="1" operator="greaterThan">
      <formula>#REF!</formula>
    </cfRule>
    <cfRule type="cellIs" dxfId="2247" priority="127" stopIfTrue="1" operator="lessThanOrEqual">
      <formula>0</formula>
    </cfRule>
    <cfRule type="cellIs" dxfId="2246" priority="126" stopIfTrue="1" operator="greaterThan">
      <formula>#REF!</formula>
    </cfRule>
    <cfRule type="cellIs" dxfId="2245" priority="125" stopIfTrue="1" operator="lessThanOrEqual">
      <formula>0</formula>
    </cfRule>
    <cfRule type="cellIs" dxfId="2244" priority="124" stopIfTrue="1" operator="greaterThan">
      <formula>#REF!</formula>
    </cfRule>
    <cfRule type="cellIs" dxfId="2243" priority="131" stopIfTrue="1" operator="lessThanOrEqual">
      <formula>0</formula>
    </cfRule>
  </conditionalFormatting>
  <conditionalFormatting sqref="J73">
    <cfRule type="cellIs" dxfId="2242" priority="57" stopIfTrue="1" operator="lessThanOrEqual">
      <formula>0</formula>
    </cfRule>
    <cfRule type="cellIs" dxfId="2241" priority="56" stopIfTrue="1" operator="greaterThan">
      <formula>$F73</formula>
    </cfRule>
  </conditionalFormatting>
  <conditionalFormatting sqref="K10:K19">
    <cfRule type="cellIs" dxfId="2240" priority="32" operator="lessThan">
      <formula>4</formula>
    </cfRule>
    <cfRule type="cellIs" dxfId="2239" priority="33" operator="greaterThan">
      <formula>6.4</formula>
    </cfRule>
    <cfRule type="cellIs" dxfId="2238" priority="31" operator="greaterThan">
      <formula>6</formula>
    </cfRule>
  </conditionalFormatting>
  <conditionalFormatting sqref="K51:K60">
    <cfRule type="cellIs" dxfId="2237" priority="103" stopIfTrue="1" operator="lessThan">
      <formula>100%</formula>
    </cfRule>
  </conditionalFormatting>
  <conditionalFormatting sqref="K75:K80">
    <cfRule type="cellIs" dxfId="2236" priority="201" stopIfTrue="1" operator="lessThan">
      <formula>100%</formula>
    </cfRule>
  </conditionalFormatting>
  <conditionalFormatting sqref="K82:K83">
    <cfRule type="cellIs" dxfId="2235" priority="208" stopIfTrue="1" operator="lessThan">
      <formula>100%</formula>
    </cfRule>
  </conditionalFormatting>
  <conditionalFormatting sqref="K64:M72">
    <cfRule type="cellIs" dxfId="2234" priority="43" stopIfTrue="1" operator="lessThan">
      <formula>100%</formula>
    </cfRule>
  </conditionalFormatting>
  <conditionalFormatting sqref="L10:L19">
    <cfRule type="cellIs" dxfId="2233" priority="30" operator="greaterThan">
      <formula>65</formula>
    </cfRule>
    <cfRule type="cellIs" dxfId="2232" priority="29" operator="between">
      <formula>61</formula>
      <formula>65</formula>
    </cfRule>
  </conditionalFormatting>
  <conditionalFormatting sqref="L22:M33">
    <cfRule type="cellIs" dxfId="2231" priority="121" operator="lessThan">
      <formula>97.95</formula>
    </cfRule>
  </conditionalFormatting>
  <conditionalFormatting sqref="L73:M73">
    <cfRule type="cellIs" dxfId="2230" priority="58" stopIfTrue="1" operator="lessThan">
      <formula>100%</formula>
    </cfRule>
  </conditionalFormatting>
  <conditionalFormatting sqref="L37:N37">
    <cfRule type="cellIs" dxfId="2229" priority="38" operator="notEqual">
      <formula>#REF!</formula>
    </cfRule>
  </conditionalFormatting>
  <conditionalFormatting sqref="L75:N83">
    <cfRule type="cellIs" dxfId="2228" priority="186" stopIfTrue="1" operator="lessThan">
      <formula>100%</formula>
    </cfRule>
  </conditionalFormatting>
  <conditionalFormatting sqref="M10:M17">
    <cfRule type="expression" dxfId="2227" priority="106">
      <formula>IF(+(IF(M10&lt;U10,0,IF(M10&gt;V10,0,1)))=0,1)</formula>
    </cfRule>
  </conditionalFormatting>
  <conditionalFormatting sqref="M10:N10 H10:H19">
    <cfRule type="expression" dxfId="2226" priority="35">
      <formula>IF(+(IF(H10&lt;#REF!,0,IF(H10&gt;#REF!,0,1)))=0,1)</formula>
    </cfRule>
  </conditionalFormatting>
  <conditionalFormatting sqref="M18:N19">
    <cfRule type="expression" dxfId="2225" priority="120">
      <formula>IF(+(IF(M18&lt;#REF!,0,IF(M18&gt;#REF!,0,1)))=0,1)</formula>
    </cfRule>
  </conditionalFormatting>
  <conditionalFormatting sqref="N10:N17">
    <cfRule type="expression" dxfId="2224" priority="36">
      <formula>IF(+(IF(N10&lt;W10,0,IF(N10&gt;X10,0,1)))=0,1)</formula>
    </cfRule>
  </conditionalFormatting>
  <conditionalFormatting sqref="N64:N73">
    <cfRule type="cellIs" dxfId="2223" priority="68" stopIfTrue="1" operator="lessThan">
      <formula>100%</formula>
    </cfRule>
  </conditionalFormatting>
  <conditionalFormatting sqref="P6">
    <cfRule type="cellIs" dxfId="2222" priority="182" operator="greaterThanOrEqual">
      <formula>19</formula>
    </cfRule>
  </conditionalFormatting>
  <dataValidations count="1">
    <dataValidation type="list" allowBlank="1" showInputMessage="1" showErrorMessage="1" sqref="R8" xr:uid="{7C9F55C2-8CFE-4E56-9B03-ED82146A42B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C47B-FCFA-4F92-A756-C249DB2568DF}">
  <sheetPr>
    <pageSetUpPr fitToPage="1"/>
  </sheetPr>
  <dimension ref="A1:BE72"/>
  <sheetViews>
    <sheetView topLeftCell="A9" zoomScale="85" zoomScaleNormal="85" workbookViewId="0">
      <selection activeCell="E10" sqref="E10:E12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46156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65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95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2" t="s">
        <v>33</v>
      </c>
      <c r="C10" s="366" t="str">
        <f>[6]Brewhouse!A66</f>
        <v>VM040</v>
      </c>
      <c r="D10" s="279">
        <f>[6]Brewhouse!AE66</f>
        <v>47</v>
      </c>
      <c r="E10" s="279">
        <f>[6]Brewhouse!AJ66</f>
        <v>44.6</v>
      </c>
      <c r="F10" s="278">
        <f>[6]Brewhouse!X66</f>
        <v>72</v>
      </c>
      <c r="G10" s="279">
        <f>[6]Brewhouse!AH66</f>
        <v>15.5</v>
      </c>
      <c r="H10" s="396"/>
      <c r="I10" s="368">
        <f>[6]Brewhouse!AV66</f>
        <v>98.574517909783509</v>
      </c>
      <c r="J10" s="368">
        <f>[6]Brewhouse!AW66</f>
        <v>98.793159557161673</v>
      </c>
      <c r="K10" s="281">
        <f>[6]Brewhouse!S66</f>
        <v>11.191489361702137</v>
      </c>
      <c r="L10" s="276">
        <f>[6]Brewhouse!R66</f>
        <v>58</v>
      </c>
      <c r="M10" s="374">
        <f>[6]Brewhouse!$W66-[6]Brewhouse!$V66</f>
        <v>0.1381944444444444</v>
      </c>
      <c r="N10" s="370">
        <f>[6]Brewhouse!AB66</f>
        <v>0.30902777777777779</v>
      </c>
      <c r="O10" s="371" t="str">
        <f>[6]Brewhouse!$AZ66</f>
        <v>R.Sookram</v>
      </c>
      <c r="P10" s="418"/>
      <c r="R10" s="277" t="str">
        <f t="shared" ref="R10:R18" si="0">B10</f>
        <v>VITAMALT</v>
      </c>
      <c r="S10" s="472">
        <f t="shared" ref="S10:S32" si="1">VLOOKUP($B10,$R$3:$X$9,2,FALSE)</f>
        <v>14.2</v>
      </c>
      <c r="T10" s="472">
        <f t="shared" ref="T10:T32" si="2">VLOOKUP($B10,$R$3:$X$9,3,FALSE)</f>
        <v>14.6</v>
      </c>
      <c r="U10" s="297">
        <f t="shared" ref="U10:U32" si="3">VLOOKUP($B10,$R$3:$X$9,4,FALSE)</f>
        <v>0</v>
      </c>
      <c r="V10" s="297">
        <f t="shared" ref="V10:V32" si="4">VLOOKUP($B10,$R$3:$X$9,5,FALSE)</f>
        <v>0.13905092592592591</v>
      </c>
      <c r="W10" s="297">
        <f t="shared" ref="W10:W32" si="5">VLOOKUP($B10,$R$3:$X$9,6,FALSE)</f>
        <v>0.26041666666666669</v>
      </c>
      <c r="X10" s="297">
        <f t="shared" ref="X10:X32" si="6">VLOOKUP($B10,$R$3:$X$9,7,FALSE)</f>
        <v>0.2951388888888889</v>
      </c>
      <c r="Y10" s="297">
        <f t="shared" ref="Y10:Y32" si="7">VLOOKUP($B10,$R$3:$Z$9,8,FALSE)</f>
        <v>0</v>
      </c>
      <c r="Z10" s="472">
        <f t="shared" ref="Z10:Z32" si="8">VLOOKUP($B10,$R$3:$Z$9,9,FALSE)</f>
        <v>75</v>
      </c>
    </row>
    <row r="11" spans="2:29" ht="15">
      <c r="B11" s="22" t="s">
        <v>33</v>
      </c>
      <c r="C11" s="366" t="str">
        <f>[6]Brewhouse!A67</f>
        <v>VM041</v>
      </c>
      <c r="D11" s="279">
        <f>[6]Brewhouse!AE67</f>
        <v>47</v>
      </c>
      <c r="E11" s="279">
        <f>[6]Brewhouse!AJ67</f>
        <v>41.9</v>
      </c>
      <c r="F11" s="278">
        <f>[6]Brewhouse!X67</f>
        <v>75</v>
      </c>
      <c r="G11" s="279">
        <f>[6]Brewhouse!AH67</f>
        <v>16.399999999999999</v>
      </c>
      <c r="H11" s="396"/>
      <c r="I11" s="368">
        <f>[6]Brewhouse!AV67</f>
        <v>98.349199351665135</v>
      </c>
      <c r="J11" s="368">
        <f>[6]Brewhouse!AW67</f>
        <v>98.567341234785999</v>
      </c>
      <c r="K11" s="281">
        <f>[6]Brewhouse!S67</f>
        <v>13.106382978723396</v>
      </c>
      <c r="L11" s="276">
        <f>[6]Brewhouse!R67</f>
        <v>60</v>
      </c>
      <c r="M11" s="374">
        <f>[6]Brewhouse!$W67-[6]Brewhouse!$V67</f>
        <v>0.14652777777777781</v>
      </c>
      <c r="N11" s="370">
        <f>[6]Brewhouse!AB67</f>
        <v>0.29999999999999993</v>
      </c>
      <c r="O11" s="371" t="str">
        <f>[6]Brewhouse!$AZ67</f>
        <v>R.Sookram</v>
      </c>
      <c r="P11" s="418"/>
      <c r="R11" s="277" t="str">
        <f t="shared" si="0"/>
        <v>VITAMALT</v>
      </c>
      <c r="S11" s="472">
        <f t="shared" si="1"/>
        <v>14.2</v>
      </c>
      <c r="T11" s="472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472">
        <f t="shared" si="8"/>
        <v>75</v>
      </c>
    </row>
    <row r="12" spans="2:29" ht="15">
      <c r="B12" s="22" t="s">
        <v>33</v>
      </c>
      <c r="C12" s="366" t="str">
        <f>[6]Brewhouse!A68</f>
        <v>VM042</v>
      </c>
      <c r="D12" s="279">
        <f>[6]Brewhouse!AE68</f>
        <v>47</v>
      </c>
      <c r="E12" s="279">
        <f>[6]Brewhouse!AJ68</f>
        <v>45</v>
      </c>
      <c r="F12" s="278">
        <f>[6]Brewhouse!X68</f>
        <v>81</v>
      </c>
      <c r="G12" s="279">
        <f>[6]Brewhouse!AH68</f>
        <v>15.5</v>
      </c>
      <c r="H12" s="396"/>
      <c r="I12" s="368">
        <f>[6]Brewhouse!AV68</f>
        <v>99.563420889013372</v>
      </c>
      <c r="J12" s="368">
        <f>[6]Brewhouse!AW68</f>
        <v>99.783329245485646</v>
      </c>
      <c r="K12" s="281">
        <f>[6]Brewhouse!S68</f>
        <v>6.7234042553191413</v>
      </c>
      <c r="L12" s="276">
        <f>[6]Brewhouse!R68</f>
        <v>60</v>
      </c>
      <c r="M12" s="374">
        <f>[6]Brewhouse!$W68-[6]Brewhouse!$V68</f>
        <v>0.20347222222222205</v>
      </c>
      <c r="N12" s="370">
        <f>[6]Brewhouse!AB68</f>
        <v>0.36874999999999991</v>
      </c>
      <c r="O12" s="371" t="str">
        <f>[6]Brewhouse!$AZ68</f>
        <v>K. Benjamin</v>
      </c>
      <c r="P12" s="418"/>
      <c r="R12" s="277" t="str">
        <f t="shared" si="0"/>
        <v>VITAMALT</v>
      </c>
      <c r="S12" s="472">
        <f t="shared" si="1"/>
        <v>14.2</v>
      </c>
      <c r="T12" s="472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2">
        <f t="shared" si="8"/>
        <v>75</v>
      </c>
    </row>
    <row r="13" spans="2:29" ht="15">
      <c r="B13" s="22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5">
      <c r="B14" s="22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>
      <c r="B15" s="22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>
      <c r="B16" s="34"/>
      <c r="C16" s="366"/>
      <c r="D16" s="279"/>
      <c r="E16" s="279"/>
      <c r="F16" s="278"/>
      <c r="G16" s="279"/>
      <c r="H16" s="396"/>
      <c r="I16" s="483"/>
      <c r="J16" s="483"/>
      <c r="K16" s="484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8" customHeight="1">
      <c r="B17" s="29"/>
      <c r="C17" s="366"/>
      <c r="D17" s="279"/>
      <c r="E17" s="279"/>
      <c r="F17" s="278"/>
      <c r="G17" s="279"/>
      <c r="H17" s="482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.75" customHeight="1" thickBot="1">
      <c r="B19" s="358"/>
      <c r="C19" s="358"/>
      <c r="D19" s="358"/>
      <c r="E19" s="358"/>
      <c r="F19" s="294"/>
      <c r="G19" s="294"/>
      <c r="H19" s="348"/>
      <c r="I19" s="525"/>
      <c r="J19" s="525"/>
      <c r="K19" s="525"/>
      <c r="L19" s="525"/>
      <c r="M19" s="525"/>
      <c r="N19" s="525"/>
      <c r="O19" s="1"/>
      <c r="P19" s="12"/>
      <c r="R19" s="277">
        <f t="shared" ref="R19:R32" si="9">B19</f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.75" customHeight="1" thickBot="1">
      <c r="B20" s="388" t="s">
        <v>162</v>
      </c>
      <c r="C20" s="388"/>
      <c r="D20" s="526" t="s">
        <v>35</v>
      </c>
      <c r="E20" s="527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9"/>
        <v xml:space="preserve">BRAND 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" customHeight="1">
      <c r="A21" s="28"/>
      <c r="B21" s="528"/>
      <c r="C21" s="362"/>
      <c r="D21" s="531"/>
      <c r="E21" s="532"/>
      <c r="F21" s="294"/>
      <c r="G21" s="294"/>
      <c r="H21" s="348"/>
      <c r="I21" s="29" t="s">
        <v>6</v>
      </c>
      <c r="J21" s="323"/>
      <c r="K21" s="284">
        <f>COUNTA([4]Brewhouse!$A$372:$A$402)</f>
        <v>31</v>
      </c>
      <c r="L21" s="305">
        <f>AVERAGE([4]Brewhouse!$AU$372:$AU$402)</f>
        <v>97.899591271333676</v>
      </c>
      <c r="M21" s="305">
        <f>AVERAGE([4]Brewhouse!$AU$42:$AU$123,[4]Brewhouse!$AU$125:$AU$188,[4]Brewhouse!$AU$198:$AU$290,[4]Brewhouse!$AU$292:$AU$370,[4]Brewhouse!$AU$372:$AU$402)</f>
        <v>97.995291948813914</v>
      </c>
      <c r="N21" s="30">
        <v>98</v>
      </c>
      <c r="O21" s="11"/>
      <c r="P21" s="31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" customHeight="1">
      <c r="A22" s="28"/>
      <c r="B22" s="529"/>
      <c r="C22" s="362"/>
      <c r="D22" s="533"/>
      <c r="E22" s="534"/>
      <c r="F22" s="294"/>
      <c r="G22" s="294"/>
      <c r="H22" s="348"/>
      <c r="I22" s="33" t="s">
        <v>9</v>
      </c>
      <c r="J22" s="323"/>
      <c r="K22" s="284">
        <f>COUNTA([3]Brewhouse!$A$214:$A$229)</f>
        <v>16</v>
      </c>
      <c r="L22" s="302">
        <f>AVERAGE([3]Brewhouse!$AS$214:$AS$229)</f>
        <v>97.795658588620881</v>
      </c>
      <c r="M22" s="302">
        <f>AVERAGE([3]Brewhouse!$AS$52:$AS$81,[3]Brewhouse!$AS$83:$AS$124,[3]Brewhouse!$AS$134:$AS$177,[3]Brewhouse!$AS$22:$AS$179,[3]Brewhouse!$AS$214:$AS$229)</f>
        <v>97.93842123965544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29"/>
      <c r="C23" s="362"/>
      <c r="D23" s="535"/>
      <c r="E23" s="536"/>
      <c r="F23" s="294"/>
      <c r="G23" s="294"/>
      <c r="H23" s="348"/>
      <c r="I23" s="34" t="s">
        <v>12</v>
      </c>
      <c r="J23" s="280"/>
      <c r="K23" s="284"/>
      <c r="L23" s="302"/>
      <c r="M23" s="302">
        <f>AVERAGE([5]Brewhouse!$AU$16:$AU$23,[5]Brewhouse!$AU$25:$AU$32,[5]Brewhouse!$AU$34:$AU$41,[5]Brewhouse!$AU$43:$AU$55)</f>
        <v>96.793456653928644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29"/>
      <c r="C24" s="362"/>
      <c r="D24" s="537"/>
      <c r="E24" s="534"/>
      <c r="F24" s="294"/>
      <c r="G24" s="294"/>
      <c r="H24" s="348"/>
      <c r="I24" s="22" t="s">
        <v>33</v>
      </c>
      <c r="J24" s="280">
        <f>AVERAGE(I10:I11)</f>
        <v>98.461858630724322</v>
      </c>
      <c r="K24" s="284">
        <f>COUNTA([6]Brewhouse!$A$62:$A$68)</f>
        <v>7</v>
      </c>
      <c r="L24" s="302">
        <f>AVERAGE([6]Brewhouse!$AV$62:$AV$68)</f>
        <v>98.287606329362575</v>
      </c>
      <c r="M24" s="302">
        <f>AVERAGE([6]Brewhouse!$AV$23:$AV$34,[6]Brewhouse!$AV$36,[6]Brewhouse!$AV$38:$AV$52,[6]Brewhouse!$AV$54:$AV$60,[6]Brewhouse!$AV$62:$AV$68)</f>
        <v>97.579195177204838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29"/>
      <c r="C25" s="362"/>
      <c r="D25" s="535"/>
      <c r="E25" s="536"/>
      <c r="F25" s="417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29"/>
      <c r="C26" s="362"/>
      <c r="D26" s="537"/>
      <c r="E26" s="534"/>
      <c r="F26" s="417"/>
      <c r="G26" s="294"/>
      <c r="H26" s="348"/>
      <c r="I26" s="36" t="s">
        <v>15</v>
      </c>
      <c r="J26" s="323"/>
      <c r="K26" s="284">
        <f>COUNTA([7]Brewhouse!$A$13:$A$16)</f>
        <v>4</v>
      </c>
      <c r="L26" s="302">
        <f>AVERAGE([7]Brewhouse!$AT$13:$AT$16)</f>
        <v>88.962677106311475</v>
      </c>
      <c r="M26" s="302">
        <f>AVERAGE([7]Brewhouse!$AT$4:$AT$11,[7]Brewhouse!$AT$13:$AT$16)</f>
        <v>91.538375374138752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9"/>
      <c r="C27" s="362"/>
      <c r="D27" s="535"/>
      <c r="E27" s="536"/>
      <c r="F27" s="417"/>
      <c r="G27" s="294"/>
      <c r="H27" s="348"/>
      <c r="I27" s="37" t="s">
        <v>16</v>
      </c>
      <c r="J27" s="323"/>
      <c r="K27" s="284"/>
      <c r="L27" s="302"/>
      <c r="M27" s="302">
        <f>AVERAGE([8]Brewhouse!$AY$5:$AY$14,[8]Brewhouse!$AY$16:$AY$23,[8]Brewhouse!$AY$42,[8]Brewhouse!$AY$44:$AY$51)</f>
        <v>97.608428475776392</v>
      </c>
      <c r="N27" s="30">
        <v>98</v>
      </c>
      <c r="O27" s="11"/>
      <c r="P27" s="31" t="s">
        <v>41</v>
      </c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9"/>
      <c r="C28" s="362"/>
      <c r="D28" s="537"/>
      <c r="E28" s="534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9"/>
      <c r="C29" s="349"/>
      <c r="D29" s="535"/>
      <c r="E29" s="536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" customHeight="1" thickBot="1">
      <c r="A30" s="28"/>
      <c r="B30" s="529"/>
      <c r="C30" s="349"/>
      <c r="D30" s="537"/>
      <c r="E30" s="534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29"/>
      <c r="C31" s="349"/>
      <c r="D31" s="531"/>
      <c r="E31" s="532"/>
      <c r="F31" s="294"/>
      <c r="G31" s="294"/>
      <c r="H31" s="348"/>
      <c r="I31" s="1"/>
      <c r="J31" s="39"/>
      <c r="K31" s="404">
        <f>SUM(K21:K30)</f>
        <v>58</v>
      </c>
      <c r="L31" s="405">
        <f>((L21*K21)+(L22*K22)+(L23*K23)+(L24*K24)+(L25*K25)+(K28*L28)+(L26*K26)+(L27*K27)+(L30*K30))/(K31)</f>
        <v>97.301410682070028</v>
      </c>
      <c r="M31" s="405">
        <f>AVERAGE('[9]Jan30th-31st'!$L$42,L31)</f>
        <v>97.564726208955747</v>
      </c>
      <c r="N31" s="4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.75" thickBot="1">
      <c r="B32" s="530"/>
      <c r="C32" s="350"/>
      <c r="D32" s="533"/>
      <c r="E32" s="534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28"/>
      <c r="C33" s="362"/>
      <c r="D33" s="539"/>
      <c r="E33" s="540"/>
      <c r="F33" s="294"/>
      <c r="G33" s="42"/>
      <c r="H33" s="41"/>
      <c r="I33" s="42"/>
      <c r="J33" s="541" t="s">
        <v>129</v>
      </c>
      <c r="K33" s="541"/>
      <c r="L33" s="294"/>
      <c r="M33" s="294"/>
      <c r="N33" s="294"/>
      <c r="O33" s="294"/>
      <c r="P33" s="12"/>
    </row>
    <row r="34" spans="2:56" ht="15.75" thickBot="1">
      <c r="B34" s="529"/>
      <c r="C34" s="362"/>
      <c r="D34" s="537"/>
      <c r="E34" s="534"/>
      <c r="F34" s="294"/>
      <c r="G34" s="42"/>
      <c r="H34" s="42"/>
      <c r="I34" s="42"/>
      <c r="J34" s="292" t="s">
        <v>17</v>
      </c>
      <c r="K34" s="293" t="s">
        <v>172</v>
      </c>
      <c r="L34" s="542" t="s">
        <v>136</v>
      </c>
      <c r="M34" s="542"/>
      <c r="N34" s="543"/>
      <c r="O34" s="294"/>
      <c r="P34" s="12"/>
    </row>
    <row r="35" spans="2:56" ht="15" customHeight="1" thickBot="1">
      <c r="B35" s="529"/>
      <c r="C35" s="349"/>
      <c r="D35" s="535"/>
      <c r="E35" s="536"/>
      <c r="F35" s="294"/>
      <c r="G35" s="42"/>
      <c r="H35" s="42"/>
      <c r="I35" s="42"/>
      <c r="J35" s="287" t="s">
        <v>6</v>
      </c>
      <c r="K35" s="324"/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29"/>
      <c r="C36" s="349"/>
      <c r="D36" s="537"/>
      <c r="E36" s="534"/>
      <c r="F36" s="294"/>
      <c r="G36" s="42"/>
      <c r="H36" s="42"/>
      <c r="I36" s="42"/>
      <c r="J36" s="345" t="s">
        <v>9</v>
      </c>
      <c r="K36" s="324"/>
      <c r="L36" s="344">
        <f>AVERAGE('May 2nd-23rd'!J53,'May 2nd-23rd'!K53,'May 4th'!K51,'May 5th'!K47,'May 6th'!K54,'May 7th'!K48,'May 13th'!K45,'May 8th -9th'!K55,'May 8th -9th'!J55,'May 11th'!K51,'May 12th '!K46,'May 12th '!K46)</f>
        <v>5.25</v>
      </c>
      <c r="M36" s="325">
        <f>AVERAGE('[9]Jan30th-31st'!$L$47,L36,'[10]Feb 26th '!$L$39,'[11]Mar 31st'!$L$47,'[12]Apr 30th'!$L$46)</f>
        <v>6.2573913043478253</v>
      </c>
      <c r="N36" s="416">
        <v>9.1999999999999993</v>
      </c>
      <c r="O36" s="294"/>
      <c r="P36" s="12"/>
    </row>
    <row r="37" spans="2:56" ht="15" customHeight="1">
      <c r="B37" s="529"/>
      <c r="C37" s="349"/>
      <c r="D37" s="535"/>
      <c r="E37" s="536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9"/>
      <c r="C38" s="349"/>
      <c r="D38" s="537"/>
      <c r="E38" s="534"/>
      <c r="F38" s="294"/>
      <c r="G38" s="42"/>
      <c r="H38" s="42"/>
      <c r="I38" s="42"/>
      <c r="J38" s="289" t="s">
        <v>33</v>
      </c>
      <c r="K38" s="324">
        <v>3</v>
      </c>
      <c r="L38" s="294"/>
      <c r="M38" s="294"/>
      <c r="N38" s="294"/>
      <c r="O38" s="294"/>
      <c r="P38" s="12"/>
    </row>
    <row r="39" spans="2:56" ht="15">
      <c r="B39" s="529"/>
      <c r="C39" s="349"/>
      <c r="D39" s="535"/>
      <c r="E39" s="536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9"/>
      <c r="C40" s="349"/>
      <c r="D40" s="537"/>
      <c r="E40" s="534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9"/>
      <c r="C41" s="349"/>
      <c r="D41" s="535"/>
      <c r="E41" s="536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38"/>
      <c r="C42" s="350"/>
      <c r="D42" s="544"/>
      <c r="E42" s="545"/>
      <c r="F42" s="294" t="s">
        <v>166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46"/>
      <c r="E43" s="547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3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294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48" t="s">
        <v>17</v>
      </c>
      <c r="C48" s="548" t="s">
        <v>44</v>
      </c>
      <c r="D48" s="551" t="s">
        <v>45</v>
      </c>
      <c r="E48" s="516" t="s">
        <v>46</v>
      </c>
      <c r="F48" s="565" t="s">
        <v>47</v>
      </c>
      <c r="G48" s="560" t="s">
        <v>48</v>
      </c>
      <c r="H48" s="548" t="s">
        <v>49</v>
      </c>
      <c r="I48" s="548" t="s">
        <v>50</v>
      </c>
      <c r="J48" s="554" t="s">
        <v>28</v>
      </c>
      <c r="K48" s="514" t="s">
        <v>51</v>
      </c>
      <c r="L48" s="563" t="s">
        <v>52</v>
      </c>
      <c r="M48" s="554" t="s">
        <v>53</v>
      </c>
      <c r="N48" s="13"/>
      <c r="O48" s="13"/>
      <c r="P48" s="50"/>
    </row>
    <row r="49" spans="1:57" ht="28.5" customHeight="1" thickTop="1" thickBot="1">
      <c r="B49" s="549"/>
      <c r="C49" s="550"/>
      <c r="D49" s="552"/>
      <c r="E49" s="553"/>
      <c r="F49" s="566"/>
      <c r="G49" s="561"/>
      <c r="H49" s="549"/>
      <c r="I49" s="549"/>
      <c r="J49" s="555"/>
      <c r="K49" s="562"/>
      <c r="L49" s="564"/>
      <c r="M49" s="555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1:57" s="54" customFormat="1" ht="36.75" customHeight="1" thickBot="1">
      <c r="B50" s="480" t="str">
        <f>J35</f>
        <v>CARIB</v>
      </c>
      <c r="C50" s="479">
        <v>46155</v>
      </c>
      <c r="D50" s="442">
        <f>[32]May_2026!$O$3</f>
        <v>101</v>
      </c>
      <c r="E50" s="443"/>
      <c r="F50" s="444"/>
      <c r="G50" s="445">
        <f>[32]May_2026!$O$7</f>
        <v>89.2</v>
      </c>
      <c r="H50" s="458"/>
      <c r="I50" s="458"/>
      <c r="J50" s="448" t="s">
        <v>173</v>
      </c>
      <c r="K50" s="449">
        <f>[34]May_2026!$O$18</f>
        <v>0.31298245614035086</v>
      </c>
      <c r="L50" s="457">
        <f>(((D50+E50)-G50)/(D50+E50))*100</f>
        <v>11.683168316831679</v>
      </c>
      <c r="M50" s="455" t="s">
        <v>174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[13]January_2019!L5</f>
        <v>0</v>
      </c>
      <c r="AC50" s="57">
        <f>[13]January_2019!M5</f>
        <v>0</v>
      </c>
      <c r="AD50" s="57">
        <f>[13]January_2019!N5</f>
        <v>0</v>
      </c>
      <c r="AE50" s="57">
        <f>[13]January_2019!O5</f>
        <v>0</v>
      </c>
      <c r="AF50" s="57">
        <f>[13]January_2019!P5</f>
        <v>0</v>
      </c>
      <c r="AG50" s="57">
        <f>[13]January_2019!Q5</f>
        <v>0</v>
      </c>
      <c r="AH50" s="57">
        <f>[13]January_2019!R5</f>
        <v>0</v>
      </c>
      <c r="AI50" s="57">
        <f>[13]January_2019!S5</f>
        <v>0</v>
      </c>
      <c r="AJ50" s="57">
        <f>[13]January_2019!T5</f>
        <v>0</v>
      </c>
      <c r="AK50" s="57">
        <f>[13]January_2019!U5</f>
        <v>0</v>
      </c>
      <c r="AL50" s="57">
        <f>[13]January_2019!V5</f>
        <v>0</v>
      </c>
      <c r="AM50" s="57">
        <f>[13]January_2019!W5</f>
        <v>0</v>
      </c>
      <c r="AN50" s="57">
        <f>[13]January_2019!X5</f>
        <v>0</v>
      </c>
      <c r="AO50" s="57">
        <f>[13]January_2019!Y5</f>
        <v>0</v>
      </c>
      <c r="AP50" s="57">
        <f>[13]January_2019!Z5</f>
        <v>0</v>
      </c>
      <c r="AQ50" s="57">
        <f>[13]January_2019!AA5</f>
        <v>0</v>
      </c>
      <c r="AR50" s="57">
        <f>[13]January_2019!AB5</f>
        <v>0</v>
      </c>
      <c r="AS50" s="57">
        <f>[13]January_2019!AC5</f>
        <v>0</v>
      </c>
      <c r="AT50" s="57">
        <f>[13]January_2019!AD5</f>
        <v>0</v>
      </c>
      <c r="AU50" s="57">
        <f>[13]January_2019!AE5</f>
        <v>0</v>
      </c>
      <c r="AV50" s="57">
        <f>[13]January_2019!AF5</f>
        <v>0</v>
      </c>
      <c r="AW50" s="57">
        <f>[13]January_2019!AG5</f>
        <v>0</v>
      </c>
      <c r="AX50" s="277">
        <f>[13]January_2019!AH5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1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[13]January_2019!L6</f>
        <v>0</v>
      </c>
      <c r="AC51" s="57">
        <f>[13]January_2019!M6</f>
        <v>0</v>
      </c>
      <c r="AD51" s="57">
        <f>[13]January_2019!N6</f>
        <v>0</v>
      </c>
      <c r="AE51" s="57">
        <f>[13]January_2019!O6</f>
        <v>0</v>
      </c>
      <c r="AF51" s="57">
        <f>[13]January_2019!P6</f>
        <v>0</v>
      </c>
      <c r="AG51" s="57">
        <f>[13]January_2019!Q6</f>
        <v>0</v>
      </c>
      <c r="AH51" s="57">
        <f>[13]January_2019!R6</f>
        <v>0</v>
      </c>
      <c r="AI51" s="57">
        <f>[13]January_2019!S6</f>
        <v>0</v>
      </c>
      <c r="AJ51" s="57">
        <f>[13]January_2019!T6</f>
        <v>0</v>
      </c>
      <c r="AK51" s="57">
        <f>[13]January_2019!U6</f>
        <v>0</v>
      </c>
      <c r="AL51" s="57">
        <f>[13]January_2019!V6</f>
        <v>0</v>
      </c>
      <c r="AM51" s="57">
        <f>[13]January_2019!W6</f>
        <v>0</v>
      </c>
      <c r="AN51" s="57">
        <f>[13]January_2019!X6</f>
        <v>0</v>
      </c>
      <c r="AO51" s="57">
        <f>[13]January_2019!Y6</f>
        <v>0</v>
      </c>
      <c r="AP51" s="57">
        <f>[13]January_2019!Z6</f>
        <v>0</v>
      </c>
      <c r="AQ51" s="57">
        <f>[13]January_2019!AA6</f>
        <v>0</v>
      </c>
      <c r="AR51" s="57">
        <f>[13]January_2019!AB6</f>
        <v>0</v>
      </c>
      <c r="AS51" s="57">
        <f>[13]January_2019!AC6</f>
        <v>0</v>
      </c>
      <c r="AT51" s="57">
        <f>[13]January_2019!AD6</f>
        <v>0</v>
      </c>
      <c r="AU51" s="57">
        <f>[13]January_2019!AE6</f>
        <v>0</v>
      </c>
      <c r="AV51" s="57">
        <f>[13]January_2019!AF6</f>
        <v>0</v>
      </c>
      <c r="AW51" s="57">
        <f>[13]January_2019!AG6</f>
        <v>0</v>
      </c>
      <c r="AX51" s="277">
        <f>[13]January_2019!AH6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1:57" s="54" customFormat="1" ht="37.15" customHeight="1" thickBot="1">
      <c r="A52" s="54" t="s">
        <v>168</v>
      </c>
      <c r="B52" s="480" t="str">
        <f>J35</f>
        <v>CARIB</v>
      </c>
      <c r="C52" s="479">
        <v>46155</v>
      </c>
      <c r="D52" s="442">
        <f>[32]May_2026!$P$3</f>
        <v>513.20000000000005</v>
      </c>
      <c r="E52" s="443"/>
      <c r="F52" s="444"/>
      <c r="G52" s="445">
        <f>[32]May_2026!$P$7</f>
        <v>474.29999999999995</v>
      </c>
      <c r="H52" s="458"/>
      <c r="I52" s="458"/>
      <c r="J52" s="448" t="s">
        <v>173</v>
      </c>
      <c r="K52" s="449">
        <f>[34]May_2026!$P$18</f>
        <v>1.6642105263157894</v>
      </c>
      <c r="L52" s="457">
        <f>(((D52+E52)-G52)/(D52+E52))*100</f>
        <v>7.5798908807482634</v>
      </c>
      <c r="M52" s="455" t="s">
        <v>174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[13]January_2019!L7</f>
        <v>285.8</v>
      </c>
      <c r="AC52" s="57">
        <f>[13]January_2019!M7</f>
        <v>508.1</v>
      </c>
      <c r="AD52" s="57">
        <f>[13]January_2019!N7</f>
        <v>0</v>
      </c>
      <c r="AE52" s="57">
        <f>[13]January_2019!O7</f>
        <v>0</v>
      </c>
      <c r="AF52" s="57">
        <f>[13]January_2019!P7</f>
        <v>109.56666666666666</v>
      </c>
      <c r="AG52" s="57">
        <f>[13]January_2019!Q7</f>
        <v>297.64999999999998</v>
      </c>
      <c r="AH52" s="57">
        <f>[13]January_2019!R7</f>
        <v>122.3</v>
      </c>
      <c r="AI52" s="57">
        <f>[13]January_2019!S7</f>
        <v>0</v>
      </c>
      <c r="AJ52" s="57">
        <f>[13]January_2019!T7</f>
        <v>294.7</v>
      </c>
      <c r="AK52" s="57">
        <f>[13]January_2019!U7</f>
        <v>280.5</v>
      </c>
      <c r="AL52" s="57">
        <f>[13]January_2019!V7</f>
        <v>0</v>
      </c>
      <c r="AM52" s="57">
        <f>[13]January_2019!W7</f>
        <v>0</v>
      </c>
      <c r="AN52" s="57">
        <f>[13]January_2019!X7</f>
        <v>188.25</v>
      </c>
      <c r="AO52" s="57">
        <f>[13]January_2019!Y7</f>
        <v>295.7</v>
      </c>
      <c r="AP52" s="57">
        <f>[13]January_2019!Z7</f>
        <v>257.8</v>
      </c>
      <c r="AQ52" s="57">
        <f>[13]January_2019!AA7</f>
        <v>291.2</v>
      </c>
      <c r="AR52" s="57">
        <f>[13]January_2019!AB7</f>
        <v>187</v>
      </c>
      <c r="AS52" s="57">
        <f>[13]January_2019!AC7</f>
        <v>0</v>
      </c>
      <c r="AT52" s="57">
        <f>[13]January_2019!AD7</f>
        <v>0</v>
      </c>
      <c r="AU52" s="57">
        <f>[13]January_2019!AE7</f>
        <v>485.1</v>
      </c>
      <c r="AV52" s="57">
        <f>[13]January_2019!AF7</f>
        <v>171.55</v>
      </c>
      <c r="AW52" s="57">
        <f>[13]January_2019!AG7</f>
        <v>423.8</v>
      </c>
      <c r="AX52" s="277">
        <f>[13]January_2019!AH7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1:57" s="54" customFormat="1" ht="19.5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1:57" s="54" customFormat="1" ht="38.450000000000003" customHeight="1" thickBot="1">
      <c r="B54" s="486" t="str">
        <f>J36</f>
        <v>STAG</v>
      </c>
      <c r="C54" s="479">
        <v>46155</v>
      </c>
      <c r="D54" s="442">
        <f>[32]May_2026!$P$13</f>
        <v>200.39999999999998</v>
      </c>
      <c r="E54" s="443"/>
      <c r="F54" s="444"/>
      <c r="G54" s="445">
        <f>[32]May_2026!$P$17</f>
        <v>189.1</v>
      </c>
      <c r="H54" s="458"/>
      <c r="I54" s="458"/>
      <c r="J54" s="448" t="s">
        <v>173</v>
      </c>
      <c r="K54" s="459">
        <f>[34]May_2026!$P$25</f>
        <v>0.66350877192982449</v>
      </c>
      <c r="L54" s="457">
        <f>(((D54+E54)-G54)/(D54+E54))*100</f>
        <v>5.6387225548902116</v>
      </c>
      <c r="M54" s="455" t="s">
        <v>203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37.15" hidden="1" customHeight="1" thickBot="1">
      <c r="B56" s="480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1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7.15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1:57" ht="15.75" thickBot="1">
      <c r="B61" s="556" t="s">
        <v>55</v>
      </c>
      <c r="C61" s="557"/>
      <c r="D61" s="557"/>
      <c r="E61" s="557"/>
      <c r="F61" s="558"/>
      <c r="G61" s="556" t="s">
        <v>56</v>
      </c>
      <c r="H61" s="557"/>
      <c r="I61" s="557"/>
      <c r="J61" s="558"/>
      <c r="K61" s="556" t="s">
        <v>51</v>
      </c>
      <c r="L61" s="557"/>
      <c r="M61" s="557"/>
      <c r="N61" s="559"/>
      <c r="O61" s="56"/>
      <c r="P61" s="50"/>
    </row>
    <row r="62" spans="1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1:57" ht="15">
      <c r="B63" s="29" t="s">
        <v>6</v>
      </c>
      <c r="C63" s="65">
        <f>AVERAGE(L50,L52)</f>
        <v>9.6315295987899709</v>
      </c>
      <c r="D63" s="76">
        <v>6.3686911890504367</v>
      </c>
      <c r="E63" s="76">
        <v>6.7678864245078865</v>
      </c>
      <c r="F63" s="66">
        <v>4.8</v>
      </c>
      <c r="G63" s="65">
        <f>AVERAGE([32]May_2026!$O$11:$P$11)</f>
        <v>9.0034163235529654</v>
      </c>
      <c r="H63" s="477">
        <v>6.5074645341610688</v>
      </c>
      <c r="I63" s="477">
        <v>6.4568115197505245</v>
      </c>
      <c r="J63" s="66">
        <v>4.8</v>
      </c>
      <c r="K63" s="67">
        <f>AVERAGE(K50,K52)</f>
        <v>0.98859649122807014</v>
      </c>
      <c r="L63" s="194">
        <v>0.6413700918964077</v>
      </c>
      <c r="M63" s="194">
        <v>0.49781558543270971</v>
      </c>
      <c r="N63" s="68">
        <v>1</v>
      </c>
      <c r="O63" s="56"/>
      <c r="P63" s="69"/>
    </row>
    <row r="64" spans="1:57" ht="15">
      <c r="B64" s="33" t="s">
        <v>9</v>
      </c>
      <c r="C64" s="65">
        <f>L54</f>
        <v>5.6387225548902116</v>
      </c>
      <c r="D64" s="76">
        <v>5.3600559310183939</v>
      </c>
      <c r="E64" s="76">
        <v>6.1566485581607244</v>
      </c>
      <c r="F64" s="66">
        <v>4.8</v>
      </c>
      <c r="G64" s="65">
        <f>[32]May_2026!$P$21</f>
        <v>4.320611037579722</v>
      </c>
      <c r="H64" s="76">
        <v>5.469104437126548</v>
      </c>
      <c r="I64" s="76">
        <v>5.5846543828823831</v>
      </c>
      <c r="J64" s="66">
        <v>4.8</v>
      </c>
      <c r="K64" s="67">
        <f>K54</f>
        <v>0.66350877192982449</v>
      </c>
      <c r="L64" s="194">
        <v>0.61536842105263168</v>
      </c>
      <c r="M64" s="194">
        <v>0.69964380299920681</v>
      </c>
      <c r="N64" s="68">
        <v>1</v>
      </c>
      <c r="P64" s="69"/>
    </row>
    <row r="65" spans="2:16" ht="15">
      <c r="B65" s="34" t="s">
        <v>40</v>
      </c>
      <c r="C65" s="65"/>
      <c r="D65" s="76">
        <v>10.182228066879567</v>
      </c>
      <c r="E65" s="76">
        <v>11.735537190082644</v>
      </c>
      <c r="F65" s="66">
        <v>5.5</v>
      </c>
      <c r="G65" s="65"/>
      <c r="H65" s="76">
        <v>11.362028737847183</v>
      </c>
      <c r="I65" s="76">
        <v>12.769538510720032</v>
      </c>
      <c r="J65" s="66">
        <v>5.5</v>
      </c>
      <c r="K65" s="67"/>
      <c r="L65" s="194">
        <v>0.23824561403508773</v>
      </c>
      <c r="M65" s="194">
        <v>0.26411513157894739</v>
      </c>
      <c r="N65" s="68">
        <v>1</v>
      </c>
      <c r="P65" s="69"/>
    </row>
    <row r="66" spans="2:16" ht="15">
      <c r="B66" s="22" t="s">
        <v>33</v>
      </c>
      <c r="C66" s="65"/>
      <c r="D66" s="76">
        <v>4.8532569792412277</v>
      </c>
      <c r="E66" s="76">
        <v>4.6518562695690884</v>
      </c>
      <c r="F66" s="66">
        <v>3.3</v>
      </c>
      <c r="G66" s="65"/>
      <c r="H66" s="76">
        <v>4.7372529705103688</v>
      </c>
      <c r="I66" s="76">
        <v>4.4089875005606158</v>
      </c>
      <c r="J66" s="66">
        <v>3.3</v>
      </c>
      <c r="K66" s="67"/>
      <c r="L66" s="194">
        <v>0.58298245614035094</v>
      </c>
      <c r="M66" s="194">
        <v>0.74716374269005859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/>
      <c r="D68" s="76"/>
      <c r="E68" s="76">
        <v>5.1105651105651271</v>
      </c>
      <c r="F68" s="487">
        <v>5.5</v>
      </c>
      <c r="G68" s="282"/>
      <c r="H68" s="76"/>
      <c r="I68" s="76">
        <v>7.9131369535794072</v>
      </c>
      <c r="J68" s="66">
        <v>5.5</v>
      </c>
      <c r="K68" s="67"/>
      <c r="L68" s="194"/>
      <c r="M68" s="194">
        <v>1.3550877192982456</v>
      </c>
      <c r="N68" s="68">
        <v>1</v>
      </c>
      <c r="P68" s="69"/>
    </row>
    <row r="69" spans="2:16" ht="15">
      <c r="B69" s="37" t="s">
        <v>16</v>
      </c>
      <c r="C69" s="65"/>
      <c r="D69" s="76"/>
      <c r="E69" s="76">
        <v>3.9654240950837312</v>
      </c>
      <c r="F69" s="66">
        <v>3.3</v>
      </c>
      <c r="G69" s="282"/>
      <c r="H69" s="76"/>
      <c r="I69" s="76">
        <v>4.8236555171494695</v>
      </c>
      <c r="J69" s="66">
        <v>3.3</v>
      </c>
      <c r="K69" s="67"/>
      <c r="L69" s="194"/>
      <c r="M69" s="194">
        <v>0.89457115009746591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 ht="15">
      <c r="D72" s="76">
        <v>6.413570453864657</v>
      </c>
      <c r="E72" s="76">
        <v>6.5835371147827466</v>
      </c>
      <c r="F72" s="341">
        <v>5.5</v>
      </c>
      <c r="H72" s="76">
        <v>6.845073775220019</v>
      </c>
      <c r="I72" s="76">
        <v>6.5633535644216039</v>
      </c>
      <c r="J72" s="341">
        <v>5.5</v>
      </c>
      <c r="L72" s="194">
        <v>0.5755555555555556</v>
      </c>
      <c r="M72" s="194">
        <v>0.57165072119073201</v>
      </c>
      <c r="N7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D39:E40"/>
    <mergeCell ref="D41:E42"/>
    <mergeCell ref="D43:E43"/>
    <mergeCell ref="B48:B49"/>
    <mergeCell ref="C48:C49"/>
    <mergeCell ref="D48:D49"/>
    <mergeCell ref="E48:E49"/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2221" priority="98" operator="notBetween">
      <formula>#REF!</formula>
      <formula>#REF!</formula>
    </cfRule>
  </conditionalFormatting>
  <conditionalFormatting sqref="C47">
    <cfRule type="cellIs" dxfId="2220" priority="188" stopIfTrue="1" operator="greaterThan">
      <formula>100</formula>
    </cfRule>
    <cfRule type="cellIs" dxfId="2219" priority="187" stopIfTrue="1" operator="lessThan">
      <formula>96</formula>
    </cfRule>
  </conditionalFormatting>
  <conditionalFormatting sqref="C63:C64">
    <cfRule type="cellIs" dxfId="2218" priority="1" stopIfTrue="1" operator="greaterThan">
      <formula>$F63</formula>
    </cfRule>
    <cfRule type="cellIs" dxfId="2217" priority="2" stopIfTrue="1" operator="lessThanOrEqual">
      <formula>0</formula>
    </cfRule>
    <cfRule type="cellIs" dxfId="2216" priority="3" stopIfTrue="1" operator="greaterThan">
      <formula>$F63</formula>
    </cfRule>
    <cfRule type="cellIs" dxfId="2215" priority="4" stopIfTrue="1" operator="lessThanOrEqual">
      <formula>0</formula>
    </cfRule>
  </conditionalFormatting>
  <conditionalFormatting sqref="C65:C67">
    <cfRule type="cellIs" dxfId="2214" priority="64" stopIfTrue="1" operator="lessThanOrEqual">
      <formula>0</formula>
    </cfRule>
  </conditionalFormatting>
  <conditionalFormatting sqref="C65:C71">
    <cfRule type="cellIs" dxfId="2213" priority="63" stopIfTrue="1" operator="greaterThan">
      <formula>$F65</formula>
    </cfRule>
  </conditionalFormatting>
  <conditionalFormatting sqref="C68">
    <cfRule type="cellIs" dxfId="2212" priority="61" stopIfTrue="1" operator="lessThanOrEqual">
      <formula>0</formula>
    </cfRule>
    <cfRule type="cellIs" dxfId="2211" priority="62" stopIfTrue="1" operator="greaterThan">
      <formula>$F67</formula>
    </cfRule>
  </conditionalFormatting>
  <conditionalFormatting sqref="C69:C71">
    <cfRule type="cellIs" dxfId="2210" priority="65" stopIfTrue="1" operator="lessThanOrEqual">
      <formula>0</formula>
    </cfRule>
  </conditionalFormatting>
  <conditionalFormatting sqref="C74:C78">
    <cfRule type="cellIs" dxfId="2209" priority="179" stopIfTrue="1" operator="lessThanOrEqual">
      <formula>0</formula>
    </cfRule>
  </conditionalFormatting>
  <conditionalFormatting sqref="C75:C78">
    <cfRule type="cellIs" dxfId="2208" priority="178" stopIfTrue="1" operator="greaterThan">
      <formula>$F$74</formula>
    </cfRule>
  </conditionalFormatting>
  <conditionalFormatting sqref="C80">
    <cfRule type="cellIs" dxfId="2207" priority="180" stopIfTrue="1" operator="greaterThan">
      <formula>$F$74</formula>
    </cfRule>
    <cfRule type="cellIs" dxfId="2206" priority="181" stopIfTrue="1" operator="lessThanOrEqual">
      <formula>0</formula>
    </cfRule>
  </conditionalFormatting>
  <conditionalFormatting sqref="C74:D74 D76:D82">
    <cfRule type="cellIs" dxfId="2205" priority="173" stopIfTrue="1" operator="greaterThan">
      <formula>4.5</formula>
    </cfRule>
  </conditionalFormatting>
  <conditionalFormatting sqref="D43:D44">
    <cfRule type="cellIs" dxfId="2204" priority="99" operator="notBetween">
      <formula>#REF!</formula>
      <formula>#REF!</formula>
    </cfRule>
  </conditionalFormatting>
  <conditionalFormatting sqref="D63:D70">
    <cfRule type="cellIs" dxfId="2203" priority="55" stopIfTrue="1" operator="lessThanOrEqual">
      <formula>0</formula>
    </cfRule>
  </conditionalFormatting>
  <conditionalFormatting sqref="D63:D72">
    <cfRule type="cellIs" dxfId="2202" priority="38" stopIfTrue="1" operator="lessThanOrEqual">
      <formula>0</formula>
    </cfRule>
  </conditionalFormatting>
  <conditionalFormatting sqref="D71">
    <cfRule type="cellIs" dxfId="2201" priority="54" stopIfTrue="1" operator="lessThanOrEqual">
      <formula>0</formula>
    </cfRule>
  </conditionalFormatting>
  <conditionalFormatting sqref="D72">
    <cfRule type="cellIs" dxfId="2200" priority="51" stopIfTrue="1" operator="lessThanOrEqual">
      <formula>0</formula>
    </cfRule>
  </conditionalFormatting>
  <conditionalFormatting sqref="D74 D76:D82">
    <cfRule type="cellIs" dxfId="2199" priority="174" stopIfTrue="1" operator="lessThanOrEqual">
      <formula>0</formula>
    </cfRule>
  </conditionalFormatting>
  <conditionalFormatting sqref="D75">
    <cfRule type="cellIs" dxfId="2198" priority="166" stopIfTrue="1" operator="lessThanOrEqual">
      <formula>0</formula>
    </cfRule>
    <cfRule type="cellIs" dxfId="2197" priority="165" stopIfTrue="1" operator="greaterThan">
      <formula>$F$74</formula>
    </cfRule>
  </conditionalFormatting>
  <conditionalFormatting sqref="D63:E72">
    <cfRule type="cellIs" dxfId="2196" priority="40" stopIfTrue="1" operator="greaterThan">
      <formula>$F63</formula>
    </cfRule>
  </conditionalFormatting>
  <conditionalFormatting sqref="D72:E72">
    <cfRule type="cellIs" dxfId="2195" priority="42" stopIfTrue="1" operator="lessThanOrEqual">
      <formula>0</formula>
    </cfRule>
  </conditionalFormatting>
  <conditionalFormatting sqref="E10:E18">
    <cfRule type="cellIs" dxfId="2194" priority="19" operator="lessThan">
      <formula>48</formula>
    </cfRule>
  </conditionalFormatting>
  <conditionalFormatting sqref="E46 E47:F47">
    <cfRule type="cellIs" dxfId="2193" priority="170" stopIfTrue="1" operator="greaterThan">
      <formula>100</formula>
    </cfRule>
  </conditionalFormatting>
  <conditionalFormatting sqref="E47">
    <cfRule type="cellIs" dxfId="2192" priority="167" stopIfTrue="1" operator="lessThan">
      <formula>96.8</formula>
    </cfRule>
    <cfRule type="cellIs" dxfId="2191" priority="168" stopIfTrue="1" operator="greaterThan">
      <formula>100</formula>
    </cfRule>
  </conditionalFormatting>
  <conditionalFormatting sqref="E63:E71">
    <cfRule type="cellIs" dxfId="2190" priority="39" stopIfTrue="1" operator="lessThanOrEqual">
      <formula>0</formula>
    </cfRule>
  </conditionalFormatting>
  <conditionalFormatting sqref="E63:E72">
    <cfRule type="cellIs" dxfId="2189" priority="41" stopIfTrue="1" operator="lessThanOrEqual">
      <formula>0</formula>
    </cfRule>
  </conditionalFormatting>
  <conditionalFormatting sqref="E74:E82">
    <cfRule type="cellIs" dxfId="2188" priority="160" stopIfTrue="1" operator="lessThanOrEqual">
      <formula>0</formula>
    </cfRule>
    <cfRule type="cellIs" dxfId="2187" priority="159" stopIfTrue="1" operator="greaterThan">
      <formula>4.5</formula>
    </cfRule>
  </conditionalFormatting>
  <conditionalFormatting sqref="E47:F47 E46">
    <cfRule type="cellIs" dxfId="2186" priority="169" stopIfTrue="1" operator="lessThan">
      <formula>96.5</formula>
    </cfRule>
  </conditionalFormatting>
  <conditionalFormatting sqref="F10:F18">
    <cfRule type="cellIs" dxfId="2185" priority="26" operator="greaterThan">
      <formula>60</formula>
    </cfRule>
  </conditionalFormatting>
  <conditionalFormatting sqref="F47">
    <cfRule type="cellIs" dxfId="2184" priority="186" stopIfTrue="1" operator="greaterThan">
      <formula>100</formula>
    </cfRule>
    <cfRule type="cellIs" dxfId="2183" priority="185" stopIfTrue="1" operator="lessThan">
      <formula>96.8</formula>
    </cfRule>
  </conditionalFormatting>
  <conditionalFormatting sqref="F72">
    <cfRule type="cellIs" dxfId="2182" priority="52" stopIfTrue="1" operator="greaterThan">
      <formula>$F72</formula>
    </cfRule>
    <cfRule type="cellIs" dxfId="2181" priority="53" stopIfTrue="1" operator="lessThanOrEqual">
      <formula>0</formula>
    </cfRule>
  </conditionalFormatting>
  <conditionalFormatting sqref="G10:G18">
    <cfRule type="expression" dxfId="2180" priority="29">
      <formula>IF(+(IF(G10&lt;S10,0,IF(G10&gt;T10,0,1)))=0,1)</formula>
    </cfRule>
  </conditionalFormatting>
  <conditionalFormatting sqref="G63:G64">
    <cfRule type="cellIs" dxfId="2179" priority="56" stopIfTrue="1" operator="greaterThan">
      <formula>$F63</formula>
    </cfRule>
    <cfRule type="cellIs" dxfId="2178" priority="57" stopIfTrue="1" operator="lessThanOrEqual">
      <formula>0</formula>
    </cfRule>
  </conditionalFormatting>
  <conditionalFormatting sqref="G63:G66">
    <cfRule type="cellIs" dxfId="2177" priority="33" stopIfTrue="1" operator="greaterThan">
      <formula>$F63</formula>
    </cfRule>
    <cfRule type="cellIs" dxfId="2176" priority="34" stopIfTrue="1" operator="lessThanOrEqual">
      <formula>0</formula>
    </cfRule>
  </conditionalFormatting>
  <conditionalFormatting sqref="G65">
    <cfRule type="cellIs" dxfId="2175" priority="31" stopIfTrue="1" operator="greaterThan">
      <formula>$F65</formula>
    </cfRule>
    <cfRule type="cellIs" dxfId="2174" priority="32" stopIfTrue="1" operator="lessThanOrEqual">
      <formula>0</formula>
    </cfRule>
  </conditionalFormatting>
  <conditionalFormatting sqref="G66">
    <cfRule type="cellIs" dxfId="2173" priority="46" stopIfTrue="1" operator="greaterThan">
      <formula>$F66</formula>
    </cfRule>
    <cfRule type="cellIs" dxfId="2172" priority="47" stopIfTrue="1" operator="lessThanOrEqual">
      <formula>0</formula>
    </cfRule>
  </conditionalFormatting>
  <conditionalFormatting sqref="G67:G71">
    <cfRule type="cellIs" dxfId="2171" priority="58" stopIfTrue="1" operator="greaterThan">
      <formula>$J67</formula>
    </cfRule>
    <cfRule type="cellIs" dxfId="2170" priority="59" stopIfTrue="1" operator="lessThanOrEqual">
      <formula>0</formula>
    </cfRule>
  </conditionalFormatting>
  <conditionalFormatting sqref="G76:G81 C79 C81">
    <cfRule type="cellIs" dxfId="2169" priority="182" stopIfTrue="1" operator="greaterThan">
      <formula>4.5</formula>
    </cfRule>
    <cfRule type="cellIs" dxfId="2168" priority="183" stopIfTrue="1" operator="lessThanOrEqual">
      <formula>0</formula>
    </cfRule>
  </conditionalFormatting>
  <conditionalFormatting sqref="G75:H75">
    <cfRule type="cellIs" dxfId="2167" priority="163" stopIfTrue="1" operator="greaterThan">
      <formula>$F$74</formula>
    </cfRule>
    <cfRule type="cellIs" dxfId="2166" priority="164" stopIfTrue="1" operator="lessThanOrEqual">
      <formula>0</formula>
    </cfRule>
  </conditionalFormatting>
  <conditionalFormatting sqref="H10:H18">
    <cfRule type="expression" dxfId="2165" priority="27">
      <formula>IF(+(IF(H10&lt;#REF!,0,IF(H10&gt;#REF!,0,1)))=0,1)</formula>
    </cfRule>
  </conditionalFormatting>
  <conditionalFormatting sqref="H32:H33 H46">
    <cfRule type="cellIs" dxfId="2164" priority="161" stopIfTrue="1" operator="greaterThan">
      <formula>0</formula>
    </cfRule>
  </conditionalFormatting>
  <conditionalFormatting sqref="H50">
    <cfRule type="cellIs" dxfId="2163" priority="17" stopIfTrue="1" operator="greaterThan">
      <formula>$F$67</formula>
    </cfRule>
    <cfRule type="cellIs" dxfId="2162" priority="6" stopIfTrue="1" operator="lessThanOrEqual">
      <formula>0</formula>
    </cfRule>
    <cfRule type="cellIs" dxfId="2161" priority="7" stopIfTrue="1" operator="greaterThan">
      <formula>$F$66</formula>
    </cfRule>
    <cfRule type="cellIs" dxfId="2160" priority="15" stopIfTrue="1" operator="greaterThan">
      <formula>$F$69</formula>
    </cfRule>
    <cfRule type="cellIs" dxfId="2159" priority="16" stopIfTrue="1" operator="lessThanOrEqual">
      <formula>0</formula>
    </cfRule>
    <cfRule type="cellIs" dxfId="2158" priority="18" stopIfTrue="1" operator="lessThanOrEqual">
      <formula>0</formula>
    </cfRule>
  </conditionalFormatting>
  <conditionalFormatting sqref="H51:H52">
    <cfRule type="cellIs" dxfId="2157" priority="77" stopIfTrue="1" operator="greaterThan">
      <formula>$F$66</formula>
    </cfRule>
    <cfRule type="cellIs" dxfId="2156" priority="69" stopIfTrue="1" operator="greaterThan">
      <formula>$F$63</formula>
    </cfRule>
    <cfRule type="cellIs" dxfId="2155" priority="68" stopIfTrue="1" operator="lessThanOrEqual">
      <formula>0</formula>
    </cfRule>
    <cfRule type="cellIs" dxfId="2154" priority="79" stopIfTrue="1" operator="greaterThan">
      <formula>$F$64</formula>
    </cfRule>
    <cfRule type="cellIs" dxfId="2153" priority="78" stopIfTrue="1" operator="lessThanOrEqual">
      <formula>0</formula>
    </cfRule>
  </conditionalFormatting>
  <conditionalFormatting sqref="H51:H54">
    <cfRule type="cellIs" dxfId="2152" priority="80" stopIfTrue="1" operator="lessThanOrEqual">
      <formula>0</formula>
    </cfRule>
  </conditionalFormatting>
  <conditionalFormatting sqref="H53:H54">
    <cfRule type="cellIs" dxfId="2151" priority="93" stopIfTrue="1" operator="lessThanOrEqual">
      <formula>0</formula>
    </cfRule>
    <cfRule type="cellIs" dxfId="2150" priority="84" stopIfTrue="1" operator="greaterThan">
      <formula>$F$63</formula>
    </cfRule>
    <cfRule type="cellIs" dxfId="2149" priority="94" stopIfTrue="1" operator="greaterThan">
      <formula>$F$64</formula>
    </cfRule>
    <cfRule type="cellIs" dxfId="2148" priority="92" stopIfTrue="1" operator="greaterThan">
      <formula>$F$66</formula>
    </cfRule>
    <cfRule type="cellIs" dxfId="2147" priority="95" stopIfTrue="1" operator="lessThanOrEqual">
      <formula>0</formula>
    </cfRule>
  </conditionalFormatting>
  <conditionalFormatting sqref="H55:H56">
    <cfRule type="cellIs" dxfId="2146" priority="123" stopIfTrue="1" operator="lessThanOrEqual">
      <formula>0</formula>
    </cfRule>
    <cfRule type="cellIs" dxfId="2145" priority="132" stopIfTrue="1" operator="greaterThan">
      <formula>$F$18</formula>
    </cfRule>
    <cfRule type="cellIs" dxfId="2144" priority="133" stopIfTrue="1" operator="lessThanOrEqual">
      <formula>0</formula>
    </cfRule>
    <cfRule type="cellIs" dxfId="2143" priority="134" stopIfTrue="1" operator="greaterThan">
      <formula>#REF!</formula>
    </cfRule>
    <cfRule type="cellIs" dxfId="2142" priority="124" stopIfTrue="1" operator="greaterThan">
      <formula>#REF!</formula>
    </cfRule>
    <cfRule type="cellIs" dxfId="2141" priority="135" stopIfTrue="1" operator="lessThanOrEqual">
      <formula>0</formula>
    </cfRule>
  </conditionalFormatting>
  <conditionalFormatting sqref="H57">
    <cfRule type="cellIs" dxfId="2140" priority="147" stopIfTrue="1" operator="lessThanOrEqual">
      <formula>0</formula>
    </cfRule>
    <cfRule type="cellIs" dxfId="2139" priority="146" stopIfTrue="1" operator="greaterThan">
      <formula>$F$34</formula>
    </cfRule>
    <cfRule type="cellIs" dxfId="2138" priority="148" stopIfTrue="1" operator="greaterThan">
      <formula>$F$32</formula>
    </cfRule>
    <cfRule type="cellIs" dxfId="2137" priority="149" stopIfTrue="1" operator="lessThanOrEqual">
      <formula>0</formula>
    </cfRule>
    <cfRule type="cellIs" dxfId="2136" priority="137" stopIfTrue="1" operator="lessThanOrEqual">
      <formula>0</formula>
    </cfRule>
    <cfRule type="cellIs" dxfId="2135" priority="138" stopIfTrue="1" operator="greaterThan">
      <formula>$F$31</formula>
    </cfRule>
  </conditionalFormatting>
  <conditionalFormatting sqref="H58:H59">
    <cfRule type="cellIs" dxfId="2134" priority="121" stopIfTrue="1" operator="lessThanOrEqual">
      <formula>0</formula>
    </cfRule>
    <cfRule type="cellIs" dxfId="2133" priority="110" stopIfTrue="1" operator="greaterThan">
      <formula>#REF!</formula>
    </cfRule>
    <cfRule type="cellIs" dxfId="2132" priority="118" stopIfTrue="1" operator="greaterThan">
      <formula>$F$18</formula>
    </cfRule>
    <cfRule type="cellIs" dxfId="2131" priority="109" stopIfTrue="1" operator="lessThanOrEqual">
      <formula>0</formula>
    </cfRule>
    <cfRule type="cellIs" dxfId="2130" priority="119" stopIfTrue="1" operator="lessThanOrEqual">
      <formula>0</formula>
    </cfRule>
    <cfRule type="cellIs" dxfId="2129" priority="120" stopIfTrue="1" operator="greaterThan">
      <formula>#REF!</formula>
    </cfRule>
  </conditionalFormatting>
  <conditionalFormatting sqref="H74 H76:H82">
    <cfRule type="cellIs" dxfId="2128" priority="175" stopIfTrue="1" operator="greaterThan">
      <formula>4.5</formula>
    </cfRule>
    <cfRule type="cellIs" dxfId="2127" priority="176" stopIfTrue="1" operator="lessThanOrEqual">
      <formula>0</formula>
    </cfRule>
  </conditionalFormatting>
  <conditionalFormatting sqref="H50:I50">
    <cfRule type="cellIs" dxfId="2126" priority="5" stopIfTrue="1" operator="greaterThan">
      <formula>$F$68</formula>
    </cfRule>
    <cfRule type="cellIs" dxfId="2125" priority="8" stopIfTrue="1" operator="lessThanOrEqual">
      <formula>0</formula>
    </cfRule>
  </conditionalFormatting>
  <conditionalFormatting sqref="H51:I52">
    <cfRule type="cellIs" dxfId="2124" priority="70" stopIfTrue="1" operator="lessThanOrEqual">
      <formula>0</formula>
    </cfRule>
  </conditionalFormatting>
  <conditionalFormatting sqref="H51:I54">
    <cfRule type="cellIs" dxfId="2123" priority="67" stopIfTrue="1" operator="greaterThan">
      <formula>$F$65</formula>
    </cfRule>
  </conditionalFormatting>
  <conditionalFormatting sqref="H53:I54">
    <cfRule type="cellIs" dxfId="2122" priority="85" stopIfTrue="1" operator="lessThanOrEqual">
      <formula>0</formula>
    </cfRule>
  </conditionalFormatting>
  <conditionalFormatting sqref="H55:I56">
    <cfRule type="cellIs" dxfId="2121" priority="122" stopIfTrue="1" operator="greaterThan">
      <formula>#REF!</formula>
    </cfRule>
    <cfRule type="cellIs" dxfId="2120" priority="125" stopIfTrue="1" operator="lessThanOrEqual">
      <formula>0</formula>
    </cfRule>
  </conditionalFormatting>
  <conditionalFormatting sqref="H57:I57">
    <cfRule type="cellIs" dxfId="2119" priority="136" stopIfTrue="1" operator="greaterThan">
      <formula>$F$33</formula>
    </cfRule>
    <cfRule type="cellIs" dxfId="2118" priority="139" stopIfTrue="1" operator="lessThanOrEqual">
      <formula>0</formula>
    </cfRule>
  </conditionalFormatting>
  <conditionalFormatting sqref="H58:I59">
    <cfRule type="cellIs" dxfId="2117" priority="108" stopIfTrue="1" operator="greaterThan">
      <formula>#REF!</formula>
    </cfRule>
    <cfRule type="cellIs" dxfId="2116" priority="111" stopIfTrue="1" operator="lessThanOrEqual">
      <formula>0</formula>
    </cfRule>
  </conditionalFormatting>
  <conditionalFormatting sqref="H63:I70">
    <cfRule type="cellIs" dxfId="2115" priority="36" stopIfTrue="1" operator="greaterThan">
      <formula>$J63</formula>
    </cfRule>
    <cfRule type="cellIs" dxfId="2114" priority="37" stopIfTrue="1" operator="lessThanOrEqual">
      <formula>0</formula>
    </cfRule>
  </conditionalFormatting>
  <conditionalFormatting sqref="H71:I71">
    <cfRule type="cellIs" dxfId="2113" priority="45" operator="greaterThan">
      <formula>5.3</formula>
    </cfRule>
  </conditionalFormatting>
  <conditionalFormatting sqref="H72:I72">
    <cfRule type="cellIs" dxfId="2112" priority="43" stopIfTrue="1" operator="greaterThan">
      <formula>$J72</formula>
    </cfRule>
    <cfRule type="cellIs" dxfId="2111" priority="44" stopIfTrue="1" operator="lessThanOrEqual">
      <formula>0</formula>
    </cfRule>
  </conditionalFormatting>
  <conditionalFormatting sqref="I50">
    <cfRule type="cellIs" dxfId="2110" priority="13" stopIfTrue="1" operator="greaterThan">
      <formula>$F$66</formula>
    </cfRule>
    <cfRule type="cellIs" dxfId="2109" priority="14" stopIfTrue="1" operator="lessThanOrEqual">
      <formula>0</formula>
    </cfRule>
    <cfRule type="cellIs" dxfId="2108" priority="12" stopIfTrue="1" operator="lessThanOrEqual">
      <formula>0</formula>
    </cfRule>
    <cfRule type="cellIs" dxfId="2107" priority="11" stopIfTrue="1" operator="greaterThan">
      <formula>$F$68</formula>
    </cfRule>
    <cfRule type="cellIs" dxfId="2106" priority="10" stopIfTrue="1" operator="lessThanOrEqual">
      <formula>0</formula>
    </cfRule>
    <cfRule type="cellIs" dxfId="2105" priority="9" stopIfTrue="1" operator="greaterThan">
      <formula>$F$66</formula>
    </cfRule>
  </conditionalFormatting>
  <conditionalFormatting sqref="I51:I52">
    <cfRule type="cellIs" dxfId="2104" priority="71" stopIfTrue="1" operator="greaterThan">
      <formula>$F$63</formula>
    </cfRule>
    <cfRule type="cellIs" dxfId="2103" priority="73" stopIfTrue="1" operator="greaterThan">
      <formula>$F$65</formula>
    </cfRule>
    <cfRule type="cellIs" dxfId="2102" priority="74" stopIfTrue="1" operator="lessThanOrEqual">
      <formula>0</formula>
    </cfRule>
    <cfRule type="cellIs" dxfId="2101" priority="75" stopIfTrue="1" operator="greaterThan">
      <formula>$F$63</formula>
    </cfRule>
    <cfRule type="cellIs" dxfId="2100" priority="72" stopIfTrue="1" operator="lessThanOrEqual">
      <formula>0</formula>
    </cfRule>
    <cfRule type="cellIs" dxfId="2099" priority="76" stopIfTrue="1" operator="lessThanOrEqual">
      <formula>0</formula>
    </cfRule>
  </conditionalFormatting>
  <conditionalFormatting sqref="I53:I54">
    <cfRule type="cellIs" dxfId="2098" priority="91" stopIfTrue="1" operator="lessThanOrEqual">
      <formula>0</formula>
    </cfRule>
    <cfRule type="cellIs" dxfId="2097" priority="90" stopIfTrue="1" operator="greaterThan">
      <formula>$F$63</formula>
    </cfRule>
    <cfRule type="cellIs" dxfId="2096" priority="89" stopIfTrue="1" operator="lessThanOrEqual">
      <formula>0</formula>
    </cfRule>
    <cfRule type="cellIs" dxfId="2095" priority="88" stopIfTrue="1" operator="greaterThan">
      <formula>$F$65</formula>
    </cfRule>
    <cfRule type="cellIs" dxfId="2094" priority="86" stopIfTrue="1" operator="greaterThan">
      <formula>$F$63</formula>
    </cfRule>
    <cfRule type="cellIs" dxfId="2093" priority="87" stopIfTrue="1" operator="lessThanOrEqual">
      <formula>0</formula>
    </cfRule>
  </conditionalFormatting>
  <conditionalFormatting sqref="I55:I56">
    <cfRule type="cellIs" dxfId="2092" priority="128" stopIfTrue="1" operator="greaterThan">
      <formula>#REF!</formula>
    </cfRule>
    <cfRule type="cellIs" dxfId="2091" priority="129" stopIfTrue="1" operator="lessThanOrEqual">
      <formula>0</formula>
    </cfRule>
    <cfRule type="cellIs" dxfId="2090" priority="130" stopIfTrue="1" operator="greaterThan">
      <formula>#REF!</formula>
    </cfRule>
    <cfRule type="cellIs" dxfId="2089" priority="127" stopIfTrue="1" operator="lessThanOrEqual">
      <formula>0</formula>
    </cfRule>
    <cfRule type="cellIs" dxfId="2088" priority="131" stopIfTrue="1" operator="lessThanOrEqual">
      <formula>0</formula>
    </cfRule>
    <cfRule type="cellIs" dxfId="2087" priority="126" stopIfTrue="1" operator="greaterThan">
      <formula>#REF!</formula>
    </cfRule>
  </conditionalFormatting>
  <conditionalFormatting sqref="I57">
    <cfRule type="cellIs" dxfId="2086" priority="142" stopIfTrue="1" operator="greaterThan">
      <formula>$F$33</formula>
    </cfRule>
    <cfRule type="cellIs" dxfId="2085" priority="140" stopIfTrue="1" operator="greaterThan">
      <formula>$F$31</formula>
    </cfRule>
    <cfRule type="cellIs" dxfId="2084" priority="143" stopIfTrue="1" operator="lessThanOrEqual">
      <formula>0</formula>
    </cfRule>
    <cfRule type="cellIs" dxfId="2083" priority="144" stopIfTrue="1" operator="greaterThan">
      <formula>$F$31</formula>
    </cfRule>
    <cfRule type="cellIs" dxfId="2082" priority="145" stopIfTrue="1" operator="lessThanOrEqual">
      <formula>0</formula>
    </cfRule>
    <cfRule type="cellIs" dxfId="2081" priority="141" stopIfTrue="1" operator="lessThanOrEqual">
      <formula>0</formula>
    </cfRule>
  </conditionalFormatting>
  <conditionalFormatting sqref="I58:I59">
    <cfRule type="cellIs" dxfId="2080" priority="112" stopIfTrue="1" operator="greaterThan">
      <formula>#REF!</formula>
    </cfRule>
    <cfRule type="cellIs" dxfId="2079" priority="113" stopIfTrue="1" operator="lessThanOrEqual">
      <formula>0</formula>
    </cfRule>
    <cfRule type="cellIs" dxfId="2078" priority="114" stopIfTrue="1" operator="greaterThan">
      <formula>#REF!</formula>
    </cfRule>
    <cfRule type="cellIs" dxfId="2077" priority="115" stopIfTrue="1" operator="lessThanOrEqual">
      <formula>0</formula>
    </cfRule>
    <cfRule type="cellIs" dxfId="2076" priority="116" stopIfTrue="1" operator="greaterThan">
      <formula>#REF!</formula>
    </cfRule>
    <cfRule type="cellIs" dxfId="2075" priority="117" stopIfTrue="1" operator="lessThanOrEqual">
      <formula>0</formula>
    </cfRule>
  </conditionalFormatting>
  <conditionalFormatting sqref="I74:I82">
    <cfRule type="cellIs" dxfId="2074" priority="171" stopIfTrue="1" operator="greaterThan">
      <formula>4.5</formula>
    </cfRule>
    <cfRule type="cellIs" dxfId="2073" priority="172" stopIfTrue="1" operator="lessThanOrEqual">
      <formula>0</formula>
    </cfRule>
  </conditionalFormatting>
  <conditionalFormatting sqref="I10:J18">
    <cfRule type="cellIs" dxfId="2072" priority="20" operator="lessThan">
      <formula>97.9</formula>
    </cfRule>
  </conditionalFormatting>
  <conditionalFormatting sqref="J21:J22">
    <cfRule type="cellIs" dxfId="2071" priority="82" operator="lessThan">
      <formula>97.95</formula>
    </cfRule>
  </conditionalFormatting>
  <conditionalFormatting sqref="J23">
    <cfRule type="cellIs" dxfId="2070" priority="151" stopIfTrue="1" operator="lessThan">
      <formula>96.8</formula>
    </cfRule>
    <cfRule type="cellIs" dxfId="2069" priority="152" stopIfTrue="1" operator="greaterThan">
      <formula>100</formula>
    </cfRule>
    <cfRule type="cellIs" dxfId="2068" priority="153" operator="lessThan">
      <formula>98</formula>
    </cfRule>
  </conditionalFormatting>
  <conditionalFormatting sqref="J23:J25">
    <cfRule type="cellIs" dxfId="2067" priority="150" operator="lessThan">
      <formula>97.4</formula>
    </cfRule>
  </conditionalFormatting>
  <conditionalFormatting sqref="J26:J27">
    <cfRule type="cellIs" dxfId="2066" priority="154" operator="lessThan">
      <formula>98</formula>
    </cfRule>
  </conditionalFormatting>
  <conditionalFormatting sqref="J28:J29">
    <cfRule type="cellIs" dxfId="2065" priority="155" stopIfTrue="1" operator="lessThan">
      <formula>96.8</formula>
    </cfRule>
    <cfRule type="cellIs" dxfId="2064" priority="156" stopIfTrue="1" operator="greaterThan">
      <formula>100</formula>
    </cfRule>
  </conditionalFormatting>
  <conditionalFormatting sqref="J28:J30">
    <cfRule type="cellIs" dxfId="2063" priority="157" operator="lessThan">
      <formula>98</formula>
    </cfRule>
  </conditionalFormatting>
  <conditionalFormatting sqref="J59">
    <cfRule type="cellIs" dxfId="2062" priority="107" stopIfTrue="1" operator="lessThanOrEqual">
      <formula>0</formula>
    </cfRule>
    <cfRule type="cellIs" dxfId="2061" priority="103" stopIfTrue="1" operator="lessThanOrEqual">
      <formula>0</formula>
    </cfRule>
    <cfRule type="cellIs" dxfId="2060" priority="106" stopIfTrue="1" operator="greaterThan">
      <formula>#REF!</formula>
    </cfRule>
    <cfRule type="cellIs" dxfId="2059" priority="105" stopIfTrue="1" operator="lessThanOrEqual">
      <formula>0</formula>
    </cfRule>
    <cfRule type="cellIs" dxfId="2058" priority="104" stopIfTrue="1" operator="greaterThan">
      <formula>#REF!</formula>
    </cfRule>
    <cfRule type="cellIs" dxfId="2057" priority="102" stopIfTrue="1" operator="greaterThan">
      <formula>#REF!</formula>
    </cfRule>
    <cfRule type="cellIs" dxfId="2056" priority="101" stopIfTrue="1" operator="lessThanOrEqual">
      <formula>0</formula>
    </cfRule>
    <cfRule type="cellIs" dxfId="2055" priority="100" stopIfTrue="1" operator="greaterThan">
      <formula>#REF!</formula>
    </cfRule>
  </conditionalFormatting>
  <conditionalFormatting sqref="J72">
    <cfRule type="cellIs" dxfId="2054" priority="49" stopIfTrue="1" operator="lessThanOrEqual">
      <formula>0</formula>
    </cfRule>
    <cfRule type="cellIs" dxfId="2053" priority="48" stopIfTrue="1" operator="greaterThan">
      <formula>$F72</formula>
    </cfRule>
  </conditionalFormatting>
  <conditionalFormatting sqref="K10:K18">
    <cfRule type="cellIs" dxfId="2052" priority="24" operator="lessThan">
      <formula>4</formula>
    </cfRule>
    <cfRule type="cellIs" dxfId="2051" priority="23" operator="greaterThan">
      <formula>6</formula>
    </cfRule>
    <cfRule type="cellIs" dxfId="2050" priority="25" operator="greaterThan">
      <formula>6.4</formula>
    </cfRule>
  </conditionalFormatting>
  <conditionalFormatting sqref="K50:K59">
    <cfRule type="cellIs" dxfId="2049" priority="81" stopIfTrue="1" operator="lessThan">
      <formula>100%</formula>
    </cfRule>
  </conditionalFormatting>
  <conditionalFormatting sqref="K74:K79">
    <cfRule type="cellIs" dxfId="2048" priority="177" stopIfTrue="1" operator="lessThan">
      <formula>100%</formula>
    </cfRule>
  </conditionalFormatting>
  <conditionalFormatting sqref="K81:K82">
    <cfRule type="cellIs" dxfId="2047" priority="184" stopIfTrue="1" operator="lessThan">
      <formula>100%</formula>
    </cfRule>
  </conditionalFormatting>
  <conditionalFormatting sqref="K63:M71">
    <cfRule type="cellIs" dxfId="2046" priority="35" stopIfTrue="1" operator="lessThan">
      <formula>100%</formula>
    </cfRule>
  </conditionalFormatting>
  <conditionalFormatting sqref="L10:L18">
    <cfRule type="cellIs" dxfId="2045" priority="22" operator="greaterThan">
      <formula>65</formula>
    </cfRule>
    <cfRule type="cellIs" dxfId="2044" priority="21" operator="between">
      <formula>61</formula>
      <formula>65</formula>
    </cfRule>
  </conditionalFormatting>
  <conditionalFormatting sqref="L21:M32">
    <cfRule type="cellIs" dxfId="2043" priority="97" operator="lessThan">
      <formula>97.95</formula>
    </cfRule>
  </conditionalFormatting>
  <conditionalFormatting sqref="L72:M72">
    <cfRule type="cellIs" dxfId="2042" priority="50" stopIfTrue="1" operator="lessThan">
      <formula>100%</formula>
    </cfRule>
  </conditionalFormatting>
  <conditionalFormatting sqref="L36:N36">
    <cfRule type="cellIs" dxfId="2041" priority="30" operator="notEqual">
      <formula>#REF!</formula>
    </cfRule>
  </conditionalFormatting>
  <conditionalFormatting sqref="L74:N82">
    <cfRule type="cellIs" dxfId="2040" priority="162" stopIfTrue="1" operator="lessThan">
      <formula>100%</formula>
    </cfRule>
  </conditionalFormatting>
  <conditionalFormatting sqref="M10:M16">
    <cfRule type="expression" dxfId="2039" priority="83">
      <formula>IF(+(IF(M10&lt;U10,0,IF(M10&gt;V10,0,1)))=0,1)</formula>
    </cfRule>
  </conditionalFormatting>
  <conditionalFormatting sqref="M17:N18">
    <cfRule type="expression" dxfId="2038" priority="96">
      <formula>IF(+(IF(M17&lt;#REF!,0,IF(M17&gt;#REF!,0,1)))=0,1)</formula>
    </cfRule>
  </conditionalFormatting>
  <conditionalFormatting sqref="N10:N16">
    <cfRule type="expression" dxfId="2037" priority="28">
      <formula>IF(+(IF(N10&lt;W10,0,IF(N10&gt;X10,0,1)))=0,1)</formula>
    </cfRule>
  </conditionalFormatting>
  <conditionalFormatting sqref="N63:N72">
    <cfRule type="cellIs" dxfId="2036" priority="60" stopIfTrue="1" operator="lessThan">
      <formula>100%</formula>
    </cfRule>
  </conditionalFormatting>
  <conditionalFormatting sqref="P6">
    <cfRule type="cellIs" dxfId="2035" priority="158" operator="greaterThanOrEqual">
      <formula>19</formula>
    </cfRule>
  </conditionalFormatting>
  <dataValidations count="1">
    <dataValidation type="list" allowBlank="1" showInputMessage="1" showErrorMessage="1" sqref="R8" xr:uid="{7AE7AAF8-0A28-41C8-9C1D-5540E20D4BD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BFC9B-AFF3-463F-84C2-12EF1A4785FB}">
  <sheetPr>
    <pageSetUpPr fitToPage="1"/>
  </sheetPr>
  <dimension ref="A1:BE69"/>
  <sheetViews>
    <sheetView topLeftCell="A9" zoomScale="70" zoomScaleNormal="70" workbookViewId="0">
      <selection activeCell="H47" sqref="H47:I4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46157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65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95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2" t="s">
        <v>33</v>
      </c>
      <c r="C10" s="366" t="str">
        <f>[6]Brewhouse!A69</f>
        <v>VM043</v>
      </c>
      <c r="D10" s="279">
        <f>[6]Brewhouse!AE69</f>
        <v>47</v>
      </c>
      <c r="E10" s="279" t="s">
        <v>206</v>
      </c>
      <c r="F10" s="278">
        <f>[6]Brewhouse!X69</f>
        <v>78</v>
      </c>
      <c r="G10" s="279">
        <f>[6]Brewhouse!AH69</f>
        <v>15.4</v>
      </c>
      <c r="H10" s="396"/>
      <c r="I10" s="368">
        <f>[6]Brewhouse!AV69</f>
        <v>94.282423715374435</v>
      </c>
      <c r="J10" s="368">
        <f>[6]Brewhouse!AW69</f>
        <v>94.490667793956106</v>
      </c>
      <c r="K10" s="281">
        <f>[6]Brewhouse!S69</f>
        <v>13.106382978723396</v>
      </c>
      <c r="L10" s="276">
        <f>[6]Brewhouse!R69</f>
        <v>59</v>
      </c>
      <c r="M10" s="374">
        <f>[6]Brewhouse!$W69-[6]Brewhouse!$V69</f>
        <v>0.19513888888888892</v>
      </c>
      <c r="N10" s="370">
        <f>[6]Brewhouse!AB69</f>
        <v>0.36527777777777781</v>
      </c>
      <c r="O10" s="371" t="str">
        <f>[6]Brewhouse!$AZ69</f>
        <v>K. Benjamin</v>
      </c>
      <c r="P10" s="418"/>
      <c r="R10" s="277" t="str">
        <f t="shared" ref="R10:R29" si="0">B10</f>
        <v>VITAMALT</v>
      </c>
      <c r="S10" s="472">
        <f t="shared" ref="S10:S29" si="1">VLOOKUP($B10,$R$3:$X$9,2,FALSE)</f>
        <v>14.2</v>
      </c>
      <c r="T10" s="472">
        <f t="shared" ref="T10:T29" si="2">VLOOKUP($B10,$R$3:$X$9,3,FALSE)</f>
        <v>14.6</v>
      </c>
      <c r="U10" s="297">
        <f t="shared" ref="U10:U29" si="3">VLOOKUP($B10,$R$3:$X$9,4,FALSE)</f>
        <v>0</v>
      </c>
      <c r="V10" s="297">
        <f t="shared" ref="V10:V29" si="4">VLOOKUP($B10,$R$3:$X$9,5,FALSE)</f>
        <v>0.13905092592592591</v>
      </c>
      <c r="W10" s="297">
        <f t="shared" ref="W10:W29" si="5">VLOOKUP($B10,$R$3:$X$9,6,FALSE)</f>
        <v>0.26041666666666669</v>
      </c>
      <c r="X10" s="297">
        <f t="shared" ref="X10:X29" si="6">VLOOKUP($B10,$R$3:$X$9,7,FALSE)</f>
        <v>0.2951388888888889</v>
      </c>
      <c r="Y10" s="297">
        <f t="shared" ref="Y10:Y29" si="7">VLOOKUP($B10,$R$3:$Z$9,8,FALSE)</f>
        <v>0</v>
      </c>
      <c r="Z10" s="472">
        <f t="shared" ref="Z10:Z29" si="8">VLOOKUP($B10,$R$3:$Z$9,9,FALSE)</f>
        <v>75</v>
      </c>
    </row>
    <row r="11" spans="2:29" ht="15">
      <c r="B11" s="22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5">
      <c r="B12" s="37" t="s">
        <v>16</v>
      </c>
      <c r="C12" s="366" t="str">
        <f>[8]Brewhouse!$A53</f>
        <v>SM045</v>
      </c>
      <c r="D12" s="279">
        <f>[8]Brewhouse!$AH53</f>
        <v>53.1</v>
      </c>
      <c r="E12" s="279">
        <f>[8]Brewhouse!$AM53</f>
        <v>48.1</v>
      </c>
      <c r="F12" s="278">
        <f>[8]Brewhouse!$Z53</f>
        <v>60</v>
      </c>
      <c r="G12" s="279">
        <f>[8]Brewhouse!$AK53</f>
        <v>17.399999999999999</v>
      </c>
      <c r="H12" s="396"/>
      <c r="I12" s="368">
        <f>[8]Brewhouse!$AY53</f>
        <v>92.54924279225061</v>
      </c>
      <c r="J12" s="368">
        <f>[8]Brewhouse!$AZ53</f>
        <v>93.022847385087587</v>
      </c>
      <c r="K12" s="281">
        <f>[8]Brewhouse!$U53</f>
        <v>12.203389830508481</v>
      </c>
      <c r="L12" s="276">
        <f>[8]Brewhouse!$T53</f>
        <v>124</v>
      </c>
      <c r="M12" s="374">
        <f>[8]Brewhouse!$Y53-[8]Brewhouse!$X53</f>
        <v>0.34027777777777779</v>
      </c>
      <c r="N12" s="370">
        <f>[8]Brewhouse!$AD53</f>
        <v>0.37152777777777779</v>
      </c>
      <c r="O12" s="371" t="str">
        <f>[8]Brewhouse!$BC53</f>
        <v>D. Gomaz</v>
      </c>
      <c r="P12" s="418" t="s">
        <v>204</v>
      </c>
      <c r="R12" s="277" t="str">
        <f t="shared" si="0"/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5">
      <c r="B13" s="37" t="s">
        <v>16</v>
      </c>
      <c r="C13" s="366" t="str">
        <f>[8]Brewhouse!$A54</f>
        <v>SM046</v>
      </c>
      <c r="D13" s="279">
        <f>[8]Brewhouse!$AH54</f>
        <v>53</v>
      </c>
      <c r="E13" s="279">
        <f>[8]Brewhouse!$AM54</f>
        <v>50.9</v>
      </c>
      <c r="F13" s="278">
        <f>[8]Brewhouse!$Z54</f>
        <v>105</v>
      </c>
      <c r="G13" s="279">
        <f>[8]Brewhouse!$AK54</f>
        <v>17.399999999999999</v>
      </c>
      <c r="H13" s="396"/>
      <c r="I13" s="368">
        <f>[8]Brewhouse!$AY54</f>
        <v>97.936724701155001</v>
      </c>
      <c r="J13" s="368">
        <f>[8]Brewhouse!$AZ54</f>
        <v>98.437898792119711</v>
      </c>
      <c r="K13" s="281">
        <f>[8]Brewhouse!$U54</f>
        <v>7.1320754716981156</v>
      </c>
      <c r="L13" s="276">
        <f>[8]Brewhouse!$T54</f>
        <v>60</v>
      </c>
      <c r="M13" s="374">
        <f>[8]Brewhouse!$Y54-[8]Brewhouse!$X54</f>
        <v>0.15902777777777777</v>
      </c>
      <c r="N13" s="370">
        <f>[8]Brewhouse!$AD54</f>
        <v>0.7909722222222223</v>
      </c>
      <c r="O13" s="371" t="str">
        <f>[8]Brewhouse!$BC54</f>
        <v>R.Sookram</v>
      </c>
      <c r="P13" s="418"/>
      <c r="R13" s="277" t="str">
        <f t="shared" si="0"/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8" hidden="1" customHeight="1">
      <c r="B14" s="29"/>
      <c r="C14" s="366"/>
      <c r="D14" s="279"/>
      <c r="E14" s="279"/>
      <c r="F14" s="278"/>
      <c r="G14" s="279"/>
      <c r="H14" s="482"/>
      <c r="I14" s="368"/>
      <c r="J14" s="368"/>
      <c r="K14" s="281"/>
      <c r="L14" s="276"/>
      <c r="M14" s="374"/>
      <c r="N14" s="370"/>
      <c r="O14" s="371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6.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.75" customHeight="1" thickBot="1">
      <c r="B16" s="358"/>
      <c r="C16" s="358"/>
      <c r="D16" s="358"/>
      <c r="E16" s="358"/>
      <c r="F16" s="294"/>
      <c r="G16" s="294"/>
      <c r="H16" s="348"/>
      <c r="I16" s="525"/>
      <c r="J16" s="525"/>
      <c r="K16" s="525"/>
      <c r="L16" s="525"/>
      <c r="M16" s="525"/>
      <c r="N16" s="525"/>
      <c r="O16" s="1"/>
      <c r="P16" s="12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.75" customHeight="1" thickBot="1">
      <c r="B17" s="388" t="s">
        <v>162</v>
      </c>
      <c r="C17" s="388"/>
      <c r="D17" s="526" t="s">
        <v>35</v>
      </c>
      <c r="E17" s="527"/>
      <c r="F17" s="294"/>
      <c r="G17" s="294"/>
      <c r="H17" s="348"/>
      <c r="I17" s="24" t="s">
        <v>17</v>
      </c>
      <c r="J17" s="25"/>
      <c r="K17" s="26" t="s">
        <v>138</v>
      </c>
      <c r="L17" s="25" t="s">
        <v>37</v>
      </c>
      <c r="M17" s="25" t="s">
        <v>38</v>
      </c>
      <c r="N17" s="27" t="s">
        <v>39</v>
      </c>
      <c r="O17" s="294"/>
      <c r="P17" s="12"/>
      <c r="R17" s="277" t="str">
        <f t="shared" si="0"/>
        <v xml:space="preserve">BRAND 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A18" s="28"/>
      <c r="B18" s="528"/>
      <c r="C18" s="362"/>
      <c r="D18" s="531"/>
      <c r="E18" s="532"/>
      <c r="F18" s="294"/>
      <c r="G18" s="294"/>
      <c r="H18" s="348"/>
      <c r="I18" s="29" t="s">
        <v>6</v>
      </c>
      <c r="J18" s="323"/>
      <c r="K18" s="284">
        <f>COUNTA([4]Brewhouse!$A$372:$A$402)</f>
        <v>31</v>
      </c>
      <c r="L18" s="305">
        <f>AVERAGE([4]Brewhouse!$AU$372:$AU$402)</f>
        <v>97.899591271333676</v>
      </c>
      <c r="M18" s="305">
        <f>AVERAGE([4]Brewhouse!$AU$42:$AU$123,[4]Brewhouse!$AU$125:$AU$188,[4]Brewhouse!$AU$198:$AU$290,[4]Brewhouse!$AU$292:$AU$370,[4]Brewhouse!$AU$372:$AU$402)</f>
        <v>97.995291948813914</v>
      </c>
      <c r="N18" s="30">
        <v>98</v>
      </c>
      <c r="O18" s="11"/>
      <c r="P18" s="31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A19" s="28"/>
      <c r="B19" s="529"/>
      <c r="C19" s="362"/>
      <c r="D19" s="533"/>
      <c r="E19" s="534"/>
      <c r="F19" s="294"/>
      <c r="G19" s="294"/>
      <c r="H19" s="348"/>
      <c r="I19" s="33" t="s">
        <v>9</v>
      </c>
      <c r="J19" s="323"/>
      <c r="K19" s="284">
        <f>COUNTA([3]Brewhouse!$A$214:$A$229)</f>
        <v>16</v>
      </c>
      <c r="L19" s="302">
        <f>AVERAGE([3]Brewhouse!$AS$214:$AS$229)</f>
        <v>97.795658588620881</v>
      </c>
      <c r="M19" s="302">
        <f>AVERAGE([3]Brewhouse!$AS$52:$AS$81,[3]Brewhouse!$AS$83:$AS$124,[3]Brewhouse!$AS$134:$AS$177,[3]Brewhouse!$AS$22:$AS$179,[3]Brewhouse!$AS$214:$AS$229)</f>
        <v>97.93842123965544</v>
      </c>
      <c r="N19" s="30">
        <v>98</v>
      </c>
      <c r="O19" s="11"/>
      <c r="P19" s="31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4.65" customHeight="1">
      <c r="A20" s="28"/>
      <c r="B20" s="529"/>
      <c r="C20" s="362"/>
      <c r="D20" s="535"/>
      <c r="E20" s="536"/>
      <c r="F20" s="294"/>
      <c r="G20" s="294"/>
      <c r="H20" s="348"/>
      <c r="I20" s="34" t="s">
        <v>12</v>
      </c>
      <c r="J20" s="280"/>
      <c r="K20" s="284"/>
      <c r="L20" s="302"/>
      <c r="M20" s="302">
        <f>AVERAGE([5]Brewhouse!$AU$16:$AU$23,[5]Brewhouse!$AU$25:$AU$32,[5]Brewhouse!$AU$34:$AU$41,[5]Brewhouse!$AU$43:$AU$55)</f>
        <v>96.793456653928644</v>
      </c>
      <c r="N20" s="30">
        <v>98</v>
      </c>
      <c r="O20" s="11"/>
      <c r="P20" s="31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4.65" customHeight="1">
      <c r="A21" s="28"/>
      <c r="B21" s="529"/>
      <c r="C21" s="362"/>
      <c r="D21" s="537"/>
      <c r="E21" s="534"/>
      <c r="F21" s="294"/>
      <c r="G21" s="294"/>
      <c r="H21" s="348"/>
      <c r="I21" s="22" t="s">
        <v>33</v>
      </c>
      <c r="J21" s="280">
        <f>I10</f>
        <v>94.282423715374435</v>
      </c>
      <c r="K21" s="284">
        <f>COUNTA([6]Brewhouse!$A$62:$A$68)</f>
        <v>7</v>
      </c>
      <c r="L21" s="302">
        <f>AVERAGE([6]Brewhouse!$AV$62:$AV$68)</f>
        <v>98.287606329362575</v>
      </c>
      <c r="M21" s="302">
        <f>AVERAGE([6]Brewhouse!$AV$23:$AV$34,[6]Brewhouse!$AV$36,[6]Brewhouse!$AV$38:$AV$52,[6]Brewhouse!$AV$54:$AV$60,[6]Brewhouse!$AV$62:$AV$68)</f>
        <v>97.579195177204838</v>
      </c>
      <c r="N21" s="30">
        <v>98</v>
      </c>
      <c r="O21" s="11"/>
      <c r="P21" s="31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4.65" customHeight="1">
      <c r="A22" s="28"/>
      <c r="B22" s="529"/>
      <c r="C22" s="362"/>
      <c r="D22" s="535"/>
      <c r="E22" s="536"/>
      <c r="F22" s="417"/>
      <c r="G22" s="294"/>
      <c r="H22" s="348"/>
      <c r="I22" s="35" t="s">
        <v>29</v>
      </c>
      <c r="J22" s="280"/>
      <c r="K22" s="284"/>
      <c r="L22" s="302"/>
      <c r="M22" s="302"/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29"/>
      <c r="C23" s="362"/>
      <c r="D23" s="537"/>
      <c r="E23" s="534"/>
      <c r="F23" s="417"/>
      <c r="G23" s="294"/>
      <c r="H23" s="348"/>
      <c r="I23" s="36" t="s">
        <v>15</v>
      </c>
      <c r="J23" s="323"/>
      <c r="K23" s="284">
        <f>COUNTA([7]Brewhouse!$A$13:$A$16)</f>
        <v>4</v>
      </c>
      <c r="L23" s="302">
        <f>AVERAGE([7]Brewhouse!$AT$13:$AT$16)</f>
        <v>88.962677106311475</v>
      </c>
      <c r="M23" s="302">
        <f>AVERAGE([7]Brewhouse!$AT$4:$AT$11,[7]Brewhouse!$AT$13:$AT$16)</f>
        <v>91.538375374138752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29"/>
      <c r="C24" s="362"/>
      <c r="D24" s="535"/>
      <c r="E24" s="536"/>
      <c r="F24" s="417"/>
      <c r="G24" s="294"/>
      <c r="H24" s="348"/>
      <c r="I24" s="37" t="s">
        <v>16</v>
      </c>
      <c r="J24" s="323">
        <f>I12</f>
        <v>92.54924279225061</v>
      </c>
      <c r="K24" s="284">
        <f>COUNTA([8]Brewhouse!$A$53)</f>
        <v>1</v>
      </c>
      <c r="L24" s="302">
        <f>AVERAGE([8]Brewhouse!$AY$53)</f>
        <v>92.54924279225061</v>
      </c>
      <c r="M24" s="302">
        <f>AVERAGE([8]Brewhouse!$AY$5:$AY$14,[8]Brewhouse!$AY$16:$AY$23,[8]Brewhouse!$AY$42,[8]Brewhouse!$AY$44:$AY$51,[8]Brewhouse!$AY$53)</f>
        <v>97.427743272793322</v>
      </c>
      <c r="N24" s="30">
        <v>98</v>
      </c>
      <c r="O24" s="11"/>
      <c r="P24" s="31" t="s">
        <v>41</v>
      </c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29"/>
      <c r="C25" s="362"/>
      <c r="D25" s="537"/>
      <c r="E25" s="534"/>
      <c r="F25" s="294"/>
      <c r="G25" s="294"/>
      <c r="H25" s="348"/>
      <c r="I25" s="411" t="s">
        <v>158</v>
      </c>
      <c r="J25" s="326"/>
      <c r="K25" s="284"/>
      <c r="L25" s="305"/>
      <c r="M25" s="305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29"/>
      <c r="C26" s="349"/>
      <c r="D26" s="535"/>
      <c r="E26" s="536"/>
      <c r="F26" s="294"/>
      <c r="G26" s="294"/>
      <c r="H26" s="348"/>
      <c r="I26" s="410" t="s">
        <v>157</v>
      </c>
      <c r="J26" s="326"/>
      <c r="K26" s="284"/>
      <c r="L26" s="305"/>
      <c r="M26" s="305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  <c r="AA26" s="472"/>
    </row>
    <row r="27" spans="1:27" ht="15" customHeight="1" thickBot="1">
      <c r="A27" s="28"/>
      <c r="B27" s="529"/>
      <c r="C27" s="349"/>
      <c r="D27" s="537"/>
      <c r="E27" s="534"/>
      <c r="F27" s="294"/>
      <c r="G27" s="294"/>
      <c r="H27" s="348"/>
      <c r="I27" s="406" t="s">
        <v>156</v>
      </c>
      <c r="J27" s="327"/>
      <c r="K27" s="407"/>
      <c r="L27" s="408"/>
      <c r="M27" s="408"/>
      <c r="N27" s="409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  <c r="AA27" s="472"/>
    </row>
    <row r="28" spans="1:27" ht="15" customHeight="1" thickBot="1">
      <c r="A28" s="28"/>
      <c r="B28" s="529"/>
      <c r="C28" s="349"/>
      <c r="D28" s="531"/>
      <c r="E28" s="532"/>
      <c r="F28" s="294"/>
      <c r="G28" s="294"/>
      <c r="H28" s="348"/>
      <c r="I28" s="1"/>
      <c r="J28" s="39"/>
      <c r="K28" s="404">
        <f>SUM(K18:K27)</f>
        <v>59</v>
      </c>
      <c r="L28" s="405">
        <f>((L18*K18)+(L19*K19)+(L20*K20)+(L21*K21)+(L22*K22)+(K25*L25)+(L23*K23)+(L24*K24)+(L27*K27))/(K28)</f>
        <v>97.220865463598528</v>
      </c>
      <c r="M28" s="405">
        <f>AVERAGE('[9]Jan30th-31st'!$L$42,L28)</f>
        <v>97.524453599720005</v>
      </c>
      <c r="N28" s="4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5.75" thickBot="1">
      <c r="B29" s="530"/>
      <c r="C29" s="350"/>
      <c r="D29" s="533"/>
      <c r="E29" s="534"/>
      <c r="F29" s="294"/>
      <c r="G29" s="42"/>
      <c r="H29" s="41"/>
      <c r="I29" s="42"/>
      <c r="J29" s="42"/>
      <c r="K29" s="351"/>
      <c r="L29" s="348"/>
      <c r="M29" s="348"/>
      <c r="N29" s="11"/>
      <c r="O29" s="294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.75" thickBot="1">
      <c r="B30" s="528"/>
      <c r="C30" s="362"/>
      <c r="D30" s="539"/>
      <c r="E30" s="540"/>
      <c r="F30" s="294"/>
      <c r="G30" s="42"/>
      <c r="H30" s="41"/>
      <c r="I30" s="42"/>
      <c r="J30" s="541" t="s">
        <v>129</v>
      </c>
      <c r="K30" s="541"/>
      <c r="L30" s="294"/>
      <c r="M30" s="294"/>
      <c r="N30" s="294"/>
      <c r="O30" s="294"/>
      <c r="P30" s="12"/>
    </row>
    <row r="31" spans="1:27" ht="15.75" thickBot="1">
      <c r="B31" s="529"/>
      <c r="C31" s="362"/>
      <c r="D31" s="537"/>
      <c r="E31" s="534"/>
      <c r="F31" s="294"/>
      <c r="G31" s="42"/>
      <c r="H31" s="42"/>
      <c r="I31" s="42"/>
      <c r="J31" s="292" t="s">
        <v>17</v>
      </c>
      <c r="K31" s="293" t="s">
        <v>172</v>
      </c>
      <c r="L31" s="542" t="s">
        <v>136</v>
      </c>
      <c r="M31" s="542"/>
      <c r="N31" s="543"/>
      <c r="O31" s="294"/>
      <c r="P31" s="12"/>
    </row>
    <row r="32" spans="1:27" ht="15" customHeight="1" thickBot="1">
      <c r="B32" s="529"/>
      <c r="C32" s="349"/>
      <c r="D32" s="535"/>
      <c r="E32" s="536"/>
      <c r="F32" s="294"/>
      <c r="G32" s="42"/>
      <c r="H32" s="42"/>
      <c r="I32" s="42"/>
      <c r="J32" s="287" t="s">
        <v>6</v>
      </c>
      <c r="K32" s="324"/>
      <c r="L32" s="473" t="s">
        <v>37</v>
      </c>
      <c r="M32" s="474" t="s">
        <v>38</v>
      </c>
      <c r="N32" s="474" t="s">
        <v>84</v>
      </c>
      <c r="O32" s="294"/>
      <c r="P32" s="12"/>
    </row>
    <row r="33" spans="2:57" ht="15.75" customHeight="1" thickBot="1">
      <c r="B33" s="529"/>
      <c r="C33" s="349"/>
      <c r="D33" s="537"/>
      <c r="E33" s="534"/>
      <c r="F33" s="294"/>
      <c r="G33" s="42"/>
      <c r="H33" s="42"/>
      <c r="I33" s="42"/>
      <c r="J33" s="345" t="s">
        <v>9</v>
      </c>
      <c r="K33" s="324"/>
      <c r="L33" s="344">
        <f>AVERAGE('May 2nd-23rd'!J53,'May 2nd-23rd'!K53,'May 4th'!K51,'May 5th'!K47,'May 6th'!K54,'May 7th'!K48,'May 14th'!K42,'May 8th -9th'!K55,'May 8th -9th'!J55,'May 11th'!K51,'May 12th '!K46,'May 12th '!K46,'May 13th'!K45)</f>
        <v>5.0769230769230766</v>
      </c>
      <c r="M33" s="325">
        <f>AVERAGE('[9]Jan30th-31st'!$L$47,L33,'[10]Feb 26th '!$L$39,'[11]Mar 31st'!$L$47,'[12]Apr 30th'!$L$46)</f>
        <v>6.2227759197324417</v>
      </c>
      <c r="N33" s="416">
        <v>9.1999999999999993</v>
      </c>
      <c r="O33" s="294"/>
      <c r="P33" s="12"/>
    </row>
    <row r="34" spans="2:57" ht="15" customHeight="1">
      <c r="B34" s="529"/>
      <c r="C34" s="349"/>
      <c r="D34" s="535"/>
      <c r="E34" s="536"/>
      <c r="F34" s="294"/>
      <c r="G34" s="42"/>
      <c r="H34" s="42"/>
      <c r="I34" s="42"/>
      <c r="J34" s="288" t="s">
        <v>40</v>
      </c>
      <c r="K34" s="324"/>
      <c r="L34" s="294"/>
      <c r="M34" s="294"/>
      <c r="N34" s="294"/>
      <c r="O34" s="294"/>
      <c r="P34" s="12"/>
    </row>
    <row r="35" spans="2:57" ht="15" customHeight="1">
      <c r="B35" s="529"/>
      <c r="C35" s="349"/>
      <c r="D35" s="537"/>
      <c r="E35" s="534"/>
      <c r="F35" s="294"/>
      <c r="G35" s="42"/>
      <c r="H35" s="42"/>
      <c r="I35" s="42"/>
      <c r="J35" s="289" t="s">
        <v>33</v>
      </c>
      <c r="K35" s="324">
        <v>1</v>
      </c>
      <c r="L35" s="294"/>
      <c r="M35" s="294"/>
      <c r="N35" s="294"/>
      <c r="O35" s="294"/>
      <c r="P35" s="12"/>
    </row>
    <row r="36" spans="2:57" ht="15">
      <c r="B36" s="529"/>
      <c r="C36" s="349"/>
      <c r="D36" s="535"/>
      <c r="E36" s="536"/>
      <c r="F36" s="294"/>
      <c r="G36" s="42"/>
      <c r="H36" s="42"/>
      <c r="I36" s="42"/>
      <c r="J36" s="290" t="s">
        <v>16</v>
      </c>
      <c r="K36" s="324">
        <v>2</v>
      </c>
      <c r="L36" s="294"/>
      <c r="M36" s="294"/>
      <c r="N36" s="294"/>
      <c r="O36" s="294"/>
      <c r="P36" s="12"/>
      <c r="BC36" s="44"/>
      <c r="BD36" s="44"/>
    </row>
    <row r="37" spans="2:57" ht="15">
      <c r="B37" s="529"/>
      <c r="C37" s="349"/>
      <c r="D37" s="537"/>
      <c r="E37" s="534"/>
      <c r="F37" s="294"/>
      <c r="G37" s="42"/>
      <c r="H37" s="42"/>
      <c r="I37" s="42"/>
      <c r="J37" s="291" t="s">
        <v>15</v>
      </c>
      <c r="K37" s="324"/>
      <c r="L37" s="294"/>
      <c r="M37" s="294"/>
      <c r="N37" s="294"/>
      <c r="O37" s="294"/>
      <c r="P37" s="12"/>
      <c r="BC37" s="44"/>
      <c r="BD37" s="44"/>
    </row>
    <row r="38" spans="2:57" ht="15">
      <c r="B38" s="529"/>
      <c r="C38" s="349"/>
      <c r="D38" s="535"/>
      <c r="E38" s="536"/>
      <c r="F38" s="294"/>
      <c r="G38" s="42"/>
      <c r="H38" s="42"/>
      <c r="I38" s="42"/>
      <c r="J38" s="291" t="s">
        <v>149</v>
      </c>
      <c r="K38" s="324"/>
      <c r="L38" s="294"/>
      <c r="M38" s="294"/>
      <c r="N38" s="294"/>
      <c r="O38" s="294"/>
      <c r="P38" s="12"/>
      <c r="BC38" s="44"/>
      <c r="BD38" s="44"/>
    </row>
    <row r="39" spans="2:57" ht="15.75" thickBot="1">
      <c r="B39" s="538"/>
      <c r="C39" s="350"/>
      <c r="D39" s="544"/>
      <c r="E39" s="545"/>
      <c r="F39" s="294" t="s">
        <v>166</v>
      </c>
      <c r="G39" s="42"/>
      <c r="H39" s="42"/>
      <c r="I39" s="42"/>
      <c r="J39" s="291" t="s">
        <v>148</v>
      </c>
      <c r="K39" s="324"/>
      <c r="L39" s="294"/>
      <c r="M39" s="294"/>
      <c r="N39" s="294" t="s">
        <v>41</v>
      </c>
      <c r="O39" s="294"/>
      <c r="P39" s="12"/>
      <c r="BC39" s="44"/>
      <c r="BD39" s="44"/>
    </row>
    <row r="40" spans="2:57" ht="17.649999999999999" customHeight="1" thickBot="1">
      <c r="B40" s="312" t="s">
        <v>139</v>
      </c>
      <c r="C40" s="313"/>
      <c r="D40" s="546"/>
      <c r="E40" s="547"/>
      <c r="F40" s="294"/>
      <c r="J40" s="295" t="s">
        <v>134</v>
      </c>
      <c r="K40" s="324"/>
      <c r="L40" s="294"/>
      <c r="M40" s="294"/>
      <c r="N40" s="294"/>
      <c r="O40" s="294"/>
      <c r="P40" s="12"/>
      <c r="BC40" s="44"/>
      <c r="BD40" s="44"/>
    </row>
    <row r="41" spans="2:57" ht="17.649999999999999" customHeight="1">
      <c r="B41" s="363"/>
      <c r="C41" s="364"/>
      <c r="D41" s="365"/>
      <c r="E41" s="365"/>
      <c r="F41" s="294"/>
      <c r="G41" s="42"/>
      <c r="H41" s="42"/>
      <c r="I41" s="42"/>
      <c r="J41" s="295" t="s">
        <v>131</v>
      </c>
      <c r="K41" s="324"/>
      <c r="L41" s="294"/>
      <c r="M41" s="294"/>
      <c r="N41" s="294"/>
      <c r="O41" s="294"/>
      <c r="P41" s="12"/>
      <c r="BC41" s="44"/>
      <c r="BD41" s="44"/>
    </row>
    <row r="42" spans="2:57" ht="15.6" customHeight="1">
      <c r="B42" s="45"/>
      <c r="C42" s="11"/>
      <c r="D42" s="11"/>
      <c r="E42" s="46"/>
      <c r="F42" s="294"/>
      <c r="G42" s="42"/>
      <c r="H42" s="42"/>
      <c r="I42" s="42"/>
      <c r="J42" s="346" t="s">
        <v>130</v>
      </c>
      <c r="K42" s="324">
        <f>SUM(K32:K41)</f>
        <v>3</v>
      </c>
      <c r="L42" s="294"/>
      <c r="M42" s="294"/>
      <c r="N42" s="294"/>
      <c r="O42" s="294"/>
      <c r="P42" s="12"/>
    </row>
    <row r="43" spans="2:57" ht="20.25" customHeight="1">
      <c r="B43" s="15" t="s">
        <v>42</v>
      </c>
      <c r="C43" s="1" t="s">
        <v>43</v>
      </c>
      <c r="D43" s="1"/>
      <c r="E43" s="1"/>
      <c r="F43" s="294"/>
      <c r="G43" s="42"/>
      <c r="H43" s="41"/>
      <c r="I43" s="42"/>
      <c r="L43" s="294"/>
      <c r="N43" s="315"/>
      <c r="P43" s="334"/>
    </row>
    <row r="44" spans="2:57" ht="15" customHeight="1" thickBot="1"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1"/>
      <c r="O44" s="48"/>
      <c r="P44" s="49"/>
    </row>
    <row r="45" spans="2:57" ht="15" customHeight="1" thickBot="1">
      <c r="B45" s="548" t="s">
        <v>17</v>
      </c>
      <c r="C45" s="548" t="s">
        <v>44</v>
      </c>
      <c r="D45" s="551" t="s">
        <v>45</v>
      </c>
      <c r="E45" s="516" t="s">
        <v>46</v>
      </c>
      <c r="F45" s="565" t="s">
        <v>47</v>
      </c>
      <c r="G45" s="560" t="s">
        <v>48</v>
      </c>
      <c r="H45" s="548" t="s">
        <v>49</v>
      </c>
      <c r="I45" s="548" t="s">
        <v>50</v>
      </c>
      <c r="J45" s="554" t="s">
        <v>28</v>
      </c>
      <c r="K45" s="514" t="s">
        <v>51</v>
      </c>
      <c r="L45" s="563" t="s">
        <v>52</v>
      </c>
      <c r="M45" s="554" t="s">
        <v>53</v>
      </c>
      <c r="N45" s="13"/>
      <c r="O45" s="13"/>
      <c r="P45" s="50"/>
    </row>
    <row r="46" spans="2:57" ht="28.5" customHeight="1" thickTop="1" thickBot="1">
      <c r="B46" s="549"/>
      <c r="C46" s="550"/>
      <c r="D46" s="552"/>
      <c r="E46" s="553"/>
      <c r="F46" s="566"/>
      <c r="G46" s="561"/>
      <c r="H46" s="549"/>
      <c r="I46" s="549"/>
      <c r="J46" s="555"/>
      <c r="K46" s="562"/>
      <c r="L46" s="564"/>
      <c r="M46" s="555"/>
      <c r="N46" s="13"/>
      <c r="O46" s="13"/>
      <c r="P46" s="50"/>
      <c r="Q46" s="355"/>
      <c r="AB46" s="475">
        <v>43474</v>
      </c>
      <c r="AC46" s="475">
        <v>43475</v>
      </c>
      <c r="AD46" s="475">
        <v>43476</v>
      </c>
      <c r="AE46" s="475">
        <v>43477</v>
      </c>
      <c r="AF46" s="475">
        <v>43478</v>
      </c>
      <c r="AG46" s="475">
        <v>43479</v>
      </c>
      <c r="AH46" s="475">
        <v>43480</v>
      </c>
      <c r="AI46" s="475">
        <v>43481</v>
      </c>
      <c r="AJ46" s="475">
        <v>43482</v>
      </c>
      <c r="AK46" s="475">
        <v>43483</v>
      </c>
      <c r="AL46" s="475">
        <v>43484</v>
      </c>
      <c r="AM46" s="475">
        <v>43485</v>
      </c>
      <c r="AN46" s="475">
        <v>43486</v>
      </c>
      <c r="AO46" s="475">
        <v>43487</v>
      </c>
      <c r="AP46" s="475">
        <v>43488</v>
      </c>
      <c r="AQ46" s="475">
        <v>43489</v>
      </c>
      <c r="AR46" s="475">
        <v>43490</v>
      </c>
      <c r="AS46" s="475">
        <v>43491</v>
      </c>
      <c r="AT46" s="475">
        <v>43492</v>
      </c>
      <c r="AU46" s="475">
        <v>43493</v>
      </c>
      <c r="AV46" s="475">
        <v>43494</v>
      </c>
      <c r="AW46" s="475">
        <v>43495</v>
      </c>
      <c r="AX46" s="475">
        <v>43496</v>
      </c>
    </row>
    <row r="47" spans="2:57" s="54" customFormat="1" ht="36.75" customHeight="1" thickBot="1">
      <c r="B47" s="489" t="str">
        <f>J37</f>
        <v>MACKESON</v>
      </c>
      <c r="C47" s="479">
        <v>46156</v>
      </c>
      <c r="D47" s="442">
        <f>[32]May_2026!$Q$34</f>
        <v>202.3</v>
      </c>
      <c r="E47" s="443">
        <f>SUM([33]MACKESON!$S$7:$S$10)</f>
        <v>3.8</v>
      </c>
      <c r="F47" s="444">
        <f>SUM([33]MACKESON!$L$7:$L$10)</f>
        <v>193.5</v>
      </c>
      <c r="G47" s="445">
        <f>[32]May_2026!$Q$39</f>
        <v>195.3</v>
      </c>
      <c r="H47" s="458">
        <f>(D47-F47)/D47*100</f>
        <v>4.3499752842313448</v>
      </c>
      <c r="I47" s="458">
        <f>((F47+E47)-G47)/(F47+E47)*100</f>
        <v>1.0136847440446022</v>
      </c>
      <c r="J47" s="448" t="s">
        <v>150</v>
      </c>
      <c r="K47" s="449">
        <f>[34]May_2026!$Q$39</f>
        <v>0.68526315789473691</v>
      </c>
      <c r="L47" s="476">
        <f>(((D47+E47)-G47)/(D47+E47))*100</f>
        <v>5.2401746724890881</v>
      </c>
      <c r="M47" s="455" t="s">
        <v>203</v>
      </c>
      <c r="N47" s="13"/>
      <c r="O47" s="13"/>
      <c r="P47" s="50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57">
        <f>[13]January_2019!L5</f>
        <v>0</v>
      </c>
      <c r="AC47" s="57">
        <f>[13]January_2019!M5</f>
        <v>0</v>
      </c>
      <c r="AD47" s="57">
        <f>[13]January_2019!N5</f>
        <v>0</v>
      </c>
      <c r="AE47" s="57">
        <f>[13]January_2019!O5</f>
        <v>0</v>
      </c>
      <c r="AF47" s="57">
        <f>[13]January_2019!P5</f>
        <v>0</v>
      </c>
      <c r="AG47" s="57">
        <f>[13]January_2019!Q5</f>
        <v>0</v>
      </c>
      <c r="AH47" s="57">
        <f>[13]January_2019!R5</f>
        <v>0</v>
      </c>
      <c r="AI47" s="57">
        <f>[13]January_2019!S5</f>
        <v>0</v>
      </c>
      <c r="AJ47" s="57">
        <f>[13]January_2019!T5</f>
        <v>0</v>
      </c>
      <c r="AK47" s="57">
        <f>[13]January_2019!U5</f>
        <v>0</v>
      </c>
      <c r="AL47" s="57">
        <f>[13]January_2019!V5</f>
        <v>0</v>
      </c>
      <c r="AM47" s="57">
        <f>[13]January_2019!W5</f>
        <v>0</v>
      </c>
      <c r="AN47" s="57">
        <f>[13]January_2019!X5</f>
        <v>0</v>
      </c>
      <c r="AO47" s="57">
        <f>[13]January_2019!Y5</f>
        <v>0</v>
      </c>
      <c r="AP47" s="57">
        <f>[13]January_2019!Z5</f>
        <v>0</v>
      </c>
      <c r="AQ47" s="57">
        <f>[13]January_2019!AA5</f>
        <v>0</v>
      </c>
      <c r="AR47" s="57">
        <f>[13]January_2019!AB5</f>
        <v>0</v>
      </c>
      <c r="AS47" s="57">
        <f>[13]January_2019!AC5</f>
        <v>0</v>
      </c>
      <c r="AT47" s="57">
        <f>[13]January_2019!AD5</f>
        <v>0</v>
      </c>
      <c r="AU47" s="57">
        <f>[13]January_2019!AE5</f>
        <v>0</v>
      </c>
      <c r="AV47" s="57">
        <f>[13]January_2019!AF5</f>
        <v>0</v>
      </c>
      <c r="AW47" s="57">
        <f>[13]January_2019!AG5</f>
        <v>0</v>
      </c>
      <c r="AX47" s="277">
        <f>[13]January_2019!AH5</f>
        <v>0</v>
      </c>
      <c r="AY47" s="277"/>
      <c r="AZ47" s="277"/>
      <c r="BA47" s="277"/>
      <c r="BB47" s="277"/>
      <c r="BC47" s="277"/>
      <c r="BD47" s="277"/>
      <c r="BE47" s="277"/>
    </row>
    <row r="48" spans="2:57" s="54" customFormat="1" ht="14.25" customHeight="1" thickBot="1">
      <c r="B48" s="480"/>
      <c r="C48" s="479"/>
      <c r="D48" s="442"/>
      <c r="E48" s="443"/>
      <c r="F48" s="444"/>
      <c r="G48" s="445"/>
      <c r="H48" s="458"/>
      <c r="I48" s="458"/>
      <c r="J48" s="476"/>
      <c r="K48" s="449"/>
      <c r="L48" s="457"/>
      <c r="M48" s="455"/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>
        <f>[13]January_2019!L6</f>
        <v>0</v>
      </c>
      <c r="AC48" s="57">
        <f>[13]January_2019!M6</f>
        <v>0</v>
      </c>
      <c r="AD48" s="57">
        <f>[13]January_2019!N6</f>
        <v>0</v>
      </c>
      <c r="AE48" s="57">
        <f>[13]January_2019!O6</f>
        <v>0</v>
      </c>
      <c r="AF48" s="57">
        <f>[13]January_2019!P6</f>
        <v>0</v>
      </c>
      <c r="AG48" s="57">
        <f>[13]January_2019!Q6</f>
        <v>0</v>
      </c>
      <c r="AH48" s="57">
        <f>[13]January_2019!R6</f>
        <v>0</v>
      </c>
      <c r="AI48" s="57">
        <f>[13]January_2019!S6</f>
        <v>0</v>
      </c>
      <c r="AJ48" s="57">
        <f>[13]January_2019!T6</f>
        <v>0</v>
      </c>
      <c r="AK48" s="57">
        <f>[13]January_2019!U6</f>
        <v>0</v>
      </c>
      <c r="AL48" s="57">
        <f>[13]January_2019!V6</f>
        <v>0</v>
      </c>
      <c r="AM48" s="57">
        <f>[13]January_2019!W6</f>
        <v>0</v>
      </c>
      <c r="AN48" s="57">
        <f>[13]January_2019!X6</f>
        <v>0</v>
      </c>
      <c r="AO48" s="57">
        <f>[13]January_2019!Y6</f>
        <v>0</v>
      </c>
      <c r="AP48" s="57">
        <f>[13]January_2019!Z6</f>
        <v>0</v>
      </c>
      <c r="AQ48" s="57">
        <f>[13]January_2019!AA6</f>
        <v>0</v>
      </c>
      <c r="AR48" s="57">
        <f>[13]January_2019!AB6</f>
        <v>0</v>
      </c>
      <c r="AS48" s="57">
        <f>[13]January_2019!AC6</f>
        <v>0</v>
      </c>
      <c r="AT48" s="57">
        <f>[13]January_2019!AD6</f>
        <v>0</v>
      </c>
      <c r="AU48" s="57">
        <f>[13]January_2019!AE6</f>
        <v>0</v>
      </c>
      <c r="AV48" s="57">
        <f>[13]January_2019!AF6</f>
        <v>0</v>
      </c>
      <c r="AW48" s="57">
        <f>[13]January_2019!AG6</f>
        <v>0</v>
      </c>
      <c r="AX48" s="277">
        <f>[13]January_2019!AH6</f>
        <v>0</v>
      </c>
      <c r="AY48" s="277"/>
      <c r="AZ48" s="277"/>
      <c r="BA48" s="277"/>
      <c r="BB48" s="277"/>
      <c r="BC48" s="277"/>
      <c r="BD48" s="277"/>
      <c r="BE48" s="277"/>
    </row>
    <row r="49" spans="1:57" s="54" customFormat="1" ht="37.15" hidden="1" customHeight="1" thickBot="1">
      <c r="A49" s="54" t="s">
        <v>168</v>
      </c>
      <c r="B49" s="480"/>
      <c r="C49" s="479"/>
      <c r="D49" s="442"/>
      <c r="E49" s="443"/>
      <c r="F49" s="444"/>
      <c r="G49" s="445"/>
      <c r="H49" s="458"/>
      <c r="I49" s="458"/>
      <c r="J49" s="448"/>
      <c r="K49" s="449"/>
      <c r="L49" s="457" t="e">
        <f>(((D49+E49)-G49)/(D49+E49))*100</f>
        <v>#DIV/0!</v>
      </c>
      <c r="M49" s="455" t="s">
        <v>174</v>
      </c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[13]January_2019!L7</f>
        <v>285.8</v>
      </c>
      <c r="AC49" s="57">
        <f>[13]January_2019!M7</f>
        <v>508.1</v>
      </c>
      <c r="AD49" s="57">
        <f>[13]January_2019!N7</f>
        <v>0</v>
      </c>
      <c r="AE49" s="57">
        <f>[13]January_2019!O7</f>
        <v>0</v>
      </c>
      <c r="AF49" s="57">
        <f>[13]January_2019!P7</f>
        <v>109.56666666666666</v>
      </c>
      <c r="AG49" s="57">
        <f>[13]January_2019!Q7</f>
        <v>297.64999999999998</v>
      </c>
      <c r="AH49" s="57">
        <f>[13]January_2019!R7</f>
        <v>122.3</v>
      </c>
      <c r="AI49" s="57">
        <f>[13]January_2019!S7</f>
        <v>0</v>
      </c>
      <c r="AJ49" s="57">
        <f>[13]January_2019!T7</f>
        <v>294.7</v>
      </c>
      <c r="AK49" s="57">
        <f>[13]January_2019!U7</f>
        <v>280.5</v>
      </c>
      <c r="AL49" s="57">
        <f>[13]January_2019!V7</f>
        <v>0</v>
      </c>
      <c r="AM49" s="57">
        <f>[13]January_2019!W7</f>
        <v>0</v>
      </c>
      <c r="AN49" s="57">
        <f>[13]January_2019!X7</f>
        <v>188.25</v>
      </c>
      <c r="AO49" s="57">
        <f>[13]January_2019!Y7</f>
        <v>295.7</v>
      </c>
      <c r="AP49" s="57">
        <f>[13]January_2019!Z7</f>
        <v>257.8</v>
      </c>
      <c r="AQ49" s="57">
        <f>[13]January_2019!AA7</f>
        <v>291.2</v>
      </c>
      <c r="AR49" s="57">
        <f>[13]January_2019!AB7</f>
        <v>187</v>
      </c>
      <c r="AS49" s="57">
        <f>[13]January_2019!AC7</f>
        <v>0</v>
      </c>
      <c r="AT49" s="57">
        <f>[13]January_2019!AD7</f>
        <v>0</v>
      </c>
      <c r="AU49" s="57">
        <f>[13]January_2019!AE7</f>
        <v>485.1</v>
      </c>
      <c r="AV49" s="57">
        <f>[13]January_2019!AF7</f>
        <v>171.55</v>
      </c>
      <c r="AW49" s="57">
        <f>[13]January_2019!AG7</f>
        <v>423.8</v>
      </c>
      <c r="AX49" s="277">
        <f>[13]January_2019!AH7</f>
        <v>0</v>
      </c>
      <c r="AY49" s="277"/>
      <c r="AZ49" s="277"/>
      <c r="BA49" s="277"/>
      <c r="BB49" s="277"/>
      <c r="BC49" s="277"/>
      <c r="BD49" s="277"/>
      <c r="BE49" s="277"/>
    </row>
    <row r="50" spans="1:57" s="54" customFormat="1" ht="19.5" hidden="1" customHeight="1" thickBot="1">
      <c r="B50" s="478"/>
      <c r="C50" s="430"/>
      <c r="D50" s="431"/>
      <c r="E50" s="432"/>
      <c r="F50" s="433"/>
      <c r="G50" s="434"/>
      <c r="H50" s="458"/>
      <c r="I50" s="458"/>
      <c r="J50" s="451"/>
      <c r="K50" s="436"/>
      <c r="L50" s="452"/>
      <c r="M50" s="421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1:57" s="54" customFormat="1" ht="38.450000000000003" hidden="1" customHeight="1" thickBot="1">
      <c r="B51" s="486"/>
      <c r="C51" s="479"/>
      <c r="D51" s="442"/>
      <c r="E51" s="443"/>
      <c r="F51" s="444"/>
      <c r="G51" s="445"/>
      <c r="H51" s="458"/>
      <c r="I51" s="458"/>
      <c r="J51" s="448"/>
      <c r="K51" s="459"/>
      <c r="L51" s="457" t="e">
        <f>(((D51+E51)-G51)/(D51+E51))*100</f>
        <v>#DIV/0!</v>
      </c>
      <c r="M51" s="455" t="s">
        <v>203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1:57" s="54" customFormat="1" ht="15" hidden="1">
      <c r="B52" s="453"/>
      <c r="C52" s="430"/>
      <c r="D52" s="431"/>
      <c r="E52" s="432"/>
      <c r="F52" s="433"/>
      <c r="G52" s="434"/>
      <c r="H52" s="435"/>
      <c r="I52" s="450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1:57" s="54" customFormat="1" ht="37.15" hidden="1" customHeight="1" thickBot="1">
      <c r="B53" s="480"/>
      <c r="C53" s="479"/>
      <c r="D53" s="442"/>
      <c r="E53" s="443"/>
      <c r="F53" s="444"/>
      <c r="G53" s="445"/>
      <c r="H53" s="446"/>
      <c r="I53" s="447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1:57" s="54" customFormat="1" ht="16.5" hidden="1" customHeight="1" thickBot="1">
      <c r="B54" s="437"/>
      <c r="C54" s="423"/>
      <c r="D54" s="424"/>
      <c r="E54" s="425"/>
      <c r="F54" s="426"/>
      <c r="G54" s="427"/>
      <c r="H54" s="428"/>
      <c r="I54" s="438"/>
      <c r="J54" s="439"/>
      <c r="K54" s="429"/>
      <c r="L54" s="440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415"/>
      <c r="AR54" s="415"/>
      <c r="AS54" s="415"/>
      <c r="AT54" s="415"/>
      <c r="AU54" s="415"/>
      <c r="AV54" s="415"/>
      <c r="AW54" s="415"/>
    </row>
    <row r="55" spans="1:57" s="54" customFormat="1" ht="37.15" hidden="1" customHeight="1" thickBot="1">
      <c r="B55" s="456"/>
      <c r="C55" s="441"/>
      <c r="D55" s="442"/>
      <c r="E55" s="443"/>
      <c r="F55" s="444"/>
      <c r="G55" s="445"/>
      <c r="H55" s="446"/>
      <c r="I55" s="447"/>
      <c r="J55" s="448"/>
      <c r="K55" s="449"/>
      <c r="L55" s="457"/>
      <c r="M55" s="454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37.15" customHeight="1">
      <c r="B56" s="466"/>
      <c r="C56" s="430"/>
      <c r="D56" s="460"/>
      <c r="E56" s="461"/>
      <c r="F56" s="462"/>
      <c r="G56" s="460"/>
      <c r="H56" s="463"/>
      <c r="I56" s="463"/>
      <c r="J56" s="463"/>
      <c r="K56" s="464"/>
      <c r="L56" s="465"/>
      <c r="M56" s="5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1:57" ht="15.75" thickBot="1">
      <c r="B58" s="556" t="s">
        <v>55</v>
      </c>
      <c r="C58" s="557"/>
      <c r="D58" s="557"/>
      <c r="E58" s="557"/>
      <c r="F58" s="558"/>
      <c r="G58" s="556" t="s">
        <v>56</v>
      </c>
      <c r="H58" s="557"/>
      <c r="I58" s="557"/>
      <c r="J58" s="558"/>
      <c r="K58" s="556" t="s">
        <v>51</v>
      </c>
      <c r="L58" s="557"/>
      <c r="M58" s="557"/>
      <c r="N58" s="559"/>
      <c r="O58" s="56"/>
      <c r="P58" s="50"/>
    </row>
    <row r="59" spans="1:57" ht="15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/>
      <c r="L59" s="62" t="s">
        <v>37</v>
      </c>
      <c r="M59" s="62" t="s">
        <v>38</v>
      </c>
      <c r="N59" s="63" t="s">
        <v>39</v>
      </c>
      <c r="O59" s="56"/>
      <c r="P59" s="64"/>
    </row>
    <row r="60" spans="1:57" ht="15">
      <c r="B60" s="29" t="s">
        <v>6</v>
      </c>
      <c r="C60" s="65"/>
      <c r="D60" s="76">
        <v>6.3686911890504367</v>
      </c>
      <c r="E60" s="76">
        <v>6.7678864245078865</v>
      </c>
      <c r="F60" s="66">
        <v>4.8</v>
      </c>
      <c r="G60" s="65"/>
      <c r="H60" s="477">
        <v>6.5074645341610688</v>
      </c>
      <c r="I60" s="477">
        <v>6.4568115197505245</v>
      </c>
      <c r="J60" s="66">
        <v>4.8</v>
      </c>
      <c r="K60" s="67"/>
      <c r="L60" s="194">
        <v>0.6413700918964077</v>
      </c>
      <c r="M60" s="194">
        <v>0.49781558543270971</v>
      </c>
      <c r="N60" s="68">
        <v>1</v>
      </c>
      <c r="O60" s="56"/>
      <c r="P60" s="69"/>
    </row>
    <row r="61" spans="1:57" ht="15">
      <c r="B61" s="33" t="s">
        <v>9</v>
      </c>
      <c r="C61" s="65"/>
      <c r="D61" s="76">
        <v>5.3600559310183939</v>
      </c>
      <c r="E61" s="76">
        <v>6.1566485581607244</v>
      </c>
      <c r="F61" s="66">
        <v>4.8</v>
      </c>
      <c r="G61" s="65"/>
      <c r="H61" s="76">
        <v>5.469104437126548</v>
      </c>
      <c r="I61" s="76">
        <v>5.5846543828823831</v>
      </c>
      <c r="J61" s="66">
        <v>4.8</v>
      </c>
      <c r="K61" s="67"/>
      <c r="L61" s="194">
        <v>0.61536842105263168</v>
      </c>
      <c r="M61" s="194">
        <v>0.69964380299920681</v>
      </c>
      <c r="N61" s="68">
        <v>1</v>
      </c>
      <c r="P61" s="69"/>
    </row>
    <row r="62" spans="1:57" ht="15">
      <c r="B62" s="34" t="s">
        <v>40</v>
      </c>
      <c r="C62" s="65"/>
      <c r="D62" s="76">
        <v>10.182228066879567</v>
      </c>
      <c r="E62" s="76">
        <v>11.735537190082644</v>
      </c>
      <c r="F62" s="66">
        <v>5.5</v>
      </c>
      <c r="G62" s="65"/>
      <c r="H62" s="76">
        <v>11.362028737847183</v>
      </c>
      <c r="I62" s="76">
        <v>12.769538510720032</v>
      </c>
      <c r="J62" s="66">
        <v>5.5</v>
      </c>
      <c r="K62" s="67"/>
      <c r="L62" s="194">
        <v>0.23824561403508773</v>
      </c>
      <c r="M62" s="194">
        <v>0.26411513157894739</v>
      </c>
      <c r="N62" s="68">
        <v>1</v>
      </c>
      <c r="P62" s="69"/>
    </row>
    <row r="63" spans="1:57" ht="15">
      <c r="B63" s="22" t="s">
        <v>33</v>
      </c>
      <c r="C63" s="65"/>
      <c r="D63" s="76">
        <v>4.8532569792412277</v>
      </c>
      <c r="E63" s="76">
        <v>4.6518562695690884</v>
      </c>
      <c r="F63" s="66">
        <v>3.3</v>
      </c>
      <c r="G63" s="65"/>
      <c r="H63" s="76">
        <v>4.7372529705103688</v>
      </c>
      <c r="I63" s="76">
        <v>4.4089875005606158</v>
      </c>
      <c r="J63" s="66">
        <v>3.3</v>
      </c>
      <c r="K63" s="67"/>
      <c r="L63" s="194">
        <v>0.58298245614035094</v>
      </c>
      <c r="M63" s="194">
        <v>0.74716374269005859</v>
      </c>
      <c r="N63" s="68">
        <v>1</v>
      </c>
      <c r="P63" s="69"/>
    </row>
    <row r="64" spans="1:57" ht="15">
      <c r="B64" s="35" t="s">
        <v>164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 ht="15">
      <c r="B65" s="36" t="s">
        <v>15</v>
      </c>
      <c r="C65" s="76">
        <f>L47</f>
        <v>5.2401746724890881</v>
      </c>
      <c r="D65" s="76">
        <v>5.2401746724890881</v>
      </c>
      <c r="E65" s="76">
        <v>5.1541347251672045</v>
      </c>
      <c r="F65" s="487">
        <v>5.5</v>
      </c>
      <c r="G65" s="282">
        <f>[32]May_2026!$Q$43</f>
        <v>6.6922456038466889</v>
      </c>
      <c r="H65" s="76">
        <v>6.6922456038466889</v>
      </c>
      <c r="I65" s="76">
        <v>7.4989046872874194</v>
      </c>
      <c r="J65" s="66">
        <v>5.5</v>
      </c>
      <c r="K65" s="67">
        <f>K47</f>
        <v>0.68526315789473691</v>
      </c>
      <c r="L65" s="194">
        <v>0.68526315789473691</v>
      </c>
      <c r="M65" s="194">
        <v>1.0201754385964912</v>
      </c>
      <c r="N65" s="68">
        <v>1</v>
      </c>
      <c r="P65" s="69"/>
    </row>
    <row r="66" spans="2:16" ht="15">
      <c r="B66" s="37" t="s">
        <v>16</v>
      </c>
      <c r="C66" s="65"/>
      <c r="D66" s="76"/>
      <c r="E66" s="76">
        <v>3.9654240950837312</v>
      </c>
      <c r="F66" s="66">
        <v>3.3</v>
      </c>
      <c r="G66" s="282"/>
      <c r="H66" s="76"/>
      <c r="I66" s="76">
        <v>4.8236555171494695</v>
      </c>
      <c r="J66" s="66">
        <v>3.3</v>
      </c>
      <c r="K66" s="67"/>
      <c r="L66" s="194"/>
      <c r="M66" s="194">
        <v>0.89457115009746591</v>
      </c>
      <c r="N66" s="71">
        <v>1</v>
      </c>
      <c r="P66" s="69"/>
    </row>
    <row r="67" spans="2:16" ht="15.75" thickBot="1">
      <c r="B67" s="38" t="s">
        <v>163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5.75" thickBot="1">
      <c r="B68" s="414" t="s">
        <v>161</v>
      </c>
      <c r="C68" s="65"/>
      <c r="D68" s="76"/>
      <c r="E68" s="76"/>
      <c r="F68" s="66">
        <v>4.8</v>
      </c>
      <c r="G68" s="282"/>
      <c r="H68" s="76"/>
      <c r="I68" s="76"/>
      <c r="J68" s="66">
        <v>4.8</v>
      </c>
      <c r="K68" s="67"/>
      <c r="L68" s="194"/>
      <c r="M68" s="194"/>
      <c r="N68" s="71">
        <v>1</v>
      </c>
      <c r="O68" s="74"/>
      <c r="P68" s="75"/>
    </row>
    <row r="69" spans="2:16" ht="15">
      <c r="D69" s="76">
        <v>6.3622571849902814</v>
      </c>
      <c r="E69" s="76">
        <v>6.5728097898797895</v>
      </c>
      <c r="F69" s="341">
        <v>5.5</v>
      </c>
      <c r="H69" s="76">
        <v>6.837722261950292</v>
      </c>
      <c r="I69" s="76">
        <v>6.5642510011175563</v>
      </c>
      <c r="J69" s="341">
        <v>5.5</v>
      </c>
      <c r="L69" s="194">
        <v>0.58200894392844871</v>
      </c>
      <c r="M69" s="194">
        <v>0.57279832156147947</v>
      </c>
      <c r="N6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6:N16"/>
    <mergeCell ref="D17:E17"/>
    <mergeCell ref="B18:B29"/>
    <mergeCell ref="D18:E19"/>
    <mergeCell ref="D20:E21"/>
    <mergeCell ref="D22:E23"/>
    <mergeCell ref="D24:E25"/>
    <mergeCell ref="D26:E27"/>
    <mergeCell ref="D28:E29"/>
    <mergeCell ref="B30:B39"/>
    <mergeCell ref="D30:E31"/>
    <mergeCell ref="J30:K30"/>
    <mergeCell ref="L31:N31"/>
    <mergeCell ref="D32:E33"/>
    <mergeCell ref="D34:E35"/>
    <mergeCell ref="D36:E37"/>
    <mergeCell ref="D38:E39"/>
    <mergeCell ref="D40:E40"/>
    <mergeCell ref="B45:B46"/>
    <mergeCell ref="C45:C46"/>
    <mergeCell ref="D45:D46"/>
    <mergeCell ref="E45:E46"/>
    <mergeCell ref="M45:M46"/>
    <mergeCell ref="B58:F58"/>
    <mergeCell ref="G58:J58"/>
    <mergeCell ref="K58:N58"/>
    <mergeCell ref="G45:G46"/>
    <mergeCell ref="H45:H46"/>
    <mergeCell ref="I45:I46"/>
    <mergeCell ref="J45:J46"/>
    <mergeCell ref="K45:K46"/>
    <mergeCell ref="L45:L46"/>
    <mergeCell ref="F45:F46"/>
  </mergeCells>
  <conditionalFormatting sqref="B40:B41">
    <cfRule type="cellIs" dxfId="2034" priority="124" operator="notBetween">
      <formula>#REF!</formula>
      <formula>#REF!</formula>
    </cfRule>
  </conditionalFormatting>
  <conditionalFormatting sqref="C44">
    <cfRule type="cellIs" dxfId="2033" priority="213" stopIfTrue="1" operator="lessThan">
      <formula>96</formula>
    </cfRule>
    <cfRule type="cellIs" dxfId="2032" priority="214" stopIfTrue="1" operator="greaterThan">
      <formula>100</formula>
    </cfRule>
  </conditionalFormatting>
  <conditionalFormatting sqref="C60:C61">
    <cfRule type="cellIs" dxfId="2031" priority="29" stopIfTrue="1" operator="lessThanOrEqual">
      <formula>0</formula>
    </cfRule>
    <cfRule type="cellIs" dxfId="2030" priority="31" stopIfTrue="1" operator="lessThanOrEqual">
      <formula>0</formula>
    </cfRule>
    <cfRule type="cellIs" dxfId="2029" priority="28" stopIfTrue="1" operator="greaterThan">
      <formula>$F60</formula>
    </cfRule>
    <cfRule type="cellIs" dxfId="2028" priority="30" stopIfTrue="1" operator="greaterThan">
      <formula>$F60</formula>
    </cfRule>
  </conditionalFormatting>
  <conditionalFormatting sqref="C62:C64 C66:C68">
    <cfRule type="cellIs" dxfId="2027" priority="90" stopIfTrue="1" operator="greaterThan">
      <formula>$F65</formula>
    </cfRule>
  </conditionalFormatting>
  <conditionalFormatting sqref="C62:C64">
    <cfRule type="cellIs" dxfId="2026" priority="91" stopIfTrue="1" operator="lessThanOrEqual">
      <formula>0</formula>
    </cfRule>
  </conditionalFormatting>
  <conditionalFormatting sqref="C66:C68">
    <cfRule type="cellIs" dxfId="2025" priority="92" stopIfTrue="1" operator="lessThanOrEqual">
      <formula>0</formula>
    </cfRule>
  </conditionalFormatting>
  <conditionalFormatting sqref="C71:C75">
    <cfRule type="cellIs" dxfId="2024" priority="205" stopIfTrue="1" operator="lessThanOrEqual">
      <formula>0</formula>
    </cfRule>
  </conditionalFormatting>
  <conditionalFormatting sqref="C72:C75">
    <cfRule type="cellIs" dxfId="2023" priority="204" stopIfTrue="1" operator="greaterThan">
      <formula>$F$71</formula>
    </cfRule>
  </conditionalFormatting>
  <conditionalFormatting sqref="C77">
    <cfRule type="cellIs" dxfId="2022" priority="206" stopIfTrue="1" operator="greaterThan">
      <formula>$F$71</formula>
    </cfRule>
    <cfRule type="cellIs" dxfId="2021" priority="207" stopIfTrue="1" operator="lessThanOrEqual">
      <formula>0</formula>
    </cfRule>
  </conditionalFormatting>
  <conditionalFormatting sqref="C65:D65">
    <cfRule type="cellIs" dxfId="2020" priority="2" stopIfTrue="1" operator="lessThanOrEqual">
      <formula>0</formula>
    </cfRule>
    <cfRule type="cellIs" dxfId="2019" priority="1" stopIfTrue="1" operator="greaterThan">
      <formula>$J65</formula>
    </cfRule>
  </conditionalFormatting>
  <conditionalFormatting sqref="C71:D71 D73:D79">
    <cfRule type="cellIs" dxfId="2018" priority="199" stopIfTrue="1" operator="greaterThan">
      <formula>4.5</formula>
    </cfRule>
  </conditionalFormatting>
  <conditionalFormatting sqref="D40:D41">
    <cfRule type="cellIs" dxfId="2017" priority="125" operator="notBetween">
      <formula>#REF!</formula>
      <formula>#REF!</formula>
    </cfRule>
  </conditionalFormatting>
  <conditionalFormatting sqref="D60:D64 D66:D67">
    <cfRule type="cellIs" dxfId="2016" priority="82" stopIfTrue="1" operator="lessThanOrEqual">
      <formula>0</formula>
    </cfRule>
  </conditionalFormatting>
  <conditionalFormatting sqref="D60:D64 D66:D69">
    <cfRule type="cellIs" dxfId="2015" priority="65" stopIfTrue="1" operator="lessThanOrEqual">
      <formula>0</formula>
    </cfRule>
  </conditionalFormatting>
  <conditionalFormatting sqref="D68">
    <cfRule type="cellIs" dxfId="2014" priority="81" stopIfTrue="1" operator="lessThanOrEqual">
      <formula>0</formula>
    </cfRule>
  </conditionalFormatting>
  <conditionalFormatting sqref="D69">
    <cfRule type="cellIs" dxfId="2013" priority="78" stopIfTrue="1" operator="lessThanOrEqual">
      <formula>0</formula>
    </cfRule>
  </conditionalFormatting>
  <conditionalFormatting sqref="D71 D73:D79">
    <cfRule type="cellIs" dxfId="2012" priority="200" stopIfTrue="1" operator="lessThanOrEqual">
      <formula>0</formula>
    </cfRule>
  </conditionalFormatting>
  <conditionalFormatting sqref="D72">
    <cfRule type="cellIs" dxfId="2011" priority="192" stopIfTrue="1" operator="lessThanOrEqual">
      <formula>0</formula>
    </cfRule>
    <cfRule type="cellIs" dxfId="2010" priority="191" stopIfTrue="1" operator="greaterThan">
      <formula>$F$71</formula>
    </cfRule>
  </conditionalFormatting>
  <conditionalFormatting sqref="D60:E64 E65 D66:E69">
    <cfRule type="cellIs" dxfId="2009" priority="67" stopIfTrue="1" operator="greaterThan">
      <formula>$F60</formula>
    </cfRule>
  </conditionalFormatting>
  <conditionalFormatting sqref="D69:E69">
    <cfRule type="cellIs" dxfId="2008" priority="69" stopIfTrue="1" operator="lessThanOrEqual">
      <formula>0</formula>
    </cfRule>
  </conditionalFormatting>
  <conditionalFormatting sqref="E10:E15">
    <cfRule type="cellIs" dxfId="2007" priority="9" operator="lessThan">
      <formula>48</formula>
    </cfRule>
  </conditionalFormatting>
  <conditionalFormatting sqref="E43 E44:F44">
    <cfRule type="cellIs" dxfId="2006" priority="196" stopIfTrue="1" operator="greaterThan">
      <formula>100</formula>
    </cfRule>
  </conditionalFormatting>
  <conditionalFormatting sqref="E44">
    <cfRule type="cellIs" dxfId="2005" priority="193" stopIfTrue="1" operator="lessThan">
      <formula>96.8</formula>
    </cfRule>
    <cfRule type="cellIs" dxfId="2004" priority="194" stopIfTrue="1" operator="greaterThan">
      <formula>100</formula>
    </cfRule>
  </conditionalFormatting>
  <conditionalFormatting sqref="E60:E68">
    <cfRule type="cellIs" dxfId="2003" priority="66" stopIfTrue="1" operator="lessThanOrEqual">
      <formula>0</formula>
    </cfRule>
  </conditionalFormatting>
  <conditionalFormatting sqref="E60:E69">
    <cfRule type="cellIs" dxfId="2002" priority="68" stopIfTrue="1" operator="lessThanOrEqual">
      <formula>0</formula>
    </cfRule>
  </conditionalFormatting>
  <conditionalFormatting sqref="E71:E79">
    <cfRule type="cellIs" dxfId="2001" priority="186" stopIfTrue="1" operator="lessThanOrEqual">
      <formula>0</formula>
    </cfRule>
    <cfRule type="cellIs" dxfId="2000" priority="185" stopIfTrue="1" operator="greaterThan">
      <formula>4.5</formula>
    </cfRule>
  </conditionalFormatting>
  <conditionalFormatting sqref="E44:F44 E43">
    <cfRule type="cellIs" dxfId="1999" priority="195" stopIfTrue="1" operator="lessThan">
      <formula>96.5</formula>
    </cfRule>
  </conditionalFormatting>
  <conditionalFormatting sqref="F10:F11 F14:F15">
    <cfRule type="cellIs" dxfId="1998" priority="53" operator="greaterThan">
      <formula>60</formula>
    </cfRule>
  </conditionalFormatting>
  <conditionalFormatting sqref="F44">
    <cfRule type="cellIs" dxfId="1997" priority="211" stopIfTrue="1" operator="lessThan">
      <formula>96.8</formula>
    </cfRule>
    <cfRule type="cellIs" dxfId="1996" priority="212" stopIfTrue="1" operator="greaterThan">
      <formula>100</formula>
    </cfRule>
  </conditionalFormatting>
  <conditionalFormatting sqref="F69">
    <cfRule type="cellIs" dxfId="1995" priority="79" stopIfTrue="1" operator="greaterThan">
      <formula>$F69</formula>
    </cfRule>
    <cfRule type="cellIs" dxfId="1994" priority="80" stopIfTrue="1" operator="lessThanOrEqual">
      <formula>0</formula>
    </cfRule>
  </conditionalFormatting>
  <conditionalFormatting sqref="G10:G15">
    <cfRule type="expression" dxfId="1993" priority="10">
      <formula>IF(+(IF(G10&lt;S10,0,IF(G10&gt;T10,0,1)))=0,1)</formula>
    </cfRule>
  </conditionalFormatting>
  <conditionalFormatting sqref="G60:G61">
    <cfRule type="cellIs" dxfId="1992" priority="83" stopIfTrue="1" operator="greaterThan">
      <formula>$F60</formula>
    </cfRule>
    <cfRule type="cellIs" dxfId="1991" priority="84" stopIfTrue="1" operator="lessThanOrEqual">
      <formula>0</formula>
    </cfRule>
  </conditionalFormatting>
  <conditionalFormatting sqref="G60:G63">
    <cfRule type="cellIs" dxfId="1990" priority="60" stopIfTrue="1" operator="greaterThan">
      <formula>$F60</formula>
    </cfRule>
    <cfRule type="cellIs" dxfId="1989" priority="61" stopIfTrue="1" operator="lessThanOrEqual">
      <formula>0</formula>
    </cfRule>
  </conditionalFormatting>
  <conditionalFormatting sqref="G62">
    <cfRule type="cellIs" dxfId="1988" priority="59" stopIfTrue="1" operator="lessThanOrEqual">
      <formula>0</formula>
    </cfRule>
    <cfRule type="cellIs" dxfId="1987" priority="58" stopIfTrue="1" operator="greaterThan">
      <formula>$F62</formula>
    </cfRule>
  </conditionalFormatting>
  <conditionalFormatting sqref="G63">
    <cfRule type="cellIs" dxfId="1986" priority="73" stopIfTrue="1" operator="greaterThan">
      <formula>$F63</formula>
    </cfRule>
    <cfRule type="cellIs" dxfId="1985" priority="74" stopIfTrue="1" operator="lessThanOrEqual">
      <formula>0</formula>
    </cfRule>
  </conditionalFormatting>
  <conditionalFormatting sqref="G64:G68">
    <cfRule type="cellIs" dxfId="1984" priority="86" stopIfTrue="1" operator="lessThanOrEqual">
      <formula>0</formula>
    </cfRule>
    <cfRule type="cellIs" dxfId="1983" priority="85" stopIfTrue="1" operator="greaterThan">
      <formula>$J64</formula>
    </cfRule>
  </conditionalFormatting>
  <conditionalFormatting sqref="G73:G78 C76 C78">
    <cfRule type="cellIs" dxfId="1982" priority="208" stopIfTrue="1" operator="greaterThan">
      <formula>4.5</formula>
    </cfRule>
    <cfRule type="cellIs" dxfId="1981" priority="209" stopIfTrue="1" operator="lessThanOrEqual">
      <formula>0</formula>
    </cfRule>
  </conditionalFormatting>
  <conditionalFormatting sqref="G72:H72">
    <cfRule type="cellIs" dxfId="1980" priority="190" stopIfTrue="1" operator="lessThanOrEqual">
      <formula>0</formula>
    </cfRule>
    <cfRule type="cellIs" dxfId="1979" priority="189" stopIfTrue="1" operator="greaterThan">
      <formula>$F$71</formula>
    </cfRule>
  </conditionalFormatting>
  <conditionalFormatting sqref="H10:H15">
    <cfRule type="expression" dxfId="1978" priority="13">
      <formula>IF(+(IF(H10&lt;#REF!,0,IF(H10&gt;#REF!,0,1)))=0,1)</formula>
    </cfRule>
  </conditionalFormatting>
  <conditionalFormatting sqref="H29:H30 H43">
    <cfRule type="cellIs" dxfId="1977" priority="187" stopIfTrue="1" operator="greaterThan">
      <formula>0</formula>
    </cfRule>
  </conditionalFormatting>
  <conditionalFormatting sqref="H47">
    <cfRule type="cellIs" dxfId="1976" priority="27" stopIfTrue="1" operator="lessThanOrEqual">
      <formula>0</formula>
    </cfRule>
    <cfRule type="cellIs" dxfId="1975" priority="24" stopIfTrue="1" operator="greaterThan">
      <formula>$F$70</formula>
    </cfRule>
    <cfRule type="cellIs" dxfId="1974" priority="25" stopIfTrue="1" operator="lessThanOrEqual">
      <formula>0</formula>
    </cfRule>
    <cfRule type="cellIs" dxfId="1973" priority="15" stopIfTrue="1" operator="lessThanOrEqual">
      <formula>0</formula>
    </cfRule>
    <cfRule type="cellIs" dxfId="1972" priority="16" stopIfTrue="1" operator="greaterThan">
      <formula>$F$67</formula>
    </cfRule>
    <cfRule type="cellIs" dxfId="1971" priority="26" stopIfTrue="1" operator="greaterThan">
      <formula>$F$68</formula>
    </cfRule>
  </conditionalFormatting>
  <conditionalFormatting sqref="H48:H49">
    <cfRule type="cellIs" dxfId="1970" priority="94" stopIfTrue="1" operator="lessThanOrEqual">
      <formula>0</formula>
    </cfRule>
    <cfRule type="cellIs" dxfId="1969" priority="105" stopIfTrue="1" operator="greaterThan">
      <formula>$F$61</formula>
    </cfRule>
    <cfRule type="cellIs" dxfId="1968" priority="104" stopIfTrue="1" operator="lessThanOrEqual">
      <formula>0</formula>
    </cfRule>
    <cfRule type="cellIs" dxfId="1967" priority="95" stopIfTrue="1" operator="greaterThan">
      <formula>$F$60</formula>
    </cfRule>
    <cfRule type="cellIs" dxfId="1966" priority="103" stopIfTrue="1" operator="greaterThan">
      <formula>$F$63</formula>
    </cfRule>
  </conditionalFormatting>
  <conditionalFormatting sqref="H48:H51">
    <cfRule type="cellIs" dxfId="1965" priority="106" stopIfTrue="1" operator="lessThanOrEqual">
      <formula>0</formula>
    </cfRule>
  </conditionalFormatting>
  <conditionalFormatting sqref="H50:H51">
    <cfRule type="cellIs" dxfId="1964" priority="119" stopIfTrue="1" operator="lessThanOrEqual">
      <formula>0</formula>
    </cfRule>
    <cfRule type="cellIs" dxfId="1963" priority="110" stopIfTrue="1" operator="greaterThan">
      <formula>$F$60</formula>
    </cfRule>
    <cfRule type="cellIs" dxfId="1962" priority="118" stopIfTrue="1" operator="greaterThan">
      <formula>$F$63</formula>
    </cfRule>
    <cfRule type="cellIs" dxfId="1961" priority="121" stopIfTrue="1" operator="lessThanOrEqual">
      <formula>0</formula>
    </cfRule>
    <cfRule type="cellIs" dxfId="1960" priority="120" stopIfTrue="1" operator="greaterThan">
      <formula>$F$61</formula>
    </cfRule>
  </conditionalFormatting>
  <conditionalFormatting sqref="H52:H53">
    <cfRule type="cellIs" dxfId="1959" priority="158" stopIfTrue="1" operator="greaterThan">
      <formula>$F$15</formula>
    </cfRule>
    <cfRule type="cellIs" dxfId="1958" priority="159" stopIfTrue="1" operator="lessThanOrEqual">
      <formula>0</formula>
    </cfRule>
    <cfRule type="cellIs" dxfId="1957" priority="160" stopIfTrue="1" operator="greaterThan">
      <formula>#REF!</formula>
    </cfRule>
    <cfRule type="cellIs" dxfId="1956" priority="161" stopIfTrue="1" operator="lessThanOrEqual">
      <formula>0</formula>
    </cfRule>
    <cfRule type="cellIs" dxfId="1955" priority="150" stopIfTrue="1" operator="greaterThan">
      <formula>#REF!</formula>
    </cfRule>
    <cfRule type="cellIs" dxfId="1954" priority="149" stopIfTrue="1" operator="lessThanOrEqual">
      <formula>0</formula>
    </cfRule>
  </conditionalFormatting>
  <conditionalFormatting sqref="H54">
    <cfRule type="cellIs" dxfId="1953" priority="172" stopIfTrue="1" operator="greaterThan">
      <formula>$F$31</formula>
    </cfRule>
    <cfRule type="cellIs" dxfId="1952" priority="163" stopIfTrue="1" operator="lessThanOrEqual">
      <formula>0</formula>
    </cfRule>
    <cfRule type="cellIs" dxfId="1951" priority="164" stopIfTrue="1" operator="greaterThan">
      <formula>$F$28</formula>
    </cfRule>
    <cfRule type="cellIs" dxfId="1950" priority="175" stopIfTrue="1" operator="lessThanOrEqual">
      <formula>0</formula>
    </cfRule>
    <cfRule type="cellIs" dxfId="1949" priority="174" stopIfTrue="1" operator="greaterThan">
      <formula>$F$29</formula>
    </cfRule>
    <cfRule type="cellIs" dxfId="1948" priority="173" stopIfTrue="1" operator="lessThanOrEqual">
      <formula>0</formula>
    </cfRule>
  </conditionalFormatting>
  <conditionalFormatting sqref="H55:H56">
    <cfRule type="cellIs" dxfId="1947" priority="144" stopIfTrue="1" operator="greaterThan">
      <formula>$F$15</formula>
    </cfRule>
    <cfRule type="cellIs" dxfId="1946" priority="136" stopIfTrue="1" operator="greaterThan">
      <formula>#REF!</formula>
    </cfRule>
    <cfRule type="cellIs" dxfId="1945" priority="145" stopIfTrue="1" operator="lessThanOrEqual">
      <formula>0</formula>
    </cfRule>
    <cfRule type="cellIs" dxfId="1944" priority="147" stopIfTrue="1" operator="lessThanOrEqual">
      <formula>0</formula>
    </cfRule>
    <cfRule type="cellIs" dxfId="1943" priority="135" stopIfTrue="1" operator="lessThanOrEqual">
      <formula>0</formula>
    </cfRule>
    <cfRule type="cellIs" dxfId="1942" priority="146" stopIfTrue="1" operator="greaterThan">
      <formula>#REF!</formula>
    </cfRule>
  </conditionalFormatting>
  <conditionalFormatting sqref="H71 H73:H79">
    <cfRule type="cellIs" dxfId="1941" priority="201" stopIfTrue="1" operator="greaterThan">
      <formula>4.5</formula>
    </cfRule>
    <cfRule type="cellIs" dxfId="1940" priority="202" stopIfTrue="1" operator="lessThanOrEqual">
      <formula>0</formula>
    </cfRule>
  </conditionalFormatting>
  <conditionalFormatting sqref="H47:I47">
    <cfRule type="cellIs" dxfId="1939" priority="17" stopIfTrue="1" operator="lessThanOrEqual">
      <formula>0</formula>
    </cfRule>
    <cfRule type="cellIs" dxfId="1938" priority="14" stopIfTrue="1" operator="greaterThan">
      <formula>$F$69</formula>
    </cfRule>
  </conditionalFormatting>
  <conditionalFormatting sqref="H48:I49">
    <cfRule type="cellIs" dxfId="1937" priority="96" stopIfTrue="1" operator="lessThanOrEqual">
      <formula>0</formula>
    </cfRule>
  </conditionalFormatting>
  <conditionalFormatting sqref="H48:I51">
    <cfRule type="cellIs" dxfId="1936" priority="93" stopIfTrue="1" operator="greaterThan">
      <formula>$F$62</formula>
    </cfRule>
  </conditionalFormatting>
  <conditionalFormatting sqref="H50:I51">
    <cfRule type="cellIs" dxfId="1935" priority="111" stopIfTrue="1" operator="lessThanOrEqual">
      <formula>0</formula>
    </cfRule>
  </conditionalFormatting>
  <conditionalFormatting sqref="H52:I53">
    <cfRule type="cellIs" dxfId="1934" priority="148" stopIfTrue="1" operator="greaterThan">
      <formula>#REF!</formula>
    </cfRule>
    <cfRule type="cellIs" dxfId="1933" priority="151" stopIfTrue="1" operator="lessThanOrEqual">
      <formula>0</formula>
    </cfRule>
  </conditionalFormatting>
  <conditionalFormatting sqref="H54:I54">
    <cfRule type="cellIs" dxfId="1932" priority="162" stopIfTrue="1" operator="greaterThan">
      <formula>$F$30</formula>
    </cfRule>
    <cfRule type="cellIs" dxfId="1931" priority="165" stopIfTrue="1" operator="lessThanOrEqual">
      <formula>0</formula>
    </cfRule>
  </conditionalFormatting>
  <conditionalFormatting sqref="H55:I56">
    <cfRule type="cellIs" dxfId="1930" priority="134" stopIfTrue="1" operator="greaterThan">
      <formula>#REF!</formula>
    </cfRule>
    <cfRule type="cellIs" dxfId="1929" priority="137" stopIfTrue="1" operator="lessThanOrEqual">
      <formula>0</formula>
    </cfRule>
  </conditionalFormatting>
  <conditionalFormatting sqref="H60:I67">
    <cfRule type="cellIs" dxfId="1928" priority="64" stopIfTrue="1" operator="lessThanOrEqual">
      <formula>0</formula>
    </cfRule>
    <cfRule type="cellIs" dxfId="1927" priority="63" stopIfTrue="1" operator="greaterThan">
      <formula>$J60</formula>
    </cfRule>
  </conditionalFormatting>
  <conditionalFormatting sqref="H68:I68">
    <cfRule type="cellIs" dxfId="1926" priority="72" operator="greaterThan">
      <formula>5.3</formula>
    </cfRule>
  </conditionalFormatting>
  <conditionalFormatting sqref="H69:I69">
    <cfRule type="cellIs" dxfId="1925" priority="71" stopIfTrue="1" operator="lessThanOrEqual">
      <formula>0</formula>
    </cfRule>
    <cfRule type="cellIs" dxfId="1924" priority="70" stopIfTrue="1" operator="greaterThan">
      <formula>$J69</formula>
    </cfRule>
  </conditionalFormatting>
  <conditionalFormatting sqref="I47">
    <cfRule type="cellIs" dxfId="1923" priority="22" stopIfTrue="1" operator="greaterThan">
      <formula>$F$67</formula>
    </cfRule>
    <cfRule type="cellIs" dxfId="1922" priority="20" stopIfTrue="1" operator="greaterThan">
      <formula>$F$69</formula>
    </cfRule>
    <cfRule type="cellIs" dxfId="1921" priority="21" stopIfTrue="1" operator="lessThanOrEqual">
      <formula>0</formula>
    </cfRule>
    <cfRule type="cellIs" dxfId="1920" priority="19" stopIfTrue="1" operator="lessThanOrEqual">
      <formula>0</formula>
    </cfRule>
    <cfRule type="cellIs" dxfId="1919" priority="23" stopIfTrue="1" operator="lessThanOrEqual">
      <formula>0</formula>
    </cfRule>
    <cfRule type="cellIs" dxfId="1918" priority="18" stopIfTrue="1" operator="greaterThan">
      <formula>$F$67</formula>
    </cfRule>
  </conditionalFormatting>
  <conditionalFormatting sqref="I48:I49">
    <cfRule type="cellIs" dxfId="1917" priority="97" stopIfTrue="1" operator="greaterThan">
      <formula>$F$60</formula>
    </cfRule>
    <cfRule type="cellIs" dxfId="1916" priority="102" stopIfTrue="1" operator="lessThanOrEqual">
      <formula>0</formula>
    </cfRule>
    <cfRule type="cellIs" dxfId="1915" priority="101" stopIfTrue="1" operator="greaterThan">
      <formula>$F$60</formula>
    </cfRule>
    <cfRule type="cellIs" dxfId="1914" priority="100" stopIfTrue="1" operator="lessThanOrEqual">
      <formula>0</formula>
    </cfRule>
    <cfRule type="cellIs" dxfId="1913" priority="99" stopIfTrue="1" operator="greaterThan">
      <formula>$F$62</formula>
    </cfRule>
    <cfRule type="cellIs" dxfId="1912" priority="98" stopIfTrue="1" operator="lessThanOrEqual">
      <formula>0</formula>
    </cfRule>
  </conditionalFormatting>
  <conditionalFormatting sqref="I50:I51">
    <cfRule type="cellIs" dxfId="1911" priority="116" stopIfTrue="1" operator="greaterThan">
      <formula>$F$60</formula>
    </cfRule>
    <cfRule type="cellIs" dxfId="1910" priority="115" stopIfTrue="1" operator="lessThanOrEqual">
      <formula>0</formula>
    </cfRule>
    <cfRule type="cellIs" dxfId="1909" priority="114" stopIfTrue="1" operator="greaterThan">
      <formula>$F$62</formula>
    </cfRule>
    <cfRule type="cellIs" dxfId="1908" priority="117" stopIfTrue="1" operator="lessThanOrEqual">
      <formula>0</formula>
    </cfRule>
    <cfRule type="cellIs" dxfId="1907" priority="113" stopIfTrue="1" operator="lessThanOrEqual">
      <formula>0</formula>
    </cfRule>
    <cfRule type="cellIs" dxfId="1906" priority="112" stopIfTrue="1" operator="greaterThan">
      <formula>$F$60</formula>
    </cfRule>
  </conditionalFormatting>
  <conditionalFormatting sqref="I52:I53">
    <cfRule type="cellIs" dxfId="1905" priority="153" stopIfTrue="1" operator="lessThanOrEqual">
      <formula>0</formula>
    </cfRule>
    <cfRule type="cellIs" dxfId="1904" priority="152" stopIfTrue="1" operator="greaterThan">
      <formula>#REF!</formula>
    </cfRule>
    <cfRule type="cellIs" dxfId="1903" priority="154" stopIfTrue="1" operator="greaterThan">
      <formula>#REF!</formula>
    </cfRule>
    <cfRule type="cellIs" dxfId="1902" priority="155" stopIfTrue="1" operator="lessThanOrEqual">
      <formula>0</formula>
    </cfRule>
    <cfRule type="cellIs" dxfId="1901" priority="156" stopIfTrue="1" operator="greaterThan">
      <formula>#REF!</formula>
    </cfRule>
    <cfRule type="cellIs" dxfId="1900" priority="157" stopIfTrue="1" operator="lessThanOrEqual">
      <formula>0</formula>
    </cfRule>
  </conditionalFormatting>
  <conditionalFormatting sqref="I54">
    <cfRule type="cellIs" dxfId="1899" priority="170" stopIfTrue="1" operator="greaterThan">
      <formula>$F$28</formula>
    </cfRule>
    <cfRule type="cellIs" dxfId="1898" priority="171" stopIfTrue="1" operator="lessThanOrEqual">
      <formula>0</formula>
    </cfRule>
    <cfRule type="cellIs" dxfId="1897" priority="168" stopIfTrue="1" operator="greaterThan">
      <formula>$F$30</formula>
    </cfRule>
    <cfRule type="cellIs" dxfId="1896" priority="166" stopIfTrue="1" operator="greaterThan">
      <formula>$F$28</formula>
    </cfRule>
    <cfRule type="cellIs" dxfId="1895" priority="167" stopIfTrue="1" operator="lessThanOrEqual">
      <formula>0</formula>
    </cfRule>
    <cfRule type="cellIs" dxfId="1894" priority="169" stopIfTrue="1" operator="lessThanOrEqual">
      <formula>0</formula>
    </cfRule>
  </conditionalFormatting>
  <conditionalFormatting sqref="I55:I56">
    <cfRule type="cellIs" dxfId="1893" priority="141" stopIfTrue="1" operator="lessThanOrEqual">
      <formula>0</formula>
    </cfRule>
    <cfRule type="cellIs" dxfId="1892" priority="140" stopIfTrue="1" operator="greaterThan">
      <formula>#REF!</formula>
    </cfRule>
    <cfRule type="cellIs" dxfId="1891" priority="139" stopIfTrue="1" operator="lessThanOrEqual">
      <formula>0</formula>
    </cfRule>
    <cfRule type="cellIs" dxfId="1890" priority="143" stopIfTrue="1" operator="lessThanOrEqual">
      <formula>0</formula>
    </cfRule>
    <cfRule type="cellIs" dxfId="1889" priority="138" stopIfTrue="1" operator="greaterThan">
      <formula>#REF!</formula>
    </cfRule>
    <cfRule type="cellIs" dxfId="1888" priority="142" stopIfTrue="1" operator="greaterThan">
      <formula>#REF!</formula>
    </cfRule>
  </conditionalFormatting>
  <conditionalFormatting sqref="I71:I79">
    <cfRule type="cellIs" dxfId="1887" priority="197" stopIfTrue="1" operator="greaterThan">
      <formula>4.5</formula>
    </cfRule>
    <cfRule type="cellIs" dxfId="1886" priority="198" stopIfTrue="1" operator="lessThanOrEqual">
      <formula>0</formula>
    </cfRule>
  </conditionalFormatting>
  <conditionalFormatting sqref="I10:J15">
    <cfRule type="cellIs" dxfId="1885" priority="3" operator="lessThan">
      <formula>97.9</formula>
    </cfRule>
  </conditionalFormatting>
  <conditionalFormatting sqref="J18:J19">
    <cfRule type="cellIs" dxfId="1884" priority="108" operator="lessThan">
      <formula>97.95</formula>
    </cfRule>
  </conditionalFormatting>
  <conditionalFormatting sqref="J20">
    <cfRule type="cellIs" dxfId="1883" priority="179" operator="lessThan">
      <formula>98</formula>
    </cfRule>
    <cfRule type="cellIs" dxfId="1882" priority="177" stopIfTrue="1" operator="lessThan">
      <formula>96.8</formula>
    </cfRule>
    <cfRule type="cellIs" dxfId="1881" priority="178" stopIfTrue="1" operator="greaterThan">
      <formula>100</formula>
    </cfRule>
  </conditionalFormatting>
  <conditionalFormatting sqref="J20:J22">
    <cfRule type="cellIs" dxfId="1880" priority="176" operator="lessThan">
      <formula>97.4</formula>
    </cfRule>
  </conditionalFormatting>
  <conditionalFormatting sqref="J23:J24">
    <cfRule type="cellIs" dxfId="1879" priority="180" operator="lessThan">
      <formula>98</formula>
    </cfRule>
  </conditionalFormatting>
  <conditionalFormatting sqref="J25:J26">
    <cfRule type="cellIs" dxfId="1878" priority="181" stopIfTrue="1" operator="lessThan">
      <formula>96.8</formula>
    </cfRule>
    <cfRule type="cellIs" dxfId="1877" priority="182" stopIfTrue="1" operator="greaterThan">
      <formula>100</formula>
    </cfRule>
  </conditionalFormatting>
  <conditionalFormatting sqref="J25:J27">
    <cfRule type="cellIs" dxfId="1876" priority="183" operator="lessThan">
      <formula>98</formula>
    </cfRule>
  </conditionalFormatting>
  <conditionalFormatting sqref="J56">
    <cfRule type="cellIs" dxfId="1875" priority="126" stopIfTrue="1" operator="greaterThan">
      <formula>#REF!</formula>
    </cfRule>
    <cfRule type="cellIs" dxfId="1874" priority="131" stopIfTrue="1" operator="lessThanOrEqual">
      <formula>0</formula>
    </cfRule>
    <cfRule type="cellIs" dxfId="1873" priority="130" stopIfTrue="1" operator="greaterThan">
      <formula>#REF!</formula>
    </cfRule>
    <cfRule type="cellIs" dxfId="1872" priority="129" stopIfTrue="1" operator="lessThanOrEqual">
      <formula>0</formula>
    </cfRule>
    <cfRule type="cellIs" dxfId="1871" priority="128" stopIfTrue="1" operator="greaterThan">
      <formula>#REF!</formula>
    </cfRule>
    <cfRule type="cellIs" dxfId="1870" priority="127" stopIfTrue="1" operator="lessThanOrEqual">
      <formula>0</formula>
    </cfRule>
    <cfRule type="cellIs" dxfId="1869" priority="133" stopIfTrue="1" operator="lessThanOrEqual">
      <formula>0</formula>
    </cfRule>
    <cfRule type="cellIs" dxfId="1868" priority="132" stopIfTrue="1" operator="greaterThan">
      <formula>#REF!</formula>
    </cfRule>
  </conditionalFormatting>
  <conditionalFormatting sqref="J69">
    <cfRule type="cellIs" dxfId="1867" priority="75" stopIfTrue="1" operator="greaterThan">
      <formula>$F69</formula>
    </cfRule>
    <cfRule type="cellIs" dxfId="1866" priority="76" stopIfTrue="1" operator="lessThanOrEqual">
      <formula>0</formula>
    </cfRule>
  </conditionalFormatting>
  <conditionalFormatting sqref="K10:K15">
    <cfRule type="cellIs" dxfId="1865" priority="5" operator="lessThan">
      <formula>4</formula>
    </cfRule>
    <cfRule type="cellIs" dxfId="1864" priority="4" operator="greaterThan">
      <formula>6</formula>
    </cfRule>
    <cfRule type="cellIs" dxfId="1863" priority="6" operator="greaterThan">
      <formula>6.4</formula>
    </cfRule>
  </conditionalFormatting>
  <conditionalFormatting sqref="K47:K56">
    <cfRule type="cellIs" dxfId="1862" priority="107" stopIfTrue="1" operator="lessThan">
      <formula>100%</formula>
    </cfRule>
  </conditionalFormatting>
  <conditionalFormatting sqref="K71:K76">
    <cfRule type="cellIs" dxfId="1861" priority="203" stopIfTrue="1" operator="lessThan">
      <formula>100%</formula>
    </cfRule>
  </conditionalFormatting>
  <conditionalFormatting sqref="K78:K79">
    <cfRule type="cellIs" dxfId="1860" priority="210" stopIfTrue="1" operator="lessThan">
      <formula>100%</formula>
    </cfRule>
  </conditionalFormatting>
  <conditionalFormatting sqref="K60:M68">
    <cfRule type="cellIs" dxfId="1859" priority="62" stopIfTrue="1" operator="lessThan">
      <formula>100%</formula>
    </cfRule>
  </conditionalFormatting>
  <conditionalFormatting sqref="L10:L15">
    <cfRule type="cellIs" dxfId="1858" priority="7" operator="between">
      <formula>61</formula>
      <formula>65</formula>
    </cfRule>
    <cfRule type="cellIs" dxfId="1857" priority="8" operator="greaterThan">
      <formula>65</formula>
    </cfRule>
  </conditionalFormatting>
  <conditionalFormatting sqref="L18:M29">
    <cfRule type="cellIs" dxfId="1856" priority="123" operator="lessThan">
      <formula>97.95</formula>
    </cfRule>
  </conditionalFormatting>
  <conditionalFormatting sqref="L69:M69">
    <cfRule type="cellIs" dxfId="1855" priority="77" stopIfTrue="1" operator="lessThan">
      <formula>100%</formula>
    </cfRule>
  </conditionalFormatting>
  <conditionalFormatting sqref="L33:N33">
    <cfRule type="cellIs" dxfId="1854" priority="57" operator="notEqual">
      <formula>#REF!</formula>
    </cfRule>
  </conditionalFormatting>
  <conditionalFormatting sqref="L71:N79">
    <cfRule type="cellIs" dxfId="1853" priority="188" stopIfTrue="1" operator="lessThan">
      <formula>100%</formula>
    </cfRule>
  </conditionalFormatting>
  <conditionalFormatting sqref="M10:M13">
    <cfRule type="expression" dxfId="1852" priority="12">
      <formula>IF(+(IF(M10&lt;U10,0,IF(M10&gt;V10,0,1)))=0,1)</formula>
    </cfRule>
  </conditionalFormatting>
  <conditionalFormatting sqref="M14:N15">
    <cfRule type="expression" dxfId="1851" priority="122">
      <formula>IF(+(IF(M14&lt;#REF!,0,IF(M14&gt;#REF!,0,1)))=0,1)</formula>
    </cfRule>
  </conditionalFormatting>
  <conditionalFormatting sqref="N10:N13">
    <cfRule type="expression" dxfId="1850" priority="11">
      <formula>IF(+(IF(N10&lt;W10,0,IF(N10&gt;X10,0,1)))=0,1)</formula>
    </cfRule>
  </conditionalFormatting>
  <conditionalFormatting sqref="N60:N69">
    <cfRule type="cellIs" dxfId="1849" priority="87" stopIfTrue="1" operator="lessThan">
      <formula>100%</formula>
    </cfRule>
  </conditionalFormatting>
  <conditionalFormatting sqref="P6">
    <cfRule type="cellIs" dxfId="1848" priority="184" operator="greaterThanOrEqual">
      <formula>19</formula>
    </cfRule>
  </conditionalFormatting>
  <dataValidations count="1">
    <dataValidation type="list" allowBlank="1" showInputMessage="1" showErrorMessage="1" sqref="R8" xr:uid="{552CB211-B2E8-44B9-BC96-937257B7B92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65CB-3FF8-460D-BB86-1BB7BFFE1DC5}">
  <sheetPr>
    <pageSetUpPr fitToPage="1"/>
  </sheetPr>
  <dimension ref="A1:BE71"/>
  <sheetViews>
    <sheetView topLeftCell="A3" zoomScale="70" zoomScaleNormal="70" workbookViewId="0">
      <selection activeCell="B15" sqref="B15:O1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46160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65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95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7" t="s">
        <v>16</v>
      </c>
      <c r="C10" s="366" t="str">
        <f>[8]Brewhouse!$A55</f>
        <v>SM047</v>
      </c>
      <c r="D10" s="279">
        <f>[8]Brewhouse!$AH55</f>
        <v>53.1</v>
      </c>
      <c r="E10" s="279">
        <f>[8]Brewhouse!$AM55</f>
        <v>51.3</v>
      </c>
      <c r="F10" s="278">
        <f>[8]Brewhouse!$Z55</f>
        <v>62</v>
      </c>
      <c r="G10" s="279">
        <f>[8]Brewhouse!$AK55</f>
        <v>17.100000000000001</v>
      </c>
      <c r="H10" s="396"/>
      <c r="I10" s="368">
        <f>[8]Brewhouse!$AY55</f>
        <v>96.903024614311789</v>
      </c>
      <c r="J10" s="368">
        <f>[8]Brewhouse!$AZ55</f>
        <v>97.39890892554439</v>
      </c>
      <c r="K10" s="281">
        <f>[8]Brewhouse!$U55</f>
        <v>9.5668549905838152</v>
      </c>
      <c r="L10" s="276">
        <f>[8]Brewhouse!$T55</f>
        <v>60</v>
      </c>
      <c r="M10" s="374">
        <f>[8]Brewhouse!$Y55-[8]Brewhouse!$X55</f>
        <v>0.1347222222222223</v>
      </c>
      <c r="N10" s="370">
        <f>[8]Brewhouse!$AD55</f>
        <v>0.29097222222222224</v>
      </c>
      <c r="O10" s="371" t="str">
        <f>[8]Brewhouse!$BC55</f>
        <v>D. Gomaz</v>
      </c>
      <c r="P10" s="418"/>
      <c r="R10" s="277" t="str">
        <f t="shared" ref="R10:R14" si="0">B10</f>
        <v>STARMALT</v>
      </c>
      <c r="S10" s="472">
        <f t="shared" ref="S10:S14" si="1">VLOOKUP($B10,$R$3:$X$9,2,FALSE)</f>
        <v>17</v>
      </c>
      <c r="T10" s="472">
        <f t="shared" ref="T10:T14" si="2">VLOOKUP($B10,$R$3:$X$9,3,FALSE)</f>
        <v>17.399999999999999</v>
      </c>
      <c r="U10" s="297">
        <f t="shared" ref="U10:U14" si="3">VLOOKUP($B10,$R$3:$X$9,4,FALSE)</f>
        <v>0</v>
      </c>
      <c r="V10" s="297">
        <f t="shared" ref="V10:V14" si="4">VLOOKUP($B10,$R$3:$X$9,5,FALSE)</f>
        <v>0.13605324074074074</v>
      </c>
      <c r="W10" s="297">
        <f t="shared" ref="W10:W14" si="5">VLOOKUP($B10,$R$3:$X$9,6,FALSE)</f>
        <v>0.27430555555555552</v>
      </c>
      <c r="X10" s="297">
        <f t="shared" ref="X10:X14" si="6">VLOOKUP($B10,$R$3:$X$9,7,FALSE)</f>
        <v>0.30902777777777779</v>
      </c>
      <c r="Y10" s="297">
        <f t="shared" ref="Y10:Y14" si="7">VLOOKUP($B10,$R$3:$Z$9,8,FALSE)</f>
        <v>0</v>
      </c>
      <c r="Z10" s="472">
        <f t="shared" ref="Z10:Z14" si="8">VLOOKUP($B10,$R$3:$Z$9,9,FALSE)</f>
        <v>85</v>
      </c>
    </row>
    <row r="11" spans="2:29" ht="15">
      <c r="B11" s="37" t="s">
        <v>16</v>
      </c>
      <c r="C11" s="366" t="str">
        <f>[8]Brewhouse!$A56</f>
        <v>SM048</v>
      </c>
      <c r="D11" s="279">
        <f>[8]Brewhouse!$AH56</f>
        <v>53.1</v>
      </c>
      <c r="E11" s="279">
        <f>[8]Brewhouse!$AM56</f>
        <v>53.2</v>
      </c>
      <c r="F11" s="278">
        <f>[8]Brewhouse!$Z56</f>
        <v>79</v>
      </c>
      <c r="G11" s="279">
        <f>[8]Brewhouse!$AK56</f>
        <v>17</v>
      </c>
      <c r="H11" s="396"/>
      <c r="I11" s="368">
        <f>[8]Brewhouse!$AY56</f>
        <v>99.751161565178876</v>
      </c>
      <c r="J11" s="368">
        <f>[8]Brewhouse!$AZ56</f>
        <v>100.26210319277449</v>
      </c>
      <c r="K11" s="281">
        <f>[8]Brewhouse!$U56</f>
        <v>6.9303201506591456</v>
      </c>
      <c r="L11" s="276">
        <f>[8]Brewhouse!$T56</f>
        <v>59</v>
      </c>
      <c r="M11" s="374">
        <f>[8]Brewhouse!$Y56-[8]Brewhouse!$X56</f>
        <v>0.14722222222222214</v>
      </c>
      <c r="N11" s="370">
        <f>[8]Brewhouse!$AD56</f>
        <v>0.31319444444444439</v>
      </c>
      <c r="O11" s="371" t="str">
        <f>[8]Brewhouse!$BC56</f>
        <v>D. Gomaz</v>
      </c>
      <c r="P11" s="418"/>
      <c r="R11" s="277" t="str">
        <f t="shared" si="0"/>
        <v>STARMALT</v>
      </c>
      <c r="S11" s="472">
        <f t="shared" si="1"/>
        <v>17</v>
      </c>
      <c r="T11" s="472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2">
        <f t="shared" si="8"/>
        <v>85</v>
      </c>
    </row>
    <row r="12" spans="2:29" ht="15">
      <c r="B12" s="37" t="s">
        <v>16</v>
      </c>
      <c r="C12" s="366" t="str">
        <f>[8]Brewhouse!$A57</f>
        <v>SM049</v>
      </c>
      <c r="D12" s="279">
        <f>[8]Brewhouse!$AH57</f>
        <v>53.1</v>
      </c>
      <c r="E12" s="279">
        <f>[8]Brewhouse!$AM57</f>
        <v>51.83</v>
      </c>
      <c r="F12" s="278">
        <f>[8]Brewhouse!$Z57</f>
        <v>92</v>
      </c>
      <c r="G12" s="279">
        <f>[8]Brewhouse!$AK57</f>
        <v>17</v>
      </c>
      <c r="H12" s="396"/>
      <c r="I12" s="368">
        <f>[8]Brewhouse!$AY57</f>
        <v>96.946934866926995</v>
      </c>
      <c r="J12" s="368">
        <f>[8]Brewhouse!$AZ57</f>
        <v>97.444915001417044</v>
      </c>
      <c r="K12" s="281">
        <f>[8]Brewhouse!$U57</f>
        <v>7.1186440677966116</v>
      </c>
      <c r="L12" s="276">
        <f>[8]Brewhouse!$T57</f>
        <v>60</v>
      </c>
      <c r="M12" s="374">
        <f>[8]Brewhouse!$Y57-[8]Brewhouse!$X57</f>
        <v>0.15555555555555556</v>
      </c>
      <c r="N12" s="370">
        <f>[8]Brewhouse!$AD57</f>
        <v>0.32986111111111105</v>
      </c>
      <c r="O12" s="371" t="str">
        <f>[8]Brewhouse!$BC57</f>
        <v>D. Gomaz</v>
      </c>
      <c r="P12" s="418"/>
      <c r="R12" s="277" t="str">
        <f t="shared" si="0"/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5">
      <c r="B13" s="37" t="s">
        <v>16</v>
      </c>
      <c r="C13" s="366" t="str">
        <f>[8]Brewhouse!$A58</f>
        <v>SM050</v>
      </c>
      <c r="D13" s="279">
        <f>[8]Brewhouse!$AH58</f>
        <v>53.1</v>
      </c>
      <c r="E13" s="279">
        <f>[8]Brewhouse!$AM58</f>
        <v>51.58</v>
      </c>
      <c r="F13" s="278">
        <f>[8]Brewhouse!$Z58</f>
        <v>66</v>
      </c>
      <c r="G13" s="279">
        <f>[8]Brewhouse!$AK58</f>
        <v>17.7</v>
      </c>
      <c r="H13" s="396"/>
      <c r="I13" s="368">
        <f>[8]Brewhouse!$AY58</f>
        <v>101.1402395567615</v>
      </c>
      <c r="J13" s="368">
        <f>[8]Brewhouse!$AZ58</f>
        <v>101.6573170957471</v>
      </c>
      <c r="K13" s="281">
        <f>[8]Brewhouse!$U58</f>
        <v>6.7419962335216672</v>
      </c>
      <c r="L13" s="276">
        <f>[8]Brewhouse!$T58</f>
        <v>56</v>
      </c>
      <c r="M13" s="374">
        <f>[8]Brewhouse!$Y58-[8]Brewhouse!$X58</f>
        <v>0.13194444444444442</v>
      </c>
      <c r="N13" s="370">
        <f>[8]Brewhouse!$AD58</f>
        <v>0.32291666666666663</v>
      </c>
      <c r="O13" s="371" t="str">
        <f>[8]Brewhouse!$BC58</f>
        <v>R.Sookram</v>
      </c>
      <c r="P13" s="418"/>
      <c r="R13" s="277" t="str">
        <f t="shared" si="0"/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5">
      <c r="B14" s="37" t="s">
        <v>16</v>
      </c>
      <c r="C14" s="366" t="str">
        <f>[8]Brewhouse!$A59</f>
        <v>SM051</v>
      </c>
      <c r="D14" s="279">
        <f>[8]Brewhouse!$AH59</f>
        <v>53</v>
      </c>
      <c r="E14" s="279">
        <f>[8]Brewhouse!$AM59</f>
        <v>50.37</v>
      </c>
      <c r="F14" s="278">
        <f>[8]Brewhouse!$Z59</f>
        <v>63</v>
      </c>
      <c r="G14" s="279">
        <f>[8]Brewhouse!$AK59</f>
        <v>17</v>
      </c>
      <c r="H14" s="396"/>
      <c r="I14" s="368">
        <f>[8]Brewhouse!$AY59</f>
        <v>94.521368448030842</v>
      </c>
      <c r="J14" s="368">
        <f>[8]Brewhouse!$AZ59</f>
        <v>95.005065049619603</v>
      </c>
      <c r="K14" s="281">
        <f>[8]Brewhouse!$U59</f>
        <v>8.8301886792452819</v>
      </c>
      <c r="L14" s="276">
        <f>[8]Brewhouse!$T59</f>
        <v>60</v>
      </c>
      <c r="M14" s="374">
        <f>[8]Brewhouse!$Y59-[8]Brewhouse!$X59</f>
        <v>0.15972222222222232</v>
      </c>
      <c r="N14" s="370">
        <f>[8]Brewhouse!$AD59</f>
        <v>0.34930555555555565</v>
      </c>
      <c r="O14" s="371" t="str">
        <f>[8]Brewhouse!$BC59</f>
        <v>R.Sookram</v>
      </c>
      <c r="P14" s="418"/>
      <c r="R14" s="277" t="str">
        <f t="shared" si="0"/>
        <v>STARMALT</v>
      </c>
      <c r="S14" s="472">
        <f t="shared" si="1"/>
        <v>17</v>
      </c>
      <c r="T14" s="472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2">
        <f t="shared" si="8"/>
        <v>85</v>
      </c>
    </row>
    <row r="15" spans="2:29" ht="15">
      <c r="B15" s="37" t="s">
        <v>16</v>
      </c>
      <c r="C15" s="366" t="str">
        <f>[8]Brewhouse!$A60</f>
        <v>SM052</v>
      </c>
      <c r="D15" s="279">
        <f>[8]Brewhouse!$AH60</f>
        <v>53</v>
      </c>
      <c r="E15" s="279">
        <f>[8]Brewhouse!$AM60</f>
        <v>51.1</v>
      </c>
      <c r="F15" s="278">
        <f>[8]Brewhouse!$Z60</f>
        <v>62</v>
      </c>
      <c r="G15" s="279">
        <f>[8]Brewhouse!$AK60</f>
        <v>17.100000000000001</v>
      </c>
      <c r="H15" s="396"/>
      <c r="I15" s="368">
        <f>[8]Brewhouse!$AY60</f>
        <v>96.447094164922959</v>
      </c>
      <c r="J15" s="368">
        <f>[8]Brewhouse!$AZ60</f>
        <v>96.941111823427036</v>
      </c>
      <c r="K15" s="281">
        <f>[8]Brewhouse!$U60</f>
        <v>6.9433962264150937</v>
      </c>
      <c r="L15" s="276">
        <f>[8]Brewhouse!$T60</f>
        <v>60</v>
      </c>
      <c r="M15" s="374">
        <f>[8]Brewhouse!$Y60-[8]Brewhouse!$X60</f>
        <v>0.14027777777777772</v>
      </c>
      <c r="N15" s="370">
        <f>[8]Brewhouse!$AD60</f>
        <v>0.35069444444444442</v>
      </c>
      <c r="O15" s="371" t="str">
        <f>[8]Brewhouse!$BC60</f>
        <v>R.Sookram</v>
      </c>
      <c r="P15" s="418"/>
      <c r="R15" s="277" t="str">
        <f t="shared" ref="R15:R31" si="9">B15</f>
        <v>STARMALT</v>
      </c>
      <c r="S15" s="472">
        <f t="shared" ref="S15:S31" si="10">VLOOKUP($B15,$R$3:$X$9,2,FALSE)</f>
        <v>17</v>
      </c>
      <c r="T15" s="472">
        <f t="shared" ref="T15:T31" si="11">VLOOKUP($B15,$R$3:$X$9,3,FALSE)</f>
        <v>17.399999999999999</v>
      </c>
      <c r="U15" s="297">
        <f t="shared" ref="U15:U31" si="12">VLOOKUP($B15,$R$3:$X$9,4,FALSE)</f>
        <v>0</v>
      </c>
      <c r="V15" s="297">
        <f t="shared" ref="V15:V31" si="13">VLOOKUP($B15,$R$3:$X$9,5,FALSE)</f>
        <v>0.13605324074074074</v>
      </c>
      <c r="W15" s="297">
        <f t="shared" ref="W15:W31" si="14">VLOOKUP($B15,$R$3:$X$9,6,FALSE)</f>
        <v>0.27430555555555552</v>
      </c>
      <c r="X15" s="297">
        <f t="shared" ref="X15:X31" si="15">VLOOKUP($B15,$R$3:$X$9,7,FALSE)</f>
        <v>0.30902777777777779</v>
      </c>
      <c r="Y15" s="297">
        <f t="shared" ref="Y15:Y31" si="16">VLOOKUP($B15,$R$3:$Z$9,8,FALSE)</f>
        <v>0</v>
      </c>
      <c r="Z15" s="472">
        <f t="shared" ref="Z15:Z31" si="17">VLOOKUP($B15,$R$3:$Z$9,9,FALSE)</f>
        <v>85</v>
      </c>
    </row>
    <row r="16" spans="2:29" ht="18" customHeight="1">
      <c r="B16" s="29"/>
      <c r="C16" s="366"/>
      <c r="D16" s="279"/>
      <c r="E16" s="279"/>
      <c r="F16" s="278"/>
      <c r="G16" s="279"/>
      <c r="H16" s="482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0"/>
        <v>#N/A</v>
      </c>
      <c r="T16" s="472" t="e">
        <f t="shared" si="11"/>
        <v>#N/A</v>
      </c>
      <c r="U16" s="297" t="e">
        <f t="shared" si="12"/>
        <v>#N/A</v>
      </c>
      <c r="V16" s="297" t="e">
        <f t="shared" si="13"/>
        <v>#N/A</v>
      </c>
      <c r="W16" s="297" t="e">
        <f t="shared" si="14"/>
        <v>#N/A</v>
      </c>
      <c r="X16" s="297" t="e">
        <f t="shared" si="15"/>
        <v>#N/A</v>
      </c>
      <c r="Y16" s="297" t="e">
        <f t="shared" si="16"/>
        <v>#N/A</v>
      </c>
      <c r="Z16" s="472" t="e">
        <f t="shared" si="17"/>
        <v>#N/A</v>
      </c>
    </row>
    <row r="17" spans="1:27" ht="16.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18"/>
      <c r="R17" s="277">
        <f t="shared" si="9"/>
        <v>0</v>
      </c>
      <c r="S17" s="472" t="e">
        <f t="shared" si="10"/>
        <v>#N/A</v>
      </c>
      <c r="T17" s="472" t="e">
        <f t="shared" si="11"/>
        <v>#N/A</v>
      </c>
      <c r="U17" s="297" t="e">
        <f t="shared" si="12"/>
        <v>#N/A</v>
      </c>
      <c r="V17" s="297" t="e">
        <f t="shared" si="13"/>
        <v>#N/A</v>
      </c>
      <c r="W17" s="297" t="e">
        <f t="shared" si="14"/>
        <v>#N/A</v>
      </c>
      <c r="X17" s="297" t="e">
        <f t="shared" si="15"/>
        <v>#N/A</v>
      </c>
      <c r="Y17" s="297" t="e">
        <f t="shared" si="16"/>
        <v>#N/A</v>
      </c>
      <c r="Z17" s="472" t="e">
        <f t="shared" si="17"/>
        <v>#N/A</v>
      </c>
    </row>
    <row r="18" spans="1:27" ht="15.75" customHeight="1" thickBot="1">
      <c r="B18" s="358"/>
      <c r="C18" s="358"/>
      <c r="D18" s="358"/>
      <c r="E18" s="358"/>
      <c r="F18" s="294"/>
      <c r="G18" s="294"/>
      <c r="H18" s="348"/>
      <c r="I18" s="525"/>
      <c r="J18" s="525"/>
      <c r="K18" s="525"/>
      <c r="L18" s="525"/>
      <c r="M18" s="525"/>
      <c r="N18" s="525"/>
      <c r="O18" s="1"/>
      <c r="P18" s="12"/>
      <c r="R18" s="277">
        <f t="shared" si="9"/>
        <v>0</v>
      </c>
      <c r="S18" s="472" t="e">
        <f t="shared" si="10"/>
        <v>#N/A</v>
      </c>
      <c r="T18" s="472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2" t="e">
        <f t="shared" si="17"/>
        <v>#N/A</v>
      </c>
    </row>
    <row r="19" spans="1:27" ht="15.75" customHeight="1" thickBot="1">
      <c r="B19" s="388" t="s">
        <v>162</v>
      </c>
      <c r="C19" s="388"/>
      <c r="D19" s="526" t="s">
        <v>35</v>
      </c>
      <c r="E19" s="527"/>
      <c r="F19" s="294"/>
      <c r="G19" s="294"/>
      <c r="H19" s="348"/>
      <c r="I19" s="24" t="s">
        <v>17</v>
      </c>
      <c r="J19" s="25"/>
      <c r="K19" s="26" t="s">
        <v>138</v>
      </c>
      <c r="L19" s="25" t="s">
        <v>37</v>
      </c>
      <c r="M19" s="25" t="s">
        <v>38</v>
      </c>
      <c r="N19" s="27" t="s">
        <v>39</v>
      </c>
      <c r="O19" s="294"/>
      <c r="P19" s="12"/>
      <c r="R19" s="277" t="str">
        <f t="shared" si="9"/>
        <v xml:space="preserve">BRAND 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5" customHeight="1">
      <c r="A20" s="28"/>
      <c r="B20" s="528"/>
      <c r="C20" s="362"/>
      <c r="D20" s="531"/>
      <c r="E20" s="532"/>
      <c r="F20" s="294"/>
      <c r="G20" s="294"/>
      <c r="H20" s="348"/>
      <c r="I20" s="29" t="s">
        <v>6</v>
      </c>
      <c r="J20" s="323"/>
      <c r="K20" s="284">
        <f>COUNTA([4]Brewhouse!$A$372:$A$402)</f>
        <v>31</v>
      </c>
      <c r="L20" s="305">
        <f>AVERAGE([4]Brewhouse!$AU$372:$AU$402)</f>
        <v>97.899591271333676</v>
      </c>
      <c r="M20" s="305">
        <f>AVERAGE([4]Brewhouse!$AU$42:$AU$123,[4]Brewhouse!$AU$125:$AU$188,[4]Brewhouse!$AU$198:$AU$290,[4]Brewhouse!$AU$292:$AU$370,[4]Brewhouse!$AU$372:$AU$402)</f>
        <v>97.995291948813914</v>
      </c>
      <c r="N20" s="30">
        <v>98</v>
      </c>
      <c r="O20" s="11"/>
      <c r="P20" s="31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A21" s="28"/>
      <c r="B21" s="529"/>
      <c r="C21" s="362"/>
      <c r="D21" s="533"/>
      <c r="E21" s="534"/>
      <c r="F21" s="294"/>
      <c r="G21" s="294"/>
      <c r="H21" s="348"/>
      <c r="I21" s="33" t="s">
        <v>9</v>
      </c>
      <c r="J21" s="323"/>
      <c r="K21" s="284">
        <f>COUNTA([3]Brewhouse!$A$214:$A$229)</f>
        <v>16</v>
      </c>
      <c r="L21" s="302">
        <f>AVERAGE([3]Brewhouse!$AS$214:$AS$229)</f>
        <v>97.795658588620881</v>
      </c>
      <c r="M21" s="302">
        <f>AVERAGE([3]Brewhouse!$AS$52:$AS$81,[3]Brewhouse!$AS$83:$AS$124,[3]Brewhouse!$AS$134:$AS$177,[3]Brewhouse!$AS$22:$AS$179,[3]Brewhouse!$AS$214:$AS$229)</f>
        <v>97.93842123965544</v>
      </c>
      <c r="N21" s="30">
        <v>98</v>
      </c>
      <c r="O21" s="11"/>
      <c r="P21" s="31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4.65" customHeight="1">
      <c r="A22" s="28"/>
      <c r="B22" s="529"/>
      <c r="C22" s="362"/>
      <c r="D22" s="535"/>
      <c r="E22" s="536"/>
      <c r="F22" s="294"/>
      <c r="G22" s="294"/>
      <c r="H22" s="348"/>
      <c r="I22" s="34" t="s">
        <v>12</v>
      </c>
      <c r="J22" s="280"/>
      <c r="K22" s="284"/>
      <c r="L22" s="302"/>
      <c r="M22" s="302">
        <f>AVERAGE([5]Brewhouse!$AU$16:$AU$23,[5]Brewhouse!$AU$25:$AU$32,[5]Brewhouse!$AU$34:$AU$41,[5]Brewhouse!$AU$43:$AU$55)</f>
        <v>96.793456653928644</v>
      </c>
      <c r="N22" s="30">
        <v>98</v>
      </c>
      <c r="O22" s="11"/>
      <c r="P22" s="31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4.65" customHeight="1">
      <c r="A23" s="28"/>
      <c r="B23" s="529"/>
      <c r="C23" s="362"/>
      <c r="D23" s="537"/>
      <c r="E23" s="534"/>
      <c r="F23" s="294"/>
      <c r="G23" s="294"/>
      <c r="H23" s="348"/>
      <c r="I23" s="22" t="s">
        <v>33</v>
      </c>
      <c r="J23" s="280"/>
      <c r="K23" s="284">
        <f>COUNTA([6]Brewhouse!$A$62:$A$68)</f>
        <v>7</v>
      </c>
      <c r="L23" s="302">
        <f>AVERAGE([6]Brewhouse!$AV$62:$AV$68)</f>
        <v>98.287606329362575</v>
      </c>
      <c r="M23" s="302">
        <f>AVERAGE([6]Brewhouse!$AV$23:$AV$34,[6]Brewhouse!$AV$36,[6]Brewhouse!$AV$38:$AV$52,[6]Brewhouse!$AV$54:$AV$60,[6]Brewhouse!$AV$62:$AV$68)</f>
        <v>97.579195177204838</v>
      </c>
      <c r="N23" s="30">
        <v>98</v>
      </c>
      <c r="O23" s="11"/>
      <c r="P23" s="31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4.65" customHeight="1">
      <c r="A24" s="28"/>
      <c r="B24" s="529"/>
      <c r="C24" s="362"/>
      <c r="D24" s="535"/>
      <c r="E24" s="536"/>
      <c r="F24" s="417"/>
      <c r="G24" s="294"/>
      <c r="H24" s="348"/>
      <c r="I24" s="35" t="s">
        <v>29</v>
      </c>
      <c r="J24" s="280"/>
      <c r="K24" s="284"/>
      <c r="L24" s="302"/>
      <c r="M24" s="302"/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29"/>
      <c r="C25" s="362"/>
      <c r="D25" s="537"/>
      <c r="E25" s="534"/>
      <c r="F25" s="417"/>
      <c r="G25" s="294"/>
      <c r="H25" s="348"/>
      <c r="I25" s="36" t="s">
        <v>15</v>
      </c>
      <c r="J25" s="323"/>
      <c r="K25" s="284">
        <f>COUNTA([7]Brewhouse!$A$13:$A$16)</f>
        <v>4</v>
      </c>
      <c r="L25" s="302">
        <f>AVERAGE([7]Brewhouse!$AT$13:$AT$16)</f>
        <v>88.962677106311475</v>
      </c>
      <c r="M25" s="302">
        <f>AVERAGE([7]Brewhouse!$AT$4:$AT$11,[7]Brewhouse!$AT$13:$AT$16)</f>
        <v>91.538375374138752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29"/>
      <c r="C26" s="362"/>
      <c r="D26" s="535"/>
      <c r="E26" s="536"/>
      <c r="F26" s="417"/>
      <c r="G26" s="294"/>
      <c r="H26" s="348"/>
      <c r="I26" s="37" t="s">
        <v>16</v>
      </c>
      <c r="J26" s="323">
        <f>AVERAGE(I10:I15)</f>
        <v>97.618303869355501</v>
      </c>
      <c r="K26" s="284">
        <f>COUNTA([8]Brewhouse!$A$53:$A$60)</f>
        <v>8</v>
      </c>
      <c r="L26" s="302">
        <f>AVERAGE([8]Brewhouse!$AY$53:$AY$60)</f>
        <v>97.024473838692316</v>
      </c>
      <c r="M26" s="302">
        <f>AVERAGE([8]Brewhouse!$AY$5:$AY$14,[8]Brewhouse!$AY$16:$AY$23,[8]Brewhouse!$AY$42,[8]Brewhouse!$AY$44:$AY$51,[8]Brewhouse!$AY$53:$AY$60)</f>
        <v>97.474953130157175</v>
      </c>
      <c r="N26" s="30">
        <v>98</v>
      </c>
      <c r="O26" s="11"/>
      <c r="P26" s="31" t="s">
        <v>41</v>
      </c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29"/>
      <c r="C27" s="362"/>
      <c r="D27" s="537"/>
      <c r="E27" s="534"/>
      <c r="F27" s="294"/>
      <c r="G27" s="294"/>
      <c r="H27" s="348"/>
      <c r="I27" s="411" t="s">
        <v>158</v>
      </c>
      <c r="J27" s="326"/>
      <c r="K27" s="284"/>
      <c r="L27" s="305"/>
      <c r="M27" s="305"/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29"/>
      <c r="C28" s="349"/>
      <c r="D28" s="535"/>
      <c r="E28" s="536"/>
      <c r="F28" s="294"/>
      <c r="G28" s="294"/>
      <c r="H28" s="348"/>
      <c r="I28" s="410" t="s">
        <v>157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  <c r="AA28" s="472"/>
    </row>
    <row r="29" spans="1:27" ht="15" customHeight="1" thickBot="1">
      <c r="A29" s="28"/>
      <c r="B29" s="529"/>
      <c r="C29" s="349"/>
      <c r="D29" s="537"/>
      <c r="E29" s="534"/>
      <c r="F29" s="294"/>
      <c r="G29" s="294"/>
      <c r="H29" s="348"/>
      <c r="I29" s="406" t="s">
        <v>156</v>
      </c>
      <c r="J29" s="327"/>
      <c r="K29" s="407"/>
      <c r="L29" s="408"/>
      <c r="M29" s="408"/>
      <c r="N29" s="409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  <c r="AA29" s="472"/>
    </row>
    <row r="30" spans="1:27" ht="15" customHeight="1" thickBot="1">
      <c r="A30" s="28"/>
      <c r="B30" s="529"/>
      <c r="C30" s="349"/>
      <c r="D30" s="531"/>
      <c r="E30" s="532"/>
      <c r="F30" s="294"/>
      <c r="G30" s="294"/>
      <c r="H30" s="348"/>
      <c r="I30" s="1"/>
      <c r="J30" s="39"/>
      <c r="K30" s="404">
        <f>SUM(K20:K29)</f>
        <v>66</v>
      </c>
      <c r="L30" s="405">
        <f>((L20*K20)+(L21*K21)+(L22*K22)+(L23*K23)+(L24*K24)+(K27*L27)+(L25*K25)+(L26*K26)+(L29*K29))/(K30)</f>
        <v>97.267842579842423</v>
      </c>
      <c r="M30" s="405">
        <f>AVERAGE('[9]Jan30th-31st'!$L$42,L30)</f>
        <v>97.547942157841945</v>
      </c>
      <c r="N30" s="4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  <c r="AA30" s="472"/>
    </row>
    <row r="31" spans="1:27" ht="15.75" thickBot="1">
      <c r="B31" s="530"/>
      <c r="C31" s="350"/>
      <c r="D31" s="533"/>
      <c r="E31" s="534"/>
      <c r="F31" s="294"/>
      <c r="G31" s="42"/>
      <c r="H31" s="41"/>
      <c r="I31" s="42"/>
      <c r="J31" s="42"/>
      <c r="K31" s="351"/>
      <c r="L31" s="348"/>
      <c r="M31" s="348"/>
      <c r="N31" s="11"/>
      <c r="O31" s="294"/>
      <c r="P31" s="12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.75" thickBot="1">
      <c r="B32" s="528"/>
      <c r="C32" s="362"/>
      <c r="D32" s="539"/>
      <c r="E32" s="540"/>
      <c r="F32" s="294"/>
      <c r="G32" s="42"/>
      <c r="H32" s="41"/>
      <c r="I32" s="42"/>
      <c r="J32" s="541" t="s">
        <v>129</v>
      </c>
      <c r="K32" s="541"/>
      <c r="L32" s="294"/>
      <c r="M32" s="294"/>
      <c r="N32" s="294"/>
      <c r="O32" s="294"/>
      <c r="P32" s="12"/>
    </row>
    <row r="33" spans="2:56" ht="15.75" thickBot="1">
      <c r="B33" s="529"/>
      <c r="C33" s="362"/>
      <c r="D33" s="537"/>
      <c r="E33" s="534"/>
      <c r="F33" s="294"/>
      <c r="G33" s="42"/>
      <c r="H33" s="42"/>
      <c r="I33" s="42"/>
      <c r="J33" s="292" t="s">
        <v>17</v>
      </c>
      <c r="K33" s="293" t="s">
        <v>172</v>
      </c>
      <c r="L33" s="542" t="s">
        <v>136</v>
      </c>
      <c r="M33" s="542"/>
      <c r="N33" s="543"/>
      <c r="O33" s="294"/>
      <c r="P33" s="12"/>
    </row>
    <row r="34" spans="2:56" ht="15" customHeight="1" thickBot="1">
      <c r="B34" s="529"/>
      <c r="C34" s="349"/>
      <c r="D34" s="535"/>
      <c r="E34" s="536"/>
      <c r="F34" s="294"/>
      <c r="G34" s="42"/>
      <c r="H34" s="42"/>
      <c r="I34" s="42"/>
      <c r="J34" s="287" t="s">
        <v>6</v>
      </c>
      <c r="K34" s="324"/>
      <c r="L34" s="473" t="s">
        <v>37</v>
      </c>
      <c r="M34" s="474" t="s">
        <v>38</v>
      </c>
      <c r="N34" s="474" t="s">
        <v>84</v>
      </c>
      <c r="O34" s="294"/>
      <c r="P34" s="12"/>
    </row>
    <row r="35" spans="2:56" ht="15.75" customHeight="1" thickBot="1">
      <c r="B35" s="529"/>
      <c r="C35" s="349"/>
      <c r="D35" s="537"/>
      <c r="E35" s="534"/>
      <c r="F35" s="294"/>
      <c r="G35" s="42"/>
      <c r="H35" s="42"/>
      <c r="I35" s="42"/>
      <c r="J35" s="345" t="s">
        <v>9</v>
      </c>
      <c r="K35" s="324"/>
      <c r="L35" s="344">
        <f>AVERAGE('May 2nd-23rd'!J53,'May 2nd-23rd'!K53,'May 4th'!K51,'May 5th'!K47,'May 6th'!K54,'May 7th'!K48,'May 15th-16th'!K44,'May 8th -9th'!K55,'May 8th -9th'!J55,'May 11th'!K51,'May 12th '!K46,'May 12th '!K46,'May 13th'!K45,'May 14th'!K42)</f>
        <v>5.1428571428571432</v>
      </c>
      <c r="M35" s="325">
        <f>AVERAGE('[9]Jan30th-31st'!$L$47,L35,'[10]Feb 26th '!$L$39,'[11]Mar 31st'!$L$47,'[12]Apr 30th'!$L$46)</f>
        <v>6.2359627329192548</v>
      </c>
      <c r="N35" s="416">
        <v>9.1999999999999993</v>
      </c>
      <c r="O35" s="294"/>
      <c r="P35" s="12"/>
    </row>
    <row r="36" spans="2:56" ht="15" customHeight="1">
      <c r="B36" s="529"/>
      <c r="C36" s="349"/>
      <c r="D36" s="535"/>
      <c r="E36" s="536"/>
      <c r="F36" s="294"/>
      <c r="G36" s="42"/>
      <c r="H36" s="42"/>
      <c r="I36" s="42"/>
      <c r="J36" s="288" t="s">
        <v>40</v>
      </c>
      <c r="K36" s="324"/>
      <c r="L36" s="294"/>
      <c r="M36" s="294"/>
      <c r="N36" s="294"/>
      <c r="O36" s="294"/>
      <c r="P36" s="12"/>
    </row>
    <row r="37" spans="2:56" ht="15" customHeight="1">
      <c r="B37" s="529"/>
      <c r="C37" s="349"/>
      <c r="D37" s="537"/>
      <c r="E37" s="534"/>
      <c r="F37" s="294"/>
      <c r="G37" s="42"/>
      <c r="H37" s="42"/>
      <c r="I37" s="42"/>
      <c r="J37" s="289" t="s">
        <v>33</v>
      </c>
      <c r="K37" s="324"/>
      <c r="L37" s="294"/>
      <c r="M37" s="294"/>
      <c r="N37" s="294"/>
      <c r="O37" s="294"/>
      <c r="P37" s="12"/>
    </row>
    <row r="38" spans="2:56" ht="15">
      <c r="B38" s="529"/>
      <c r="C38" s="349"/>
      <c r="D38" s="535"/>
      <c r="E38" s="536"/>
      <c r="F38" s="294"/>
      <c r="G38" s="42"/>
      <c r="H38" s="42"/>
      <c r="I38" s="42"/>
      <c r="J38" s="290" t="s">
        <v>16</v>
      </c>
      <c r="K38" s="324">
        <v>6</v>
      </c>
      <c r="L38" s="294"/>
      <c r="M38" s="294"/>
      <c r="N38" s="294"/>
      <c r="O38" s="294"/>
      <c r="P38" s="12"/>
      <c r="BC38" s="44"/>
      <c r="BD38" s="44"/>
    </row>
    <row r="39" spans="2:56" ht="15">
      <c r="B39" s="529"/>
      <c r="C39" s="349"/>
      <c r="D39" s="537"/>
      <c r="E39" s="534"/>
      <c r="F39" s="294"/>
      <c r="G39" s="42"/>
      <c r="H39" s="42"/>
      <c r="I39" s="42"/>
      <c r="J39" s="291" t="s">
        <v>15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9"/>
      <c r="C40" s="349"/>
      <c r="D40" s="535"/>
      <c r="E40" s="536"/>
      <c r="F40" s="294"/>
      <c r="G40" s="42"/>
      <c r="H40" s="42"/>
      <c r="I40" s="42"/>
      <c r="J40" s="291" t="s">
        <v>149</v>
      </c>
      <c r="K40" s="324"/>
      <c r="L40" s="294"/>
      <c r="M40" s="294"/>
      <c r="N40" s="294"/>
      <c r="O40" s="294"/>
      <c r="P40" s="12"/>
      <c r="BC40" s="44"/>
      <c r="BD40" s="44"/>
    </row>
    <row r="41" spans="2:56" ht="15.75" thickBot="1">
      <c r="B41" s="538"/>
      <c r="C41" s="350"/>
      <c r="D41" s="544"/>
      <c r="E41" s="545"/>
      <c r="F41" s="294" t="s">
        <v>166</v>
      </c>
      <c r="G41" s="42"/>
      <c r="H41" s="42"/>
      <c r="I41" s="42"/>
      <c r="J41" s="291" t="s">
        <v>148</v>
      </c>
      <c r="K41" s="324"/>
      <c r="L41" s="294"/>
      <c r="M41" s="294"/>
      <c r="N41" s="294" t="s">
        <v>41</v>
      </c>
      <c r="O41" s="294"/>
      <c r="P41" s="12"/>
      <c r="BC41" s="44"/>
      <c r="BD41" s="44"/>
    </row>
    <row r="42" spans="2:56" ht="17.649999999999999" customHeight="1" thickBot="1">
      <c r="B42" s="312" t="s">
        <v>139</v>
      </c>
      <c r="C42" s="313"/>
      <c r="D42" s="546"/>
      <c r="E42" s="547"/>
      <c r="F42" s="294"/>
      <c r="J42" s="295" t="s">
        <v>134</v>
      </c>
      <c r="K42" s="324"/>
      <c r="L42" s="294"/>
      <c r="M42" s="294"/>
      <c r="N42" s="294"/>
      <c r="O42" s="294"/>
      <c r="P42" s="12"/>
      <c r="BC42" s="44"/>
      <c r="BD42" s="44"/>
    </row>
    <row r="43" spans="2:56" ht="17.649999999999999" customHeight="1">
      <c r="B43" s="363"/>
      <c r="C43" s="364"/>
      <c r="D43" s="365"/>
      <c r="E43" s="365"/>
      <c r="F43" s="294"/>
      <c r="G43" s="42"/>
      <c r="H43" s="42"/>
      <c r="I43" s="42"/>
      <c r="J43" s="295" t="s">
        <v>131</v>
      </c>
      <c r="K43" s="324"/>
      <c r="L43" s="294"/>
      <c r="M43" s="294"/>
      <c r="N43" s="294"/>
      <c r="O43" s="294"/>
      <c r="P43" s="12"/>
      <c r="BC43" s="44"/>
      <c r="BD43" s="44"/>
    </row>
    <row r="44" spans="2:56" ht="15.6" customHeight="1">
      <c r="B44" s="45"/>
      <c r="C44" s="11"/>
      <c r="D44" s="11"/>
      <c r="E44" s="46"/>
      <c r="F44" s="294"/>
      <c r="G44" s="42"/>
      <c r="H44" s="42"/>
      <c r="I44" s="42"/>
      <c r="J44" s="346" t="s">
        <v>130</v>
      </c>
      <c r="K44" s="324">
        <f>SUM(K34:K43)</f>
        <v>6</v>
      </c>
      <c r="L44" s="294"/>
      <c r="M44" s="294"/>
      <c r="N44" s="294"/>
      <c r="O44" s="294"/>
      <c r="P44" s="12"/>
    </row>
    <row r="45" spans="2:56" ht="20.25" customHeight="1">
      <c r="B45" s="15" t="s">
        <v>42</v>
      </c>
      <c r="C45" s="1" t="s">
        <v>43</v>
      </c>
      <c r="D45" s="1"/>
      <c r="E45" s="1"/>
      <c r="F45" s="294"/>
      <c r="G45" s="42"/>
      <c r="H45" s="41"/>
      <c r="I45" s="42"/>
      <c r="L45" s="294"/>
      <c r="N45" s="315"/>
      <c r="P45" s="334"/>
    </row>
    <row r="46" spans="2:56" ht="15" customHeight="1" thickBot="1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1"/>
      <c r="O46" s="48"/>
      <c r="P46" s="49"/>
    </row>
    <row r="47" spans="2:56" ht="15" customHeight="1" thickBot="1">
      <c r="B47" s="548" t="s">
        <v>17</v>
      </c>
      <c r="C47" s="548" t="s">
        <v>44</v>
      </c>
      <c r="D47" s="551" t="s">
        <v>45</v>
      </c>
      <c r="E47" s="516" t="s">
        <v>46</v>
      </c>
      <c r="F47" s="565" t="s">
        <v>47</v>
      </c>
      <c r="G47" s="560" t="s">
        <v>48</v>
      </c>
      <c r="H47" s="548" t="s">
        <v>49</v>
      </c>
      <c r="I47" s="548" t="s">
        <v>50</v>
      </c>
      <c r="J47" s="554" t="s">
        <v>28</v>
      </c>
      <c r="K47" s="514" t="s">
        <v>51</v>
      </c>
      <c r="L47" s="563" t="s">
        <v>52</v>
      </c>
      <c r="M47" s="554" t="s">
        <v>53</v>
      </c>
      <c r="N47" s="13"/>
      <c r="O47" s="13"/>
      <c r="P47" s="50"/>
    </row>
    <row r="48" spans="2:56" ht="28.5" customHeight="1" thickTop="1" thickBot="1">
      <c r="B48" s="549"/>
      <c r="C48" s="550"/>
      <c r="D48" s="552"/>
      <c r="E48" s="553"/>
      <c r="F48" s="566"/>
      <c r="G48" s="561"/>
      <c r="H48" s="549"/>
      <c r="I48" s="549"/>
      <c r="J48" s="555"/>
      <c r="K48" s="562"/>
      <c r="L48" s="564"/>
      <c r="M48" s="555"/>
      <c r="N48" s="13"/>
      <c r="O48" s="13"/>
      <c r="P48" s="50"/>
      <c r="Q48" s="355"/>
      <c r="AB48" s="475">
        <v>43474</v>
      </c>
      <c r="AC48" s="475">
        <v>43475</v>
      </c>
      <c r="AD48" s="475">
        <v>43476</v>
      </c>
      <c r="AE48" s="475">
        <v>43477</v>
      </c>
      <c r="AF48" s="475">
        <v>43478</v>
      </c>
      <c r="AG48" s="475">
        <v>43479</v>
      </c>
      <c r="AH48" s="475">
        <v>43480</v>
      </c>
      <c r="AI48" s="475">
        <v>43481</v>
      </c>
      <c r="AJ48" s="475">
        <v>43482</v>
      </c>
      <c r="AK48" s="475">
        <v>43483</v>
      </c>
      <c r="AL48" s="475">
        <v>43484</v>
      </c>
      <c r="AM48" s="475">
        <v>43485</v>
      </c>
      <c r="AN48" s="475">
        <v>43486</v>
      </c>
      <c r="AO48" s="475">
        <v>43487</v>
      </c>
      <c r="AP48" s="475">
        <v>43488</v>
      </c>
      <c r="AQ48" s="475">
        <v>43489</v>
      </c>
      <c r="AR48" s="475">
        <v>43490</v>
      </c>
      <c r="AS48" s="475">
        <v>43491</v>
      </c>
      <c r="AT48" s="475">
        <v>43492</v>
      </c>
      <c r="AU48" s="475">
        <v>43493</v>
      </c>
      <c r="AV48" s="475">
        <v>43494</v>
      </c>
      <c r="AW48" s="475">
        <v>43495</v>
      </c>
      <c r="AX48" s="475">
        <v>43496</v>
      </c>
    </row>
    <row r="49" spans="1:57" s="54" customFormat="1" ht="36.75" customHeight="1" thickBot="1">
      <c r="B49" s="481" t="str">
        <f>J37</f>
        <v>VITAMALT</v>
      </c>
      <c r="C49" s="479">
        <v>46157</v>
      </c>
      <c r="D49" s="442">
        <f>[32]May_2026!$R$65</f>
        <v>385.16999999999996</v>
      </c>
      <c r="E49" s="443">
        <f>SUM([33]VITAMALT!$J$14:$J$21)</f>
        <v>16.399999999999999</v>
      </c>
      <c r="F49" s="444"/>
      <c r="G49" s="445">
        <f>[32]May_2026!$R$70</f>
        <v>381.5</v>
      </c>
      <c r="H49" s="458"/>
      <c r="I49" s="458"/>
      <c r="J49" s="448" t="s">
        <v>205</v>
      </c>
      <c r="K49" s="449">
        <f>[34]May_2026!$R$60</f>
        <v>0.66929824561403506</v>
      </c>
      <c r="L49" s="457">
        <f>(((D49+E49)-G49)/(D49+E49))*100</f>
        <v>4.9978833080160223</v>
      </c>
      <c r="M49" s="455" t="s">
        <v>188</v>
      </c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[13]January_2019!L5</f>
        <v>0</v>
      </c>
      <c r="AC49" s="57">
        <f>[13]January_2019!M5</f>
        <v>0</v>
      </c>
      <c r="AD49" s="57">
        <f>[13]January_2019!N5</f>
        <v>0</v>
      </c>
      <c r="AE49" s="57">
        <f>[13]January_2019!O5</f>
        <v>0</v>
      </c>
      <c r="AF49" s="57">
        <f>[13]January_2019!P5</f>
        <v>0</v>
      </c>
      <c r="AG49" s="57">
        <f>[13]January_2019!Q5</f>
        <v>0</v>
      </c>
      <c r="AH49" s="57">
        <f>[13]January_2019!R5</f>
        <v>0</v>
      </c>
      <c r="AI49" s="57">
        <f>[13]January_2019!S5</f>
        <v>0</v>
      </c>
      <c r="AJ49" s="57">
        <f>[13]January_2019!T5</f>
        <v>0</v>
      </c>
      <c r="AK49" s="57">
        <f>[13]January_2019!U5</f>
        <v>0</v>
      </c>
      <c r="AL49" s="57">
        <f>[13]January_2019!V5</f>
        <v>0</v>
      </c>
      <c r="AM49" s="57">
        <f>[13]January_2019!W5</f>
        <v>0</v>
      </c>
      <c r="AN49" s="57">
        <f>[13]January_2019!X5</f>
        <v>0</v>
      </c>
      <c r="AO49" s="57">
        <f>[13]January_2019!Y5</f>
        <v>0</v>
      </c>
      <c r="AP49" s="57">
        <f>[13]January_2019!Z5</f>
        <v>0</v>
      </c>
      <c r="AQ49" s="57">
        <f>[13]January_2019!AA5</f>
        <v>0</v>
      </c>
      <c r="AR49" s="57">
        <f>[13]January_2019!AB5</f>
        <v>0</v>
      </c>
      <c r="AS49" s="57">
        <f>[13]January_2019!AC5</f>
        <v>0</v>
      </c>
      <c r="AT49" s="57">
        <f>[13]January_2019!AD5</f>
        <v>0</v>
      </c>
      <c r="AU49" s="57">
        <f>[13]January_2019!AE5</f>
        <v>0</v>
      </c>
      <c r="AV49" s="57">
        <f>[13]January_2019!AF5</f>
        <v>0</v>
      </c>
      <c r="AW49" s="57">
        <f>[13]January_2019!AG5</f>
        <v>0</v>
      </c>
      <c r="AX49" s="277">
        <f>[13]January_2019!AH5</f>
        <v>0</v>
      </c>
      <c r="AY49" s="277"/>
      <c r="AZ49" s="277"/>
      <c r="BA49" s="277"/>
      <c r="BB49" s="277"/>
      <c r="BC49" s="277"/>
      <c r="BD49" s="277"/>
      <c r="BE49" s="277"/>
    </row>
    <row r="50" spans="1:57" s="54" customFormat="1" ht="14.25" customHeight="1" thickBot="1">
      <c r="B50" s="480"/>
      <c r="C50" s="479"/>
      <c r="D50" s="442"/>
      <c r="E50" s="443"/>
      <c r="F50" s="444"/>
      <c r="G50" s="445"/>
      <c r="H50" s="458"/>
      <c r="I50" s="458"/>
      <c r="J50" s="476"/>
      <c r="K50" s="449"/>
      <c r="L50" s="457"/>
      <c r="M50" s="455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[13]January_2019!L6</f>
        <v>0</v>
      </c>
      <c r="AC50" s="57">
        <f>[13]January_2019!M6</f>
        <v>0</v>
      </c>
      <c r="AD50" s="57">
        <f>[13]January_2019!N6</f>
        <v>0</v>
      </c>
      <c r="AE50" s="57">
        <f>[13]January_2019!O6</f>
        <v>0</v>
      </c>
      <c r="AF50" s="57">
        <f>[13]January_2019!P6</f>
        <v>0</v>
      </c>
      <c r="AG50" s="57">
        <f>[13]January_2019!Q6</f>
        <v>0</v>
      </c>
      <c r="AH50" s="57">
        <f>[13]January_2019!R6</f>
        <v>0</v>
      </c>
      <c r="AI50" s="57">
        <f>[13]January_2019!S6</f>
        <v>0</v>
      </c>
      <c r="AJ50" s="57">
        <f>[13]January_2019!T6</f>
        <v>0</v>
      </c>
      <c r="AK50" s="57">
        <f>[13]January_2019!U6</f>
        <v>0</v>
      </c>
      <c r="AL50" s="57">
        <f>[13]January_2019!V6</f>
        <v>0</v>
      </c>
      <c r="AM50" s="57">
        <f>[13]January_2019!W6</f>
        <v>0</v>
      </c>
      <c r="AN50" s="57">
        <f>[13]January_2019!X6</f>
        <v>0</v>
      </c>
      <c r="AO50" s="57">
        <f>[13]January_2019!Y6</f>
        <v>0</v>
      </c>
      <c r="AP50" s="57">
        <f>[13]January_2019!Z6</f>
        <v>0</v>
      </c>
      <c r="AQ50" s="57">
        <f>[13]January_2019!AA6</f>
        <v>0</v>
      </c>
      <c r="AR50" s="57">
        <f>[13]January_2019!AB6</f>
        <v>0</v>
      </c>
      <c r="AS50" s="57">
        <f>[13]January_2019!AC6</f>
        <v>0</v>
      </c>
      <c r="AT50" s="57">
        <f>[13]January_2019!AD6</f>
        <v>0</v>
      </c>
      <c r="AU50" s="57">
        <f>[13]January_2019!AE6</f>
        <v>0</v>
      </c>
      <c r="AV50" s="57">
        <f>[13]January_2019!AF6</f>
        <v>0</v>
      </c>
      <c r="AW50" s="57">
        <f>[13]January_2019!AG6</f>
        <v>0</v>
      </c>
      <c r="AX50" s="277">
        <f>[13]January_2019!AH6</f>
        <v>0</v>
      </c>
      <c r="AY50" s="277"/>
      <c r="AZ50" s="277"/>
      <c r="BA50" s="277"/>
      <c r="BB50" s="277"/>
      <c r="BC50" s="277"/>
      <c r="BD50" s="277"/>
      <c r="BE50" s="277"/>
    </row>
    <row r="51" spans="1:57" s="54" customFormat="1" ht="37.15" customHeight="1" thickBot="1">
      <c r="A51" s="54" t="s">
        <v>168</v>
      </c>
      <c r="B51" s="480" t="str">
        <f>J34</f>
        <v>CARIB</v>
      </c>
      <c r="C51" s="479">
        <v>46157</v>
      </c>
      <c r="D51" s="442">
        <f>[32]May_2026!$R$3</f>
        <v>99</v>
      </c>
      <c r="E51" s="443"/>
      <c r="F51" s="444"/>
      <c r="G51" s="445">
        <f>[32]May_2026!$R$7</f>
        <v>94.9</v>
      </c>
      <c r="H51" s="458"/>
      <c r="I51" s="458"/>
      <c r="J51" s="448" t="s">
        <v>173</v>
      </c>
      <c r="K51" s="449">
        <f>[34]May_2026!$R$18</f>
        <v>0.33298245614035088</v>
      </c>
      <c r="L51" s="457">
        <f>(((D51+E51)-G51)/(D51+E51))*100</f>
        <v>4.1414141414141357</v>
      </c>
      <c r="M51" s="455" t="s">
        <v>203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[13]January_2019!L7</f>
        <v>285.8</v>
      </c>
      <c r="AC51" s="57">
        <f>[13]January_2019!M7</f>
        <v>508.1</v>
      </c>
      <c r="AD51" s="57">
        <f>[13]January_2019!N7</f>
        <v>0</v>
      </c>
      <c r="AE51" s="57">
        <f>[13]January_2019!O7</f>
        <v>0</v>
      </c>
      <c r="AF51" s="57">
        <f>[13]January_2019!P7</f>
        <v>109.56666666666666</v>
      </c>
      <c r="AG51" s="57">
        <f>[13]January_2019!Q7</f>
        <v>297.64999999999998</v>
      </c>
      <c r="AH51" s="57">
        <f>[13]January_2019!R7</f>
        <v>122.3</v>
      </c>
      <c r="AI51" s="57">
        <f>[13]January_2019!S7</f>
        <v>0</v>
      </c>
      <c r="AJ51" s="57">
        <f>[13]January_2019!T7</f>
        <v>294.7</v>
      </c>
      <c r="AK51" s="57">
        <f>[13]January_2019!U7</f>
        <v>280.5</v>
      </c>
      <c r="AL51" s="57">
        <f>[13]January_2019!V7</f>
        <v>0</v>
      </c>
      <c r="AM51" s="57">
        <f>[13]January_2019!W7</f>
        <v>0</v>
      </c>
      <c r="AN51" s="57">
        <f>[13]January_2019!X7</f>
        <v>188.25</v>
      </c>
      <c r="AO51" s="57">
        <f>[13]January_2019!Y7</f>
        <v>295.7</v>
      </c>
      <c r="AP51" s="57">
        <f>[13]January_2019!Z7</f>
        <v>257.8</v>
      </c>
      <c r="AQ51" s="57">
        <f>[13]January_2019!AA7</f>
        <v>291.2</v>
      </c>
      <c r="AR51" s="57">
        <f>[13]January_2019!AB7</f>
        <v>187</v>
      </c>
      <c r="AS51" s="57">
        <f>[13]January_2019!AC7</f>
        <v>0</v>
      </c>
      <c r="AT51" s="57">
        <f>[13]January_2019!AD7</f>
        <v>0</v>
      </c>
      <c r="AU51" s="57">
        <f>[13]January_2019!AE7</f>
        <v>485.1</v>
      </c>
      <c r="AV51" s="57">
        <f>[13]January_2019!AF7</f>
        <v>171.55</v>
      </c>
      <c r="AW51" s="57">
        <f>[13]January_2019!AG7</f>
        <v>423.8</v>
      </c>
      <c r="AX51" s="277">
        <f>[13]January_2019!AH7</f>
        <v>0</v>
      </c>
      <c r="AY51" s="277"/>
      <c r="AZ51" s="277"/>
      <c r="BA51" s="277"/>
      <c r="BB51" s="277"/>
      <c r="BC51" s="277"/>
      <c r="BD51" s="277"/>
      <c r="BE51" s="277"/>
    </row>
    <row r="52" spans="1:57" s="54" customFormat="1" ht="19.5" customHeight="1" thickBot="1">
      <c r="B52" s="478"/>
      <c r="C52" s="430"/>
      <c r="D52" s="431"/>
      <c r="E52" s="432"/>
      <c r="F52" s="433"/>
      <c r="G52" s="434"/>
      <c r="H52" s="458"/>
      <c r="I52" s="458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1:57" s="54" customFormat="1" ht="38.450000000000003" customHeight="1" thickBot="1">
      <c r="B53" s="480" t="str">
        <f>J34</f>
        <v>CARIB</v>
      </c>
      <c r="C53" s="479">
        <v>46158</v>
      </c>
      <c r="D53" s="442">
        <f>[32]May_2026!$S$3</f>
        <v>306.8</v>
      </c>
      <c r="E53" s="443"/>
      <c r="F53" s="444"/>
      <c r="G53" s="445">
        <f>[32]May_2026!$S$7</f>
        <v>289.3</v>
      </c>
      <c r="H53" s="458"/>
      <c r="I53" s="458"/>
      <c r="J53" s="448" t="s">
        <v>171</v>
      </c>
      <c r="K53" s="459">
        <f>[34]May_2026!$S$18</f>
        <v>0.50754385964912285</v>
      </c>
      <c r="L53" s="457">
        <f>(((D53+E53)-G53)/(D53+E53))*100</f>
        <v>5.7040417209908734</v>
      </c>
      <c r="M53" s="455" t="s">
        <v>174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1:57" s="54" customFormat="1" ht="15.75" thickBot="1">
      <c r="B54" s="453"/>
      <c r="C54" s="430"/>
      <c r="D54" s="431"/>
      <c r="E54" s="432"/>
      <c r="F54" s="433"/>
      <c r="G54" s="434"/>
      <c r="H54" s="435"/>
      <c r="I54" s="450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37.15" customHeight="1" thickBot="1">
      <c r="B55" s="489" t="str">
        <f>J38</f>
        <v>STARMALT</v>
      </c>
      <c r="C55" s="479">
        <v>46158</v>
      </c>
      <c r="D55" s="442">
        <f>[32]May_2026!$S$55</f>
        <v>203.5</v>
      </c>
      <c r="E55" s="443"/>
      <c r="F55" s="444"/>
      <c r="G55" s="445">
        <f>[32]May_2026!$S$59</f>
        <v>190.2</v>
      </c>
      <c r="H55" s="446"/>
      <c r="I55" s="447"/>
      <c r="J55" s="448" t="s">
        <v>173</v>
      </c>
      <c r="K55" s="449">
        <f>[34]May_2026!$S$53</f>
        <v>0.6673684210526315</v>
      </c>
      <c r="L55" s="457">
        <f>(((D55+E55)-G55)/(D55+E55))*100</f>
        <v>6.5356265356265419</v>
      </c>
      <c r="M55" s="455" t="s">
        <v>174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16.5" hidden="1" customHeight="1" thickBot="1">
      <c r="B56" s="437"/>
      <c r="C56" s="423"/>
      <c r="D56" s="424"/>
      <c r="E56" s="425"/>
      <c r="F56" s="426"/>
      <c r="G56" s="427"/>
      <c r="H56" s="428"/>
      <c r="I56" s="438"/>
      <c r="J56" s="439"/>
      <c r="K56" s="429"/>
      <c r="L56" s="440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5"/>
      <c r="AC56" s="415"/>
      <c r="AD56" s="415"/>
      <c r="AE56" s="415"/>
      <c r="AF56" s="415"/>
      <c r="AG56" s="415"/>
      <c r="AH56" s="415"/>
      <c r="AI56" s="415"/>
      <c r="AJ56" s="415"/>
      <c r="AK56" s="415"/>
      <c r="AL56" s="415"/>
      <c r="AM56" s="415"/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</row>
    <row r="57" spans="1:57" s="54" customFormat="1" ht="37.15" hidden="1" customHeight="1" thickBot="1">
      <c r="B57" s="456"/>
      <c r="C57" s="441"/>
      <c r="D57" s="442"/>
      <c r="E57" s="443"/>
      <c r="F57" s="444"/>
      <c r="G57" s="445"/>
      <c r="H57" s="446"/>
      <c r="I57" s="447"/>
      <c r="J57" s="448"/>
      <c r="K57" s="449"/>
      <c r="L57" s="457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7.15" customHeight="1">
      <c r="B58" s="466"/>
      <c r="C58" s="430"/>
      <c r="D58" s="460"/>
      <c r="E58" s="461"/>
      <c r="F58" s="462"/>
      <c r="G58" s="460"/>
      <c r="H58" s="463"/>
      <c r="I58" s="463"/>
      <c r="J58" s="463"/>
      <c r="K58" s="464"/>
      <c r="L58" s="465"/>
      <c r="M58" s="50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 t="s">
        <v>41</v>
      </c>
      <c r="O59" s="56"/>
      <c r="P59" s="60"/>
    </row>
    <row r="60" spans="1:57" ht="15.75" thickBot="1">
      <c r="B60" s="556" t="s">
        <v>55</v>
      </c>
      <c r="C60" s="557"/>
      <c r="D60" s="557"/>
      <c r="E60" s="557"/>
      <c r="F60" s="558"/>
      <c r="G60" s="556" t="s">
        <v>56</v>
      </c>
      <c r="H60" s="557"/>
      <c r="I60" s="557"/>
      <c r="J60" s="558"/>
      <c r="K60" s="556" t="s">
        <v>51</v>
      </c>
      <c r="L60" s="557"/>
      <c r="M60" s="557"/>
      <c r="N60" s="559"/>
      <c r="O60" s="56"/>
      <c r="P60" s="50"/>
    </row>
    <row r="61" spans="1:57" ht="15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/>
      <c r="L61" s="62" t="s">
        <v>37</v>
      </c>
      <c r="M61" s="62" t="s">
        <v>38</v>
      </c>
      <c r="N61" s="63" t="s">
        <v>39</v>
      </c>
      <c r="O61" s="56"/>
      <c r="P61" s="64"/>
    </row>
    <row r="62" spans="1:57" ht="15">
      <c r="B62" s="29" t="s">
        <v>6</v>
      </c>
      <c r="C62" s="65">
        <f>AVERAGE(L51,L53)</f>
        <v>4.9227279312025045</v>
      </c>
      <c r="D62" s="76">
        <v>6.2140097674757309</v>
      </c>
      <c r="E62" s="76">
        <v>6.7239495842393193</v>
      </c>
      <c r="F62" s="66">
        <v>4.8</v>
      </c>
      <c r="G62" s="65">
        <f>AVERAGE([32]May_2026!$R$11:$S$11)</f>
        <v>5.2777259267109082</v>
      </c>
      <c r="H62" s="477">
        <v>6.229368447080633</v>
      </c>
      <c r="I62" s="477">
        <v>6.4135528675693179</v>
      </c>
      <c r="J62" s="66">
        <v>4.8</v>
      </c>
      <c r="K62" s="67">
        <f>AVERAGE(K51,K53)</f>
        <v>0.42026315789473689</v>
      </c>
      <c r="L62" s="194">
        <v>1.3554385964912281</v>
      </c>
      <c r="M62" s="194">
        <v>0.49781558543270971</v>
      </c>
      <c r="N62" s="68">
        <v>1</v>
      </c>
      <c r="O62" s="56"/>
      <c r="P62" s="69"/>
    </row>
    <row r="63" spans="1:57" ht="15">
      <c r="B63" s="33" t="s">
        <v>9</v>
      </c>
      <c r="C63" s="65"/>
      <c r="D63" s="76">
        <v>5.3600559310183939</v>
      </c>
      <c r="E63" s="76">
        <v>6.1566485581607244</v>
      </c>
      <c r="F63" s="66">
        <v>4.8</v>
      </c>
      <c r="G63" s="65"/>
      <c r="H63" s="76">
        <v>5.469104437126548</v>
      </c>
      <c r="I63" s="76">
        <v>5.5846543828823831</v>
      </c>
      <c r="J63" s="66">
        <v>4.8</v>
      </c>
      <c r="K63" s="67"/>
      <c r="L63" s="194">
        <v>0.61536842105263168</v>
      </c>
      <c r="M63" s="194">
        <v>0.69964380299920681</v>
      </c>
      <c r="N63" s="68">
        <v>1</v>
      </c>
      <c r="P63" s="69"/>
    </row>
    <row r="64" spans="1:57" ht="15">
      <c r="B64" s="34" t="s">
        <v>40</v>
      </c>
      <c r="C64" s="65"/>
      <c r="D64" s="76">
        <v>10.182228066879567</v>
      </c>
      <c r="E64" s="76">
        <v>11.735537190082644</v>
      </c>
      <c r="F64" s="66">
        <v>5.5</v>
      </c>
      <c r="G64" s="65"/>
      <c r="H64" s="76">
        <v>11.362028737847183</v>
      </c>
      <c r="I64" s="76">
        <v>12.769538510720032</v>
      </c>
      <c r="J64" s="66">
        <v>5.5</v>
      </c>
      <c r="K64" s="67"/>
      <c r="L64" s="194">
        <v>0.23824561403508773</v>
      </c>
      <c r="M64" s="194">
        <v>0.26411513157894739</v>
      </c>
      <c r="N64" s="68">
        <v>1</v>
      </c>
      <c r="P64" s="69"/>
    </row>
    <row r="65" spans="2:16" ht="15">
      <c r="B65" s="22" t="s">
        <v>33</v>
      </c>
      <c r="C65" s="65">
        <f>L49</f>
        <v>4.9978833080160223</v>
      </c>
      <c r="D65" s="76">
        <v>4.9306092006073188</v>
      </c>
      <c r="E65" s="76">
        <v>4.7166249493099075</v>
      </c>
      <c r="F65" s="66">
        <v>3.3</v>
      </c>
      <c r="G65" s="65">
        <f>[32]May_2026!$R$74</f>
        <v>6.1587701287778289</v>
      </c>
      <c r="H65" s="76">
        <v>5.5037640962151348</v>
      </c>
      <c r="I65" s="76">
        <v>4.7393662692065543</v>
      </c>
      <c r="J65" s="66">
        <v>3.3</v>
      </c>
      <c r="K65" s="67">
        <f>K49</f>
        <v>0.66929824561403506</v>
      </c>
      <c r="L65" s="194">
        <v>0.58298245614035094</v>
      </c>
      <c r="M65" s="194">
        <v>0.74716374269005859</v>
      </c>
      <c r="N65" s="68">
        <v>1</v>
      </c>
      <c r="P65" s="69"/>
    </row>
    <row r="66" spans="2:16" ht="15">
      <c r="B66" s="35" t="s">
        <v>164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K66" s="67"/>
      <c r="L66" s="194"/>
      <c r="M66" s="194"/>
      <c r="N66" s="68">
        <v>1</v>
      </c>
      <c r="P66" s="69"/>
    </row>
    <row r="67" spans="2:16" ht="15">
      <c r="B67" s="36" t="s">
        <v>15</v>
      </c>
      <c r="C67" s="76"/>
      <c r="D67" s="76">
        <v>5.2401746724890881</v>
      </c>
      <c r="E67" s="76">
        <v>5.1541347251672045</v>
      </c>
      <c r="F67" s="487">
        <v>5.5</v>
      </c>
      <c r="G67" s="282"/>
      <c r="H67" s="76">
        <v>6.6922456038466889</v>
      </c>
      <c r="I67" s="76">
        <v>7.4989046872874194</v>
      </c>
      <c r="J67" s="66">
        <v>5.5</v>
      </c>
      <c r="K67" s="67"/>
      <c r="L67" s="194">
        <v>0.68526315789473691</v>
      </c>
      <c r="M67" s="194">
        <v>1.0201754385964912</v>
      </c>
      <c r="N67" s="68">
        <v>1</v>
      </c>
      <c r="P67" s="69"/>
    </row>
    <row r="68" spans="2:16" ht="15">
      <c r="B68" s="37" t="s">
        <v>16</v>
      </c>
      <c r="C68" s="65">
        <f>L55</f>
        <v>6.5356265356265419</v>
      </c>
      <c r="D68" s="76">
        <v>3.4477692345364712</v>
      </c>
      <c r="E68" s="76">
        <v>3.8718586514884619</v>
      </c>
      <c r="F68" s="66">
        <v>3.3</v>
      </c>
      <c r="G68" s="282">
        <f>[32]May_2026!$S$63</f>
        <v>7.2463822273708258</v>
      </c>
      <c r="H68" s="76">
        <v>4.2666251196365179</v>
      </c>
      <c r="I68" s="76">
        <v>4.7387128519495914</v>
      </c>
      <c r="J68" s="66">
        <v>3.3</v>
      </c>
      <c r="K68" s="67">
        <f>K55</f>
        <v>0.6673684210526315</v>
      </c>
      <c r="L68" s="194"/>
      <c r="M68" s="194">
        <v>0.89457115009746591</v>
      </c>
      <c r="N68" s="71">
        <v>1</v>
      </c>
      <c r="P68" s="69"/>
    </row>
    <row r="69" spans="2:16" ht="15.75" thickBot="1">
      <c r="B69" s="38" t="s">
        <v>163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5.75" thickBot="1">
      <c r="B70" s="414" t="s">
        <v>161</v>
      </c>
      <c r="C70" s="65"/>
      <c r="D70" s="76"/>
      <c r="E70" s="76"/>
      <c r="F70" s="66">
        <v>4.8</v>
      </c>
      <c r="G70" s="282"/>
      <c r="H70" s="76"/>
      <c r="I70" s="76"/>
      <c r="J70" s="66">
        <v>4.8</v>
      </c>
      <c r="K70" s="67"/>
      <c r="L70" s="194"/>
      <c r="M70" s="194"/>
      <c r="N70" s="71">
        <v>1</v>
      </c>
      <c r="O70" s="74"/>
      <c r="P70" s="75"/>
    </row>
    <row r="71" spans="2:16" ht="15">
      <c r="D71" s="76">
        <v>5.997942213301374</v>
      </c>
      <c r="E71" s="76">
        <v>6.4834158857306212</v>
      </c>
      <c r="F71" s="341">
        <v>5.5</v>
      </c>
      <c r="H71" s="76">
        <v>6.4181166155085014</v>
      </c>
      <c r="I71" s="76">
        <v>6.4999428807623563</v>
      </c>
      <c r="J71" s="341">
        <v>5.5</v>
      </c>
      <c r="L71" s="194">
        <v>0.58200894392844871</v>
      </c>
      <c r="M71" s="194">
        <v>0.57279832156147947</v>
      </c>
      <c r="N71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8:N18"/>
    <mergeCell ref="D19:E19"/>
    <mergeCell ref="B20:B31"/>
    <mergeCell ref="D20:E21"/>
    <mergeCell ref="D22:E23"/>
    <mergeCell ref="D24:E25"/>
    <mergeCell ref="D26:E27"/>
    <mergeCell ref="D28:E29"/>
    <mergeCell ref="D30:E31"/>
    <mergeCell ref="B32:B41"/>
    <mergeCell ref="D32:E33"/>
    <mergeCell ref="J32:K32"/>
    <mergeCell ref="L33:N33"/>
    <mergeCell ref="D34:E35"/>
    <mergeCell ref="D36:E37"/>
    <mergeCell ref="D38:E39"/>
    <mergeCell ref="D40:E41"/>
    <mergeCell ref="D42:E42"/>
    <mergeCell ref="B47:B48"/>
    <mergeCell ref="C47:C48"/>
    <mergeCell ref="D47:D48"/>
    <mergeCell ref="E47:E48"/>
    <mergeCell ref="M47:M48"/>
    <mergeCell ref="B60:F60"/>
    <mergeCell ref="G60:J60"/>
    <mergeCell ref="K60:N60"/>
    <mergeCell ref="G47:G48"/>
    <mergeCell ref="H47:H48"/>
    <mergeCell ref="I47:I48"/>
    <mergeCell ref="J47:J48"/>
    <mergeCell ref="K47:K48"/>
    <mergeCell ref="L47:L48"/>
    <mergeCell ref="F47:F48"/>
  </mergeCells>
  <conditionalFormatting sqref="B42:B43">
    <cfRule type="cellIs" dxfId="1847" priority="108" operator="notBetween">
      <formula>#REF!</formula>
      <formula>#REF!</formula>
    </cfRule>
  </conditionalFormatting>
  <conditionalFormatting sqref="C46">
    <cfRule type="cellIs" dxfId="1846" priority="197" stopIfTrue="1" operator="lessThan">
      <formula>96</formula>
    </cfRule>
    <cfRule type="cellIs" dxfId="1845" priority="198" stopIfTrue="1" operator="greaterThan">
      <formula>100</formula>
    </cfRule>
  </conditionalFormatting>
  <conditionalFormatting sqref="C62:C63">
    <cfRule type="cellIs" dxfId="1844" priority="39" stopIfTrue="1" operator="greaterThan">
      <formula>$F62</formula>
    </cfRule>
    <cfRule type="cellIs" dxfId="1843" priority="40" stopIfTrue="1" operator="lessThanOrEqual">
      <formula>0</formula>
    </cfRule>
    <cfRule type="cellIs" dxfId="1842" priority="41" stopIfTrue="1" operator="greaterThan">
      <formula>$F62</formula>
    </cfRule>
    <cfRule type="cellIs" dxfId="1841" priority="42" stopIfTrue="1" operator="lessThanOrEqual">
      <formula>0</formula>
    </cfRule>
  </conditionalFormatting>
  <conditionalFormatting sqref="C64:C66 C68:C70">
    <cfRule type="cellIs" dxfId="1840" priority="75" stopIfTrue="1" operator="greaterThan">
      <formula>$F67</formula>
    </cfRule>
  </conditionalFormatting>
  <conditionalFormatting sqref="C64:C66">
    <cfRule type="cellIs" dxfId="1839" priority="76" stopIfTrue="1" operator="lessThanOrEqual">
      <formula>0</formula>
    </cfRule>
  </conditionalFormatting>
  <conditionalFormatting sqref="C68:C70">
    <cfRule type="cellIs" dxfId="1838" priority="77" stopIfTrue="1" operator="lessThanOrEqual">
      <formula>0</formula>
    </cfRule>
  </conditionalFormatting>
  <conditionalFormatting sqref="C73:C77">
    <cfRule type="cellIs" dxfId="1837" priority="189" stopIfTrue="1" operator="lessThanOrEqual">
      <formula>0</formula>
    </cfRule>
  </conditionalFormatting>
  <conditionalFormatting sqref="C74:C77">
    <cfRule type="cellIs" dxfId="1836" priority="188" stopIfTrue="1" operator="greaterThan">
      <formula>$F$73</formula>
    </cfRule>
  </conditionalFormatting>
  <conditionalFormatting sqref="C79">
    <cfRule type="cellIs" dxfId="1835" priority="190" stopIfTrue="1" operator="greaterThan">
      <formula>$F$73</formula>
    </cfRule>
    <cfRule type="cellIs" dxfId="1834" priority="191" stopIfTrue="1" operator="lessThanOrEqual">
      <formula>0</formula>
    </cfRule>
  </conditionalFormatting>
  <conditionalFormatting sqref="C67:D67">
    <cfRule type="cellIs" dxfId="1833" priority="12" stopIfTrue="1" operator="greaterThan">
      <formula>$J67</formula>
    </cfRule>
    <cfRule type="cellIs" dxfId="1832" priority="13" stopIfTrue="1" operator="lessThanOrEqual">
      <formula>0</formula>
    </cfRule>
  </conditionalFormatting>
  <conditionalFormatting sqref="C73:D73 D75:D81">
    <cfRule type="cellIs" dxfId="1831" priority="183" stopIfTrue="1" operator="greaterThan">
      <formula>4.5</formula>
    </cfRule>
  </conditionalFormatting>
  <conditionalFormatting sqref="D42:D43">
    <cfRule type="cellIs" dxfId="1830" priority="109" operator="notBetween">
      <formula>#REF!</formula>
      <formula>#REF!</formula>
    </cfRule>
  </conditionalFormatting>
  <conditionalFormatting sqref="D62:D66 D68:D69">
    <cfRule type="cellIs" dxfId="1829" priority="69" stopIfTrue="1" operator="lessThanOrEqual">
      <formula>0</formula>
    </cfRule>
  </conditionalFormatting>
  <conditionalFormatting sqref="D62:D66 D68:D71">
    <cfRule type="cellIs" dxfId="1828" priority="52" stopIfTrue="1" operator="lessThanOrEqual">
      <formula>0</formula>
    </cfRule>
  </conditionalFormatting>
  <conditionalFormatting sqref="D70">
    <cfRule type="cellIs" dxfId="1827" priority="68" stopIfTrue="1" operator="lessThanOrEqual">
      <formula>0</formula>
    </cfRule>
  </conditionalFormatting>
  <conditionalFormatting sqref="D71">
    <cfRule type="cellIs" dxfId="1826" priority="65" stopIfTrue="1" operator="lessThanOrEqual">
      <formula>0</formula>
    </cfRule>
  </conditionalFormatting>
  <conditionalFormatting sqref="D73 D75:D81">
    <cfRule type="cellIs" dxfId="1825" priority="184" stopIfTrue="1" operator="lessThanOrEqual">
      <formula>0</formula>
    </cfRule>
  </conditionalFormatting>
  <conditionalFormatting sqref="D74">
    <cfRule type="cellIs" dxfId="1824" priority="176" stopIfTrue="1" operator="lessThanOrEqual">
      <formula>0</formula>
    </cfRule>
    <cfRule type="cellIs" dxfId="1823" priority="175" stopIfTrue="1" operator="greaterThan">
      <formula>$F$73</formula>
    </cfRule>
  </conditionalFormatting>
  <conditionalFormatting sqref="D62:E66 E67 D68:E71">
    <cfRule type="cellIs" dxfId="1822" priority="54" stopIfTrue="1" operator="greaterThan">
      <formula>$F62</formula>
    </cfRule>
  </conditionalFormatting>
  <conditionalFormatting sqref="D71:E71">
    <cfRule type="cellIs" dxfId="1821" priority="56" stopIfTrue="1" operator="lessThanOrEqual">
      <formula>0</formula>
    </cfRule>
  </conditionalFormatting>
  <conditionalFormatting sqref="E10:E17">
    <cfRule type="cellIs" dxfId="1820" priority="20" operator="lessThan">
      <formula>48</formula>
    </cfRule>
  </conditionalFormatting>
  <conditionalFormatting sqref="E45 E46:F46">
    <cfRule type="cellIs" dxfId="1819" priority="180" stopIfTrue="1" operator="greaterThan">
      <formula>100</formula>
    </cfRule>
  </conditionalFormatting>
  <conditionalFormatting sqref="E46">
    <cfRule type="cellIs" dxfId="1818" priority="177" stopIfTrue="1" operator="lessThan">
      <formula>96.8</formula>
    </cfRule>
    <cfRule type="cellIs" dxfId="1817" priority="178" stopIfTrue="1" operator="greaterThan">
      <formula>100</formula>
    </cfRule>
  </conditionalFormatting>
  <conditionalFormatting sqref="E62:E70">
    <cfRule type="cellIs" dxfId="1816" priority="53" stopIfTrue="1" operator="lessThanOrEqual">
      <formula>0</formula>
    </cfRule>
  </conditionalFormatting>
  <conditionalFormatting sqref="E62:E71">
    <cfRule type="cellIs" dxfId="1815" priority="55" stopIfTrue="1" operator="lessThanOrEqual">
      <formula>0</formula>
    </cfRule>
  </conditionalFormatting>
  <conditionalFormatting sqref="E73:E81">
    <cfRule type="cellIs" dxfId="1814" priority="170" stopIfTrue="1" operator="lessThanOrEqual">
      <formula>0</formula>
    </cfRule>
    <cfRule type="cellIs" dxfId="1813" priority="169" stopIfTrue="1" operator="greaterThan">
      <formula>4.5</formula>
    </cfRule>
  </conditionalFormatting>
  <conditionalFormatting sqref="E46:F46 E45">
    <cfRule type="cellIs" dxfId="1812" priority="179" stopIfTrue="1" operator="lessThan">
      <formula>96.5</formula>
    </cfRule>
  </conditionalFormatting>
  <conditionalFormatting sqref="F16:F17">
    <cfRule type="cellIs" dxfId="1811" priority="43" operator="greaterThan">
      <formula>60</formula>
    </cfRule>
  </conditionalFormatting>
  <conditionalFormatting sqref="F46">
    <cfRule type="cellIs" dxfId="1810" priority="196" stopIfTrue="1" operator="greaterThan">
      <formula>100</formula>
    </cfRule>
    <cfRule type="cellIs" dxfId="1809" priority="195" stopIfTrue="1" operator="lessThan">
      <formula>96.8</formula>
    </cfRule>
  </conditionalFormatting>
  <conditionalFormatting sqref="F71">
    <cfRule type="cellIs" dxfId="1808" priority="66" stopIfTrue="1" operator="greaterThan">
      <formula>$F71</formula>
    </cfRule>
    <cfRule type="cellIs" dxfId="1807" priority="67" stopIfTrue="1" operator="lessThanOrEqual">
      <formula>0</formula>
    </cfRule>
  </conditionalFormatting>
  <conditionalFormatting sqref="G10:G17">
    <cfRule type="expression" dxfId="1806" priority="21">
      <formula>IF(+(IF(G10&lt;S10,0,IF(G10&gt;T10,0,1)))=0,1)</formula>
    </cfRule>
  </conditionalFormatting>
  <conditionalFormatting sqref="G62:G63">
    <cfRule type="cellIs" dxfId="1805" priority="70" stopIfTrue="1" operator="greaterThan">
      <formula>$F62</formula>
    </cfRule>
    <cfRule type="cellIs" dxfId="1804" priority="71" stopIfTrue="1" operator="lessThanOrEqual">
      <formula>0</formula>
    </cfRule>
  </conditionalFormatting>
  <conditionalFormatting sqref="G62:G65">
    <cfRule type="cellIs" dxfId="1803" priority="47" stopIfTrue="1" operator="greaterThan">
      <formula>$F62</formula>
    </cfRule>
    <cfRule type="cellIs" dxfId="1802" priority="48" stopIfTrue="1" operator="lessThanOrEqual">
      <formula>0</formula>
    </cfRule>
  </conditionalFormatting>
  <conditionalFormatting sqref="G64">
    <cfRule type="cellIs" dxfId="1801" priority="46" stopIfTrue="1" operator="lessThanOrEqual">
      <formula>0</formula>
    </cfRule>
    <cfRule type="cellIs" dxfId="1800" priority="45" stopIfTrue="1" operator="greaterThan">
      <formula>$F64</formula>
    </cfRule>
  </conditionalFormatting>
  <conditionalFormatting sqref="G65">
    <cfRule type="cellIs" dxfId="1799" priority="60" stopIfTrue="1" operator="greaterThan">
      <formula>$F65</formula>
    </cfRule>
    <cfRule type="cellIs" dxfId="1798" priority="61" stopIfTrue="1" operator="lessThanOrEqual">
      <formula>0</formula>
    </cfRule>
  </conditionalFormatting>
  <conditionalFormatting sqref="G66:G70">
    <cfRule type="cellIs" dxfId="1797" priority="72" stopIfTrue="1" operator="greaterThan">
      <formula>$J66</formula>
    </cfRule>
    <cfRule type="cellIs" dxfId="1796" priority="73" stopIfTrue="1" operator="lessThanOrEqual">
      <formula>0</formula>
    </cfRule>
  </conditionalFormatting>
  <conditionalFormatting sqref="G75:G80 C78 C80">
    <cfRule type="cellIs" dxfId="1795" priority="193" stopIfTrue="1" operator="lessThanOrEqual">
      <formula>0</formula>
    </cfRule>
    <cfRule type="cellIs" dxfId="1794" priority="192" stopIfTrue="1" operator="greaterThan">
      <formula>4.5</formula>
    </cfRule>
  </conditionalFormatting>
  <conditionalFormatting sqref="G74:H74">
    <cfRule type="cellIs" dxfId="1793" priority="174" stopIfTrue="1" operator="lessThanOrEqual">
      <formula>0</formula>
    </cfRule>
    <cfRule type="cellIs" dxfId="1792" priority="173" stopIfTrue="1" operator="greaterThan">
      <formula>$F$73</formula>
    </cfRule>
  </conditionalFormatting>
  <conditionalFormatting sqref="H10:H17">
    <cfRule type="expression" dxfId="1791" priority="24">
      <formula>IF(+(IF(H10&lt;#REF!,0,IF(H10&gt;#REF!,0,1)))=0,1)</formula>
    </cfRule>
  </conditionalFormatting>
  <conditionalFormatting sqref="H31:H32 H45">
    <cfRule type="cellIs" dxfId="1790" priority="171" stopIfTrue="1" operator="greaterThan">
      <formula>0</formula>
    </cfRule>
  </conditionalFormatting>
  <conditionalFormatting sqref="H49">
    <cfRule type="cellIs" dxfId="1789" priority="36" stopIfTrue="1" operator="lessThanOrEqual">
      <formula>0</formula>
    </cfRule>
    <cfRule type="cellIs" dxfId="1788" priority="35" stopIfTrue="1" operator="greaterThan">
      <formula>$F$72</formula>
    </cfRule>
    <cfRule type="cellIs" dxfId="1787" priority="26" stopIfTrue="1" operator="lessThanOrEqual">
      <formula>0</formula>
    </cfRule>
    <cfRule type="cellIs" dxfId="1786" priority="27" stopIfTrue="1" operator="greaterThan">
      <formula>$F$69</formula>
    </cfRule>
    <cfRule type="cellIs" dxfId="1785" priority="38" stopIfTrue="1" operator="lessThanOrEqual">
      <formula>0</formula>
    </cfRule>
    <cfRule type="cellIs" dxfId="1784" priority="37" stopIfTrue="1" operator="greaterThan">
      <formula>$F$70</formula>
    </cfRule>
  </conditionalFormatting>
  <conditionalFormatting sqref="H50:H51">
    <cfRule type="cellIs" dxfId="1783" priority="79" stopIfTrue="1" operator="lessThanOrEqual">
      <formula>0</formula>
    </cfRule>
    <cfRule type="cellIs" dxfId="1782" priority="80" stopIfTrue="1" operator="greaterThan">
      <formula>$F$62</formula>
    </cfRule>
    <cfRule type="cellIs" dxfId="1781" priority="88" stopIfTrue="1" operator="greaterThan">
      <formula>$F$65</formula>
    </cfRule>
    <cfRule type="cellIs" dxfId="1780" priority="89" stopIfTrue="1" operator="lessThanOrEqual">
      <formula>0</formula>
    </cfRule>
    <cfRule type="cellIs" dxfId="1779" priority="90" stopIfTrue="1" operator="greaterThan">
      <formula>$F$63</formula>
    </cfRule>
  </conditionalFormatting>
  <conditionalFormatting sqref="H50:H53">
    <cfRule type="cellIs" dxfId="1778" priority="91" stopIfTrue="1" operator="lessThanOrEqual">
      <formula>0</formula>
    </cfRule>
  </conditionalFormatting>
  <conditionalFormatting sqref="H52:H53">
    <cfRule type="cellIs" dxfId="1777" priority="102" stopIfTrue="1" operator="greaterThan">
      <formula>$F$65</formula>
    </cfRule>
    <cfRule type="cellIs" dxfId="1776" priority="103" stopIfTrue="1" operator="lessThanOrEqual">
      <formula>0</formula>
    </cfRule>
    <cfRule type="cellIs" dxfId="1775" priority="105" stopIfTrue="1" operator="lessThanOrEqual">
      <formula>0</formula>
    </cfRule>
    <cfRule type="cellIs" dxfId="1774" priority="104" stopIfTrue="1" operator="greaterThan">
      <formula>$F$63</formula>
    </cfRule>
    <cfRule type="cellIs" dxfId="1773" priority="94" stopIfTrue="1" operator="greaterThan">
      <formula>$F$62</formula>
    </cfRule>
  </conditionalFormatting>
  <conditionalFormatting sqref="H54:H55">
    <cfRule type="cellIs" dxfId="1772" priority="133" stopIfTrue="1" operator="lessThanOrEqual">
      <formula>0</formula>
    </cfRule>
    <cfRule type="cellIs" dxfId="1771" priority="134" stopIfTrue="1" operator="greaterThan">
      <formula>#REF!</formula>
    </cfRule>
    <cfRule type="cellIs" dxfId="1770" priority="145" stopIfTrue="1" operator="lessThanOrEqual">
      <formula>0</formula>
    </cfRule>
    <cfRule type="cellIs" dxfId="1769" priority="144" stopIfTrue="1" operator="greaterThan">
      <formula>#REF!</formula>
    </cfRule>
    <cfRule type="cellIs" dxfId="1768" priority="143" stopIfTrue="1" operator="lessThanOrEqual">
      <formula>0</formula>
    </cfRule>
    <cfRule type="cellIs" dxfId="1767" priority="142" stopIfTrue="1" operator="greaterThan">
      <formula>$F$17</formula>
    </cfRule>
  </conditionalFormatting>
  <conditionalFormatting sqref="H56">
    <cfRule type="cellIs" dxfId="1766" priority="148" stopIfTrue="1" operator="greaterThan">
      <formula>$F$30</formula>
    </cfRule>
    <cfRule type="cellIs" dxfId="1765" priority="158" stopIfTrue="1" operator="greaterThan">
      <formula>$F$31</formula>
    </cfRule>
    <cfRule type="cellIs" dxfId="1764" priority="157" stopIfTrue="1" operator="lessThanOrEqual">
      <formula>0</formula>
    </cfRule>
    <cfRule type="cellIs" dxfId="1763" priority="156" stopIfTrue="1" operator="greaterThan">
      <formula>$F$33</formula>
    </cfRule>
    <cfRule type="cellIs" dxfId="1762" priority="159" stopIfTrue="1" operator="lessThanOrEqual">
      <formula>0</formula>
    </cfRule>
    <cfRule type="cellIs" dxfId="1761" priority="147" stopIfTrue="1" operator="lessThanOrEqual">
      <formula>0</formula>
    </cfRule>
  </conditionalFormatting>
  <conditionalFormatting sqref="H57:H58">
    <cfRule type="cellIs" dxfId="1760" priority="128" stopIfTrue="1" operator="greaterThan">
      <formula>$F$17</formula>
    </cfRule>
    <cfRule type="cellIs" dxfId="1759" priority="119" stopIfTrue="1" operator="lessThanOrEqual">
      <formula>0</formula>
    </cfRule>
    <cfRule type="cellIs" dxfId="1758" priority="120" stopIfTrue="1" operator="greaterThan">
      <formula>#REF!</formula>
    </cfRule>
    <cfRule type="cellIs" dxfId="1757" priority="129" stopIfTrue="1" operator="lessThanOrEqual">
      <formula>0</formula>
    </cfRule>
    <cfRule type="cellIs" dxfId="1756" priority="130" stopIfTrue="1" operator="greaterThan">
      <formula>#REF!</formula>
    </cfRule>
    <cfRule type="cellIs" dxfId="1755" priority="131" stopIfTrue="1" operator="lessThanOrEqual">
      <formula>0</formula>
    </cfRule>
  </conditionalFormatting>
  <conditionalFormatting sqref="H73 H75:H81">
    <cfRule type="cellIs" dxfId="1754" priority="186" stopIfTrue="1" operator="lessThanOrEqual">
      <formula>0</formula>
    </cfRule>
    <cfRule type="cellIs" dxfId="1753" priority="185" stopIfTrue="1" operator="greaterThan">
      <formula>4.5</formula>
    </cfRule>
  </conditionalFormatting>
  <conditionalFormatting sqref="H49:I49">
    <cfRule type="cellIs" dxfId="1752" priority="25" stopIfTrue="1" operator="greaterThan">
      <formula>$F$71</formula>
    </cfRule>
    <cfRule type="cellIs" dxfId="1751" priority="28" stopIfTrue="1" operator="lessThanOrEqual">
      <formula>0</formula>
    </cfRule>
  </conditionalFormatting>
  <conditionalFormatting sqref="H50:I51">
    <cfRule type="cellIs" dxfId="1750" priority="81" stopIfTrue="1" operator="lessThanOrEqual">
      <formula>0</formula>
    </cfRule>
  </conditionalFormatting>
  <conditionalFormatting sqref="H50:I53">
    <cfRule type="cellIs" dxfId="1749" priority="78" stopIfTrue="1" operator="greaterThan">
      <formula>$F$64</formula>
    </cfRule>
  </conditionalFormatting>
  <conditionalFormatting sqref="H52:I53">
    <cfRule type="cellIs" dxfId="1748" priority="95" stopIfTrue="1" operator="lessThanOrEqual">
      <formula>0</formula>
    </cfRule>
  </conditionalFormatting>
  <conditionalFormatting sqref="H54:I55">
    <cfRule type="cellIs" dxfId="1747" priority="135" stopIfTrue="1" operator="lessThanOrEqual">
      <formula>0</formula>
    </cfRule>
    <cfRule type="cellIs" dxfId="1746" priority="132" stopIfTrue="1" operator="greaterThan">
      <formula>#REF!</formula>
    </cfRule>
  </conditionalFormatting>
  <conditionalFormatting sqref="H56:I56">
    <cfRule type="cellIs" dxfId="1745" priority="149" stopIfTrue="1" operator="lessThanOrEqual">
      <formula>0</formula>
    </cfRule>
    <cfRule type="cellIs" dxfId="1744" priority="146" stopIfTrue="1" operator="greaterThan">
      <formula>$F$32</formula>
    </cfRule>
  </conditionalFormatting>
  <conditionalFormatting sqref="H57:I58">
    <cfRule type="cellIs" dxfId="1743" priority="121" stopIfTrue="1" operator="lessThanOrEqual">
      <formula>0</formula>
    </cfRule>
    <cfRule type="cellIs" dxfId="1742" priority="118" stopIfTrue="1" operator="greaterThan">
      <formula>#REF!</formula>
    </cfRule>
  </conditionalFormatting>
  <conditionalFormatting sqref="H62:I69">
    <cfRule type="cellIs" dxfId="1741" priority="51" stopIfTrue="1" operator="lessThanOrEqual">
      <formula>0</formula>
    </cfRule>
    <cfRule type="cellIs" dxfId="1740" priority="50" stopIfTrue="1" operator="greaterThan">
      <formula>$J62</formula>
    </cfRule>
  </conditionalFormatting>
  <conditionalFormatting sqref="H70:I70">
    <cfRule type="cellIs" dxfId="1739" priority="59" operator="greaterThan">
      <formula>5.3</formula>
    </cfRule>
  </conditionalFormatting>
  <conditionalFormatting sqref="H71:I71">
    <cfRule type="cellIs" dxfId="1738" priority="57" stopIfTrue="1" operator="greaterThan">
      <formula>$J71</formula>
    </cfRule>
    <cfRule type="cellIs" dxfId="1737" priority="58" stopIfTrue="1" operator="lessThanOrEqual">
      <formula>0</formula>
    </cfRule>
  </conditionalFormatting>
  <conditionalFormatting sqref="I49">
    <cfRule type="cellIs" dxfId="1736" priority="31" stopIfTrue="1" operator="greaterThan">
      <formula>$F$71</formula>
    </cfRule>
    <cfRule type="cellIs" dxfId="1735" priority="32" stopIfTrue="1" operator="lessThanOrEqual">
      <formula>0</formula>
    </cfRule>
    <cfRule type="cellIs" dxfId="1734" priority="33" stopIfTrue="1" operator="greaterThan">
      <formula>$F$69</formula>
    </cfRule>
    <cfRule type="cellIs" dxfId="1733" priority="34" stopIfTrue="1" operator="lessThanOrEqual">
      <formula>0</formula>
    </cfRule>
    <cfRule type="cellIs" dxfId="1732" priority="29" stopIfTrue="1" operator="greaterThan">
      <formula>$F$69</formula>
    </cfRule>
    <cfRule type="cellIs" dxfId="1731" priority="30" stopIfTrue="1" operator="lessThanOrEqual">
      <formula>0</formula>
    </cfRule>
  </conditionalFormatting>
  <conditionalFormatting sqref="I50:I51">
    <cfRule type="cellIs" dxfId="1730" priority="83" stopIfTrue="1" operator="lessThanOrEqual">
      <formula>0</formula>
    </cfRule>
    <cfRule type="cellIs" dxfId="1729" priority="85" stopIfTrue="1" operator="lessThanOrEqual">
      <formula>0</formula>
    </cfRule>
    <cfRule type="cellIs" dxfId="1728" priority="87" stopIfTrue="1" operator="lessThanOrEqual">
      <formula>0</formula>
    </cfRule>
    <cfRule type="cellIs" dxfId="1727" priority="86" stopIfTrue="1" operator="greaterThan">
      <formula>$F$62</formula>
    </cfRule>
    <cfRule type="cellIs" dxfId="1726" priority="82" stopIfTrue="1" operator="greaterThan">
      <formula>$F$62</formula>
    </cfRule>
    <cfRule type="cellIs" dxfId="1725" priority="84" stopIfTrue="1" operator="greaterThan">
      <formula>$F$64</formula>
    </cfRule>
  </conditionalFormatting>
  <conditionalFormatting sqref="I52:I53">
    <cfRule type="cellIs" dxfId="1724" priority="101" stopIfTrue="1" operator="lessThanOrEqual">
      <formula>0</formula>
    </cfRule>
    <cfRule type="cellIs" dxfId="1723" priority="100" stopIfTrue="1" operator="greaterThan">
      <formula>$F$62</formula>
    </cfRule>
    <cfRule type="cellIs" dxfId="1722" priority="99" stopIfTrue="1" operator="lessThanOrEqual">
      <formula>0</formula>
    </cfRule>
    <cfRule type="cellIs" dxfId="1721" priority="98" stopIfTrue="1" operator="greaterThan">
      <formula>$F$64</formula>
    </cfRule>
    <cfRule type="cellIs" dxfId="1720" priority="97" stopIfTrue="1" operator="lessThanOrEqual">
      <formula>0</formula>
    </cfRule>
    <cfRule type="cellIs" dxfId="1719" priority="96" stopIfTrue="1" operator="greaterThan">
      <formula>$F$62</formula>
    </cfRule>
  </conditionalFormatting>
  <conditionalFormatting sqref="I54:I55">
    <cfRule type="cellIs" dxfId="1718" priority="141" stopIfTrue="1" operator="lessThanOrEqual">
      <formula>0</formula>
    </cfRule>
    <cfRule type="cellIs" dxfId="1717" priority="137" stopIfTrue="1" operator="lessThanOrEqual">
      <formula>0</formula>
    </cfRule>
    <cfRule type="cellIs" dxfId="1716" priority="138" stopIfTrue="1" operator="greaterThan">
      <formula>#REF!</formula>
    </cfRule>
    <cfRule type="cellIs" dxfId="1715" priority="139" stopIfTrue="1" operator="lessThanOrEqual">
      <formula>0</formula>
    </cfRule>
    <cfRule type="cellIs" dxfId="1714" priority="140" stopIfTrue="1" operator="greaterThan">
      <formula>#REF!</formula>
    </cfRule>
    <cfRule type="cellIs" dxfId="1713" priority="136" stopIfTrue="1" operator="greaterThan">
      <formula>#REF!</formula>
    </cfRule>
  </conditionalFormatting>
  <conditionalFormatting sqref="I56">
    <cfRule type="cellIs" dxfId="1712" priority="153" stopIfTrue="1" operator="lessThanOrEqual">
      <formula>0</formula>
    </cfRule>
    <cfRule type="cellIs" dxfId="1711" priority="154" stopIfTrue="1" operator="greaterThan">
      <formula>$F$30</formula>
    </cfRule>
    <cfRule type="cellIs" dxfId="1710" priority="155" stopIfTrue="1" operator="lessThanOrEqual">
      <formula>0</formula>
    </cfRule>
    <cfRule type="cellIs" dxfId="1709" priority="150" stopIfTrue="1" operator="greaterThan">
      <formula>$F$30</formula>
    </cfRule>
    <cfRule type="cellIs" dxfId="1708" priority="151" stopIfTrue="1" operator="lessThanOrEqual">
      <formula>0</formula>
    </cfRule>
    <cfRule type="cellIs" dxfId="1707" priority="152" stopIfTrue="1" operator="greaterThan">
      <formula>$F$32</formula>
    </cfRule>
  </conditionalFormatting>
  <conditionalFormatting sqref="I57:I58">
    <cfRule type="cellIs" dxfId="1706" priority="127" stopIfTrue="1" operator="lessThanOrEqual">
      <formula>0</formula>
    </cfRule>
    <cfRule type="cellIs" dxfId="1705" priority="126" stopIfTrue="1" operator="greaterThan">
      <formula>#REF!</formula>
    </cfRule>
    <cfRule type="cellIs" dxfId="1704" priority="125" stopIfTrue="1" operator="lessThanOrEqual">
      <formula>0</formula>
    </cfRule>
    <cfRule type="cellIs" dxfId="1703" priority="124" stopIfTrue="1" operator="greaterThan">
      <formula>#REF!</formula>
    </cfRule>
    <cfRule type="cellIs" dxfId="1702" priority="122" stopIfTrue="1" operator="greaterThan">
      <formula>#REF!</formula>
    </cfRule>
    <cfRule type="cellIs" dxfId="1701" priority="123" stopIfTrue="1" operator="lessThanOrEqual">
      <formula>0</formula>
    </cfRule>
  </conditionalFormatting>
  <conditionalFormatting sqref="I73:I81">
    <cfRule type="cellIs" dxfId="1700" priority="181" stopIfTrue="1" operator="greaterThan">
      <formula>4.5</formula>
    </cfRule>
    <cfRule type="cellIs" dxfId="1699" priority="182" stopIfTrue="1" operator="lessThanOrEqual">
      <formula>0</formula>
    </cfRule>
  </conditionalFormatting>
  <conditionalFormatting sqref="I10:J17">
    <cfRule type="cellIs" dxfId="1698" priority="14" operator="lessThan">
      <formula>97.9</formula>
    </cfRule>
  </conditionalFormatting>
  <conditionalFormatting sqref="J20:J21">
    <cfRule type="cellIs" dxfId="1697" priority="93" operator="lessThan">
      <formula>97.95</formula>
    </cfRule>
  </conditionalFormatting>
  <conditionalFormatting sqref="J22">
    <cfRule type="cellIs" dxfId="1696" priority="163" operator="lessThan">
      <formula>98</formula>
    </cfRule>
    <cfRule type="cellIs" dxfId="1695" priority="161" stopIfTrue="1" operator="lessThan">
      <formula>96.8</formula>
    </cfRule>
    <cfRule type="cellIs" dxfId="1694" priority="162" stopIfTrue="1" operator="greaterThan">
      <formula>100</formula>
    </cfRule>
  </conditionalFormatting>
  <conditionalFormatting sqref="J22:J24">
    <cfRule type="cellIs" dxfId="1693" priority="160" operator="lessThan">
      <formula>97.4</formula>
    </cfRule>
  </conditionalFormatting>
  <conditionalFormatting sqref="J25:J26">
    <cfRule type="cellIs" dxfId="1692" priority="164" operator="lessThan">
      <formula>98</formula>
    </cfRule>
  </conditionalFormatting>
  <conditionalFormatting sqref="J27:J28">
    <cfRule type="cellIs" dxfId="1691" priority="165" stopIfTrue="1" operator="lessThan">
      <formula>96.8</formula>
    </cfRule>
    <cfRule type="cellIs" dxfId="1690" priority="166" stopIfTrue="1" operator="greaterThan">
      <formula>100</formula>
    </cfRule>
  </conditionalFormatting>
  <conditionalFormatting sqref="J27:J29">
    <cfRule type="cellIs" dxfId="1689" priority="167" operator="lessThan">
      <formula>98</formula>
    </cfRule>
  </conditionalFormatting>
  <conditionalFormatting sqref="J58">
    <cfRule type="cellIs" dxfId="1688" priority="113" stopIfTrue="1" operator="lessThanOrEqual">
      <formula>0</formula>
    </cfRule>
    <cfRule type="cellIs" dxfId="1687" priority="110" stopIfTrue="1" operator="greaterThan">
      <formula>#REF!</formula>
    </cfRule>
    <cfRule type="cellIs" dxfId="1686" priority="114" stopIfTrue="1" operator="greaterThan">
      <formula>#REF!</formula>
    </cfRule>
    <cfRule type="cellIs" dxfId="1685" priority="115" stopIfTrue="1" operator="lessThanOrEqual">
      <formula>0</formula>
    </cfRule>
    <cfRule type="cellIs" dxfId="1684" priority="116" stopIfTrue="1" operator="greaterThan">
      <formula>#REF!</formula>
    </cfRule>
    <cfRule type="cellIs" dxfId="1683" priority="117" stopIfTrue="1" operator="lessThanOrEqual">
      <formula>0</formula>
    </cfRule>
    <cfRule type="cellIs" dxfId="1682" priority="112" stopIfTrue="1" operator="greaterThan">
      <formula>#REF!</formula>
    </cfRule>
    <cfRule type="cellIs" dxfId="1681" priority="111" stopIfTrue="1" operator="lessThanOrEqual">
      <formula>0</formula>
    </cfRule>
  </conditionalFormatting>
  <conditionalFormatting sqref="J71">
    <cfRule type="cellIs" dxfId="1680" priority="62" stopIfTrue="1" operator="greaterThan">
      <formula>$F71</formula>
    </cfRule>
    <cfRule type="cellIs" dxfId="1679" priority="63" stopIfTrue="1" operator="lessThanOrEqual">
      <formula>0</formula>
    </cfRule>
  </conditionalFormatting>
  <conditionalFormatting sqref="K10:K17">
    <cfRule type="cellIs" dxfId="1678" priority="15" operator="greaterThan">
      <formula>6</formula>
    </cfRule>
    <cfRule type="cellIs" dxfId="1677" priority="17" operator="greaterThan">
      <formula>6.4</formula>
    </cfRule>
    <cfRule type="cellIs" dxfId="1676" priority="16" operator="lessThan">
      <formula>4</formula>
    </cfRule>
  </conditionalFormatting>
  <conditionalFormatting sqref="K49:K58">
    <cfRule type="cellIs" dxfId="1675" priority="92" stopIfTrue="1" operator="lessThan">
      <formula>100%</formula>
    </cfRule>
  </conditionalFormatting>
  <conditionalFormatting sqref="K73:K78">
    <cfRule type="cellIs" dxfId="1674" priority="187" stopIfTrue="1" operator="lessThan">
      <formula>100%</formula>
    </cfRule>
  </conditionalFormatting>
  <conditionalFormatting sqref="K80:K81">
    <cfRule type="cellIs" dxfId="1673" priority="194" stopIfTrue="1" operator="lessThan">
      <formula>100%</formula>
    </cfRule>
  </conditionalFormatting>
  <conditionalFormatting sqref="K62:M70">
    <cfRule type="cellIs" dxfId="1672" priority="49" stopIfTrue="1" operator="lessThan">
      <formula>100%</formula>
    </cfRule>
  </conditionalFormatting>
  <conditionalFormatting sqref="L10:L17">
    <cfRule type="cellIs" dxfId="1671" priority="18" operator="between">
      <formula>61</formula>
      <formula>65</formula>
    </cfRule>
    <cfRule type="cellIs" dxfId="1670" priority="19" operator="greaterThan">
      <formula>65</formula>
    </cfRule>
  </conditionalFormatting>
  <conditionalFormatting sqref="L20:M31">
    <cfRule type="cellIs" dxfId="1669" priority="107" operator="lessThan">
      <formula>97.95</formula>
    </cfRule>
  </conditionalFormatting>
  <conditionalFormatting sqref="L71:M71">
    <cfRule type="cellIs" dxfId="1668" priority="64" stopIfTrue="1" operator="lessThan">
      <formula>100%</formula>
    </cfRule>
  </conditionalFormatting>
  <conditionalFormatting sqref="L35:N35">
    <cfRule type="cellIs" dxfId="1667" priority="44" operator="notEqual">
      <formula>#REF!</formula>
    </cfRule>
  </conditionalFormatting>
  <conditionalFormatting sqref="L73:N81">
    <cfRule type="cellIs" dxfId="1666" priority="172" stopIfTrue="1" operator="lessThan">
      <formula>100%</formula>
    </cfRule>
  </conditionalFormatting>
  <conditionalFormatting sqref="M10:M15">
    <cfRule type="expression" dxfId="1665" priority="10">
      <formula>IF(+(IF(M10&lt;U10,0,IF(M10&gt;V10,0,1)))=0,1)</formula>
    </cfRule>
  </conditionalFormatting>
  <conditionalFormatting sqref="M16:N17">
    <cfRule type="expression" dxfId="1664" priority="106">
      <formula>IF(+(IF(M16&lt;#REF!,0,IF(M16&gt;#REF!,0,1)))=0,1)</formula>
    </cfRule>
  </conditionalFormatting>
  <conditionalFormatting sqref="N10:N15">
    <cfRule type="expression" dxfId="1663" priority="9">
      <formula>IF(+(IF(N10&lt;W10,0,IF(N10&gt;X10,0,1)))=0,1)</formula>
    </cfRule>
  </conditionalFormatting>
  <conditionalFormatting sqref="N62:N71">
    <cfRule type="cellIs" dxfId="1662" priority="74" stopIfTrue="1" operator="lessThan">
      <formula>100%</formula>
    </cfRule>
  </conditionalFormatting>
  <conditionalFormatting sqref="P6">
    <cfRule type="cellIs" dxfId="1661" priority="168" operator="greaterThanOrEqual">
      <formula>19</formula>
    </cfRule>
  </conditionalFormatting>
  <dataValidations count="1">
    <dataValidation type="list" allowBlank="1" showInputMessage="1" showErrorMessage="1" sqref="R8" xr:uid="{CC9F59A7-6DAC-49A6-A875-AA546CA8668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F0DC-20DF-4359-85BD-D7950497665D}">
  <sheetPr>
    <pageSetUpPr fitToPage="1"/>
  </sheetPr>
  <dimension ref="A1:BE76"/>
  <sheetViews>
    <sheetView topLeftCell="A8" zoomScale="70" zoomScaleNormal="70" workbookViewId="0">
      <selection activeCell="B18" sqref="B18:O18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46160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16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12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3" t="s">
        <v>9</v>
      </c>
      <c r="C10" s="366" t="str">
        <f>[3]Brewhouse!$A230</f>
        <v>ST176</v>
      </c>
      <c r="D10" s="279">
        <f>[3]Brewhouse!$AB230</f>
        <v>49</v>
      </c>
      <c r="E10" s="279">
        <f>[3]Brewhouse!$AG230</f>
        <v>44.1</v>
      </c>
      <c r="F10" s="278">
        <f>[3]Brewhouse!$V230</f>
        <v>56</v>
      </c>
      <c r="G10" s="279">
        <f>[3]Brewhouse!$AE230</f>
        <v>11.6</v>
      </c>
      <c r="H10" s="396">
        <v>11.6</v>
      </c>
      <c r="I10" s="368">
        <f>[3]Brewhouse!$AS230</f>
        <v>91.893381203561418</v>
      </c>
      <c r="J10" s="368">
        <f>[3]Brewhouse!$AT230</f>
        <v>92.687712682033052</v>
      </c>
      <c r="K10" s="281">
        <f>[3]Brewhouse!$Q230</f>
        <v>7.7040816326530575</v>
      </c>
      <c r="L10" s="276">
        <f>[3]Brewhouse!$P230</f>
        <v>60</v>
      </c>
      <c r="M10" s="374">
        <f>[3]Brewhouse!$U230-[3]Brewhouse!$T230</f>
        <v>0.1277777777777778</v>
      </c>
      <c r="N10" s="370">
        <f>[3]Brewhouse!$AW230</f>
        <v>0.2729166666666667</v>
      </c>
      <c r="O10" s="371" t="str">
        <f>[3]Brewhouse!$AV230</f>
        <v>R.Sookram</v>
      </c>
      <c r="P10" s="418"/>
      <c r="R10" s="277" t="str">
        <f t="shared" ref="R10:R28" si="0">B10</f>
        <v>STAG</v>
      </c>
      <c r="S10" s="472">
        <f t="shared" ref="S10:S36" si="1">VLOOKUP($B10,$R$3:$X$9,2,FALSE)</f>
        <v>11.6</v>
      </c>
      <c r="T10" s="472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472">
        <f t="shared" ref="Z10:Z36" si="8">VLOOKUP($B10,$R$3:$Z$9,9,FALSE)</f>
        <v>60</v>
      </c>
    </row>
    <row r="11" spans="2:29" ht="15">
      <c r="B11" s="33" t="s">
        <v>9</v>
      </c>
      <c r="C11" s="366" t="str">
        <f>[3]Brewhouse!$A231</f>
        <v>ST177</v>
      </c>
      <c r="D11" s="279">
        <f>[3]Brewhouse!$AB231</f>
        <v>53</v>
      </c>
      <c r="E11" s="279">
        <f>[3]Brewhouse!$AG231</f>
        <v>48.3</v>
      </c>
      <c r="F11" s="278">
        <f>[3]Brewhouse!$V231</f>
        <v>54</v>
      </c>
      <c r="G11" s="279">
        <f>[3]Brewhouse!$AE231</f>
        <v>11.8</v>
      </c>
      <c r="H11" s="482">
        <v>12.2</v>
      </c>
      <c r="I11" s="368">
        <f>[3]Brewhouse!$AS231</f>
        <v>95.883830769509331</v>
      </c>
      <c r="J11" s="368">
        <f>[3]Brewhouse!$AT231</f>
        <v>96.727931704032002</v>
      </c>
      <c r="K11" s="281">
        <f>[3]Brewhouse!$Q231</f>
        <v>7.5000000000000027</v>
      </c>
      <c r="L11" s="276">
        <f>[3]Brewhouse!$P231</f>
        <v>61</v>
      </c>
      <c r="M11" s="374">
        <f>[3]Brewhouse!$U231-[3]Brewhouse!$T231</f>
        <v>0.11458333333333331</v>
      </c>
      <c r="N11" s="370">
        <f>[3]Brewhouse!$AW231</f>
        <v>0.26180555555555551</v>
      </c>
      <c r="O11" s="371" t="str">
        <f>[3]Brewhouse!$AV231</f>
        <v>R.Sookram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3" t="s">
        <v>9</v>
      </c>
      <c r="C12" s="366" t="str">
        <f>[3]Brewhouse!$A232</f>
        <v>ST178</v>
      </c>
      <c r="D12" s="279">
        <f>[3]Brewhouse!$AB232</f>
        <v>53</v>
      </c>
      <c r="E12" s="279">
        <f>[3]Brewhouse!$AG232</f>
        <v>48.4</v>
      </c>
      <c r="F12" s="278">
        <f>[3]Brewhouse!$V232</f>
        <v>55</v>
      </c>
      <c r="G12" s="279">
        <f>[3]Brewhouse!$AE232</f>
        <v>11.8</v>
      </c>
      <c r="H12" s="396">
        <v>12.1</v>
      </c>
      <c r="I12" s="368">
        <f>[3]Brewhouse!$AS232</f>
        <v>96.325210694705959</v>
      </c>
      <c r="J12" s="368">
        <f>[3]Brewhouse!$AT232</f>
        <v>97.172632634877516</v>
      </c>
      <c r="K12" s="281">
        <f>[3]Brewhouse!$Q232</f>
        <v>7.3113207547169807</v>
      </c>
      <c r="L12" s="276">
        <f>[3]Brewhouse!$P232</f>
        <v>60</v>
      </c>
      <c r="M12" s="374">
        <f>[3]Brewhouse!$U232-[3]Brewhouse!$T232</f>
        <v>0.11319444444444449</v>
      </c>
      <c r="N12" s="370">
        <f>[3]Brewhouse!$AW232</f>
        <v>0.25902777777777786</v>
      </c>
      <c r="O12" s="371" t="str">
        <f>[3]Brewhouse!$AV232</f>
        <v>K. Benjamin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33" t="s">
        <v>9</v>
      </c>
      <c r="C13" s="366" t="str">
        <f>[3]Brewhouse!$A233</f>
        <v>ST179</v>
      </c>
      <c r="D13" s="279">
        <f>[3]Brewhouse!$AB233</f>
        <v>53</v>
      </c>
      <c r="E13" s="279">
        <f>[3]Brewhouse!$AG233</f>
        <v>49.06</v>
      </c>
      <c r="F13" s="278">
        <f>[3]Brewhouse!$V233</f>
        <v>60</v>
      </c>
      <c r="G13" s="279">
        <f>[3]Brewhouse!$AE233</f>
        <v>11.7</v>
      </c>
      <c r="H13" s="396">
        <v>11.9</v>
      </c>
      <c r="I13" s="368">
        <f>[3]Brewhouse!$AS233</f>
        <v>96.768374788406007</v>
      </c>
      <c r="J13" s="368">
        <f>[3]Brewhouse!$AT233</f>
        <v>97.619695468828311</v>
      </c>
      <c r="K13" s="281">
        <f>[3]Brewhouse!$Q233</f>
        <v>7.5000000000000027</v>
      </c>
      <c r="L13" s="276">
        <f>[3]Brewhouse!$P233</f>
        <v>62</v>
      </c>
      <c r="M13" s="374">
        <f>[3]Brewhouse!$U233-[3]Brewhouse!$T233</f>
        <v>0.11944444444444446</v>
      </c>
      <c r="N13" s="370">
        <f>[3]Brewhouse!$AW233</f>
        <v>0.26875000000000004</v>
      </c>
      <c r="O13" s="371" t="str">
        <f>[3]Brewhouse!$AV233</f>
        <v>K. Benjamin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33" t="s">
        <v>9</v>
      </c>
      <c r="C14" s="366" t="str">
        <f>[3]Brewhouse!$A234</f>
        <v>ST180</v>
      </c>
      <c r="D14" s="279">
        <f>[3]Brewhouse!$AB234</f>
        <v>53</v>
      </c>
      <c r="E14" s="279">
        <f>[3]Brewhouse!$AG234</f>
        <v>50.6</v>
      </c>
      <c r="F14" s="278">
        <f>[3]Brewhouse!$V234</f>
        <v>61</v>
      </c>
      <c r="G14" s="279">
        <f>[3]Brewhouse!$AE234</f>
        <v>11.7</v>
      </c>
      <c r="H14" s="396">
        <v>11.8</v>
      </c>
      <c r="I14" s="368">
        <f>[3]Brewhouse!$AS234</f>
        <v>99.805947091181096</v>
      </c>
      <c r="J14" s="368">
        <f>[3]Brewhouse!$AT234</f>
        <v>100.68399084228929</v>
      </c>
      <c r="K14" s="281">
        <f>[3]Brewhouse!$Q234</f>
        <v>7.3113207547169807</v>
      </c>
      <c r="L14" s="276">
        <f>[3]Brewhouse!$P234</f>
        <v>61</v>
      </c>
      <c r="M14" s="374">
        <f>[3]Brewhouse!$U234-[3]Brewhouse!$T234</f>
        <v>0.11527777777777781</v>
      </c>
      <c r="N14" s="370">
        <f>[3]Brewhouse!$AW234</f>
        <v>0.26250000000000007</v>
      </c>
      <c r="O14" s="371" t="str">
        <f>[3]Brewhouse!$AV234</f>
        <v>K. Benjamin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33" t="s">
        <v>9</v>
      </c>
      <c r="C15" s="366" t="str">
        <f>[3]Brewhouse!$A235</f>
        <v>ST181</v>
      </c>
      <c r="D15" s="279">
        <f>[3]Brewhouse!$AB235</f>
        <v>53</v>
      </c>
      <c r="E15" s="279">
        <f>[3]Brewhouse!$AG235</f>
        <v>49.1</v>
      </c>
      <c r="F15" s="278">
        <f>[3]Brewhouse!$V235</f>
        <v>61</v>
      </c>
      <c r="G15" s="279">
        <f>[3]Brewhouse!$AE235</f>
        <v>11.8</v>
      </c>
      <c r="H15" s="396">
        <v>11.8</v>
      </c>
      <c r="I15" s="368">
        <f>[3]Brewhouse!$AS235</f>
        <v>97.59500083914169</v>
      </c>
      <c r="J15" s="368">
        <f>[3]Brewhouse!$AT235</f>
        <v>98.453880164500674</v>
      </c>
      <c r="K15" s="281">
        <f>[3]Brewhouse!$Q235</f>
        <v>7.3113207547169807</v>
      </c>
      <c r="L15" s="276">
        <f>[3]Brewhouse!$P235</f>
        <v>62</v>
      </c>
      <c r="M15" s="374">
        <f>[3]Brewhouse!$U235-[3]Brewhouse!$T235</f>
        <v>0.11527777777777781</v>
      </c>
      <c r="N15" s="370">
        <f>[3]Brewhouse!$AW235</f>
        <v>0.2597222222222223</v>
      </c>
      <c r="O15" s="371" t="str">
        <f>[3]Brewhouse!$AV235</f>
        <v>K. Benjamin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33" t="s">
        <v>9</v>
      </c>
      <c r="C16" s="366" t="str">
        <f>[3]Brewhouse!$A236</f>
        <v>ST182</v>
      </c>
      <c r="D16" s="279">
        <f>[3]Brewhouse!$AB236</f>
        <v>53.1</v>
      </c>
      <c r="E16" s="279">
        <f>[3]Brewhouse!$AG236</f>
        <v>49.12</v>
      </c>
      <c r="F16" s="278">
        <f>[3]Brewhouse!$V236</f>
        <v>60</v>
      </c>
      <c r="G16" s="279">
        <f>[3]Brewhouse!$AE236</f>
        <v>11.6</v>
      </c>
      <c r="H16" s="396">
        <v>11.8</v>
      </c>
      <c r="I16" s="368">
        <f>[3]Brewhouse!$AS236</f>
        <v>96.015295809177886</v>
      </c>
      <c r="J16" s="368">
        <f>[3]Brewhouse!$AT236</f>
        <v>96.859991270251314</v>
      </c>
      <c r="K16" s="281">
        <f>[3]Brewhouse!$Q236</f>
        <v>7.2975517890772128</v>
      </c>
      <c r="L16" s="276">
        <f>[3]Brewhouse!$P236</f>
        <v>71</v>
      </c>
      <c r="M16" s="374">
        <f>[3]Brewhouse!$U236-[3]Brewhouse!$T236</f>
        <v>7.9166666666666607E-2</v>
      </c>
      <c r="N16" s="370">
        <f>[3]Brewhouse!$AW236</f>
        <v>0.23819444444444438</v>
      </c>
      <c r="O16" s="371" t="str">
        <f>[3]Brewhouse!$AV236</f>
        <v xml:space="preserve">D. Gomaz 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33" t="s">
        <v>9</v>
      </c>
      <c r="C17" s="366" t="str">
        <f>[3]Brewhouse!$A237</f>
        <v>ST183</v>
      </c>
      <c r="D17" s="279">
        <f>[3]Brewhouse!$AB237</f>
        <v>53.1</v>
      </c>
      <c r="E17" s="279">
        <f>[3]Brewhouse!$AG237</f>
        <v>50.2</v>
      </c>
      <c r="F17" s="278">
        <f>[3]Brewhouse!$V237</f>
        <v>62</v>
      </c>
      <c r="G17" s="279">
        <f>[3]Brewhouse!$AE237</f>
        <v>11.7</v>
      </c>
      <c r="H17" s="396">
        <v>11.8</v>
      </c>
      <c r="I17" s="368">
        <f>[3]Brewhouse!$AS237</f>
        <v>99.016967272278464</v>
      </c>
      <c r="J17" s="368">
        <f>[3]Brewhouse!$AT237</f>
        <v>99.888069966065657</v>
      </c>
      <c r="K17" s="281">
        <f>[3]Brewhouse!$Q237</f>
        <v>6.9209039548022542</v>
      </c>
      <c r="L17" s="276">
        <f>[3]Brewhouse!$P237</f>
        <v>61</v>
      </c>
      <c r="M17" s="374">
        <f>[3]Brewhouse!$U237-[3]Brewhouse!$T237</f>
        <v>0.1201388888888888</v>
      </c>
      <c r="N17" s="370">
        <f>[3]Brewhouse!$AW237</f>
        <v>0.27986111111111101</v>
      </c>
      <c r="O17" s="371" t="str">
        <f>[3]Brewhouse!$AV237</f>
        <v xml:space="preserve">D. Gomaz 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>
      <c r="B18" s="33" t="s">
        <v>9</v>
      </c>
      <c r="C18" s="366" t="str">
        <f>[3]Brewhouse!$A238</f>
        <v>ST184</v>
      </c>
      <c r="D18" s="279">
        <f>[3]Brewhouse!$AB238</f>
        <v>53</v>
      </c>
      <c r="E18" s="279">
        <f>[3]Brewhouse!$AG238</f>
        <v>50.1</v>
      </c>
      <c r="F18" s="278">
        <f>[3]Brewhouse!$V238</f>
        <v>63</v>
      </c>
      <c r="G18" s="279">
        <f>[3]Brewhouse!$AE238</f>
        <v>11.6</v>
      </c>
      <c r="H18" s="396">
        <v>11.7</v>
      </c>
      <c r="I18" s="368">
        <f>[3]Brewhouse!$AS238</f>
        <v>97.930910424263288</v>
      </c>
      <c r="J18" s="368">
        <f>[3]Brewhouse!$AT238</f>
        <v>98.792458522792984</v>
      </c>
      <c r="K18" s="281">
        <f>[3]Brewhouse!$Q238</f>
        <v>6.5566037735849081</v>
      </c>
      <c r="L18" s="276">
        <f>[3]Brewhouse!$P238</f>
        <v>63</v>
      </c>
      <c r="M18" s="374">
        <f>[3]Brewhouse!$U238-[3]Brewhouse!$T238</f>
        <v>0.11805555555555558</v>
      </c>
      <c r="N18" s="370">
        <f>[3]Brewhouse!$AW238</f>
        <v>0.27500000000000002</v>
      </c>
      <c r="O18" s="371" t="str">
        <f>[3]Brewhouse!$AV238</f>
        <v xml:space="preserve">D. Gomaz </v>
      </c>
      <c r="P18" s="418"/>
      <c r="R18" s="277" t="str">
        <f t="shared" si="0"/>
        <v>STAG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8" customHeight="1">
      <c r="B21" s="29"/>
      <c r="C21" s="366"/>
      <c r="D21" s="279"/>
      <c r="E21" s="279"/>
      <c r="F21" s="278"/>
      <c r="G21" s="279"/>
      <c r="H21" s="482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6.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.75" customHeight="1" thickBot="1">
      <c r="B23" s="358"/>
      <c r="C23" s="358"/>
      <c r="D23" s="358"/>
      <c r="E23" s="358"/>
      <c r="F23" s="294"/>
      <c r="G23" s="294"/>
      <c r="H23" s="348"/>
      <c r="I23" s="525"/>
      <c r="J23" s="525"/>
      <c r="K23" s="525"/>
      <c r="L23" s="525"/>
      <c r="M23" s="525"/>
      <c r="N23" s="525"/>
      <c r="O23" s="1"/>
      <c r="P23" s="12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.75" customHeight="1" thickBot="1">
      <c r="B24" s="388" t="s">
        <v>162</v>
      </c>
      <c r="C24" s="388"/>
      <c r="D24" s="526" t="s">
        <v>35</v>
      </c>
      <c r="E24" s="52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 xml:space="preserve">BRAND 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customHeight="1">
      <c r="A25" s="28"/>
      <c r="B25" s="528"/>
      <c r="C25" s="362"/>
      <c r="D25" s="531"/>
      <c r="E25" s="532"/>
      <c r="F25" s="294"/>
      <c r="G25" s="294"/>
      <c r="H25" s="348"/>
      <c r="I25" s="29" t="s">
        <v>6</v>
      </c>
      <c r="J25" s="323"/>
      <c r="K25" s="284">
        <f>COUNTA([4]Brewhouse!$A$372:$A$402)</f>
        <v>31</v>
      </c>
      <c r="L25" s="305">
        <f>AVERAGE([4]Brewhouse!$AU$372:$AU$402)</f>
        <v>97.899591271333676</v>
      </c>
      <c r="M25" s="305">
        <f>AVERAGE([4]Brewhouse!$AU$42:$AU$123,[4]Brewhouse!$AU$125:$AU$188,[4]Brewhouse!$AU$198:$AU$290,[4]Brewhouse!$AU$292:$AU$370,[4]Brewhouse!$AU$372:$AU$402)</f>
        <v>97.995291948813914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customHeight="1">
      <c r="A26" s="28"/>
      <c r="B26" s="529"/>
      <c r="C26" s="362"/>
      <c r="D26" s="533"/>
      <c r="E26" s="534"/>
      <c r="F26" s="294"/>
      <c r="G26" s="294"/>
      <c r="H26" s="348"/>
      <c r="I26" s="33" t="s">
        <v>9</v>
      </c>
      <c r="J26" s="323">
        <f>AVERAGE(I10:I18)</f>
        <v>96.803879876913911</v>
      </c>
      <c r="K26" s="284">
        <f>COUNTA([3]Brewhouse!$A$214:$A$238)</f>
        <v>25</v>
      </c>
      <c r="L26" s="302">
        <f>AVERAGE([3]Brewhouse!$AS$214:$AS$238)</f>
        <v>97.438618252406371</v>
      </c>
      <c r="M26" s="302">
        <f>AVERAGE([3]Brewhouse!$AS$52:$AS$81,[3]Brewhouse!$AS$83:$AS$124,[3]Brewhouse!$AS$134:$AS$177,[3]Brewhouse!$AS$22:$AS$179,[3]Brewhouse!$AS$214:$AS$238)</f>
        <v>97.904271165191631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4.65" customHeight="1">
      <c r="A27" s="28"/>
      <c r="B27" s="529"/>
      <c r="C27" s="362"/>
      <c r="D27" s="535"/>
      <c r="E27" s="536"/>
      <c r="F27" s="294"/>
      <c r="G27" s="294"/>
      <c r="H27" s="348"/>
      <c r="I27" s="34" t="s">
        <v>12</v>
      </c>
      <c r="J27" s="280"/>
      <c r="K27" s="284"/>
      <c r="L27" s="302"/>
      <c r="M27" s="302">
        <f>AVERAGE([5]Brewhouse!$AU$16:$AU$23,[5]Brewhouse!$AU$25:$AU$32,[5]Brewhouse!$AU$34:$AU$41,[5]Brewhouse!$AU$43:$AU$55)</f>
        <v>96.793456653928644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29"/>
      <c r="C28" s="362"/>
      <c r="D28" s="537"/>
      <c r="E28" s="534"/>
      <c r="F28" s="294"/>
      <c r="G28" s="294"/>
      <c r="H28" s="348"/>
      <c r="I28" s="22" t="s">
        <v>33</v>
      </c>
      <c r="J28" s="280"/>
      <c r="K28" s="284">
        <f>COUNTA([6]Brewhouse!$A$62:$A$68)</f>
        <v>7</v>
      </c>
      <c r="L28" s="302">
        <f>AVERAGE([6]Brewhouse!$AV$62:$AV$68)</f>
        <v>98.287606329362575</v>
      </c>
      <c r="M28" s="302">
        <f>AVERAGE([6]Brewhouse!$AV$23:$AV$34,[6]Brewhouse!$AV$36,[6]Brewhouse!$AV$38:$AV$52,[6]Brewhouse!$AV$54:$AV$60,[6]Brewhouse!$AV$62:$AV$68)</f>
        <v>97.579195177204838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29"/>
      <c r="C29" s="362"/>
      <c r="D29" s="535"/>
      <c r="E29" s="536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ref="R29:R36" si="9">B29</f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29"/>
      <c r="C30" s="362"/>
      <c r="D30" s="537"/>
      <c r="E30" s="534"/>
      <c r="F30" s="417"/>
      <c r="G30" s="294"/>
      <c r="H30" s="348"/>
      <c r="I30" s="36" t="s">
        <v>15</v>
      </c>
      <c r="J30" s="323"/>
      <c r="K30" s="284">
        <f>COUNTA([7]Brewhouse!$A$13:$A$16)</f>
        <v>4</v>
      </c>
      <c r="L30" s="302">
        <f>AVERAGE([7]Brewhouse!$AT$13:$AT$16)</f>
        <v>88.962677106311475</v>
      </c>
      <c r="M30" s="302">
        <f>AVERAGE([7]Brewhouse!$AT$4:$AT$11,[7]Brewhouse!$AT$13:$AT$16)</f>
        <v>91.538375374138752</v>
      </c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9"/>
      <c r="C31" s="362"/>
      <c r="D31" s="535"/>
      <c r="E31" s="536"/>
      <c r="F31" s="417"/>
      <c r="G31" s="294"/>
      <c r="H31" s="348"/>
      <c r="I31" s="37" t="s">
        <v>16</v>
      </c>
      <c r="J31" s="323"/>
      <c r="K31" s="284">
        <f>COUNTA([8]Brewhouse!$A$53:$A$60)</f>
        <v>8</v>
      </c>
      <c r="L31" s="302">
        <f>AVERAGE([8]Brewhouse!$AY$53:$AY$60)</f>
        <v>97.024473838692316</v>
      </c>
      <c r="M31" s="302">
        <f>AVERAGE([8]Brewhouse!$AY$5:$AY$14,[8]Brewhouse!$AY$16:$AY$23,[8]Brewhouse!$AY$42,[8]Brewhouse!$AY$44:$AY$51,[8]Brewhouse!$AY$53:$AY$60)</f>
        <v>97.474953130157175</v>
      </c>
      <c r="N31" s="30">
        <v>98</v>
      </c>
      <c r="O31" s="11"/>
      <c r="P31" s="31" t="s">
        <v>41</v>
      </c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9"/>
      <c r="C32" s="362"/>
      <c r="D32" s="537"/>
      <c r="E32" s="534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9"/>
      <c r="C33" s="349"/>
      <c r="D33" s="535"/>
      <c r="E33" s="536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29"/>
      <c r="C34" s="349"/>
      <c r="D34" s="537"/>
      <c r="E34" s="534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29"/>
      <c r="C35" s="349"/>
      <c r="D35" s="531"/>
      <c r="E35" s="532"/>
      <c r="F35" s="294"/>
      <c r="G35" s="294"/>
      <c r="H35" s="348"/>
      <c r="I35" s="1"/>
      <c r="J35" s="39"/>
      <c r="K35" s="404">
        <f>SUM(K25:K34)</f>
        <v>75</v>
      </c>
      <c r="L35" s="405">
        <f>((L25*K25)+(L26*K26)+(L27*K27)+(L28*K28)+(L29*K29)+(K32*L32)+(L30*K30)+(L31*K31)+(L34*K34))/(K35)</f>
        <v>97.212167055491008</v>
      </c>
      <c r="M35" s="405">
        <f>AVERAGE('[9]Jan30th-31st'!$L$42,L35)</f>
        <v>97.520104395666237</v>
      </c>
      <c r="N35" s="40">
        <v>98</v>
      </c>
      <c r="O35" s="11"/>
      <c r="P35" s="31"/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30"/>
      <c r="C36" s="350"/>
      <c r="D36" s="533"/>
      <c r="E36" s="534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28"/>
      <c r="C37" s="362"/>
      <c r="D37" s="539"/>
      <c r="E37" s="540"/>
      <c r="F37" s="294"/>
      <c r="G37" s="42"/>
      <c r="H37" s="41"/>
      <c r="I37" s="42"/>
      <c r="J37" s="541" t="s">
        <v>129</v>
      </c>
      <c r="K37" s="541"/>
      <c r="L37" s="294"/>
      <c r="M37" s="294"/>
      <c r="N37" s="294"/>
      <c r="O37" s="294"/>
      <c r="P37" s="12"/>
    </row>
    <row r="38" spans="1:56" ht="15.75" thickBot="1">
      <c r="B38" s="529"/>
      <c r="C38" s="362"/>
      <c r="D38" s="537"/>
      <c r="E38" s="534"/>
      <c r="F38" s="294"/>
      <c r="G38" s="42"/>
      <c r="H38" s="42"/>
      <c r="I38" s="42"/>
      <c r="J38" s="292" t="s">
        <v>17</v>
      </c>
      <c r="K38" s="293" t="s">
        <v>172</v>
      </c>
      <c r="L38" s="542" t="s">
        <v>136</v>
      </c>
      <c r="M38" s="542"/>
      <c r="N38" s="543"/>
      <c r="O38" s="294"/>
      <c r="P38" s="12"/>
    </row>
    <row r="39" spans="1:56" ht="15" customHeight="1" thickBot="1">
      <c r="B39" s="529"/>
      <c r="C39" s="349"/>
      <c r="D39" s="535"/>
      <c r="E39" s="536"/>
      <c r="F39" s="294"/>
      <c r="G39" s="42"/>
      <c r="H39" s="42"/>
      <c r="I39" s="42"/>
      <c r="J39" s="287" t="s">
        <v>6</v>
      </c>
      <c r="K39" s="324"/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9"/>
      <c r="C40" s="349"/>
      <c r="D40" s="537"/>
      <c r="E40" s="534"/>
      <c r="F40" s="294"/>
      <c r="G40" s="42"/>
      <c r="H40" s="42"/>
      <c r="I40" s="42"/>
      <c r="J40" s="345" t="s">
        <v>9</v>
      </c>
      <c r="K40" s="324">
        <v>9</v>
      </c>
      <c r="L40" s="344">
        <f>AVERAGE('May 2nd-23rd'!J53,'May 2nd-23rd'!K53,'May 4th'!K51,'May 5th'!K47,'May 6th'!K54,'May 7th'!K48,'May 18th'!K49,'May 8th -9th'!K55,'May 8th -9th'!J55,'May 11th'!K51,'May 12th '!K46,'May 12th '!K46,'May 13th'!K45,'May 14th'!K42,'May 15th-16th'!K44)</f>
        <v>5.4</v>
      </c>
      <c r="M40" s="325">
        <f>AVERAGE('[9]Jan30th-31st'!$L$47,L40,'[10]Feb 26th '!$L$39,'[11]Mar 31st'!$L$47,'[12]Apr 30th'!$L$46)</f>
        <v>6.2873913043478264</v>
      </c>
      <c r="N40" s="416">
        <v>9.1999999999999993</v>
      </c>
      <c r="O40" s="294"/>
      <c r="P40" s="12"/>
    </row>
    <row r="41" spans="1:56" ht="15" customHeight="1">
      <c r="B41" s="529"/>
      <c r="C41" s="349"/>
      <c r="D41" s="535"/>
      <c r="E41" s="536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9"/>
      <c r="C42" s="349"/>
      <c r="D42" s="537"/>
      <c r="E42" s="534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9"/>
      <c r="C43" s="349"/>
      <c r="D43" s="535"/>
      <c r="E43" s="536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37"/>
      <c r="E44" s="534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9"/>
      <c r="C45" s="349"/>
      <c r="D45" s="535"/>
      <c r="E45" s="536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38"/>
      <c r="C46" s="350"/>
      <c r="D46" s="544"/>
      <c r="E46" s="545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46"/>
      <c r="E47" s="547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9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48" t="s">
        <v>17</v>
      </c>
      <c r="C52" s="548" t="s">
        <v>44</v>
      </c>
      <c r="D52" s="551" t="s">
        <v>45</v>
      </c>
      <c r="E52" s="516" t="s">
        <v>46</v>
      </c>
      <c r="F52" s="565" t="s">
        <v>47</v>
      </c>
      <c r="G52" s="560" t="s">
        <v>48</v>
      </c>
      <c r="H52" s="548" t="s">
        <v>49</v>
      </c>
      <c r="I52" s="548" t="s">
        <v>50</v>
      </c>
      <c r="J52" s="554" t="s">
        <v>28</v>
      </c>
      <c r="K52" s="514" t="s">
        <v>51</v>
      </c>
      <c r="L52" s="563" t="s">
        <v>52</v>
      </c>
      <c r="M52" s="554" t="s">
        <v>53</v>
      </c>
      <c r="N52" s="13"/>
      <c r="O52" s="13"/>
      <c r="P52" s="50"/>
    </row>
    <row r="53" spans="2:57" ht="28.5" customHeight="1" thickTop="1" thickBot="1">
      <c r="B53" s="549"/>
      <c r="C53" s="550"/>
      <c r="D53" s="552"/>
      <c r="E53" s="553"/>
      <c r="F53" s="566"/>
      <c r="G53" s="561"/>
      <c r="H53" s="549"/>
      <c r="I53" s="549"/>
      <c r="J53" s="555"/>
      <c r="K53" s="562"/>
      <c r="L53" s="564"/>
      <c r="M53" s="555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customHeight="1" thickBot="1">
      <c r="B54" s="489" t="str">
        <f>J43</f>
        <v>STARMALT</v>
      </c>
      <c r="C54" s="479">
        <v>46160</v>
      </c>
      <c r="D54" s="445">
        <f>[32]May_2026!$U$55</f>
        <v>204.88</v>
      </c>
      <c r="E54" s="443"/>
      <c r="F54" s="444"/>
      <c r="G54" s="445">
        <f>[32]May_2026!$U$59</f>
        <v>204.1</v>
      </c>
      <c r="H54" s="458"/>
      <c r="I54" s="458"/>
      <c r="J54" s="448" t="s">
        <v>173</v>
      </c>
      <c r="K54" s="449">
        <f>[34]May_2026!$U$53</f>
        <v>0.71614035087719297</v>
      </c>
      <c r="L54" s="457">
        <f>(((D54+E54)-G54)/(D54+E54))*100</f>
        <v>0.38071065989847774</v>
      </c>
      <c r="M54" s="455" t="s">
        <v>187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[13]January_2019!L5</f>
        <v>0</v>
      </c>
      <c r="AC54" s="57">
        <f>[13]January_2019!M5</f>
        <v>0</v>
      </c>
      <c r="AD54" s="57">
        <f>[13]January_2019!N5</f>
        <v>0</v>
      </c>
      <c r="AE54" s="57">
        <f>[13]January_2019!O5</f>
        <v>0</v>
      </c>
      <c r="AF54" s="57">
        <f>[13]January_2019!P5</f>
        <v>0</v>
      </c>
      <c r="AG54" s="57">
        <f>[13]January_2019!Q5</f>
        <v>0</v>
      </c>
      <c r="AH54" s="57">
        <f>[13]January_2019!R5</f>
        <v>0</v>
      </c>
      <c r="AI54" s="57">
        <f>[13]January_2019!S5</f>
        <v>0</v>
      </c>
      <c r="AJ54" s="57">
        <f>[13]January_2019!T5</f>
        <v>0</v>
      </c>
      <c r="AK54" s="57">
        <f>[13]January_2019!U5</f>
        <v>0</v>
      </c>
      <c r="AL54" s="57">
        <f>[13]January_2019!V5</f>
        <v>0</v>
      </c>
      <c r="AM54" s="57">
        <f>[13]January_2019!W5</f>
        <v>0</v>
      </c>
      <c r="AN54" s="57">
        <f>[13]January_2019!X5</f>
        <v>0</v>
      </c>
      <c r="AO54" s="57">
        <f>[13]January_2019!Y5</f>
        <v>0</v>
      </c>
      <c r="AP54" s="57">
        <f>[13]January_2019!Z5</f>
        <v>0</v>
      </c>
      <c r="AQ54" s="57">
        <f>[13]January_2019!AA5</f>
        <v>0</v>
      </c>
      <c r="AR54" s="57">
        <f>[13]January_2019!AB5</f>
        <v>0</v>
      </c>
      <c r="AS54" s="57">
        <f>[13]January_2019!AC5</f>
        <v>0</v>
      </c>
      <c r="AT54" s="57">
        <f>[13]January_2019!AD5</f>
        <v>0</v>
      </c>
      <c r="AU54" s="57">
        <f>[13]January_2019!AE5</f>
        <v>0</v>
      </c>
      <c r="AV54" s="57">
        <f>[13]January_2019!AF5</f>
        <v>0</v>
      </c>
      <c r="AW54" s="57">
        <f>[13]January_2019!AG5</f>
        <v>0</v>
      </c>
      <c r="AX54" s="277">
        <f>[13]January_2019!AH5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[13]January_2019!L6</f>
        <v>0</v>
      </c>
      <c r="AC55" s="57">
        <f>[13]January_2019!M6</f>
        <v>0</v>
      </c>
      <c r="AD55" s="57">
        <f>[13]January_2019!N6</f>
        <v>0</v>
      </c>
      <c r="AE55" s="57">
        <f>[13]January_2019!O6</f>
        <v>0</v>
      </c>
      <c r="AF55" s="57">
        <f>[13]January_2019!P6</f>
        <v>0</v>
      </c>
      <c r="AG55" s="57">
        <f>[13]January_2019!Q6</f>
        <v>0</v>
      </c>
      <c r="AH55" s="57">
        <f>[13]January_2019!R6</f>
        <v>0</v>
      </c>
      <c r="AI55" s="57">
        <f>[13]January_2019!S6</f>
        <v>0</v>
      </c>
      <c r="AJ55" s="57">
        <f>[13]January_2019!T6</f>
        <v>0</v>
      </c>
      <c r="AK55" s="57">
        <f>[13]January_2019!U6</f>
        <v>0</v>
      </c>
      <c r="AL55" s="57">
        <f>[13]January_2019!V6</f>
        <v>0</v>
      </c>
      <c r="AM55" s="57">
        <f>[13]January_2019!W6</f>
        <v>0</v>
      </c>
      <c r="AN55" s="57">
        <f>[13]January_2019!X6</f>
        <v>0</v>
      </c>
      <c r="AO55" s="57">
        <f>[13]January_2019!Y6</f>
        <v>0</v>
      </c>
      <c r="AP55" s="57">
        <f>[13]January_2019!Z6</f>
        <v>0</v>
      </c>
      <c r="AQ55" s="57">
        <f>[13]January_2019!AA6</f>
        <v>0</v>
      </c>
      <c r="AR55" s="57">
        <f>[13]January_2019!AB6</f>
        <v>0</v>
      </c>
      <c r="AS55" s="57">
        <f>[13]January_2019!AC6</f>
        <v>0</v>
      </c>
      <c r="AT55" s="57">
        <f>[13]January_2019!AD6</f>
        <v>0</v>
      </c>
      <c r="AU55" s="57">
        <f>[13]January_2019!AE6</f>
        <v>0</v>
      </c>
      <c r="AV55" s="57">
        <f>[13]January_2019!AF6</f>
        <v>0</v>
      </c>
      <c r="AW55" s="57">
        <f>[13]January_2019!AG6</f>
        <v>0</v>
      </c>
      <c r="AX55" s="277">
        <f>[13]January_2019!AH6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15" customHeight="1" thickBot="1">
      <c r="B56" s="480" t="str">
        <f>J39</f>
        <v>CARIB</v>
      </c>
      <c r="C56" s="479">
        <v>46160</v>
      </c>
      <c r="D56" s="442">
        <f>[32]May_2026!$U$3</f>
        <v>605.5</v>
      </c>
      <c r="E56" s="443"/>
      <c r="F56" s="444"/>
      <c r="G56" s="445">
        <f>[32]May_2026!$U$7</f>
        <v>565.29999999999995</v>
      </c>
      <c r="H56" s="458"/>
      <c r="I56" s="458"/>
      <c r="J56" s="448" t="s">
        <v>186</v>
      </c>
      <c r="K56" s="449">
        <f>[34]May_2026!$U$18</f>
        <v>0.66116959064327474</v>
      </c>
      <c r="L56" s="457">
        <f>(((D56+E56)-G56)/(D56+E56))*100</f>
        <v>6.6391412056152008</v>
      </c>
      <c r="M56" s="455" t="s">
        <v>187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[13]January_2019!L7</f>
        <v>285.8</v>
      </c>
      <c r="AC56" s="57">
        <f>[13]January_2019!M7</f>
        <v>508.1</v>
      </c>
      <c r="AD56" s="57">
        <f>[13]January_2019!N7</f>
        <v>0</v>
      </c>
      <c r="AE56" s="57">
        <f>[13]January_2019!O7</f>
        <v>0</v>
      </c>
      <c r="AF56" s="57">
        <f>[13]January_2019!P7</f>
        <v>109.56666666666666</v>
      </c>
      <c r="AG56" s="57">
        <f>[13]January_2019!Q7</f>
        <v>297.64999999999998</v>
      </c>
      <c r="AH56" s="57">
        <f>[13]January_2019!R7</f>
        <v>122.3</v>
      </c>
      <c r="AI56" s="57">
        <f>[13]January_2019!S7</f>
        <v>0</v>
      </c>
      <c r="AJ56" s="57">
        <f>[13]January_2019!T7</f>
        <v>294.7</v>
      </c>
      <c r="AK56" s="57">
        <f>[13]January_2019!U7</f>
        <v>280.5</v>
      </c>
      <c r="AL56" s="57">
        <f>[13]January_2019!V7</f>
        <v>0</v>
      </c>
      <c r="AM56" s="57">
        <f>[13]January_2019!W7</f>
        <v>0</v>
      </c>
      <c r="AN56" s="57">
        <f>[13]January_2019!X7</f>
        <v>188.25</v>
      </c>
      <c r="AO56" s="57">
        <f>[13]January_2019!Y7</f>
        <v>295.7</v>
      </c>
      <c r="AP56" s="57">
        <f>[13]January_2019!Z7</f>
        <v>257.8</v>
      </c>
      <c r="AQ56" s="57">
        <f>[13]January_2019!AA7</f>
        <v>291.2</v>
      </c>
      <c r="AR56" s="57">
        <f>[13]January_2019!AB7</f>
        <v>187</v>
      </c>
      <c r="AS56" s="57">
        <f>[13]January_2019!AC7</f>
        <v>0</v>
      </c>
      <c r="AT56" s="57">
        <f>[13]January_2019!AD7</f>
        <v>0</v>
      </c>
      <c r="AU56" s="57">
        <f>[13]January_2019!AE7</f>
        <v>485.1</v>
      </c>
      <c r="AV56" s="57">
        <f>[13]January_2019!AF7</f>
        <v>171.55</v>
      </c>
      <c r="AW56" s="57">
        <f>[13]January_2019!AG7</f>
        <v>423.8</v>
      </c>
      <c r="AX56" s="277">
        <f>[13]January_2019!AH7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9.5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hidden="1" customHeight="1" thickBot="1">
      <c r="B58" s="480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.75" hidden="1" thickBot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89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56" t="s">
        <v>55</v>
      </c>
      <c r="C65" s="557"/>
      <c r="D65" s="557"/>
      <c r="E65" s="557"/>
      <c r="F65" s="558"/>
      <c r="G65" s="556" t="s">
        <v>56</v>
      </c>
      <c r="H65" s="557"/>
      <c r="I65" s="557"/>
      <c r="J65" s="558"/>
      <c r="K65" s="556" t="s">
        <v>51</v>
      </c>
      <c r="L65" s="557"/>
      <c r="M65" s="557"/>
      <c r="N65" s="559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/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>
        <f>L56</f>
        <v>6.6391412056152008</v>
      </c>
      <c r="D67" s="76">
        <v>6.290866748275727</v>
      </c>
      <c r="E67" s="76">
        <v>6.7202690343833114</v>
      </c>
      <c r="F67" s="66">
        <v>4.8</v>
      </c>
      <c r="G67" s="65">
        <f>[32]May_2026!$U$11</f>
        <v>6.5635453685347329</v>
      </c>
      <c r="H67" s="477">
        <v>6.2883061406335168</v>
      </c>
      <c r="I67" s="477">
        <v>6.4185122653071121</v>
      </c>
      <c r="J67" s="66">
        <v>4.8</v>
      </c>
      <c r="K67" s="67">
        <f>K56</f>
        <v>0.66116959064327474</v>
      </c>
      <c r="L67" s="194">
        <v>0.59912865497076029</v>
      </c>
      <c r="M67" s="194">
        <v>0.49795698271418848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5.3600559310183939</v>
      </c>
      <c r="E68" s="76">
        <v>6.1566485581607244</v>
      </c>
      <c r="F68" s="66">
        <v>4.8</v>
      </c>
      <c r="G68" s="65"/>
      <c r="H68" s="76">
        <v>5.469104437126548</v>
      </c>
      <c r="I68" s="76">
        <v>5.5846543828823831</v>
      </c>
      <c r="J68" s="66">
        <v>4.8</v>
      </c>
      <c r="K68" s="67"/>
      <c r="L68" s="194">
        <v>0.61536842105263168</v>
      </c>
      <c r="M68" s="194">
        <v>0.69964380299920681</v>
      </c>
      <c r="N68" s="68">
        <v>1</v>
      </c>
      <c r="P68" s="69"/>
    </row>
    <row r="69" spans="2:16" ht="15">
      <c r="B69" s="34" t="s">
        <v>40</v>
      </c>
      <c r="C69" s="65"/>
      <c r="D69" s="76">
        <v>10.182228066879567</v>
      </c>
      <c r="E69" s="76">
        <v>11.735537190082644</v>
      </c>
      <c r="F69" s="66">
        <v>5.5</v>
      </c>
      <c r="G69" s="65"/>
      <c r="H69" s="76">
        <v>11.362028737847183</v>
      </c>
      <c r="I69" s="76">
        <v>12.769538510720032</v>
      </c>
      <c r="J69" s="66">
        <v>5.5</v>
      </c>
      <c r="K69" s="67"/>
      <c r="L69" s="194">
        <v>0.23824561403508773</v>
      </c>
      <c r="M69" s="194">
        <v>0.26411513157894739</v>
      </c>
      <c r="N69" s="68">
        <v>1</v>
      </c>
      <c r="P69" s="69"/>
    </row>
    <row r="70" spans="2:16" ht="15">
      <c r="B70" s="22" t="s">
        <v>33</v>
      </c>
      <c r="C70" s="65"/>
      <c r="D70" s="76">
        <v>4.9306092006073188</v>
      </c>
      <c r="E70" s="76">
        <v>4.7166249493099075</v>
      </c>
      <c r="F70" s="66">
        <v>3.3</v>
      </c>
      <c r="G70" s="65"/>
      <c r="H70" s="76">
        <v>5.5037640962151348</v>
      </c>
      <c r="I70" s="76">
        <v>4.7393662692065543</v>
      </c>
      <c r="J70" s="66">
        <v>3.3</v>
      </c>
      <c r="K70" s="67"/>
      <c r="L70" s="194">
        <v>0.61175438596491227</v>
      </c>
      <c r="M70" s="194">
        <v>0.73604010025062649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76"/>
      <c r="D72" s="76">
        <v>5.2401746724890881</v>
      </c>
      <c r="E72" s="76">
        <v>5.1541347251672045</v>
      </c>
      <c r="F72" s="487">
        <v>5.5</v>
      </c>
      <c r="G72" s="282"/>
      <c r="H72" s="76">
        <v>6.6922456038466889</v>
      </c>
      <c r="I72" s="76">
        <v>7.4989046872874194</v>
      </c>
      <c r="J72" s="66">
        <v>5.5</v>
      </c>
      <c r="K72" s="67"/>
      <c r="L72" s="194">
        <v>0.68526315789473691</v>
      </c>
      <c r="M72" s="194">
        <v>1.0201754385964912</v>
      </c>
      <c r="N72" s="68">
        <v>1</v>
      </c>
      <c r="P72" s="69"/>
    </row>
    <row r="73" spans="2:16" ht="15">
      <c r="B73" s="37" t="s">
        <v>16</v>
      </c>
      <c r="C73" s="65">
        <f>L54</f>
        <v>0.38071065989847774</v>
      </c>
      <c r="D73" s="76">
        <v>3.4477692345364712</v>
      </c>
      <c r="E73" s="76">
        <v>3.8718586514884619</v>
      </c>
      <c r="F73" s="66">
        <v>3.3</v>
      </c>
      <c r="G73" s="282">
        <f>[32]May_2026!$U$63</f>
        <v>1.302107786547942</v>
      </c>
      <c r="H73" s="76">
        <v>4.2666251196365179</v>
      </c>
      <c r="I73" s="76">
        <v>4.7387128519495914</v>
      </c>
      <c r="J73" s="66">
        <v>3.3</v>
      </c>
      <c r="K73" s="67">
        <f>K54</f>
        <v>0.71614035087719297</v>
      </c>
      <c r="L73" s="194">
        <v>0.69175438596491223</v>
      </c>
      <c r="M73" s="194">
        <v>0.84386695906432752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6.0573597379939148</v>
      </c>
      <c r="E76" s="76">
        <v>6.4868284477155189</v>
      </c>
      <c r="F76" s="341">
        <v>5.5</v>
      </c>
      <c r="H76" s="76">
        <v>6.4299255670378725</v>
      </c>
      <c r="I76" s="76">
        <v>6.500941653264154</v>
      </c>
      <c r="J76" s="341">
        <v>5.5</v>
      </c>
      <c r="L76" s="194">
        <v>0.58472412916348859</v>
      </c>
      <c r="M76" s="194">
        <v>0.57391939770060074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1660" priority="110" operator="notBetween">
      <formula>#REF!</formula>
      <formula>#REF!</formula>
    </cfRule>
  </conditionalFormatting>
  <conditionalFormatting sqref="C51">
    <cfRule type="cellIs" dxfId="1659" priority="200" stopIfTrue="1" operator="greaterThan">
      <formula>100</formula>
    </cfRule>
    <cfRule type="cellIs" dxfId="1658" priority="199" stopIfTrue="1" operator="lessThan">
      <formula>96</formula>
    </cfRule>
  </conditionalFormatting>
  <conditionalFormatting sqref="C67:C68">
    <cfRule type="cellIs" dxfId="1657" priority="43" stopIfTrue="1" operator="greaterThan">
      <formula>$F67</formula>
    </cfRule>
    <cfRule type="cellIs" dxfId="1656" priority="42" stopIfTrue="1" operator="lessThanOrEqual">
      <formula>0</formula>
    </cfRule>
    <cfRule type="cellIs" dxfId="1655" priority="41" stopIfTrue="1" operator="greaterThan">
      <formula>$F67</formula>
    </cfRule>
    <cfRule type="cellIs" dxfId="1654" priority="44" stopIfTrue="1" operator="lessThanOrEqual">
      <formula>0</formula>
    </cfRule>
  </conditionalFormatting>
  <conditionalFormatting sqref="C69:C71 C73:C75">
    <cfRule type="cellIs" dxfId="1653" priority="77" stopIfTrue="1" operator="greaterThan">
      <formula>$F72</formula>
    </cfRule>
  </conditionalFormatting>
  <conditionalFormatting sqref="C69:C71">
    <cfRule type="cellIs" dxfId="1652" priority="78" stopIfTrue="1" operator="lessThanOrEqual">
      <formula>0</formula>
    </cfRule>
  </conditionalFormatting>
  <conditionalFormatting sqref="C73:C75">
    <cfRule type="cellIs" dxfId="1651" priority="79" stopIfTrue="1" operator="lessThanOrEqual">
      <formula>0</formula>
    </cfRule>
  </conditionalFormatting>
  <conditionalFormatting sqref="C78:C82">
    <cfRule type="cellIs" dxfId="1650" priority="191" stopIfTrue="1" operator="lessThanOrEqual">
      <formula>0</formula>
    </cfRule>
  </conditionalFormatting>
  <conditionalFormatting sqref="C79:C82">
    <cfRule type="cellIs" dxfId="1649" priority="190" stopIfTrue="1" operator="greaterThan">
      <formula>$F$78</formula>
    </cfRule>
  </conditionalFormatting>
  <conditionalFormatting sqref="C84">
    <cfRule type="cellIs" dxfId="1648" priority="192" stopIfTrue="1" operator="greaterThan">
      <formula>$F$78</formula>
    </cfRule>
    <cfRule type="cellIs" dxfId="1647" priority="193" stopIfTrue="1" operator="lessThanOrEqual">
      <formula>0</formula>
    </cfRule>
  </conditionalFormatting>
  <conditionalFormatting sqref="C72:D72">
    <cfRule type="cellIs" dxfId="1646" priority="16" stopIfTrue="1" operator="greaterThan">
      <formula>$J72</formula>
    </cfRule>
    <cfRule type="cellIs" dxfId="1645" priority="17" stopIfTrue="1" operator="lessThanOrEqual">
      <formula>0</formula>
    </cfRule>
  </conditionalFormatting>
  <conditionalFormatting sqref="C78:D78 D80:D86">
    <cfRule type="cellIs" dxfId="1644" priority="185" stopIfTrue="1" operator="greaterThan">
      <formula>4.5</formula>
    </cfRule>
  </conditionalFormatting>
  <conditionalFormatting sqref="D47:D48">
    <cfRule type="cellIs" dxfId="1643" priority="111" operator="notBetween">
      <formula>#REF!</formula>
      <formula>#REF!</formula>
    </cfRule>
  </conditionalFormatting>
  <conditionalFormatting sqref="D67:D71 D73:D74">
    <cfRule type="cellIs" dxfId="1642" priority="71" stopIfTrue="1" operator="lessThanOrEqual">
      <formula>0</formula>
    </cfRule>
  </conditionalFormatting>
  <conditionalFormatting sqref="D67:D71 D73:D76">
    <cfRule type="cellIs" dxfId="1641" priority="54" stopIfTrue="1" operator="lessThanOrEqual">
      <formula>0</formula>
    </cfRule>
  </conditionalFormatting>
  <conditionalFormatting sqref="D75">
    <cfRule type="cellIs" dxfId="1640" priority="70" stopIfTrue="1" operator="lessThanOrEqual">
      <formula>0</formula>
    </cfRule>
  </conditionalFormatting>
  <conditionalFormatting sqref="D76">
    <cfRule type="cellIs" dxfId="1639" priority="67" stopIfTrue="1" operator="lessThanOrEqual">
      <formula>0</formula>
    </cfRule>
  </conditionalFormatting>
  <conditionalFormatting sqref="D78 D80:D86">
    <cfRule type="cellIs" dxfId="1638" priority="186" stopIfTrue="1" operator="lessThanOrEqual">
      <formula>0</formula>
    </cfRule>
  </conditionalFormatting>
  <conditionalFormatting sqref="D79">
    <cfRule type="cellIs" dxfId="1637" priority="178" stopIfTrue="1" operator="lessThanOrEqual">
      <formula>0</formula>
    </cfRule>
    <cfRule type="cellIs" dxfId="1636" priority="177" stopIfTrue="1" operator="greaterThan">
      <formula>$F$78</formula>
    </cfRule>
  </conditionalFormatting>
  <conditionalFormatting sqref="D67:E71 E72 D73:E76">
    <cfRule type="cellIs" dxfId="1635" priority="56" stopIfTrue="1" operator="greaterThan">
      <formula>$F67</formula>
    </cfRule>
  </conditionalFormatting>
  <conditionalFormatting sqref="D76:E76">
    <cfRule type="cellIs" dxfId="1634" priority="58" stopIfTrue="1" operator="lessThanOrEqual">
      <formula>0</formula>
    </cfRule>
  </conditionalFormatting>
  <conditionalFormatting sqref="E10:E22">
    <cfRule type="cellIs" dxfId="1633" priority="24" operator="lessThan">
      <formula>48</formula>
    </cfRule>
  </conditionalFormatting>
  <conditionalFormatting sqref="E50 E51:F51">
    <cfRule type="cellIs" dxfId="1632" priority="182" stopIfTrue="1" operator="greaterThan">
      <formula>100</formula>
    </cfRule>
  </conditionalFormatting>
  <conditionalFormatting sqref="E51">
    <cfRule type="cellIs" dxfId="1631" priority="180" stopIfTrue="1" operator="greaterThan">
      <formula>100</formula>
    </cfRule>
    <cfRule type="cellIs" dxfId="1630" priority="179" stopIfTrue="1" operator="lessThan">
      <formula>96.8</formula>
    </cfRule>
  </conditionalFormatting>
  <conditionalFormatting sqref="E67:E75">
    <cfRule type="cellIs" dxfId="1629" priority="55" stopIfTrue="1" operator="lessThanOrEqual">
      <formula>0</formula>
    </cfRule>
  </conditionalFormatting>
  <conditionalFormatting sqref="E67:E76">
    <cfRule type="cellIs" dxfId="1628" priority="57" stopIfTrue="1" operator="lessThanOrEqual">
      <formula>0</formula>
    </cfRule>
  </conditionalFormatting>
  <conditionalFormatting sqref="E78:E86">
    <cfRule type="cellIs" dxfId="1627" priority="172" stopIfTrue="1" operator="lessThanOrEqual">
      <formula>0</formula>
    </cfRule>
    <cfRule type="cellIs" dxfId="1626" priority="171" stopIfTrue="1" operator="greaterThan">
      <formula>4.5</formula>
    </cfRule>
  </conditionalFormatting>
  <conditionalFormatting sqref="E51:F51 E50">
    <cfRule type="cellIs" dxfId="1625" priority="181" stopIfTrue="1" operator="lessThan">
      <formula>96.5</formula>
    </cfRule>
  </conditionalFormatting>
  <conditionalFormatting sqref="F21:F22">
    <cfRule type="cellIs" dxfId="1624" priority="45" operator="greaterThan">
      <formula>60</formula>
    </cfRule>
  </conditionalFormatting>
  <conditionalFormatting sqref="F51">
    <cfRule type="cellIs" dxfId="1623" priority="198" stopIfTrue="1" operator="greaterThan">
      <formula>100</formula>
    </cfRule>
    <cfRule type="cellIs" dxfId="1622" priority="197" stopIfTrue="1" operator="lessThan">
      <formula>96.8</formula>
    </cfRule>
  </conditionalFormatting>
  <conditionalFormatting sqref="F76">
    <cfRule type="cellIs" dxfId="1621" priority="69" stopIfTrue="1" operator="lessThanOrEqual">
      <formula>0</formula>
    </cfRule>
    <cfRule type="cellIs" dxfId="1620" priority="68" stopIfTrue="1" operator="greaterThan">
      <formula>$F76</formula>
    </cfRule>
  </conditionalFormatting>
  <conditionalFormatting sqref="G10:G22">
    <cfRule type="expression" dxfId="1619" priority="25">
      <formula>IF(+(IF(G10&lt;S10,0,IF(G10&gt;T10,0,1)))=0,1)</formula>
    </cfRule>
  </conditionalFormatting>
  <conditionalFormatting sqref="G67:G68">
    <cfRule type="cellIs" dxfId="1618" priority="73" stopIfTrue="1" operator="lessThanOrEqual">
      <formula>0</formula>
    </cfRule>
    <cfRule type="cellIs" dxfId="1617" priority="72" stopIfTrue="1" operator="greaterThan">
      <formula>$F67</formula>
    </cfRule>
  </conditionalFormatting>
  <conditionalFormatting sqref="G67:G70">
    <cfRule type="cellIs" dxfId="1616" priority="50" stopIfTrue="1" operator="lessThanOrEqual">
      <formula>0</formula>
    </cfRule>
    <cfRule type="cellIs" dxfId="1615" priority="49" stopIfTrue="1" operator="greaterThan">
      <formula>$F67</formula>
    </cfRule>
  </conditionalFormatting>
  <conditionalFormatting sqref="G69">
    <cfRule type="cellIs" dxfId="1614" priority="47" stopIfTrue="1" operator="greaterThan">
      <formula>$F69</formula>
    </cfRule>
    <cfRule type="cellIs" dxfId="1613" priority="48" stopIfTrue="1" operator="lessThanOrEqual">
      <formula>0</formula>
    </cfRule>
  </conditionalFormatting>
  <conditionalFormatting sqref="G70">
    <cfRule type="cellIs" dxfId="1612" priority="63" stopIfTrue="1" operator="lessThanOrEqual">
      <formula>0</formula>
    </cfRule>
    <cfRule type="cellIs" dxfId="1611" priority="62" stopIfTrue="1" operator="greaterThan">
      <formula>$F70</formula>
    </cfRule>
  </conditionalFormatting>
  <conditionalFormatting sqref="G71:G75">
    <cfRule type="cellIs" dxfId="1610" priority="75" stopIfTrue="1" operator="lessThanOrEqual">
      <formula>0</formula>
    </cfRule>
    <cfRule type="cellIs" dxfId="1609" priority="74" stopIfTrue="1" operator="greaterThan">
      <formula>$J71</formula>
    </cfRule>
  </conditionalFormatting>
  <conditionalFormatting sqref="G80:G85 C83 C85">
    <cfRule type="cellIs" dxfId="1608" priority="195" stopIfTrue="1" operator="lessThanOrEqual">
      <formula>0</formula>
    </cfRule>
    <cfRule type="cellIs" dxfId="1607" priority="194" stopIfTrue="1" operator="greaterThan">
      <formula>4.5</formula>
    </cfRule>
  </conditionalFormatting>
  <conditionalFormatting sqref="G79:H79">
    <cfRule type="cellIs" dxfId="1606" priority="176" stopIfTrue="1" operator="lessThanOrEqual">
      <formula>0</formula>
    </cfRule>
    <cfRule type="cellIs" dxfId="1605" priority="175" stopIfTrue="1" operator="greaterThan">
      <formula>$F$78</formula>
    </cfRule>
  </conditionalFormatting>
  <conditionalFormatting sqref="H36:H37 H50">
    <cfRule type="cellIs" dxfId="1604" priority="173" stopIfTrue="1" operator="greaterThan">
      <formula>0</formula>
    </cfRule>
  </conditionalFormatting>
  <conditionalFormatting sqref="H54">
    <cfRule type="cellIs" dxfId="1603" priority="39" stopIfTrue="1" operator="greaterThan">
      <formula>$F$75</formula>
    </cfRule>
    <cfRule type="cellIs" dxfId="1602" priority="38" stopIfTrue="1" operator="lessThanOrEqual">
      <formula>0</formula>
    </cfRule>
    <cfRule type="cellIs" dxfId="1601" priority="40" stopIfTrue="1" operator="lessThanOrEqual">
      <formula>0</formula>
    </cfRule>
    <cfRule type="cellIs" dxfId="1600" priority="28" stopIfTrue="1" operator="lessThanOrEqual">
      <formula>0</formula>
    </cfRule>
    <cfRule type="cellIs" dxfId="1599" priority="29" stopIfTrue="1" operator="greaterThan">
      <formula>$F$74</formula>
    </cfRule>
    <cfRule type="cellIs" dxfId="1598" priority="37" stopIfTrue="1" operator="greaterThan">
      <formula>$F$77</formula>
    </cfRule>
  </conditionalFormatting>
  <conditionalFormatting sqref="H55:H56">
    <cfRule type="cellIs" dxfId="1597" priority="91" stopIfTrue="1" operator="lessThanOrEqual">
      <formula>0</formula>
    </cfRule>
    <cfRule type="cellIs" dxfId="1596" priority="81" stopIfTrue="1" operator="lessThanOrEqual">
      <formula>0</formula>
    </cfRule>
    <cfRule type="cellIs" dxfId="1595" priority="82" stopIfTrue="1" operator="greaterThan">
      <formula>$F$67</formula>
    </cfRule>
    <cfRule type="cellIs" dxfId="1594" priority="92" stopIfTrue="1" operator="greaterThan">
      <formula>$F$68</formula>
    </cfRule>
    <cfRule type="cellIs" dxfId="1593" priority="90" stopIfTrue="1" operator="greaterThan">
      <formula>$F$70</formula>
    </cfRule>
  </conditionalFormatting>
  <conditionalFormatting sqref="H55:H58">
    <cfRule type="cellIs" dxfId="1592" priority="93" stopIfTrue="1" operator="lessThanOrEqual">
      <formula>0</formula>
    </cfRule>
  </conditionalFormatting>
  <conditionalFormatting sqref="H57:H58">
    <cfRule type="cellIs" dxfId="1591" priority="106" stopIfTrue="1" operator="greaterThan">
      <formula>$F$68</formula>
    </cfRule>
    <cfRule type="cellIs" dxfId="1590" priority="105" stopIfTrue="1" operator="lessThanOrEqual">
      <formula>0</formula>
    </cfRule>
    <cfRule type="cellIs" dxfId="1589" priority="104" stopIfTrue="1" operator="greaterThan">
      <formula>$F$70</formula>
    </cfRule>
    <cfRule type="cellIs" dxfId="1588" priority="96" stopIfTrue="1" operator="greaterThan">
      <formula>$F$67</formula>
    </cfRule>
    <cfRule type="cellIs" dxfId="1587" priority="107" stopIfTrue="1" operator="lessThanOrEqual">
      <formula>0</formula>
    </cfRule>
  </conditionalFormatting>
  <conditionalFormatting sqref="H59:H60">
    <cfRule type="cellIs" dxfId="1586" priority="135" stopIfTrue="1" operator="lessThanOrEqual">
      <formula>0</formula>
    </cfRule>
    <cfRule type="cellIs" dxfId="1585" priority="145" stopIfTrue="1" operator="lessThanOrEqual">
      <formula>0</formula>
    </cfRule>
    <cfRule type="cellIs" dxfId="1584" priority="146" stopIfTrue="1" operator="greaterThan">
      <formula>#REF!</formula>
    </cfRule>
    <cfRule type="cellIs" dxfId="1583" priority="147" stopIfTrue="1" operator="lessThanOrEqual">
      <formula>0</formula>
    </cfRule>
    <cfRule type="cellIs" dxfId="1582" priority="144" stopIfTrue="1" operator="greaterThan">
      <formula>$F$22</formula>
    </cfRule>
    <cfRule type="cellIs" dxfId="1581" priority="136" stopIfTrue="1" operator="greaterThan">
      <formula>#REF!</formula>
    </cfRule>
  </conditionalFormatting>
  <conditionalFormatting sqref="H61">
    <cfRule type="cellIs" dxfId="1580" priority="149" stopIfTrue="1" operator="lessThanOrEqual">
      <formula>0</formula>
    </cfRule>
    <cfRule type="cellIs" dxfId="1579" priority="150" stopIfTrue="1" operator="greaterThan">
      <formula>$F$35</formula>
    </cfRule>
    <cfRule type="cellIs" dxfId="1578" priority="158" stopIfTrue="1" operator="greaterThan">
      <formula>$F$38</formula>
    </cfRule>
    <cfRule type="cellIs" dxfId="1577" priority="159" stopIfTrue="1" operator="lessThanOrEqual">
      <formula>0</formula>
    </cfRule>
    <cfRule type="cellIs" dxfId="1576" priority="160" stopIfTrue="1" operator="greaterThan">
      <formula>$F$36</formula>
    </cfRule>
    <cfRule type="cellIs" dxfId="1575" priority="161" stopIfTrue="1" operator="lessThanOrEqual">
      <formula>0</formula>
    </cfRule>
  </conditionalFormatting>
  <conditionalFormatting sqref="H62:H63">
    <cfRule type="cellIs" dxfId="1574" priority="130" stopIfTrue="1" operator="greaterThan">
      <formula>$F$22</formula>
    </cfRule>
    <cfRule type="cellIs" dxfId="1573" priority="122" stopIfTrue="1" operator="greaterThan">
      <formula>#REF!</formula>
    </cfRule>
    <cfRule type="cellIs" dxfId="1572" priority="121" stopIfTrue="1" operator="lessThanOrEqual">
      <formula>0</formula>
    </cfRule>
    <cfRule type="cellIs" dxfId="1571" priority="133" stopIfTrue="1" operator="lessThanOrEqual">
      <formula>0</formula>
    </cfRule>
    <cfRule type="cellIs" dxfId="1570" priority="131" stopIfTrue="1" operator="lessThanOrEqual">
      <formula>0</formula>
    </cfRule>
    <cfRule type="cellIs" dxfId="1569" priority="132" stopIfTrue="1" operator="greaterThan">
      <formula>#REF!</formula>
    </cfRule>
  </conditionalFormatting>
  <conditionalFormatting sqref="H78 H80:H86">
    <cfRule type="cellIs" dxfId="1568" priority="187" stopIfTrue="1" operator="greaterThan">
      <formula>4.5</formula>
    </cfRule>
    <cfRule type="cellIs" dxfId="1567" priority="188" stopIfTrue="1" operator="lessThanOrEqual">
      <formula>0</formula>
    </cfRule>
  </conditionalFormatting>
  <conditionalFormatting sqref="H54:I54">
    <cfRule type="cellIs" dxfId="1566" priority="27" stopIfTrue="1" operator="greaterThan">
      <formula>$F$76</formula>
    </cfRule>
    <cfRule type="cellIs" dxfId="1565" priority="30" stopIfTrue="1" operator="lessThanOrEqual">
      <formula>0</formula>
    </cfRule>
  </conditionalFormatting>
  <conditionalFormatting sqref="H55:I56">
    <cfRule type="cellIs" dxfId="1564" priority="83" stopIfTrue="1" operator="lessThanOrEqual">
      <formula>0</formula>
    </cfRule>
  </conditionalFormatting>
  <conditionalFormatting sqref="H55:I58">
    <cfRule type="cellIs" dxfId="1563" priority="80" stopIfTrue="1" operator="greaterThan">
      <formula>$F$69</formula>
    </cfRule>
  </conditionalFormatting>
  <conditionalFormatting sqref="H57:I58">
    <cfRule type="cellIs" dxfId="1562" priority="97" stopIfTrue="1" operator="lessThanOrEqual">
      <formula>0</formula>
    </cfRule>
  </conditionalFormatting>
  <conditionalFormatting sqref="H59:I60">
    <cfRule type="cellIs" dxfId="1561" priority="137" stopIfTrue="1" operator="lessThanOrEqual">
      <formula>0</formula>
    </cfRule>
    <cfRule type="cellIs" dxfId="1560" priority="134" stopIfTrue="1" operator="greaterThan">
      <formula>#REF!</formula>
    </cfRule>
  </conditionalFormatting>
  <conditionalFormatting sqref="H61:I61">
    <cfRule type="cellIs" dxfId="1559" priority="151" stopIfTrue="1" operator="lessThanOrEqual">
      <formula>0</formula>
    </cfRule>
    <cfRule type="cellIs" dxfId="1558" priority="148" stopIfTrue="1" operator="greaterThan">
      <formula>$F$37</formula>
    </cfRule>
  </conditionalFormatting>
  <conditionalFormatting sqref="H62:I63">
    <cfRule type="cellIs" dxfId="1557" priority="120" stopIfTrue="1" operator="greaterThan">
      <formula>#REF!</formula>
    </cfRule>
    <cfRule type="cellIs" dxfId="1556" priority="123" stopIfTrue="1" operator="lessThanOrEqual">
      <formula>0</formula>
    </cfRule>
  </conditionalFormatting>
  <conditionalFormatting sqref="H67:I74">
    <cfRule type="cellIs" dxfId="1555" priority="53" stopIfTrue="1" operator="lessThanOrEqual">
      <formula>0</formula>
    </cfRule>
    <cfRule type="cellIs" dxfId="1554" priority="52" stopIfTrue="1" operator="greaterThan">
      <formula>$J67</formula>
    </cfRule>
  </conditionalFormatting>
  <conditionalFormatting sqref="H75:I75">
    <cfRule type="cellIs" dxfId="1553" priority="61" operator="greaterThan">
      <formula>5.3</formula>
    </cfRule>
  </conditionalFormatting>
  <conditionalFormatting sqref="H76:I76">
    <cfRule type="cellIs" dxfId="1552" priority="60" stopIfTrue="1" operator="lessThanOrEqual">
      <formula>0</formula>
    </cfRule>
    <cfRule type="cellIs" dxfId="1551" priority="59" stopIfTrue="1" operator="greaterThan">
      <formula>$J76</formula>
    </cfRule>
  </conditionalFormatting>
  <conditionalFormatting sqref="I54">
    <cfRule type="cellIs" dxfId="1550" priority="35" stopIfTrue="1" operator="greaterThan">
      <formula>$F$74</formula>
    </cfRule>
    <cfRule type="cellIs" dxfId="1549" priority="36" stopIfTrue="1" operator="lessThanOrEqual">
      <formula>0</formula>
    </cfRule>
    <cfRule type="cellIs" dxfId="1548" priority="31" stopIfTrue="1" operator="greaterThan">
      <formula>$F$74</formula>
    </cfRule>
    <cfRule type="cellIs" dxfId="1547" priority="32" stopIfTrue="1" operator="lessThanOrEqual">
      <formula>0</formula>
    </cfRule>
    <cfRule type="cellIs" dxfId="1546" priority="33" stopIfTrue="1" operator="greaterThan">
      <formula>$F$76</formula>
    </cfRule>
    <cfRule type="cellIs" dxfId="1545" priority="34" stopIfTrue="1" operator="lessThanOrEqual">
      <formula>0</formula>
    </cfRule>
  </conditionalFormatting>
  <conditionalFormatting sqref="I55:I56">
    <cfRule type="cellIs" dxfId="1544" priority="84" stopIfTrue="1" operator="greaterThan">
      <formula>$F$67</formula>
    </cfRule>
    <cfRule type="cellIs" dxfId="1543" priority="89" stopIfTrue="1" operator="lessThanOrEqual">
      <formula>0</formula>
    </cfRule>
    <cfRule type="cellIs" dxfId="1542" priority="88" stopIfTrue="1" operator="greaterThan">
      <formula>$F$67</formula>
    </cfRule>
    <cfRule type="cellIs" dxfId="1541" priority="87" stopIfTrue="1" operator="lessThanOrEqual">
      <formula>0</formula>
    </cfRule>
    <cfRule type="cellIs" dxfId="1540" priority="86" stopIfTrue="1" operator="greaterThan">
      <formula>$F$69</formula>
    </cfRule>
    <cfRule type="cellIs" dxfId="1539" priority="85" stopIfTrue="1" operator="lessThanOrEqual">
      <formula>0</formula>
    </cfRule>
  </conditionalFormatting>
  <conditionalFormatting sqref="I57:I58">
    <cfRule type="cellIs" dxfId="1538" priority="98" stopIfTrue="1" operator="greaterThan">
      <formula>$F$67</formula>
    </cfRule>
    <cfRule type="cellIs" dxfId="1537" priority="99" stopIfTrue="1" operator="lessThanOrEqual">
      <formula>0</formula>
    </cfRule>
    <cfRule type="cellIs" dxfId="1536" priority="100" stopIfTrue="1" operator="greaterThan">
      <formula>$F$69</formula>
    </cfRule>
    <cfRule type="cellIs" dxfId="1535" priority="101" stopIfTrue="1" operator="lessThanOrEqual">
      <formula>0</formula>
    </cfRule>
    <cfRule type="cellIs" dxfId="1534" priority="102" stopIfTrue="1" operator="greaterThan">
      <formula>$F$67</formula>
    </cfRule>
    <cfRule type="cellIs" dxfId="1533" priority="103" stopIfTrue="1" operator="lessThanOrEqual">
      <formula>0</formula>
    </cfRule>
  </conditionalFormatting>
  <conditionalFormatting sqref="I59:I60">
    <cfRule type="cellIs" dxfId="1532" priority="139" stopIfTrue="1" operator="lessThanOrEqual">
      <formula>0</formula>
    </cfRule>
    <cfRule type="cellIs" dxfId="1531" priority="138" stopIfTrue="1" operator="greaterThan">
      <formula>#REF!</formula>
    </cfRule>
    <cfRule type="cellIs" dxfId="1530" priority="140" stopIfTrue="1" operator="greaterThan">
      <formula>#REF!</formula>
    </cfRule>
    <cfRule type="cellIs" dxfId="1529" priority="141" stopIfTrue="1" operator="lessThanOrEqual">
      <formula>0</formula>
    </cfRule>
    <cfRule type="cellIs" dxfId="1528" priority="142" stopIfTrue="1" operator="greaterThan">
      <formula>#REF!</formula>
    </cfRule>
    <cfRule type="cellIs" dxfId="1527" priority="143" stopIfTrue="1" operator="lessThanOrEqual">
      <formula>0</formula>
    </cfRule>
  </conditionalFormatting>
  <conditionalFormatting sqref="I61">
    <cfRule type="cellIs" dxfId="1526" priority="157" stopIfTrue="1" operator="lessThanOrEqual">
      <formula>0</formula>
    </cfRule>
    <cfRule type="cellIs" dxfId="1525" priority="152" stopIfTrue="1" operator="greaterThan">
      <formula>$F$35</formula>
    </cfRule>
    <cfRule type="cellIs" dxfId="1524" priority="153" stopIfTrue="1" operator="lessThanOrEqual">
      <formula>0</formula>
    </cfRule>
    <cfRule type="cellIs" dxfId="1523" priority="154" stopIfTrue="1" operator="greaterThan">
      <formula>$F$37</formula>
    </cfRule>
    <cfRule type="cellIs" dxfId="1522" priority="155" stopIfTrue="1" operator="lessThanOrEqual">
      <formula>0</formula>
    </cfRule>
    <cfRule type="cellIs" dxfId="1521" priority="156" stopIfTrue="1" operator="greaterThan">
      <formula>$F$35</formula>
    </cfRule>
  </conditionalFormatting>
  <conditionalFormatting sqref="I62:I63">
    <cfRule type="cellIs" dxfId="1520" priority="124" stopIfTrue="1" operator="greaterThan">
      <formula>#REF!</formula>
    </cfRule>
    <cfRule type="cellIs" dxfId="1519" priority="125" stopIfTrue="1" operator="lessThanOrEqual">
      <formula>0</formula>
    </cfRule>
    <cfRule type="cellIs" dxfId="1518" priority="126" stopIfTrue="1" operator="greaterThan">
      <formula>#REF!</formula>
    </cfRule>
    <cfRule type="cellIs" dxfId="1517" priority="127" stopIfTrue="1" operator="lessThanOrEqual">
      <formula>0</formula>
    </cfRule>
    <cfRule type="cellIs" dxfId="1516" priority="128" stopIfTrue="1" operator="greaterThan">
      <formula>#REF!</formula>
    </cfRule>
    <cfRule type="cellIs" dxfId="1515" priority="129" stopIfTrue="1" operator="lessThanOrEqual">
      <formula>0</formula>
    </cfRule>
  </conditionalFormatting>
  <conditionalFormatting sqref="I78:I86">
    <cfRule type="cellIs" dxfId="1514" priority="184" stopIfTrue="1" operator="lessThanOrEqual">
      <formula>0</formula>
    </cfRule>
    <cfRule type="cellIs" dxfId="1513" priority="183" stopIfTrue="1" operator="greaterThan">
      <formula>4.5</formula>
    </cfRule>
  </conditionalFormatting>
  <conditionalFormatting sqref="I10:J22">
    <cfRule type="cellIs" dxfId="1512" priority="18" operator="lessThan">
      <formula>97.9</formula>
    </cfRule>
  </conditionalFormatting>
  <conditionalFormatting sqref="J25:J26">
    <cfRule type="cellIs" dxfId="1511" priority="95" operator="lessThan">
      <formula>97.95</formula>
    </cfRule>
  </conditionalFormatting>
  <conditionalFormatting sqref="J27">
    <cfRule type="cellIs" dxfId="1510" priority="164" stopIfTrue="1" operator="greaterThan">
      <formula>100</formula>
    </cfRule>
    <cfRule type="cellIs" dxfId="1509" priority="163" stopIfTrue="1" operator="lessThan">
      <formula>96.8</formula>
    </cfRule>
    <cfRule type="cellIs" dxfId="1508" priority="165" operator="lessThan">
      <formula>98</formula>
    </cfRule>
  </conditionalFormatting>
  <conditionalFormatting sqref="J27:J29">
    <cfRule type="cellIs" dxfId="1507" priority="162" operator="lessThan">
      <formula>97.4</formula>
    </cfRule>
  </conditionalFormatting>
  <conditionalFormatting sqref="J30:J31">
    <cfRule type="cellIs" dxfId="1506" priority="166" operator="lessThan">
      <formula>98</formula>
    </cfRule>
  </conditionalFormatting>
  <conditionalFormatting sqref="J32:J33">
    <cfRule type="cellIs" dxfId="1505" priority="168" stopIfTrue="1" operator="greaterThan">
      <formula>100</formula>
    </cfRule>
    <cfRule type="cellIs" dxfId="1504" priority="167" stopIfTrue="1" operator="lessThan">
      <formula>96.8</formula>
    </cfRule>
  </conditionalFormatting>
  <conditionalFormatting sqref="J32:J34">
    <cfRule type="cellIs" dxfId="1503" priority="169" operator="lessThan">
      <formula>98</formula>
    </cfRule>
  </conditionalFormatting>
  <conditionalFormatting sqref="J63">
    <cfRule type="cellIs" dxfId="1502" priority="114" stopIfTrue="1" operator="greaterThan">
      <formula>#REF!</formula>
    </cfRule>
    <cfRule type="cellIs" dxfId="1501" priority="115" stopIfTrue="1" operator="lessThanOrEqual">
      <formula>0</formula>
    </cfRule>
    <cfRule type="cellIs" dxfId="1500" priority="116" stopIfTrue="1" operator="greaterThan">
      <formula>#REF!</formula>
    </cfRule>
    <cfRule type="cellIs" dxfId="1499" priority="117" stopIfTrue="1" operator="lessThanOrEqual">
      <formula>0</formula>
    </cfRule>
    <cfRule type="cellIs" dxfId="1498" priority="119" stopIfTrue="1" operator="lessThanOrEqual">
      <formula>0</formula>
    </cfRule>
    <cfRule type="cellIs" dxfId="1497" priority="112" stopIfTrue="1" operator="greaterThan">
      <formula>#REF!</formula>
    </cfRule>
    <cfRule type="cellIs" dxfId="1496" priority="113" stopIfTrue="1" operator="lessThanOrEqual">
      <formula>0</formula>
    </cfRule>
    <cfRule type="cellIs" dxfId="1495" priority="118" stopIfTrue="1" operator="greaterThan">
      <formula>#REF!</formula>
    </cfRule>
  </conditionalFormatting>
  <conditionalFormatting sqref="J76">
    <cfRule type="cellIs" dxfId="1494" priority="64" stopIfTrue="1" operator="greaterThan">
      <formula>$F76</formula>
    </cfRule>
    <cfRule type="cellIs" dxfId="1493" priority="65" stopIfTrue="1" operator="lessThanOrEqual">
      <formula>0</formula>
    </cfRule>
  </conditionalFormatting>
  <conditionalFormatting sqref="K10:K22">
    <cfRule type="cellIs" dxfId="1492" priority="19" operator="greaterThan">
      <formula>6</formula>
    </cfRule>
    <cfRule type="cellIs" dxfId="1491" priority="20" operator="lessThan">
      <formula>4</formula>
    </cfRule>
    <cfRule type="cellIs" dxfId="1490" priority="21" operator="greaterThan">
      <formula>6.4</formula>
    </cfRule>
  </conditionalFormatting>
  <conditionalFormatting sqref="K54:K63">
    <cfRule type="cellIs" dxfId="1489" priority="94" stopIfTrue="1" operator="lessThan">
      <formula>100%</formula>
    </cfRule>
  </conditionalFormatting>
  <conditionalFormatting sqref="K67:K75">
    <cfRule type="cellIs" dxfId="1488" priority="51" stopIfTrue="1" operator="lessThan">
      <formula>100%</formula>
    </cfRule>
  </conditionalFormatting>
  <conditionalFormatting sqref="K78:K83">
    <cfRule type="cellIs" dxfId="1487" priority="189" stopIfTrue="1" operator="lessThan">
      <formula>100%</formula>
    </cfRule>
  </conditionalFormatting>
  <conditionalFormatting sqref="K85:K86">
    <cfRule type="cellIs" dxfId="1486" priority="196" stopIfTrue="1" operator="lessThan">
      <formula>100%</formula>
    </cfRule>
  </conditionalFormatting>
  <conditionalFormatting sqref="L10:L22">
    <cfRule type="cellIs" dxfId="1485" priority="22" operator="between">
      <formula>61</formula>
      <formula>65</formula>
    </cfRule>
    <cfRule type="cellIs" dxfId="1484" priority="23" operator="greaterThan">
      <formula>65</formula>
    </cfRule>
  </conditionalFormatting>
  <conditionalFormatting sqref="L25:M36">
    <cfRule type="cellIs" dxfId="1483" priority="109" operator="lessThan">
      <formula>97.95</formula>
    </cfRule>
  </conditionalFormatting>
  <conditionalFormatting sqref="L40:N40">
    <cfRule type="cellIs" dxfId="1482" priority="46" operator="notEqual">
      <formula>#REF!</formula>
    </cfRule>
  </conditionalFormatting>
  <conditionalFormatting sqref="L67:N76">
    <cfRule type="cellIs" dxfId="1481" priority="12" stopIfTrue="1" operator="lessThan">
      <formula>100%</formula>
    </cfRule>
  </conditionalFormatting>
  <conditionalFormatting sqref="L78:N86">
    <cfRule type="cellIs" dxfId="1480" priority="174" stopIfTrue="1" operator="lessThan">
      <formula>100%</formula>
    </cfRule>
  </conditionalFormatting>
  <conditionalFormatting sqref="M20">
    <cfRule type="expression" dxfId="1479" priority="15">
      <formula>IF(+(IF(M20&lt;U20,0,IF(M20&gt;V20,0,1)))=0,1)</formula>
    </cfRule>
  </conditionalFormatting>
  <conditionalFormatting sqref="M10:N19 H10:H22">
    <cfRule type="expression" dxfId="1478" priority="26">
      <formula>IF(+(IF(H10&lt;#REF!,0,IF(H10&gt;#REF!,0,1)))=0,1)</formula>
    </cfRule>
  </conditionalFormatting>
  <conditionalFormatting sqref="M21:N22">
    <cfRule type="expression" dxfId="1477" priority="108">
      <formula>IF(+(IF(M21&lt;#REF!,0,IF(M21&gt;#REF!,0,1)))=0,1)</formula>
    </cfRule>
  </conditionalFormatting>
  <conditionalFormatting sqref="N10:N20">
    <cfRule type="expression" dxfId="1476" priority="14">
      <formula>IF(+(IF(N10&lt;W10,0,IF(N10&gt;X10,0,1)))=0,1)</formula>
    </cfRule>
  </conditionalFormatting>
  <conditionalFormatting sqref="P6">
    <cfRule type="cellIs" dxfId="1475" priority="170" operator="greaterThanOrEqual">
      <formula>19</formula>
    </cfRule>
  </conditionalFormatting>
  <dataValidations count="1">
    <dataValidation type="list" allowBlank="1" showInputMessage="1" showErrorMessage="1" sqref="R8" xr:uid="{3B351E09-D290-47CF-A90F-3773C6755DF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64D1-B00D-42AE-AA55-B859797E9085}">
  <sheetPr>
    <pageSetUpPr fitToPage="1"/>
  </sheetPr>
  <dimension ref="A1:BE74"/>
  <sheetViews>
    <sheetView topLeftCell="C12" zoomScale="70" zoomScaleNormal="70" workbookViewId="0">
      <selection activeCell="N15" sqref="N1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46162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16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12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[4]Brewhouse!$A404</f>
        <v>CA359</v>
      </c>
      <c r="D10" s="279">
        <f>[4]Brewhouse!$AF404</f>
        <v>49.3</v>
      </c>
      <c r="E10" s="279">
        <f>[4]Brewhouse!$AI404</f>
        <v>49.1</v>
      </c>
      <c r="F10" s="278">
        <f>[4]Brewhouse!$V404</f>
        <v>51</v>
      </c>
      <c r="G10" s="279">
        <f>[4]Brewhouse!AG404</f>
        <v>11.7</v>
      </c>
      <c r="H10" s="396"/>
      <c r="I10" s="368">
        <f>[4]Brewhouse!$AU404</f>
        <v>94.783958244441095</v>
      </c>
      <c r="J10" s="368">
        <f>[4]Brewhouse!$AV404</f>
        <v>96.294026430739692</v>
      </c>
      <c r="K10" s="281">
        <f>[4]Brewhouse!$Q404</f>
        <v>10.203327171903888</v>
      </c>
      <c r="L10" s="276">
        <f>[4]Brewhouse!$P404</f>
        <v>58</v>
      </c>
      <c r="M10" s="397">
        <f>[4]Brewhouse!$U404-[4]Brewhouse!$T404</f>
        <v>0.10902777777777778</v>
      </c>
      <c r="N10" s="370">
        <f>[4]Brewhouse!$Z404</f>
        <v>0.25694444444444448</v>
      </c>
      <c r="O10" s="420" t="str">
        <f>[4]Brewhouse!$AX404</f>
        <v>R. Sookram</v>
      </c>
      <c r="P10" s="418"/>
      <c r="R10" s="277" t="str">
        <f t="shared" ref="R10:R34" si="0">B10</f>
        <v>CARIB</v>
      </c>
      <c r="S10" s="472">
        <f t="shared" ref="S10:S34" si="1">VLOOKUP($B10,$R$3:$X$9,2,FALSE)</f>
        <v>11.6</v>
      </c>
      <c r="T10" s="472">
        <f t="shared" ref="T10:T34" si="2">VLOOKUP($B10,$R$3:$X$9,3,FALSE)</f>
        <v>12</v>
      </c>
      <c r="U10" s="297">
        <f t="shared" ref="U10:U34" si="3">VLOOKUP($B10,$R$3:$X$9,4,FALSE)</f>
        <v>0</v>
      </c>
      <c r="V10" s="297">
        <f t="shared" ref="V10:V34" si="4">VLOOKUP($B10,$R$3:$X$9,5,FALSE)</f>
        <v>0.118055555555556</v>
      </c>
      <c r="W10" s="297">
        <f t="shared" ref="W10:W34" si="5">VLOOKUP($B10,$R$3:$X$9,6,FALSE)</f>
        <v>0.22569444444444445</v>
      </c>
      <c r="X10" s="297">
        <f t="shared" ref="X10:X34" si="6">VLOOKUP($B10,$R$3:$X$9,7,FALSE)</f>
        <v>0.2638888888888889</v>
      </c>
      <c r="Y10" s="297">
        <f t="shared" ref="Y10:Y34" si="7">VLOOKUP($B10,$R$3:$Z$9,8,FALSE)</f>
        <v>0</v>
      </c>
      <c r="Z10" s="472">
        <f t="shared" ref="Z10:Z34" si="8">VLOOKUP($B10,$R$3:$Z$9,9,FALSE)</f>
        <v>60</v>
      </c>
    </row>
    <row r="11" spans="2:29" ht="15">
      <c r="B11" s="29" t="s">
        <v>6</v>
      </c>
      <c r="C11" s="366" t="str">
        <f>[4]Brewhouse!$A405</f>
        <v>CA360</v>
      </c>
      <c r="D11" s="279">
        <f>[4]Brewhouse!$AF405</f>
        <v>49.8</v>
      </c>
      <c r="E11" s="279">
        <f>[4]Brewhouse!$AI405</f>
        <v>48.9</v>
      </c>
      <c r="F11" s="278">
        <f>[4]Brewhouse!$V405</f>
        <v>55</v>
      </c>
      <c r="G11" s="279">
        <f>[4]Brewhouse!AG405</f>
        <v>11.9</v>
      </c>
      <c r="H11" s="396"/>
      <c r="I11" s="368">
        <f>[4]Brewhouse!$AU405</f>
        <v>96.215628300055926</v>
      </c>
      <c r="J11" s="368">
        <f>[4]Brewhouse!$AV405</f>
        <v>97.748403917184362</v>
      </c>
      <c r="K11" s="281">
        <f>[4]Brewhouse!$Q405</f>
        <v>9.1111111111111143</v>
      </c>
      <c r="L11" s="276">
        <f>[4]Brewhouse!$P405</f>
        <v>62</v>
      </c>
      <c r="M11" s="397">
        <f>[4]Brewhouse!$U405-[4]Brewhouse!$T405</f>
        <v>0.11458333333333331</v>
      </c>
      <c r="N11" s="370">
        <f>[4]Brewhouse!$Z405</f>
        <v>0.25555555555555554</v>
      </c>
      <c r="O11" s="420" t="str">
        <f>[4]Brewhouse!$AX405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[4]Brewhouse!$A406</f>
        <v>CA361</v>
      </c>
      <c r="D12" s="279">
        <f>[4]Brewhouse!$AF406</f>
        <v>50.2</v>
      </c>
      <c r="E12" s="279">
        <f>[4]Brewhouse!$AI406</f>
        <v>49.55</v>
      </c>
      <c r="F12" s="278">
        <f>[4]Brewhouse!$V406</f>
        <v>55</v>
      </c>
      <c r="G12" s="279">
        <f>[4]Brewhouse!AG406</f>
        <v>11.8</v>
      </c>
      <c r="H12" s="396"/>
      <c r="I12" s="368">
        <f>[4]Brewhouse!$AU406</f>
        <v>96.512976698627241</v>
      </c>
      <c r="J12" s="368">
        <f>[4]Brewhouse!$AV406</f>
        <v>98.050591062670975</v>
      </c>
      <c r="K12" s="281">
        <f>[4]Brewhouse!$Q406</f>
        <v>8.3703703703703631</v>
      </c>
      <c r="L12" s="276">
        <f>[4]Brewhouse!$P406</f>
        <v>60</v>
      </c>
      <c r="M12" s="397">
        <f>[4]Brewhouse!$U406-[4]Brewhouse!$T406</f>
        <v>0.10972222222222222</v>
      </c>
      <c r="N12" s="370">
        <f>[4]Brewhouse!$Z406</f>
        <v>0.24652777777777773</v>
      </c>
      <c r="O12" s="420" t="str">
        <f>[4]Brewhouse!$AX406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[4]Brewhouse!$A407</f>
        <v>CA362</v>
      </c>
      <c r="D13" s="279">
        <f>[4]Brewhouse!$AF407</f>
        <v>50.3</v>
      </c>
      <c r="E13" s="279">
        <f>[4]Brewhouse!$AI407</f>
        <v>49.7</v>
      </c>
      <c r="F13" s="278">
        <f>[4]Brewhouse!$V407</f>
        <v>61</v>
      </c>
      <c r="G13" s="279">
        <f>[4]Brewhouse!AG407</f>
        <v>11.9</v>
      </c>
      <c r="H13" s="396"/>
      <c r="I13" s="368">
        <f>[4]Brewhouse!$AU407</f>
        <v>97.668075936141776</v>
      </c>
      <c r="J13" s="368">
        <f>[4]Brewhouse!$AV407</f>
        <v>99.224092977631102</v>
      </c>
      <c r="K13" s="281">
        <f>[4]Brewhouse!$Q407</f>
        <v>8.1851851851851887</v>
      </c>
      <c r="L13" s="276">
        <f>[4]Brewhouse!$P407</f>
        <v>60</v>
      </c>
      <c r="M13" s="397">
        <f>[4]Brewhouse!$U407-[4]Brewhouse!$T407</f>
        <v>0.12152777777777779</v>
      </c>
      <c r="N13" s="370">
        <f>[4]Brewhouse!$Z407</f>
        <v>0.2680555555555556</v>
      </c>
      <c r="O13" s="420" t="str">
        <f>[4]Brewhouse!$AX407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[4]Brewhouse!$A408</f>
        <v>CA363</v>
      </c>
      <c r="D14" s="279">
        <f>[4]Brewhouse!$AF408</f>
        <v>49.8</v>
      </c>
      <c r="E14" s="279">
        <f>[4]Brewhouse!$AI408</f>
        <v>49.9</v>
      </c>
      <c r="F14" s="278">
        <f>[4]Brewhouse!$V408</f>
        <v>59</v>
      </c>
      <c r="G14" s="279">
        <f>[4]Brewhouse!AG408</f>
        <v>11.9</v>
      </c>
      <c r="H14" s="396"/>
      <c r="I14" s="368">
        <f>[4]Brewhouse!$AU408</f>
        <v>98.061106422806333</v>
      </c>
      <c r="J14" s="368">
        <f>[4]Brewhouse!$AV408</f>
        <v>99.623385102289589</v>
      </c>
      <c r="K14" s="281">
        <f>[4]Brewhouse!$Q408</f>
        <v>9.8518518518518512</v>
      </c>
      <c r="L14" s="276">
        <f>[4]Brewhouse!$P408</f>
        <v>14</v>
      </c>
      <c r="M14" s="490"/>
      <c r="N14" s="370">
        <f>[4]Brewhouse!$Z408</f>
        <v>0.28749999999999998</v>
      </c>
      <c r="O14" s="420" t="str">
        <f>[4]Brewhouse!$AX408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[4]Brewhouse!$A409</f>
        <v>CA364</v>
      </c>
      <c r="D15" s="279">
        <f>[4]Brewhouse!$AF409</f>
        <v>50.8</v>
      </c>
      <c r="E15" s="279">
        <f>[4]Brewhouse!$AI409</f>
        <v>49.21</v>
      </c>
      <c r="F15" s="278">
        <f>[4]Brewhouse!$V409</f>
        <v>61</v>
      </c>
      <c r="G15" s="279">
        <f>[4]Brewhouse!AG409</f>
        <v>11.6</v>
      </c>
      <c r="H15" s="396"/>
      <c r="I15" s="368">
        <f>[4]Brewhouse!$AU409</f>
        <v>94.141882174700498</v>
      </c>
      <c r="J15" s="368">
        <f>[4]Brewhouse!$AV409</f>
        <v>95.641721007171114</v>
      </c>
      <c r="K15" s="281">
        <f>[4]Brewhouse!$Q409</f>
        <v>8.1700554528650677</v>
      </c>
      <c r="L15" s="276">
        <f>[4]Brewhouse!$P409</f>
        <v>60</v>
      </c>
      <c r="M15" s="397">
        <f>[4]Brewhouse!$U409-[4]Brewhouse!$T409</f>
        <v>0.11319444444444449</v>
      </c>
      <c r="N15" s="370">
        <f>[4]Brewhouse!$Z409</f>
        <v>0.28333333333333333</v>
      </c>
      <c r="O15" s="420" t="str">
        <f>[4]Brewhouse!$AX409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[4]Brewhouse!$A410</f>
        <v>CA365</v>
      </c>
      <c r="D16" s="279">
        <f>[4]Brewhouse!$AF410</f>
        <v>50.5</v>
      </c>
      <c r="E16" s="279">
        <f>[4]Brewhouse!$AI410</f>
        <v>50.8</v>
      </c>
      <c r="F16" s="278">
        <f>[4]Brewhouse!$V410</f>
        <v>63</v>
      </c>
      <c r="G16" s="279">
        <f>[4]Brewhouse!AG410</f>
        <v>11.7</v>
      </c>
      <c r="H16" s="396"/>
      <c r="I16" s="368">
        <f>[4]Brewhouse!$AU410</f>
        <v>98.065683886305649</v>
      </c>
      <c r="J16" s="368">
        <f>[4]Brewhouse!$AV410</f>
        <v>99.628035492496451</v>
      </c>
      <c r="K16" s="281">
        <f>[4]Brewhouse!$Q410</f>
        <v>7.985212569316082</v>
      </c>
      <c r="L16" s="276">
        <f>[4]Brewhouse!$P410</f>
        <v>59</v>
      </c>
      <c r="M16" s="397">
        <f>[4]Brewhouse!$U410-[4]Brewhouse!$T410</f>
        <v>0.10833333333333339</v>
      </c>
      <c r="N16" s="370">
        <f>[4]Brewhouse!$Z410</f>
        <v>0.32083333333333341</v>
      </c>
      <c r="O16" s="420" t="str">
        <f>[4]Brewhouse!$AX410</f>
        <v>R. Regis</v>
      </c>
      <c r="P16" s="418" t="s">
        <v>207</v>
      </c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>
      <c r="B17" s="29" t="s">
        <v>6</v>
      </c>
      <c r="C17" s="366" t="str">
        <f>[4]Brewhouse!$A411</f>
        <v>CA366</v>
      </c>
      <c r="D17" s="279">
        <f>[4]Brewhouse!$AF411</f>
        <v>50</v>
      </c>
      <c r="E17" s="279">
        <f>[4]Brewhouse!$AI411</f>
        <v>50.3</v>
      </c>
      <c r="F17" s="278">
        <f>[4]Brewhouse!$V411</f>
        <v>63</v>
      </c>
      <c r="G17" s="279">
        <f>[4]Brewhouse!AG411</f>
        <v>11.6</v>
      </c>
      <c r="H17" s="396"/>
      <c r="I17" s="368">
        <f>[4]Brewhouse!$AU411</f>
        <v>96.227121995274018</v>
      </c>
      <c r="J17" s="368">
        <f>[4]Brewhouse!$AV411</f>
        <v>97.760182212166356</v>
      </c>
      <c r="K17" s="281">
        <f>[4]Brewhouse!$Q411</f>
        <v>8.9094269870609999</v>
      </c>
      <c r="L17" s="276">
        <f>[4]Brewhouse!$P411</f>
        <v>58</v>
      </c>
      <c r="M17" s="397">
        <f>[4]Brewhouse!$U411-[4]Brewhouse!$T411</f>
        <v>0.11249999999999993</v>
      </c>
      <c r="N17" s="370">
        <f>[4]Brewhouse!$Z411</f>
        <v>0.25972222222222219</v>
      </c>
      <c r="O17" s="420" t="str">
        <f>[4]Brewhouse!$AX411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8" customHeight="1">
      <c r="B19" s="29"/>
      <c r="C19" s="366"/>
      <c r="D19" s="279"/>
      <c r="E19" s="279"/>
      <c r="F19" s="278"/>
      <c r="G19" s="279"/>
      <c r="H19" s="482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25"/>
      <c r="J21" s="525"/>
      <c r="K21" s="525"/>
      <c r="L21" s="525"/>
      <c r="M21" s="525"/>
      <c r="N21" s="525"/>
      <c r="O21" s="1"/>
      <c r="P21" s="12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88" t="s">
        <v>162</v>
      </c>
      <c r="C22" s="388"/>
      <c r="D22" s="526" t="s">
        <v>35</v>
      </c>
      <c r="E22" s="527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0"/>
        <v xml:space="preserve">BRAND 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28"/>
      <c r="C23" s="362"/>
      <c r="D23" s="531"/>
      <c r="E23" s="532"/>
      <c r="F23" s="294"/>
      <c r="G23" s="294"/>
      <c r="H23" s="348"/>
      <c r="I23" s="29" t="s">
        <v>6</v>
      </c>
      <c r="J23" s="323">
        <f>AVERAGE(I10:I17)</f>
        <v>96.459554207294076</v>
      </c>
      <c r="K23" s="284">
        <f>COUNTA([4]Brewhouse!$A$372:$A$411)</f>
        <v>40</v>
      </c>
      <c r="L23" s="305">
        <f>AVERAGE([4]Brewhouse!$AU$372:$AU$411)</f>
        <v>97.628276768309505</v>
      </c>
      <c r="M23" s="305">
        <f>AVERAGE([4]Brewhouse!$AU$42:$AU$123,[4]Brewhouse!$AU$125:$AU$188,[4]Brewhouse!$AU$198:$AU$290,[4]Brewhouse!$AU$292:$AU$370,[4]Brewhouse!$AU$372:$AU$411)</f>
        <v>97.96247994260024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29"/>
      <c r="C24" s="362"/>
      <c r="D24" s="533"/>
      <c r="E24" s="534"/>
      <c r="F24" s="294"/>
      <c r="G24" s="294"/>
      <c r="H24" s="348"/>
      <c r="I24" s="33" t="s">
        <v>9</v>
      </c>
      <c r="J24" s="323"/>
      <c r="K24" s="284">
        <f>COUNTA([3]Brewhouse!$A$214:$A$238)</f>
        <v>25</v>
      </c>
      <c r="L24" s="302">
        <f>AVERAGE([3]Brewhouse!$AS$214:$AS$238)</f>
        <v>97.438618252406371</v>
      </c>
      <c r="M24" s="302">
        <f>AVERAGE([3]Brewhouse!$AS$52:$AS$81,[3]Brewhouse!$AS$83:$AS$124,[3]Brewhouse!$AS$134:$AS$177,[3]Brewhouse!$AS$22:$AS$179,[3]Brewhouse!$AS$214:$AS$238)</f>
        <v>97.904271165191631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29"/>
      <c r="C25" s="362"/>
      <c r="D25" s="535"/>
      <c r="E25" s="536"/>
      <c r="F25" s="294"/>
      <c r="G25" s="294"/>
      <c r="H25" s="348"/>
      <c r="I25" s="34" t="s">
        <v>12</v>
      </c>
      <c r="J25" s="280"/>
      <c r="K25" s="284"/>
      <c r="L25" s="302"/>
      <c r="M25" s="302">
        <f>AVERAGE([5]Brewhouse!$AU$16:$AU$23,[5]Brewhouse!$AU$25:$AU$32,[5]Brewhouse!$AU$34:$AU$41,[5]Brewhouse!$AU$43:$AU$55)</f>
        <v>96.793456653928644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29"/>
      <c r="C26" s="362"/>
      <c r="D26" s="537"/>
      <c r="E26" s="534"/>
      <c r="F26" s="294"/>
      <c r="G26" s="294"/>
      <c r="H26" s="348"/>
      <c r="I26" s="22" t="s">
        <v>33</v>
      </c>
      <c r="J26" s="280"/>
      <c r="K26" s="284">
        <f>COUNTA([6]Brewhouse!$A$62:$A$68)</f>
        <v>7</v>
      </c>
      <c r="L26" s="302">
        <f>AVERAGE([6]Brewhouse!$AV$62:$AV$68)</f>
        <v>98.287606329362575</v>
      </c>
      <c r="M26" s="302">
        <f>AVERAGE([6]Brewhouse!$AV$23:$AV$34,[6]Brewhouse!$AV$36,[6]Brewhouse!$AV$38:$AV$52,[6]Brewhouse!$AV$54:$AV$60,[6]Brewhouse!$AV$62:$AV$68)</f>
        <v>97.579195177204838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9"/>
      <c r="C27" s="362"/>
      <c r="D27" s="535"/>
      <c r="E27" s="536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9"/>
      <c r="C28" s="362"/>
      <c r="D28" s="537"/>
      <c r="E28" s="534"/>
      <c r="F28" s="417"/>
      <c r="G28" s="294"/>
      <c r="H28" s="348"/>
      <c r="I28" s="36" t="s">
        <v>15</v>
      </c>
      <c r="J28" s="323"/>
      <c r="K28" s="284">
        <f>COUNTA([7]Brewhouse!$A$13:$A$16)</f>
        <v>4</v>
      </c>
      <c r="L28" s="302">
        <f>AVERAGE([7]Brewhouse!$AT$13:$AT$16)</f>
        <v>88.962677106311475</v>
      </c>
      <c r="M28" s="302">
        <f>AVERAGE([7]Brewhouse!$AT$4:$AT$11,[7]Brewhouse!$AT$13:$AT$16)</f>
        <v>91.538375374138752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9"/>
      <c r="C29" s="362"/>
      <c r="D29" s="535"/>
      <c r="E29" s="536"/>
      <c r="F29" s="417"/>
      <c r="G29" s="294"/>
      <c r="H29" s="348"/>
      <c r="I29" s="37" t="s">
        <v>16</v>
      </c>
      <c r="J29" s="323"/>
      <c r="K29" s="284">
        <f>COUNTA([8]Brewhouse!$A$53:$A$60)</f>
        <v>8</v>
      </c>
      <c r="L29" s="302">
        <f>AVERAGE([8]Brewhouse!$AY$53:$AY$60)</f>
        <v>97.024473838692316</v>
      </c>
      <c r="M29" s="302">
        <f>AVERAGE([8]Brewhouse!$AY$5:$AY$14,[8]Brewhouse!$AY$16:$AY$23,[8]Brewhouse!$AY$42,[8]Brewhouse!$AY$44:$AY$51,[8]Brewhouse!$AY$53:$AY$60)</f>
        <v>97.474953130157175</v>
      </c>
      <c r="N29" s="30">
        <v>98</v>
      </c>
      <c r="O29" s="11"/>
      <c r="P29" s="31" t="s">
        <v>41</v>
      </c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29"/>
      <c r="C30" s="362"/>
      <c r="D30" s="537"/>
      <c r="E30" s="534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29"/>
      <c r="C31" s="349"/>
      <c r="D31" s="535"/>
      <c r="E31" s="536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29"/>
      <c r="C32" s="349"/>
      <c r="D32" s="537"/>
      <c r="E32" s="534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29"/>
      <c r="C33" s="349"/>
      <c r="D33" s="531"/>
      <c r="E33" s="532"/>
      <c r="F33" s="294"/>
      <c r="G33" s="294"/>
      <c r="H33" s="348"/>
      <c r="I33" s="1"/>
      <c r="J33" s="39"/>
      <c r="K33" s="404">
        <f>SUM(K23:K32)</f>
        <v>84</v>
      </c>
      <c r="L33" s="405">
        <f>((L23*K23)+(L24*K24)+(L25*K25)+(L26*K26)+(L27*K27)+(K30*L30)+(L28*K28)+(L29*K29)+(L32*K32))/(K33)</f>
        <v>97.15662226765312</v>
      </c>
      <c r="M33" s="405">
        <f>AVERAGE('[9]Jan30th-31st'!$L$42,L33)</f>
        <v>97.492332001747286</v>
      </c>
      <c r="N33" s="4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.75" thickBot="1">
      <c r="B34" s="530"/>
      <c r="C34" s="350"/>
      <c r="D34" s="533"/>
      <c r="E34" s="534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28"/>
      <c r="C35" s="362"/>
      <c r="D35" s="539"/>
      <c r="E35" s="540"/>
      <c r="F35" s="294"/>
      <c r="G35" s="42"/>
      <c r="H35" s="41"/>
      <c r="I35" s="42"/>
      <c r="J35" s="541" t="s">
        <v>129</v>
      </c>
      <c r="K35" s="541"/>
      <c r="L35" s="294"/>
      <c r="M35" s="294"/>
      <c r="N35" s="294"/>
      <c r="O35" s="294"/>
      <c r="P35" s="12"/>
    </row>
    <row r="36" spans="1:56" ht="15.75" thickBot="1">
      <c r="B36" s="529"/>
      <c r="C36" s="362"/>
      <c r="D36" s="537"/>
      <c r="E36" s="534"/>
      <c r="F36" s="294"/>
      <c r="G36" s="42"/>
      <c r="H36" s="42"/>
      <c r="I36" s="42"/>
      <c r="J36" s="292" t="s">
        <v>17</v>
      </c>
      <c r="K36" s="293" t="s">
        <v>172</v>
      </c>
      <c r="L36" s="542" t="s">
        <v>136</v>
      </c>
      <c r="M36" s="542"/>
      <c r="N36" s="543"/>
      <c r="O36" s="294"/>
      <c r="P36" s="12"/>
    </row>
    <row r="37" spans="1:56" ht="15" customHeight="1" thickBot="1">
      <c r="B37" s="529"/>
      <c r="C37" s="349"/>
      <c r="D37" s="535"/>
      <c r="E37" s="536"/>
      <c r="F37" s="294"/>
      <c r="G37" s="42"/>
      <c r="H37" s="42"/>
      <c r="I37" s="42"/>
      <c r="J37" s="287" t="s">
        <v>6</v>
      </c>
      <c r="K37" s="324">
        <v>8</v>
      </c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29"/>
      <c r="C38" s="349"/>
      <c r="D38" s="537"/>
      <c r="E38" s="534"/>
      <c r="F38" s="294"/>
      <c r="G38" s="42"/>
      <c r="H38" s="42"/>
      <c r="I38" s="42"/>
      <c r="J38" s="345" t="s">
        <v>9</v>
      </c>
      <c r="K38" s="324"/>
      <c r="L38" s="344">
        <f>AVERAGE('May 2nd-23rd'!J53,'May 2nd-23rd'!K53,'May 4th'!K51,'May 5th'!K47,'May 6th'!K54,'May 7th'!K48,'May 19th '!K47,'May 8th -9th'!K55,'May 8th -9th'!J55,'May 11th'!K51,'May 12th '!K46,'May 12th '!K46,'May 13th'!K45,'May 14th'!K42,'May 15th-16th'!K44)</f>
        <v>5.333333333333333</v>
      </c>
      <c r="M38" s="325">
        <f>AVERAGE('[9]Jan30th-31st'!$L$47,L38,'[10]Feb 26th '!$L$39,'[11]Mar 31st'!$L$47,'[12]Apr 30th'!$L$46)</f>
        <v>6.2740579710144928</v>
      </c>
      <c r="N38" s="416">
        <v>9.1999999999999993</v>
      </c>
      <c r="O38" s="294"/>
      <c r="P38" s="12"/>
    </row>
    <row r="39" spans="1:56" ht="15" customHeight="1">
      <c r="B39" s="529"/>
      <c r="C39" s="349"/>
      <c r="D39" s="535"/>
      <c r="E39" s="536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29"/>
      <c r="C40" s="349"/>
      <c r="D40" s="537"/>
      <c r="E40" s="534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29"/>
      <c r="C41" s="349"/>
      <c r="D41" s="535"/>
      <c r="E41" s="536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29"/>
      <c r="C42" s="349"/>
      <c r="D42" s="537"/>
      <c r="E42" s="534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9"/>
      <c r="C43" s="349"/>
      <c r="D43" s="535"/>
      <c r="E43" s="536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38"/>
      <c r="C44" s="350"/>
      <c r="D44" s="544"/>
      <c r="E44" s="545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46"/>
      <c r="E45" s="547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8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294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48" t="s">
        <v>17</v>
      </c>
      <c r="C50" s="548" t="s">
        <v>44</v>
      </c>
      <c r="D50" s="551" t="s">
        <v>45</v>
      </c>
      <c r="E50" s="516" t="s">
        <v>46</v>
      </c>
      <c r="F50" s="565" t="s">
        <v>47</v>
      </c>
      <c r="G50" s="560" t="s">
        <v>48</v>
      </c>
      <c r="H50" s="548" t="s">
        <v>49</v>
      </c>
      <c r="I50" s="548" t="s">
        <v>50</v>
      </c>
      <c r="J50" s="554" t="s">
        <v>28</v>
      </c>
      <c r="K50" s="514" t="s">
        <v>51</v>
      </c>
      <c r="L50" s="563" t="s">
        <v>52</v>
      </c>
      <c r="M50" s="554" t="s">
        <v>53</v>
      </c>
      <c r="N50" s="13"/>
      <c r="O50" s="13"/>
      <c r="P50" s="50"/>
    </row>
    <row r="51" spans="2:57" ht="28.5" customHeight="1" thickTop="1" thickBot="1">
      <c r="B51" s="549"/>
      <c r="C51" s="550"/>
      <c r="D51" s="552"/>
      <c r="E51" s="553"/>
      <c r="F51" s="566"/>
      <c r="G51" s="561"/>
      <c r="H51" s="549"/>
      <c r="I51" s="549"/>
      <c r="J51" s="555"/>
      <c r="K51" s="562"/>
      <c r="L51" s="564"/>
      <c r="M51" s="555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2:57" s="54" customFormat="1" ht="36.75" customHeight="1" thickBot="1">
      <c r="B52" s="486" t="str">
        <f>J38</f>
        <v>STAG</v>
      </c>
      <c r="C52" s="479">
        <v>46161</v>
      </c>
      <c r="D52" s="445">
        <f>[32]May_2026!$V$13</f>
        <v>395.1</v>
      </c>
      <c r="E52" s="443"/>
      <c r="F52" s="444"/>
      <c r="G52" s="445">
        <f>[32]May_2026!$V$17</f>
        <v>378</v>
      </c>
      <c r="H52" s="458"/>
      <c r="I52" s="458"/>
      <c r="J52" s="448" t="s">
        <v>186</v>
      </c>
      <c r="K52" s="449">
        <f>[34]May_2026!$V$25</f>
        <v>0.44210526315789472</v>
      </c>
      <c r="L52" s="476">
        <f>(((D52+E52)-G52)/(D52+E52))*100</f>
        <v>4.3280182232346291</v>
      </c>
      <c r="M52" s="455" t="s">
        <v>187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[13]January_2019!L5</f>
        <v>0</v>
      </c>
      <c r="AC52" s="57">
        <f>[13]January_2019!M5</f>
        <v>0</v>
      </c>
      <c r="AD52" s="57">
        <f>[13]January_2019!N5</f>
        <v>0</v>
      </c>
      <c r="AE52" s="57">
        <f>[13]January_2019!O5</f>
        <v>0</v>
      </c>
      <c r="AF52" s="57">
        <f>[13]January_2019!P5</f>
        <v>0</v>
      </c>
      <c r="AG52" s="57">
        <f>[13]January_2019!Q5</f>
        <v>0</v>
      </c>
      <c r="AH52" s="57">
        <f>[13]January_2019!R5</f>
        <v>0</v>
      </c>
      <c r="AI52" s="57">
        <f>[13]January_2019!S5</f>
        <v>0</v>
      </c>
      <c r="AJ52" s="57">
        <f>[13]January_2019!T5</f>
        <v>0</v>
      </c>
      <c r="AK52" s="57">
        <f>[13]January_2019!U5</f>
        <v>0</v>
      </c>
      <c r="AL52" s="57">
        <f>[13]January_2019!V5</f>
        <v>0</v>
      </c>
      <c r="AM52" s="57">
        <f>[13]January_2019!W5</f>
        <v>0</v>
      </c>
      <c r="AN52" s="57">
        <f>[13]January_2019!X5</f>
        <v>0</v>
      </c>
      <c r="AO52" s="57">
        <f>[13]January_2019!Y5</f>
        <v>0</v>
      </c>
      <c r="AP52" s="57">
        <f>[13]January_2019!Z5</f>
        <v>0</v>
      </c>
      <c r="AQ52" s="57">
        <f>[13]January_2019!AA5</f>
        <v>0</v>
      </c>
      <c r="AR52" s="57">
        <f>[13]January_2019!AB5</f>
        <v>0</v>
      </c>
      <c r="AS52" s="57">
        <f>[13]January_2019!AC5</f>
        <v>0</v>
      </c>
      <c r="AT52" s="57">
        <f>[13]January_2019!AD5</f>
        <v>0</v>
      </c>
      <c r="AU52" s="57">
        <f>[13]January_2019!AE5</f>
        <v>0</v>
      </c>
      <c r="AV52" s="57">
        <f>[13]January_2019!AF5</f>
        <v>0</v>
      </c>
      <c r="AW52" s="57">
        <f>[13]January_2019!AG5</f>
        <v>0</v>
      </c>
      <c r="AX52" s="277">
        <f>[13]January_2019!AH5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[13]January_2019!L6</f>
        <v>0</v>
      </c>
      <c r="AC53" s="57">
        <f>[13]January_2019!M6</f>
        <v>0</v>
      </c>
      <c r="AD53" s="57">
        <f>[13]January_2019!N6</f>
        <v>0</v>
      </c>
      <c r="AE53" s="57">
        <f>[13]January_2019!O6</f>
        <v>0</v>
      </c>
      <c r="AF53" s="57">
        <f>[13]January_2019!P6</f>
        <v>0</v>
      </c>
      <c r="AG53" s="57">
        <f>[13]January_2019!Q6</f>
        <v>0</v>
      </c>
      <c r="AH53" s="57">
        <f>[13]January_2019!R6</f>
        <v>0</v>
      </c>
      <c r="AI53" s="57">
        <f>[13]January_2019!S6</f>
        <v>0</v>
      </c>
      <c r="AJ53" s="57">
        <f>[13]January_2019!T6</f>
        <v>0</v>
      </c>
      <c r="AK53" s="57">
        <f>[13]January_2019!U6</f>
        <v>0</v>
      </c>
      <c r="AL53" s="57">
        <f>[13]January_2019!V6</f>
        <v>0</v>
      </c>
      <c r="AM53" s="57">
        <f>[13]January_2019!W6</f>
        <v>0</v>
      </c>
      <c r="AN53" s="57">
        <f>[13]January_2019!X6</f>
        <v>0</v>
      </c>
      <c r="AO53" s="57">
        <f>[13]January_2019!Y6</f>
        <v>0</v>
      </c>
      <c r="AP53" s="57">
        <f>[13]January_2019!Z6</f>
        <v>0</v>
      </c>
      <c r="AQ53" s="57">
        <f>[13]January_2019!AA6</f>
        <v>0</v>
      </c>
      <c r="AR53" s="57">
        <f>[13]January_2019!AB6</f>
        <v>0</v>
      </c>
      <c r="AS53" s="57">
        <f>[13]January_2019!AC6</f>
        <v>0</v>
      </c>
      <c r="AT53" s="57">
        <f>[13]January_2019!AD6</f>
        <v>0</v>
      </c>
      <c r="AU53" s="57">
        <f>[13]January_2019!AE6</f>
        <v>0</v>
      </c>
      <c r="AV53" s="57">
        <f>[13]January_2019!AF6</f>
        <v>0</v>
      </c>
      <c r="AW53" s="57">
        <f>[13]January_2019!AG6</f>
        <v>0</v>
      </c>
      <c r="AX53" s="277">
        <f>[13]January_2019!AH6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15" hidden="1" customHeight="1" thickBot="1">
      <c r="B54" s="480"/>
      <c r="C54" s="479"/>
      <c r="D54" s="442"/>
      <c r="E54" s="443"/>
      <c r="F54" s="444"/>
      <c r="G54" s="445"/>
      <c r="H54" s="458"/>
      <c r="I54" s="458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[13]January_2019!L7</f>
        <v>285.8</v>
      </c>
      <c r="AC54" s="57">
        <f>[13]January_2019!M7</f>
        <v>508.1</v>
      </c>
      <c r="AD54" s="57">
        <f>[13]January_2019!N7</f>
        <v>0</v>
      </c>
      <c r="AE54" s="57">
        <f>[13]January_2019!O7</f>
        <v>0</v>
      </c>
      <c r="AF54" s="57">
        <f>[13]January_2019!P7</f>
        <v>109.56666666666666</v>
      </c>
      <c r="AG54" s="57">
        <f>[13]January_2019!Q7</f>
        <v>297.64999999999998</v>
      </c>
      <c r="AH54" s="57">
        <f>[13]January_2019!R7</f>
        <v>122.3</v>
      </c>
      <c r="AI54" s="57">
        <f>[13]January_2019!S7</f>
        <v>0</v>
      </c>
      <c r="AJ54" s="57">
        <f>[13]January_2019!T7</f>
        <v>294.7</v>
      </c>
      <c r="AK54" s="57">
        <f>[13]January_2019!U7</f>
        <v>280.5</v>
      </c>
      <c r="AL54" s="57">
        <f>[13]January_2019!V7</f>
        <v>0</v>
      </c>
      <c r="AM54" s="57">
        <f>[13]January_2019!W7</f>
        <v>0</v>
      </c>
      <c r="AN54" s="57">
        <f>[13]January_2019!X7</f>
        <v>188.25</v>
      </c>
      <c r="AO54" s="57">
        <f>[13]January_2019!Y7</f>
        <v>295.7</v>
      </c>
      <c r="AP54" s="57">
        <f>[13]January_2019!Z7</f>
        <v>257.8</v>
      </c>
      <c r="AQ54" s="57">
        <f>[13]January_2019!AA7</f>
        <v>291.2</v>
      </c>
      <c r="AR54" s="57">
        <f>[13]January_2019!AB7</f>
        <v>187</v>
      </c>
      <c r="AS54" s="57">
        <f>[13]January_2019!AC7</f>
        <v>0</v>
      </c>
      <c r="AT54" s="57">
        <f>[13]January_2019!AD7</f>
        <v>0</v>
      </c>
      <c r="AU54" s="57">
        <f>[13]January_2019!AE7</f>
        <v>485.1</v>
      </c>
      <c r="AV54" s="57">
        <f>[13]January_2019!AF7</f>
        <v>171.55</v>
      </c>
      <c r="AW54" s="57">
        <f>[13]January_2019!AG7</f>
        <v>423.8</v>
      </c>
      <c r="AX54" s="277">
        <f>[13]January_2019!AH7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9.5" hidden="1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50000000000003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/>
      <c r="K56" s="45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89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56" t="s">
        <v>55</v>
      </c>
      <c r="C63" s="557"/>
      <c r="D63" s="557"/>
      <c r="E63" s="557"/>
      <c r="F63" s="558"/>
      <c r="G63" s="556" t="s">
        <v>56</v>
      </c>
      <c r="H63" s="557"/>
      <c r="I63" s="557"/>
      <c r="J63" s="558"/>
      <c r="K63" s="556" t="s">
        <v>51</v>
      </c>
      <c r="L63" s="557"/>
      <c r="M63" s="557"/>
      <c r="N63" s="559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/>
      <c r="D65" s="76">
        <v>6.290866748275727</v>
      </c>
      <c r="E65" s="76">
        <v>6.7202690343833114</v>
      </c>
      <c r="F65" s="66">
        <v>4.8</v>
      </c>
      <c r="G65" s="65"/>
      <c r="H65" s="477">
        <v>6.2883061406335168</v>
      </c>
      <c r="I65" s="477">
        <v>6.4185122653071121</v>
      </c>
      <c r="J65" s="66">
        <v>4.8</v>
      </c>
      <c r="K65" s="67"/>
      <c r="L65" s="194">
        <v>0.59912865497076029</v>
      </c>
      <c r="M65" s="194">
        <v>0.49795698271418848</v>
      </c>
      <c r="N65" s="68">
        <v>1</v>
      </c>
      <c r="O65" s="56"/>
      <c r="P65" s="69"/>
    </row>
    <row r="66" spans="2:16" ht="15">
      <c r="B66" s="33" t="s">
        <v>9</v>
      </c>
      <c r="C66" s="65">
        <f>L52</f>
        <v>4.3280182232346291</v>
      </c>
      <c r="D66" s="76">
        <v>5.1176890156918384</v>
      </c>
      <c r="E66" s="76">
        <v>6.0568688569191238</v>
      </c>
      <c r="F66" s="66">
        <v>4.8</v>
      </c>
      <c r="G66" s="65">
        <f>[32]May_2026!$V$21</f>
        <v>3.9403683781099765</v>
      </c>
      <c r="H66" s="76">
        <v>5.1104786891013454</v>
      </c>
      <c r="I66" s="76">
        <v>5.5157923502904493</v>
      </c>
      <c r="J66" s="66">
        <v>4.8</v>
      </c>
      <c r="K66" s="67">
        <f>K52</f>
        <v>0.44210526315789472</v>
      </c>
      <c r="L66" s="194">
        <v>0.58649122807017551</v>
      </c>
      <c r="M66" s="194">
        <v>0.68827834973716662</v>
      </c>
      <c r="N66" s="68">
        <v>1</v>
      </c>
      <c r="P66" s="69"/>
    </row>
    <row r="67" spans="2:16" ht="15">
      <c r="B67" s="34" t="s">
        <v>40</v>
      </c>
      <c r="C67" s="65"/>
      <c r="D67" s="76">
        <v>10.182228066879567</v>
      </c>
      <c r="E67" s="76">
        <v>11.735537190082644</v>
      </c>
      <c r="F67" s="66">
        <v>5.5</v>
      </c>
      <c r="G67" s="65"/>
      <c r="H67" s="76">
        <v>11.362028737847183</v>
      </c>
      <c r="I67" s="76">
        <v>12.769538510720032</v>
      </c>
      <c r="J67" s="66">
        <v>5.5</v>
      </c>
      <c r="K67" s="67"/>
      <c r="L67" s="194">
        <v>0.23824561403508773</v>
      </c>
      <c r="M67" s="194">
        <v>0.26411513157894739</v>
      </c>
      <c r="N67" s="68">
        <v>1</v>
      </c>
      <c r="P67" s="69"/>
    </row>
    <row r="68" spans="2:16" ht="15">
      <c r="B68" s="22" t="s">
        <v>33</v>
      </c>
      <c r="C68" s="65"/>
      <c r="D68" s="76">
        <v>4.9306092006073188</v>
      </c>
      <c r="E68" s="76">
        <v>4.7166249493099075</v>
      </c>
      <c r="F68" s="66">
        <v>3.3</v>
      </c>
      <c r="G68" s="65"/>
      <c r="H68" s="76">
        <v>5.5037640962151348</v>
      </c>
      <c r="I68" s="76">
        <v>4.7393662692065543</v>
      </c>
      <c r="J68" s="66">
        <v>3.3</v>
      </c>
      <c r="K68" s="67"/>
      <c r="L68" s="194">
        <v>0.61175438596491227</v>
      </c>
      <c r="M68" s="194">
        <v>0.73604010025062649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76"/>
      <c r="D70" s="76">
        <v>5.2401746724890881</v>
      </c>
      <c r="E70" s="76">
        <v>5.1541347251672045</v>
      </c>
      <c r="F70" s="487">
        <v>5.5</v>
      </c>
      <c r="G70" s="282"/>
      <c r="H70" s="76">
        <v>6.6922456038466889</v>
      </c>
      <c r="I70" s="76">
        <v>7.4989046872874194</v>
      </c>
      <c r="J70" s="66">
        <v>5.5</v>
      </c>
      <c r="K70" s="67"/>
      <c r="L70" s="194">
        <v>0.68526315789473691</v>
      </c>
      <c r="M70" s="194">
        <v>1.0201754385964912</v>
      </c>
      <c r="N70" s="68">
        <v>1</v>
      </c>
      <c r="P70" s="69"/>
    </row>
    <row r="71" spans="2:16" ht="15">
      <c r="B71" s="37" t="s">
        <v>16</v>
      </c>
      <c r="C71" s="65"/>
      <c r="D71" s="76">
        <v>3.4477692345364712</v>
      </c>
      <c r="E71" s="76">
        <v>3.8718586514884619</v>
      </c>
      <c r="F71" s="66">
        <v>3.3</v>
      </c>
      <c r="G71" s="282"/>
      <c r="H71" s="76">
        <v>4.2666251196365179</v>
      </c>
      <c r="I71" s="76">
        <v>4.7387128519495914</v>
      </c>
      <c r="J71" s="66">
        <v>3.3</v>
      </c>
      <c r="K71" s="67"/>
      <c r="L71" s="194">
        <v>0.69175438596491223</v>
      </c>
      <c r="M71" s="194">
        <v>0.84386695906432752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>
        <v>5.9587548525824809</v>
      </c>
      <c r="E74" s="76">
        <v>6.4563942016409097</v>
      </c>
      <c r="F74" s="341">
        <v>5.5</v>
      </c>
      <c r="H74" s="76">
        <v>6.3047499585057816</v>
      </c>
      <c r="I74" s="76">
        <v>6.4749910845966516</v>
      </c>
      <c r="J74" s="341">
        <v>5.5</v>
      </c>
      <c r="L74" s="194">
        <v>0.57878167641325551</v>
      </c>
      <c r="M74" s="194">
        <v>0.57267586812944316</v>
      </c>
      <c r="N74" s="386">
        <v>1</v>
      </c>
    </row>
  </sheetData>
  <mergeCells count="51"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  <mergeCell ref="D45:E45"/>
    <mergeCell ref="B50:B51"/>
    <mergeCell ref="C50:C51"/>
    <mergeCell ref="D50:D51"/>
    <mergeCell ref="E50:E51"/>
    <mergeCell ref="B35:B44"/>
    <mergeCell ref="D35:E36"/>
    <mergeCell ref="J35:K35"/>
    <mergeCell ref="L36:N36"/>
    <mergeCell ref="D37:E38"/>
    <mergeCell ref="D39:E40"/>
    <mergeCell ref="D41:E42"/>
    <mergeCell ref="D43:E4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5:B46">
    <cfRule type="cellIs" dxfId="1474" priority="108" operator="notBetween">
      <formula>#REF!</formula>
      <formula>#REF!</formula>
    </cfRule>
  </conditionalFormatting>
  <conditionalFormatting sqref="C49">
    <cfRule type="cellIs" dxfId="1473" priority="197" stopIfTrue="1" operator="lessThan">
      <formula>96</formula>
    </cfRule>
    <cfRule type="cellIs" dxfId="1472" priority="198" stopIfTrue="1" operator="greaterThan">
      <formula>100</formula>
    </cfRule>
  </conditionalFormatting>
  <conditionalFormatting sqref="C65:C66">
    <cfRule type="cellIs" dxfId="1471" priority="41" stopIfTrue="1" operator="greaterThan">
      <formula>$F65</formula>
    </cfRule>
    <cfRule type="cellIs" dxfId="1470" priority="42" stopIfTrue="1" operator="lessThanOrEqual">
      <formula>0</formula>
    </cfRule>
    <cfRule type="cellIs" dxfId="1469" priority="43" stopIfTrue="1" operator="greaterThan">
      <formula>$F65</formula>
    </cfRule>
    <cfRule type="cellIs" dxfId="1468" priority="44" stopIfTrue="1" operator="lessThanOrEqual">
      <formula>0</formula>
    </cfRule>
  </conditionalFormatting>
  <conditionalFormatting sqref="C67:C69 C71:C73">
    <cfRule type="cellIs" dxfId="1467" priority="75" stopIfTrue="1" operator="greaterThan">
      <formula>$F70</formula>
    </cfRule>
  </conditionalFormatting>
  <conditionalFormatting sqref="C67:C69">
    <cfRule type="cellIs" dxfId="1466" priority="76" stopIfTrue="1" operator="lessThanOrEqual">
      <formula>0</formula>
    </cfRule>
  </conditionalFormatting>
  <conditionalFormatting sqref="C71:C73">
    <cfRule type="cellIs" dxfId="1465" priority="77" stopIfTrue="1" operator="lessThanOrEqual">
      <formula>0</formula>
    </cfRule>
  </conditionalFormatting>
  <conditionalFormatting sqref="C76:C80">
    <cfRule type="cellIs" dxfId="1464" priority="189" stopIfTrue="1" operator="lessThanOrEqual">
      <formula>0</formula>
    </cfRule>
  </conditionalFormatting>
  <conditionalFormatting sqref="C77:C80">
    <cfRule type="cellIs" dxfId="1463" priority="188" stopIfTrue="1" operator="greaterThan">
      <formula>$F$76</formula>
    </cfRule>
  </conditionalFormatting>
  <conditionalFormatting sqref="C82">
    <cfRule type="cellIs" dxfId="1462" priority="191" stopIfTrue="1" operator="lessThanOrEqual">
      <formula>0</formula>
    </cfRule>
    <cfRule type="cellIs" dxfId="1461" priority="190" stopIfTrue="1" operator="greaterThan">
      <formula>$F$76</formula>
    </cfRule>
  </conditionalFormatting>
  <conditionalFormatting sqref="C70:D70">
    <cfRule type="cellIs" dxfId="1460" priority="16" stopIfTrue="1" operator="greaterThan">
      <formula>$J70</formula>
    </cfRule>
    <cfRule type="cellIs" dxfId="1459" priority="17" stopIfTrue="1" operator="lessThanOrEqual">
      <formula>0</formula>
    </cfRule>
  </conditionalFormatting>
  <conditionalFormatting sqref="C76:D76 D78:D84">
    <cfRule type="cellIs" dxfId="1458" priority="183" stopIfTrue="1" operator="greaterThan">
      <formula>4.5</formula>
    </cfRule>
  </conditionalFormatting>
  <conditionalFormatting sqref="D45:D46">
    <cfRule type="cellIs" dxfId="1457" priority="109" operator="notBetween">
      <formula>#REF!</formula>
      <formula>#REF!</formula>
    </cfRule>
  </conditionalFormatting>
  <conditionalFormatting sqref="D65:D69 D71:D72">
    <cfRule type="cellIs" dxfId="1456" priority="70" stopIfTrue="1" operator="lessThanOrEqual">
      <formula>0</formula>
    </cfRule>
  </conditionalFormatting>
  <conditionalFormatting sqref="D65:D69 D71:D74">
    <cfRule type="cellIs" dxfId="1455" priority="54" stopIfTrue="1" operator="lessThanOrEqual">
      <formula>0</formula>
    </cfRule>
  </conditionalFormatting>
  <conditionalFormatting sqref="D73">
    <cfRule type="cellIs" dxfId="1454" priority="69" stopIfTrue="1" operator="lessThanOrEqual">
      <formula>0</formula>
    </cfRule>
  </conditionalFormatting>
  <conditionalFormatting sqref="D74">
    <cfRule type="cellIs" dxfId="1453" priority="66" stopIfTrue="1" operator="lessThanOrEqual">
      <formula>0</formula>
    </cfRule>
  </conditionalFormatting>
  <conditionalFormatting sqref="D76 D78:D84">
    <cfRule type="cellIs" dxfId="1452" priority="184" stopIfTrue="1" operator="lessThanOrEqual">
      <formula>0</formula>
    </cfRule>
  </conditionalFormatting>
  <conditionalFormatting sqref="D77">
    <cfRule type="cellIs" dxfId="1451" priority="176" stopIfTrue="1" operator="lessThanOrEqual">
      <formula>0</formula>
    </cfRule>
    <cfRule type="cellIs" dxfId="1450" priority="175" stopIfTrue="1" operator="greaterThan">
      <formula>$F$76</formula>
    </cfRule>
  </conditionalFormatting>
  <conditionalFormatting sqref="D65:E69 E70 D71:E74">
    <cfRule type="cellIs" dxfId="1449" priority="56" stopIfTrue="1" operator="greaterThan">
      <formula>$F65</formula>
    </cfRule>
  </conditionalFormatting>
  <conditionalFormatting sqref="D74:E74">
    <cfRule type="cellIs" dxfId="1448" priority="58" stopIfTrue="1" operator="lessThanOrEqual">
      <formula>0</formula>
    </cfRule>
  </conditionalFormatting>
  <conditionalFormatting sqref="E10:E20">
    <cfRule type="cellIs" dxfId="1447" priority="24" operator="lessThan">
      <formula>48</formula>
    </cfRule>
  </conditionalFormatting>
  <conditionalFormatting sqref="E48 E49:F49">
    <cfRule type="cellIs" dxfId="1446" priority="180" stopIfTrue="1" operator="greaterThan">
      <formula>100</formula>
    </cfRule>
  </conditionalFormatting>
  <conditionalFormatting sqref="E49">
    <cfRule type="cellIs" dxfId="1445" priority="178" stopIfTrue="1" operator="greaterThan">
      <formula>100</formula>
    </cfRule>
    <cfRule type="cellIs" dxfId="1444" priority="177" stopIfTrue="1" operator="lessThan">
      <formula>96.8</formula>
    </cfRule>
  </conditionalFormatting>
  <conditionalFormatting sqref="E65:E73">
    <cfRule type="cellIs" dxfId="1443" priority="55" stopIfTrue="1" operator="lessThanOrEqual">
      <formula>0</formula>
    </cfRule>
  </conditionalFormatting>
  <conditionalFormatting sqref="E65:E74">
    <cfRule type="cellIs" dxfId="1442" priority="57" stopIfTrue="1" operator="lessThanOrEqual">
      <formula>0</formula>
    </cfRule>
  </conditionalFormatting>
  <conditionalFormatting sqref="E76:E84">
    <cfRule type="cellIs" dxfId="1441" priority="170" stopIfTrue="1" operator="lessThanOrEqual">
      <formula>0</formula>
    </cfRule>
    <cfRule type="cellIs" dxfId="1440" priority="169" stopIfTrue="1" operator="greaterThan">
      <formula>4.5</formula>
    </cfRule>
  </conditionalFormatting>
  <conditionalFormatting sqref="E49:F49 E48">
    <cfRule type="cellIs" dxfId="1439" priority="179" stopIfTrue="1" operator="lessThan">
      <formula>96.5</formula>
    </cfRule>
  </conditionalFormatting>
  <conditionalFormatting sqref="F10:F20">
    <cfRule type="cellIs" dxfId="1438" priority="45" operator="greaterThan">
      <formula>60</formula>
    </cfRule>
  </conditionalFormatting>
  <conditionalFormatting sqref="F49">
    <cfRule type="cellIs" dxfId="1437" priority="196" stopIfTrue="1" operator="greaterThan">
      <formula>100</formula>
    </cfRule>
    <cfRule type="cellIs" dxfId="1436" priority="195" stopIfTrue="1" operator="lessThan">
      <formula>96.8</formula>
    </cfRule>
  </conditionalFormatting>
  <conditionalFormatting sqref="F74">
    <cfRule type="cellIs" dxfId="1435" priority="67" stopIfTrue="1" operator="greaterThan">
      <formula>$F74</formula>
    </cfRule>
    <cfRule type="cellIs" dxfId="1434" priority="68" stopIfTrue="1" operator="lessThanOrEqual">
      <formula>0</formula>
    </cfRule>
  </conditionalFormatting>
  <conditionalFormatting sqref="G10:G20">
    <cfRule type="expression" dxfId="1433" priority="25">
      <formula>IF(+(IF(G10&lt;S10,0,IF(G10&gt;T10,0,1)))=0,1)</formula>
    </cfRule>
  </conditionalFormatting>
  <conditionalFormatting sqref="G65:G66">
    <cfRule type="cellIs" dxfId="1432" priority="72" stopIfTrue="1" operator="lessThanOrEqual">
      <formula>0</formula>
    </cfRule>
    <cfRule type="cellIs" dxfId="1431" priority="71" stopIfTrue="1" operator="greaterThan">
      <formula>$F65</formula>
    </cfRule>
  </conditionalFormatting>
  <conditionalFormatting sqref="G65:G68">
    <cfRule type="cellIs" dxfId="1430" priority="50" stopIfTrue="1" operator="lessThanOrEqual">
      <formula>0</formula>
    </cfRule>
    <cfRule type="cellIs" dxfId="1429" priority="49" stopIfTrue="1" operator="greaterThan">
      <formula>$F65</formula>
    </cfRule>
  </conditionalFormatting>
  <conditionalFormatting sqref="G67">
    <cfRule type="cellIs" dxfId="1428" priority="47" stopIfTrue="1" operator="greaterThan">
      <formula>$F67</formula>
    </cfRule>
    <cfRule type="cellIs" dxfId="1427" priority="48" stopIfTrue="1" operator="lessThanOrEqual">
      <formula>0</formula>
    </cfRule>
  </conditionalFormatting>
  <conditionalFormatting sqref="G68">
    <cfRule type="cellIs" dxfId="1426" priority="63" stopIfTrue="1" operator="lessThanOrEqual">
      <formula>0</formula>
    </cfRule>
    <cfRule type="cellIs" dxfId="1425" priority="62" stopIfTrue="1" operator="greaterThan">
      <formula>$F68</formula>
    </cfRule>
  </conditionalFormatting>
  <conditionalFormatting sqref="G69:G73">
    <cfRule type="cellIs" dxfId="1424" priority="73" stopIfTrue="1" operator="greaterThan">
      <formula>$J69</formula>
    </cfRule>
    <cfRule type="cellIs" dxfId="1423" priority="74" stopIfTrue="1" operator="lessThanOrEqual">
      <formula>0</formula>
    </cfRule>
  </conditionalFormatting>
  <conditionalFormatting sqref="G78:G83 C81 C83">
    <cfRule type="cellIs" dxfId="1422" priority="192" stopIfTrue="1" operator="greaterThan">
      <formula>4.5</formula>
    </cfRule>
    <cfRule type="cellIs" dxfId="1421" priority="193" stopIfTrue="1" operator="lessThanOrEqual">
      <formula>0</formula>
    </cfRule>
  </conditionalFormatting>
  <conditionalFormatting sqref="G77:H77">
    <cfRule type="cellIs" dxfId="1420" priority="174" stopIfTrue="1" operator="lessThanOrEqual">
      <formula>0</formula>
    </cfRule>
    <cfRule type="cellIs" dxfId="1419" priority="173" stopIfTrue="1" operator="greaterThan">
      <formula>$F$76</formula>
    </cfRule>
  </conditionalFormatting>
  <conditionalFormatting sqref="H10:H20 M10:N20">
    <cfRule type="expression" dxfId="1418" priority="26">
      <formula>IF(+(IF(H10&lt;#REF!,0,IF(H10&gt;#REF!,0,1)))=0,1)</formula>
    </cfRule>
  </conditionalFormatting>
  <conditionalFormatting sqref="H34:H35 H48">
    <cfRule type="cellIs" dxfId="1417" priority="171" stopIfTrue="1" operator="greaterThan">
      <formula>0</formula>
    </cfRule>
  </conditionalFormatting>
  <conditionalFormatting sqref="H52">
    <cfRule type="cellIs" dxfId="1416" priority="29" stopIfTrue="1" operator="greaterThan">
      <formula>$F$72</formula>
    </cfRule>
    <cfRule type="cellIs" dxfId="1415" priority="37" stopIfTrue="1" operator="greaterThan">
      <formula>$F$75</formula>
    </cfRule>
    <cfRule type="cellIs" dxfId="1414" priority="38" stopIfTrue="1" operator="lessThanOrEqual">
      <formula>0</formula>
    </cfRule>
    <cfRule type="cellIs" dxfId="1413" priority="40" stopIfTrue="1" operator="lessThanOrEqual">
      <formula>0</formula>
    </cfRule>
    <cfRule type="cellIs" dxfId="1412" priority="39" stopIfTrue="1" operator="greaterThan">
      <formula>$F$73</formula>
    </cfRule>
    <cfRule type="cellIs" dxfId="1411" priority="28" stopIfTrue="1" operator="lessThanOrEqual">
      <formula>0</formula>
    </cfRule>
  </conditionalFormatting>
  <conditionalFormatting sqref="H53:H54">
    <cfRule type="cellIs" dxfId="1410" priority="79" stopIfTrue="1" operator="lessThanOrEqual">
      <formula>0</formula>
    </cfRule>
    <cfRule type="cellIs" dxfId="1409" priority="80" stopIfTrue="1" operator="greaterThan">
      <formula>$F$65</formula>
    </cfRule>
    <cfRule type="cellIs" dxfId="1408" priority="88" stopIfTrue="1" operator="greaterThan">
      <formula>$F$68</formula>
    </cfRule>
    <cfRule type="cellIs" dxfId="1407" priority="89" stopIfTrue="1" operator="lessThanOrEqual">
      <formula>0</formula>
    </cfRule>
    <cfRule type="cellIs" dxfId="1406" priority="90" stopIfTrue="1" operator="greaterThan">
      <formula>$F$66</formula>
    </cfRule>
  </conditionalFormatting>
  <conditionalFormatting sqref="H53:H56">
    <cfRule type="cellIs" dxfId="1405" priority="91" stopIfTrue="1" operator="lessThanOrEqual">
      <formula>0</formula>
    </cfRule>
  </conditionalFormatting>
  <conditionalFormatting sqref="H55:H56">
    <cfRule type="cellIs" dxfId="1404" priority="104" stopIfTrue="1" operator="greaterThan">
      <formula>$F$66</formula>
    </cfRule>
    <cfRule type="cellIs" dxfId="1403" priority="103" stopIfTrue="1" operator="lessThanOrEqual">
      <formula>0</formula>
    </cfRule>
    <cfRule type="cellIs" dxfId="1402" priority="105" stopIfTrue="1" operator="lessThanOrEqual">
      <formula>0</formula>
    </cfRule>
    <cfRule type="cellIs" dxfId="1401" priority="102" stopIfTrue="1" operator="greaterThan">
      <formula>$F$68</formula>
    </cfRule>
    <cfRule type="cellIs" dxfId="1400" priority="94" stopIfTrue="1" operator="greaterThan">
      <formula>$F$65</formula>
    </cfRule>
  </conditionalFormatting>
  <conditionalFormatting sqref="H57:H58">
    <cfRule type="cellIs" dxfId="1399" priority="133" stopIfTrue="1" operator="lessThanOrEqual">
      <formula>0</formula>
    </cfRule>
    <cfRule type="cellIs" dxfId="1398" priority="145" stopIfTrue="1" operator="lessThanOrEqual">
      <formula>0</formula>
    </cfRule>
    <cfRule type="cellIs" dxfId="1397" priority="144" stopIfTrue="1" operator="greaterThan">
      <formula>#REF!</formula>
    </cfRule>
    <cfRule type="cellIs" dxfId="1396" priority="143" stopIfTrue="1" operator="lessThanOrEqual">
      <formula>0</formula>
    </cfRule>
    <cfRule type="cellIs" dxfId="1395" priority="142" stopIfTrue="1" operator="greaterThan">
      <formula>$F$20</formula>
    </cfRule>
    <cfRule type="cellIs" dxfId="1394" priority="134" stopIfTrue="1" operator="greaterThan">
      <formula>#REF!</formula>
    </cfRule>
  </conditionalFormatting>
  <conditionalFormatting sqref="H59">
    <cfRule type="cellIs" dxfId="1393" priority="159" stopIfTrue="1" operator="lessThanOrEqual">
      <formula>0</formula>
    </cfRule>
    <cfRule type="cellIs" dxfId="1392" priority="158" stopIfTrue="1" operator="greaterThan">
      <formula>$F$34</formula>
    </cfRule>
    <cfRule type="cellIs" dxfId="1391" priority="157" stopIfTrue="1" operator="lessThanOrEqual">
      <formula>0</formula>
    </cfRule>
    <cfRule type="cellIs" dxfId="1390" priority="148" stopIfTrue="1" operator="greaterThan">
      <formula>$F$33</formula>
    </cfRule>
    <cfRule type="cellIs" dxfId="1389" priority="156" stopIfTrue="1" operator="greaterThan">
      <formula>$F$36</formula>
    </cfRule>
    <cfRule type="cellIs" dxfId="1388" priority="147" stopIfTrue="1" operator="lessThanOrEqual">
      <formula>0</formula>
    </cfRule>
  </conditionalFormatting>
  <conditionalFormatting sqref="H60:H61">
    <cfRule type="cellIs" dxfId="1387" priority="119" stopIfTrue="1" operator="lessThanOrEqual">
      <formula>0</formula>
    </cfRule>
    <cfRule type="cellIs" dxfId="1386" priority="120" stopIfTrue="1" operator="greaterThan">
      <formula>#REF!</formula>
    </cfRule>
    <cfRule type="cellIs" dxfId="1385" priority="128" stopIfTrue="1" operator="greaterThan">
      <formula>$F$20</formula>
    </cfRule>
    <cfRule type="cellIs" dxfId="1384" priority="130" stopIfTrue="1" operator="greaterThan">
      <formula>#REF!</formula>
    </cfRule>
    <cfRule type="cellIs" dxfId="1383" priority="131" stopIfTrue="1" operator="lessThanOrEqual">
      <formula>0</formula>
    </cfRule>
    <cfRule type="cellIs" dxfId="1382" priority="129" stopIfTrue="1" operator="lessThanOrEqual">
      <formula>0</formula>
    </cfRule>
  </conditionalFormatting>
  <conditionalFormatting sqref="H76 H78:H84">
    <cfRule type="cellIs" dxfId="1381" priority="186" stopIfTrue="1" operator="lessThanOrEqual">
      <formula>0</formula>
    </cfRule>
    <cfRule type="cellIs" dxfId="1380" priority="185" stopIfTrue="1" operator="greaterThan">
      <formula>4.5</formula>
    </cfRule>
  </conditionalFormatting>
  <conditionalFormatting sqref="H52:I52">
    <cfRule type="cellIs" dxfId="1379" priority="27" stopIfTrue="1" operator="greaterThan">
      <formula>$F$74</formula>
    </cfRule>
    <cfRule type="cellIs" dxfId="1378" priority="30" stopIfTrue="1" operator="lessThanOrEqual">
      <formula>0</formula>
    </cfRule>
  </conditionalFormatting>
  <conditionalFormatting sqref="H53:I54">
    <cfRule type="cellIs" dxfId="1377" priority="81" stopIfTrue="1" operator="lessThanOrEqual">
      <formula>0</formula>
    </cfRule>
  </conditionalFormatting>
  <conditionalFormatting sqref="H53:I56">
    <cfRule type="cellIs" dxfId="1376" priority="78" stopIfTrue="1" operator="greaterThan">
      <formula>$F$67</formula>
    </cfRule>
  </conditionalFormatting>
  <conditionalFormatting sqref="H55:I56">
    <cfRule type="cellIs" dxfId="1375" priority="95" stopIfTrue="1" operator="lessThanOrEqual">
      <formula>0</formula>
    </cfRule>
  </conditionalFormatting>
  <conditionalFormatting sqref="H57:I58">
    <cfRule type="cellIs" dxfId="1374" priority="132" stopIfTrue="1" operator="greaterThan">
      <formula>#REF!</formula>
    </cfRule>
    <cfRule type="cellIs" dxfId="1373" priority="135" stopIfTrue="1" operator="lessThanOrEqual">
      <formula>0</formula>
    </cfRule>
  </conditionalFormatting>
  <conditionalFormatting sqref="H59:I59">
    <cfRule type="cellIs" dxfId="1372" priority="149" stopIfTrue="1" operator="lessThanOrEqual">
      <formula>0</formula>
    </cfRule>
    <cfRule type="cellIs" dxfId="1371" priority="146" stopIfTrue="1" operator="greaterThan">
      <formula>$F$35</formula>
    </cfRule>
  </conditionalFormatting>
  <conditionalFormatting sqref="H60:I61">
    <cfRule type="cellIs" dxfId="1370" priority="118" stopIfTrue="1" operator="greaterThan">
      <formula>#REF!</formula>
    </cfRule>
    <cfRule type="cellIs" dxfId="1369" priority="121" stopIfTrue="1" operator="lessThanOrEqual">
      <formula>0</formula>
    </cfRule>
  </conditionalFormatting>
  <conditionalFormatting sqref="H65:I72">
    <cfRule type="cellIs" dxfId="1368" priority="52" stopIfTrue="1" operator="greaterThan">
      <formula>$J65</formula>
    </cfRule>
    <cfRule type="cellIs" dxfId="1367" priority="53" stopIfTrue="1" operator="lessThanOrEqual">
      <formula>0</formula>
    </cfRule>
  </conditionalFormatting>
  <conditionalFormatting sqref="H73:I73">
    <cfRule type="cellIs" dxfId="1366" priority="61" operator="greaterThan">
      <formula>5.3</formula>
    </cfRule>
  </conditionalFormatting>
  <conditionalFormatting sqref="H74:I74">
    <cfRule type="cellIs" dxfId="1365" priority="59" stopIfTrue="1" operator="greaterThan">
      <formula>$J74</formula>
    </cfRule>
    <cfRule type="cellIs" dxfId="1364" priority="60" stopIfTrue="1" operator="lessThanOrEqual">
      <formula>0</formula>
    </cfRule>
  </conditionalFormatting>
  <conditionalFormatting sqref="I52">
    <cfRule type="cellIs" dxfId="1363" priority="31" stopIfTrue="1" operator="greaterThan">
      <formula>$F$72</formula>
    </cfRule>
    <cfRule type="cellIs" dxfId="1362" priority="32" stopIfTrue="1" operator="lessThanOrEqual">
      <formula>0</formula>
    </cfRule>
    <cfRule type="cellIs" dxfId="1361" priority="33" stopIfTrue="1" operator="greaterThan">
      <formula>$F$74</formula>
    </cfRule>
    <cfRule type="cellIs" dxfId="1360" priority="34" stopIfTrue="1" operator="lessThanOrEqual">
      <formula>0</formula>
    </cfRule>
    <cfRule type="cellIs" dxfId="1359" priority="35" stopIfTrue="1" operator="greaterThan">
      <formula>$F$72</formula>
    </cfRule>
    <cfRule type="cellIs" dxfId="1358" priority="36" stopIfTrue="1" operator="lessThanOrEqual">
      <formula>0</formula>
    </cfRule>
  </conditionalFormatting>
  <conditionalFormatting sqref="I53:I54">
    <cfRule type="cellIs" dxfId="1357" priority="86" stopIfTrue="1" operator="greaterThan">
      <formula>$F$65</formula>
    </cfRule>
    <cfRule type="cellIs" dxfId="1356" priority="82" stopIfTrue="1" operator="greaterThan">
      <formula>$F$65</formula>
    </cfRule>
    <cfRule type="cellIs" dxfId="1355" priority="83" stopIfTrue="1" operator="lessThanOrEqual">
      <formula>0</formula>
    </cfRule>
    <cfRule type="cellIs" dxfId="1354" priority="87" stopIfTrue="1" operator="lessThanOrEqual">
      <formula>0</formula>
    </cfRule>
    <cfRule type="cellIs" dxfId="1353" priority="84" stopIfTrue="1" operator="greaterThan">
      <formula>$F$67</formula>
    </cfRule>
    <cfRule type="cellIs" dxfId="1352" priority="85" stopIfTrue="1" operator="lessThanOrEqual">
      <formula>0</formula>
    </cfRule>
  </conditionalFormatting>
  <conditionalFormatting sqref="I55:I56">
    <cfRule type="cellIs" dxfId="1351" priority="97" stopIfTrue="1" operator="lessThanOrEqual">
      <formula>0</formula>
    </cfRule>
    <cfRule type="cellIs" dxfId="1350" priority="96" stopIfTrue="1" operator="greaterThan">
      <formula>$F$65</formula>
    </cfRule>
    <cfRule type="cellIs" dxfId="1349" priority="99" stopIfTrue="1" operator="lessThanOrEqual">
      <formula>0</formula>
    </cfRule>
    <cfRule type="cellIs" dxfId="1348" priority="98" stopIfTrue="1" operator="greaterThan">
      <formula>$F$67</formula>
    </cfRule>
    <cfRule type="cellIs" dxfId="1347" priority="101" stopIfTrue="1" operator="lessThanOrEqual">
      <formula>0</formula>
    </cfRule>
    <cfRule type="cellIs" dxfId="1346" priority="100" stopIfTrue="1" operator="greaterThan">
      <formula>$F$65</formula>
    </cfRule>
  </conditionalFormatting>
  <conditionalFormatting sqref="I57:I58">
    <cfRule type="cellIs" dxfId="1345" priority="136" stopIfTrue="1" operator="greaterThan">
      <formula>#REF!</formula>
    </cfRule>
    <cfRule type="cellIs" dxfId="1344" priority="139" stopIfTrue="1" operator="lessThanOrEqual">
      <formula>0</formula>
    </cfRule>
    <cfRule type="cellIs" dxfId="1343" priority="140" stopIfTrue="1" operator="greaterThan">
      <formula>#REF!</formula>
    </cfRule>
    <cfRule type="cellIs" dxfId="1342" priority="141" stopIfTrue="1" operator="lessThanOrEqual">
      <formula>0</formula>
    </cfRule>
    <cfRule type="cellIs" dxfId="1341" priority="137" stopIfTrue="1" operator="lessThanOrEqual">
      <formula>0</formula>
    </cfRule>
    <cfRule type="cellIs" dxfId="1340" priority="138" stopIfTrue="1" operator="greaterThan">
      <formula>#REF!</formula>
    </cfRule>
  </conditionalFormatting>
  <conditionalFormatting sqref="I59">
    <cfRule type="cellIs" dxfId="1339" priority="155" stopIfTrue="1" operator="lessThanOrEqual">
      <formula>0</formula>
    </cfRule>
    <cfRule type="cellIs" dxfId="1338" priority="152" stopIfTrue="1" operator="greaterThan">
      <formula>$F$35</formula>
    </cfRule>
    <cfRule type="cellIs" dxfId="1337" priority="150" stopIfTrue="1" operator="greaterThan">
      <formula>$F$33</formula>
    </cfRule>
    <cfRule type="cellIs" dxfId="1336" priority="151" stopIfTrue="1" operator="lessThanOrEqual">
      <formula>0</formula>
    </cfRule>
    <cfRule type="cellIs" dxfId="1335" priority="153" stopIfTrue="1" operator="lessThanOrEqual">
      <formula>0</formula>
    </cfRule>
    <cfRule type="cellIs" dxfId="1334" priority="154" stopIfTrue="1" operator="greaterThan">
      <formula>$F$33</formula>
    </cfRule>
  </conditionalFormatting>
  <conditionalFormatting sqref="I60:I61">
    <cfRule type="cellIs" dxfId="1333" priority="123" stopIfTrue="1" operator="lessThanOrEqual">
      <formula>0</formula>
    </cfRule>
    <cfRule type="cellIs" dxfId="1332" priority="126" stopIfTrue="1" operator="greaterThan">
      <formula>#REF!</formula>
    </cfRule>
    <cfRule type="cellIs" dxfId="1331" priority="125" stopIfTrue="1" operator="lessThanOrEqual">
      <formula>0</formula>
    </cfRule>
    <cfRule type="cellIs" dxfId="1330" priority="124" stopIfTrue="1" operator="greaterThan">
      <formula>#REF!</formula>
    </cfRule>
    <cfRule type="cellIs" dxfId="1329" priority="122" stopIfTrue="1" operator="greaterThan">
      <formula>#REF!</formula>
    </cfRule>
    <cfRule type="cellIs" dxfId="1328" priority="127" stopIfTrue="1" operator="lessThanOrEqual">
      <formula>0</formula>
    </cfRule>
  </conditionalFormatting>
  <conditionalFormatting sqref="I76:I84">
    <cfRule type="cellIs" dxfId="1327" priority="181" stopIfTrue="1" operator="greaterThan">
      <formula>4.5</formula>
    </cfRule>
    <cfRule type="cellIs" dxfId="1326" priority="182" stopIfTrue="1" operator="lessThanOrEqual">
      <formula>0</formula>
    </cfRule>
  </conditionalFormatting>
  <conditionalFormatting sqref="I10:J20">
    <cfRule type="cellIs" dxfId="1325" priority="18" operator="lessThan">
      <formula>97.9</formula>
    </cfRule>
  </conditionalFormatting>
  <conditionalFormatting sqref="J23:J24">
    <cfRule type="cellIs" dxfId="1324" priority="93" operator="lessThan">
      <formula>97.95</formula>
    </cfRule>
  </conditionalFormatting>
  <conditionalFormatting sqref="J25">
    <cfRule type="cellIs" dxfId="1323" priority="161" stopIfTrue="1" operator="lessThan">
      <formula>96.8</formula>
    </cfRule>
    <cfRule type="cellIs" dxfId="1322" priority="162" stopIfTrue="1" operator="greaterThan">
      <formula>100</formula>
    </cfRule>
    <cfRule type="cellIs" dxfId="1321" priority="163" operator="lessThan">
      <formula>98</formula>
    </cfRule>
  </conditionalFormatting>
  <conditionalFormatting sqref="J25:J27">
    <cfRule type="cellIs" dxfId="1320" priority="160" operator="lessThan">
      <formula>97.4</formula>
    </cfRule>
  </conditionalFormatting>
  <conditionalFormatting sqref="J28:J29">
    <cfRule type="cellIs" dxfId="1319" priority="164" operator="lessThan">
      <formula>98</formula>
    </cfRule>
  </conditionalFormatting>
  <conditionalFormatting sqref="J30:J31">
    <cfRule type="cellIs" dxfId="1318" priority="166" stopIfTrue="1" operator="greaterThan">
      <formula>100</formula>
    </cfRule>
    <cfRule type="cellIs" dxfId="1317" priority="165" stopIfTrue="1" operator="lessThan">
      <formula>96.8</formula>
    </cfRule>
  </conditionalFormatting>
  <conditionalFormatting sqref="J30:J32">
    <cfRule type="cellIs" dxfId="1316" priority="167" operator="lessThan">
      <formula>98</formula>
    </cfRule>
  </conditionalFormatting>
  <conditionalFormatting sqref="J61">
    <cfRule type="cellIs" dxfId="1315" priority="111" stopIfTrue="1" operator="lessThanOrEqual">
      <formula>0</formula>
    </cfRule>
    <cfRule type="cellIs" dxfId="1314" priority="110" stopIfTrue="1" operator="greaterThan">
      <formula>#REF!</formula>
    </cfRule>
    <cfRule type="cellIs" dxfId="1313" priority="117" stopIfTrue="1" operator="lessThanOrEqual">
      <formula>0</formula>
    </cfRule>
    <cfRule type="cellIs" dxfId="1312" priority="116" stopIfTrue="1" operator="greaterThan">
      <formula>#REF!</formula>
    </cfRule>
    <cfRule type="cellIs" dxfId="1311" priority="115" stopIfTrue="1" operator="lessThanOrEqual">
      <formula>0</formula>
    </cfRule>
    <cfRule type="cellIs" dxfId="1310" priority="114" stopIfTrue="1" operator="greaterThan">
      <formula>#REF!</formula>
    </cfRule>
    <cfRule type="cellIs" dxfId="1309" priority="113" stopIfTrue="1" operator="lessThanOrEqual">
      <formula>0</formula>
    </cfRule>
    <cfRule type="cellIs" dxfId="1308" priority="112" stopIfTrue="1" operator="greaterThan">
      <formula>#REF!</formula>
    </cfRule>
  </conditionalFormatting>
  <conditionalFormatting sqref="J74">
    <cfRule type="cellIs" dxfId="1307" priority="64" stopIfTrue="1" operator="greaterThan">
      <formula>$F74</formula>
    </cfRule>
    <cfRule type="cellIs" dxfId="1306" priority="65" stopIfTrue="1" operator="lessThanOrEqual">
      <formula>0</formula>
    </cfRule>
  </conditionalFormatting>
  <conditionalFormatting sqref="K10:K20">
    <cfRule type="cellIs" dxfId="1305" priority="19" operator="greaterThan">
      <formula>6</formula>
    </cfRule>
    <cfRule type="cellIs" dxfId="1304" priority="21" operator="greaterThan">
      <formula>6.4</formula>
    </cfRule>
    <cfRule type="cellIs" dxfId="1303" priority="20" operator="lessThan">
      <formula>4</formula>
    </cfRule>
  </conditionalFormatting>
  <conditionalFormatting sqref="K52:K61">
    <cfRule type="cellIs" dxfId="1302" priority="92" stopIfTrue="1" operator="lessThan">
      <formula>100%</formula>
    </cfRule>
  </conditionalFormatting>
  <conditionalFormatting sqref="K65:K73">
    <cfRule type="cellIs" dxfId="1301" priority="51" stopIfTrue="1" operator="lessThan">
      <formula>100%</formula>
    </cfRule>
  </conditionalFormatting>
  <conditionalFormatting sqref="K76:K81">
    <cfRule type="cellIs" dxfId="1300" priority="187" stopIfTrue="1" operator="lessThan">
      <formula>100%</formula>
    </cfRule>
  </conditionalFormatting>
  <conditionalFormatting sqref="K83:K84">
    <cfRule type="cellIs" dxfId="1299" priority="194" stopIfTrue="1" operator="lessThan">
      <formula>100%</formula>
    </cfRule>
  </conditionalFormatting>
  <conditionalFormatting sqref="L10:L20">
    <cfRule type="cellIs" dxfId="1298" priority="23" operator="greaterThan">
      <formula>65</formula>
    </cfRule>
    <cfRule type="cellIs" dxfId="1297" priority="22" operator="between">
      <formula>61</formula>
      <formula>65</formula>
    </cfRule>
  </conditionalFormatting>
  <conditionalFormatting sqref="L23:M34">
    <cfRule type="cellIs" dxfId="1296" priority="107" operator="lessThan">
      <formula>97.95</formula>
    </cfRule>
  </conditionalFormatting>
  <conditionalFormatting sqref="L38:N38">
    <cfRule type="cellIs" dxfId="1295" priority="46" operator="notEqual">
      <formula>#REF!</formula>
    </cfRule>
  </conditionalFormatting>
  <conditionalFormatting sqref="L65:N74">
    <cfRule type="cellIs" dxfId="1294" priority="13" stopIfTrue="1" operator="lessThan">
      <formula>100%</formula>
    </cfRule>
  </conditionalFormatting>
  <conditionalFormatting sqref="L76:N84">
    <cfRule type="cellIs" dxfId="1293" priority="172" stopIfTrue="1" operator="lessThan">
      <formula>100%</formula>
    </cfRule>
  </conditionalFormatting>
  <conditionalFormatting sqref="M10:M18">
    <cfRule type="expression" dxfId="1292" priority="12">
      <formula>IF(+(IF(M10&lt;U10,0,IF(M10&gt;V10,0,1)))=0,1)</formula>
    </cfRule>
  </conditionalFormatting>
  <conditionalFormatting sqref="N10:N18">
    <cfRule type="expression" dxfId="1291" priority="10">
      <formula>IF(+(IF(N10&lt;W10,0,IF(N10&gt;X10,0,1)))=0,1)</formula>
    </cfRule>
  </conditionalFormatting>
  <conditionalFormatting sqref="P6">
    <cfRule type="cellIs" dxfId="1290" priority="168" operator="greaterThanOrEqual">
      <formula>19</formula>
    </cfRule>
  </conditionalFormatting>
  <dataValidations count="1">
    <dataValidation type="list" allowBlank="1" showInputMessage="1" showErrorMessage="1" sqref="R8" xr:uid="{13EB6BFC-07F7-4B0C-B608-6859C137C5D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26AD-D326-4735-87E7-7E9DBEC444F4}">
  <sheetPr>
    <pageSetUpPr fitToPage="1"/>
  </sheetPr>
  <dimension ref="A1:BE75"/>
  <sheetViews>
    <sheetView topLeftCell="A14" zoomScale="70" zoomScaleNormal="70" workbookViewId="0">
      <selection activeCell="P30" sqref="P30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46163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16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12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[4]Brewhouse!$A412</f>
        <v>CA367</v>
      </c>
      <c r="D10" s="279">
        <f>[4]Brewhouse!$AF412</f>
        <v>49.7</v>
      </c>
      <c r="E10" s="279">
        <f>[4]Brewhouse!$AI412</f>
        <v>48.95</v>
      </c>
      <c r="F10" s="278">
        <f>[4]Brewhouse!$V412</f>
        <v>57</v>
      </c>
      <c r="G10" s="279">
        <f>[4]Brewhouse!AG412</f>
        <v>11.6</v>
      </c>
      <c r="H10" s="396">
        <v>11.6</v>
      </c>
      <c r="I10" s="368">
        <f>[4]Brewhouse!$AU412</f>
        <v>93.644485520251749</v>
      </c>
      <c r="J10" s="368">
        <f>[4]Brewhouse!$AV412</f>
        <v>95.136399985796089</v>
      </c>
      <c r="K10" s="281">
        <f>[4]Brewhouse!$Q412</f>
        <v>9.4639556377079437</v>
      </c>
      <c r="L10" s="276">
        <f>[4]Brewhouse!$P412</f>
        <v>57</v>
      </c>
      <c r="M10" s="397">
        <f>[4]Brewhouse!$U412-[4]Brewhouse!$T412</f>
        <v>0.11319444444444446</v>
      </c>
      <c r="N10" s="370">
        <f>[4]Brewhouse!$Z412</f>
        <v>0.25486111111111109</v>
      </c>
      <c r="O10" s="420"/>
      <c r="P10" s="418"/>
      <c r="R10" s="277" t="str">
        <f t="shared" ref="R10:R18" si="0">B10</f>
        <v>CARIB</v>
      </c>
      <c r="S10" s="472">
        <f t="shared" ref="S10:S18" si="1">VLOOKUP($B10,$R$3:$X$9,2,FALSE)</f>
        <v>11.6</v>
      </c>
      <c r="T10" s="472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472">
        <f t="shared" ref="Z10:Z18" si="8">VLOOKUP($B10,$R$3:$Z$9,9,FALSE)</f>
        <v>60</v>
      </c>
    </row>
    <row r="11" spans="2:29" ht="15">
      <c r="B11" s="29" t="s">
        <v>6</v>
      </c>
      <c r="C11" s="366" t="str">
        <f>[4]Brewhouse!$A413</f>
        <v>CA368</v>
      </c>
      <c r="D11" s="279">
        <f>[4]Brewhouse!$AF413</f>
        <v>49.3</v>
      </c>
      <c r="E11" s="279">
        <f>[4]Brewhouse!$AI413</f>
        <v>48.8</v>
      </c>
      <c r="F11" s="278">
        <f>[4]Brewhouse!$V413</f>
        <v>53</v>
      </c>
      <c r="G11" s="279">
        <f>[4]Brewhouse!AG413</f>
        <v>11.9</v>
      </c>
      <c r="H11" s="396">
        <v>11.9</v>
      </c>
      <c r="I11" s="368">
        <f>[4]Brewhouse!$AU413</f>
        <v>95.780305895522162</v>
      </c>
      <c r="J11" s="368">
        <f>[4]Brewhouse!$AV413</f>
        <v>97.306348354830803</v>
      </c>
      <c r="K11" s="281">
        <f>[4]Brewhouse!$Q413</f>
        <v>11.518518518518517</v>
      </c>
      <c r="L11" s="276">
        <f>[4]Brewhouse!$P413</f>
        <v>60</v>
      </c>
      <c r="M11" s="397">
        <f>[4]Brewhouse!$U413-[4]Brewhouse!$T413</f>
        <v>0.1076388888888889</v>
      </c>
      <c r="N11" s="370">
        <f>[4]Brewhouse!$Z413</f>
        <v>0.27430555555555558</v>
      </c>
      <c r="O11" s="420"/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[4]Brewhouse!$A414</f>
        <v>CA369</v>
      </c>
      <c r="D12" s="279">
        <f>[4]Brewhouse!$AF414</f>
        <v>49</v>
      </c>
      <c r="E12" s="279">
        <f>[4]Brewhouse!$AI414</f>
        <v>49.9</v>
      </c>
      <c r="F12" s="278">
        <f>[4]Brewhouse!$V414</f>
        <v>50</v>
      </c>
      <c r="G12" s="279">
        <f>[4]Brewhouse!AG414</f>
        <v>11.8</v>
      </c>
      <c r="H12" s="396">
        <v>12</v>
      </c>
      <c r="I12" s="368">
        <f>[4]Brewhouse!$AU414</f>
        <v>97.194703072885943</v>
      </c>
      <c r="J12" s="368">
        <f>[4]Brewhouse!$AV414</f>
        <v>98.743178486927988</v>
      </c>
      <c r="K12" s="281">
        <f>[4]Brewhouse!$Q414</f>
        <v>10.592592592592592</v>
      </c>
      <c r="L12" s="276">
        <f>[4]Brewhouse!$P414</f>
        <v>60</v>
      </c>
      <c r="M12" s="397">
        <f>[4]Brewhouse!$U414-[4]Brewhouse!$T414</f>
        <v>0.10972222222222217</v>
      </c>
      <c r="N12" s="370">
        <f>[4]Brewhouse!$Z414</f>
        <v>0.26527777777777772</v>
      </c>
      <c r="O12" s="420"/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[4]Brewhouse!$A415</f>
        <v>CA370</v>
      </c>
      <c r="D13" s="279">
        <f>[4]Brewhouse!$AF415</f>
        <v>50.8</v>
      </c>
      <c r="E13" s="279">
        <f>[4]Brewhouse!$AI415</f>
        <v>49.77</v>
      </c>
      <c r="F13" s="278">
        <f>[4]Brewhouse!$V415</f>
        <v>59</v>
      </c>
      <c r="G13" s="279">
        <f>[4]Brewhouse!AG415</f>
        <v>11.7</v>
      </c>
      <c r="H13" s="396">
        <v>11.9</v>
      </c>
      <c r="I13" s="368">
        <f>[4]Brewhouse!$AU415</f>
        <v>96.196995367381973</v>
      </c>
      <c r="J13" s="368">
        <f>[4]Brewhouse!$AV415</f>
        <v>97.729474150145947</v>
      </c>
      <c r="K13" s="281">
        <f>[4]Brewhouse!$Q415</f>
        <v>7.2592592592592622</v>
      </c>
      <c r="L13" s="276">
        <f>[4]Brewhouse!$P415</f>
        <v>60</v>
      </c>
      <c r="M13" s="397">
        <f>[4]Brewhouse!$U415-[4]Brewhouse!$T415</f>
        <v>0.10972222222222217</v>
      </c>
      <c r="N13" s="370">
        <f>[4]Brewhouse!$Z415</f>
        <v>0.24513888888888885</v>
      </c>
      <c r="O13" s="420"/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[4]Brewhouse!$A416</f>
        <v>CA371</v>
      </c>
      <c r="D14" s="279">
        <f>[4]Brewhouse!$AF416</f>
        <v>49.9</v>
      </c>
      <c r="E14" s="279">
        <f>[4]Brewhouse!$AI416</f>
        <v>50</v>
      </c>
      <c r="F14" s="278">
        <f>[4]Brewhouse!$V416</f>
        <v>60</v>
      </c>
      <c r="G14" s="279">
        <f>[4]Brewhouse!AG416</f>
        <v>11.7</v>
      </c>
      <c r="H14" s="396">
        <v>11.7</v>
      </c>
      <c r="I14" s="368">
        <f>[4]Brewhouse!$AU416</f>
        <v>96.762050323253916</v>
      </c>
      <c r="J14" s="368">
        <f>[4]Brewhouse!$AV416</f>
        <v>98.30342847120383</v>
      </c>
      <c r="K14" s="281">
        <f>[4]Brewhouse!$Q416</f>
        <v>8.9259259259259256</v>
      </c>
      <c r="L14" s="276">
        <f>[4]Brewhouse!$P416</f>
        <v>61</v>
      </c>
      <c r="M14" s="397">
        <f>[4]Brewhouse!$U416-[4]Brewhouse!$T416</f>
        <v>0.11319444444444449</v>
      </c>
      <c r="N14" s="370">
        <f>[4]Brewhouse!$Z416</f>
        <v>0.26736111111111116</v>
      </c>
      <c r="O14" s="420"/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[4]Brewhouse!$A417</f>
        <v>CA372</v>
      </c>
      <c r="D15" s="279">
        <f>[4]Brewhouse!$AF417</f>
        <v>50.1</v>
      </c>
      <c r="E15" s="279">
        <f>[4]Brewhouse!$AI417</f>
        <v>50.2</v>
      </c>
      <c r="F15" s="278">
        <f>[4]Brewhouse!$V417</f>
        <v>61</v>
      </c>
      <c r="G15" s="279">
        <f>[4]Brewhouse!AG417</f>
        <v>11.7</v>
      </c>
      <c r="H15" s="396">
        <v>11.8</v>
      </c>
      <c r="I15" s="368">
        <f>[4]Brewhouse!$AU417</f>
        <v>97.028112667120254</v>
      </c>
      <c r="J15" s="368">
        <f>[4]Brewhouse!$AV417</f>
        <v>98.573831672439738</v>
      </c>
      <c r="K15" s="281">
        <f>[4]Brewhouse!$Q417</f>
        <v>9.4639556377079437</v>
      </c>
      <c r="L15" s="276">
        <f>[4]Brewhouse!$P417</f>
        <v>63</v>
      </c>
      <c r="M15" s="397">
        <f>[4]Brewhouse!$U417-[4]Brewhouse!$T417</f>
        <v>0.11944444444444446</v>
      </c>
      <c r="N15" s="370">
        <f>[4]Brewhouse!$Z417</f>
        <v>0.29166666666666674</v>
      </c>
      <c r="O15" s="420"/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[4]Brewhouse!$A418</f>
        <v>CA373</v>
      </c>
      <c r="D16" s="279">
        <f>[4]Brewhouse!$AF418</f>
        <v>50.1</v>
      </c>
      <c r="E16" s="279">
        <f>[4]Brewhouse!$AI418</f>
        <v>50.3</v>
      </c>
      <c r="F16" s="278">
        <f>[4]Brewhouse!$V418</f>
        <v>60</v>
      </c>
      <c r="G16" s="279">
        <f>[4]Brewhouse!AG418</f>
        <v>11.9</v>
      </c>
      <c r="H16" s="396">
        <v>11.8</v>
      </c>
      <c r="I16" s="368">
        <f>[4]Brewhouse!$AU418</f>
        <v>99.093675526055435</v>
      </c>
      <c r="J16" s="368">
        <f>[4]Brewhouse!$AV418</f>
        <v>100.67219546797111</v>
      </c>
      <c r="K16" s="281">
        <f>[4]Brewhouse!$Q418</f>
        <v>8.7245841035120115</v>
      </c>
      <c r="L16" s="276">
        <f>[4]Brewhouse!$P418</f>
        <v>60</v>
      </c>
      <c r="M16" s="397">
        <f>[4]Brewhouse!$U418-[4]Brewhouse!$T418</f>
        <v>0.11041666666666672</v>
      </c>
      <c r="N16" s="370">
        <f>[4]Brewhouse!$Z418</f>
        <v>0.25555555555555565</v>
      </c>
      <c r="O16" s="420"/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>
      <c r="B17" s="29" t="s">
        <v>6</v>
      </c>
      <c r="C17" s="366" t="str">
        <f>[4]Brewhouse!$A419</f>
        <v>CA374</v>
      </c>
      <c r="D17" s="279">
        <f>[4]Brewhouse!$AF419</f>
        <v>51</v>
      </c>
      <c r="E17" s="279">
        <f>[4]Brewhouse!$AI419</f>
        <v>51</v>
      </c>
      <c r="F17" s="278">
        <f>[4]Brewhouse!$V419</f>
        <v>64</v>
      </c>
      <c r="G17" s="279">
        <f>[4]Brewhouse!AG419</f>
        <v>11.8</v>
      </c>
      <c r="H17" s="396">
        <v>11.8</v>
      </c>
      <c r="I17" s="368">
        <f>[4]Brewhouse!$AU419</f>
        <v>99.090770773720209</v>
      </c>
      <c r="J17" s="368">
        <f>[4]Brewhouse!$AV419</f>
        <v>100.66966200100997</v>
      </c>
      <c r="K17" s="281">
        <f>[4]Brewhouse!$Q419</f>
        <v>8.5397412199630267</v>
      </c>
      <c r="L17" s="276">
        <f>[4]Brewhouse!$P419</f>
        <v>60</v>
      </c>
      <c r="M17" s="397">
        <f>[4]Brewhouse!$U419-[4]Brewhouse!$T419</f>
        <v>0.11458333333333337</v>
      </c>
      <c r="N17" s="370">
        <f>[4]Brewhouse!$Z419</f>
        <v>0.25763888888888897</v>
      </c>
      <c r="O17" s="420"/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>
      <c r="B19" s="33" t="s">
        <v>9</v>
      </c>
      <c r="C19" s="366" t="str">
        <f>[3]Brewhouse!$A239</f>
        <v>ST185</v>
      </c>
      <c r="D19" s="279">
        <f>[3]Brewhouse!$AB239</f>
        <v>49</v>
      </c>
      <c r="E19" s="279">
        <f>[3]Brewhouse!$AG239</f>
        <v>47.3</v>
      </c>
      <c r="F19" s="278">
        <f>[3]Brewhouse!$V239</f>
        <v>62</v>
      </c>
      <c r="G19" s="279">
        <f>[3]Brewhouse!$AE239</f>
        <v>12</v>
      </c>
      <c r="H19" s="396">
        <v>12</v>
      </c>
      <c r="I19" s="368">
        <f>[3]Brewhouse!$AS239</f>
        <v>95.51262249962322</v>
      </c>
      <c r="J19" s="368">
        <f>[3]Brewhouse!$AT239</f>
        <v>96.779234109411689</v>
      </c>
      <c r="K19" s="281">
        <f>[3]Brewhouse!$Q239</f>
        <v>10.561224489795913</v>
      </c>
      <c r="L19" s="276">
        <f>[3]Brewhouse!$P239</f>
        <v>58</v>
      </c>
      <c r="M19" s="374">
        <f>[3]Brewhouse!$U239-[3]Brewhouse!$T239</f>
        <v>0.13472222222222219</v>
      </c>
      <c r="N19" s="370">
        <f>[3]Brewhouse!$AW239</f>
        <v>0.26527777777777772</v>
      </c>
      <c r="O19" s="371" t="str">
        <f>[3]Brewhouse!$AV239</f>
        <v xml:space="preserve">R.Regis </v>
      </c>
      <c r="P19" s="418"/>
      <c r="R19" s="277" t="str">
        <f t="shared" ref="R19:R35" si="9">B19</f>
        <v>STAG</v>
      </c>
      <c r="S19" s="472">
        <f t="shared" ref="S19:S35" si="10">VLOOKUP($B19,$R$3:$X$9,2,FALSE)</f>
        <v>11.6</v>
      </c>
      <c r="T19" s="472">
        <f t="shared" ref="T19:T35" si="11">VLOOKUP($B19,$R$3:$X$9,3,FALSE)</f>
        <v>12</v>
      </c>
      <c r="U19" s="297">
        <f t="shared" ref="U19:U35" si="12">VLOOKUP($B19,$R$3:$X$9,4,FALSE)</f>
        <v>0</v>
      </c>
      <c r="V19" s="297">
        <f t="shared" ref="V19:V35" si="13">VLOOKUP($B19,$R$3:$X$9,5,FALSE)</f>
        <v>0.118055555555556</v>
      </c>
      <c r="W19" s="297">
        <f t="shared" ref="W19:W35" si="14">VLOOKUP($B19,$R$3:$X$9,6,FALSE)</f>
        <v>0.22569444444444445</v>
      </c>
      <c r="X19" s="297">
        <f t="shared" ref="X19:X35" si="15">VLOOKUP($B19,$R$3:$X$9,7,FALSE)</f>
        <v>0.2638888888888889</v>
      </c>
      <c r="Y19" s="297">
        <f t="shared" ref="Y19:Y35" si="16">VLOOKUP($B19,$R$3:$Z$9,8,FALSE)</f>
        <v>0</v>
      </c>
      <c r="Z19" s="472">
        <f t="shared" ref="Z19:Z35" si="17">VLOOKUP($B19,$R$3:$Z$9,9,FALSE)</f>
        <v>60</v>
      </c>
    </row>
    <row r="20" spans="1:27" ht="18" customHeight="1">
      <c r="B20" s="29"/>
      <c r="C20" s="366"/>
      <c r="D20" s="279"/>
      <c r="E20" s="279"/>
      <c r="F20" s="278"/>
      <c r="G20" s="279"/>
      <c r="H20" s="482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6.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25"/>
      <c r="J22" s="525"/>
      <c r="K22" s="525"/>
      <c r="L22" s="525"/>
      <c r="M22" s="525"/>
      <c r="N22" s="525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5.75" customHeight="1" thickBot="1">
      <c r="B23" s="388" t="s">
        <v>162</v>
      </c>
      <c r="C23" s="388"/>
      <c r="D23" s="526" t="s">
        <v>35</v>
      </c>
      <c r="E23" s="52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5" customHeight="1">
      <c r="A24" s="28"/>
      <c r="B24" s="528"/>
      <c r="C24" s="362"/>
      <c r="D24" s="531"/>
      <c r="E24" s="532"/>
      <c r="F24" s="294"/>
      <c r="G24" s="294"/>
      <c r="H24" s="348"/>
      <c r="I24" s="29" t="s">
        <v>6</v>
      </c>
      <c r="J24" s="323">
        <f>AVERAGE(I10:I17)</f>
        <v>96.848887393273955</v>
      </c>
      <c r="K24" s="284">
        <f>COUNTA([4]Brewhouse!$A$372:$A$419)</f>
        <v>48</v>
      </c>
      <c r="L24" s="305">
        <f>AVERAGE([4]Brewhouse!$AU$372:$AU$419)</f>
        <v>97.498378539136922</v>
      </c>
      <c r="M24" s="305">
        <f>AVERAGE([4]Brewhouse!$AU$42:$AU$123,[4]Brewhouse!$AU$125:$AU$188,[4]Brewhouse!$AU$198:$AU$290,[4]Brewhouse!$AU$292:$AU$370,[4]Brewhouse!$AU$372:$AU$419)</f>
        <v>97.938072434669792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29"/>
      <c r="C25" s="362"/>
      <c r="D25" s="533"/>
      <c r="E25" s="534"/>
      <c r="F25" s="294"/>
      <c r="G25" s="294"/>
      <c r="H25" s="348"/>
      <c r="I25" s="33" t="s">
        <v>9</v>
      </c>
      <c r="J25" s="323">
        <f>I19</f>
        <v>95.51262249962322</v>
      </c>
      <c r="K25" s="284">
        <f>COUNTA([3]Brewhouse!$A$214:$A$239)</f>
        <v>26</v>
      </c>
      <c r="L25" s="302">
        <f>AVERAGE([3]Brewhouse!$AS$214:$AS$239)</f>
        <v>97.364541492683955</v>
      </c>
      <c r="M25" s="302">
        <f>AVERAGE([3]Brewhouse!$AS$52:$AS$81,[3]Brewhouse!$AS$83:$AS$124,[3]Brewhouse!$AS$134:$AS$177,[3]Brewhouse!$AS$22:$AS$179,[3]Brewhouse!$AS$214:$AS$239)</f>
        <v>97.89629900297308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29"/>
      <c r="C26" s="362"/>
      <c r="D26" s="535"/>
      <c r="E26" s="536"/>
      <c r="F26" s="294"/>
      <c r="G26" s="294"/>
      <c r="H26" s="348"/>
      <c r="I26" s="34" t="s">
        <v>12</v>
      </c>
      <c r="J26" s="280"/>
      <c r="K26" s="284"/>
      <c r="L26" s="302"/>
      <c r="M26" s="302">
        <f>AVERAGE([5]Brewhouse!$AU$16:$AU$23,[5]Brewhouse!$AU$25:$AU$32,[5]Brewhouse!$AU$34:$AU$41,[5]Brewhouse!$AU$43:$AU$55)</f>
        <v>96.793456653928644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29"/>
      <c r="C27" s="362"/>
      <c r="D27" s="537"/>
      <c r="E27" s="534"/>
      <c r="F27" s="294"/>
      <c r="G27" s="294"/>
      <c r="H27" s="348"/>
      <c r="I27" s="22" t="s">
        <v>33</v>
      </c>
      <c r="J27" s="280"/>
      <c r="K27" s="284">
        <f>COUNTA([6]Brewhouse!$A$62:$A$68)</f>
        <v>7</v>
      </c>
      <c r="L27" s="302">
        <f>AVERAGE([6]Brewhouse!$AV$62:$AV$68)</f>
        <v>98.287606329362575</v>
      </c>
      <c r="M27" s="302">
        <f>AVERAGE([6]Brewhouse!$AV$23:$AV$34,[6]Brewhouse!$AV$36,[6]Brewhouse!$AV$38:$AV$52,[6]Brewhouse!$AV$54:$AV$60,[6]Brewhouse!$AV$62:$AV$68)</f>
        <v>97.579195177204838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29"/>
      <c r="C28" s="362"/>
      <c r="D28" s="535"/>
      <c r="E28" s="536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29"/>
      <c r="C29" s="362"/>
      <c r="D29" s="537"/>
      <c r="E29" s="534"/>
      <c r="F29" s="417"/>
      <c r="G29" s="294"/>
      <c r="H29" s="348"/>
      <c r="I29" s="36" t="s">
        <v>15</v>
      </c>
      <c r="J29" s="323"/>
      <c r="K29" s="284">
        <f>COUNTA([7]Brewhouse!$A$13:$A$16)</f>
        <v>4</v>
      </c>
      <c r="L29" s="302">
        <f>AVERAGE([7]Brewhouse!$AT$13:$AT$16)</f>
        <v>88.962677106311475</v>
      </c>
      <c r="M29" s="302">
        <f>AVERAGE([7]Brewhouse!$AT$4:$AT$11,[7]Brewhouse!$AT$13:$AT$16)</f>
        <v>91.538375374138752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29"/>
      <c r="C30" s="362"/>
      <c r="D30" s="535"/>
      <c r="E30" s="536"/>
      <c r="F30" s="417"/>
      <c r="G30" s="294"/>
      <c r="H30" s="348"/>
      <c r="I30" s="37" t="s">
        <v>16</v>
      </c>
      <c r="J30" s="323"/>
      <c r="K30" s="284">
        <f>COUNTA([8]Brewhouse!$A$53:$A$60)</f>
        <v>8</v>
      </c>
      <c r="L30" s="302">
        <f>AVERAGE([8]Brewhouse!$AY$53:$AY$60)</f>
        <v>97.024473838692316</v>
      </c>
      <c r="M30" s="302">
        <f>AVERAGE([8]Brewhouse!$AY$5:$AY$14,[8]Brewhouse!$AY$16:$AY$23,[8]Brewhouse!$AY$42,[8]Brewhouse!$AY$44:$AY$51,[8]Brewhouse!$AY$53:$AY$60)</f>
        <v>97.474953130157175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29"/>
      <c r="C31" s="362"/>
      <c r="D31" s="537"/>
      <c r="E31" s="534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29"/>
      <c r="C32" s="349"/>
      <c r="D32" s="535"/>
      <c r="E32" s="536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29"/>
      <c r="C33" s="349"/>
      <c r="D33" s="537"/>
      <c r="E33" s="534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29"/>
      <c r="C34" s="349"/>
      <c r="D34" s="531"/>
      <c r="E34" s="532"/>
      <c r="F34" s="294"/>
      <c r="G34" s="294"/>
      <c r="H34" s="348"/>
      <c r="I34" s="1"/>
      <c r="J34" s="39"/>
      <c r="K34" s="404">
        <f>SUM(K24:K33)</f>
        <v>93</v>
      </c>
      <c r="L34" s="405">
        <f>((L24*K24)+(L25*K25)+(L26*K26)+(L27*K27)+(L28*K28)+(K31*L31)+(L29*K29)+(L30*K30)+(L33*K33))/(K34)</f>
        <v>97.112473033641692</v>
      </c>
      <c r="M34" s="405">
        <f>AVERAGE('[9]Jan30th-31st'!$L$42,L34)</f>
        <v>97.470257384741586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30"/>
      <c r="C35" s="350"/>
      <c r="D35" s="533"/>
      <c r="E35" s="534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28"/>
      <c r="C36" s="362"/>
      <c r="D36" s="539"/>
      <c r="E36" s="540"/>
      <c r="F36" s="294"/>
      <c r="G36" s="42"/>
      <c r="H36" s="41"/>
      <c r="I36" s="42"/>
      <c r="J36" s="541" t="s">
        <v>129</v>
      </c>
      <c r="K36" s="541"/>
      <c r="L36" s="294"/>
      <c r="M36" s="294"/>
      <c r="N36" s="294"/>
      <c r="O36" s="294"/>
      <c r="P36" s="12"/>
    </row>
    <row r="37" spans="1:56" ht="15.75" thickBot="1">
      <c r="B37" s="529"/>
      <c r="C37" s="362"/>
      <c r="D37" s="537"/>
      <c r="E37" s="534"/>
      <c r="F37" s="294"/>
      <c r="G37" s="42"/>
      <c r="H37" s="42"/>
      <c r="I37" s="42"/>
      <c r="J37" s="292" t="s">
        <v>17</v>
      </c>
      <c r="K37" s="293" t="s">
        <v>172</v>
      </c>
      <c r="L37" s="542" t="s">
        <v>136</v>
      </c>
      <c r="M37" s="542"/>
      <c r="N37" s="543"/>
      <c r="O37" s="294"/>
      <c r="P37" s="12"/>
    </row>
    <row r="38" spans="1:56" ht="15" customHeight="1" thickBot="1">
      <c r="B38" s="529"/>
      <c r="C38" s="349"/>
      <c r="D38" s="535"/>
      <c r="E38" s="536"/>
      <c r="F38" s="294"/>
      <c r="G38" s="42"/>
      <c r="H38" s="42"/>
      <c r="I38" s="42"/>
      <c r="J38" s="287" t="s">
        <v>6</v>
      </c>
      <c r="K38" s="324">
        <v>8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9"/>
      <c r="C39" s="349"/>
      <c r="D39" s="537"/>
      <c r="E39" s="534"/>
      <c r="F39" s="294"/>
      <c r="G39" s="42"/>
      <c r="H39" s="42"/>
      <c r="I39" s="42"/>
      <c r="J39" s="345" t="s">
        <v>9</v>
      </c>
      <c r="K39" s="324">
        <v>1</v>
      </c>
      <c r="L39" s="344">
        <f>AVERAGE('May 2nd-23rd'!J53,'May 2nd-23rd'!K53,'May 4th'!K51,'May 5th'!K47,'May 6th'!K54,'May 7th'!K48,'May 20th'!K48,'May 8th -9th'!K55,'May 8th -9th'!J55,'May 11th'!K51,'May 12th '!K46,'May 12th '!K46,'May 13th'!K45,'May 14th'!K42,'May 15th-16th'!K44,'May 19th '!K47)</f>
        <v>5.5625</v>
      </c>
      <c r="M39" s="325">
        <f>AVERAGE('[9]Jan30th-31st'!$L$47,L39,'[10]Feb 26th '!$L$39,'[11]Mar 31st'!$L$47,'[12]Apr 30th'!$L$46)</f>
        <v>6.3198913043478253</v>
      </c>
      <c r="N39" s="416">
        <v>9.1999999999999993</v>
      </c>
      <c r="O39" s="294"/>
      <c r="P39" s="12"/>
    </row>
    <row r="40" spans="1:56" ht="15" customHeight="1">
      <c r="B40" s="529"/>
      <c r="C40" s="349"/>
      <c r="D40" s="535"/>
      <c r="E40" s="536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9"/>
      <c r="C41" s="349"/>
      <c r="D41" s="537"/>
      <c r="E41" s="534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9"/>
      <c r="C42" s="349"/>
      <c r="D42" s="535"/>
      <c r="E42" s="536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9"/>
      <c r="C43" s="349"/>
      <c r="D43" s="537"/>
      <c r="E43" s="534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35"/>
      <c r="E44" s="536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8"/>
      <c r="C45" s="350"/>
      <c r="D45" s="544"/>
      <c r="E45" s="545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46"/>
      <c r="E46" s="547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9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48" t="s">
        <v>17</v>
      </c>
      <c r="C51" s="548" t="s">
        <v>44</v>
      </c>
      <c r="D51" s="551" t="s">
        <v>45</v>
      </c>
      <c r="E51" s="516" t="s">
        <v>46</v>
      </c>
      <c r="F51" s="565" t="s">
        <v>47</v>
      </c>
      <c r="G51" s="560" t="s">
        <v>48</v>
      </c>
      <c r="H51" s="548" t="s">
        <v>49</v>
      </c>
      <c r="I51" s="548" t="s">
        <v>50</v>
      </c>
      <c r="J51" s="554" t="s">
        <v>28</v>
      </c>
      <c r="K51" s="514" t="s">
        <v>51</v>
      </c>
      <c r="L51" s="563" t="s">
        <v>52</v>
      </c>
      <c r="M51" s="554" t="s">
        <v>53</v>
      </c>
      <c r="N51" s="13"/>
      <c r="O51" s="13"/>
      <c r="P51" s="50"/>
    </row>
    <row r="52" spans="2:57" ht="28.5" customHeight="1" thickTop="1" thickBot="1">
      <c r="B52" s="549"/>
      <c r="C52" s="550"/>
      <c r="D52" s="552"/>
      <c r="E52" s="553"/>
      <c r="F52" s="566"/>
      <c r="G52" s="561"/>
      <c r="H52" s="549"/>
      <c r="I52" s="549"/>
      <c r="J52" s="555"/>
      <c r="K52" s="562"/>
      <c r="L52" s="564"/>
      <c r="M52" s="555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80" t="str">
        <f>I24</f>
        <v>CARIB</v>
      </c>
      <c r="C53" s="479">
        <v>46161</v>
      </c>
      <c r="D53" s="445">
        <f>[32]May_2026!$W$3</f>
        <v>394.7</v>
      </c>
      <c r="E53" s="443"/>
      <c r="F53" s="444"/>
      <c r="G53" s="445">
        <f>[32]May_2026!$W$7</f>
        <v>370</v>
      </c>
      <c r="H53" s="458"/>
      <c r="I53" s="458"/>
      <c r="J53" s="448" t="s">
        <v>198</v>
      </c>
      <c r="K53" s="449">
        <f>[34]May_2026!$W$18</f>
        <v>0.32456140350877194</v>
      </c>
      <c r="L53" s="476">
        <f>(((D53+E53)-G53)/(D53+E53))*100</f>
        <v>6.2579174056245215</v>
      </c>
      <c r="M53" s="455" t="s">
        <v>188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[13]January_2019!L5</f>
        <v>0</v>
      </c>
      <c r="AC53" s="57">
        <f>[13]January_2019!M5</f>
        <v>0</v>
      </c>
      <c r="AD53" s="57">
        <f>[13]January_2019!N5</f>
        <v>0</v>
      </c>
      <c r="AE53" s="57">
        <f>[13]January_2019!O5</f>
        <v>0</v>
      </c>
      <c r="AF53" s="57">
        <f>[13]January_2019!P5</f>
        <v>0</v>
      </c>
      <c r="AG53" s="57">
        <f>[13]January_2019!Q5</f>
        <v>0</v>
      </c>
      <c r="AH53" s="57">
        <f>[13]January_2019!R5</f>
        <v>0</v>
      </c>
      <c r="AI53" s="57">
        <f>[13]January_2019!S5</f>
        <v>0</v>
      </c>
      <c r="AJ53" s="57">
        <f>[13]January_2019!T5</f>
        <v>0</v>
      </c>
      <c r="AK53" s="57">
        <f>[13]January_2019!U5</f>
        <v>0</v>
      </c>
      <c r="AL53" s="57">
        <f>[13]January_2019!V5</f>
        <v>0</v>
      </c>
      <c r="AM53" s="57">
        <f>[13]January_2019!W5</f>
        <v>0</v>
      </c>
      <c r="AN53" s="57">
        <f>[13]January_2019!X5</f>
        <v>0</v>
      </c>
      <c r="AO53" s="57">
        <f>[13]January_2019!Y5</f>
        <v>0</v>
      </c>
      <c r="AP53" s="57">
        <f>[13]January_2019!Z5</f>
        <v>0</v>
      </c>
      <c r="AQ53" s="57">
        <f>[13]January_2019!AA5</f>
        <v>0</v>
      </c>
      <c r="AR53" s="57">
        <f>[13]January_2019!AB5</f>
        <v>0</v>
      </c>
      <c r="AS53" s="57">
        <f>[13]January_2019!AC5</f>
        <v>0</v>
      </c>
      <c r="AT53" s="57">
        <f>[13]January_2019!AD5</f>
        <v>0</v>
      </c>
      <c r="AU53" s="57">
        <f>[13]January_2019!AE5</f>
        <v>0</v>
      </c>
      <c r="AV53" s="57">
        <f>[13]January_2019!AF5</f>
        <v>0</v>
      </c>
      <c r="AW53" s="57">
        <f>[13]January_2019!AG5</f>
        <v>0</v>
      </c>
      <c r="AX53" s="277">
        <f>[13]January_2019!AH5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[13]January_2019!L6</f>
        <v>0</v>
      </c>
      <c r="AC54" s="57">
        <f>[13]January_2019!M6</f>
        <v>0</v>
      </c>
      <c r="AD54" s="57">
        <f>[13]January_2019!N6</f>
        <v>0</v>
      </c>
      <c r="AE54" s="57">
        <f>[13]January_2019!O6</f>
        <v>0</v>
      </c>
      <c r="AF54" s="57">
        <f>[13]January_2019!P6</f>
        <v>0</v>
      </c>
      <c r="AG54" s="57">
        <f>[13]January_2019!Q6</f>
        <v>0</v>
      </c>
      <c r="AH54" s="57">
        <f>[13]January_2019!R6</f>
        <v>0</v>
      </c>
      <c r="AI54" s="57">
        <f>[13]January_2019!S6</f>
        <v>0</v>
      </c>
      <c r="AJ54" s="57">
        <f>[13]January_2019!T6</f>
        <v>0</v>
      </c>
      <c r="AK54" s="57">
        <f>[13]January_2019!U6</f>
        <v>0</v>
      </c>
      <c r="AL54" s="57">
        <f>[13]January_2019!V6</f>
        <v>0</v>
      </c>
      <c r="AM54" s="57">
        <f>[13]January_2019!W6</f>
        <v>0</v>
      </c>
      <c r="AN54" s="57">
        <f>[13]January_2019!X6</f>
        <v>0</v>
      </c>
      <c r="AO54" s="57">
        <f>[13]January_2019!Y6</f>
        <v>0</v>
      </c>
      <c r="AP54" s="57">
        <f>[13]January_2019!Z6</f>
        <v>0</v>
      </c>
      <c r="AQ54" s="57">
        <f>[13]January_2019!AA6</f>
        <v>0</v>
      </c>
      <c r="AR54" s="57">
        <f>[13]January_2019!AB6</f>
        <v>0</v>
      </c>
      <c r="AS54" s="57">
        <f>[13]January_2019!AC6</f>
        <v>0</v>
      </c>
      <c r="AT54" s="57">
        <f>[13]January_2019!AD6</f>
        <v>0</v>
      </c>
      <c r="AU54" s="57">
        <f>[13]January_2019!AE6</f>
        <v>0</v>
      </c>
      <c r="AV54" s="57">
        <f>[13]January_2019!AF6</f>
        <v>0</v>
      </c>
      <c r="AW54" s="57">
        <f>[13]January_2019!AG6</f>
        <v>0</v>
      </c>
      <c r="AX54" s="277">
        <f>[13]January_2019!AH6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[13]January_2019!L7</f>
        <v>285.8</v>
      </c>
      <c r="AC55" s="57">
        <f>[13]January_2019!M7</f>
        <v>508.1</v>
      </c>
      <c r="AD55" s="57">
        <f>[13]January_2019!N7</f>
        <v>0</v>
      </c>
      <c r="AE55" s="57">
        <f>[13]January_2019!O7</f>
        <v>0</v>
      </c>
      <c r="AF55" s="57">
        <f>[13]January_2019!P7</f>
        <v>109.56666666666666</v>
      </c>
      <c r="AG55" s="57">
        <f>[13]January_2019!Q7</f>
        <v>297.64999999999998</v>
      </c>
      <c r="AH55" s="57">
        <f>[13]January_2019!R7</f>
        <v>122.3</v>
      </c>
      <c r="AI55" s="57">
        <f>[13]January_2019!S7</f>
        <v>0</v>
      </c>
      <c r="AJ55" s="57">
        <f>[13]January_2019!T7</f>
        <v>294.7</v>
      </c>
      <c r="AK55" s="57">
        <f>[13]January_2019!U7</f>
        <v>280.5</v>
      </c>
      <c r="AL55" s="57">
        <f>[13]January_2019!V7</f>
        <v>0</v>
      </c>
      <c r="AM55" s="57">
        <f>[13]January_2019!W7</f>
        <v>0</v>
      </c>
      <c r="AN55" s="57">
        <f>[13]January_2019!X7</f>
        <v>188.25</v>
      </c>
      <c r="AO55" s="57">
        <f>[13]January_2019!Y7</f>
        <v>295.7</v>
      </c>
      <c r="AP55" s="57">
        <f>[13]January_2019!Z7</f>
        <v>257.8</v>
      </c>
      <c r="AQ55" s="57">
        <f>[13]January_2019!AA7</f>
        <v>291.2</v>
      </c>
      <c r="AR55" s="57">
        <f>[13]January_2019!AB7</f>
        <v>187</v>
      </c>
      <c r="AS55" s="57">
        <f>[13]January_2019!AC7</f>
        <v>0</v>
      </c>
      <c r="AT55" s="57">
        <f>[13]January_2019!AD7</f>
        <v>0</v>
      </c>
      <c r="AU55" s="57">
        <f>[13]January_2019!AE7</f>
        <v>485.1</v>
      </c>
      <c r="AV55" s="57">
        <f>[13]January_2019!AF7</f>
        <v>171.55</v>
      </c>
      <c r="AW55" s="57">
        <f>[13]January_2019!AG7</f>
        <v>423.8</v>
      </c>
      <c r="AX55" s="277">
        <f>[13]January_2019!AH7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9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56" t="s">
        <v>55</v>
      </c>
      <c r="C64" s="557"/>
      <c r="D64" s="557"/>
      <c r="E64" s="557"/>
      <c r="F64" s="558"/>
      <c r="G64" s="556" t="s">
        <v>56</v>
      </c>
      <c r="H64" s="557"/>
      <c r="I64" s="557"/>
      <c r="J64" s="558"/>
      <c r="K64" s="556" t="s">
        <v>51</v>
      </c>
      <c r="L64" s="557"/>
      <c r="M64" s="557"/>
      <c r="N64" s="559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6.2579174056245215</v>
      </c>
      <c r="D66" s="76">
        <v>6.0202991452991359</v>
      </c>
      <c r="E66" s="76">
        <v>6.6378472720784218</v>
      </c>
      <c r="F66" s="66">
        <v>4.8</v>
      </c>
      <c r="G66" s="65">
        <f>[32]May_2026!$W$11</f>
        <v>6.8656456558311767</v>
      </c>
      <c r="H66" s="477">
        <v>6.0884347682859543</v>
      </c>
      <c r="I66" s="477">
        <v>6.3748727706600326</v>
      </c>
      <c r="J66" s="66">
        <v>4.8</v>
      </c>
      <c r="K66" s="67">
        <f>K53</f>
        <v>0.32456140350877194</v>
      </c>
      <c r="L66" s="194">
        <v>0.57496544391281235</v>
      </c>
      <c r="M66" s="194">
        <v>0.49518274936143891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5.1176890156918384</v>
      </c>
      <c r="E67" s="76">
        <v>6.0568688569191238</v>
      </c>
      <c r="F67" s="66">
        <v>4.8</v>
      </c>
      <c r="G67" s="65"/>
      <c r="H67" s="76">
        <v>5.1104786891013454</v>
      </c>
      <c r="I67" s="76">
        <v>5.5157923502904493</v>
      </c>
      <c r="J67" s="66">
        <v>4.8</v>
      </c>
      <c r="K67" s="67"/>
      <c r="L67" s="194">
        <v>0.58649122807017551</v>
      </c>
      <c r="M67" s="194">
        <v>0.68827834973716662</v>
      </c>
      <c r="N67" s="68">
        <v>1</v>
      </c>
      <c r="P67" s="69"/>
    </row>
    <row r="68" spans="2:16" ht="15">
      <c r="B68" s="34" t="s">
        <v>40</v>
      </c>
      <c r="C68" s="65"/>
      <c r="D68" s="76">
        <v>10.182228066879567</v>
      </c>
      <c r="E68" s="76">
        <v>11.735537190082644</v>
      </c>
      <c r="F68" s="66">
        <v>5.5</v>
      </c>
      <c r="G68" s="65"/>
      <c r="H68" s="76">
        <v>11.362028737847183</v>
      </c>
      <c r="I68" s="76">
        <v>12.769538510720032</v>
      </c>
      <c r="J68" s="66">
        <v>5.5</v>
      </c>
      <c r="K68" s="67"/>
      <c r="L68" s="194">
        <v>0.23824561403508773</v>
      </c>
      <c r="M68" s="194">
        <v>0.26411513157894739</v>
      </c>
      <c r="N68" s="68">
        <v>1</v>
      </c>
      <c r="P68" s="69"/>
    </row>
    <row r="69" spans="2:16" ht="15">
      <c r="B69" s="22" t="s">
        <v>33</v>
      </c>
      <c r="C69" s="65"/>
      <c r="D69" s="76">
        <v>4.9306092006073188</v>
      </c>
      <c r="E69" s="76">
        <v>4.7166249493099075</v>
      </c>
      <c r="F69" s="66">
        <v>3.3</v>
      </c>
      <c r="G69" s="65"/>
      <c r="H69" s="76">
        <v>5.5037640962151348</v>
      </c>
      <c r="I69" s="76">
        <v>4.7393662692065543</v>
      </c>
      <c r="J69" s="66">
        <v>3.3</v>
      </c>
      <c r="K69" s="67"/>
      <c r="L69" s="194">
        <v>0.61175438596491227</v>
      </c>
      <c r="M69" s="194">
        <v>0.73604010025062649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76"/>
      <c r="D71" s="76">
        <v>5.2401746724890881</v>
      </c>
      <c r="E71" s="76">
        <v>5.1541347251672045</v>
      </c>
      <c r="F71" s="487">
        <v>5.5</v>
      </c>
      <c r="G71" s="282"/>
      <c r="H71" s="76">
        <v>6.6922456038466889</v>
      </c>
      <c r="I71" s="76">
        <v>7.4989046872874194</v>
      </c>
      <c r="J71" s="66">
        <v>5.5</v>
      </c>
      <c r="K71" s="67"/>
      <c r="L71" s="194">
        <v>0.68526315789473691</v>
      </c>
      <c r="M71" s="194">
        <v>1.0201754385964912</v>
      </c>
      <c r="N71" s="68">
        <v>1</v>
      </c>
      <c r="P71" s="69"/>
    </row>
    <row r="72" spans="2:16" ht="15">
      <c r="B72" s="37" t="s">
        <v>16</v>
      </c>
      <c r="C72" s="65"/>
      <c r="D72" s="76">
        <v>3.4477692345364712</v>
      </c>
      <c r="E72" s="76">
        <v>3.8718586514884619</v>
      </c>
      <c r="F72" s="66">
        <v>3.3</v>
      </c>
      <c r="G72" s="282"/>
      <c r="H72" s="76">
        <v>4.2666251196365179</v>
      </c>
      <c r="I72" s="76">
        <v>4.7387128519495914</v>
      </c>
      <c r="J72" s="66">
        <v>3.3</v>
      </c>
      <c r="K72" s="67"/>
      <c r="L72" s="194">
        <v>0.69175438596491223</v>
      </c>
      <c r="M72" s="194">
        <v>0.84386695906432752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5.8383397050791723</v>
      </c>
      <c r="E75" s="76">
        <v>6.4184519939086346</v>
      </c>
      <c r="F75" s="341">
        <v>5.5</v>
      </c>
      <c r="H75" s="76">
        <v>6.2111883500727076</v>
      </c>
      <c r="I75" s="76">
        <v>6.4536774127739722</v>
      </c>
      <c r="J75" s="341">
        <v>5.5</v>
      </c>
      <c r="L75" s="194">
        <v>0.56896374269005867</v>
      </c>
      <c r="M75" s="194">
        <v>0.5704390220098533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1289" priority="105" operator="notBetween">
      <formula>#REF!</formula>
      <formula>#REF!</formula>
    </cfRule>
  </conditionalFormatting>
  <conditionalFormatting sqref="C50">
    <cfRule type="cellIs" dxfId="1288" priority="194" stopIfTrue="1" operator="lessThan">
      <formula>96</formula>
    </cfRule>
    <cfRule type="cellIs" dxfId="1287" priority="195" stopIfTrue="1" operator="greaterThan">
      <formula>100</formula>
    </cfRule>
  </conditionalFormatting>
  <conditionalFormatting sqref="C66:C67">
    <cfRule type="cellIs" dxfId="1286" priority="39" stopIfTrue="1" operator="greaterThan">
      <formula>$F66</formula>
    </cfRule>
    <cfRule type="cellIs" dxfId="1285" priority="40" stopIfTrue="1" operator="lessThanOrEqual">
      <formula>0</formula>
    </cfRule>
    <cfRule type="cellIs" dxfId="1284" priority="41" stopIfTrue="1" operator="greaterThan">
      <formula>$F66</formula>
    </cfRule>
    <cfRule type="cellIs" dxfId="1283" priority="42" stopIfTrue="1" operator="lessThanOrEqual">
      <formula>0</formula>
    </cfRule>
  </conditionalFormatting>
  <conditionalFormatting sqref="C68:C70 C72:C74">
    <cfRule type="cellIs" dxfId="1282" priority="73" stopIfTrue="1" operator="greaterThan">
      <formula>$F71</formula>
    </cfRule>
  </conditionalFormatting>
  <conditionalFormatting sqref="C68:C70">
    <cfRule type="cellIs" dxfId="1281" priority="74" stopIfTrue="1" operator="lessThanOrEqual">
      <formula>0</formula>
    </cfRule>
  </conditionalFormatting>
  <conditionalFormatting sqref="C72:C74">
    <cfRule type="cellIs" dxfId="1280" priority="75" stopIfTrue="1" operator="lessThanOrEqual">
      <formula>0</formula>
    </cfRule>
  </conditionalFormatting>
  <conditionalFormatting sqref="C77:C81">
    <cfRule type="cellIs" dxfId="1279" priority="186" stopIfTrue="1" operator="lessThanOrEqual">
      <formula>0</formula>
    </cfRule>
  </conditionalFormatting>
  <conditionalFormatting sqref="C78:C81">
    <cfRule type="cellIs" dxfId="1278" priority="185" stopIfTrue="1" operator="greaterThan">
      <formula>$F$77</formula>
    </cfRule>
  </conditionalFormatting>
  <conditionalFormatting sqref="C83">
    <cfRule type="cellIs" dxfId="1277" priority="188" stopIfTrue="1" operator="lessThanOrEqual">
      <formula>0</formula>
    </cfRule>
    <cfRule type="cellIs" dxfId="1276" priority="187" stopIfTrue="1" operator="greaterThan">
      <formula>$F$77</formula>
    </cfRule>
  </conditionalFormatting>
  <conditionalFormatting sqref="C71:D71">
    <cfRule type="cellIs" dxfId="1275" priority="14" stopIfTrue="1" operator="greaterThan">
      <formula>$J71</formula>
    </cfRule>
    <cfRule type="cellIs" dxfId="1274" priority="15" stopIfTrue="1" operator="lessThanOrEqual">
      <formula>0</formula>
    </cfRule>
  </conditionalFormatting>
  <conditionalFormatting sqref="C77:D77 D79:D85">
    <cfRule type="cellIs" dxfId="1273" priority="180" stopIfTrue="1" operator="greaterThan">
      <formula>4.5</formula>
    </cfRule>
  </conditionalFormatting>
  <conditionalFormatting sqref="D46:D47">
    <cfRule type="cellIs" dxfId="1272" priority="106" operator="notBetween">
      <formula>#REF!</formula>
      <formula>#REF!</formula>
    </cfRule>
  </conditionalFormatting>
  <conditionalFormatting sqref="D66:D70 D72:D73">
    <cfRule type="cellIs" dxfId="1271" priority="68" stopIfTrue="1" operator="lessThanOrEqual">
      <formula>0</formula>
    </cfRule>
  </conditionalFormatting>
  <conditionalFormatting sqref="D66:D70 D72:D75">
    <cfRule type="cellIs" dxfId="1270" priority="52" stopIfTrue="1" operator="lessThanOrEqual">
      <formula>0</formula>
    </cfRule>
  </conditionalFormatting>
  <conditionalFormatting sqref="D74">
    <cfRule type="cellIs" dxfId="1269" priority="67" stopIfTrue="1" operator="lessThanOrEqual">
      <formula>0</formula>
    </cfRule>
  </conditionalFormatting>
  <conditionalFormatting sqref="D75">
    <cfRule type="cellIs" dxfId="1268" priority="64" stopIfTrue="1" operator="lessThanOrEqual">
      <formula>0</formula>
    </cfRule>
  </conditionalFormatting>
  <conditionalFormatting sqref="D77 D79:D85">
    <cfRule type="cellIs" dxfId="1267" priority="181" stopIfTrue="1" operator="lessThanOrEqual">
      <formula>0</formula>
    </cfRule>
  </conditionalFormatting>
  <conditionalFormatting sqref="D78">
    <cfRule type="cellIs" dxfId="1266" priority="173" stopIfTrue="1" operator="lessThanOrEqual">
      <formula>0</formula>
    </cfRule>
    <cfRule type="cellIs" dxfId="1265" priority="172" stopIfTrue="1" operator="greaterThan">
      <formula>$F$77</formula>
    </cfRule>
  </conditionalFormatting>
  <conditionalFormatting sqref="D66:E70 E71 D72:E75">
    <cfRule type="cellIs" dxfId="1264" priority="54" stopIfTrue="1" operator="greaterThan">
      <formula>$F66</formula>
    </cfRule>
  </conditionalFormatting>
  <conditionalFormatting sqref="D75:E75">
    <cfRule type="cellIs" dxfId="1263" priority="56" stopIfTrue="1" operator="lessThanOrEqual">
      <formula>0</formula>
    </cfRule>
  </conditionalFormatting>
  <conditionalFormatting sqref="E10:E21">
    <cfRule type="cellIs" dxfId="1262" priority="8" operator="lessThan">
      <formula>48</formula>
    </cfRule>
  </conditionalFormatting>
  <conditionalFormatting sqref="E49 E50:F50">
    <cfRule type="cellIs" dxfId="1261" priority="177" stopIfTrue="1" operator="greaterThan">
      <formula>100</formula>
    </cfRule>
  </conditionalFormatting>
  <conditionalFormatting sqref="E50">
    <cfRule type="cellIs" dxfId="1260" priority="175" stopIfTrue="1" operator="greaterThan">
      <formula>100</formula>
    </cfRule>
    <cfRule type="cellIs" dxfId="1259" priority="174" stopIfTrue="1" operator="lessThan">
      <formula>96.8</formula>
    </cfRule>
  </conditionalFormatting>
  <conditionalFormatting sqref="E66:E74">
    <cfRule type="cellIs" dxfId="1258" priority="53" stopIfTrue="1" operator="lessThanOrEqual">
      <formula>0</formula>
    </cfRule>
  </conditionalFormatting>
  <conditionalFormatting sqref="E66:E75">
    <cfRule type="cellIs" dxfId="1257" priority="55" stopIfTrue="1" operator="lessThanOrEqual">
      <formula>0</formula>
    </cfRule>
  </conditionalFormatting>
  <conditionalFormatting sqref="E77:E85">
    <cfRule type="cellIs" dxfId="1256" priority="167" stopIfTrue="1" operator="lessThanOrEqual">
      <formula>0</formula>
    </cfRule>
    <cfRule type="cellIs" dxfId="1255" priority="166" stopIfTrue="1" operator="greaterThan">
      <formula>4.5</formula>
    </cfRule>
  </conditionalFormatting>
  <conditionalFormatting sqref="E50:F50 E49">
    <cfRule type="cellIs" dxfId="1254" priority="176" stopIfTrue="1" operator="lessThan">
      <formula>96.5</formula>
    </cfRule>
  </conditionalFormatting>
  <conditionalFormatting sqref="F10:F18 F20:F21">
    <cfRule type="cellIs" dxfId="1253" priority="43" operator="greaterThan">
      <formula>60</formula>
    </cfRule>
  </conditionalFormatting>
  <conditionalFormatting sqref="F50">
    <cfRule type="cellIs" dxfId="1252" priority="193" stopIfTrue="1" operator="greaterThan">
      <formula>100</formula>
    </cfRule>
    <cfRule type="cellIs" dxfId="1251" priority="192" stopIfTrue="1" operator="lessThan">
      <formula>96.8</formula>
    </cfRule>
  </conditionalFormatting>
  <conditionalFormatting sqref="F75">
    <cfRule type="cellIs" dxfId="1250" priority="65" stopIfTrue="1" operator="greaterThan">
      <formula>$F75</formula>
    </cfRule>
    <cfRule type="cellIs" dxfId="1249" priority="66" stopIfTrue="1" operator="lessThanOrEqual">
      <formula>0</formula>
    </cfRule>
  </conditionalFormatting>
  <conditionalFormatting sqref="G10:G21">
    <cfRule type="expression" dxfId="1248" priority="9">
      <formula>IF(+(IF(G10&lt;S10,0,IF(G10&gt;T10,0,1)))=0,1)</formula>
    </cfRule>
  </conditionalFormatting>
  <conditionalFormatting sqref="G66:G67">
    <cfRule type="cellIs" dxfId="1247" priority="70" stopIfTrue="1" operator="lessThanOrEqual">
      <formula>0</formula>
    </cfRule>
    <cfRule type="cellIs" dxfId="1246" priority="69" stopIfTrue="1" operator="greaterThan">
      <formula>$F66</formula>
    </cfRule>
  </conditionalFormatting>
  <conditionalFormatting sqref="G66:G69">
    <cfRule type="cellIs" dxfId="1245" priority="48" stopIfTrue="1" operator="lessThanOrEqual">
      <formula>0</formula>
    </cfRule>
    <cfRule type="cellIs" dxfId="1244" priority="47" stopIfTrue="1" operator="greaterThan">
      <formula>$F66</formula>
    </cfRule>
  </conditionalFormatting>
  <conditionalFormatting sqref="G68">
    <cfRule type="cellIs" dxfId="1243" priority="45" stopIfTrue="1" operator="greaterThan">
      <formula>$F68</formula>
    </cfRule>
    <cfRule type="cellIs" dxfId="1242" priority="46" stopIfTrue="1" operator="lessThanOrEqual">
      <formula>0</formula>
    </cfRule>
  </conditionalFormatting>
  <conditionalFormatting sqref="G69">
    <cfRule type="cellIs" dxfId="1241" priority="61" stopIfTrue="1" operator="lessThanOrEqual">
      <formula>0</formula>
    </cfRule>
    <cfRule type="cellIs" dxfId="1240" priority="60" stopIfTrue="1" operator="greaterThan">
      <formula>$F69</formula>
    </cfRule>
  </conditionalFormatting>
  <conditionalFormatting sqref="G70:G74">
    <cfRule type="cellIs" dxfId="1239" priority="71" stopIfTrue="1" operator="greaterThan">
      <formula>$J70</formula>
    </cfRule>
    <cfRule type="cellIs" dxfId="1238" priority="72" stopIfTrue="1" operator="lessThanOrEqual">
      <formula>0</formula>
    </cfRule>
  </conditionalFormatting>
  <conditionalFormatting sqref="G79:G84 C82 C84">
    <cfRule type="cellIs" dxfId="1237" priority="190" stopIfTrue="1" operator="lessThanOrEqual">
      <formula>0</formula>
    </cfRule>
    <cfRule type="cellIs" dxfId="1236" priority="189" stopIfTrue="1" operator="greaterThan">
      <formula>4.5</formula>
    </cfRule>
  </conditionalFormatting>
  <conditionalFormatting sqref="G78:H78">
    <cfRule type="cellIs" dxfId="1235" priority="171" stopIfTrue="1" operator="lessThanOrEqual">
      <formula>0</formula>
    </cfRule>
    <cfRule type="cellIs" dxfId="1234" priority="170" stopIfTrue="1" operator="greaterThan">
      <formula>$F$77</formula>
    </cfRule>
  </conditionalFormatting>
  <conditionalFormatting sqref="H10:H21 M10:N21">
    <cfRule type="expression" dxfId="1233" priority="10">
      <formula>IF(+(IF(H10&lt;#REF!,0,IF(H10&gt;#REF!,0,1)))=0,1)</formula>
    </cfRule>
  </conditionalFormatting>
  <conditionalFormatting sqref="H35:H36 H49">
    <cfRule type="cellIs" dxfId="1232" priority="168" stopIfTrue="1" operator="greaterThan">
      <formula>0</formula>
    </cfRule>
  </conditionalFormatting>
  <conditionalFormatting sqref="H53">
    <cfRule type="cellIs" dxfId="1231" priority="27" stopIfTrue="1" operator="greaterThan">
      <formula>$F$73</formula>
    </cfRule>
    <cfRule type="cellIs" dxfId="1230" priority="35" stopIfTrue="1" operator="greaterThan">
      <formula>$F$76</formula>
    </cfRule>
    <cfRule type="cellIs" dxfId="1229" priority="36" stopIfTrue="1" operator="lessThanOrEqual">
      <formula>0</formula>
    </cfRule>
    <cfRule type="cellIs" dxfId="1228" priority="38" stopIfTrue="1" operator="lessThanOrEqual">
      <formula>0</formula>
    </cfRule>
    <cfRule type="cellIs" dxfId="1227" priority="37" stopIfTrue="1" operator="greaterThan">
      <formula>$F$74</formula>
    </cfRule>
    <cfRule type="cellIs" dxfId="1226" priority="26" stopIfTrue="1" operator="lessThanOrEqual">
      <formula>0</formula>
    </cfRule>
  </conditionalFormatting>
  <conditionalFormatting sqref="H54:H55">
    <cfRule type="cellIs" dxfId="1225" priority="77" stopIfTrue="1" operator="lessThanOrEqual">
      <formula>0</formula>
    </cfRule>
    <cfRule type="cellIs" dxfId="1224" priority="78" stopIfTrue="1" operator="greaterThan">
      <formula>$F$66</formula>
    </cfRule>
    <cfRule type="cellIs" dxfId="1223" priority="86" stopIfTrue="1" operator="greaterThan">
      <formula>$F$69</formula>
    </cfRule>
    <cfRule type="cellIs" dxfId="1222" priority="87" stopIfTrue="1" operator="lessThanOrEqual">
      <formula>0</formula>
    </cfRule>
    <cfRule type="cellIs" dxfId="1221" priority="88" stopIfTrue="1" operator="greaterThan">
      <formula>$F$67</formula>
    </cfRule>
  </conditionalFormatting>
  <conditionalFormatting sqref="H54:H57">
    <cfRule type="cellIs" dxfId="1220" priority="89" stopIfTrue="1" operator="lessThanOrEqual">
      <formula>0</formula>
    </cfRule>
  </conditionalFormatting>
  <conditionalFormatting sqref="H56:H57">
    <cfRule type="cellIs" dxfId="1219" priority="102" stopIfTrue="1" operator="greaterThan">
      <formula>$F$67</formula>
    </cfRule>
    <cfRule type="cellIs" dxfId="1218" priority="101" stopIfTrue="1" operator="lessThanOrEqual">
      <formula>0</formula>
    </cfRule>
    <cfRule type="cellIs" dxfId="1217" priority="103" stopIfTrue="1" operator="lessThanOrEqual">
      <formula>0</formula>
    </cfRule>
    <cfRule type="cellIs" dxfId="1216" priority="100" stopIfTrue="1" operator="greaterThan">
      <formula>$F$69</formula>
    </cfRule>
    <cfRule type="cellIs" dxfId="1215" priority="92" stopIfTrue="1" operator="greaterThan">
      <formula>$F$66</formula>
    </cfRule>
  </conditionalFormatting>
  <conditionalFormatting sqref="H58:H59">
    <cfRule type="cellIs" dxfId="1214" priority="130" stopIfTrue="1" operator="lessThanOrEqual">
      <formula>0</formula>
    </cfRule>
    <cfRule type="cellIs" dxfId="1213" priority="142" stopIfTrue="1" operator="lessThanOrEqual">
      <formula>0</formula>
    </cfRule>
    <cfRule type="cellIs" dxfId="1212" priority="141" stopIfTrue="1" operator="greaterThan">
      <formula>#REF!</formula>
    </cfRule>
    <cfRule type="cellIs" dxfId="1211" priority="140" stopIfTrue="1" operator="lessThanOrEqual">
      <formula>0</formula>
    </cfRule>
    <cfRule type="cellIs" dxfId="1210" priority="139" stopIfTrue="1" operator="greaterThan">
      <formula>$F$21</formula>
    </cfRule>
    <cfRule type="cellIs" dxfId="1209" priority="131" stopIfTrue="1" operator="greaterThan">
      <formula>#REF!</formula>
    </cfRule>
  </conditionalFormatting>
  <conditionalFormatting sqref="H60">
    <cfRule type="cellIs" dxfId="1208" priority="156" stopIfTrue="1" operator="lessThanOrEqual">
      <formula>0</formula>
    </cfRule>
    <cfRule type="cellIs" dxfId="1207" priority="155" stopIfTrue="1" operator="greaterThan">
      <formula>$F$35</formula>
    </cfRule>
    <cfRule type="cellIs" dxfId="1206" priority="154" stopIfTrue="1" operator="lessThanOrEqual">
      <formula>0</formula>
    </cfRule>
    <cfRule type="cellIs" dxfId="1205" priority="145" stopIfTrue="1" operator="greaterThan">
      <formula>$F$34</formula>
    </cfRule>
    <cfRule type="cellIs" dxfId="1204" priority="153" stopIfTrue="1" operator="greaterThan">
      <formula>$F$37</formula>
    </cfRule>
    <cfRule type="cellIs" dxfId="1203" priority="144" stopIfTrue="1" operator="lessThanOrEqual">
      <formula>0</formula>
    </cfRule>
  </conditionalFormatting>
  <conditionalFormatting sqref="H61:H62">
    <cfRule type="cellIs" dxfId="1202" priority="116" stopIfTrue="1" operator="lessThanOrEqual">
      <formula>0</formula>
    </cfRule>
    <cfRule type="cellIs" dxfId="1201" priority="117" stopIfTrue="1" operator="greaterThan">
      <formula>#REF!</formula>
    </cfRule>
    <cfRule type="cellIs" dxfId="1200" priority="125" stopIfTrue="1" operator="greaterThan">
      <formula>$F$21</formula>
    </cfRule>
    <cfRule type="cellIs" dxfId="1199" priority="127" stopIfTrue="1" operator="greaterThan">
      <formula>#REF!</formula>
    </cfRule>
    <cfRule type="cellIs" dxfId="1198" priority="128" stopIfTrue="1" operator="lessThanOrEqual">
      <formula>0</formula>
    </cfRule>
    <cfRule type="cellIs" dxfId="1197" priority="126" stopIfTrue="1" operator="lessThanOrEqual">
      <formula>0</formula>
    </cfRule>
  </conditionalFormatting>
  <conditionalFormatting sqref="H77 H79:H85">
    <cfRule type="cellIs" dxfId="1196" priority="183" stopIfTrue="1" operator="lessThanOrEqual">
      <formula>0</formula>
    </cfRule>
    <cfRule type="cellIs" dxfId="1195" priority="182" stopIfTrue="1" operator="greaterThan">
      <formula>4.5</formula>
    </cfRule>
  </conditionalFormatting>
  <conditionalFormatting sqref="H53:I53">
    <cfRule type="cellIs" dxfId="1194" priority="25" stopIfTrue="1" operator="greaterThan">
      <formula>$F$75</formula>
    </cfRule>
    <cfRule type="cellIs" dxfId="1193" priority="28" stopIfTrue="1" operator="lessThanOrEqual">
      <formula>0</formula>
    </cfRule>
  </conditionalFormatting>
  <conditionalFormatting sqref="H54:I55">
    <cfRule type="cellIs" dxfId="1192" priority="79" stopIfTrue="1" operator="lessThanOrEqual">
      <formula>0</formula>
    </cfRule>
  </conditionalFormatting>
  <conditionalFormatting sqref="H54:I57">
    <cfRule type="cellIs" dxfId="1191" priority="76" stopIfTrue="1" operator="greaterThan">
      <formula>$F$68</formula>
    </cfRule>
  </conditionalFormatting>
  <conditionalFormatting sqref="H56:I57">
    <cfRule type="cellIs" dxfId="1190" priority="93" stopIfTrue="1" operator="lessThanOrEqual">
      <formula>0</formula>
    </cfRule>
  </conditionalFormatting>
  <conditionalFormatting sqref="H58:I59">
    <cfRule type="cellIs" dxfId="1189" priority="129" stopIfTrue="1" operator="greaterThan">
      <formula>#REF!</formula>
    </cfRule>
    <cfRule type="cellIs" dxfId="1188" priority="132" stopIfTrue="1" operator="lessThanOrEqual">
      <formula>0</formula>
    </cfRule>
  </conditionalFormatting>
  <conditionalFormatting sqref="H60:I60">
    <cfRule type="cellIs" dxfId="1187" priority="146" stopIfTrue="1" operator="lessThanOrEqual">
      <formula>0</formula>
    </cfRule>
    <cfRule type="cellIs" dxfId="1186" priority="143" stopIfTrue="1" operator="greaterThan">
      <formula>$F$36</formula>
    </cfRule>
  </conditionalFormatting>
  <conditionalFormatting sqref="H61:I62">
    <cfRule type="cellIs" dxfId="1185" priority="115" stopIfTrue="1" operator="greaterThan">
      <formula>#REF!</formula>
    </cfRule>
    <cfRule type="cellIs" dxfId="1184" priority="118" stopIfTrue="1" operator="lessThanOrEqual">
      <formula>0</formula>
    </cfRule>
  </conditionalFormatting>
  <conditionalFormatting sqref="H66:I73">
    <cfRule type="cellIs" dxfId="1183" priority="50" stopIfTrue="1" operator="greaterThan">
      <formula>$J66</formula>
    </cfRule>
    <cfRule type="cellIs" dxfId="1182" priority="51" stopIfTrue="1" operator="lessThanOrEqual">
      <formula>0</formula>
    </cfRule>
  </conditionalFormatting>
  <conditionalFormatting sqref="H74:I74">
    <cfRule type="cellIs" dxfId="1181" priority="59" operator="greaterThan">
      <formula>5.3</formula>
    </cfRule>
  </conditionalFormatting>
  <conditionalFormatting sqref="H75:I75">
    <cfRule type="cellIs" dxfId="1180" priority="57" stopIfTrue="1" operator="greaterThan">
      <formula>$J75</formula>
    </cfRule>
    <cfRule type="cellIs" dxfId="1179" priority="58" stopIfTrue="1" operator="lessThanOrEqual">
      <formula>0</formula>
    </cfRule>
  </conditionalFormatting>
  <conditionalFormatting sqref="I53">
    <cfRule type="cellIs" dxfId="1178" priority="29" stopIfTrue="1" operator="greaterThan">
      <formula>$F$73</formula>
    </cfRule>
    <cfRule type="cellIs" dxfId="1177" priority="30" stopIfTrue="1" operator="lessThanOrEqual">
      <formula>0</formula>
    </cfRule>
    <cfRule type="cellIs" dxfId="1176" priority="31" stopIfTrue="1" operator="greaterThan">
      <formula>$F$75</formula>
    </cfRule>
    <cfRule type="cellIs" dxfId="1175" priority="32" stopIfTrue="1" operator="lessThanOrEqual">
      <formula>0</formula>
    </cfRule>
    <cfRule type="cellIs" dxfId="1174" priority="33" stopIfTrue="1" operator="greaterThan">
      <formula>$F$73</formula>
    </cfRule>
    <cfRule type="cellIs" dxfId="1173" priority="34" stopIfTrue="1" operator="lessThanOrEqual">
      <formula>0</formula>
    </cfRule>
  </conditionalFormatting>
  <conditionalFormatting sqref="I54:I55">
    <cfRule type="cellIs" dxfId="1172" priority="84" stopIfTrue="1" operator="greaterThan">
      <formula>$F$66</formula>
    </cfRule>
    <cfRule type="cellIs" dxfId="1171" priority="80" stopIfTrue="1" operator="greaterThan">
      <formula>$F$66</formula>
    </cfRule>
    <cfRule type="cellIs" dxfId="1170" priority="81" stopIfTrue="1" operator="lessThanOrEqual">
      <formula>0</formula>
    </cfRule>
    <cfRule type="cellIs" dxfId="1169" priority="85" stopIfTrue="1" operator="lessThanOrEqual">
      <formula>0</formula>
    </cfRule>
    <cfRule type="cellIs" dxfId="1168" priority="82" stopIfTrue="1" operator="greaterThan">
      <formula>$F$68</formula>
    </cfRule>
    <cfRule type="cellIs" dxfId="1167" priority="83" stopIfTrue="1" operator="lessThanOrEqual">
      <formula>0</formula>
    </cfRule>
  </conditionalFormatting>
  <conditionalFormatting sqref="I56:I57">
    <cfRule type="cellIs" dxfId="1166" priority="95" stopIfTrue="1" operator="lessThanOrEqual">
      <formula>0</formula>
    </cfRule>
    <cfRule type="cellIs" dxfId="1165" priority="94" stopIfTrue="1" operator="greaterThan">
      <formula>$F$66</formula>
    </cfRule>
    <cfRule type="cellIs" dxfId="1164" priority="97" stopIfTrue="1" operator="lessThanOrEqual">
      <formula>0</formula>
    </cfRule>
    <cfRule type="cellIs" dxfId="1163" priority="96" stopIfTrue="1" operator="greaterThan">
      <formula>$F$68</formula>
    </cfRule>
    <cfRule type="cellIs" dxfId="1162" priority="99" stopIfTrue="1" operator="lessThanOrEqual">
      <formula>0</formula>
    </cfRule>
    <cfRule type="cellIs" dxfId="1161" priority="98" stopIfTrue="1" operator="greaterThan">
      <formula>$F$66</formula>
    </cfRule>
  </conditionalFormatting>
  <conditionalFormatting sqref="I58:I59">
    <cfRule type="cellIs" dxfId="1160" priority="133" stopIfTrue="1" operator="greaterThan">
      <formula>#REF!</formula>
    </cfRule>
    <cfRule type="cellIs" dxfId="1159" priority="136" stopIfTrue="1" operator="lessThanOrEqual">
      <formula>0</formula>
    </cfRule>
    <cfRule type="cellIs" dxfId="1158" priority="137" stopIfTrue="1" operator="greaterThan">
      <formula>#REF!</formula>
    </cfRule>
    <cfRule type="cellIs" dxfId="1157" priority="138" stopIfTrue="1" operator="lessThanOrEqual">
      <formula>0</formula>
    </cfRule>
    <cfRule type="cellIs" dxfId="1156" priority="134" stopIfTrue="1" operator="lessThanOrEqual">
      <formula>0</formula>
    </cfRule>
    <cfRule type="cellIs" dxfId="1155" priority="135" stopIfTrue="1" operator="greaterThan">
      <formula>#REF!</formula>
    </cfRule>
  </conditionalFormatting>
  <conditionalFormatting sqref="I60">
    <cfRule type="cellIs" dxfId="1154" priority="152" stopIfTrue="1" operator="lessThanOrEqual">
      <formula>0</formula>
    </cfRule>
    <cfRule type="cellIs" dxfId="1153" priority="149" stopIfTrue="1" operator="greaterThan">
      <formula>$F$36</formula>
    </cfRule>
    <cfRule type="cellIs" dxfId="1152" priority="147" stopIfTrue="1" operator="greaterThan">
      <formula>$F$34</formula>
    </cfRule>
    <cfRule type="cellIs" dxfId="1151" priority="148" stopIfTrue="1" operator="lessThanOrEqual">
      <formula>0</formula>
    </cfRule>
    <cfRule type="cellIs" dxfId="1150" priority="150" stopIfTrue="1" operator="lessThanOrEqual">
      <formula>0</formula>
    </cfRule>
    <cfRule type="cellIs" dxfId="1149" priority="151" stopIfTrue="1" operator="greaterThan">
      <formula>$F$34</formula>
    </cfRule>
  </conditionalFormatting>
  <conditionalFormatting sqref="I61:I62">
    <cfRule type="cellIs" dxfId="1148" priority="121" stopIfTrue="1" operator="greaterThan">
      <formula>#REF!</formula>
    </cfRule>
    <cfRule type="cellIs" dxfId="1147" priority="124" stopIfTrue="1" operator="lessThanOrEqual">
      <formula>0</formula>
    </cfRule>
    <cfRule type="cellIs" dxfId="1146" priority="119" stopIfTrue="1" operator="greaterThan">
      <formula>#REF!</formula>
    </cfRule>
    <cfRule type="cellIs" dxfId="1145" priority="120" stopIfTrue="1" operator="lessThanOrEqual">
      <formula>0</formula>
    </cfRule>
    <cfRule type="cellIs" dxfId="1144" priority="123" stopIfTrue="1" operator="greaterThan">
      <formula>#REF!</formula>
    </cfRule>
    <cfRule type="cellIs" dxfId="1143" priority="122" stopIfTrue="1" operator="lessThanOrEqual">
      <formula>0</formula>
    </cfRule>
  </conditionalFormatting>
  <conditionalFormatting sqref="I77:I85">
    <cfRule type="cellIs" dxfId="1142" priority="179" stopIfTrue="1" operator="lessThanOrEqual">
      <formula>0</formula>
    </cfRule>
    <cfRule type="cellIs" dxfId="1141" priority="178" stopIfTrue="1" operator="greaterThan">
      <formula>4.5</formula>
    </cfRule>
  </conditionalFormatting>
  <conditionalFormatting sqref="I10:J21">
    <cfRule type="cellIs" dxfId="1140" priority="2" operator="lessThan">
      <formula>97.9</formula>
    </cfRule>
  </conditionalFormatting>
  <conditionalFormatting sqref="J24:J25">
    <cfRule type="cellIs" dxfId="1139" priority="91" operator="lessThan">
      <formula>97.95</formula>
    </cfRule>
  </conditionalFormatting>
  <conditionalFormatting sqref="J26">
    <cfRule type="cellIs" dxfId="1138" priority="158" stopIfTrue="1" operator="lessThan">
      <formula>96.8</formula>
    </cfRule>
    <cfRule type="cellIs" dxfId="1137" priority="159" stopIfTrue="1" operator="greaterThan">
      <formula>100</formula>
    </cfRule>
    <cfRule type="cellIs" dxfId="1136" priority="160" operator="lessThan">
      <formula>98</formula>
    </cfRule>
  </conditionalFormatting>
  <conditionalFormatting sqref="J26:J28">
    <cfRule type="cellIs" dxfId="1135" priority="157" operator="lessThan">
      <formula>97.4</formula>
    </cfRule>
  </conditionalFormatting>
  <conditionalFormatting sqref="J29:J30">
    <cfRule type="cellIs" dxfId="1134" priority="161" operator="lessThan">
      <formula>98</formula>
    </cfRule>
  </conditionalFormatting>
  <conditionalFormatting sqref="J31:J32">
    <cfRule type="cellIs" dxfId="1133" priority="162" stopIfTrue="1" operator="lessThan">
      <formula>96.8</formula>
    </cfRule>
    <cfRule type="cellIs" dxfId="1132" priority="163" stopIfTrue="1" operator="greaterThan">
      <formula>100</formula>
    </cfRule>
  </conditionalFormatting>
  <conditionalFormatting sqref="J31:J33">
    <cfRule type="cellIs" dxfId="1131" priority="164" operator="lessThan">
      <formula>98</formula>
    </cfRule>
  </conditionalFormatting>
  <conditionalFormatting sqref="J62">
    <cfRule type="cellIs" dxfId="1130" priority="108" stopIfTrue="1" operator="lessThanOrEqual">
      <formula>0</formula>
    </cfRule>
    <cfRule type="cellIs" dxfId="1129" priority="107" stopIfTrue="1" operator="greaterThan">
      <formula>#REF!</formula>
    </cfRule>
    <cfRule type="cellIs" dxfId="1128" priority="114" stopIfTrue="1" operator="lessThanOrEqual">
      <formula>0</formula>
    </cfRule>
    <cfRule type="cellIs" dxfId="1127" priority="113" stopIfTrue="1" operator="greaterThan">
      <formula>#REF!</formula>
    </cfRule>
    <cfRule type="cellIs" dxfId="1126" priority="112" stopIfTrue="1" operator="lessThanOrEqual">
      <formula>0</formula>
    </cfRule>
    <cfRule type="cellIs" dxfId="1125" priority="111" stopIfTrue="1" operator="greaterThan">
      <formula>#REF!</formula>
    </cfRule>
    <cfRule type="cellIs" dxfId="1124" priority="110" stopIfTrue="1" operator="lessThanOrEqual">
      <formula>0</formula>
    </cfRule>
    <cfRule type="cellIs" dxfId="1123" priority="109" stopIfTrue="1" operator="greaterThan">
      <formula>#REF!</formula>
    </cfRule>
  </conditionalFormatting>
  <conditionalFormatting sqref="J75">
    <cfRule type="cellIs" dxfId="1122" priority="63" stopIfTrue="1" operator="lessThanOrEqual">
      <formula>0</formula>
    </cfRule>
    <cfRule type="cellIs" dxfId="1121" priority="62" stopIfTrue="1" operator="greaterThan">
      <formula>$F75</formula>
    </cfRule>
  </conditionalFormatting>
  <conditionalFormatting sqref="K10:K21">
    <cfRule type="cellIs" dxfId="1120" priority="3" operator="greaterThan">
      <formula>6</formula>
    </cfRule>
    <cfRule type="cellIs" dxfId="1119" priority="5" operator="greaterThan">
      <formula>6.4</formula>
    </cfRule>
    <cfRule type="cellIs" dxfId="1118" priority="4" operator="lessThan">
      <formula>4</formula>
    </cfRule>
  </conditionalFormatting>
  <conditionalFormatting sqref="K53:K62">
    <cfRule type="cellIs" dxfId="1117" priority="90" stopIfTrue="1" operator="lessThan">
      <formula>100%</formula>
    </cfRule>
  </conditionalFormatting>
  <conditionalFormatting sqref="K66:K74">
    <cfRule type="cellIs" dxfId="1116" priority="49" stopIfTrue="1" operator="lessThan">
      <formula>100%</formula>
    </cfRule>
  </conditionalFormatting>
  <conditionalFormatting sqref="K77:K82">
    <cfRule type="cellIs" dxfId="1115" priority="184" stopIfTrue="1" operator="lessThan">
      <formula>100%</formula>
    </cfRule>
  </conditionalFormatting>
  <conditionalFormatting sqref="K84:K85">
    <cfRule type="cellIs" dxfId="1114" priority="191" stopIfTrue="1" operator="lessThan">
      <formula>100%</formula>
    </cfRule>
  </conditionalFormatting>
  <conditionalFormatting sqref="L10:L21">
    <cfRule type="cellIs" dxfId="1113" priority="7" operator="greaterThan">
      <formula>65</formula>
    </cfRule>
    <cfRule type="cellIs" dxfId="1112" priority="6" operator="between">
      <formula>61</formula>
      <formula>65</formula>
    </cfRule>
  </conditionalFormatting>
  <conditionalFormatting sqref="L24:M35">
    <cfRule type="cellIs" dxfId="1111" priority="104" operator="lessThan">
      <formula>97.95</formula>
    </cfRule>
  </conditionalFormatting>
  <conditionalFormatting sqref="L39:N39">
    <cfRule type="cellIs" dxfId="1110" priority="44" operator="notEqual">
      <formula>#REF!</formula>
    </cfRule>
  </conditionalFormatting>
  <conditionalFormatting sqref="L66:N75">
    <cfRule type="cellIs" dxfId="1109" priority="13" stopIfTrue="1" operator="lessThan">
      <formula>100%</formula>
    </cfRule>
  </conditionalFormatting>
  <conditionalFormatting sqref="L77:N85">
    <cfRule type="cellIs" dxfId="1108" priority="169" stopIfTrue="1" operator="lessThan">
      <formula>100%</formula>
    </cfRule>
  </conditionalFormatting>
  <conditionalFormatting sqref="M10:M18">
    <cfRule type="expression" dxfId="1107" priority="12">
      <formula>IF(+(IF(M10&lt;U10,0,IF(M10&gt;V10,0,1)))=0,1)</formula>
    </cfRule>
  </conditionalFormatting>
  <conditionalFormatting sqref="N10:N19">
    <cfRule type="expression" dxfId="1106" priority="1">
      <formula>IF(+(IF(N10&lt;W10,0,IF(N10&gt;X10,0,1)))=0,1)</formula>
    </cfRule>
  </conditionalFormatting>
  <conditionalFormatting sqref="P6">
    <cfRule type="cellIs" dxfId="1105" priority="165" operator="greaterThanOrEqual">
      <formula>19</formula>
    </cfRule>
  </conditionalFormatting>
  <dataValidations count="1">
    <dataValidation type="list" allowBlank="1" showInputMessage="1" showErrorMessage="1" sqref="R8" xr:uid="{BF35506C-00AB-4B24-9451-6BFC792FAA2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D7FB-E0B6-42F6-BB68-F0FDF7DC89CE}">
  <sheetPr>
    <pageSetUpPr fitToPage="1"/>
  </sheetPr>
  <dimension ref="A1:BE76"/>
  <sheetViews>
    <sheetView topLeftCell="A3" zoomScale="70" zoomScaleNormal="70" workbookViewId="0">
      <selection activeCell="B13" sqref="B13:O1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46164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16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12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3" t="s">
        <v>9</v>
      </c>
      <c r="C10" s="366" t="str">
        <f>[3]Brewhouse!$A240</f>
        <v>ST186</v>
      </c>
      <c r="D10" s="279">
        <f>[3]Brewhouse!$AB240</f>
        <v>53.1</v>
      </c>
      <c r="E10" s="279">
        <f>[3]Brewhouse!$AG240</f>
        <v>49.6</v>
      </c>
      <c r="F10" s="278">
        <f>[3]Brewhouse!$V240</f>
        <v>60</v>
      </c>
      <c r="G10" s="279">
        <f>[3]Brewhouse!$AE240</f>
        <v>12</v>
      </c>
      <c r="H10" s="396"/>
      <c r="I10" s="368">
        <f>[3]Brewhouse!$AS240</f>
        <v>100.03027228544039</v>
      </c>
      <c r="J10" s="368">
        <f>[3]Brewhouse!$AT240</f>
        <v>101.35723707814648</v>
      </c>
      <c r="K10" s="281">
        <f>[3]Brewhouse!$Q240</f>
        <v>8.4274952919020727</v>
      </c>
      <c r="L10" s="276">
        <f>[3]Brewhouse!$P240</f>
        <v>62</v>
      </c>
      <c r="M10" s="374">
        <f>[3]Brewhouse!$U240-[3]Brewhouse!$T240</f>
        <v>0.12638888888888888</v>
      </c>
      <c r="N10" s="370">
        <f>[3]Brewhouse!$AW240</f>
        <v>0.26041666666666663</v>
      </c>
      <c r="O10" s="371" t="str">
        <f>[3]Brewhouse!$AV240</f>
        <v>K. Benjamin</v>
      </c>
      <c r="P10" s="418"/>
      <c r="R10" s="277" t="str">
        <f t="shared" ref="R10:R20" si="0">B10</f>
        <v>STAG</v>
      </c>
      <c r="S10" s="472">
        <f t="shared" ref="S10:S20" si="1">VLOOKUP($B10,$R$3:$X$9,2,FALSE)</f>
        <v>11.6</v>
      </c>
      <c r="T10" s="472">
        <f t="shared" ref="T10:T20" si="2">VLOOKUP($B10,$R$3:$X$9,3,FALSE)</f>
        <v>12</v>
      </c>
      <c r="U10" s="297">
        <f t="shared" ref="U10:U20" si="3">VLOOKUP($B10,$R$3:$X$9,4,FALSE)</f>
        <v>0</v>
      </c>
      <c r="V10" s="297">
        <f t="shared" ref="V10:V20" si="4">VLOOKUP($B10,$R$3:$X$9,5,FALSE)</f>
        <v>0.118055555555556</v>
      </c>
      <c r="W10" s="297">
        <f t="shared" ref="W10:W20" si="5">VLOOKUP($B10,$R$3:$X$9,6,FALSE)</f>
        <v>0.22569444444444445</v>
      </c>
      <c r="X10" s="297">
        <f t="shared" ref="X10:X20" si="6">VLOOKUP($B10,$R$3:$X$9,7,FALSE)</f>
        <v>0.2638888888888889</v>
      </c>
      <c r="Y10" s="297">
        <f t="shared" ref="Y10:Y20" si="7">VLOOKUP($B10,$R$3:$Z$9,8,FALSE)</f>
        <v>0</v>
      </c>
      <c r="Z10" s="472">
        <f t="shared" ref="Z10:Z20" si="8">VLOOKUP($B10,$R$3:$Z$9,9,FALSE)</f>
        <v>60</v>
      </c>
    </row>
    <row r="11" spans="2:29" ht="15">
      <c r="B11" s="33" t="s">
        <v>9</v>
      </c>
      <c r="C11" s="366" t="str">
        <f>[3]Brewhouse!$A241</f>
        <v>ST187</v>
      </c>
      <c r="D11" s="279">
        <f>[3]Brewhouse!$AB241</f>
        <v>53.1</v>
      </c>
      <c r="E11" s="279">
        <f>[3]Brewhouse!$AG241</f>
        <v>49.8</v>
      </c>
      <c r="F11" s="278">
        <f>[3]Brewhouse!$V241</f>
        <v>60</v>
      </c>
      <c r="G11" s="279">
        <f>[3]Brewhouse!$AE241</f>
        <v>11.9</v>
      </c>
      <c r="H11" s="396"/>
      <c r="I11" s="368">
        <f>[3]Brewhouse!$AS241</f>
        <v>99.680150206688893</v>
      </c>
      <c r="J11" s="368">
        <f>[3]Brewhouse!$AT241</f>
        <v>101.00202821833859</v>
      </c>
      <c r="K11" s="281">
        <f>[3]Brewhouse!$Q241</f>
        <v>7.8625235404896365</v>
      </c>
      <c r="L11" s="276">
        <f>[3]Brewhouse!$P241</f>
        <v>61</v>
      </c>
      <c r="M11" s="374">
        <f>[3]Brewhouse!$U241-[3]Brewhouse!$T241</f>
        <v>0.11944444444444446</v>
      </c>
      <c r="N11" s="370">
        <f>[3]Brewhouse!$AW241</f>
        <v>0.26944444444444449</v>
      </c>
      <c r="O11" s="371" t="str">
        <f>[3]Brewhouse!$AV241</f>
        <v xml:space="preserve">R.Regis 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3" t="s">
        <v>9</v>
      </c>
      <c r="C12" s="366" t="str">
        <f>[3]Brewhouse!$A242</f>
        <v>ST188</v>
      </c>
      <c r="D12" s="279">
        <f>[3]Brewhouse!$AB242</f>
        <v>53.1</v>
      </c>
      <c r="E12" s="279">
        <f>[3]Brewhouse!$AG242</f>
        <v>49.3</v>
      </c>
      <c r="F12" s="278">
        <f>[3]Brewhouse!$V242</f>
        <v>63</v>
      </c>
      <c r="G12" s="279">
        <f>[3]Brewhouse!$AE242</f>
        <v>12</v>
      </c>
      <c r="H12" s="396"/>
      <c r="I12" s="368">
        <f>[3]Brewhouse!$AS242</f>
        <v>99.677491461603083</v>
      </c>
      <c r="J12" s="368">
        <f>[3]Brewhouse!$AT242</f>
        <v>100.9988909186272</v>
      </c>
      <c r="K12" s="281">
        <f>[3]Brewhouse!$Q242</f>
        <v>9.1807909604519775</v>
      </c>
      <c r="L12" s="276">
        <f>[3]Brewhouse!$P242</f>
        <v>59</v>
      </c>
      <c r="M12" s="374">
        <f>[3]Brewhouse!$U242-[3]Brewhouse!$T242</f>
        <v>0.1298611111111112</v>
      </c>
      <c r="N12" s="370">
        <f>[3]Brewhouse!$AW242</f>
        <v>0.40694444444444455</v>
      </c>
      <c r="O12" s="371" t="str">
        <f>[3]Brewhouse!$AV242</f>
        <v xml:space="preserve">R.Regis </v>
      </c>
      <c r="P12" s="418" t="s">
        <v>208</v>
      </c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33" t="s">
        <v>9</v>
      </c>
      <c r="C13" s="366" t="str">
        <f>[3]Brewhouse!$A243</f>
        <v>ST189</v>
      </c>
      <c r="D13" s="279">
        <f>[3]Brewhouse!$AB243</f>
        <v>53.1</v>
      </c>
      <c r="E13" s="279">
        <f>[3]Brewhouse!$AG243</f>
        <v>59</v>
      </c>
      <c r="F13" s="278">
        <f>[3]Brewhouse!$V243</f>
        <v>58</v>
      </c>
      <c r="G13" s="279">
        <f>[3]Brewhouse!$AE243</f>
        <v>11.9</v>
      </c>
      <c r="H13" s="396"/>
      <c r="I13" s="368">
        <f>[3]Brewhouse!$AS243</f>
        <v>118.09495707218163</v>
      </c>
      <c r="J13" s="368">
        <f>[3]Brewhouse!$AT243</f>
        <v>119.66103744742927</v>
      </c>
      <c r="K13" s="281">
        <f>[3]Brewhouse!$Q243</f>
        <v>10.310734463276837</v>
      </c>
      <c r="L13" s="276">
        <f>[3]Brewhouse!$P243</f>
        <v>61</v>
      </c>
      <c r="M13" s="374">
        <f>[3]Brewhouse!$U243-[3]Brewhouse!$T243</f>
        <v>0.13958333333333317</v>
      </c>
      <c r="N13" s="370">
        <f>[3]Brewhouse!$AW243</f>
        <v>0.29513888888888884</v>
      </c>
      <c r="O13" s="371" t="str">
        <f>[3]Brewhouse!$AV243</f>
        <v>R.Sookram</v>
      </c>
      <c r="P13" s="418" t="s">
        <v>209</v>
      </c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>
      <c r="B15" s="29" t="s">
        <v>6</v>
      </c>
      <c r="C15" s="366" t="str">
        <f>[4]Brewhouse!$A420</f>
        <v>CA375</v>
      </c>
      <c r="D15" s="279">
        <f>[4]Brewhouse!$AF420</f>
        <v>49.5</v>
      </c>
      <c r="E15" s="367"/>
      <c r="F15" s="278">
        <f>[4]Brewhouse!$V420</f>
        <v>55</v>
      </c>
      <c r="G15" s="279">
        <f>[4]Brewhouse!AG420</f>
        <v>12</v>
      </c>
      <c r="H15" s="396"/>
      <c r="I15" s="496"/>
      <c r="J15" s="496"/>
      <c r="K15" s="281">
        <f>[4]Brewhouse!$Q420</f>
        <v>13.345656192236596</v>
      </c>
      <c r="L15" s="276">
        <f>[4]Brewhouse!$P420</f>
        <v>60</v>
      </c>
      <c r="M15" s="397">
        <f>[4]Brewhouse!$U420-[4]Brewhouse!$T420</f>
        <v>0.13611111111111107</v>
      </c>
      <c r="N15" s="370">
        <f>[4]Brewhouse!$Z420</f>
        <v>0.29166666666666674</v>
      </c>
      <c r="O15" s="420" t="str">
        <f>[4]Brewhouse!$AX420</f>
        <v>R. Sookram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[4]Brewhouse!$A421</f>
        <v>CA376</v>
      </c>
      <c r="D16" s="279">
        <f>[4]Brewhouse!$AF421</f>
        <v>49.9</v>
      </c>
      <c r="E16" s="279">
        <f>[4]Brewhouse!$AI421</f>
        <v>49.3</v>
      </c>
      <c r="F16" s="278">
        <f>[4]Brewhouse!$V421</f>
        <v>57</v>
      </c>
      <c r="G16" s="279">
        <f>[4]Brewhouse!AG421</f>
        <v>12.1</v>
      </c>
      <c r="H16" s="396"/>
      <c r="I16" s="368">
        <f>[4]Brewhouse!$AU421</f>
        <v>98.716771578243012</v>
      </c>
      <c r="J16" s="368">
        <f>[4]Brewhouse!$AV421</f>
        <v>100.28939198461705</v>
      </c>
      <c r="K16" s="281">
        <f>[4]Brewhouse!$Q421</f>
        <v>9.0942698706099847</v>
      </c>
      <c r="L16" s="276">
        <f>[4]Brewhouse!$P421</f>
        <v>60</v>
      </c>
      <c r="M16" s="397">
        <f>[4]Brewhouse!$U421-[4]Brewhouse!$T421</f>
        <v>0.11319444444444449</v>
      </c>
      <c r="N16" s="370">
        <f>[4]Brewhouse!$Z421</f>
        <v>0.27708333333333335</v>
      </c>
      <c r="O16" s="420" t="str">
        <f>[4]Brewhouse!$AX421</f>
        <v>R. Sookram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29" t="s">
        <v>6</v>
      </c>
      <c r="C17" s="366" t="str">
        <f>[4]Brewhouse!$A422</f>
        <v>CA377</v>
      </c>
      <c r="D17" s="279">
        <f>[4]Brewhouse!$AF422</f>
        <v>49.9</v>
      </c>
      <c r="E17" s="279">
        <f>[4]Brewhouse!$AI422</f>
        <v>49.2</v>
      </c>
      <c r="F17" s="278">
        <f>[4]Brewhouse!$V422</f>
        <v>57</v>
      </c>
      <c r="G17" s="279">
        <f>[4]Brewhouse!AG422</f>
        <v>12</v>
      </c>
      <c r="H17" s="396"/>
      <c r="I17" s="368">
        <f>[4]Brewhouse!$AU422</f>
        <v>97.782996764277044</v>
      </c>
      <c r="J17" s="368">
        <f>[4]Brewhouse!$AV422</f>
        <v>99.34063815312733</v>
      </c>
      <c r="K17" s="281">
        <f>[4]Brewhouse!$Q422</f>
        <v>10.407407407407403</v>
      </c>
      <c r="L17" s="276">
        <f>[4]Brewhouse!$P422</f>
        <v>61</v>
      </c>
      <c r="M17" s="397">
        <f>[4]Brewhouse!$U422-[4]Brewhouse!$T422</f>
        <v>0.12291666666666673</v>
      </c>
      <c r="N17" s="370">
        <f>[4]Brewhouse!$Z422</f>
        <v>0.25625000000000003</v>
      </c>
      <c r="O17" s="420" t="str">
        <f>[4]Brewhouse!$AX422</f>
        <v>R. Sookram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>
      <c r="B18" s="29" t="s">
        <v>6</v>
      </c>
      <c r="C18" s="366" t="str">
        <f>[4]Brewhouse!$A423</f>
        <v>CA378</v>
      </c>
      <c r="D18" s="279">
        <f>[4]Brewhouse!$AF423</f>
        <v>49.9</v>
      </c>
      <c r="E18" s="279">
        <f>[4]Brewhouse!$AI423</f>
        <v>49.3</v>
      </c>
      <c r="F18" s="278">
        <f>[4]Brewhouse!$V423</f>
        <v>57</v>
      </c>
      <c r="G18" s="279">
        <f>[4]Brewhouse!AG423</f>
        <v>11.8</v>
      </c>
      <c r="H18" s="396"/>
      <c r="I18" s="368">
        <f>[4]Brewhouse!$AU423</f>
        <v>95.550640529582381</v>
      </c>
      <c r="J18" s="368">
        <f>[4]Brewhouse!$AV423</f>
        <v>97.073323901718723</v>
      </c>
      <c r="K18" s="281">
        <f>[4]Brewhouse!$Q423</f>
        <v>8.9259259259259256</v>
      </c>
      <c r="L18" s="276">
        <f>[4]Brewhouse!$P423</f>
        <v>60</v>
      </c>
      <c r="M18" s="397">
        <f>[4]Brewhouse!$U423-[4]Brewhouse!$T423</f>
        <v>0.11458333333333337</v>
      </c>
      <c r="N18" s="370">
        <f>[4]Brewhouse!$Z423</f>
        <v>0.25694444444444448</v>
      </c>
      <c r="O18" s="420" t="str">
        <f>[4]Brewhouse!$AX423</f>
        <v>K. Benjamin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8" customHeight="1">
      <c r="B21" s="29"/>
      <c r="C21" s="366"/>
      <c r="D21" s="279"/>
      <c r="E21" s="279"/>
      <c r="F21" s="278"/>
      <c r="G21" s="279"/>
      <c r="H21" s="482"/>
      <c r="I21" s="368"/>
      <c r="J21" s="368"/>
      <c r="K21" s="281"/>
      <c r="L21" s="276"/>
      <c r="M21" s="374"/>
      <c r="N21" s="370"/>
      <c r="O21" s="371"/>
      <c r="P21" s="418"/>
      <c r="R21" s="277">
        <f t="shared" ref="R21:R36" si="9">B21</f>
        <v>0</v>
      </c>
      <c r="S21" s="472" t="e">
        <f t="shared" ref="S21:S36" si="10">VLOOKUP($B21,$R$3:$X$9,2,FALSE)</f>
        <v>#N/A</v>
      </c>
      <c r="T21" s="472" t="e">
        <f t="shared" ref="T21:T36" si="11">VLOOKUP($B21,$R$3:$X$9,3,FALSE)</f>
        <v>#N/A</v>
      </c>
      <c r="U21" s="297" t="e">
        <f t="shared" ref="U21:U36" si="12">VLOOKUP($B21,$R$3:$X$9,4,FALSE)</f>
        <v>#N/A</v>
      </c>
      <c r="V21" s="297" t="e">
        <f t="shared" ref="V21:V36" si="13">VLOOKUP($B21,$R$3:$X$9,5,FALSE)</f>
        <v>#N/A</v>
      </c>
      <c r="W21" s="297" t="e">
        <f t="shared" ref="W21:W36" si="14">VLOOKUP($B21,$R$3:$X$9,6,FALSE)</f>
        <v>#N/A</v>
      </c>
      <c r="X21" s="297" t="e">
        <f t="shared" ref="X21:X36" si="15">VLOOKUP($B21,$R$3:$X$9,7,FALSE)</f>
        <v>#N/A</v>
      </c>
      <c r="Y21" s="297" t="e">
        <f t="shared" ref="Y21:Y36" si="16">VLOOKUP($B21,$R$3:$Z$9,8,FALSE)</f>
        <v>#N/A</v>
      </c>
      <c r="Z21" s="472" t="e">
        <f t="shared" ref="Z21:Z36" si="17">VLOOKUP($B21,$R$3:$Z$9,9,FALSE)</f>
        <v>#N/A</v>
      </c>
    </row>
    <row r="22" spans="1:26" ht="16.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5.75" customHeight="1" thickBot="1">
      <c r="B23" s="358"/>
      <c r="C23" s="358"/>
      <c r="D23" s="358"/>
      <c r="E23" s="358"/>
      <c r="F23" s="294"/>
      <c r="G23" s="294"/>
      <c r="H23" s="348"/>
      <c r="I23" s="525"/>
      <c r="J23" s="525"/>
      <c r="K23" s="525"/>
      <c r="L23" s="525"/>
      <c r="M23" s="525"/>
      <c r="N23" s="525"/>
      <c r="O23" s="1"/>
      <c r="P23" s="12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5.75" customHeight="1" thickBot="1">
      <c r="B24" s="388" t="s">
        <v>162</v>
      </c>
      <c r="C24" s="388"/>
      <c r="D24" s="526" t="s">
        <v>35</v>
      </c>
      <c r="E24" s="52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5" customHeight="1">
      <c r="A25" s="28"/>
      <c r="B25" s="528"/>
      <c r="C25" s="362"/>
      <c r="D25" s="531"/>
      <c r="E25" s="532"/>
      <c r="F25" s="294"/>
      <c r="G25" s="294"/>
      <c r="H25" s="348"/>
      <c r="I25" s="29" t="s">
        <v>6</v>
      </c>
      <c r="J25" s="323">
        <f>AVERAGE(I15:I18)</f>
        <v>97.350136290700803</v>
      </c>
      <c r="K25" s="284">
        <f>COUNTA([4]Brewhouse!$A$372:$A$423)</f>
        <v>52</v>
      </c>
      <c r="L25" s="305">
        <f>AVERAGE([4]Brewhouse!$AU$372:$AU$423)</f>
        <v>97.521121923961417</v>
      </c>
      <c r="M25" s="305">
        <f>AVERAGE([4]Brewhouse!$AU$42:$AU$123,[4]Brewhouse!$AU$125:$AU$188,[4]Brewhouse!$AU$198:$AU$290,[4]Brewhouse!$AU$292:$AU$370,[4]Brewhouse!$AU$372:$AU$423)</f>
        <v>97.936511135018691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5" customHeight="1">
      <c r="A26" s="28"/>
      <c r="B26" s="529"/>
      <c r="C26" s="362"/>
      <c r="D26" s="533"/>
      <c r="E26" s="534"/>
      <c r="F26" s="294"/>
      <c r="G26" s="294"/>
      <c r="H26" s="348"/>
      <c r="I26" s="33" t="s">
        <v>9</v>
      </c>
      <c r="J26" s="323">
        <f>AVERAGE(I10:I13)</f>
        <v>104.3707177564785</v>
      </c>
      <c r="K26" s="284">
        <f>COUNTA([3]Brewhouse!$A$214:$A$243)</f>
        <v>30</v>
      </c>
      <c r="L26" s="302">
        <f>AVERAGE([3]Brewhouse!$AS$214:$AS$243)</f>
        <v>98.298698327856556</v>
      </c>
      <c r="M26" s="302">
        <f>AVERAGE([3]Brewhouse!$AS$52:$AS$81,[3]Brewhouse!$AS$83:$AS$124,[3]Brewhouse!$AS$134:$AS$177,[3]Brewhouse!$AS$22:$AS$179,[3]Brewhouse!$AS$214:$AS$243)</f>
        <v>97.981488723413932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4.65" customHeight="1">
      <c r="A27" s="28"/>
      <c r="B27" s="529"/>
      <c r="C27" s="362"/>
      <c r="D27" s="535"/>
      <c r="E27" s="536"/>
      <c r="F27" s="294"/>
      <c r="G27" s="294"/>
      <c r="H27" s="348"/>
      <c r="I27" s="34" t="s">
        <v>12</v>
      </c>
      <c r="J27" s="280"/>
      <c r="K27" s="284"/>
      <c r="L27" s="302"/>
      <c r="M27" s="302">
        <f>AVERAGE([5]Brewhouse!$AU$16:$AU$23,[5]Brewhouse!$AU$25:$AU$32,[5]Brewhouse!$AU$34:$AU$41,[5]Brewhouse!$AU$43:$AU$55)</f>
        <v>96.793456653928644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4.65" customHeight="1">
      <c r="A28" s="28"/>
      <c r="B28" s="529"/>
      <c r="C28" s="362"/>
      <c r="D28" s="537"/>
      <c r="E28" s="534"/>
      <c r="F28" s="294"/>
      <c r="G28" s="294"/>
      <c r="H28" s="348"/>
      <c r="I28" s="22" t="s">
        <v>33</v>
      </c>
      <c r="J28" s="280"/>
      <c r="K28" s="284">
        <f>COUNTA([6]Brewhouse!$A$62:$A$68)</f>
        <v>7</v>
      </c>
      <c r="L28" s="302">
        <f>AVERAGE([6]Brewhouse!$AV$62:$AV$68)</f>
        <v>98.287606329362575</v>
      </c>
      <c r="M28" s="302">
        <f>AVERAGE([6]Brewhouse!$AV$23:$AV$34,[6]Brewhouse!$AV$36,[6]Brewhouse!$AV$38:$AV$52,[6]Brewhouse!$AV$54:$AV$60,[6]Brewhouse!$AV$62:$AV$68)</f>
        <v>97.579195177204838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65" customHeight="1">
      <c r="A29" s="28"/>
      <c r="B29" s="529"/>
      <c r="C29" s="362"/>
      <c r="D29" s="535"/>
      <c r="E29" s="536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29"/>
      <c r="C30" s="362"/>
      <c r="D30" s="537"/>
      <c r="E30" s="534"/>
      <c r="F30" s="417"/>
      <c r="G30" s="294"/>
      <c r="H30" s="348"/>
      <c r="I30" s="36" t="s">
        <v>15</v>
      </c>
      <c r="J30" s="323"/>
      <c r="K30" s="284">
        <f>COUNTA([7]Brewhouse!$A$13:$A$16)</f>
        <v>4</v>
      </c>
      <c r="L30" s="302">
        <f>AVERAGE([7]Brewhouse!$AT$13:$AT$16)</f>
        <v>88.962677106311475</v>
      </c>
      <c r="M30" s="302">
        <f>AVERAGE([7]Brewhouse!$AT$4:$AT$11,[7]Brewhouse!$AT$13:$AT$16)</f>
        <v>91.538375374138752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29"/>
      <c r="C31" s="362"/>
      <c r="D31" s="535"/>
      <c r="E31" s="536"/>
      <c r="F31" s="417"/>
      <c r="G31" s="294"/>
      <c r="H31" s="348"/>
      <c r="I31" s="37" t="s">
        <v>16</v>
      </c>
      <c r="J31" s="323"/>
      <c r="K31" s="284">
        <f>COUNTA([8]Brewhouse!$A$53:$A$60)</f>
        <v>8</v>
      </c>
      <c r="L31" s="302">
        <f>AVERAGE([8]Brewhouse!$AY$53:$AY$60)</f>
        <v>97.024473838692316</v>
      </c>
      <c r="M31" s="302">
        <f>AVERAGE([8]Brewhouse!$AY$5:$AY$14,[8]Brewhouse!$AY$16:$AY$23,[8]Brewhouse!$AY$42,[8]Brewhouse!$AY$44:$AY$51,[8]Brewhouse!$AY$53:$AY$60)</f>
        <v>97.474953130157175</v>
      </c>
      <c r="N31" s="30">
        <v>98</v>
      </c>
      <c r="O31" s="11"/>
      <c r="P31" s="31" t="s">
        <v>41</v>
      </c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29"/>
      <c r="C32" s="362"/>
      <c r="D32" s="537"/>
      <c r="E32" s="534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29"/>
      <c r="C33" s="349"/>
      <c r="D33" s="535"/>
      <c r="E33" s="536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29"/>
      <c r="C34" s="349"/>
      <c r="D34" s="537"/>
      <c r="E34" s="534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" customHeight="1" thickBot="1">
      <c r="A35" s="28"/>
      <c r="B35" s="529"/>
      <c r="C35" s="349"/>
      <c r="D35" s="531"/>
      <c r="E35" s="532"/>
      <c r="F35" s="294"/>
      <c r="G35" s="294"/>
      <c r="H35" s="348"/>
      <c r="I35" s="1"/>
      <c r="J35" s="39"/>
      <c r="K35" s="404">
        <f>SUM(K25:K34)</f>
        <v>101</v>
      </c>
      <c r="L35" s="405">
        <f>((L25*K25)+(L26*K26)+(L27*K27)+(L28*K28)+(L29*K29)+(K32*L32)+(L30*K30)+(L31*K31)+(L34*K34))/(K35)</f>
        <v>97.42692112200011</v>
      </c>
      <c r="M35" s="405">
        <f>AVERAGE('[9]Jan30th-31st'!$L$42,L35)</f>
        <v>97.627481428920788</v>
      </c>
      <c r="N35" s="4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30"/>
      <c r="C36" s="350"/>
      <c r="D36" s="533"/>
      <c r="E36" s="534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.75" thickBot="1">
      <c r="B37" s="528"/>
      <c r="C37" s="362"/>
      <c r="D37" s="539"/>
      <c r="E37" s="540"/>
      <c r="F37" s="294"/>
      <c r="G37" s="42"/>
      <c r="H37" s="41"/>
      <c r="I37" s="42"/>
      <c r="J37" s="541" t="s">
        <v>129</v>
      </c>
      <c r="K37" s="541"/>
      <c r="L37" s="294"/>
      <c r="M37" s="294"/>
      <c r="N37" s="294"/>
      <c r="O37" s="294"/>
      <c r="P37" s="12"/>
    </row>
    <row r="38" spans="1:56" ht="15.75" thickBot="1">
      <c r="B38" s="529"/>
      <c r="C38" s="362"/>
      <c r="D38" s="537"/>
      <c r="E38" s="534"/>
      <c r="F38" s="294"/>
      <c r="G38" s="42"/>
      <c r="H38" s="42"/>
      <c r="I38" s="42"/>
      <c r="J38" s="292" t="s">
        <v>17</v>
      </c>
      <c r="K38" s="293" t="s">
        <v>172</v>
      </c>
      <c r="L38" s="542" t="s">
        <v>136</v>
      </c>
      <c r="M38" s="542"/>
      <c r="N38" s="543"/>
      <c r="O38" s="294"/>
      <c r="P38" s="12"/>
    </row>
    <row r="39" spans="1:56" ht="15" customHeight="1" thickBot="1">
      <c r="B39" s="529"/>
      <c r="C39" s="349"/>
      <c r="D39" s="535"/>
      <c r="E39" s="536"/>
      <c r="F39" s="294"/>
      <c r="G39" s="42"/>
      <c r="H39" s="42"/>
      <c r="I39" s="42"/>
      <c r="J39" s="287" t="s">
        <v>6</v>
      </c>
      <c r="K39" s="324">
        <v>4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9"/>
      <c r="C40" s="349"/>
      <c r="D40" s="537"/>
      <c r="E40" s="534"/>
      <c r="F40" s="294"/>
      <c r="G40" s="42"/>
      <c r="H40" s="42"/>
      <c r="I40" s="42"/>
      <c r="J40" s="345" t="s">
        <v>9</v>
      </c>
      <c r="K40" s="324">
        <v>4</v>
      </c>
      <c r="L40" s="344">
        <f>AVERAGE('May 2nd-23rd'!J53,'May 2nd-23rd'!K53,'May 4th'!K51,'May 5th'!K47,'May 6th'!K54,'May 7th'!K48,'May 21st'!K49,'May 8th -9th'!K55,'May 8th -9th'!J55,'May 11th'!K51,'May 12th '!K46,'May 12th '!K46,'May 13th'!K45,'May 14th'!K42,'May 15th-16th'!K44,'May 19th '!K47,'May 20th'!K48)</f>
        <v>5.7058823529411766</v>
      </c>
      <c r="M40" s="325">
        <f>AVERAGE('[9]Jan30th-31st'!$L$47,L40,'[10]Feb 26th '!$L$39,'[11]Mar 31st'!$L$47,'[12]Apr 30th'!$L$46)</f>
        <v>6.3485677749360621</v>
      </c>
      <c r="N40" s="416">
        <v>9.1999999999999993</v>
      </c>
      <c r="O40" s="294"/>
      <c r="P40" s="12"/>
    </row>
    <row r="41" spans="1:56" ht="15" customHeight="1">
      <c r="B41" s="529"/>
      <c r="C41" s="349"/>
      <c r="D41" s="535"/>
      <c r="E41" s="536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9"/>
      <c r="C42" s="349"/>
      <c r="D42" s="537"/>
      <c r="E42" s="534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9"/>
      <c r="C43" s="349"/>
      <c r="D43" s="535"/>
      <c r="E43" s="536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37"/>
      <c r="E44" s="534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9"/>
      <c r="C45" s="349"/>
      <c r="D45" s="535"/>
      <c r="E45" s="536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38"/>
      <c r="C46" s="350"/>
      <c r="D46" s="544"/>
      <c r="E46" s="545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46"/>
      <c r="E47" s="547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48" t="s">
        <v>17</v>
      </c>
      <c r="C52" s="548" t="s">
        <v>44</v>
      </c>
      <c r="D52" s="551" t="s">
        <v>45</v>
      </c>
      <c r="E52" s="516" t="s">
        <v>46</v>
      </c>
      <c r="F52" s="565" t="s">
        <v>47</v>
      </c>
      <c r="G52" s="560" t="s">
        <v>48</v>
      </c>
      <c r="H52" s="548" t="s">
        <v>49</v>
      </c>
      <c r="I52" s="548" t="s">
        <v>50</v>
      </c>
      <c r="J52" s="554" t="s">
        <v>28</v>
      </c>
      <c r="K52" s="514" t="s">
        <v>51</v>
      </c>
      <c r="L52" s="563" t="s">
        <v>52</v>
      </c>
      <c r="M52" s="554" t="s">
        <v>53</v>
      </c>
      <c r="N52" s="13"/>
      <c r="O52" s="13"/>
      <c r="P52" s="50"/>
    </row>
    <row r="53" spans="2:57" ht="28.5" customHeight="1" thickTop="1" thickBot="1">
      <c r="B53" s="549"/>
      <c r="C53" s="550"/>
      <c r="D53" s="552"/>
      <c r="E53" s="553"/>
      <c r="F53" s="566"/>
      <c r="G53" s="561"/>
      <c r="H53" s="549"/>
      <c r="I53" s="549"/>
      <c r="J53" s="555"/>
      <c r="K53" s="562"/>
      <c r="L53" s="564"/>
      <c r="M53" s="555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customHeight="1" thickBot="1">
      <c r="B54" s="486" t="str">
        <f>J40</f>
        <v>STAG</v>
      </c>
      <c r="C54" s="479">
        <v>46163</v>
      </c>
      <c r="D54" s="445">
        <f>[32]May_2026!$X$13</f>
        <v>391.44</v>
      </c>
      <c r="E54" s="443"/>
      <c r="F54" s="444">
        <f>SUM([33]STAG!$L$50:$L$57)</f>
        <v>386</v>
      </c>
      <c r="G54" s="445">
        <f>[32]May_2026!$X$17</f>
        <v>376.90000000000003</v>
      </c>
      <c r="H54" s="458">
        <f>(D54-F54)/D54*100</f>
        <v>1.3897404455344364</v>
      </c>
      <c r="I54" s="458">
        <f>((F54+E54)-G54)/(F54+E54)*100</f>
        <v>2.3575129533678667</v>
      </c>
      <c r="J54" s="448" t="s">
        <v>205</v>
      </c>
      <c r="K54" s="449">
        <f>[34]May_2026!$X$25</f>
        <v>0.66122807017543861</v>
      </c>
      <c r="L54" s="476">
        <f>(((D54+E54)-G54)/(D54+E54))*100</f>
        <v>3.7144900878806362</v>
      </c>
      <c r="M54" s="455" t="s">
        <v>210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[13]January_2019!L5</f>
        <v>0</v>
      </c>
      <c r="AC54" s="57">
        <f>[13]January_2019!M5</f>
        <v>0</v>
      </c>
      <c r="AD54" s="57">
        <f>[13]January_2019!N5</f>
        <v>0</v>
      </c>
      <c r="AE54" s="57">
        <f>[13]January_2019!O5</f>
        <v>0</v>
      </c>
      <c r="AF54" s="57">
        <f>[13]January_2019!P5</f>
        <v>0</v>
      </c>
      <c r="AG54" s="57">
        <f>[13]January_2019!Q5</f>
        <v>0</v>
      </c>
      <c r="AH54" s="57">
        <f>[13]January_2019!R5</f>
        <v>0</v>
      </c>
      <c r="AI54" s="57">
        <f>[13]January_2019!S5</f>
        <v>0</v>
      </c>
      <c r="AJ54" s="57">
        <f>[13]January_2019!T5</f>
        <v>0</v>
      </c>
      <c r="AK54" s="57">
        <f>[13]January_2019!U5</f>
        <v>0</v>
      </c>
      <c r="AL54" s="57">
        <f>[13]January_2019!V5</f>
        <v>0</v>
      </c>
      <c r="AM54" s="57">
        <f>[13]January_2019!W5</f>
        <v>0</v>
      </c>
      <c r="AN54" s="57">
        <f>[13]January_2019!X5</f>
        <v>0</v>
      </c>
      <c r="AO54" s="57">
        <f>[13]January_2019!Y5</f>
        <v>0</v>
      </c>
      <c r="AP54" s="57">
        <f>[13]January_2019!Z5</f>
        <v>0</v>
      </c>
      <c r="AQ54" s="57">
        <f>[13]January_2019!AA5</f>
        <v>0</v>
      </c>
      <c r="AR54" s="57">
        <f>[13]January_2019!AB5</f>
        <v>0</v>
      </c>
      <c r="AS54" s="57">
        <f>[13]January_2019!AC5</f>
        <v>0</v>
      </c>
      <c r="AT54" s="57">
        <f>[13]January_2019!AD5</f>
        <v>0</v>
      </c>
      <c r="AU54" s="57">
        <f>[13]January_2019!AE5</f>
        <v>0</v>
      </c>
      <c r="AV54" s="57">
        <f>[13]January_2019!AF5</f>
        <v>0</v>
      </c>
      <c r="AW54" s="57">
        <f>[13]January_2019!AG5</f>
        <v>0</v>
      </c>
      <c r="AX54" s="277">
        <f>[13]January_2019!AH5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[13]January_2019!L6</f>
        <v>0</v>
      </c>
      <c r="AC55" s="57">
        <f>[13]January_2019!M6</f>
        <v>0</v>
      </c>
      <c r="AD55" s="57">
        <f>[13]January_2019!N6</f>
        <v>0</v>
      </c>
      <c r="AE55" s="57">
        <f>[13]January_2019!O6</f>
        <v>0</v>
      </c>
      <c r="AF55" s="57">
        <f>[13]January_2019!P6</f>
        <v>0</v>
      </c>
      <c r="AG55" s="57">
        <f>[13]January_2019!Q6</f>
        <v>0</v>
      </c>
      <c r="AH55" s="57">
        <f>[13]January_2019!R6</f>
        <v>0</v>
      </c>
      <c r="AI55" s="57">
        <f>[13]January_2019!S6</f>
        <v>0</v>
      </c>
      <c r="AJ55" s="57">
        <f>[13]January_2019!T6</f>
        <v>0</v>
      </c>
      <c r="AK55" s="57">
        <f>[13]January_2019!U6</f>
        <v>0</v>
      </c>
      <c r="AL55" s="57">
        <f>[13]January_2019!V6</f>
        <v>0</v>
      </c>
      <c r="AM55" s="57">
        <f>[13]January_2019!W6</f>
        <v>0</v>
      </c>
      <c r="AN55" s="57">
        <f>[13]January_2019!X6</f>
        <v>0</v>
      </c>
      <c r="AO55" s="57">
        <f>[13]January_2019!Y6</f>
        <v>0</v>
      </c>
      <c r="AP55" s="57">
        <f>[13]January_2019!Z6</f>
        <v>0</v>
      </c>
      <c r="AQ55" s="57">
        <f>[13]January_2019!AA6</f>
        <v>0</v>
      </c>
      <c r="AR55" s="57">
        <f>[13]January_2019!AB6</f>
        <v>0</v>
      </c>
      <c r="AS55" s="57">
        <f>[13]January_2019!AC6</f>
        <v>0</v>
      </c>
      <c r="AT55" s="57">
        <f>[13]January_2019!AD6</f>
        <v>0</v>
      </c>
      <c r="AU55" s="57">
        <f>[13]January_2019!AE6</f>
        <v>0</v>
      </c>
      <c r="AV55" s="57">
        <f>[13]January_2019!AF6</f>
        <v>0</v>
      </c>
      <c r="AW55" s="57">
        <f>[13]January_2019!AG6</f>
        <v>0</v>
      </c>
      <c r="AX55" s="277">
        <f>[13]January_2019!AH6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[13]January_2019!L7</f>
        <v>285.8</v>
      </c>
      <c r="AC56" s="57">
        <f>[13]January_2019!M7</f>
        <v>508.1</v>
      </c>
      <c r="AD56" s="57">
        <f>[13]January_2019!N7</f>
        <v>0</v>
      </c>
      <c r="AE56" s="57">
        <f>[13]January_2019!O7</f>
        <v>0</v>
      </c>
      <c r="AF56" s="57">
        <f>[13]January_2019!P7</f>
        <v>109.56666666666666</v>
      </c>
      <c r="AG56" s="57">
        <f>[13]January_2019!Q7</f>
        <v>297.64999999999998</v>
      </c>
      <c r="AH56" s="57">
        <f>[13]January_2019!R7</f>
        <v>122.3</v>
      </c>
      <c r="AI56" s="57">
        <f>[13]January_2019!S7</f>
        <v>0</v>
      </c>
      <c r="AJ56" s="57">
        <f>[13]January_2019!T7</f>
        <v>294.7</v>
      </c>
      <c r="AK56" s="57">
        <f>[13]January_2019!U7</f>
        <v>280.5</v>
      </c>
      <c r="AL56" s="57">
        <f>[13]January_2019!V7</f>
        <v>0</v>
      </c>
      <c r="AM56" s="57">
        <f>[13]January_2019!W7</f>
        <v>0</v>
      </c>
      <c r="AN56" s="57">
        <f>[13]January_2019!X7</f>
        <v>188.25</v>
      </c>
      <c r="AO56" s="57">
        <f>[13]January_2019!Y7</f>
        <v>295.7</v>
      </c>
      <c r="AP56" s="57">
        <f>[13]January_2019!Z7</f>
        <v>257.8</v>
      </c>
      <c r="AQ56" s="57">
        <f>[13]January_2019!AA7</f>
        <v>291.2</v>
      </c>
      <c r="AR56" s="57">
        <f>[13]January_2019!AB7</f>
        <v>187</v>
      </c>
      <c r="AS56" s="57">
        <f>[13]January_2019!AC7</f>
        <v>0</v>
      </c>
      <c r="AT56" s="57">
        <f>[13]January_2019!AD7</f>
        <v>0</v>
      </c>
      <c r="AU56" s="57">
        <f>[13]January_2019!AE7</f>
        <v>485.1</v>
      </c>
      <c r="AV56" s="57">
        <f>[13]January_2019!AF7</f>
        <v>171.55</v>
      </c>
      <c r="AW56" s="57">
        <f>[13]January_2019!AG7</f>
        <v>423.8</v>
      </c>
      <c r="AX56" s="277">
        <f>[13]January_2019!AH7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9.5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hidden="1" customHeight="1" thickBot="1">
      <c r="B58" s="480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89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56" t="s">
        <v>55</v>
      </c>
      <c r="C65" s="557"/>
      <c r="D65" s="557"/>
      <c r="E65" s="557"/>
      <c r="F65" s="558"/>
      <c r="G65" s="556" t="s">
        <v>56</v>
      </c>
      <c r="H65" s="557"/>
      <c r="I65" s="557"/>
      <c r="J65" s="558"/>
      <c r="K65" s="556" t="s">
        <v>51</v>
      </c>
      <c r="L65" s="557"/>
      <c r="M65" s="557"/>
      <c r="N65" s="559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/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/>
      <c r="D67" s="76">
        <v>6.0202991452991359</v>
      </c>
      <c r="E67" s="76">
        <v>6.6378472720784218</v>
      </c>
      <c r="F67" s="66">
        <v>4.8</v>
      </c>
      <c r="G67" s="65"/>
      <c r="H67" s="477">
        <v>6.0884347682859543</v>
      </c>
      <c r="I67" s="477">
        <v>6.3748727706600326</v>
      </c>
      <c r="J67" s="66">
        <v>4.8</v>
      </c>
      <c r="K67" s="67"/>
      <c r="L67" s="194">
        <v>0.57496544391281235</v>
      </c>
      <c r="M67" s="194">
        <v>0.49518274936143891</v>
      </c>
      <c r="N67" s="68">
        <v>1</v>
      </c>
      <c r="O67" s="56"/>
      <c r="P67" s="69"/>
    </row>
    <row r="68" spans="2:16" ht="15">
      <c r="B68" s="33" t="s">
        <v>9</v>
      </c>
      <c r="C68" s="65">
        <f>L54</f>
        <v>3.7144900878806362</v>
      </c>
      <c r="D68" s="76">
        <v>5.1176890156918384</v>
      </c>
      <c r="E68" s="76">
        <v>6.0568688569191238</v>
      </c>
      <c r="F68" s="66">
        <v>4.8</v>
      </c>
      <c r="G68" s="65">
        <f>[32]May_2026!$X$21</f>
        <v>4.2589154266405966</v>
      </c>
      <c r="H68" s="76">
        <v>4.9494635940844729</v>
      </c>
      <c r="I68" s="76">
        <v>5.4655642193228315</v>
      </c>
      <c r="J68" s="66">
        <v>4.8</v>
      </c>
      <c r="K68" s="67">
        <f>K54</f>
        <v>0.66122807017543861</v>
      </c>
      <c r="L68" s="194">
        <v>0.59716791979949879</v>
      </c>
      <c r="M68" s="194">
        <v>0.68713504693777017</v>
      </c>
      <c r="N68" s="68">
        <v>1</v>
      </c>
      <c r="P68" s="69"/>
    </row>
    <row r="69" spans="2:16" ht="15">
      <c r="B69" s="34" t="s">
        <v>40</v>
      </c>
      <c r="C69" s="65"/>
      <c r="D69" s="76">
        <v>10.182228066879567</v>
      </c>
      <c r="E69" s="76">
        <v>11.735537190082644</v>
      </c>
      <c r="F69" s="66">
        <v>5.5</v>
      </c>
      <c r="G69" s="65"/>
      <c r="H69" s="76">
        <v>11.362028737847183</v>
      </c>
      <c r="I69" s="76">
        <v>12.769538510720032</v>
      </c>
      <c r="J69" s="66">
        <v>5.5</v>
      </c>
      <c r="K69" s="67"/>
      <c r="L69" s="194">
        <v>0.23824561403508773</v>
      </c>
      <c r="M69" s="194">
        <v>0.26411513157894739</v>
      </c>
      <c r="N69" s="68">
        <v>1</v>
      </c>
      <c r="P69" s="69"/>
    </row>
    <row r="70" spans="2:16" ht="15">
      <c r="B70" s="22" t="s">
        <v>33</v>
      </c>
      <c r="C70" s="65"/>
      <c r="D70" s="76">
        <v>4.9306092006073188</v>
      </c>
      <c r="E70" s="76">
        <v>4.7166249493099075</v>
      </c>
      <c r="F70" s="66">
        <v>3.3</v>
      </c>
      <c r="G70" s="65"/>
      <c r="H70" s="76">
        <v>5.5037640962151348</v>
      </c>
      <c r="I70" s="76">
        <v>4.7393662692065543</v>
      </c>
      <c r="J70" s="66">
        <v>3.3</v>
      </c>
      <c r="K70" s="67"/>
      <c r="L70" s="194">
        <v>0.61175438596491227</v>
      </c>
      <c r="M70" s="194">
        <v>0.73604010025062649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76"/>
      <c r="D72" s="76">
        <v>5.2401746724890881</v>
      </c>
      <c r="E72" s="76">
        <v>5.1541347251672045</v>
      </c>
      <c r="F72" s="487">
        <v>5.5</v>
      </c>
      <c r="G72" s="282"/>
      <c r="H72" s="76">
        <v>6.6922456038466889</v>
      </c>
      <c r="I72" s="76">
        <v>7.4989046872874194</v>
      </c>
      <c r="J72" s="66">
        <v>5.5</v>
      </c>
      <c r="K72" s="67"/>
      <c r="L72" s="194">
        <v>0.68526315789473691</v>
      </c>
      <c r="M72" s="194">
        <v>1.0201754385964912</v>
      </c>
      <c r="N72" s="68">
        <v>1</v>
      </c>
      <c r="P72" s="69"/>
    </row>
    <row r="73" spans="2:16" ht="15">
      <c r="B73" s="37" t="s">
        <v>16</v>
      </c>
      <c r="C73" s="65"/>
      <c r="D73" s="76">
        <v>3.4477692345364712</v>
      </c>
      <c r="E73" s="76">
        <v>3.8718586514884619</v>
      </c>
      <c r="F73" s="66">
        <v>3.3</v>
      </c>
      <c r="G73" s="282"/>
      <c r="H73" s="76">
        <v>4.2666251196365179</v>
      </c>
      <c r="I73" s="76">
        <v>4.7387128519495914</v>
      </c>
      <c r="J73" s="66">
        <v>3.3</v>
      </c>
      <c r="K73" s="67"/>
      <c r="L73" s="194">
        <v>0.69175438596491223</v>
      </c>
      <c r="M73" s="194">
        <v>0.84386695906432752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5.8383397050791723</v>
      </c>
      <c r="E76" s="76">
        <v>6.4184519939086346</v>
      </c>
      <c r="F76" s="341">
        <v>5.5</v>
      </c>
      <c r="H76" s="76">
        <v>6.1225078681114331</v>
      </c>
      <c r="I76" s="76">
        <v>6.4320065402166406</v>
      </c>
      <c r="J76" s="341">
        <v>5.5</v>
      </c>
      <c r="L76" s="194">
        <v>0.5725123706702655</v>
      </c>
      <c r="M76" s="194">
        <v>0.57127966134471986</v>
      </c>
      <c r="N76" s="386">
        <v>1</v>
      </c>
    </row>
  </sheetData>
  <mergeCells count="51"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1104" priority="109" operator="notBetween">
      <formula>#REF!</formula>
      <formula>#REF!</formula>
    </cfRule>
  </conditionalFormatting>
  <conditionalFormatting sqref="C51">
    <cfRule type="cellIs" dxfId="1103" priority="199" stopIfTrue="1" operator="greaterThan">
      <formula>100</formula>
    </cfRule>
    <cfRule type="cellIs" dxfId="1102" priority="198" stopIfTrue="1" operator="lessThan">
      <formula>96</formula>
    </cfRule>
  </conditionalFormatting>
  <conditionalFormatting sqref="C67:C68">
    <cfRule type="cellIs" dxfId="1101" priority="46" stopIfTrue="1" operator="lessThanOrEqual">
      <formula>0</formula>
    </cfRule>
    <cfRule type="cellIs" dxfId="1100" priority="45" stopIfTrue="1" operator="greaterThan">
      <formula>$F67</formula>
    </cfRule>
    <cfRule type="cellIs" dxfId="1099" priority="44" stopIfTrue="1" operator="lessThanOrEqual">
      <formula>0</formula>
    </cfRule>
    <cfRule type="cellIs" dxfId="1098" priority="43" stopIfTrue="1" operator="greaterThan">
      <formula>$F67</formula>
    </cfRule>
  </conditionalFormatting>
  <conditionalFormatting sqref="C69:C71 C73:C75">
    <cfRule type="cellIs" dxfId="1097" priority="77" stopIfTrue="1" operator="greaterThan">
      <formula>$F72</formula>
    </cfRule>
  </conditionalFormatting>
  <conditionalFormatting sqref="C69:C71">
    <cfRule type="cellIs" dxfId="1096" priority="78" stopIfTrue="1" operator="lessThanOrEqual">
      <formula>0</formula>
    </cfRule>
  </conditionalFormatting>
  <conditionalFormatting sqref="C73:C75">
    <cfRule type="cellIs" dxfId="1095" priority="79" stopIfTrue="1" operator="lessThanOrEqual">
      <formula>0</formula>
    </cfRule>
  </conditionalFormatting>
  <conditionalFormatting sqref="C78:C82">
    <cfRule type="cellIs" dxfId="1094" priority="190" stopIfTrue="1" operator="lessThanOrEqual">
      <formula>0</formula>
    </cfRule>
  </conditionalFormatting>
  <conditionalFormatting sqref="C79:C82">
    <cfRule type="cellIs" dxfId="1093" priority="189" stopIfTrue="1" operator="greaterThan">
      <formula>$F$78</formula>
    </cfRule>
  </conditionalFormatting>
  <conditionalFormatting sqref="C84">
    <cfRule type="cellIs" dxfId="1092" priority="192" stopIfTrue="1" operator="lessThanOrEqual">
      <formula>0</formula>
    </cfRule>
    <cfRule type="cellIs" dxfId="1091" priority="191" stopIfTrue="1" operator="greaterThan">
      <formula>$F$78</formula>
    </cfRule>
  </conditionalFormatting>
  <conditionalFormatting sqref="C72:D72">
    <cfRule type="cellIs" dxfId="1090" priority="27" stopIfTrue="1" operator="greaterThan">
      <formula>$J72</formula>
    </cfRule>
    <cfRule type="cellIs" dxfId="1089" priority="28" stopIfTrue="1" operator="lessThanOrEqual">
      <formula>0</formula>
    </cfRule>
  </conditionalFormatting>
  <conditionalFormatting sqref="C78:D78 D80:D86">
    <cfRule type="cellIs" dxfId="1088" priority="184" stopIfTrue="1" operator="greaterThan">
      <formula>4.5</formula>
    </cfRule>
  </conditionalFormatting>
  <conditionalFormatting sqref="D47:D48">
    <cfRule type="cellIs" dxfId="1087" priority="110" operator="notBetween">
      <formula>#REF!</formula>
      <formula>#REF!</formula>
    </cfRule>
  </conditionalFormatting>
  <conditionalFormatting sqref="D67:D71 D73:D74">
    <cfRule type="cellIs" dxfId="1086" priority="72" stopIfTrue="1" operator="lessThanOrEqual">
      <formula>0</formula>
    </cfRule>
  </conditionalFormatting>
  <conditionalFormatting sqref="D67:D71 D73:D76">
    <cfRule type="cellIs" dxfId="1085" priority="56" stopIfTrue="1" operator="lessThanOrEqual">
      <formula>0</formula>
    </cfRule>
  </conditionalFormatting>
  <conditionalFormatting sqref="D75">
    <cfRule type="cellIs" dxfId="1084" priority="71" stopIfTrue="1" operator="lessThanOrEqual">
      <formula>0</formula>
    </cfRule>
  </conditionalFormatting>
  <conditionalFormatting sqref="D76">
    <cfRule type="cellIs" dxfId="1083" priority="68" stopIfTrue="1" operator="lessThanOrEqual">
      <formula>0</formula>
    </cfRule>
  </conditionalFormatting>
  <conditionalFormatting sqref="D78 D80:D86">
    <cfRule type="cellIs" dxfId="1082" priority="185" stopIfTrue="1" operator="lessThanOrEqual">
      <formula>0</formula>
    </cfRule>
  </conditionalFormatting>
  <conditionalFormatting sqref="D79">
    <cfRule type="cellIs" dxfId="1081" priority="177" stopIfTrue="1" operator="lessThanOrEqual">
      <formula>0</formula>
    </cfRule>
    <cfRule type="cellIs" dxfId="1080" priority="176" stopIfTrue="1" operator="greaterThan">
      <formula>$F$78</formula>
    </cfRule>
  </conditionalFormatting>
  <conditionalFormatting sqref="D67:E71 E72 D73:E76">
    <cfRule type="cellIs" dxfId="1079" priority="58" stopIfTrue="1" operator="greaterThan">
      <formula>$F67</formula>
    </cfRule>
  </conditionalFormatting>
  <conditionalFormatting sqref="D76:E76">
    <cfRule type="cellIs" dxfId="1078" priority="60" stopIfTrue="1" operator="lessThanOrEqual">
      <formula>0</formula>
    </cfRule>
  </conditionalFormatting>
  <conditionalFormatting sqref="E10:E22">
    <cfRule type="cellIs" dxfId="1077" priority="22" operator="lessThan">
      <formula>48</formula>
    </cfRule>
  </conditionalFormatting>
  <conditionalFormatting sqref="E50 E51:F51">
    <cfRule type="cellIs" dxfId="1076" priority="181" stopIfTrue="1" operator="greaterThan">
      <formula>100</formula>
    </cfRule>
  </conditionalFormatting>
  <conditionalFormatting sqref="E51">
    <cfRule type="cellIs" dxfId="1075" priority="179" stopIfTrue="1" operator="greaterThan">
      <formula>100</formula>
    </cfRule>
    <cfRule type="cellIs" dxfId="1074" priority="178" stopIfTrue="1" operator="lessThan">
      <formula>96.8</formula>
    </cfRule>
  </conditionalFormatting>
  <conditionalFormatting sqref="E67:E75">
    <cfRule type="cellIs" dxfId="1073" priority="57" stopIfTrue="1" operator="lessThanOrEqual">
      <formula>0</formula>
    </cfRule>
  </conditionalFormatting>
  <conditionalFormatting sqref="E67:E76">
    <cfRule type="cellIs" dxfId="1072" priority="59" stopIfTrue="1" operator="lessThanOrEqual">
      <formula>0</formula>
    </cfRule>
  </conditionalFormatting>
  <conditionalFormatting sqref="E78:E86">
    <cfRule type="cellIs" dxfId="1071" priority="171" stopIfTrue="1" operator="lessThanOrEqual">
      <formula>0</formula>
    </cfRule>
    <cfRule type="cellIs" dxfId="1070" priority="170" stopIfTrue="1" operator="greaterThan">
      <formula>4.5</formula>
    </cfRule>
  </conditionalFormatting>
  <conditionalFormatting sqref="E51:F51 E50">
    <cfRule type="cellIs" dxfId="1069" priority="180" stopIfTrue="1" operator="lessThan">
      <formula>96.5</formula>
    </cfRule>
  </conditionalFormatting>
  <conditionalFormatting sqref="F15:F18 F21:F22">
    <cfRule type="cellIs" dxfId="1068" priority="47" operator="greaterThan">
      <formula>60</formula>
    </cfRule>
  </conditionalFormatting>
  <conditionalFormatting sqref="F51">
    <cfRule type="cellIs" dxfId="1067" priority="197" stopIfTrue="1" operator="greaterThan">
      <formula>100</formula>
    </cfRule>
    <cfRule type="cellIs" dxfId="1066" priority="196" stopIfTrue="1" operator="lessThan">
      <formula>96.8</formula>
    </cfRule>
  </conditionalFormatting>
  <conditionalFormatting sqref="F76">
    <cfRule type="cellIs" dxfId="1065" priority="69" stopIfTrue="1" operator="greaterThan">
      <formula>$F76</formula>
    </cfRule>
    <cfRule type="cellIs" dxfId="1064" priority="70" stopIfTrue="1" operator="lessThanOrEqual">
      <formula>0</formula>
    </cfRule>
  </conditionalFormatting>
  <conditionalFormatting sqref="G10:G14 G19:G22">
    <cfRule type="expression" dxfId="1063" priority="23">
      <formula>IF(+(IF(G10&lt;S10,0,IF(G10&gt;T10,0,1)))=0,1)</formula>
    </cfRule>
  </conditionalFormatting>
  <conditionalFormatting sqref="G15:G18">
    <cfRule type="expression" dxfId="1062" priority="270">
      <formula>IF(+(IF(G15&lt;#REF!,0,IF(G15&gt;#REF!,0,1)))=0,1)</formula>
    </cfRule>
  </conditionalFormatting>
  <conditionalFormatting sqref="G67:G68">
    <cfRule type="cellIs" dxfId="1061" priority="74" stopIfTrue="1" operator="lessThanOrEqual">
      <formula>0</formula>
    </cfRule>
    <cfRule type="cellIs" dxfId="1060" priority="73" stopIfTrue="1" operator="greaterThan">
      <formula>$F67</formula>
    </cfRule>
  </conditionalFormatting>
  <conditionalFormatting sqref="G67:G70">
    <cfRule type="cellIs" dxfId="1059" priority="52" stopIfTrue="1" operator="lessThanOrEqual">
      <formula>0</formula>
    </cfRule>
    <cfRule type="cellIs" dxfId="1058" priority="51" stopIfTrue="1" operator="greaterThan">
      <formula>$F67</formula>
    </cfRule>
  </conditionalFormatting>
  <conditionalFormatting sqref="G69">
    <cfRule type="cellIs" dxfId="1057" priority="50" stopIfTrue="1" operator="lessThanOrEqual">
      <formula>0</formula>
    </cfRule>
    <cfRule type="cellIs" dxfId="1056" priority="49" stopIfTrue="1" operator="greaterThan">
      <formula>$F69</formula>
    </cfRule>
  </conditionalFormatting>
  <conditionalFormatting sqref="G70">
    <cfRule type="cellIs" dxfId="1055" priority="64" stopIfTrue="1" operator="greaterThan">
      <formula>$F70</formula>
    </cfRule>
    <cfRule type="cellIs" dxfId="1054" priority="65" stopIfTrue="1" operator="lessThanOrEqual">
      <formula>0</formula>
    </cfRule>
  </conditionalFormatting>
  <conditionalFormatting sqref="G71:G75">
    <cfRule type="cellIs" dxfId="1053" priority="75" stopIfTrue="1" operator="greaterThan">
      <formula>$J71</formula>
    </cfRule>
    <cfRule type="cellIs" dxfId="1052" priority="76" stopIfTrue="1" operator="lessThanOrEqual">
      <formula>0</formula>
    </cfRule>
  </conditionalFormatting>
  <conditionalFormatting sqref="G80:G85 C83 C85">
    <cfRule type="cellIs" dxfId="1051" priority="194" stopIfTrue="1" operator="lessThanOrEqual">
      <formula>0</formula>
    </cfRule>
    <cfRule type="cellIs" dxfId="1050" priority="193" stopIfTrue="1" operator="greaterThan">
      <formula>4.5</formula>
    </cfRule>
  </conditionalFormatting>
  <conditionalFormatting sqref="G79:H79">
    <cfRule type="cellIs" dxfId="1049" priority="175" stopIfTrue="1" operator="lessThanOrEqual">
      <formula>0</formula>
    </cfRule>
    <cfRule type="cellIs" dxfId="1048" priority="174" stopIfTrue="1" operator="greaterThan">
      <formula>$F$78</formula>
    </cfRule>
  </conditionalFormatting>
  <conditionalFormatting sqref="H10:H22 M10:N22">
    <cfRule type="expression" dxfId="1047" priority="24">
      <formula>IF(+(IF(H10&lt;#REF!,0,IF(H10&gt;#REF!,0,1)))=0,1)</formula>
    </cfRule>
  </conditionalFormatting>
  <conditionalFormatting sqref="H36:H37 H50">
    <cfRule type="cellIs" dxfId="1046" priority="172" stopIfTrue="1" operator="greaterThan">
      <formula>0</formula>
    </cfRule>
  </conditionalFormatting>
  <conditionalFormatting sqref="H54">
    <cfRule type="cellIs" dxfId="1045" priority="3" stopIfTrue="1" operator="greaterThan">
      <formula>$F$67</formula>
    </cfRule>
    <cfRule type="cellIs" dxfId="1044" priority="11" stopIfTrue="1" operator="greaterThan">
      <formula>$F$70</formula>
    </cfRule>
    <cfRule type="cellIs" dxfId="1043" priority="2" stopIfTrue="1" operator="lessThanOrEqual">
      <formula>0</formula>
    </cfRule>
    <cfRule type="cellIs" dxfId="1042" priority="13" stopIfTrue="1" operator="greaterThan">
      <formula>$F$68</formula>
    </cfRule>
    <cfRule type="cellIs" dxfId="1041" priority="12" stopIfTrue="1" operator="lessThanOrEqual">
      <formula>0</formula>
    </cfRule>
  </conditionalFormatting>
  <conditionalFormatting sqref="H54:H56">
    <cfRule type="cellIs" dxfId="1040" priority="14" stopIfTrue="1" operator="lessThanOrEqual">
      <formula>0</formula>
    </cfRule>
  </conditionalFormatting>
  <conditionalFormatting sqref="H55:H56">
    <cfRule type="cellIs" dxfId="1039" priority="82" stopIfTrue="1" operator="greaterThan">
      <formula>$F$67</formula>
    </cfRule>
    <cfRule type="cellIs" dxfId="1038" priority="90" stopIfTrue="1" operator="greaterThan">
      <formula>$F$70</formula>
    </cfRule>
    <cfRule type="cellIs" dxfId="1037" priority="92" stopIfTrue="1" operator="greaterThan">
      <formula>$F$68</formula>
    </cfRule>
    <cfRule type="cellIs" dxfId="1036" priority="91" stopIfTrue="1" operator="lessThanOrEqual">
      <formula>0</formula>
    </cfRule>
  </conditionalFormatting>
  <conditionalFormatting sqref="H55:H58">
    <cfRule type="cellIs" dxfId="1035" priority="93" stopIfTrue="1" operator="lessThanOrEqual">
      <formula>0</formula>
    </cfRule>
  </conditionalFormatting>
  <conditionalFormatting sqref="H57:H58">
    <cfRule type="cellIs" dxfId="1034" priority="96" stopIfTrue="1" operator="greaterThan">
      <formula>$F$67</formula>
    </cfRule>
    <cfRule type="cellIs" dxfId="1033" priority="105" stopIfTrue="1" operator="lessThanOrEqual">
      <formula>0</formula>
    </cfRule>
    <cfRule type="cellIs" dxfId="1032" priority="104" stopIfTrue="1" operator="greaterThan">
      <formula>$F$70</formula>
    </cfRule>
    <cfRule type="cellIs" dxfId="1031" priority="107" stopIfTrue="1" operator="lessThanOrEqual">
      <formula>0</formula>
    </cfRule>
    <cfRule type="cellIs" dxfId="1030" priority="106" stopIfTrue="1" operator="greaterThan">
      <formula>$F$68</formula>
    </cfRule>
  </conditionalFormatting>
  <conditionalFormatting sqref="H59:H60">
    <cfRule type="cellIs" dxfId="1029" priority="135" stopIfTrue="1" operator="greaterThan">
      <formula>#REF!</formula>
    </cfRule>
    <cfRule type="cellIs" dxfId="1028" priority="143" stopIfTrue="1" operator="greaterThan">
      <formula>$F$22</formula>
    </cfRule>
    <cfRule type="cellIs" dxfId="1027" priority="144" stopIfTrue="1" operator="lessThanOrEqual">
      <formula>0</formula>
    </cfRule>
    <cfRule type="cellIs" dxfId="1026" priority="145" stopIfTrue="1" operator="greaterThan">
      <formula>#REF!</formula>
    </cfRule>
    <cfRule type="cellIs" dxfId="1025" priority="134" stopIfTrue="1" operator="lessThanOrEqual">
      <formula>0</formula>
    </cfRule>
    <cfRule type="cellIs" dxfId="1024" priority="146" stopIfTrue="1" operator="lessThanOrEqual">
      <formula>0</formula>
    </cfRule>
  </conditionalFormatting>
  <conditionalFormatting sqref="H61">
    <cfRule type="cellIs" dxfId="1023" priority="157" stopIfTrue="1" operator="greaterThan">
      <formula>$F$38</formula>
    </cfRule>
    <cfRule type="cellIs" dxfId="1022" priority="149" stopIfTrue="1" operator="greaterThan">
      <formula>$F$35</formula>
    </cfRule>
    <cfRule type="cellIs" dxfId="1021" priority="148" stopIfTrue="1" operator="lessThanOrEqual">
      <formula>0</formula>
    </cfRule>
    <cfRule type="cellIs" dxfId="1020" priority="160" stopIfTrue="1" operator="lessThanOrEqual">
      <formula>0</formula>
    </cfRule>
    <cfRule type="cellIs" dxfId="1019" priority="159" stopIfTrue="1" operator="greaterThan">
      <formula>$F$36</formula>
    </cfRule>
    <cfRule type="cellIs" dxfId="1018" priority="158" stopIfTrue="1" operator="lessThanOrEqual">
      <formula>0</formula>
    </cfRule>
  </conditionalFormatting>
  <conditionalFormatting sqref="H62:H63">
    <cfRule type="cellIs" dxfId="1017" priority="132" stopIfTrue="1" operator="lessThanOrEqual">
      <formula>0</formula>
    </cfRule>
    <cfRule type="cellIs" dxfId="1016" priority="129" stopIfTrue="1" operator="greaterThan">
      <formula>$F$22</formula>
    </cfRule>
    <cfRule type="cellIs" dxfId="1015" priority="130" stopIfTrue="1" operator="lessThanOrEqual">
      <formula>0</formula>
    </cfRule>
    <cfRule type="cellIs" dxfId="1014" priority="131" stopIfTrue="1" operator="greaterThan">
      <formula>#REF!</formula>
    </cfRule>
    <cfRule type="cellIs" dxfId="1013" priority="120" stopIfTrue="1" operator="lessThanOrEqual">
      <formula>0</formula>
    </cfRule>
    <cfRule type="cellIs" dxfId="1012" priority="121" stopIfTrue="1" operator="greaterThan">
      <formula>#REF!</formula>
    </cfRule>
  </conditionalFormatting>
  <conditionalFormatting sqref="H78 H80:H86">
    <cfRule type="cellIs" dxfId="1011" priority="186" stopIfTrue="1" operator="greaterThan">
      <formula>4.5</formula>
    </cfRule>
    <cfRule type="cellIs" dxfId="1010" priority="187" stopIfTrue="1" operator="lessThanOrEqual">
      <formula>0</formula>
    </cfRule>
  </conditionalFormatting>
  <conditionalFormatting sqref="H54:I54">
    <cfRule type="cellIs" dxfId="1009" priority="4" stopIfTrue="1" operator="lessThanOrEqual">
      <formula>0</formula>
    </cfRule>
  </conditionalFormatting>
  <conditionalFormatting sqref="H54:I58">
    <cfRule type="cellIs" dxfId="1008" priority="1" stopIfTrue="1" operator="greaterThan">
      <formula>$F$69</formula>
    </cfRule>
  </conditionalFormatting>
  <conditionalFormatting sqref="H55:I56">
    <cfRule type="cellIs" dxfId="1007" priority="83" stopIfTrue="1" operator="lessThanOrEqual">
      <formula>0</formula>
    </cfRule>
  </conditionalFormatting>
  <conditionalFormatting sqref="H57:I58">
    <cfRule type="cellIs" dxfId="1006" priority="97" stopIfTrue="1" operator="lessThanOrEqual">
      <formula>0</formula>
    </cfRule>
  </conditionalFormatting>
  <conditionalFormatting sqref="H59:I60">
    <cfRule type="cellIs" dxfId="1005" priority="133" stopIfTrue="1" operator="greaterThan">
      <formula>#REF!</formula>
    </cfRule>
    <cfRule type="cellIs" dxfId="1004" priority="136" stopIfTrue="1" operator="lessThanOrEqual">
      <formula>0</formula>
    </cfRule>
  </conditionalFormatting>
  <conditionalFormatting sqref="H61:I61">
    <cfRule type="cellIs" dxfId="1003" priority="150" stopIfTrue="1" operator="lessThanOrEqual">
      <formula>0</formula>
    </cfRule>
    <cfRule type="cellIs" dxfId="1002" priority="147" stopIfTrue="1" operator="greaterThan">
      <formula>$F$37</formula>
    </cfRule>
  </conditionalFormatting>
  <conditionalFormatting sqref="H62:I63">
    <cfRule type="cellIs" dxfId="1001" priority="119" stopIfTrue="1" operator="greaterThan">
      <formula>#REF!</formula>
    </cfRule>
    <cfRule type="cellIs" dxfId="1000" priority="122" stopIfTrue="1" operator="lessThanOrEqual">
      <formula>0</formula>
    </cfRule>
  </conditionalFormatting>
  <conditionalFormatting sqref="H67:I74">
    <cfRule type="cellIs" dxfId="999" priority="54" stopIfTrue="1" operator="greaterThan">
      <formula>$J67</formula>
    </cfRule>
    <cfRule type="cellIs" dxfId="998" priority="55" stopIfTrue="1" operator="lessThanOrEqual">
      <formula>0</formula>
    </cfRule>
  </conditionalFormatting>
  <conditionalFormatting sqref="H75:I75">
    <cfRule type="cellIs" dxfId="997" priority="63" operator="greaterThan">
      <formula>5.3</formula>
    </cfRule>
  </conditionalFormatting>
  <conditionalFormatting sqref="H76:I76">
    <cfRule type="cellIs" dxfId="996" priority="62" stopIfTrue="1" operator="lessThanOrEqual">
      <formula>0</formula>
    </cfRule>
    <cfRule type="cellIs" dxfId="995" priority="61" stopIfTrue="1" operator="greaterThan">
      <formula>$J76</formula>
    </cfRule>
  </conditionalFormatting>
  <conditionalFormatting sqref="I54">
    <cfRule type="cellIs" dxfId="994" priority="10" stopIfTrue="1" operator="lessThanOrEqual">
      <formula>0</formula>
    </cfRule>
    <cfRule type="cellIs" dxfId="993" priority="9" stopIfTrue="1" operator="greaterThan">
      <formula>$F$67</formula>
    </cfRule>
    <cfRule type="cellIs" dxfId="992" priority="8" stopIfTrue="1" operator="lessThanOrEqual">
      <formula>0</formula>
    </cfRule>
    <cfRule type="cellIs" dxfId="991" priority="7" stopIfTrue="1" operator="greaterThan">
      <formula>$F$69</formula>
    </cfRule>
    <cfRule type="cellIs" dxfId="990" priority="6" stopIfTrue="1" operator="lessThanOrEqual">
      <formula>0</formula>
    </cfRule>
    <cfRule type="cellIs" dxfId="989" priority="5" stopIfTrue="1" operator="greaterThan">
      <formula>$F$67</formula>
    </cfRule>
  </conditionalFormatting>
  <conditionalFormatting sqref="I55:I56">
    <cfRule type="cellIs" dxfId="988" priority="86" stopIfTrue="1" operator="greaterThan">
      <formula>$F$69</formula>
    </cfRule>
    <cfRule type="cellIs" dxfId="987" priority="88" stopIfTrue="1" operator="greaterThan">
      <formula>$F$67</formula>
    </cfRule>
    <cfRule type="cellIs" dxfId="986" priority="89" stopIfTrue="1" operator="lessThanOrEqual">
      <formula>0</formula>
    </cfRule>
    <cfRule type="cellIs" dxfId="985" priority="87" stopIfTrue="1" operator="lessThanOrEqual">
      <formula>0</formula>
    </cfRule>
    <cfRule type="cellIs" dxfId="984" priority="84" stopIfTrue="1" operator="greaterThan">
      <formula>$F$67</formula>
    </cfRule>
    <cfRule type="cellIs" dxfId="983" priority="85" stopIfTrue="1" operator="lessThanOrEqual">
      <formula>0</formula>
    </cfRule>
  </conditionalFormatting>
  <conditionalFormatting sqref="I57:I58">
    <cfRule type="cellIs" dxfId="982" priority="100" stopIfTrue="1" operator="greaterThan">
      <formula>$F$69</formula>
    </cfRule>
    <cfRule type="cellIs" dxfId="981" priority="101" stopIfTrue="1" operator="lessThanOrEqual">
      <formula>0</formula>
    </cfRule>
    <cfRule type="cellIs" dxfId="980" priority="102" stopIfTrue="1" operator="greaterThan">
      <formula>$F$67</formula>
    </cfRule>
    <cfRule type="cellIs" dxfId="979" priority="98" stopIfTrue="1" operator="greaterThan">
      <formula>$F$67</formula>
    </cfRule>
    <cfRule type="cellIs" dxfId="978" priority="99" stopIfTrue="1" operator="lessThanOrEqual">
      <formula>0</formula>
    </cfRule>
    <cfRule type="cellIs" dxfId="977" priority="103" stopIfTrue="1" operator="lessThanOrEqual">
      <formula>0</formula>
    </cfRule>
  </conditionalFormatting>
  <conditionalFormatting sqref="I59:I60">
    <cfRule type="cellIs" dxfId="976" priority="140" stopIfTrue="1" operator="lessThanOrEqual">
      <formula>0</formula>
    </cfRule>
    <cfRule type="cellIs" dxfId="975" priority="141" stopIfTrue="1" operator="greaterThan">
      <formula>#REF!</formula>
    </cfRule>
    <cfRule type="cellIs" dxfId="974" priority="142" stopIfTrue="1" operator="lessThanOrEqual">
      <formula>0</formula>
    </cfRule>
    <cfRule type="cellIs" dxfId="973" priority="139" stopIfTrue="1" operator="greaterThan">
      <formula>#REF!</formula>
    </cfRule>
    <cfRule type="cellIs" dxfId="972" priority="138" stopIfTrue="1" operator="lessThanOrEqual">
      <formula>0</formula>
    </cfRule>
    <cfRule type="cellIs" dxfId="971" priority="137" stopIfTrue="1" operator="greaterThan">
      <formula>#REF!</formula>
    </cfRule>
  </conditionalFormatting>
  <conditionalFormatting sqref="I61">
    <cfRule type="cellIs" dxfId="970" priority="156" stopIfTrue="1" operator="lessThanOrEqual">
      <formula>0</formula>
    </cfRule>
    <cfRule type="cellIs" dxfId="969" priority="154" stopIfTrue="1" operator="lessThanOrEqual">
      <formula>0</formula>
    </cfRule>
    <cfRule type="cellIs" dxfId="968" priority="151" stopIfTrue="1" operator="greaterThan">
      <formula>$F$35</formula>
    </cfRule>
    <cfRule type="cellIs" dxfId="967" priority="152" stopIfTrue="1" operator="lessThanOrEqual">
      <formula>0</formula>
    </cfRule>
    <cfRule type="cellIs" dxfId="966" priority="153" stopIfTrue="1" operator="greaterThan">
      <formula>$F$37</formula>
    </cfRule>
    <cfRule type="cellIs" dxfId="965" priority="155" stopIfTrue="1" operator="greaterThan">
      <formula>$F$35</formula>
    </cfRule>
  </conditionalFormatting>
  <conditionalFormatting sqref="I62:I63">
    <cfRule type="cellIs" dxfId="964" priority="123" stopIfTrue="1" operator="greaterThan">
      <formula>#REF!</formula>
    </cfRule>
    <cfRule type="cellIs" dxfId="963" priority="124" stopIfTrue="1" operator="lessThanOrEqual">
      <formula>0</formula>
    </cfRule>
    <cfRule type="cellIs" dxfId="962" priority="125" stopIfTrue="1" operator="greaterThan">
      <formula>#REF!</formula>
    </cfRule>
    <cfRule type="cellIs" dxfId="961" priority="127" stopIfTrue="1" operator="greaterThan">
      <formula>#REF!</formula>
    </cfRule>
    <cfRule type="cellIs" dxfId="960" priority="128" stopIfTrue="1" operator="lessThanOrEqual">
      <formula>0</formula>
    </cfRule>
    <cfRule type="cellIs" dxfId="959" priority="126" stopIfTrue="1" operator="lessThanOrEqual">
      <formula>0</formula>
    </cfRule>
  </conditionalFormatting>
  <conditionalFormatting sqref="I78:I86">
    <cfRule type="cellIs" dxfId="958" priority="183" stopIfTrue="1" operator="lessThanOrEqual">
      <formula>0</formula>
    </cfRule>
    <cfRule type="cellIs" dxfId="957" priority="182" stopIfTrue="1" operator="greaterThan">
      <formula>4.5</formula>
    </cfRule>
  </conditionalFormatting>
  <conditionalFormatting sqref="I10:J22">
    <cfRule type="cellIs" dxfId="956" priority="16" operator="lessThan">
      <formula>97.9</formula>
    </cfRule>
  </conditionalFormatting>
  <conditionalFormatting sqref="J25:J26">
    <cfRule type="cellIs" dxfId="955" priority="95" operator="lessThan">
      <formula>97.95</formula>
    </cfRule>
  </conditionalFormatting>
  <conditionalFormatting sqref="J27">
    <cfRule type="cellIs" dxfId="954" priority="162" stopIfTrue="1" operator="lessThan">
      <formula>96.8</formula>
    </cfRule>
    <cfRule type="cellIs" dxfId="953" priority="163" stopIfTrue="1" operator="greaterThan">
      <formula>100</formula>
    </cfRule>
    <cfRule type="cellIs" dxfId="952" priority="164" operator="lessThan">
      <formula>98</formula>
    </cfRule>
  </conditionalFormatting>
  <conditionalFormatting sqref="J27:J29">
    <cfRule type="cellIs" dxfId="951" priority="161" operator="lessThan">
      <formula>97.4</formula>
    </cfRule>
  </conditionalFormatting>
  <conditionalFormatting sqref="J30:J31">
    <cfRule type="cellIs" dxfId="950" priority="165" operator="lessThan">
      <formula>98</formula>
    </cfRule>
  </conditionalFormatting>
  <conditionalFormatting sqref="J32:J33">
    <cfRule type="cellIs" dxfId="949" priority="167" stopIfTrue="1" operator="greaterThan">
      <formula>100</formula>
    </cfRule>
    <cfRule type="cellIs" dxfId="948" priority="166" stopIfTrue="1" operator="lessThan">
      <formula>96.8</formula>
    </cfRule>
  </conditionalFormatting>
  <conditionalFormatting sqref="J32:J34">
    <cfRule type="cellIs" dxfId="947" priority="168" operator="lessThan">
      <formula>98</formula>
    </cfRule>
  </conditionalFormatting>
  <conditionalFormatting sqref="J63">
    <cfRule type="cellIs" dxfId="946" priority="117" stopIfTrue="1" operator="greaterThan">
      <formula>#REF!</formula>
    </cfRule>
    <cfRule type="cellIs" dxfId="945" priority="116" stopIfTrue="1" operator="lessThanOrEqual">
      <formula>0</formula>
    </cfRule>
    <cfRule type="cellIs" dxfId="944" priority="114" stopIfTrue="1" operator="lessThanOrEqual">
      <formula>0</formula>
    </cfRule>
    <cfRule type="cellIs" dxfId="943" priority="111" stopIfTrue="1" operator="greaterThan">
      <formula>#REF!</formula>
    </cfRule>
    <cfRule type="cellIs" dxfId="942" priority="115" stopIfTrue="1" operator="greaterThan">
      <formula>#REF!</formula>
    </cfRule>
    <cfRule type="cellIs" dxfId="941" priority="112" stopIfTrue="1" operator="lessThanOrEqual">
      <formula>0</formula>
    </cfRule>
    <cfRule type="cellIs" dxfId="940" priority="113" stopIfTrue="1" operator="greaterThan">
      <formula>#REF!</formula>
    </cfRule>
    <cfRule type="cellIs" dxfId="939" priority="118" stopIfTrue="1" operator="lessThanOrEqual">
      <formula>0</formula>
    </cfRule>
  </conditionalFormatting>
  <conditionalFormatting sqref="J76">
    <cfRule type="cellIs" dxfId="938" priority="66" stopIfTrue="1" operator="greaterThan">
      <formula>$F76</formula>
    </cfRule>
    <cfRule type="cellIs" dxfId="937" priority="67" stopIfTrue="1" operator="lessThanOrEqual">
      <formula>0</formula>
    </cfRule>
  </conditionalFormatting>
  <conditionalFormatting sqref="K10:K22">
    <cfRule type="cellIs" dxfId="936" priority="18" operator="lessThan">
      <formula>4</formula>
    </cfRule>
    <cfRule type="cellIs" dxfId="935" priority="19" operator="greaterThan">
      <formula>6.4</formula>
    </cfRule>
    <cfRule type="cellIs" dxfId="934" priority="17" operator="greaterThan">
      <formula>6</formula>
    </cfRule>
  </conditionalFormatting>
  <conditionalFormatting sqref="K54:K63">
    <cfRule type="cellIs" dxfId="933" priority="94" stopIfTrue="1" operator="lessThan">
      <formula>100%</formula>
    </cfRule>
  </conditionalFormatting>
  <conditionalFormatting sqref="K67:K75">
    <cfRule type="cellIs" dxfId="932" priority="53" stopIfTrue="1" operator="lessThan">
      <formula>100%</formula>
    </cfRule>
  </conditionalFormatting>
  <conditionalFormatting sqref="K78:K83">
    <cfRule type="cellIs" dxfId="931" priority="188" stopIfTrue="1" operator="lessThan">
      <formula>100%</formula>
    </cfRule>
  </conditionalFormatting>
  <conditionalFormatting sqref="K85:K86">
    <cfRule type="cellIs" dxfId="930" priority="195" stopIfTrue="1" operator="lessThan">
      <formula>100%</formula>
    </cfRule>
  </conditionalFormatting>
  <conditionalFormatting sqref="L10:L22">
    <cfRule type="cellIs" dxfId="929" priority="21" operator="greaterThan">
      <formula>65</formula>
    </cfRule>
    <cfRule type="cellIs" dxfId="928" priority="20" operator="between">
      <formula>61</formula>
      <formula>65</formula>
    </cfRule>
  </conditionalFormatting>
  <conditionalFormatting sqref="L25:M36">
    <cfRule type="cellIs" dxfId="927" priority="108" operator="lessThan">
      <formula>97.95</formula>
    </cfRule>
  </conditionalFormatting>
  <conditionalFormatting sqref="L40:N40">
    <cfRule type="cellIs" dxfId="926" priority="48" operator="notEqual">
      <formula>#REF!</formula>
    </cfRule>
  </conditionalFormatting>
  <conditionalFormatting sqref="L67:N76">
    <cfRule type="cellIs" dxfId="925" priority="26" stopIfTrue="1" operator="lessThan">
      <formula>100%</formula>
    </cfRule>
  </conditionalFormatting>
  <conditionalFormatting sqref="L78:N86">
    <cfRule type="cellIs" dxfId="924" priority="173" stopIfTrue="1" operator="lessThan">
      <formula>100%</formula>
    </cfRule>
  </conditionalFormatting>
  <conditionalFormatting sqref="N10:N16 N19:N20">
    <cfRule type="expression" dxfId="923" priority="15">
      <formula>IF(+(IF(N10&lt;W10,0,IF(N10&gt;X10,0,1)))=0,1)</formula>
    </cfRule>
  </conditionalFormatting>
  <conditionalFormatting sqref="P6">
    <cfRule type="cellIs" dxfId="922" priority="169" operator="greaterThanOrEqual">
      <formula>19</formula>
    </cfRule>
  </conditionalFormatting>
  <dataValidations count="1">
    <dataValidation type="list" allowBlank="1" showInputMessage="1" showErrorMessage="1" sqref="R8" xr:uid="{A9B29DA3-04A7-42E5-A081-798B72E1BA1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F53C-3709-4460-A0E8-44917AA80872}">
  <sheetPr>
    <pageSetUpPr fitToPage="1"/>
  </sheetPr>
  <dimension ref="A1:BE75"/>
  <sheetViews>
    <sheetView topLeftCell="A4" zoomScale="70" zoomScaleNormal="70" workbookViewId="0">
      <selection activeCell="B14" sqref="B14:O1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46168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16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12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502">
        <v>46165</v>
      </c>
      <c r="C10" s="357"/>
      <c r="D10" s="357"/>
      <c r="E10" s="357"/>
      <c r="F10" s="357"/>
      <c r="G10" s="357"/>
      <c r="H10" s="494"/>
      <c r="I10" s="357"/>
      <c r="J10" s="491"/>
      <c r="K10" s="492"/>
      <c r="L10" s="493"/>
      <c r="M10" s="20"/>
      <c r="N10" s="21"/>
      <c r="O10" s="495"/>
      <c r="P10" s="357"/>
      <c r="R10" s="497"/>
      <c r="S10" s="498"/>
      <c r="T10" s="498"/>
      <c r="U10" s="499"/>
      <c r="V10" s="499"/>
      <c r="W10" s="500"/>
      <c r="X10" s="500"/>
      <c r="Y10" s="501"/>
      <c r="Z10" s="498"/>
    </row>
    <row r="11" spans="2:29" ht="15">
      <c r="B11" s="37" t="s">
        <v>16</v>
      </c>
      <c r="C11" s="366" t="str">
        <f>[8]Brewhouse!$A61</f>
        <v>SM053</v>
      </c>
      <c r="D11" s="279">
        <f>[8]Brewhouse!$AH61</f>
        <v>50.1</v>
      </c>
      <c r="E11" s="279">
        <f>[8]Brewhouse!$AM61</f>
        <v>50.4</v>
      </c>
      <c r="F11" s="278">
        <f>[8]Brewhouse!$Z61</f>
        <v>66</v>
      </c>
      <c r="G11" s="279">
        <f>[8]Brewhouse!$AK61</f>
        <v>17.2</v>
      </c>
      <c r="H11" s="396">
        <v>17</v>
      </c>
      <c r="I11" s="368">
        <f>[8]Brewhouse!$AY61</f>
        <v>95.483117660591859</v>
      </c>
      <c r="J11" s="368">
        <f>[8]Brewhouse!$AZ61</f>
        <v>96.034255651375915</v>
      </c>
      <c r="K11" s="281">
        <f>[8]Brewhouse!$U61</f>
        <v>4.9500998003992098</v>
      </c>
      <c r="L11" s="276">
        <f>[8]Brewhouse!$T61</f>
        <v>58</v>
      </c>
      <c r="M11" s="374">
        <f>[8]Brewhouse!$Y61-[8]Brewhouse!$X61</f>
        <v>0.14166666666666672</v>
      </c>
      <c r="N11" s="370">
        <f>[8]Brewhouse!$AD61</f>
        <v>0.30208333333333331</v>
      </c>
      <c r="O11" s="371" t="str">
        <f>[8]Brewhouse!$BC61</f>
        <v>R.Sookram</v>
      </c>
      <c r="P11" s="418"/>
      <c r="R11" s="277" t="str">
        <f t="shared" ref="R11:R35" si="0">B11</f>
        <v>STARMALT</v>
      </c>
      <c r="S11" s="472">
        <f t="shared" ref="S11:S35" si="1">VLOOKUP($B11,$R$3:$X$9,2,FALSE)</f>
        <v>17</v>
      </c>
      <c r="T11" s="472">
        <f t="shared" ref="T11:T35" si="2">VLOOKUP($B11,$R$3:$X$9,3,FALSE)</f>
        <v>17.399999999999999</v>
      </c>
      <c r="U11" s="297">
        <f t="shared" ref="U11:U35" si="3">VLOOKUP($B11,$R$3:$X$9,4,FALSE)</f>
        <v>0</v>
      </c>
      <c r="V11" s="297">
        <f t="shared" ref="V11:V35" si="4">VLOOKUP($B11,$R$3:$X$9,5,FALSE)</f>
        <v>0.13605324074074074</v>
      </c>
      <c r="W11" s="297">
        <f t="shared" ref="W11:W35" si="5">VLOOKUP($B11,$R$3:$X$9,6,FALSE)</f>
        <v>0.27430555555555552</v>
      </c>
      <c r="X11" s="297">
        <f t="shared" ref="X11:X35" si="6">VLOOKUP($B11,$R$3:$X$9,7,FALSE)</f>
        <v>0.30902777777777779</v>
      </c>
      <c r="Y11" s="297">
        <f t="shared" ref="Y11:Y35" si="7">VLOOKUP($B11,$R$3:$Z$9,8,FALSE)</f>
        <v>0</v>
      </c>
      <c r="Z11" s="472">
        <f t="shared" ref="Z11:Z35" si="8">VLOOKUP($B11,$R$3:$Z$9,9,FALSE)</f>
        <v>85</v>
      </c>
    </row>
    <row r="12" spans="2:29" ht="15">
      <c r="B12" s="37" t="s">
        <v>16</v>
      </c>
      <c r="C12" s="366" t="str">
        <f>[8]Brewhouse!$A62</f>
        <v>SM054</v>
      </c>
      <c r="D12" s="279">
        <f>[8]Brewhouse!$AH62</f>
        <v>52.1</v>
      </c>
      <c r="E12" s="279">
        <f>[8]Brewhouse!$AM62</f>
        <v>52.5</v>
      </c>
      <c r="F12" s="278">
        <f>[8]Brewhouse!$Z62</f>
        <v>65</v>
      </c>
      <c r="G12" s="279">
        <f>[8]Brewhouse!$AK62</f>
        <v>17.5</v>
      </c>
      <c r="H12" s="396">
        <v>17.5</v>
      </c>
      <c r="I12" s="368">
        <f>[8]Brewhouse!$AY62</f>
        <v>101.54786093894572</v>
      </c>
      <c r="J12" s="368">
        <f>[8]Brewhouse!$AZ62</f>
        <v>102.13235055713467</v>
      </c>
      <c r="K12" s="281">
        <f>[8]Brewhouse!$U62</f>
        <v>5.143953934740896</v>
      </c>
      <c r="L12" s="276">
        <f>[8]Brewhouse!$T62</f>
        <v>51</v>
      </c>
      <c r="M12" s="374">
        <f>[8]Brewhouse!$Y62-[8]Brewhouse!$X62</f>
        <v>0.13263888888888897</v>
      </c>
      <c r="N12" s="370">
        <f>[8]Brewhouse!$AD62</f>
        <v>0.3083333333333334</v>
      </c>
      <c r="O12" s="371" t="str">
        <f>[8]Brewhouse!$BC62</f>
        <v>R.Sookram</v>
      </c>
      <c r="P12" s="418"/>
      <c r="R12" s="277" t="str">
        <f t="shared" ref="R12:R27" si="9">B12</f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5">
      <c r="B13" s="37" t="s">
        <v>16</v>
      </c>
      <c r="C13" s="366" t="str">
        <f>[8]Brewhouse!$A63</f>
        <v>SM055</v>
      </c>
      <c r="D13" s="279">
        <f>[8]Brewhouse!$AH63</f>
        <v>51.7</v>
      </c>
      <c r="E13" s="279">
        <f>[8]Brewhouse!$AM63</f>
        <v>52.2</v>
      </c>
      <c r="F13" s="278">
        <f>[8]Brewhouse!$Z63</f>
        <v>66</v>
      </c>
      <c r="G13" s="279">
        <f>[8]Brewhouse!$AK63</f>
        <v>17.3</v>
      </c>
      <c r="H13" s="396">
        <v>17.399999999999999</v>
      </c>
      <c r="I13" s="368">
        <f>[8]Brewhouse!$AY63</f>
        <v>99.781002552645404</v>
      </c>
      <c r="J13" s="368">
        <f>[8]Brewhouse!$AZ63</f>
        <v>100.35532247967538</v>
      </c>
      <c r="K13" s="281">
        <f>[8]Brewhouse!$U63</f>
        <v>4.9903288201160638</v>
      </c>
      <c r="L13" s="276">
        <f>[8]Brewhouse!$T63</f>
        <v>59</v>
      </c>
      <c r="M13" s="374">
        <f>[8]Brewhouse!$Y63-[8]Brewhouse!$X63</f>
        <v>0.13888888888888884</v>
      </c>
      <c r="N13" s="370">
        <f>[8]Brewhouse!$AD63</f>
        <v>0.3041666666666667</v>
      </c>
      <c r="O13" s="371" t="str">
        <f>[8]Brewhouse!$BC63</f>
        <v>R.Sookram</v>
      </c>
      <c r="P13" s="418"/>
      <c r="R13" s="277" t="str">
        <f t="shared" si="9"/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5">
      <c r="B14" s="37" t="s">
        <v>16</v>
      </c>
      <c r="C14" s="366" t="str">
        <f>[8]Brewhouse!$A64</f>
        <v>SM056</v>
      </c>
      <c r="D14" s="279">
        <f>[8]Brewhouse!$AH64</f>
        <v>52</v>
      </c>
      <c r="E14" s="279">
        <f>[8]Brewhouse!$AM64</f>
        <v>52.6</v>
      </c>
      <c r="F14" s="278">
        <f>[8]Brewhouse!$Z64</f>
        <v>63</v>
      </c>
      <c r="G14" s="279">
        <f>[8]Brewhouse!$AK64</f>
        <v>17.3</v>
      </c>
      <c r="H14" s="396">
        <v>17.3</v>
      </c>
      <c r="I14" s="368">
        <f>[8]Brewhouse!$AY64</f>
        <v>100.38282881101692</v>
      </c>
      <c r="J14" s="368">
        <f>[8]Brewhouse!$AZ64</f>
        <v>100.96170406673039</v>
      </c>
      <c r="K14" s="281">
        <f>[8]Brewhouse!$U64</f>
        <v>4.9615384615384723</v>
      </c>
      <c r="L14" s="276">
        <f>[8]Brewhouse!$T64</f>
        <v>59</v>
      </c>
      <c r="M14" s="374">
        <f>[8]Brewhouse!$Y64-[8]Brewhouse!$X64</f>
        <v>0.13124999999999998</v>
      </c>
      <c r="N14" s="370">
        <f>[8]Brewhouse!$AD64</f>
        <v>0.30208333333333326</v>
      </c>
      <c r="O14" s="371" t="str">
        <f>[8]Brewhouse!$BC64</f>
        <v>R.Sookram</v>
      </c>
      <c r="P14" s="418"/>
      <c r="R14" s="277" t="str">
        <f t="shared" si="9"/>
        <v>STARMALT</v>
      </c>
      <c r="S14" s="472">
        <f t="shared" si="1"/>
        <v>17</v>
      </c>
      <c r="T14" s="472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2">
        <f t="shared" si="8"/>
        <v>85</v>
      </c>
    </row>
    <row r="15" spans="2:29" ht="15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8" customHeight="1">
      <c r="B20" s="29"/>
      <c r="C20" s="366"/>
      <c r="D20" s="279"/>
      <c r="E20" s="279"/>
      <c r="F20" s="278"/>
      <c r="G20" s="279"/>
      <c r="H20" s="482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6.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25"/>
      <c r="J22" s="525"/>
      <c r="K22" s="525"/>
      <c r="L22" s="525"/>
      <c r="M22" s="525"/>
      <c r="N22" s="525"/>
      <c r="O22" s="1"/>
      <c r="P22" s="12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88" t="s">
        <v>162</v>
      </c>
      <c r="C23" s="388"/>
      <c r="D23" s="526" t="s">
        <v>35</v>
      </c>
      <c r="E23" s="52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28"/>
      <c r="C24" s="362"/>
      <c r="D24" s="531"/>
      <c r="E24" s="532"/>
      <c r="F24" s="294"/>
      <c r="G24" s="294"/>
      <c r="H24" s="348"/>
      <c r="I24" s="29" t="s">
        <v>6</v>
      </c>
      <c r="J24" s="323"/>
      <c r="K24" s="284">
        <f>COUNTA([4]Brewhouse!$A$372:$A$423)</f>
        <v>52</v>
      </c>
      <c r="L24" s="305">
        <f>AVERAGE([4]Brewhouse!$AU$372:$AU$423)</f>
        <v>97.521121923961417</v>
      </c>
      <c r="M24" s="305">
        <f>AVERAGE([4]Brewhouse!$AU$42:$AU$123,[4]Brewhouse!$AU$125:$AU$188,[4]Brewhouse!$AU$198:$AU$290,[4]Brewhouse!$AU$292:$AU$370,[4]Brewhouse!$AU$372:$AU$423)</f>
        <v>97.936511135018691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29"/>
      <c r="C25" s="362"/>
      <c r="D25" s="533"/>
      <c r="E25" s="534"/>
      <c r="F25" s="294"/>
      <c r="G25" s="294"/>
      <c r="H25" s="348"/>
      <c r="I25" s="33" t="s">
        <v>9</v>
      </c>
      <c r="J25" s="323"/>
      <c r="K25" s="284">
        <f>COUNTA([3]Brewhouse!$A$214:$A$243)</f>
        <v>30</v>
      </c>
      <c r="L25" s="302">
        <f>AVERAGE([3]Brewhouse!$AS$214:$AS$243)</f>
        <v>98.298698327856556</v>
      </c>
      <c r="M25" s="302">
        <f>AVERAGE([3]Brewhouse!$AS$52:$AS$81,[3]Brewhouse!$AS$83:$AS$124,[3]Brewhouse!$AS$134:$AS$177,[3]Brewhouse!$AS$22:$AS$179,[3]Brewhouse!$AS$214:$AS$243)</f>
        <v>97.981488723413932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29"/>
      <c r="C26" s="362"/>
      <c r="D26" s="535"/>
      <c r="E26" s="536"/>
      <c r="F26" s="294"/>
      <c r="G26" s="294"/>
      <c r="H26" s="348"/>
      <c r="I26" s="34" t="s">
        <v>12</v>
      </c>
      <c r="J26" s="280"/>
      <c r="K26" s="284"/>
      <c r="L26" s="302"/>
      <c r="M26" s="302">
        <f>AVERAGE([5]Brewhouse!$AU$16:$AU$23,[5]Brewhouse!$AU$25:$AU$32,[5]Brewhouse!$AU$34:$AU$41,[5]Brewhouse!$AU$43:$AU$55)</f>
        <v>96.793456653928644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9"/>
      <c r="C27" s="362"/>
      <c r="D27" s="537"/>
      <c r="E27" s="534"/>
      <c r="F27" s="294"/>
      <c r="G27" s="294"/>
      <c r="H27" s="348"/>
      <c r="I27" s="22" t="s">
        <v>33</v>
      </c>
      <c r="J27" s="280"/>
      <c r="K27" s="284">
        <f>COUNTA([6]Brewhouse!$A$62:$A$68)</f>
        <v>7</v>
      </c>
      <c r="L27" s="302">
        <f>AVERAGE([6]Brewhouse!$AV$62:$AV$68)</f>
        <v>98.287606329362575</v>
      </c>
      <c r="M27" s="302">
        <f>AVERAGE([6]Brewhouse!$AV$23:$AV$34,[6]Brewhouse!$AV$36,[6]Brewhouse!$AV$38:$AV$52,[6]Brewhouse!$AV$54:$AV$60,[6]Brewhouse!$AV$62:$AV$68)</f>
        <v>97.579195177204838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9"/>
      <c r="C28" s="362"/>
      <c r="D28" s="535"/>
      <c r="E28" s="536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9"/>
      <c r="C29" s="362"/>
      <c r="D29" s="537"/>
      <c r="E29" s="534"/>
      <c r="F29" s="417"/>
      <c r="G29" s="294"/>
      <c r="H29" s="348"/>
      <c r="I29" s="36" t="s">
        <v>15</v>
      </c>
      <c r="J29" s="323"/>
      <c r="K29" s="284">
        <f>COUNTA([7]Brewhouse!$A$13:$A$16)</f>
        <v>4</v>
      </c>
      <c r="L29" s="302">
        <f>AVERAGE([7]Brewhouse!$AT$13:$AT$16)</f>
        <v>88.962677106311475</v>
      </c>
      <c r="M29" s="302">
        <f>AVERAGE([7]Brewhouse!$AT$4:$AT$11,[7]Brewhouse!$AT$13:$AT$16)</f>
        <v>91.538375374138752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29"/>
      <c r="C30" s="362"/>
      <c r="D30" s="535"/>
      <c r="E30" s="536"/>
      <c r="F30" s="417"/>
      <c r="G30" s="294"/>
      <c r="H30" s="348"/>
      <c r="I30" s="37" t="s">
        <v>16</v>
      </c>
      <c r="J30" s="323">
        <f>AVERAGE(I11:I14)</f>
        <v>99.298702490799968</v>
      </c>
      <c r="K30" s="284">
        <f>COUNTA([8]Brewhouse!$A$53:$A$64)</f>
        <v>12</v>
      </c>
      <c r="L30" s="302">
        <f>AVERAGE([8]Brewhouse!$AY$53:$AY$64)</f>
        <v>97.782550056061538</v>
      </c>
      <c r="M30" s="302">
        <f>AVERAGE([8]Brewhouse!$AY$5:$AY$14,[8]Brewhouse!$AY$16:$AY$23,[8]Brewhouse!$AY$42,[8]Brewhouse!$AY$44:$AY$51,[8]Brewhouse!$AY$53:$AY$64)</f>
        <v>97.662004346633353</v>
      </c>
      <c r="N30" s="30">
        <v>98</v>
      </c>
      <c r="O30" s="11"/>
      <c r="P30" s="31" t="s">
        <v>41</v>
      </c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29"/>
      <c r="C31" s="362"/>
      <c r="D31" s="537"/>
      <c r="E31" s="534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7" ht="14.65" customHeight="1">
      <c r="A32" s="28"/>
      <c r="B32" s="529"/>
      <c r="C32" s="349"/>
      <c r="D32" s="535"/>
      <c r="E32" s="536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29"/>
      <c r="C33" s="349"/>
      <c r="D33" s="537"/>
      <c r="E33" s="534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29"/>
      <c r="C34" s="349"/>
      <c r="D34" s="531"/>
      <c r="E34" s="532"/>
      <c r="F34" s="294"/>
      <c r="G34" s="294"/>
      <c r="H34" s="348"/>
      <c r="I34" s="1"/>
      <c r="J34" s="39"/>
      <c r="K34" s="404">
        <f>SUM(K24:K33)</f>
        <v>105</v>
      </c>
      <c r="L34" s="405">
        <f>((L24*K24)+(L25*K25)+(L26*K26)+(L27*K27)+(L28*K28)+(K31*L31)+(L29*K29)+(L30*K30)+(L33*K33))/(K34)</f>
        <v>97.498227078906766</v>
      </c>
      <c r="M34" s="405">
        <f>AVERAGE('[9]Jan30th-31st'!$L$42,L34)</f>
        <v>97.663134407374116</v>
      </c>
      <c r="N34" s="4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30"/>
      <c r="C35" s="350"/>
      <c r="D35" s="533"/>
      <c r="E35" s="534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28"/>
      <c r="C36" s="362"/>
      <c r="D36" s="539"/>
      <c r="E36" s="540"/>
      <c r="F36" s="294"/>
      <c r="G36" s="42"/>
      <c r="H36" s="41"/>
      <c r="I36" s="42"/>
      <c r="J36" s="541" t="s">
        <v>129</v>
      </c>
      <c r="K36" s="541"/>
      <c r="L36" s="294"/>
      <c r="M36" s="294"/>
      <c r="N36" s="294"/>
      <c r="O36" s="294"/>
      <c r="P36" s="12"/>
    </row>
    <row r="37" spans="1:56" ht="15.75" thickBot="1">
      <c r="B37" s="529"/>
      <c r="C37" s="362"/>
      <c r="D37" s="537"/>
      <c r="E37" s="534"/>
      <c r="F37" s="294"/>
      <c r="G37" s="42"/>
      <c r="H37" s="42"/>
      <c r="I37" s="42"/>
      <c r="J37" s="292" t="s">
        <v>17</v>
      </c>
      <c r="K37" s="293" t="s">
        <v>172</v>
      </c>
      <c r="L37" s="542" t="s">
        <v>136</v>
      </c>
      <c r="M37" s="542"/>
      <c r="N37" s="543"/>
      <c r="O37" s="294"/>
      <c r="P37" s="12"/>
    </row>
    <row r="38" spans="1:56" ht="15" customHeight="1" thickBot="1">
      <c r="B38" s="529"/>
      <c r="C38" s="349"/>
      <c r="D38" s="535"/>
      <c r="E38" s="536"/>
      <c r="F38" s="294"/>
      <c r="G38" s="42"/>
      <c r="H38" s="42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9"/>
      <c r="C39" s="349"/>
      <c r="D39" s="537"/>
      <c r="E39" s="534"/>
      <c r="F39" s="294"/>
      <c r="G39" s="42"/>
      <c r="H39" s="42"/>
      <c r="I39" s="42"/>
      <c r="J39" s="345" t="s">
        <v>9</v>
      </c>
      <c r="K39" s="324"/>
      <c r="L39" s="344">
        <f>AVERAGE('May 2nd-23rd'!J53,'May 2nd-23rd'!K53,'May 4th'!K51,'May 5th'!K47,'May 6th'!K54,'May 7th'!K48,'May 22nd -23rd'!K48,'May 8th -9th'!K55,'May 8th -9th'!J55,'May 11th'!K51,'May 12th '!K46,'May 12th '!K46,'May 13th'!K45,'May 14th'!K42,'May 15th-16th'!K44,'May 19th '!K47,'May 20th'!K48,'May 21st'!K49)</f>
        <v>5.6111111111111107</v>
      </c>
      <c r="M39" s="325">
        <f>AVERAGE('[9]Jan30th-31st'!$L$47,L39,'[10]Feb 26th '!$L$39,'[11]Mar 31st'!$L$47,'[12]Apr 30th'!$L$46)</f>
        <v>6.3296135265700482</v>
      </c>
      <c r="N39" s="416">
        <v>9.1999999999999993</v>
      </c>
      <c r="O39" s="294"/>
      <c r="P39" s="12"/>
    </row>
    <row r="40" spans="1:56" ht="15" customHeight="1">
      <c r="B40" s="529"/>
      <c r="C40" s="349"/>
      <c r="D40" s="535"/>
      <c r="E40" s="536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9"/>
      <c r="C41" s="349"/>
      <c r="D41" s="537"/>
      <c r="E41" s="534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9"/>
      <c r="C42" s="349"/>
      <c r="D42" s="535"/>
      <c r="E42" s="536"/>
      <c r="F42" s="294"/>
      <c r="G42" s="42"/>
      <c r="H42" s="42"/>
      <c r="I42" s="42"/>
      <c r="J42" s="290" t="s">
        <v>16</v>
      </c>
      <c r="K42" s="324">
        <v>4</v>
      </c>
      <c r="L42" s="294"/>
      <c r="M42" s="294"/>
      <c r="N42" s="294"/>
      <c r="O42" s="294"/>
      <c r="P42" s="12"/>
      <c r="BC42" s="44"/>
      <c r="BD42" s="44"/>
    </row>
    <row r="43" spans="1:56" ht="15">
      <c r="B43" s="529"/>
      <c r="C43" s="349"/>
      <c r="D43" s="537"/>
      <c r="E43" s="534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35"/>
      <c r="E44" s="536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8"/>
      <c r="C45" s="350"/>
      <c r="D45" s="544"/>
      <c r="E45" s="545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46"/>
      <c r="E46" s="547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4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48" t="s">
        <v>17</v>
      </c>
      <c r="C51" s="548" t="s">
        <v>44</v>
      </c>
      <c r="D51" s="551" t="s">
        <v>45</v>
      </c>
      <c r="E51" s="516" t="s">
        <v>46</v>
      </c>
      <c r="F51" s="565" t="s">
        <v>47</v>
      </c>
      <c r="G51" s="560" t="s">
        <v>48</v>
      </c>
      <c r="H51" s="548" t="s">
        <v>49</v>
      </c>
      <c r="I51" s="548" t="s">
        <v>50</v>
      </c>
      <c r="J51" s="554" t="s">
        <v>28</v>
      </c>
      <c r="K51" s="514" t="s">
        <v>51</v>
      </c>
      <c r="L51" s="563" t="s">
        <v>52</v>
      </c>
      <c r="M51" s="554" t="s">
        <v>53</v>
      </c>
      <c r="N51" s="13"/>
      <c r="O51" s="13"/>
      <c r="P51" s="50"/>
    </row>
    <row r="52" spans="2:57" ht="28.5" customHeight="1" thickTop="1" thickBot="1">
      <c r="B52" s="549"/>
      <c r="C52" s="550"/>
      <c r="D52" s="552"/>
      <c r="E52" s="553"/>
      <c r="F52" s="566"/>
      <c r="G52" s="561"/>
      <c r="H52" s="549"/>
      <c r="I52" s="549"/>
      <c r="J52" s="555"/>
      <c r="K52" s="562"/>
      <c r="L52" s="564"/>
      <c r="M52" s="555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80" t="str">
        <f>J38</f>
        <v>CARIB</v>
      </c>
      <c r="C53" s="479">
        <v>46164</v>
      </c>
      <c r="D53" s="445">
        <f>[32]May_2026!$Y$3</f>
        <v>400.7</v>
      </c>
      <c r="E53" s="443"/>
      <c r="F53" s="444">
        <f>SUM([33]CARIB!$L$83:$L$90)</f>
        <v>397.5</v>
      </c>
      <c r="G53" s="445">
        <f>[32]May_2026!$Y$7</f>
        <v>385.6</v>
      </c>
      <c r="H53" s="458">
        <f>(D53-F53)/D53*100</f>
        <v>0.79860244571998718</v>
      </c>
      <c r="I53" s="458">
        <f>((F53+E53)-G53)/(F53+E53)*100</f>
        <v>2.9937106918238938</v>
      </c>
      <c r="J53" s="448" t="s">
        <v>173</v>
      </c>
      <c r="K53" s="449">
        <f>[34]May_2026!$Y$18</f>
        <v>1.352982456140351</v>
      </c>
      <c r="L53" s="476">
        <f>(((D53+E53)-G53)/(D53+E53))*100</f>
        <v>3.7684052907411947</v>
      </c>
      <c r="M53" s="455" t="s">
        <v>210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[13]January_2019!L5</f>
        <v>0</v>
      </c>
      <c r="AC53" s="57">
        <f>[13]January_2019!M5</f>
        <v>0</v>
      </c>
      <c r="AD53" s="57">
        <f>[13]January_2019!N5</f>
        <v>0</v>
      </c>
      <c r="AE53" s="57">
        <f>[13]January_2019!O5</f>
        <v>0</v>
      </c>
      <c r="AF53" s="57">
        <f>[13]January_2019!P5</f>
        <v>0</v>
      </c>
      <c r="AG53" s="57">
        <f>[13]January_2019!Q5</f>
        <v>0</v>
      </c>
      <c r="AH53" s="57">
        <f>[13]January_2019!R5</f>
        <v>0</v>
      </c>
      <c r="AI53" s="57">
        <f>[13]January_2019!S5</f>
        <v>0</v>
      </c>
      <c r="AJ53" s="57">
        <f>[13]January_2019!T5</f>
        <v>0</v>
      </c>
      <c r="AK53" s="57">
        <f>[13]January_2019!U5</f>
        <v>0</v>
      </c>
      <c r="AL53" s="57">
        <f>[13]January_2019!V5</f>
        <v>0</v>
      </c>
      <c r="AM53" s="57">
        <f>[13]January_2019!W5</f>
        <v>0</v>
      </c>
      <c r="AN53" s="57">
        <f>[13]January_2019!X5</f>
        <v>0</v>
      </c>
      <c r="AO53" s="57">
        <f>[13]January_2019!Y5</f>
        <v>0</v>
      </c>
      <c r="AP53" s="57">
        <f>[13]January_2019!Z5</f>
        <v>0</v>
      </c>
      <c r="AQ53" s="57">
        <f>[13]January_2019!AA5</f>
        <v>0</v>
      </c>
      <c r="AR53" s="57">
        <f>[13]January_2019!AB5</f>
        <v>0</v>
      </c>
      <c r="AS53" s="57">
        <f>[13]January_2019!AC5</f>
        <v>0</v>
      </c>
      <c r="AT53" s="57">
        <f>[13]January_2019!AD5</f>
        <v>0</v>
      </c>
      <c r="AU53" s="57">
        <f>[13]January_2019!AE5</f>
        <v>0</v>
      </c>
      <c r="AV53" s="57">
        <f>[13]January_2019!AF5</f>
        <v>0</v>
      </c>
      <c r="AW53" s="57">
        <f>[13]January_2019!AG5</f>
        <v>0</v>
      </c>
      <c r="AX53" s="277">
        <f>[13]January_2019!AH5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[13]January_2019!L6</f>
        <v>0</v>
      </c>
      <c r="AC54" s="57">
        <f>[13]January_2019!M6</f>
        <v>0</v>
      </c>
      <c r="AD54" s="57">
        <f>[13]January_2019!N6</f>
        <v>0</v>
      </c>
      <c r="AE54" s="57">
        <f>[13]January_2019!O6</f>
        <v>0</v>
      </c>
      <c r="AF54" s="57">
        <f>[13]January_2019!P6</f>
        <v>0</v>
      </c>
      <c r="AG54" s="57">
        <f>[13]January_2019!Q6</f>
        <v>0</v>
      </c>
      <c r="AH54" s="57">
        <f>[13]January_2019!R6</f>
        <v>0</v>
      </c>
      <c r="AI54" s="57">
        <f>[13]January_2019!S6</f>
        <v>0</v>
      </c>
      <c r="AJ54" s="57">
        <f>[13]January_2019!T6</f>
        <v>0</v>
      </c>
      <c r="AK54" s="57">
        <f>[13]January_2019!U6</f>
        <v>0</v>
      </c>
      <c r="AL54" s="57">
        <f>[13]January_2019!V6</f>
        <v>0</v>
      </c>
      <c r="AM54" s="57">
        <f>[13]January_2019!W6</f>
        <v>0</v>
      </c>
      <c r="AN54" s="57">
        <f>[13]January_2019!X6</f>
        <v>0</v>
      </c>
      <c r="AO54" s="57">
        <f>[13]January_2019!Y6</f>
        <v>0</v>
      </c>
      <c r="AP54" s="57">
        <f>[13]January_2019!Z6</f>
        <v>0</v>
      </c>
      <c r="AQ54" s="57">
        <f>[13]January_2019!AA6</f>
        <v>0</v>
      </c>
      <c r="AR54" s="57">
        <f>[13]January_2019!AB6</f>
        <v>0</v>
      </c>
      <c r="AS54" s="57">
        <f>[13]January_2019!AC6</f>
        <v>0</v>
      </c>
      <c r="AT54" s="57">
        <f>[13]January_2019!AD6</f>
        <v>0</v>
      </c>
      <c r="AU54" s="57">
        <f>[13]January_2019!AE6</f>
        <v>0</v>
      </c>
      <c r="AV54" s="57">
        <f>[13]January_2019!AF6</f>
        <v>0</v>
      </c>
      <c r="AW54" s="57">
        <f>[13]January_2019!AG6</f>
        <v>0</v>
      </c>
      <c r="AX54" s="277">
        <f>[13]January_2019!AH6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[13]January_2019!L7</f>
        <v>285.8</v>
      </c>
      <c r="AC55" s="57">
        <f>[13]January_2019!M7</f>
        <v>508.1</v>
      </c>
      <c r="AD55" s="57">
        <f>[13]January_2019!N7</f>
        <v>0</v>
      </c>
      <c r="AE55" s="57">
        <f>[13]January_2019!O7</f>
        <v>0</v>
      </c>
      <c r="AF55" s="57">
        <f>[13]January_2019!P7</f>
        <v>109.56666666666666</v>
      </c>
      <c r="AG55" s="57">
        <f>[13]January_2019!Q7</f>
        <v>297.64999999999998</v>
      </c>
      <c r="AH55" s="57">
        <f>[13]January_2019!R7</f>
        <v>122.3</v>
      </c>
      <c r="AI55" s="57">
        <f>[13]January_2019!S7</f>
        <v>0</v>
      </c>
      <c r="AJ55" s="57">
        <f>[13]January_2019!T7</f>
        <v>294.7</v>
      </c>
      <c r="AK55" s="57">
        <f>[13]January_2019!U7</f>
        <v>280.5</v>
      </c>
      <c r="AL55" s="57">
        <f>[13]January_2019!V7</f>
        <v>0</v>
      </c>
      <c r="AM55" s="57">
        <f>[13]January_2019!W7</f>
        <v>0</v>
      </c>
      <c r="AN55" s="57">
        <f>[13]January_2019!X7</f>
        <v>188.25</v>
      </c>
      <c r="AO55" s="57">
        <f>[13]January_2019!Y7</f>
        <v>295.7</v>
      </c>
      <c r="AP55" s="57">
        <f>[13]January_2019!Z7</f>
        <v>257.8</v>
      </c>
      <c r="AQ55" s="57">
        <f>[13]January_2019!AA7</f>
        <v>291.2</v>
      </c>
      <c r="AR55" s="57">
        <f>[13]January_2019!AB7</f>
        <v>187</v>
      </c>
      <c r="AS55" s="57">
        <f>[13]January_2019!AC7</f>
        <v>0</v>
      </c>
      <c r="AT55" s="57">
        <f>[13]January_2019!AD7</f>
        <v>0</v>
      </c>
      <c r="AU55" s="57">
        <f>[13]January_2019!AE7</f>
        <v>485.1</v>
      </c>
      <c r="AV55" s="57">
        <f>[13]January_2019!AF7</f>
        <v>171.55</v>
      </c>
      <c r="AW55" s="57">
        <f>[13]January_2019!AG7</f>
        <v>423.8</v>
      </c>
      <c r="AX55" s="277">
        <f>[13]January_2019!AH7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9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56" t="s">
        <v>55</v>
      </c>
      <c r="C64" s="557"/>
      <c r="D64" s="557"/>
      <c r="E64" s="557"/>
      <c r="F64" s="558"/>
      <c r="G64" s="556" t="s">
        <v>56</v>
      </c>
      <c r="H64" s="557"/>
      <c r="I64" s="557"/>
      <c r="J64" s="558"/>
      <c r="K64" s="556" t="s">
        <v>51</v>
      </c>
      <c r="L64" s="557"/>
      <c r="M64" s="557"/>
      <c r="N64" s="559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3.7684052907411947</v>
      </c>
      <c r="D66" s="76">
        <v>5.8025912611286596</v>
      </c>
      <c r="E66" s="76">
        <v>6.5598826107711794</v>
      </c>
      <c r="F66" s="66">
        <v>4.8</v>
      </c>
      <c r="G66" s="65">
        <f>[32]May_2026!$Y$11</f>
        <v>2.5784020585574652</v>
      </c>
      <c r="H66" s="477">
        <v>5.7611726960888694</v>
      </c>
      <c r="I66" s="477">
        <v>6.2966482358183598</v>
      </c>
      <c r="J66" s="66">
        <v>4.8</v>
      </c>
      <c r="K66" s="67">
        <f>K53</f>
        <v>1.352982456140351</v>
      </c>
      <c r="L66" s="194">
        <v>0.63980019493177387</v>
      </c>
      <c r="M66" s="194">
        <v>0.50939879867857363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5.1176890156918384</v>
      </c>
      <c r="E67" s="76">
        <v>6.0568688569191238</v>
      </c>
      <c r="F67" s="66">
        <v>4.8</v>
      </c>
      <c r="G67" s="65"/>
      <c r="H67" s="76">
        <v>4.9494635940844729</v>
      </c>
      <c r="I67" s="76">
        <v>5.4655642193228315</v>
      </c>
      <c r="J67" s="66">
        <v>4.8</v>
      </c>
      <c r="K67" s="67"/>
      <c r="L67" s="194">
        <v>0.59716791979949879</v>
      </c>
      <c r="M67" s="194">
        <v>0.68713504693777017</v>
      </c>
      <c r="N67" s="68">
        <v>1</v>
      </c>
      <c r="P67" s="69"/>
    </row>
    <row r="68" spans="2:16" ht="15">
      <c r="B68" s="34" t="s">
        <v>40</v>
      </c>
      <c r="C68" s="65"/>
      <c r="D68" s="76">
        <v>10.182228066879567</v>
      </c>
      <c r="E68" s="76">
        <v>11.735537190082644</v>
      </c>
      <c r="F68" s="66">
        <v>5.5</v>
      </c>
      <c r="G68" s="65"/>
      <c r="H68" s="76">
        <v>11.362028737847183</v>
      </c>
      <c r="I68" s="76">
        <v>12.769538510720032</v>
      </c>
      <c r="J68" s="66">
        <v>5.5</v>
      </c>
      <c r="K68" s="67"/>
      <c r="L68" s="194">
        <v>0.23824561403508773</v>
      </c>
      <c r="M68" s="194">
        <v>0.26411513157894739</v>
      </c>
      <c r="N68" s="68">
        <v>1</v>
      </c>
      <c r="P68" s="69"/>
    </row>
    <row r="69" spans="2:16" ht="15">
      <c r="B69" s="22" t="s">
        <v>33</v>
      </c>
      <c r="C69" s="65"/>
      <c r="D69" s="76">
        <v>4.9306092006073188</v>
      </c>
      <c r="E69" s="76">
        <v>4.7166249493099075</v>
      </c>
      <c r="F69" s="66">
        <v>3.3</v>
      </c>
      <c r="G69" s="65"/>
      <c r="H69" s="76">
        <v>5.5037640962151348</v>
      </c>
      <c r="I69" s="76">
        <v>4.7393662692065543</v>
      </c>
      <c r="J69" s="66">
        <v>3.3</v>
      </c>
      <c r="K69" s="67"/>
      <c r="L69" s="194">
        <v>0.61175438596491227</v>
      </c>
      <c r="M69" s="194">
        <v>0.73604010025062649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76"/>
      <c r="D71" s="76">
        <v>5.2401746724890881</v>
      </c>
      <c r="E71" s="76">
        <v>5.1541347251672045</v>
      </c>
      <c r="F71" s="487">
        <v>5.5</v>
      </c>
      <c r="G71" s="282"/>
      <c r="H71" s="76">
        <v>6.6922456038466889</v>
      </c>
      <c r="I71" s="76">
        <v>7.4989046872874194</v>
      </c>
      <c r="J71" s="66">
        <v>5.5</v>
      </c>
      <c r="K71" s="67"/>
      <c r="L71" s="194">
        <v>0.68526315789473691</v>
      </c>
      <c r="M71" s="194">
        <v>1.0201754385964912</v>
      </c>
      <c r="N71" s="68">
        <v>1</v>
      </c>
      <c r="P71" s="69"/>
    </row>
    <row r="72" spans="2:16" ht="15">
      <c r="B72" s="37" t="s">
        <v>16</v>
      </c>
      <c r="C72" s="65"/>
      <c r="D72" s="76">
        <v>3.4477692345364712</v>
      </c>
      <c r="E72" s="76">
        <v>3.8718586514884619</v>
      </c>
      <c r="F72" s="66">
        <v>3.3</v>
      </c>
      <c r="G72" s="282"/>
      <c r="H72" s="76">
        <v>4.2666251196365179</v>
      </c>
      <c r="I72" s="76">
        <v>4.7387128519495914</v>
      </c>
      <c r="J72" s="66">
        <v>3.3</v>
      </c>
      <c r="K72" s="67"/>
      <c r="L72" s="194">
        <v>0.69175438596491223</v>
      </c>
      <c r="M72" s="194">
        <v>0.84386695906432752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5.7309668983908626</v>
      </c>
      <c r="E75" s="76">
        <v>6.3816085764466983</v>
      </c>
      <c r="F75" s="341">
        <v>5.5</v>
      </c>
      <c r="H75" s="76">
        <v>5.9680750445527817</v>
      </c>
      <c r="I75" s="76">
        <v>6.3942170895363688</v>
      </c>
      <c r="J75" s="341">
        <v>5.5</v>
      </c>
      <c r="L75" s="194">
        <v>0.60141867013212058</v>
      </c>
      <c r="M75" s="194">
        <v>0.57845124661807423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921" priority="103" operator="notBetween">
      <formula>#REF!</formula>
      <formula>#REF!</formula>
    </cfRule>
  </conditionalFormatting>
  <conditionalFormatting sqref="C50">
    <cfRule type="cellIs" dxfId="920" priority="192" stopIfTrue="1" operator="lessThan">
      <formula>96</formula>
    </cfRule>
    <cfRule type="cellIs" dxfId="919" priority="193" stopIfTrue="1" operator="greaterThan">
      <formula>100</formula>
    </cfRule>
  </conditionalFormatting>
  <conditionalFormatting sqref="C66:C67">
    <cfRule type="cellIs" dxfId="918" priority="39" stopIfTrue="1" operator="greaterThan">
      <formula>$F66</formula>
    </cfRule>
    <cfRule type="cellIs" dxfId="917" priority="40" stopIfTrue="1" operator="lessThanOrEqual">
      <formula>0</formula>
    </cfRule>
    <cfRule type="cellIs" dxfId="916" priority="41" stopIfTrue="1" operator="greaterThan">
      <formula>$F66</formula>
    </cfRule>
    <cfRule type="cellIs" dxfId="915" priority="42" stopIfTrue="1" operator="lessThanOrEqual">
      <formula>0</formula>
    </cfRule>
  </conditionalFormatting>
  <conditionalFormatting sqref="C68:C70 C72:C74">
    <cfRule type="cellIs" dxfId="914" priority="73" stopIfTrue="1" operator="greaterThan">
      <formula>$F71</formula>
    </cfRule>
  </conditionalFormatting>
  <conditionalFormatting sqref="C68:C70">
    <cfRule type="cellIs" dxfId="913" priority="74" stopIfTrue="1" operator="lessThanOrEqual">
      <formula>0</formula>
    </cfRule>
  </conditionalFormatting>
  <conditionalFormatting sqref="C72:C74">
    <cfRule type="cellIs" dxfId="912" priority="75" stopIfTrue="1" operator="lessThanOrEqual">
      <formula>0</formula>
    </cfRule>
  </conditionalFormatting>
  <conditionalFormatting sqref="C77:C81">
    <cfRule type="cellIs" dxfId="911" priority="184" stopIfTrue="1" operator="lessThanOrEqual">
      <formula>0</formula>
    </cfRule>
  </conditionalFormatting>
  <conditionalFormatting sqref="C78:C81">
    <cfRule type="cellIs" dxfId="910" priority="183" stopIfTrue="1" operator="greaterThan">
      <formula>$F$77</formula>
    </cfRule>
  </conditionalFormatting>
  <conditionalFormatting sqref="C83">
    <cfRule type="cellIs" dxfId="909" priority="186" stopIfTrue="1" operator="lessThanOrEqual">
      <formula>0</formula>
    </cfRule>
    <cfRule type="cellIs" dxfId="908" priority="185" stopIfTrue="1" operator="greaterThan">
      <formula>$F$77</formula>
    </cfRule>
  </conditionalFormatting>
  <conditionalFormatting sqref="C71:D71">
    <cfRule type="cellIs" dxfId="907" priority="37" stopIfTrue="1" operator="greaterThan">
      <formula>$J71</formula>
    </cfRule>
    <cfRule type="cellIs" dxfId="906" priority="38" stopIfTrue="1" operator="lessThanOrEqual">
      <formula>0</formula>
    </cfRule>
  </conditionalFormatting>
  <conditionalFormatting sqref="C77:D77 D79:D85">
    <cfRule type="cellIs" dxfId="905" priority="178" stopIfTrue="1" operator="greaterThan">
      <formula>4.5</formula>
    </cfRule>
  </conditionalFormatting>
  <conditionalFormatting sqref="D46:D47">
    <cfRule type="cellIs" dxfId="904" priority="104" operator="notBetween">
      <formula>#REF!</formula>
      <formula>#REF!</formula>
    </cfRule>
  </conditionalFormatting>
  <conditionalFormatting sqref="D66:D70 D72:D73">
    <cfRule type="cellIs" dxfId="903" priority="68" stopIfTrue="1" operator="lessThanOrEqual">
      <formula>0</formula>
    </cfRule>
  </conditionalFormatting>
  <conditionalFormatting sqref="D66:D70 D72:D75">
    <cfRule type="cellIs" dxfId="902" priority="52" stopIfTrue="1" operator="lessThanOrEqual">
      <formula>0</formula>
    </cfRule>
  </conditionalFormatting>
  <conditionalFormatting sqref="D74">
    <cfRule type="cellIs" dxfId="901" priority="67" stopIfTrue="1" operator="lessThanOrEqual">
      <formula>0</formula>
    </cfRule>
  </conditionalFormatting>
  <conditionalFormatting sqref="D75">
    <cfRule type="cellIs" dxfId="900" priority="64" stopIfTrue="1" operator="lessThanOrEqual">
      <formula>0</formula>
    </cfRule>
  </conditionalFormatting>
  <conditionalFormatting sqref="D77 D79:D85">
    <cfRule type="cellIs" dxfId="899" priority="179" stopIfTrue="1" operator="lessThanOrEqual">
      <formula>0</formula>
    </cfRule>
  </conditionalFormatting>
  <conditionalFormatting sqref="D78">
    <cfRule type="cellIs" dxfId="898" priority="171" stopIfTrue="1" operator="lessThanOrEqual">
      <formula>0</formula>
    </cfRule>
    <cfRule type="cellIs" dxfId="897" priority="170" stopIfTrue="1" operator="greaterThan">
      <formula>$F$77</formula>
    </cfRule>
  </conditionalFormatting>
  <conditionalFormatting sqref="D66:E70 E71 D72:E75">
    <cfRule type="cellIs" dxfId="896" priority="54" stopIfTrue="1" operator="greaterThan">
      <formula>$F66</formula>
    </cfRule>
  </conditionalFormatting>
  <conditionalFormatting sqref="D75:E75">
    <cfRule type="cellIs" dxfId="895" priority="56" stopIfTrue="1" operator="lessThanOrEqual">
      <formula>0</formula>
    </cfRule>
  </conditionalFormatting>
  <conditionalFormatting sqref="E11:E21">
    <cfRule type="cellIs" dxfId="894" priority="33" operator="lessThan">
      <formula>48</formula>
    </cfRule>
  </conditionalFormatting>
  <conditionalFormatting sqref="E49 E50:F50">
    <cfRule type="cellIs" dxfId="893" priority="175" stopIfTrue="1" operator="greaterThan">
      <formula>100</formula>
    </cfRule>
  </conditionalFormatting>
  <conditionalFormatting sqref="E50">
    <cfRule type="cellIs" dxfId="892" priority="173" stopIfTrue="1" operator="greaterThan">
      <formula>100</formula>
    </cfRule>
    <cfRule type="cellIs" dxfId="891" priority="172" stopIfTrue="1" operator="lessThan">
      <formula>96.8</formula>
    </cfRule>
  </conditionalFormatting>
  <conditionalFormatting sqref="E66:E74">
    <cfRule type="cellIs" dxfId="890" priority="53" stopIfTrue="1" operator="lessThanOrEqual">
      <formula>0</formula>
    </cfRule>
  </conditionalFormatting>
  <conditionalFormatting sqref="E66:E75">
    <cfRule type="cellIs" dxfId="889" priority="55" stopIfTrue="1" operator="lessThanOrEqual">
      <formula>0</formula>
    </cfRule>
  </conditionalFormatting>
  <conditionalFormatting sqref="E77:E85">
    <cfRule type="cellIs" dxfId="888" priority="165" stopIfTrue="1" operator="lessThanOrEqual">
      <formula>0</formula>
    </cfRule>
    <cfRule type="cellIs" dxfId="887" priority="164" stopIfTrue="1" operator="greaterThan">
      <formula>4.5</formula>
    </cfRule>
  </conditionalFormatting>
  <conditionalFormatting sqref="E50:F50 E49">
    <cfRule type="cellIs" dxfId="886" priority="174" stopIfTrue="1" operator="lessThan">
      <formula>96.5</formula>
    </cfRule>
  </conditionalFormatting>
  <conditionalFormatting sqref="F20:F21">
    <cfRule type="cellIs" dxfId="885" priority="43" operator="greaterThan">
      <formula>60</formula>
    </cfRule>
  </conditionalFormatting>
  <conditionalFormatting sqref="F50">
    <cfRule type="cellIs" dxfId="884" priority="191" stopIfTrue="1" operator="greaterThan">
      <formula>100</formula>
    </cfRule>
    <cfRule type="cellIs" dxfId="883" priority="190" stopIfTrue="1" operator="lessThan">
      <formula>96.8</formula>
    </cfRule>
  </conditionalFormatting>
  <conditionalFormatting sqref="F75">
    <cfRule type="cellIs" dxfId="882" priority="65" stopIfTrue="1" operator="greaterThan">
      <formula>$F75</formula>
    </cfRule>
    <cfRule type="cellIs" dxfId="881" priority="66" stopIfTrue="1" operator="lessThanOrEqual">
      <formula>0</formula>
    </cfRule>
  </conditionalFormatting>
  <conditionalFormatting sqref="G11:G21">
    <cfRule type="expression" dxfId="880" priority="34">
      <formula>IF(+(IF(G11&lt;S11,0,IF(G11&gt;T11,0,1)))=0,1)</formula>
    </cfRule>
  </conditionalFormatting>
  <conditionalFormatting sqref="G66:G67">
    <cfRule type="cellIs" dxfId="879" priority="69" stopIfTrue="1" operator="greaterThan">
      <formula>$F66</formula>
    </cfRule>
    <cfRule type="cellIs" dxfId="878" priority="70" stopIfTrue="1" operator="lessThanOrEqual">
      <formula>0</formula>
    </cfRule>
  </conditionalFormatting>
  <conditionalFormatting sqref="G66:G69">
    <cfRule type="cellIs" dxfId="877" priority="48" stopIfTrue="1" operator="lessThanOrEqual">
      <formula>0</formula>
    </cfRule>
    <cfRule type="cellIs" dxfId="876" priority="47" stopIfTrue="1" operator="greaterThan">
      <formula>$F66</formula>
    </cfRule>
  </conditionalFormatting>
  <conditionalFormatting sqref="G68">
    <cfRule type="cellIs" dxfId="875" priority="46" stopIfTrue="1" operator="lessThanOrEqual">
      <formula>0</formula>
    </cfRule>
    <cfRule type="cellIs" dxfId="874" priority="45" stopIfTrue="1" operator="greaterThan">
      <formula>$F68</formula>
    </cfRule>
  </conditionalFormatting>
  <conditionalFormatting sqref="G69">
    <cfRule type="cellIs" dxfId="873" priority="61" stopIfTrue="1" operator="lessThanOrEqual">
      <formula>0</formula>
    </cfRule>
    <cfRule type="cellIs" dxfId="872" priority="60" stopIfTrue="1" operator="greaterThan">
      <formula>$F69</formula>
    </cfRule>
  </conditionalFormatting>
  <conditionalFormatting sqref="G70:G74">
    <cfRule type="cellIs" dxfId="871" priority="71" stopIfTrue="1" operator="greaterThan">
      <formula>$J70</formula>
    </cfRule>
    <cfRule type="cellIs" dxfId="870" priority="72" stopIfTrue="1" operator="lessThanOrEqual">
      <formula>0</formula>
    </cfRule>
  </conditionalFormatting>
  <conditionalFormatting sqref="G79:G84 C82 C84">
    <cfRule type="cellIs" dxfId="869" priority="188" stopIfTrue="1" operator="lessThanOrEqual">
      <formula>0</formula>
    </cfRule>
    <cfRule type="cellIs" dxfId="868" priority="187" stopIfTrue="1" operator="greaterThan">
      <formula>4.5</formula>
    </cfRule>
  </conditionalFormatting>
  <conditionalFormatting sqref="G78:H78">
    <cfRule type="cellIs" dxfId="867" priority="168" stopIfTrue="1" operator="greaterThan">
      <formula>$F$77</formula>
    </cfRule>
    <cfRule type="cellIs" dxfId="866" priority="169" stopIfTrue="1" operator="lessThanOrEqual">
      <formula>0</formula>
    </cfRule>
  </conditionalFormatting>
  <conditionalFormatting sqref="H11:H21 M18:N21">
    <cfRule type="expression" dxfId="865" priority="35">
      <formula>IF(+(IF(H11&lt;#REF!,0,IF(H11&gt;#REF!,0,1)))=0,1)</formula>
    </cfRule>
  </conditionalFormatting>
  <conditionalFormatting sqref="H35:H36 H49">
    <cfRule type="cellIs" dxfId="864" priority="166" stopIfTrue="1" operator="greaterThan">
      <formula>0</formula>
    </cfRule>
  </conditionalFormatting>
  <conditionalFormatting sqref="H53">
    <cfRule type="cellIs" dxfId="863" priority="24" stopIfTrue="1" operator="greaterThan">
      <formula>$F$67</formula>
    </cfRule>
    <cfRule type="cellIs" dxfId="862" priority="23" stopIfTrue="1" operator="lessThanOrEqual">
      <formula>0</formula>
    </cfRule>
    <cfRule type="cellIs" dxfId="861" priority="22" stopIfTrue="1" operator="greaterThan">
      <formula>$F$69</formula>
    </cfRule>
    <cfRule type="cellIs" dxfId="860" priority="14" stopIfTrue="1" operator="greaterThan">
      <formula>$F$66</formula>
    </cfRule>
    <cfRule type="cellIs" dxfId="859" priority="13" stopIfTrue="1" operator="lessThanOrEqual">
      <formula>0</formula>
    </cfRule>
  </conditionalFormatting>
  <conditionalFormatting sqref="H53:H55">
    <cfRule type="cellIs" dxfId="858" priority="25" stopIfTrue="1" operator="lessThanOrEqual">
      <formula>0</formula>
    </cfRule>
  </conditionalFormatting>
  <conditionalFormatting sqref="H54:H55">
    <cfRule type="cellIs" dxfId="857" priority="76" stopIfTrue="1" operator="greaterThan">
      <formula>$F$66</formula>
    </cfRule>
    <cfRule type="cellIs" dxfId="856" priority="84" stopIfTrue="1" operator="greaterThan">
      <formula>$F$69</formula>
    </cfRule>
    <cfRule type="cellIs" dxfId="855" priority="85" stopIfTrue="1" operator="lessThanOrEqual">
      <formula>0</formula>
    </cfRule>
    <cfRule type="cellIs" dxfId="854" priority="86" stopIfTrue="1" operator="greaterThan">
      <formula>$F$67</formula>
    </cfRule>
  </conditionalFormatting>
  <conditionalFormatting sqref="H54:H57">
    <cfRule type="cellIs" dxfId="853" priority="87" stopIfTrue="1" operator="lessThanOrEqual">
      <formula>0</formula>
    </cfRule>
  </conditionalFormatting>
  <conditionalFormatting sqref="H56:H57">
    <cfRule type="cellIs" dxfId="852" priority="99" stopIfTrue="1" operator="lessThanOrEqual">
      <formula>0</formula>
    </cfRule>
    <cfRule type="cellIs" dxfId="851" priority="90" stopIfTrue="1" operator="greaterThan">
      <formula>$F$66</formula>
    </cfRule>
    <cfRule type="cellIs" dxfId="850" priority="98" stopIfTrue="1" operator="greaterThan">
      <formula>$F$69</formula>
    </cfRule>
    <cfRule type="cellIs" dxfId="849" priority="101" stopIfTrue="1" operator="lessThanOrEqual">
      <formula>0</formula>
    </cfRule>
    <cfRule type="cellIs" dxfId="848" priority="100" stopIfTrue="1" operator="greaterThan">
      <formula>$F$67</formula>
    </cfRule>
  </conditionalFormatting>
  <conditionalFormatting sqref="H58:H59">
    <cfRule type="cellIs" dxfId="847" priority="138" stopIfTrue="1" operator="lessThanOrEqual">
      <formula>0</formula>
    </cfRule>
    <cfRule type="cellIs" dxfId="846" priority="137" stopIfTrue="1" operator="greaterThan">
      <formula>$F$21</formula>
    </cfRule>
    <cfRule type="cellIs" dxfId="845" priority="140" stopIfTrue="1" operator="lessThanOrEqual">
      <formula>0</formula>
    </cfRule>
    <cfRule type="cellIs" dxfId="844" priority="139" stopIfTrue="1" operator="greaterThan">
      <formula>#REF!</formula>
    </cfRule>
    <cfRule type="cellIs" dxfId="843" priority="129" stopIfTrue="1" operator="greaterThan">
      <formula>#REF!</formula>
    </cfRule>
    <cfRule type="cellIs" dxfId="842" priority="128" stopIfTrue="1" operator="lessThanOrEqual">
      <formula>0</formula>
    </cfRule>
  </conditionalFormatting>
  <conditionalFormatting sqref="H60">
    <cfRule type="cellIs" dxfId="841" priority="143" stopIfTrue="1" operator="greaterThan">
      <formula>$F$34</formula>
    </cfRule>
    <cfRule type="cellIs" dxfId="840" priority="142" stopIfTrue="1" operator="lessThanOrEqual">
      <formula>0</formula>
    </cfRule>
    <cfRule type="cellIs" dxfId="839" priority="154" stopIfTrue="1" operator="lessThanOrEqual">
      <formula>0</formula>
    </cfRule>
    <cfRule type="cellIs" dxfId="838" priority="152" stopIfTrue="1" operator="lessThanOrEqual">
      <formula>0</formula>
    </cfRule>
    <cfRule type="cellIs" dxfId="837" priority="151" stopIfTrue="1" operator="greaterThan">
      <formula>$F$37</formula>
    </cfRule>
    <cfRule type="cellIs" dxfId="836" priority="153" stopIfTrue="1" operator="greaterThan">
      <formula>$F$35</formula>
    </cfRule>
  </conditionalFormatting>
  <conditionalFormatting sqref="H61:H62">
    <cfRule type="cellIs" dxfId="835" priority="123" stopIfTrue="1" operator="greaterThan">
      <formula>$F$21</formula>
    </cfRule>
    <cfRule type="cellIs" dxfId="834" priority="125" stopIfTrue="1" operator="greaterThan">
      <formula>#REF!</formula>
    </cfRule>
    <cfRule type="cellIs" dxfId="833" priority="124" stopIfTrue="1" operator="lessThanOrEqual">
      <formula>0</formula>
    </cfRule>
    <cfRule type="cellIs" dxfId="832" priority="126" stopIfTrue="1" operator="lessThanOrEqual">
      <formula>0</formula>
    </cfRule>
    <cfRule type="cellIs" dxfId="831" priority="114" stopIfTrue="1" operator="lessThanOrEqual">
      <formula>0</formula>
    </cfRule>
    <cfRule type="cellIs" dxfId="830" priority="115" stopIfTrue="1" operator="greaterThan">
      <formula>#REF!</formula>
    </cfRule>
  </conditionalFormatting>
  <conditionalFormatting sqref="H77 H79:H85">
    <cfRule type="cellIs" dxfId="829" priority="180" stopIfTrue="1" operator="greaterThan">
      <formula>4.5</formula>
    </cfRule>
    <cfRule type="cellIs" dxfId="828" priority="181" stopIfTrue="1" operator="lessThanOrEqual">
      <formula>0</formula>
    </cfRule>
  </conditionalFormatting>
  <conditionalFormatting sqref="H53:I53">
    <cfRule type="cellIs" dxfId="827" priority="15" stopIfTrue="1" operator="lessThanOrEqual">
      <formula>0</formula>
    </cfRule>
  </conditionalFormatting>
  <conditionalFormatting sqref="H53:I57">
    <cfRule type="cellIs" dxfId="826" priority="12" stopIfTrue="1" operator="greaterThan">
      <formula>$F$68</formula>
    </cfRule>
  </conditionalFormatting>
  <conditionalFormatting sqref="H54:I55">
    <cfRule type="cellIs" dxfId="825" priority="77" stopIfTrue="1" operator="lessThanOrEqual">
      <formula>0</formula>
    </cfRule>
  </conditionalFormatting>
  <conditionalFormatting sqref="H56:I57">
    <cfRule type="cellIs" dxfId="824" priority="91" stopIfTrue="1" operator="lessThanOrEqual">
      <formula>0</formula>
    </cfRule>
  </conditionalFormatting>
  <conditionalFormatting sqref="H58:I59">
    <cfRule type="cellIs" dxfId="823" priority="130" stopIfTrue="1" operator="lessThanOrEqual">
      <formula>0</formula>
    </cfRule>
    <cfRule type="cellIs" dxfId="822" priority="127" stopIfTrue="1" operator="greaterThan">
      <formula>#REF!</formula>
    </cfRule>
  </conditionalFormatting>
  <conditionalFormatting sqref="H60:I60">
    <cfRule type="cellIs" dxfId="821" priority="144" stopIfTrue="1" operator="lessThanOrEqual">
      <formula>0</formula>
    </cfRule>
    <cfRule type="cellIs" dxfId="820" priority="141" stopIfTrue="1" operator="greaterThan">
      <formula>$F$36</formula>
    </cfRule>
  </conditionalFormatting>
  <conditionalFormatting sqref="H61:I62">
    <cfRule type="cellIs" dxfId="819" priority="113" stopIfTrue="1" operator="greaterThan">
      <formula>#REF!</formula>
    </cfRule>
    <cfRule type="cellIs" dxfId="818" priority="116" stopIfTrue="1" operator="lessThanOrEqual">
      <formula>0</formula>
    </cfRule>
  </conditionalFormatting>
  <conditionalFormatting sqref="H66:I73">
    <cfRule type="cellIs" dxfId="817" priority="51" stopIfTrue="1" operator="lessThanOrEqual">
      <formula>0</formula>
    </cfRule>
    <cfRule type="cellIs" dxfId="816" priority="50" stopIfTrue="1" operator="greaterThan">
      <formula>$J66</formula>
    </cfRule>
  </conditionalFormatting>
  <conditionalFormatting sqref="H74:I74">
    <cfRule type="cellIs" dxfId="815" priority="59" operator="greaterThan">
      <formula>5.3</formula>
    </cfRule>
  </conditionalFormatting>
  <conditionalFormatting sqref="H75:I75">
    <cfRule type="cellIs" dxfId="814" priority="58" stopIfTrue="1" operator="lessThanOrEqual">
      <formula>0</formula>
    </cfRule>
    <cfRule type="cellIs" dxfId="813" priority="57" stopIfTrue="1" operator="greaterThan">
      <formula>$J75</formula>
    </cfRule>
  </conditionalFormatting>
  <conditionalFormatting sqref="I53">
    <cfRule type="cellIs" dxfId="812" priority="16" stopIfTrue="1" operator="greaterThan">
      <formula>$F$66</formula>
    </cfRule>
    <cfRule type="cellIs" dxfId="811" priority="17" stopIfTrue="1" operator="lessThanOrEqual">
      <formula>0</formula>
    </cfRule>
    <cfRule type="cellIs" dxfId="810" priority="20" stopIfTrue="1" operator="greaterThan">
      <formula>$F$66</formula>
    </cfRule>
    <cfRule type="cellIs" dxfId="809" priority="18" stopIfTrue="1" operator="greaterThan">
      <formula>$F$68</formula>
    </cfRule>
    <cfRule type="cellIs" dxfId="808" priority="21" stopIfTrue="1" operator="lessThanOrEqual">
      <formula>0</formula>
    </cfRule>
    <cfRule type="cellIs" dxfId="807" priority="19" stopIfTrue="1" operator="lessThanOrEqual">
      <formula>0</formula>
    </cfRule>
  </conditionalFormatting>
  <conditionalFormatting sqref="I54:I55">
    <cfRule type="cellIs" dxfId="806" priority="83" stopIfTrue="1" operator="lessThanOrEqual">
      <formula>0</formula>
    </cfRule>
    <cfRule type="cellIs" dxfId="805" priority="82" stopIfTrue="1" operator="greaterThan">
      <formula>$F$66</formula>
    </cfRule>
    <cfRule type="cellIs" dxfId="804" priority="81" stopIfTrue="1" operator="lessThanOrEqual">
      <formula>0</formula>
    </cfRule>
    <cfRule type="cellIs" dxfId="803" priority="79" stopIfTrue="1" operator="lessThanOrEqual">
      <formula>0</formula>
    </cfRule>
    <cfRule type="cellIs" dxfId="802" priority="78" stopIfTrue="1" operator="greaterThan">
      <formula>$F$66</formula>
    </cfRule>
    <cfRule type="cellIs" dxfId="801" priority="80" stopIfTrue="1" operator="greaterThan">
      <formula>$F$68</formula>
    </cfRule>
  </conditionalFormatting>
  <conditionalFormatting sqref="I56:I57">
    <cfRule type="cellIs" dxfId="800" priority="92" stopIfTrue="1" operator="greaterThan">
      <formula>$F$66</formula>
    </cfRule>
    <cfRule type="cellIs" dxfId="799" priority="93" stopIfTrue="1" operator="lessThanOrEqual">
      <formula>0</formula>
    </cfRule>
    <cfRule type="cellIs" dxfId="798" priority="94" stopIfTrue="1" operator="greaterThan">
      <formula>$F$68</formula>
    </cfRule>
    <cfRule type="cellIs" dxfId="797" priority="96" stopIfTrue="1" operator="greaterThan">
      <formula>$F$66</formula>
    </cfRule>
    <cfRule type="cellIs" dxfId="796" priority="97" stopIfTrue="1" operator="lessThanOrEqual">
      <formula>0</formula>
    </cfRule>
    <cfRule type="cellIs" dxfId="795" priority="95" stopIfTrue="1" operator="lessThanOrEqual">
      <formula>0</formula>
    </cfRule>
  </conditionalFormatting>
  <conditionalFormatting sqref="I58:I59">
    <cfRule type="cellIs" dxfId="794" priority="136" stopIfTrue="1" operator="lessThanOrEqual">
      <formula>0</formula>
    </cfRule>
    <cfRule type="cellIs" dxfId="793" priority="131" stopIfTrue="1" operator="greaterThan">
      <formula>#REF!</formula>
    </cfRule>
    <cfRule type="cellIs" dxfId="792" priority="132" stopIfTrue="1" operator="lessThanOrEqual">
      <formula>0</formula>
    </cfRule>
    <cfRule type="cellIs" dxfId="791" priority="133" stopIfTrue="1" operator="greaterThan">
      <formula>#REF!</formula>
    </cfRule>
    <cfRule type="cellIs" dxfId="790" priority="134" stopIfTrue="1" operator="lessThanOrEqual">
      <formula>0</formula>
    </cfRule>
    <cfRule type="cellIs" dxfId="789" priority="135" stopIfTrue="1" operator="greaterThan">
      <formula>#REF!</formula>
    </cfRule>
  </conditionalFormatting>
  <conditionalFormatting sqref="I60">
    <cfRule type="cellIs" dxfId="788" priority="145" stopIfTrue="1" operator="greaterThan">
      <formula>$F$34</formula>
    </cfRule>
    <cfRule type="cellIs" dxfId="787" priority="146" stopIfTrue="1" operator="lessThanOrEqual">
      <formula>0</formula>
    </cfRule>
    <cfRule type="cellIs" dxfId="786" priority="147" stopIfTrue="1" operator="greaterThan">
      <formula>$F$36</formula>
    </cfRule>
    <cfRule type="cellIs" dxfId="785" priority="148" stopIfTrue="1" operator="lessThanOrEqual">
      <formula>0</formula>
    </cfRule>
    <cfRule type="cellIs" dxfId="784" priority="150" stopIfTrue="1" operator="lessThanOrEqual">
      <formula>0</formula>
    </cfRule>
    <cfRule type="cellIs" dxfId="783" priority="149" stopIfTrue="1" operator="greaterThan">
      <formula>$F$34</formula>
    </cfRule>
  </conditionalFormatting>
  <conditionalFormatting sqref="I61:I62">
    <cfRule type="cellIs" dxfId="782" priority="120" stopIfTrue="1" operator="lessThanOrEqual">
      <formula>0</formula>
    </cfRule>
    <cfRule type="cellIs" dxfId="781" priority="121" stopIfTrue="1" operator="greaterThan">
      <formula>#REF!</formula>
    </cfRule>
    <cfRule type="cellIs" dxfId="780" priority="122" stopIfTrue="1" operator="lessThanOrEqual">
      <formula>0</formula>
    </cfRule>
    <cfRule type="cellIs" dxfId="779" priority="118" stopIfTrue="1" operator="lessThanOrEqual">
      <formula>0</formula>
    </cfRule>
    <cfRule type="cellIs" dxfId="778" priority="117" stopIfTrue="1" operator="greaterThan">
      <formula>#REF!</formula>
    </cfRule>
    <cfRule type="cellIs" dxfId="777" priority="119" stopIfTrue="1" operator="greaterThan">
      <formula>#REF!</formula>
    </cfRule>
  </conditionalFormatting>
  <conditionalFormatting sqref="I77:I85">
    <cfRule type="cellIs" dxfId="776" priority="177" stopIfTrue="1" operator="lessThanOrEqual">
      <formula>0</formula>
    </cfRule>
    <cfRule type="cellIs" dxfId="775" priority="176" stopIfTrue="1" operator="greaterThan">
      <formula>4.5</formula>
    </cfRule>
  </conditionalFormatting>
  <conditionalFormatting sqref="I11:J21">
    <cfRule type="cellIs" dxfId="774" priority="27" operator="lessThan">
      <formula>97.9</formula>
    </cfRule>
  </conditionalFormatting>
  <conditionalFormatting sqref="J24:J25">
    <cfRule type="cellIs" dxfId="773" priority="89" operator="lessThan">
      <formula>97.95</formula>
    </cfRule>
  </conditionalFormatting>
  <conditionalFormatting sqref="J26">
    <cfRule type="cellIs" dxfId="772" priority="157" stopIfTrue="1" operator="greaterThan">
      <formula>100</formula>
    </cfRule>
    <cfRule type="cellIs" dxfId="771" priority="158" operator="lessThan">
      <formula>98</formula>
    </cfRule>
    <cfRule type="cellIs" dxfId="770" priority="156" stopIfTrue="1" operator="lessThan">
      <formula>96.8</formula>
    </cfRule>
  </conditionalFormatting>
  <conditionalFormatting sqref="J26:J28">
    <cfRule type="cellIs" dxfId="769" priority="155" operator="lessThan">
      <formula>97.4</formula>
    </cfRule>
  </conditionalFormatting>
  <conditionalFormatting sqref="J29:J30">
    <cfRule type="cellIs" dxfId="768" priority="159" operator="lessThan">
      <formula>98</formula>
    </cfRule>
  </conditionalFormatting>
  <conditionalFormatting sqref="J31:J32">
    <cfRule type="cellIs" dxfId="767" priority="160" stopIfTrue="1" operator="lessThan">
      <formula>96.8</formula>
    </cfRule>
    <cfRule type="cellIs" dxfId="766" priority="161" stopIfTrue="1" operator="greaterThan">
      <formula>100</formula>
    </cfRule>
  </conditionalFormatting>
  <conditionalFormatting sqref="J31:J33">
    <cfRule type="cellIs" dxfId="765" priority="162" operator="lessThan">
      <formula>98</formula>
    </cfRule>
  </conditionalFormatting>
  <conditionalFormatting sqref="J62">
    <cfRule type="cellIs" dxfId="764" priority="111" stopIfTrue="1" operator="greaterThan">
      <formula>#REF!</formula>
    </cfRule>
    <cfRule type="cellIs" dxfId="763" priority="108" stopIfTrue="1" operator="lessThanOrEqual">
      <formula>0</formula>
    </cfRule>
    <cfRule type="cellIs" dxfId="762" priority="109" stopIfTrue="1" operator="greaterThan">
      <formula>#REF!</formula>
    </cfRule>
    <cfRule type="cellIs" dxfId="761" priority="110" stopIfTrue="1" operator="lessThanOrEqual">
      <formula>0</formula>
    </cfRule>
    <cfRule type="cellIs" dxfId="760" priority="106" stopIfTrue="1" operator="lessThanOrEqual">
      <formula>0</formula>
    </cfRule>
    <cfRule type="cellIs" dxfId="759" priority="112" stopIfTrue="1" operator="lessThanOrEqual">
      <formula>0</formula>
    </cfRule>
    <cfRule type="cellIs" dxfId="758" priority="105" stopIfTrue="1" operator="greaterThan">
      <formula>#REF!</formula>
    </cfRule>
    <cfRule type="cellIs" dxfId="757" priority="107" stopIfTrue="1" operator="greaterThan">
      <formula>#REF!</formula>
    </cfRule>
  </conditionalFormatting>
  <conditionalFormatting sqref="J75">
    <cfRule type="cellIs" dxfId="756" priority="62" stopIfTrue="1" operator="greaterThan">
      <formula>$F75</formula>
    </cfRule>
    <cfRule type="cellIs" dxfId="755" priority="63" stopIfTrue="1" operator="lessThanOrEqual">
      <formula>0</formula>
    </cfRule>
  </conditionalFormatting>
  <conditionalFormatting sqref="K11:K21">
    <cfRule type="cellIs" dxfId="754" priority="30" operator="greaterThan">
      <formula>6.4</formula>
    </cfRule>
    <cfRule type="cellIs" dxfId="753" priority="29" operator="lessThan">
      <formula>4</formula>
    </cfRule>
    <cfRule type="cellIs" dxfId="752" priority="28" operator="greaterThan">
      <formula>6</formula>
    </cfRule>
  </conditionalFormatting>
  <conditionalFormatting sqref="K53:K62">
    <cfRule type="cellIs" dxfId="751" priority="88" stopIfTrue="1" operator="lessThan">
      <formula>100%</formula>
    </cfRule>
  </conditionalFormatting>
  <conditionalFormatting sqref="K66:K74">
    <cfRule type="cellIs" dxfId="750" priority="49" stopIfTrue="1" operator="lessThan">
      <formula>100%</formula>
    </cfRule>
  </conditionalFormatting>
  <conditionalFormatting sqref="K77:K82">
    <cfRule type="cellIs" dxfId="749" priority="182" stopIfTrue="1" operator="lessThan">
      <formula>100%</formula>
    </cfRule>
  </conditionalFormatting>
  <conditionalFormatting sqref="K84:K85">
    <cfRule type="cellIs" dxfId="748" priority="189" stopIfTrue="1" operator="lessThan">
      <formula>100%</formula>
    </cfRule>
  </conditionalFormatting>
  <conditionalFormatting sqref="L11:L21">
    <cfRule type="cellIs" dxfId="747" priority="32" operator="greaterThan">
      <formula>65</formula>
    </cfRule>
    <cfRule type="cellIs" dxfId="746" priority="31" operator="between">
      <formula>61</formula>
      <formula>65</formula>
    </cfRule>
  </conditionalFormatting>
  <conditionalFormatting sqref="L24:M35">
    <cfRule type="cellIs" dxfId="745" priority="102" operator="lessThan">
      <formula>97.95</formula>
    </cfRule>
  </conditionalFormatting>
  <conditionalFormatting sqref="L39:N39">
    <cfRule type="cellIs" dxfId="744" priority="44" operator="notEqual">
      <formula>#REF!</formula>
    </cfRule>
  </conditionalFormatting>
  <conditionalFormatting sqref="L66:N75">
    <cfRule type="cellIs" dxfId="743" priority="36" stopIfTrue="1" operator="lessThan">
      <formula>100%</formula>
    </cfRule>
  </conditionalFormatting>
  <conditionalFormatting sqref="L77:N85">
    <cfRule type="cellIs" dxfId="742" priority="167" stopIfTrue="1" operator="lessThan">
      <formula>100%</formula>
    </cfRule>
  </conditionalFormatting>
  <conditionalFormatting sqref="M11:M17">
    <cfRule type="expression" dxfId="741" priority="2">
      <formula>IF(+(IF(M11&lt;U11,0,IF(M11&gt;V11,0,1)))=0,1)</formula>
    </cfRule>
  </conditionalFormatting>
  <conditionalFormatting sqref="N11:N19">
    <cfRule type="expression" dxfId="740" priority="26">
      <formula>IF(+(IF(N11&lt;W11,0,IF(N11&gt;X11,0,1)))=0,1)</formula>
    </cfRule>
  </conditionalFormatting>
  <conditionalFormatting sqref="P6">
    <cfRule type="cellIs" dxfId="739" priority="163" operator="greaterThanOrEqual">
      <formula>19</formula>
    </cfRule>
  </conditionalFormatting>
  <dataValidations count="1">
    <dataValidation type="list" allowBlank="1" showInputMessage="1" showErrorMessage="1" sqref="R8" xr:uid="{F6285DDC-C776-46D1-8756-9B21F3D76A6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19E5-8C80-4386-A2FC-C6FA2AAB229A}">
  <sheetPr>
    <pageSetUpPr fitToPage="1"/>
  </sheetPr>
  <dimension ref="A1:BE76"/>
  <sheetViews>
    <sheetView topLeftCell="A12" zoomScale="70" zoomScaleNormal="70" workbookViewId="0">
      <selection activeCell="E10" sqref="E10:E1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46169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16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12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[4]Brewhouse!$A424</f>
        <v>CA379</v>
      </c>
      <c r="D10" s="279">
        <f>[4]Brewhouse!$AF424</f>
        <v>49</v>
      </c>
      <c r="E10" s="279">
        <f>[4]Brewhouse!$AI424</f>
        <v>47.9</v>
      </c>
      <c r="F10" s="278">
        <f>[4]Brewhouse!$V424</f>
        <v>60</v>
      </c>
      <c r="G10" s="279">
        <f>[4]Brewhouse!AG424</f>
        <v>12.2</v>
      </c>
      <c r="H10" s="396"/>
      <c r="I10" s="368">
        <f>[4]Brewhouse!$AU424</f>
        <v>96.771687084536438</v>
      </c>
      <c r="J10" s="368">
        <f>[4]Brewhouse!$AV424</f>
        <v>97.921857231166399</v>
      </c>
      <c r="K10" s="281">
        <f>[4]Brewhouse!$Q424</f>
        <v>10.757855822550832</v>
      </c>
      <c r="L10" s="276">
        <f>[4]Brewhouse!$P424</f>
        <v>49</v>
      </c>
      <c r="M10" s="397">
        <f>[4]Brewhouse!$U424-[4]Brewhouse!$T424</f>
        <v>0.12152777777777779</v>
      </c>
      <c r="N10" s="370">
        <f>[4]Brewhouse!$Z424</f>
        <v>0.28541666666666665</v>
      </c>
      <c r="O10" s="420" t="str">
        <f>[4]Brewhouse!$AX424</f>
        <v>R. Sookram</v>
      </c>
      <c r="P10" s="418"/>
      <c r="R10" s="277" t="str">
        <f t="shared" ref="R10:R19" si="0">B10</f>
        <v>CARIB</v>
      </c>
      <c r="S10" s="472">
        <f t="shared" ref="S10:S19" si="1">VLOOKUP($B10,$R$3:$X$9,2,FALSE)</f>
        <v>11.6</v>
      </c>
      <c r="T10" s="472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472">
        <f t="shared" ref="Z10:Z19" si="8">VLOOKUP($B10,$R$3:$Z$9,9,FALSE)</f>
        <v>60</v>
      </c>
    </row>
    <row r="11" spans="2:29" ht="15">
      <c r="B11" s="29" t="s">
        <v>6</v>
      </c>
      <c r="C11" s="366" t="str">
        <f>[4]Brewhouse!$A425</f>
        <v>CA380</v>
      </c>
      <c r="D11" s="279">
        <f>[4]Brewhouse!$AF425</f>
        <v>49.3</v>
      </c>
      <c r="E11" s="279">
        <f>[4]Brewhouse!$AI425</f>
        <v>49.1</v>
      </c>
      <c r="F11" s="278">
        <f>[4]Brewhouse!$V425</f>
        <v>60</v>
      </c>
      <c r="G11" s="279">
        <f>[4]Brewhouse!AG425</f>
        <v>12.1</v>
      </c>
      <c r="H11" s="396"/>
      <c r="I11" s="368">
        <f>[4]Brewhouse!$AU425</f>
        <v>98.586817634255368</v>
      </c>
      <c r="J11" s="368">
        <f>[4]Brewhouse!$AV425</f>
        <v>99.75840677657169</v>
      </c>
      <c r="K11" s="281">
        <f>[4]Brewhouse!$Q425</f>
        <v>10.203327171903888</v>
      </c>
      <c r="L11" s="276">
        <f>[4]Brewhouse!$P425</f>
        <v>92</v>
      </c>
      <c r="M11" s="397">
        <f>[4]Brewhouse!$U425-[4]Brewhouse!$T425</f>
        <v>0.13541666666666663</v>
      </c>
      <c r="N11" s="370">
        <f>[4]Brewhouse!$Z425</f>
        <v>0.32430555555555551</v>
      </c>
      <c r="O11" s="420" t="str">
        <f>[4]Brewhouse!$AX425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[4]Brewhouse!$A426</f>
        <v>CA381</v>
      </c>
      <c r="D12" s="279">
        <f>[4]Brewhouse!$AF426</f>
        <v>50.6</v>
      </c>
      <c r="E12" s="279">
        <f>[4]Brewhouse!$AI426</f>
        <v>51.3</v>
      </c>
      <c r="F12" s="278">
        <f>[4]Brewhouse!$V426</f>
        <v>59</v>
      </c>
      <c r="G12" s="279">
        <f>[4]Brewhouse!AG426</f>
        <v>12</v>
      </c>
      <c r="H12" s="396"/>
      <c r="I12" s="368">
        <f>[4]Brewhouse!$AU426</f>
        <v>101.98305384057822</v>
      </c>
      <c r="J12" s="368">
        <f>[4]Brewhouse!$AV426</f>
        <v>103.19508332143563</v>
      </c>
      <c r="K12" s="281">
        <f>[4]Brewhouse!$Q426</f>
        <v>10.757855822550832</v>
      </c>
      <c r="L12" s="276">
        <f>[4]Brewhouse!$P426</f>
        <v>58</v>
      </c>
      <c r="M12" s="397">
        <f>[4]Brewhouse!$U426-[4]Brewhouse!$T426</f>
        <v>0.10833333333333328</v>
      </c>
      <c r="N12" s="370">
        <f>[4]Brewhouse!$Z426</f>
        <v>0.2715277777777777</v>
      </c>
      <c r="O12" s="420" t="str">
        <f>[4]Brewhouse!$AX426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[4]Brewhouse!$A427</f>
        <v>CA382</v>
      </c>
      <c r="D13" s="279">
        <f>[4]Brewhouse!$AF427</f>
        <v>50.9</v>
      </c>
      <c r="E13" s="279">
        <f>[4]Brewhouse!$AI427</f>
        <v>51.1</v>
      </c>
      <c r="F13" s="278">
        <f>[4]Brewhouse!$V427</f>
        <v>61</v>
      </c>
      <c r="G13" s="279">
        <f>[4]Brewhouse!AG427</f>
        <v>11.9</v>
      </c>
      <c r="H13" s="396"/>
      <c r="I13" s="368">
        <f>[4]Brewhouse!$AU427</f>
        <v>100.69577752031054</v>
      </c>
      <c r="J13" s="368">
        <f>[4]Brewhouse!$AV427</f>
        <v>101.89250821581668</v>
      </c>
      <c r="K13" s="281">
        <f>[4]Brewhouse!$Q427</f>
        <v>8.7245841035120115</v>
      </c>
      <c r="L13" s="276">
        <f>[4]Brewhouse!$P427</f>
        <v>61</v>
      </c>
      <c r="M13" s="397">
        <f>[4]Brewhouse!$U427-[4]Brewhouse!$T427</f>
        <v>0.1069444444444444</v>
      </c>
      <c r="N13" s="370">
        <f>[4]Brewhouse!$Z427</f>
        <v>0.27708333333333324</v>
      </c>
      <c r="O13" s="420" t="str">
        <f>[4]Brewhouse!$AX427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[4]Brewhouse!$A428</f>
        <v>CA383</v>
      </c>
      <c r="D14" s="279">
        <f>[4]Brewhouse!$AF428</f>
        <v>50.8</v>
      </c>
      <c r="E14" s="279">
        <f>[4]Brewhouse!$AI428</f>
        <v>51.1</v>
      </c>
      <c r="F14" s="278">
        <f>[4]Brewhouse!$V428</f>
        <v>59</v>
      </c>
      <c r="G14" s="279">
        <f>[4]Brewhouse!AG428</f>
        <v>11.8</v>
      </c>
      <c r="H14" s="396"/>
      <c r="I14" s="368">
        <f>[4]Brewhouse!$AU428</f>
        <v>99.806095951858012</v>
      </c>
      <c r="J14" s="368">
        <f>[4]Brewhouse!$AV428</f>
        <v>100.99225312314681</v>
      </c>
      <c r="K14" s="281">
        <f>[4]Brewhouse!$Q428</f>
        <v>9.0942698706099847</v>
      </c>
      <c r="L14" s="276"/>
      <c r="M14" s="397">
        <f>[4]Brewhouse!$U428-[4]Brewhouse!$T428</f>
        <v>0.10416666666666674</v>
      </c>
      <c r="N14" s="370">
        <f>[4]Brewhouse!$Z428</f>
        <v>0.24930555555555556</v>
      </c>
      <c r="O14" s="420" t="str">
        <f>[4]Brewhouse!$AX428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485">
        <v>46169</v>
      </c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/>
      <c r="S15" s="472"/>
      <c r="T15" s="472"/>
      <c r="U15" s="297"/>
      <c r="V15" s="297"/>
      <c r="W15" s="297"/>
      <c r="X15" s="297"/>
      <c r="Y15" s="297"/>
      <c r="Z15" s="472"/>
    </row>
    <row r="16" spans="2:29" ht="15">
      <c r="B16" s="29" t="s">
        <v>6</v>
      </c>
      <c r="C16" s="366" t="str">
        <f>[4]Brewhouse!$A429</f>
        <v>CA384</v>
      </c>
      <c r="D16" s="279">
        <f>[4]Brewhouse!$AF429</f>
        <v>51</v>
      </c>
      <c r="E16" s="279">
        <f>[4]Brewhouse!$AI429</f>
        <v>51.6</v>
      </c>
      <c r="F16" s="278">
        <f>[4]Brewhouse!$V429</f>
        <v>62</v>
      </c>
      <c r="G16" s="279">
        <f>[4]Brewhouse!AG429</f>
        <v>11.9</v>
      </c>
      <c r="H16" s="396"/>
      <c r="I16" s="368">
        <f>[4]Brewhouse!$AU429</f>
        <v>100.43366418858588</v>
      </c>
      <c r="J16" s="368">
        <f>[4]Brewhouse!$AV429</f>
        <v>101.62805737004925</v>
      </c>
      <c r="K16" s="281">
        <f>[4]Brewhouse!$Q429</f>
        <v>10.203327171903888</v>
      </c>
      <c r="L16" s="276">
        <f>[4]Brewhouse!$P429</f>
        <v>61</v>
      </c>
      <c r="M16" s="397">
        <f>[4]Brewhouse!$U429-[4]Brewhouse!$T429</f>
        <v>0.11041666666666683</v>
      </c>
      <c r="N16" s="370">
        <f>[4]Brewhouse!$Z429</f>
        <v>0.26666666666666683</v>
      </c>
      <c r="O16" s="420" t="str">
        <f>[4]Brewhouse!$AX429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hidden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ref="R20:R36" si="9">B20</f>
        <v>0</v>
      </c>
      <c r="S20" s="472" t="e">
        <f t="shared" ref="S20:S36" si="10">VLOOKUP($B20,$R$3:$X$9,2,FALSE)</f>
        <v>#N/A</v>
      </c>
      <c r="T20" s="472" t="e">
        <f t="shared" ref="T20:T36" si="11">VLOOKUP($B20,$R$3:$X$9,3,FALSE)</f>
        <v>#N/A</v>
      </c>
      <c r="U20" s="297" t="e">
        <f t="shared" ref="U20:U36" si="12">VLOOKUP($B20,$R$3:$X$9,4,FALSE)</f>
        <v>#N/A</v>
      </c>
      <c r="V20" s="297" t="e">
        <f t="shared" ref="V20:V36" si="13">VLOOKUP($B20,$R$3:$X$9,5,FALSE)</f>
        <v>#N/A</v>
      </c>
      <c r="W20" s="297" t="e">
        <f t="shared" ref="W20:W36" si="14">VLOOKUP($B20,$R$3:$X$9,6,FALSE)</f>
        <v>#N/A</v>
      </c>
      <c r="X20" s="297" t="e">
        <f t="shared" ref="X20:X36" si="15">VLOOKUP($B20,$R$3:$X$9,7,FALSE)</f>
        <v>#N/A</v>
      </c>
      <c r="Y20" s="297" t="e">
        <f t="shared" ref="Y20:Y36" si="16">VLOOKUP($B20,$R$3:$Z$9,8,FALSE)</f>
        <v>#N/A</v>
      </c>
      <c r="Z20" s="472" t="e">
        <f t="shared" ref="Z20:Z36" si="17">VLOOKUP($B20,$R$3:$Z$9,9,FALSE)</f>
        <v>#N/A</v>
      </c>
    </row>
    <row r="21" spans="1:26" ht="18" hidden="1" customHeight="1">
      <c r="B21" s="29"/>
      <c r="C21" s="366"/>
      <c r="D21" s="279"/>
      <c r="E21" s="279"/>
      <c r="F21" s="278"/>
      <c r="G21" s="279"/>
      <c r="H21" s="482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5.75" customHeight="1" thickBot="1">
      <c r="B23" s="358"/>
      <c r="C23" s="358"/>
      <c r="D23" s="358"/>
      <c r="E23" s="358"/>
      <c r="F23" s="294"/>
      <c r="G23" s="294"/>
      <c r="H23" s="348"/>
      <c r="I23" s="525"/>
      <c r="J23" s="525"/>
      <c r="K23" s="525"/>
      <c r="L23" s="525"/>
      <c r="M23" s="525"/>
      <c r="N23" s="525"/>
      <c r="O23" s="1"/>
      <c r="P23" s="12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5.75" customHeight="1" thickBot="1">
      <c r="B24" s="388" t="s">
        <v>162</v>
      </c>
      <c r="C24" s="388"/>
      <c r="D24" s="526" t="s">
        <v>35</v>
      </c>
      <c r="E24" s="52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5" customHeight="1">
      <c r="A25" s="28"/>
      <c r="B25" s="528"/>
      <c r="C25" s="362"/>
      <c r="D25" s="531"/>
      <c r="E25" s="532"/>
      <c r="F25" s="294"/>
      <c r="G25" s="294"/>
      <c r="H25" s="348"/>
      <c r="I25" s="29" t="s">
        <v>6</v>
      </c>
      <c r="J25" s="323">
        <f>AVERAGE(I10:I16)</f>
        <v>99.712849370020749</v>
      </c>
      <c r="K25" s="284">
        <f>COUNTA([4]Brewhouse!$A$372:$A$429)</f>
        <v>58</v>
      </c>
      <c r="L25" s="305">
        <f>AVERAGE([4]Brewhouse!$AU$372:$AU$429)</f>
        <v>97.747852349415837</v>
      </c>
      <c r="M25" s="305">
        <f>AVERAGE([4]Brewhouse!$AU$42:$AU$123,[4]Brewhouse!$AU$125:$AU$188,[4]Brewhouse!$AU$198:$AU$290,[4]Brewhouse!$AU$292:$AU$370,[4]Brewhouse!$AU$372:$AU$429)</f>
        <v>97.964932546778741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5" customHeight="1">
      <c r="A26" s="28"/>
      <c r="B26" s="529"/>
      <c r="C26" s="362"/>
      <c r="D26" s="533"/>
      <c r="E26" s="534"/>
      <c r="F26" s="294"/>
      <c r="G26" s="294"/>
      <c r="H26" s="348"/>
      <c r="I26" s="33" t="s">
        <v>9</v>
      </c>
      <c r="J26" s="323"/>
      <c r="K26" s="284">
        <f>COUNTA([3]Brewhouse!$A$214:$A$243)</f>
        <v>30</v>
      </c>
      <c r="L26" s="302">
        <f>AVERAGE([3]Brewhouse!$AS$214:$AS$243)</f>
        <v>98.298698327856556</v>
      </c>
      <c r="M26" s="302">
        <f>AVERAGE([3]Brewhouse!$AS$52:$AS$81,[3]Brewhouse!$AS$83:$AS$124,[3]Brewhouse!$AS$134:$AS$177,[3]Brewhouse!$AS$22:$AS$179,[3]Brewhouse!$AS$214:$AS$243)</f>
        <v>97.981488723413932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4.65" customHeight="1">
      <c r="A27" s="28"/>
      <c r="B27" s="529"/>
      <c r="C27" s="362"/>
      <c r="D27" s="535"/>
      <c r="E27" s="536"/>
      <c r="F27" s="294"/>
      <c r="G27" s="294"/>
      <c r="H27" s="348"/>
      <c r="I27" s="34" t="s">
        <v>12</v>
      </c>
      <c r="J27" s="280"/>
      <c r="K27" s="284"/>
      <c r="L27" s="302"/>
      <c r="M27" s="302">
        <f>AVERAGE([5]Brewhouse!$AU$16:$AU$23,[5]Brewhouse!$AU$25:$AU$32,[5]Brewhouse!$AU$34:$AU$41,[5]Brewhouse!$AU$43:$AU$55)</f>
        <v>96.793456653928644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4.65" customHeight="1">
      <c r="A28" s="28"/>
      <c r="B28" s="529"/>
      <c r="C28" s="362"/>
      <c r="D28" s="537"/>
      <c r="E28" s="534"/>
      <c r="F28" s="294"/>
      <c r="G28" s="294"/>
      <c r="H28" s="348"/>
      <c r="I28" s="22" t="s">
        <v>33</v>
      </c>
      <c r="J28" s="280"/>
      <c r="K28" s="284">
        <f>COUNTA([6]Brewhouse!$A$62:$A$68)</f>
        <v>7</v>
      </c>
      <c r="L28" s="302">
        <f>AVERAGE([6]Brewhouse!$AV$62:$AV$68)</f>
        <v>98.287606329362575</v>
      </c>
      <c r="M28" s="302">
        <f>AVERAGE([6]Brewhouse!$AV$23:$AV$34,[6]Brewhouse!$AV$36,[6]Brewhouse!$AV$38:$AV$52,[6]Brewhouse!$AV$54:$AV$60,[6]Brewhouse!$AV$62:$AV$68)</f>
        <v>97.579195177204838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65" customHeight="1">
      <c r="A29" s="28"/>
      <c r="B29" s="529"/>
      <c r="C29" s="362"/>
      <c r="D29" s="535"/>
      <c r="E29" s="536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29"/>
      <c r="C30" s="362"/>
      <c r="D30" s="537"/>
      <c r="E30" s="534"/>
      <c r="F30" s="417"/>
      <c r="G30" s="294"/>
      <c r="H30" s="348"/>
      <c r="I30" s="36" t="s">
        <v>15</v>
      </c>
      <c r="J30" s="323"/>
      <c r="K30" s="284">
        <f>COUNTA([7]Brewhouse!$A$13:$A$16)</f>
        <v>4</v>
      </c>
      <c r="L30" s="302">
        <f>AVERAGE([7]Brewhouse!$AT$13:$AT$16)</f>
        <v>88.962677106311475</v>
      </c>
      <c r="M30" s="302">
        <f>AVERAGE([7]Brewhouse!$AT$4:$AT$11,[7]Brewhouse!$AT$13:$AT$16)</f>
        <v>91.538375374138752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29"/>
      <c r="C31" s="362"/>
      <c r="D31" s="535"/>
      <c r="E31" s="536"/>
      <c r="F31" s="417"/>
      <c r="G31" s="294"/>
      <c r="H31" s="348"/>
      <c r="I31" s="37" t="s">
        <v>16</v>
      </c>
      <c r="J31" s="323"/>
      <c r="K31" s="284">
        <f>COUNTA([8]Brewhouse!$A$53:$A$64)</f>
        <v>12</v>
      </c>
      <c r="L31" s="302">
        <f>AVERAGE([8]Brewhouse!$AY$53:$AY$64)</f>
        <v>97.782550056061538</v>
      </c>
      <c r="M31" s="302">
        <f>AVERAGE([8]Brewhouse!$AY$5:$AY$14,[8]Brewhouse!$AY$16:$AY$23,[8]Brewhouse!$AY$42,[8]Brewhouse!$AY$44:$AY$51,[8]Brewhouse!$AY$53:$AY$64)</f>
        <v>97.662004346633353</v>
      </c>
      <c r="N31" s="30">
        <v>98</v>
      </c>
      <c r="O31" s="11"/>
      <c r="P31" s="31" t="s">
        <v>41</v>
      </c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29"/>
      <c r="C32" s="362"/>
      <c r="D32" s="537"/>
      <c r="E32" s="534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29"/>
      <c r="C33" s="349"/>
      <c r="D33" s="535"/>
      <c r="E33" s="536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29"/>
      <c r="C34" s="349"/>
      <c r="D34" s="537"/>
      <c r="E34" s="534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" customHeight="1" thickBot="1">
      <c r="A35" s="28"/>
      <c r="B35" s="529"/>
      <c r="C35" s="349"/>
      <c r="D35" s="531"/>
      <c r="E35" s="532"/>
      <c r="F35" s="294"/>
      <c r="G35" s="294"/>
      <c r="H35" s="348"/>
      <c r="I35" s="1"/>
      <c r="J35" s="39"/>
      <c r="K35" s="404">
        <f>SUM(K25:K34)</f>
        <v>111</v>
      </c>
      <c r="L35" s="405">
        <f>((L25*K25)+(L26*K26)+(L27*K27)+(L28*K28)+(L29*K29)+(K32*L32)+(L30*K30)+(L31*K31)+(L34*K34))/(K35)</f>
        <v>97.617936391939949</v>
      </c>
      <c r="M35" s="405">
        <f>AVERAGE('[9]Jan30th-31st'!$L$42,L35)</f>
        <v>97.722989063890708</v>
      </c>
      <c r="N35" s="4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30"/>
      <c r="C36" s="350"/>
      <c r="D36" s="533"/>
      <c r="E36" s="534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.75" thickBot="1">
      <c r="B37" s="528"/>
      <c r="C37" s="362"/>
      <c r="D37" s="539"/>
      <c r="E37" s="540"/>
      <c r="F37" s="294"/>
      <c r="G37" s="42"/>
      <c r="H37" s="41"/>
      <c r="I37" s="42"/>
      <c r="J37" s="541" t="s">
        <v>129</v>
      </c>
      <c r="K37" s="541"/>
      <c r="L37" s="294"/>
      <c r="M37" s="294"/>
      <c r="N37" s="294"/>
      <c r="O37" s="294"/>
      <c r="P37" s="12"/>
    </row>
    <row r="38" spans="1:56" ht="15.75" thickBot="1">
      <c r="B38" s="529"/>
      <c r="C38" s="362"/>
      <c r="D38" s="537"/>
      <c r="E38" s="534"/>
      <c r="F38" s="294"/>
      <c r="G38" s="42"/>
      <c r="H38" s="42"/>
      <c r="I38" s="42"/>
      <c r="J38" s="292" t="s">
        <v>17</v>
      </c>
      <c r="K38" s="293" t="s">
        <v>172</v>
      </c>
      <c r="L38" s="542" t="s">
        <v>136</v>
      </c>
      <c r="M38" s="542"/>
      <c r="N38" s="543"/>
      <c r="O38" s="294"/>
      <c r="P38" s="12"/>
    </row>
    <row r="39" spans="1:56" ht="15" customHeight="1" thickBot="1">
      <c r="B39" s="529"/>
      <c r="C39" s="349"/>
      <c r="D39" s="535"/>
      <c r="E39" s="536"/>
      <c r="F39" s="294"/>
      <c r="G39" s="42"/>
      <c r="H39" s="42"/>
      <c r="I39" s="42"/>
      <c r="J39" s="287" t="s">
        <v>6</v>
      </c>
      <c r="K39" s="324">
        <v>5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9"/>
      <c r="C40" s="349"/>
      <c r="D40" s="537"/>
      <c r="E40" s="534"/>
      <c r="F40" s="294"/>
      <c r="G40" s="42"/>
      <c r="H40" s="42"/>
      <c r="I40" s="42"/>
      <c r="J40" s="345" t="s">
        <v>9</v>
      </c>
      <c r="K40" s="324"/>
      <c r="L40" s="344">
        <f>AVERAGE('May 2nd-23rd'!J53,'May 2nd-23rd'!K53,'May 4th'!K51,'May 5th'!K47,'May 6th'!K54,'May 7th'!K48,'May 26th'!K49,'May 8th -9th'!K55,'May 8th -9th'!J55,'May 11th'!K51,'May 12th '!K46,'May 12th '!K46,'May 13th'!K45,'May 14th'!K42,'May 15th-16th'!K44,'May 19th '!K47,'May 20th'!K48,'May 21st'!K49,'May 22nd -23rd'!K48)</f>
        <v>5.5789473684210522</v>
      </c>
      <c r="M40" s="325">
        <f>AVERAGE('[9]Jan30th-31st'!$L$47,L40,'[10]Feb 26th '!$L$39,'[11]Mar 31st'!$L$47,'[12]Apr 30th'!$L$46)</f>
        <v>6.3231807780320368</v>
      </c>
      <c r="N40" s="416">
        <v>9.1999999999999993</v>
      </c>
      <c r="O40" s="294"/>
      <c r="P40" s="12"/>
    </row>
    <row r="41" spans="1:56" ht="15" customHeight="1">
      <c r="B41" s="529"/>
      <c r="C41" s="349"/>
      <c r="D41" s="535"/>
      <c r="E41" s="536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9"/>
      <c r="C42" s="349"/>
      <c r="D42" s="537"/>
      <c r="E42" s="534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9"/>
      <c r="C43" s="349"/>
      <c r="D43" s="535"/>
      <c r="E43" s="536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37"/>
      <c r="E44" s="534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9"/>
      <c r="C45" s="349"/>
      <c r="D45" s="535"/>
      <c r="E45" s="536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38"/>
      <c r="C46" s="350"/>
      <c r="D46" s="544"/>
      <c r="E46" s="545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46"/>
      <c r="E47" s="547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5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48" t="s">
        <v>17</v>
      </c>
      <c r="C52" s="548" t="s">
        <v>44</v>
      </c>
      <c r="D52" s="551" t="s">
        <v>45</v>
      </c>
      <c r="E52" s="516" t="s">
        <v>46</v>
      </c>
      <c r="F52" s="565" t="s">
        <v>47</v>
      </c>
      <c r="G52" s="560" t="s">
        <v>48</v>
      </c>
      <c r="H52" s="548" t="s">
        <v>49</v>
      </c>
      <c r="I52" s="548" t="s">
        <v>50</v>
      </c>
      <c r="J52" s="554" t="s">
        <v>28</v>
      </c>
      <c r="K52" s="514" t="s">
        <v>51</v>
      </c>
      <c r="L52" s="563" t="s">
        <v>52</v>
      </c>
      <c r="M52" s="554" t="s">
        <v>53</v>
      </c>
      <c r="N52" s="13"/>
      <c r="O52" s="13"/>
      <c r="P52" s="50"/>
    </row>
    <row r="53" spans="2:57" ht="28.5" customHeight="1" thickTop="1" thickBot="1">
      <c r="B53" s="549"/>
      <c r="C53" s="550"/>
      <c r="D53" s="552"/>
      <c r="E53" s="553"/>
      <c r="F53" s="566"/>
      <c r="G53" s="561"/>
      <c r="H53" s="549"/>
      <c r="I53" s="549"/>
      <c r="J53" s="555"/>
      <c r="K53" s="562"/>
      <c r="L53" s="564"/>
      <c r="M53" s="555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customHeight="1" thickBot="1">
      <c r="B54" s="480" t="str">
        <f>J39</f>
        <v>CARIB</v>
      </c>
      <c r="C54" s="479">
        <v>46168</v>
      </c>
      <c r="D54" s="445">
        <f>[32]May_2026!$AC$3</f>
        <v>402.65</v>
      </c>
      <c r="E54" s="443"/>
      <c r="F54" s="444"/>
      <c r="G54" s="445">
        <f>[32]May_2026!$AC$7</f>
        <v>375.7</v>
      </c>
      <c r="H54" s="458"/>
      <c r="I54" s="458"/>
      <c r="J54" s="448" t="s">
        <v>186</v>
      </c>
      <c r="K54" s="449">
        <f>[34]May_2026!$AC$18</f>
        <v>0.43941520467836259</v>
      </c>
      <c r="L54" s="457">
        <f>(((D54+E54)-G54)/(D54+E54))*100</f>
        <v>6.6931578293803531</v>
      </c>
      <c r="M54" s="455" t="s">
        <v>188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[13]January_2019!L5</f>
        <v>0</v>
      </c>
      <c r="AC54" s="57">
        <f>[13]January_2019!M5</f>
        <v>0</v>
      </c>
      <c r="AD54" s="57">
        <f>[13]January_2019!N5</f>
        <v>0</v>
      </c>
      <c r="AE54" s="57">
        <f>[13]January_2019!O5</f>
        <v>0</v>
      </c>
      <c r="AF54" s="57">
        <f>[13]January_2019!P5</f>
        <v>0</v>
      </c>
      <c r="AG54" s="57">
        <f>[13]January_2019!Q5</f>
        <v>0</v>
      </c>
      <c r="AH54" s="57">
        <f>[13]January_2019!R5</f>
        <v>0</v>
      </c>
      <c r="AI54" s="57">
        <f>[13]January_2019!S5</f>
        <v>0</v>
      </c>
      <c r="AJ54" s="57">
        <f>[13]January_2019!T5</f>
        <v>0</v>
      </c>
      <c r="AK54" s="57">
        <f>[13]January_2019!U5</f>
        <v>0</v>
      </c>
      <c r="AL54" s="57">
        <f>[13]January_2019!V5</f>
        <v>0</v>
      </c>
      <c r="AM54" s="57">
        <f>[13]January_2019!W5</f>
        <v>0</v>
      </c>
      <c r="AN54" s="57">
        <f>[13]January_2019!X5</f>
        <v>0</v>
      </c>
      <c r="AO54" s="57">
        <f>[13]January_2019!Y5</f>
        <v>0</v>
      </c>
      <c r="AP54" s="57">
        <f>[13]January_2019!Z5</f>
        <v>0</v>
      </c>
      <c r="AQ54" s="57">
        <f>[13]January_2019!AA5</f>
        <v>0</v>
      </c>
      <c r="AR54" s="57">
        <f>[13]January_2019!AB5</f>
        <v>0</v>
      </c>
      <c r="AS54" s="57">
        <f>[13]January_2019!AC5</f>
        <v>0</v>
      </c>
      <c r="AT54" s="57">
        <f>[13]January_2019!AD5</f>
        <v>0</v>
      </c>
      <c r="AU54" s="57">
        <f>[13]January_2019!AE5</f>
        <v>0</v>
      </c>
      <c r="AV54" s="57">
        <f>[13]January_2019!AF5</f>
        <v>0</v>
      </c>
      <c r="AW54" s="57">
        <f>[13]January_2019!AG5</f>
        <v>0</v>
      </c>
      <c r="AX54" s="277">
        <f>[13]January_2019!AH5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[13]January_2019!L6</f>
        <v>0</v>
      </c>
      <c r="AC55" s="57">
        <f>[13]January_2019!M6</f>
        <v>0</v>
      </c>
      <c r="AD55" s="57">
        <f>[13]January_2019!N6</f>
        <v>0</v>
      </c>
      <c r="AE55" s="57">
        <f>[13]January_2019!O6</f>
        <v>0</v>
      </c>
      <c r="AF55" s="57">
        <f>[13]January_2019!P6</f>
        <v>0</v>
      </c>
      <c r="AG55" s="57">
        <f>[13]January_2019!Q6</f>
        <v>0</v>
      </c>
      <c r="AH55" s="57">
        <f>[13]January_2019!R6</f>
        <v>0</v>
      </c>
      <c r="AI55" s="57">
        <f>[13]January_2019!S6</f>
        <v>0</v>
      </c>
      <c r="AJ55" s="57">
        <f>[13]January_2019!T6</f>
        <v>0</v>
      </c>
      <c r="AK55" s="57">
        <f>[13]January_2019!U6</f>
        <v>0</v>
      </c>
      <c r="AL55" s="57">
        <f>[13]January_2019!V6</f>
        <v>0</v>
      </c>
      <c r="AM55" s="57">
        <f>[13]January_2019!W6</f>
        <v>0</v>
      </c>
      <c r="AN55" s="57">
        <f>[13]January_2019!X6</f>
        <v>0</v>
      </c>
      <c r="AO55" s="57">
        <f>[13]January_2019!Y6</f>
        <v>0</v>
      </c>
      <c r="AP55" s="57">
        <f>[13]January_2019!Z6</f>
        <v>0</v>
      </c>
      <c r="AQ55" s="57">
        <f>[13]January_2019!AA6</f>
        <v>0</v>
      </c>
      <c r="AR55" s="57">
        <f>[13]January_2019!AB6</f>
        <v>0</v>
      </c>
      <c r="AS55" s="57">
        <f>[13]January_2019!AC6</f>
        <v>0</v>
      </c>
      <c r="AT55" s="57">
        <f>[13]January_2019!AD6</f>
        <v>0</v>
      </c>
      <c r="AU55" s="57">
        <f>[13]January_2019!AE6</f>
        <v>0</v>
      </c>
      <c r="AV55" s="57">
        <f>[13]January_2019!AF6</f>
        <v>0</v>
      </c>
      <c r="AW55" s="57">
        <f>[13]January_2019!AG6</f>
        <v>0</v>
      </c>
      <c r="AX55" s="277">
        <f>[13]January_2019!AH6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[13]January_2019!L7</f>
        <v>285.8</v>
      </c>
      <c r="AC56" s="57">
        <f>[13]January_2019!M7</f>
        <v>508.1</v>
      </c>
      <c r="AD56" s="57">
        <f>[13]January_2019!N7</f>
        <v>0</v>
      </c>
      <c r="AE56" s="57">
        <f>[13]January_2019!O7</f>
        <v>0</v>
      </c>
      <c r="AF56" s="57">
        <f>[13]January_2019!P7</f>
        <v>109.56666666666666</v>
      </c>
      <c r="AG56" s="57">
        <f>[13]January_2019!Q7</f>
        <v>297.64999999999998</v>
      </c>
      <c r="AH56" s="57">
        <f>[13]January_2019!R7</f>
        <v>122.3</v>
      </c>
      <c r="AI56" s="57">
        <f>[13]January_2019!S7</f>
        <v>0</v>
      </c>
      <c r="AJ56" s="57">
        <f>[13]January_2019!T7</f>
        <v>294.7</v>
      </c>
      <c r="AK56" s="57">
        <f>[13]January_2019!U7</f>
        <v>280.5</v>
      </c>
      <c r="AL56" s="57">
        <f>[13]January_2019!V7</f>
        <v>0</v>
      </c>
      <c r="AM56" s="57">
        <f>[13]January_2019!W7</f>
        <v>0</v>
      </c>
      <c r="AN56" s="57">
        <f>[13]January_2019!X7</f>
        <v>188.25</v>
      </c>
      <c r="AO56" s="57">
        <f>[13]January_2019!Y7</f>
        <v>295.7</v>
      </c>
      <c r="AP56" s="57">
        <f>[13]January_2019!Z7</f>
        <v>257.8</v>
      </c>
      <c r="AQ56" s="57">
        <f>[13]January_2019!AA7</f>
        <v>291.2</v>
      </c>
      <c r="AR56" s="57">
        <f>[13]January_2019!AB7</f>
        <v>187</v>
      </c>
      <c r="AS56" s="57">
        <f>[13]January_2019!AC7</f>
        <v>0</v>
      </c>
      <c r="AT56" s="57">
        <f>[13]January_2019!AD7</f>
        <v>0</v>
      </c>
      <c r="AU56" s="57">
        <f>[13]January_2019!AE7</f>
        <v>485.1</v>
      </c>
      <c r="AV56" s="57">
        <f>[13]January_2019!AF7</f>
        <v>171.55</v>
      </c>
      <c r="AW56" s="57">
        <f>[13]January_2019!AG7</f>
        <v>423.8</v>
      </c>
      <c r="AX56" s="277">
        <f>[13]January_2019!AH7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9.5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hidden="1" customHeight="1" thickBot="1">
      <c r="B58" s="480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89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56" t="s">
        <v>55</v>
      </c>
      <c r="C65" s="557"/>
      <c r="D65" s="557"/>
      <c r="E65" s="557"/>
      <c r="F65" s="558"/>
      <c r="G65" s="556" t="s">
        <v>56</v>
      </c>
      <c r="H65" s="557"/>
      <c r="I65" s="557"/>
      <c r="J65" s="558"/>
      <c r="K65" s="556" t="s">
        <v>51</v>
      </c>
      <c r="L65" s="557"/>
      <c r="M65" s="557"/>
      <c r="N65" s="559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/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>
        <f>L54</f>
        <v>6.6931578293803531</v>
      </c>
      <c r="D67" s="76">
        <v>5.881447436419009</v>
      </c>
      <c r="E67" s="76">
        <v>6.5634247008449584</v>
      </c>
      <c r="F67" s="66">
        <v>4.8</v>
      </c>
      <c r="G67" s="65">
        <f>[32]May_2026!$AC$11</f>
        <v>4.9369734022737779</v>
      </c>
      <c r="H67" s="477">
        <v>5.6900897598675142</v>
      </c>
      <c r="I67" s="477">
        <v>6.2688670205621344</v>
      </c>
      <c r="J67" s="66">
        <v>4.8</v>
      </c>
      <c r="K67" s="67">
        <f>K54</f>
        <v>0.43941520467836259</v>
      </c>
      <c r="L67" s="194">
        <v>0.62438596491228071</v>
      </c>
      <c r="M67" s="194">
        <v>0.50825789013793965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5.1176890156918384</v>
      </c>
      <c r="E68" s="76">
        <v>6.0568688569191238</v>
      </c>
      <c r="F68" s="66">
        <v>4.8</v>
      </c>
      <c r="G68" s="65"/>
      <c r="H68" s="76">
        <v>4.9494635940844729</v>
      </c>
      <c r="I68" s="76">
        <v>5.4655642193228315</v>
      </c>
      <c r="J68" s="66">
        <v>4.8</v>
      </c>
      <c r="K68" s="67"/>
      <c r="L68" s="194">
        <v>0.59716791979949879</v>
      </c>
      <c r="M68" s="194">
        <v>0.68713504693777017</v>
      </c>
      <c r="N68" s="68">
        <v>1</v>
      </c>
      <c r="P68" s="69"/>
    </row>
    <row r="69" spans="2:16" ht="15">
      <c r="B69" s="34" t="s">
        <v>40</v>
      </c>
      <c r="C69" s="65"/>
      <c r="D69" s="76">
        <v>10.182228066879567</v>
      </c>
      <c r="E69" s="76">
        <v>11.735537190082644</v>
      </c>
      <c r="F69" s="66">
        <v>5.5</v>
      </c>
      <c r="G69" s="65"/>
      <c r="H69" s="76">
        <v>11.362028737847183</v>
      </c>
      <c r="I69" s="76">
        <v>12.769538510720032</v>
      </c>
      <c r="J69" s="66">
        <v>5.5</v>
      </c>
      <c r="K69" s="67"/>
      <c r="L69" s="194">
        <v>0.23824561403508773</v>
      </c>
      <c r="M69" s="194">
        <v>0.26411513157894739</v>
      </c>
      <c r="N69" s="68">
        <v>1</v>
      </c>
      <c r="P69" s="69"/>
    </row>
    <row r="70" spans="2:16" ht="15">
      <c r="B70" s="22" t="s">
        <v>33</v>
      </c>
      <c r="C70" s="65"/>
      <c r="D70" s="76">
        <v>4.9306092006073188</v>
      </c>
      <c r="E70" s="76">
        <v>4.7166249493099075</v>
      </c>
      <c r="F70" s="66">
        <v>3.3</v>
      </c>
      <c r="G70" s="65"/>
      <c r="H70" s="76">
        <v>5.5037640962151348</v>
      </c>
      <c r="I70" s="76">
        <v>4.7393662692065543</v>
      </c>
      <c r="J70" s="66">
        <v>3.3</v>
      </c>
      <c r="K70" s="67"/>
      <c r="L70" s="194">
        <v>0.61175438596491227</v>
      </c>
      <c r="M70" s="194">
        <v>0.73604010025062649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76"/>
      <c r="D72" s="76">
        <v>5.2401746724890881</v>
      </c>
      <c r="E72" s="76">
        <v>5.1541347251672045</v>
      </c>
      <c r="F72" s="487">
        <v>5.5</v>
      </c>
      <c r="G72" s="282"/>
      <c r="H72" s="76">
        <v>6.6922456038466889</v>
      </c>
      <c r="I72" s="76">
        <v>7.4989046872874194</v>
      </c>
      <c r="J72" s="66">
        <v>5.5</v>
      </c>
      <c r="K72" s="67"/>
      <c r="L72" s="194">
        <v>0.68526315789473691</v>
      </c>
      <c r="M72" s="194">
        <v>1.0201754385964912</v>
      </c>
      <c r="N72" s="68">
        <v>1</v>
      </c>
      <c r="P72" s="69"/>
    </row>
    <row r="73" spans="2:16" ht="15">
      <c r="B73" s="37" t="s">
        <v>16</v>
      </c>
      <c r="C73" s="65"/>
      <c r="D73" s="76">
        <v>3.4477692345364712</v>
      </c>
      <c r="E73" s="76">
        <v>3.8718586514884619</v>
      </c>
      <c r="F73" s="66">
        <v>3.3</v>
      </c>
      <c r="G73" s="282"/>
      <c r="H73" s="76">
        <v>4.2666251196365179</v>
      </c>
      <c r="I73" s="76">
        <v>4.7387128519495914</v>
      </c>
      <c r="J73" s="66">
        <v>3.3</v>
      </c>
      <c r="K73" s="67"/>
      <c r="L73" s="194">
        <v>0.69175438596491223</v>
      </c>
      <c r="M73" s="194">
        <v>0.84386695906432752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5.7786363328760135</v>
      </c>
      <c r="E76" s="76">
        <v>6.3859011336949631</v>
      </c>
      <c r="F76" s="341">
        <v>5.5</v>
      </c>
      <c r="H76" s="76">
        <v>5.9245131957387613</v>
      </c>
      <c r="I76" s="76">
        <v>6.3798930877983491</v>
      </c>
      <c r="J76" s="341">
        <v>5.5</v>
      </c>
      <c r="L76" s="194">
        <v>0.59563283208020057</v>
      </c>
      <c r="M76" s="194">
        <v>0.5771872826004405</v>
      </c>
      <c r="N76" s="386">
        <v>1</v>
      </c>
    </row>
  </sheetData>
  <mergeCells count="51"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738" priority="107" operator="notBetween">
      <formula>#REF!</formula>
      <formula>#REF!</formula>
    </cfRule>
  </conditionalFormatting>
  <conditionalFormatting sqref="C51">
    <cfRule type="cellIs" dxfId="737" priority="196" stopIfTrue="1" operator="lessThan">
      <formula>96</formula>
    </cfRule>
    <cfRule type="cellIs" dxfId="736" priority="197" stopIfTrue="1" operator="greaterThan">
      <formula>100</formula>
    </cfRule>
  </conditionalFormatting>
  <conditionalFormatting sqref="C67:C68">
    <cfRule type="cellIs" dxfId="735" priority="45" stopIfTrue="1" operator="greaterThan">
      <formula>$F67</formula>
    </cfRule>
    <cfRule type="cellIs" dxfId="734" priority="46" stopIfTrue="1" operator="lessThanOrEqual">
      <formula>0</formula>
    </cfRule>
    <cfRule type="cellIs" dxfId="733" priority="43" stopIfTrue="1" operator="greaterThan">
      <formula>$F67</formula>
    </cfRule>
    <cfRule type="cellIs" dxfId="732" priority="44" stopIfTrue="1" operator="lessThanOrEqual">
      <formula>0</formula>
    </cfRule>
  </conditionalFormatting>
  <conditionalFormatting sqref="C69:C71 C73:C75">
    <cfRule type="cellIs" dxfId="731" priority="77" stopIfTrue="1" operator="greaterThan">
      <formula>$F72</formula>
    </cfRule>
  </conditionalFormatting>
  <conditionalFormatting sqref="C69:C71">
    <cfRule type="cellIs" dxfId="730" priority="78" stopIfTrue="1" operator="lessThanOrEqual">
      <formula>0</formula>
    </cfRule>
  </conditionalFormatting>
  <conditionalFormatting sqref="C73:C75">
    <cfRule type="cellIs" dxfId="729" priority="79" stopIfTrue="1" operator="lessThanOrEqual">
      <formula>0</formula>
    </cfRule>
  </conditionalFormatting>
  <conditionalFormatting sqref="C78:C82">
    <cfRule type="cellIs" dxfId="728" priority="188" stopIfTrue="1" operator="lessThanOrEqual">
      <formula>0</formula>
    </cfRule>
  </conditionalFormatting>
  <conditionalFormatting sqref="C79:C82">
    <cfRule type="cellIs" dxfId="727" priority="187" stopIfTrue="1" operator="greaterThan">
      <formula>$F$78</formula>
    </cfRule>
  </conditionalFormatting>
  <conditionalFormatting sqref="C84">
    <cfRule type="cellIs" dxfId="726" priority="190" stopIfTrue="1" operator="lessThanOrEqual">
      <formula>0</formula>
    </cfRule>
    <cfRule type="cellIs" dxfId="725" priority="189" stopIfTrue="1" operator="greaterThan">
      <formula>$F$78</formula>
    </cfRule>
  </conditionalFormatting>
  <conditionalFormatting sqref="C72:D72">
    <cfRule type="cellIs" dxfId="724" priority="41" stopIfTrue="1" operator="greaterThan">
      <formula>$J72</formula>
    </cfRule>
    <cfRule type="cellIs" dxfId="723" priority="42" stopIfTrue="1" operator="lessThanOrEqual">
      <formula>0</formula>
    </cfRule>
  </conditionalFormatting>
  <conditionalFormatting sqref="C78:D78 D80:D86">
    <cfRule type="cellIs" dxfId="722" priority="182" stopIfTrue="1" operator="greaterThan">
      <formula>4.5</formula>
    </cfRule>
  </conditionalFormatting>
  <conditionalFormatting sqref="D47:D48">
    <cfRule type="cellIs" dxfId="721" priority="108" operator="notBetween">
      <formula>#REF!</formula>
      <formula>#REF!</formula>
    </cfRule>
  </conditionalFormatting>
  <conditionalFormatting sqref="D67:D71 D73:D74">
    <cfRule type="cellIs" dxfId="720" priority="72" stopIfTrue="1" operator="lessThanOrEqual">
      <formula>0</formula>
    </cfRule>
  </conditionalFormatting>
  <conditionalFormatting sqref="D67:D71 D73:D76">
    <cfRule type="cellIs" dxfId="719" priority="56" stopIfTrue="1" operator="lessThanOrEqual">
      <formula>0</formula>
    </cfRule>
  </conditionalFormatting>
  <conditionalFormatting sqref="D75">
    <cfRule type="cellIs" dxfId="718" priority="71" stopIfTrue="1" operator="lessThanOrEqual">
      <formula>0</formula>
    </cfRule>
  </conditionalFormatting>
  <conditionalFormatting sqref="D76">
    <cfRule type="cellIs" dxfId="717" priority="68" stopIfTrue="1" operator="lessThanOrEqual">
      <formula>0</formula>
    </cfRule>
  </conditionalFormatting>
  <conditionalFormatting sqref="D78 D80:D86">
    <cfRule type="cellIs" dxfId="716" priority="183" stopIfTrue="1" operator="lessThanOrEqual">
      <formula>0</formula>
    </cfRule>
  </conditionalFormatting>
  <conditionalFormatting sqref="D79">
    <cfRule type="cellIs" dxfId="715" priority="175" stopIfTrue="1" operator="lessThanOrEqual">
      <formula>0</formula>
    </cfRule>
    <cfRule type="cellIs" dxfId="714" priority="174" stopIfTrue="1" operator="greaterThan">
      <formula>$F$78</formula>
    </cfRule>
  </conditionalFormatting>
  <conditionalFormatting sqref="D67:E71 E72 D73:E76">
    <cfRule type="cellIs" dxfId="713" priority="58" stopIfTrue="1" operator="greaterThan">
      <formula>$F67</formula>
    </cfRule>
  </conditionalFormatting>
  <conditionalFormatting sqref="D76:E76">
    <cfRule type="cellIs" dxfId="712" priority="60" stopIfTrue="1" operator="lessThanOrEqual">
      <formula>0</formula>
    </cfRule>
  </conditionalFormatting>
  <conditionalFormatting sqref="E10:E22">
    <cfRule type="cellIs" dxfId="711" priority="37" operator="lessThan">
      <formula>48</formula>
    </cfRule>
  </conditionalFormatting>
  <conditionalFormatting sqref="E50 E51:F51">
    <cfRule type="cellIs" dxfId="710" priority="179" stopIfTrue="1" operator="greaterThan">
      <formula>100</formula>
    </cfRule>
  </conditionalFormatting>
  <conditionalFormatting sqref="E51">
    <cfRule type="cellIs" dxfId="709" priority="177" stopIfTrue="1" operator="greaterThan">
      <formula>100</formula>
    </cfRule>
    <cfRule type="cellIs" dxfId="708" priority="176" stopIfTrue="1" operator="lessThan">
      <formula>96.8</formula>
    </cfRule>
  </conditionalFormatting>
  <conditionalFormatting sqref="E67:E75">
    <cfRule type="cellIs" dxfId="707" priority="57" stopIfTrue="1" operator="lessThanOrEqual">
      <formula>0</formula>
    </cfRule>
  </conditionalFormatting>
  <conditionalFormatting sqref="E67:E76">
    <cfRule type="cellIs" dxfId="706" priority="59" stopIfTrue="1" operator="lessThanOrEqual">
      <formula>0</formula>
    </cfRule>
  </conditionalFormatting>
  <conditionalFormatting sqref="E78:E86">
    <cfRule type="cellIs" dxfId="705" priority="169" stopIfTrue="1" operator="lessThanOrEqual">
      <formula>0</formula>
    </cfRule>
    <cfRule type="cellIs" dxfId="704" priority="168" stopIfTrue="1" operator="greaterThan">
      <formula>4.5</formula>
    </cfRule>
  </conditionalFormatting>
  <conditionalFormatting sqref="E51:F51 E50">
    <cfRule type="cellIs" dxfId="703" priority="178" stopIfTrue="1" operator="lessThan">
      <formula>96.5</formula>
    </cfRule>
  </conditionalFormatting>
  <conditionalFormatting sqref="F10:F19 F21:F22">
    <cfRule type="cellIs" dxfId="702" priority="47" operator="greaterThan">
      <formula>60</formula>
    </cfRule>
  </conditionalFormatting>
  <conditionalFormatting sqref="F51">
    <cfRule type="cellIs" dxfId="701" priority="194" stopIfTrue="1" operator="lessThan">
      <formula>96.8</formula>
    </cfRule>
    <cfRule type="cellIs" dxfId="700" priority="195" stopIfTrue="1" operator="greaterThan">
      <formula>100</formula>
    </cfRule>
  </conditionalFormatting>
  <conditionalFormatting sqref="F76">
    <cfRule type="cellIs" dxfId="699" priority="69" stopIfTrue="1" operator="greaterThan">
      <formula>$F76</formula>
    </cfRule>
    <cfRule type="cellIs" dxfId="698" priority="70" stopIfTrue="1" operator="lessThanOrEqual">
      <formula>0</formula>
    </cfRule>
  </conditionalFormatting>
  <conditionalFormatting sqref="G20:G22">
    <cfRule type="expression" dxfId="697" priority="38">
      <formula>IF(+(IF(G20&lt;S20,0,IF(G20&gt;T20,0,1)))=0,1)</formula>
    </cfRule>
  </conditionalFormatting>
  <conditionalFormatting sqref="G67:G68">
    <cfRule type="cellIs" dxfId="696" priority="73" stopIfTrue="1" operator="greaterThan">
      <formula>$F67</formula>
    </cfRule>
    <cfRule type="cellIs" dxfId="695" priority="74" stopIfTrue="1" operator="lessThanOrEqual">
      <formula>0</formula>
    </cfRule>
  </conditionalFormatting>
  <conditionalFormatting sqref="G67:G70">
    <cfRule type="cellIs" dxfId="694" priority="51" stopIfTrue="1" operator="greaterThan">
      <formula>$F67</formula>
    </cfRule>
    <cfRule type="cellIs" dxfId="693" priority="52" stopIfTrue="1" operator="lessThanOrEqual">
      <formula>0</formula>
    </cfRule>
  </conditionalFormatting>
  <conditionalFormatting sqref="G69">
    <cfRule type="cellIs" dxfId="692" priority="49" stopIfTrue="1" operator="greaterThan">
      <formula>$F69</formula>
    </cfRule>
    <cfRule type="cellIs" dxfId="691" priority="50" stopIfTrue="1" operator="lessThanOrEqual">
      <formula>0</formula>
    </cfRule>
  </conditionalFormatting>
  <conditionalFormatting sqref="G70">
    <cfRule type="cellIs" dxfId="690" priority="65" stopIfTrue="1" operator="lessThanOrEqual">
      <formula>0</formula>
    </cfRule>
    <cfRule type="cellIs" dxfId="689" priority="64" stopIfTrue="1" operator="greaterThan">
      <formula>$F70</formula>
    </cfRule>
  </conditionalFormatting>
  <conditionalFormatting sqref="G71:G75">
    <cfRule type="cellIs" dxfId="688" priority="75" stopIfTrue="1" operator="greaterThan">
      <formula>$J71</formula>
    </cfRule>
    <cfRule type="cellIs" dxfId="687" priority="76" stopIfTrue="1" operator="lessThanOrEqual">
      <formula>0</formula>
    </cfRule>
  </conditionalFormatting>
  <conditionalFormatting sqref="G80:G85 C83 C85">
    <cfRule type="cellIs" dxfId="686" priority="191" stopIfTrue="1" operator="greaterThan">
      <formula>4.5</formula>
    </cfRule>
    <cfRule type="cellIs" dxfId="685" priority="192" stopIfTrue="1" operator="lessThanOrEqual">
      <formula>0</formula>
    </cfRule>
  </conditionalFormatting>
  <conditionalFormatting sqref="G10:H19 H20:H22">
    <cfRule type="expression" dxfId="684" priority="39">
      <formula>IF(+(IF(G10&lt;#REF!,0,IF(G10&gt;#REF!,0,1)))=0,1)</formula>
    </cfRule>
  </conditionalFormatting>
  <conditionalFormatting sqref="G79:H79">
    <cfRule type="cellIs" dxfId="683" priority="172" stopIfTrue="1" operator="greaterThan">
      <formula>$F$78</formula>
    </cfRule>
    <cfRule type="cellIs" dxfId="682" priority="173" stopIfTrue="1" operator="lessThanOrEqual">
      <formula>0</formula>
    </cfRule>
  </conditionalFormatting>
  <conditionalFormatting sqref="H36:H37 H50">
    <cfRule type="cellIs" dxfId="681" priority="170" stopIfTrue="1" operator="greaterThan">
      <formula>0</formula>
    </cfRule>
  </conditionalFormatting>
  <conditionalFormatting sqref="H54">
    <cfRule type="cellIs" dxfId="680" priority="18" stopIfTrue="1" operator="greaterThan">
      <formula>$F$67</formula>
    </cfRule>
    <cfRule type="cellIs" dxfId="679" priority="27" stopIfTrue="1" operator="lessThanOrEqual">
      <formula>0</formula>
    </cfRule>
    <cfRule type="cellIs" dxfId="678" priority="28" stopIfTrue="1" operator="greaterThan">
      <formula>$F$68</formula>
    </cfRule>
    <cfRule type="cellIs" dxfId="677" priority="17" stopIfTrue="1" operator="lessThanOrEqual">
      <formula>0</formula>
    </cfRule>
    <cfRule type="cellIs" dxfId="676" priority="26" stopIfTrue="1" operator="greaterThan">
      <formula>$F$70</formula>
    </cfRule>
  </conditionalFormatting>
  <conditionalFormatting sqref="H54:H56">
    <cfRule type="cellIs" dxfId="675" priority="29" stopIfTrue="1" operator="lessThanOrEqual">
      <formula>0</formula>
    </cfRule>
  </conditionalFormatting>
  <conditionalFormatting sqref="H55:H56">
    <cfRule type="cellIs" dxfId="674" priority="80" stopIfTrue="1" operator="greaterThan">
      <formula>$F$67</formula>
    </cfRule>
    <cfRule type="cellIs" dxfId="673" priority="88" stopIfTrue="1" operator="greaterThan">
      <formula>$F$70</formula>
    </cfRule>
    <cfRule type="cellIs" dxfId="672" priority="89" stopIfTrue="1" operator="lessThanOrEqual">
      <formula>0</formula>
    </cfRule>
    <cfRule type="cellIs" dxfId="671" priority="90" stopIfTrue="1" operator="greaterThan">
      <formula>$F$68</formula>
    </cfRule>
  </conditionalFormatting>
  <conditionalFormatting sqref="H55:H58">
    <cfRule type="cellIs" dxfId="670" priority="91" stopIfTrue="1" operator="lessThanOrEqual">
      <formula>0</formula>
    </cfRule>
  </conditionalFormatting>
  <conditionalFormatting sqref="H57:H58">
    <cfRule type="cellIs" dxfId="669" priority="102" stopIfTrue="1" operator="greaterThan">
      <formula>$F$70</formula>
    </cfRule>
    <cfRule type="cellIs" dxfId="668" priority="103" stopIfTrue="1" operator="lessThanOrEqual">
      <formula>0</formula>
    </cfRule>
    <cfRule type="cellIs" dxfId="667" priority="104" stopIfTrue="1" operator="greaterThan">
      <formula>$F$68</formula>
    </cfRule>
    <cfRule type="cellIs" dxfId="666" priority="105" stopIfTrue="1" operator="lessThanOrEqual">
      <formula>0</formula>
    </cfRule>
    <cfRule type="cellIs" dxfId="665" priority="94" stopIfTrue="1" operator="greaterThan">
      <formula>$F$67</formula>
    </cfRule>
  </conditionalFormatting>
  <conditionalFormatting sqref="H59:H60">
    <cfRule type="cellIs" dxfId="664" priority="132" stopIfTrue="1" operator="lessThanOrEqual">
      <formula>0</formula>
    </cfRule>
    <cfRule type="cellIs" dxfId="663" priority="133" stopIfTrue="1" operator="greaterThan">
      <formula>#REF!</formula>
    </cfRule>
    <cfRule type="cellIs" dxfId="662" priority="144" stopIfTrue="1" operator="lessThanOrEqual">
      <formula>0</formula>
    </cfRule>
    <cfRule type="cellIs" dxfId="661" priority="143" stopIfTrue="1" operator="greaterThan">
      <formula>#REF!</formula>
    </cfRule>
    <cfRule type="cellIs" dxfId="660" priority="142" stopIfTrue="1" operator="lessThanOrEqual">
      <formula>0</formula>
    </cfRule>
    <cfRule type="cellIs" dxfId="659" priority="141" stopIfTrue="1" operator="greaterThan">
      <formula>$F$22</formula>
    </cfRule>
  </conditionalFormatting>
  <conditionalFormatting sqref="H61">
    <cfRule type="cellIs" dxfId="658" priority="158" stopIfTrue="1" operator="lessThanOrEqual">
      <formula>0</formula>
    </cfRule>
    <cfRule type="cellIs" dxfId="657" priority="157" stopIfTrue="1" operator="greaterThan">
      <formula>$F$36</formula>
    </cfRule>
    <cfRule type="cellIs" dxfId="656" priority="156" stopIfTrue="1" operator="lessThanOrEqual">
      <formula>0</formula>
    </cfRule>
    <cfRule type="cellIs" dxfId="655" priority="155" stopIfTrue="1" operator="greaterThan">
      <formula>$F$38</formula>
    </cfRule>
    <cfRule type="cellIs" dxfId="654" priority="147" stopIfTrue="1" operator="greaterThan">
      <formula>$F$35</formula>
    </cfRule>
    <cfRule type="cellIs" dxfId="653" priority="146" stopIfTrue="1" operator="lessThanOrEqual">
      <formula>0</formula>
    </cfRule>
  </conditionalFormatting>
  <conditionalFormatting sqref="H62:H63">
    <cfRule type="cellIs" dxfId="652" priority="128" stopIfTrue="1" operator="lessThanOrEqual">
      <formula>0</formula>
    </cfRule>
    <cfRule type="cellIs" dxfId="651" priority="118" stopIfTrue="1" operator="lessThanOrEqual">
      <formula>0</formula>
    </cfRule>
    <cfRule type="cellIs" dxfId="650" priority="119" stopIfTrue="1" operator="greaterThan">
      <formula>#REF!</formula>
    </cfRule>
    <cfRule type="cellIs" dxfId="649" priority="127" stopIfTrue="1" operator="greaterThan">
      <formula>$F$22</formula>
    </cfRule>
    <cfRule type="cellIs" dxfId="648" priority="129" stopIfTrue="1" operator="greaterThan">
      <formula>#REF!</formula>
    </cfRule>
    <cfRule type="cellIs" dxfId="647" priority="130" stopIfTrue="1" operator="lessThanOrEqual">
      <formula>0</formula>
    </cfRule>
  </conditionalFormatting>
  <conditionalFormatting sqref="H78 H80:H86">
    <cfRule type="cellIs" dxfId="646" priority="184" stopIfTrue="1" operator="greaterThan">
      <formula>4.5</formula>
    </cfRule>
    <cfRule type="cellIs" dxfId="645" priority="185" stopIfTrue="1" operator="lessThanOrEqual">
      <formula>0</formula>
    </cfRule>
  </conditionalFormatting>
  <conditionalFormatting sqref="H54:I54">
    <cfRule type="cellIs" dxfId="644" priority="19" stopIfTrue="1" operator="lessThanOrEqual">
      <formula>0</formula>
    </cfRule>
  </conditionalFormatting>
  <conditionalFormatting sqref="H54:I58">
    <cfRule type="cellIs" dxfId="643" priority="16" stopIfTrue="1" operator="greaterThan">
      <formula>$F$69</formula>
    </cfRule>
  </conditionalFormatting>
  <conditionalFormatting sqref="H55:I56">
    <cfRule type="cellIs" dxfId="642" priority="81" stopIfTrue="1" operator="lessThanOrEqual">
      <formula>0</formula>
    </cfRule>
  </conditionalFormatting>
  <conditionalFormatting sqref="H57:I58">
    <cfRule type="cellIs" dxfId="641" priority="95" stopIfTrue="1" operator="lessThanOrEqual">
      <formula>0</formula>
    </cfRule>
  </conditionalFormatting>
  <conditionalFormatting sqref="H59:I60">
    <cfRule type="cellIs" dxfId="640" priority="134" stopIfTrue="1" operator="lessThanOrEqual">
      <formula>0</formula>
    </cfRule>
    <cfRule type="cellIs" dxfId="639" priority="131" stopIfTrue="1" operator="greaterThan">
      <formula>#REF!</formula>
    </cfRule>
  </conditionalFormatting>
  <conditionalFormatting sqref="H61:I61">
    <cfRule type="cellIs" dxfId="638" priority="145" stopIfTrue="1" operator="greaterThan">
      <formula>$F$37</formula>
    </cfRule>
    <cfRule type="cellIs" dxfId="637" priority="148" stopIfTrue="1" operator="lessThanOrEqual">
      <formula>0</formula>
    </cfRule>
  </conditionalFormatting>
  <conditionalFormatting sqref="H62:I63">
    <cfRule type="cellIs" dxfId="636" priority="117" stopIfTrue="1" operator="greaterThan">
      <formula>#REF!</formula>
    </cfRule>
    <cfRule type="cellIs" dxfId="635" priority="120" stopIfTrue="1" operator="lessThanOrEqual">
      <formula>0</formula>
    </cfRule>
  </conditionalFormatting>
  <conditionalFormatting sqref="H67:I74">
    <cfRule type="cellIs" dxfId="634" priority="55" stopIfTrue="1" operator="lessThanOrEqual">
      <formula>0</formula>
    </cfRule>
    <cfRule type="cellIs" dxfId="633" priority="54" stopIfTrue="1" operator="greaterThan">
      <formula>$J67</formula>
    </cfRule>
  </conditionalFormatting>
  <conditionalFormatting sqref="H75:I75">
    <cfRule type="cellIs" dxfId="632" priority="63" operator="greaterThan">
      <formula>5.3</formula>
    </cfRule>
  </conditionalFormatting>
  <conditionalFormatting sqref="H76:I76">
    <cfRule type="cellIs" dxfId="631" priority="62" stopIfTrue="1" operator="lessThanOrEqual">
      <formula>0</formula>
    </cfRule>
    <cfRule type="cellIs" dxfId="630" priority="61" stopIfTrue="1" operator="greaterThan">
      <formula>$J76</formula>
    </cfRule>
  </conditionalFormatting>
  <conditionalFormatting sqref="I54">
    <cfRule type="cellIs" dxfId="629" priority="23" stopIfTrue="1" operator="lessThanOrEqual">
      <formula>0</formula>
    </cfRule>
    <cfRule type="cellIs" dxfId="628" priority="20" stopIfTrue="1" operator="greaterThan">
      <formula>$F$67</formula>
    </cfRule>
    <cfRule type="cellIs" dxfId="627" priority="21" stopIfTrue="1" operator="lessThanOrEqual">
      <formula>0</formula>
    </cfRule>
    <cfRule type="cellIs" dxfId="626" priority="22" stopIfTrue="1" operator="greaterThan">
      <formula>$F$69</formula>
    </cfRule>
    <cfRule type="cellIs" dxfId="625" priority="25" stopIfTrue="1" operator="lessThanOrEqual">
      <formula>0</formula>
    </cfRule>
    <cfRule type="cellIs" dxfId="624" priority="24" stopIfTrue="1" operator="greaterThan">
      <formula>$F$67</formula>
    </cfRule>
  </conditionalFormatting>
  <conditionalFormatting sqref="I55:I56">
    <cfRule type="cellIs" dxfId="623" priority="85" stopIfTrue="1" operator="lessThanOrEqual">
      <formula>0</formula>
    </cfRule>
    <cfRule type="cellIs" dxfId="622" priority="84" stopIfTrue="1" operator="greaterThan">
      <formula>$F$69</formula>
    </cfRule>
    <cfRule type="cellIs" dxfId="621" priority="83" stopIfTrue="1" operator="lessThanOrEqual">
      <formula>0</formula>
    </cfRule>
    <cfRule type="cellIs" dxfId="620" priority="87" stopIfTrue="1" operator="lessThanOrEqual">
      <formula>0</formula>
    </cfRule>
    <cfRule type="cellIs" dxfId="619" priority="82" stopIfTrue="1" operator="greaterThan">
      <formula>$F$67</formula>
    </cfRule>
    <cfRule type="cellIs" dxfId="618" priority="86" stopIfTrue="1" operator="greaterThan">
      <formula>$F$67</formula>
    </cfRule>
  </conditionalFormatting>
  <conditionalFormatting sqref="I57:I58">
    <cfRule type="cellIs" dxfId="617" priority="98" stopIfTrue="1" operator="greaterThan">
      <formula>$F$69</formula>
    </cfRule>
    <cfRule type="cellIs" dxfId="616" priority="96" stopIfTrue="1" operator="greaterThan">
      <formula>$F$67</formula>
    </cfRule>
    <cfRule type="cellIs" dxfId="615" priority="97" stopIfTrue="1" operator="lessThanOrEqual">
      <formula>0</formula>
    </cfRule>
    <cfRule type="cellIs" dxfId="614" priority="100" stopIfTrue="1" operator="greaterThan">
      <formula>$F$67</formula>
    </cfRule>
    <cfRule type="cellIs" dxfId="613" priority="101" stopIfTrue="1" operator="lessThanOrEqual">
      <formula>0</formula>
    </cfRule>
    <cfRule type="cellIs" dxfId="612" priority="99" stopIfTrue="1" operator="lessThanOrEqual">
      <formula>0</formula>
    </cfRule>
  </conditionalFormatting>
  <conditionalFormatting sqref="I59:I60">
    <cfRule type="cellIs" dxfId="611" priority="136" stopIfTrue="1" operator="lessThanOrEqual">
      <formula>0</formula>
    </cfRule>
    <cfRule type="cellIs" dxfId="610" priority="138" stopIfTrue="1" operator="lessThanOrEqual">
      <formula>0</formula>
    </cfRule>
    <cfRule type="cellIs" dxfId="609" priority="135" stopIfTrue="1" operator="greaterThan">
      <formula>#REF!</formula>
    </cfRule>
    <cfRule type="cellIs" dxfId="608" priority="140" stopIfTrue="1" operator="lessThanOrEqual">
      <formula>0</formula>
    </cfRule>
    <cfRule type="cellIs" dxfId="607" priority="137" stopIfTrue="1" operator="greaterThan">
      <formula>#REF!</formula>
    </cfRule>
    <cfRule type="cellIs" dxfId="606" priority="139" stopIfTrue="1" operator="greaterThan">
      <formula>#REF!</formula>
    </cfRule>
  </conditionalFormatting>
  <conditionalFormatting sqref="I61">
    <cfRule type="cellIs" dxfId="605" priority="153" stopIfTrue="1" operator="greaterThan">
      <formula>$F$35</formula>
    </cfRule>
    <cfRule type="cellIs" dxfId="604" priority="150" stopIfTrue="1" operator="lessThanOrEqual">
      <formula>0</formula>
    </cfRule>
    <cfRule type="cellIs" dxfId="603" priority="152" stopIfTrue="1" operator="lessThanOrEqual">
      <formula>0</formula>
    </cfRule>
    <cfRule type="cellIs" dxfId="602" priority="149" stopIfTrue="1" operator="greaterThan">
      <formula>$F$35</formula>
    </cfRule>
    <cfRule type="cellIs" dxfId="601" priority="151" stopIfTrue="1" operator="greaterThan">
      <formula>$F$37</formula>
    </cfRule>
    <cfRule type="cellIs" dxfId="600" priority="154" stopIfTrue="1" operator="lessThanOrEqual">
      <formula>0</formula>
    </cfRule>
  </conditionalFormatting>
  <conditionalFormatting sqref="I62:I63">
    <cfRule type="cellIs" dxfId="599" priority="124" stopIfTrue="1" operator="lessThanOrEqual">
      <formula>0</formula>
    </cfRule>
    <cfRule type="cellIs" dxfId="598" priority="123" stopIfTrue="1" operator="greaterThan">
      <formula>#REF!</formula>
    </cfRule>
    <cfRule type="cellIs" dxfId="597" priority="122" stopIfTrue="1" operator="lessThanOrEqual">
      <formula>0</formula>
    </cfRule>
    <cfRule type="cellIs" dxfId="596" priority="121" stopIfTrue="1" operator="greaterThan">
      <formula>#REF!</formula>
    </cfRule>
    <cfRule type="cellIs" dxfId="595" priority="126" stopIfTrue="1" operator="lessThanOrEqual">
      <formula>0</formula>
    </cfRule>
    <cfRule type="cellIs" dxfId="594" priority="125" stopIfTrue="1" operator="greaterThan">
      <formula>#REF!</formula>
    </cfRule>
  </conditionalFormatting>
  <conditionalFormatting sqref="I78:I86">
    <cfRule type="cellIs" dxfId="593" priority="180" stopIfTrue="1" operator="greaterThan">
      <formula>4.5</formula>
    </cfRule>
    <cfRule type="cellIs" dxfId="592" priority="181" stopIfTrue="1" operator="lessThanOrEqual">
      <formula>0</formula>
    </cfRule>
  </conditionalFormatting>
  <conditionalFormatting sqref="I10:J22">
    <cfRule type="cellIs" dxfId="591" priority="31" operator="lessThan">
      <formula>97.9</formula>
    </cfRule>
  </conditionalFormatting>
  <conditionalFormatting sqref="J25:J26">
    <cfRule type="cellIs" dxfId="590" priority="93" operator="lessThan">
      <formula>97.95</formula>
    </cfRule>
  </conditionalFormatting>
  <conditionalFormatting sqref="J27">
    <cfRule type="cellIs" dxfId="589" priority="160" stopIfTrue="1" operator="lessThan">
      <formula>96.8</formula>
    </cfRule>
    <cfRule type="cellIs" dxfId="588" priority="161" stopIfTrue="1" operator="greaterThan">
      <formula>100</formula>
    </cfRule>
    <cfRule type="cellIs" dxfId="587" priority="162" operator="lessThan">
      <formula>98</formula>
    </cfRule>
  </conditionalFormatting>
  <conditionalFormatting sqref="J27:J29">
    <cfRule type="cellIs" dxfId="586" priority="159" operator="lessThan">
      <formula>97.4</formula>
    </cfRule>
  </conditionalFormatting>
  <conditionalFormatting sqref="J30:J31">
    <cfRule type="cellIs" dxfId="585" priority="163" operator="lessThan">
      <formula>98</formula>
    </cfRule>
  </conditionalFormatting>
  <conditionalFormatting sqref="J32:J33">
    <cfRule type="cellIs" dxfId="584" priority="164" stopIfTrue="1" operator="lessThan">
      <formula>96.8</formula>
    </cfRule>
    <cfRule type="cellIs" dxfId="583" priority="165" stopIfTrue="1" operator="greaterThan">
      <formula>100</formula>
    </cfRule>
  </conditionalFormatting>
  <conditionalFormatting sqref="J32:J34">
    <cfRule type="cellIs" dxfId="582" priority="166" operator="lessThan">
      <formula>98</formula>
    </cfRule>
  </conditionalFormatting>
  <conditionalFormatting sqref="J63">
    <cfRule type="cellIs" dxfId="581" priority="113" stopIfTrue="1" operator="greaterThan">
      <formula>#REF!</formula>
    </cfRule>
    <cfRule type="cellIs" dxfId="580" priority="114" stopIfTrue="1" operator="lessThanOrEqual">
      <formula>0</formula>
    </cfRule>
    <cfRule type="cellIs" dxfId="579" priority="115" stopIfTrue="1" operator="greaterThan">
      <formula>#REF!</formula>
    </cfRule>
    <cfRule type="cellIs" dxfId="578" priority="109" stopIfTrue="1" operator="greaterThan">
      <formula>#REF!</formula>
    </cfRule>
    <cfRule type="cellIs" dxfId="577" priority="110" stopIfTrue="1" operator="lessThanOrEqual">
      <formula>0</formula>
    </cfRule>
    <cfRule type="cellIs" dxfId="576" priority="116" stopIfTrue="1" operator="lessThanOrEqual">
      <formula>0</formula>
    </cfRule>
    <cfRule type="cellIs" dxfId="575" priority="111" stopIfTrue="1" operator="greaterThan">
      <formula>#REF!</formula>
    </cfRule>
    <cfRule type="cellIs" dxfId="574" priority="112" stopIfTrue="1" operator="lessThanOrEqual">
      <formula>0</formula>
    </cfRule>
  </conditionalFormatting>
  <conditionalFormatting sqref="J76">
    <cfRule type="cellIs" dxfId="573" priority="66" stopIfTrue="1" operator="greaterThan">
      <formula>$F76</formula>
    </cfRule>
    <cfRule type="cellIs" dxfId="572" priority="67" stopIfTrue="1" operator="lessThanOrEqual">
      <formula>0</formula>
    </cfRule>
  </conditionalFormatting>
  <conditionalFormatting sqref="K10:K22">
    <cfRule type="cellIs" dxfId="571" priority="34" operator="greaterThan">
      <formula>6.4</formula>
    </cfRule>
    <cfRule type="cellIs" dxfId="570" priority="33" operator="lessThan">
      <formula>4</formula>
    </cfRule>
    <cfRule type="cellIs" dxfId="569" priority="32" operator="greaterThan">
      <formula>6</formula>
    </cfRule>
  </conditionalFormatting>
  <conditionalFormatting sqref="K54:K63">
    <cfRule type="cellIs" dxfId="568" priority="92" stopIfTrue="1" operator="lessThan">
      <formula>100%</formula>
    </cfRule>
  </conditionalFormatting>
  <conditionalFormatting sqref="K67:K75">
    <cfRule type="cellIs" dxfId="567" priority="53" stopIfTrue="1" operator="lessThan">
      <formula>100%</formula>
    </cfRule>
  </conditionalFormatting>
  <conditionalFormatting sqref="K78:K83">
    <cfRule type="cellIs" dxfId="566" priority="186" stopIfTrue="1" operator="lessThan">
      <formula>100%</formula>
    </cfRule>
  </conditionalFormatting>
  <conditionalFormatting sqref="K85:K86">
    <cfRule type="cellIs" dxfId="565" priority="193" stopIfTrue="1" operator="lessThan">
      <formula>100%</formula>
    </cfRule>
  </conditionalFormatting>
  <conditionalFormatting sqref="L10:L22">
    <cfRule type="cellIs" dxfId="564" priority="35" operator="between">
      <formula>61</formula>
      <formula>65</formula>
    </cfRule>
    <cfRule type="cellIs" dxfId="563" priority="36" operator="greaterThan">
      <formula>65</formula>
    </cfRule>
  </conditionalFormatting>
  <conditionalFormatting sqref="L25:M36">
    <cfRule type="cellIs" dxfId="562" priority="106" operator="lessThan">
      <formula>97.95</formula>
    </cfRule>
  </conditionalFormatting>
  <conditionalFormatting sqref="L40:N40">
    <cfRule type="cellIs" dxfId="561" priority="48" operator="notEqual">
      <formula>#REF!</formula>
    </cfRule>
  </conditionalFormatting>
  <conditionalFormatting sqref="L67:N76">
    <cfRule type="cellIs" dxfId="560" priority="40" stopIfTrue="1" operator="lessThan">
      <formula>100%</formula>
    </cfRule>
  </conditionalFormatting>
  <conditionalFormatting sqref="L78:N86">
    <cfRule type="cellIs" dxfId="559" priority="171" stopIfTrue="1" operator="lessThan">
      <formula>100%</formula>
    </cfRule>
  </conditionalFormatting>
  <conditionalFormatting sqref="M10:N22">
    <cfRule type="expression" dxfId="558" priority="2">
      <formula>IF(+(IF(M10&lt;#REF!,0,IF(M10&gt;#REF!,0,1)))=0,1)</formula>
    </cfRule>
  </conditionalFormatting>
  <conditionalFormatting sqref="N10:N13">
    <cfRule type="expression" dxfId="557" priority="3">
      <formula>IF(+(IF(N10&lt;W10,0,IF(N10&gt;X10,0,1)))=0,1)</formula>
    </cfRule>
  </conditionalFormatting>
  <conditionalFormatting sqref="N16">
    <cfRule type="expression" dxfId="556" priority="1">
      <formula>IF(+(IF(N16&lt;W16,0,IF(N16&gt;X16,0,1)))=0,1)</formula>
    </cfRule>
  </conditionalFormatting>
  <conditionalFormatting sqref="N20">
    <cfRule type="expression" dxfId="555" priority="30">
      <formula>IF(+(IF(N20&lt;W20,0,IF(N20&gt;X20,0,1)))=0,1)</formula>
    </cfRule>
  </conditionalFormatting>
  <conditionalFormatting sqref="P6">
    <cfRule type="cellIs" dxfId="554" priority="167" operator="greaterThanOrEqual">
      <formula>19</formula>
    </cfRule>
  </conditionalFormatting>
  <dataValidations count="1">
    <dataValidation type="list" allowBlank="1" showInputMessage="1" showErrorMessage="1" sqref="R8" xr:uid="{B8F8DCAB-6D41-49F5-96F5-0916B06508A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E8EA-C077-4285-B94D-84A216DA5F3D}">
  <sheetPr>
    <pageSetUpPr fitToPage="1"/>
  </sheetPr>
  <dimension ref="A1:BE77"/>
  <sheetViews>
    <sheetView topLeftCell="A4" zoomScale="70" zoomScaleNormal="70" workbookViewId="0">
      <selection activeCell="K41" sqref="K41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46170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16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12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[4]Brewhouse!$A430</f>
        <v>CA385</v>
      </c>
      <c r="D10" s="279">
        <f>[4]Brewhouse!$AF430</f>
        <v>50.5</v>
      </c>
      <c r="E10" s="279">
        <f>[4]Brewhouse!$AI430</f>
        <v>50.31</v>
      </c>
      <c r="F10" s="278">
        <f>[4]Brewhouse!$V430</f>
        <v>63</v>
      </c>
      <c r="G10" s="279">
        <f>[4]Brewhouse!AG430</f>
        <v>11.9</v>
      </c>
      <c r="H10" s="396"/>
      <c r="I10" s="368">
        <f>[4]Brewhouse!$AU430</f>
        <v>98.893379734379081</v>
      </c>
      <c r="J10" s="368">
        <f>[4]Brewhouse!$AV430</f>
        <v>100.06884427569133</v>
      </c>
      <c r="K10" s="281">
        <f>[4]Brewhouse!$Q430</f>
        <v>9.4639556377079437</v>
      </c>
      <c r="L10" s="276">
        <f>[4]Brewhouse!$P430</f>
        <v>61</v>
      </c>
      <c r="M10" s="397">
        <f>[4]Brewhouse!$U430-[4]Brewhouse!$T430</f>
        <v>0.10416666666666669</v>
      </c>
      <c r="N10" s="370">
        <f>[4]Brewhouse!$Z430</f>
        <v>0.25416666666666665</v>
      </c>
      <c r="O10" s="420" t="str">
        <f>[4]Brewhouse!$AX430</f>
        <v>R. Regis</v>
      </c>
      <c r="P10" s="418"/>
      <c r="R10" s="277" t="str">
        <f t="shared" ref="R10:R37" si="0">B10</f>
        <v>CARIB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5">
      <c r="B11" s="29" t="s">
        <v>6</v>
      </c>
      <c r="C11" s="366" t="str">
        <f>[4]Brewhouse!$A431</f>
        <v>CA386</v>
      </c>
      <c r="D11" s="279">
        <f>[4]Brewhouse!$AF431</f>
        <v>50.2</v>
      </c>
      <c r="E11" s="279">
        <f>[4]Brewhouse!$AI431</f>
        <v>51</v>
      </c>
      <c r="F11" s="278">
        <f>[4]Brewhouse!$V431</f>
        <v>62</v>
      </c>
      <c r="G11" s="279">
        <f>[4]Brewhouse!AG431</f>
        <v>11.9</v>
      </c>
      <c r="H11" s="396"/>
      <c r="I11" s="368">
        <f>[4]Brewhouse!$AU431</f>
        <v>100.24969919406345</v>
      </c>
      <c r="J11" s="368">
        <f>[4]Brewhouse!$AV431</f>
        <v>101.4412851930085</v>
      </c>
      <c r="K11" s="281">
        <f>[4]Brewhouse!$Q431</f>
        <v>9.2791127541589713</v>
      </c>
      <c r="L11" s="276">
        <f>[4]Brewhouse!$P431</f>
        <v>61</v>
      </c>
      <c r="M11" s="397">
        <f>[4]Brewhouse!$U431-[4]Brewhouse!$T431</f>
        <v>0.10694444444444451</v>
      </c>
      <c r="N11" s="370">
        <f>[4]Brewhouse!$Z431</f>
        <v>0.23819444444444449</v>
      </c>
      <c r="O11" s="420" t="str">
        <f>[4]Brewhouse!$AX431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[4]Brewhouse!$A432</f>
        <v>CA387</v>
      </c>
      <c r="D12" s="279">
        <f>[4]Brewhouse!$AF432</f>
        <v>50.1</v>
      </c>
      <c r="E12" s="279">
        <f>[4]Brewhouse!$AI432</f>
        <v>50</v>
      </c>
      <c r="F12" s="278">
        <f>[4]Brewhouse!$V432</f>
        <v>56</v>
      </c>
      <c r="G12" s="279">
        <f>[4]Brewhouse!AG432</f>
        <v>11.9</v>
      </c>
      <c r="H12" s="396"/>
      <c r="I12" s="368">
        <f>[4]Brewhouse!$AU432</f>
        <v>97.081248898849111</v>
      </c>
      <c r="J12" s="368">
        <f>[4]Brewhouse!$AV432</f>
        <v>98.235922077492816</v>
      </c>
      <c r="K12" s="281">
        <f>[4]Brewhouse!$Q432</f>
        <v>9.2962962962962887</v>
      </c>
      <c r="L12" s="276">
        <f>[4]Brewhouse!$P432</f>
        <v>62</v>
      </c>
      <c r="M12" s="397">
        <f>[4]Brewhouse!$U432-[4]Brewhouse!$T432</f>
        <v>0.10694444444444451</v>
      </c>
      <c r="N12" s="370">
        <f>[4]Brewhouse!$Z432</f>
        <v>0.24097222222222225</v>
      </c>
      <c r="O12" s="420" t="str">
        <f>[4]Brewhouse!$AX432</f>
        <v>K. Benjamin</v>
      </c>
      <c r="P12" s="418"/>
      <c r="R12" s="277" t="str">
        <f t="shared" ref="R12:R26" si="9">B12</f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[4]Brewhouse!$A433</f>
        <v>CA388</v>
      </c>
      <c r="D13" s="279">
        <f>[4]Brewhouse!$AF433</f>
        <v>51.3</v>
      </c>
      <c r="E13" s="279">
        <f>[4]Brewhouse!$AI433</f>
        <v>51.7</v>
      </c>
      <c r="F13" s="278">
        <f>[4]Brewhouse!$V433</f>
        <v>62</v>
      </c>
      <c r="G13" s="279">
        <f>[4]Brewhouse!AG433</f>
        <v>12</v>
      </c>
      <c r="H13" s="396"/>
      <c r="I13" s="368">
        <f>[4]Brewhouse!$AU433</f>
        <v>101.76707851622425</v>
      </c>
      <c r="J13" s="368">
        <f>[4]Brewhouse!$AV433</f>
        <v>102.97717310361432</v>
      </c>
      <c r="K13" s="281">
        <f>[4]Brewhouse!$Q433</f>
        <v>8.9094269870609999</v>
      </c>
      <c r="L13" s="276">
        <f>[4]Brewhouse!$P433</f>
        <v>61</v>
      </c>
      <c r="M13" s="397">
        <f>[4]Brewhouse!$U433-[4]Brewhouse!$T433</f>
        <v>0.10694444444444429</v>
      </c>
      <c r="N13" s="370">
        <f>[4]Brewhouse!$Z433</f>
        <v>0.25763888888888886</v>
      </c>
      <c r="O13" s="420" t="str">
        <f>[4]Brewhouse!$AX433</f>
        <v>K. Benjamin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[4]Brewhouse!$A434</f>
        <v>CA389</v>
      </c>
      <c r="D14" s="279">
        <f>[4]Brewhouse!$AF434</f>
        <v>51.2</v>
      </c>
      <c r="E14" s="279">
        <f>[4]Brewhouse!$AI434</f>
        <v>49.15</v>
      </c>
      <c r="F14" s="278">
        <f>[4]Brewhouse!$V434</f>
        <v>61</v>
      </c>
      <c r="G14" s="279">
        <f>[4]Brewhouse!AG434</f>
        <v>12</v>
      </c>
      <c r="H14" s="396"/>
      <c r="I14" s="368">
        <f>[4]Brewhouse!$AU434</f>
        <v>96.510244562053785</v>
      </c>
      <c r="J14" s="368">
        <f>[4]Brewhouse!$AV434</f>
        <v>97.657979029152699</v>
      </c>
      <c r="K14" s="281">
        <f>[4]Brewhouse!$Q434</f>
        <v>9.0942698706099847</v>
      </c>
      <c r="L14" s="276">
        <f>[4]Brewhouse!$P434</f>
        <v>60</v>
      </c>
      <c r="M14" s="397">
        <f>[4]Brewhouse!$U434-[4]Brewhouse!$T434</f>
        <v>0.10694444444444451</v>
      </c>
      <c r="N14" s="370">
        <f>[4]Brewhouse!$Z434</f>
        <v>0.26111111111111118</v>
      </c>
      <c r="O14" s="420" t="str">
        <f>[4]Brewhouse!$AX434</f>
        <v>K. Benjamin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5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8" hidden="1" customHeight="1">
      <c r="B22" s="29"/>
      <c r="C22" s="366"/>
      <c r="D22" s="279"/>
      <c r="E22" s="279"/>
      <c r="F22" s="278"/>
      <c r="G22" s="279"/>
      <c r="H22" s="482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.75" customHeight="1" thickBot="1">
      <c r="B24" s="358"/>
      <c r="C24" s="358"/>
      <c r="D24" s="358"/>
      <c r="E24" s="358"/>
      <c r="F24" s="294"/>
      <c r="G24" s="294"/>
      <c r="H24" s="348"/>
      <c r="I24" s="525"/>
      <c r="J24" s="525"/>
      <c r="K24" s="525"/>
      <c r="L24" s="525"/>
      <c r="M24" s="525"/>
      <c r="N24" s="525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.75" customHeight="1" thickBot="1">
      <c r="B25" s="388" t="s">
        <v>162</v>
      </c>
      <c r="C25" s="388"/>
      <c r="D25" s="526" t="s">
        <v>35</v>
      </c>
      <c r="E25" s="527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customHeight="1">
      <c r="A26" s="28"/>
      <c r="B26" s="528"/>
      <c r="C26" s="362"/>
      <c r="D26" s="531"/>
      <c r="E26" s="532"/>
      <c r="F26" s="294"/>
      <c r="G26" s="294"/>
      <c r="H26" s="348"/>
      <c r="I26" s="29" t="s">
        <v>6</v>
      </c>
      <c r="J26" s="323">
        <f>AVERAGE(I10:I14)</f>
        <v>98.900330181113944</v>
      </c>
      <c r="K26" s="284">
        <f>COUNTA([4]Brewhouse!$A$372:$A$434)</f>
        <v>63</v>
      </c>
      <c r="L26" s="305">
        <f>AVERAGE([4]Brewhouse!$AU$372:$AU$434)</f>
        <v>97.839318843995059</v>
      </c>
      <c r="M26" s="305">
        <f>AVERAGE([4]Brewhouse!$AU$42:$AU$123,[4]Brewhouse!$AU$125:$AU$188,[4]Brewhouse!$AU$198:$AU$290,[4]Brewhouse!$AU$292:$AU$370,[4]Brewhouse!$AU$372:$AU$434)</f>
        <v>97.977240410388418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29"/>
      <c r="C27" s="362"/>
      <c r="D27" s="533"/>
      <c r="E27" s="534"/>
      <c r="F27" s="294"/>
      <c r="G27" s="294"/>
      <c r="H27" s="348"/>
      <c r="I27" s="33" t="s">
        <v>9</v>
      </c>
      <c r="J27" s="323"/>
      <c r="K27" s="284">
        <f>COUNTA([3]Brewhouse!$A$214:$A$243)</f>
        <v>30</v>
      </c>
      <c r="L27" s="302">
        <f>AVERAGE([3]Brewhouse!$AS$214:$AS$243)</f>
        <v>98.298698327856556</v>
      </c>
      <c r="M27" s="302">
        <f>AVERAGE([3]Brewhouse!$AS$52:$AS$81,[3]Brewhouse!$AS$83:$AS$124,[3]Brewhouse!$AS$134:$AS$177,[3]Brewhouse!$AS$22:$AS$179,[3]Brewhouse!$AS$214:$AS$243)</f>
        <v>97.981488723413932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29"/>
      <c r="C28" s="362"/>
      <c r="D28" s="535"/>
      <c r="E28" s="536"/>
      <c r="F28" s="294"/>
      <c r="G28" s="294"/>
      <c r="H28" s="348"/>
      <c r="I28" s="34" t="s">
        <v>12</v>
      </c>
      <c r="J28" s="280"/>
      <c r="K28" s="284"/>
      <c r="L28" s="302"/>
      <c r="M28" s="302">
        <f>AVERAGE([5]Brewhouse!$AU$16:$AU$23,[5]Brewhouse!$AU$25:$AU$32,[5]Brewhouse!$AU$34:$AU$41,[5]Brewhouse!$AU$43:$AU$55)</f>
        <v>96.793456653928644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29"/>
      <c r="C29" s="362"/>
      <c r="D29" s="537"/>
      <c r="E29" s="534"/>
      <c r="F29" s="294"/>
      <c r="G29" s="294"/>
      <c r="H29" s="348"/>
      <c r="I29" s="22" t="s">
        <v>33</v>
      </c>
      <c r="J29" s="280"/>
      <c r="K29" s="284">
        <f>COUNTA([6]Brewhouse!$A$62:$A$68)</f>
        <v>7</v>
      </c>
      <c r="L29" s="302">
        <f>AVERAGE([6]Brewhouse!$AV$62:$AV$68)</f>
        <v>98.287606329362575</v>
      </c>
      <c r="M29" s="302">
        <f>AVERAGE([6]Brewhouse!$AV$23:$AV$34,[6]Brewhouse!$AV$36,[6]Brewhouse!$AV$38:$AV$52,[6]Brewhouse!$AV$54:$AV$60,[6]Brewhouse!$AV$62:$AV$68)</f>
        <v>97.579195177204838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29"/>
      <c r="C30" s="362"/>
      <c r="D30" s="535"/>
      <c r="E30" s="536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9"/>
      <c r="C31" s="362"/>
      <c r="D31" s="537"/>
      <c r="E31" s="534"/>
      <c r="F31" s="417"/>
      <c r="G31" s="294"/>
      <c r="H31" s="348"/>
      <c r="I31" s="36" t="s">
        <v>15</v>
      </c>
      <c r="J31" s="323"/>
      <c r="K31" s="284">
        <f>COUNTA([7]Brewhouse!$A$13:$A$16)</f>
        <v>4</v>
      </c>
      <c r="L31" s="302">
        <f>AVERAGE([7]Brewhouse!$AT$13:$AT$16)</f>
        <v>88.962677106311475</v>
      </c>
      <c r="M31" s="302">
        <f>AVERAGE([7]Brewhouse!$AT$4:$AT$11,[7]Brewhouse!$AT$13:$AT$16)</f>
        <v>91.538375374138752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9"/>
      <c r="C32" s="362"/>
      <c r="D32" s="535"/>
      <c r="E32" s="536"/>
      <c r="F32" s="417"/>
      <c r="G32" s="294"/>
      <c r="H32" s="348"/>
      <c r="I32" s="37" t="s">
        <v>16</v>
      </c>
      <c r="J32" s="323"/>
      <c r="K32" s="284">
        <f>COUNTA([8]Brewhouse!$A$53:$A$64)</f>
        <v>12</v>
      </c>
      <c r="L32" s="302">
        <f>AVERAGE([8]Brewhouse!$AY$53:$AY$64)</f>
        <v>97.782550056061538</v>
      </c>
      <c r="M32" s="302">
        <f>AVERAGE([8]Brewhouse!$AY$5:$AY$14,[8]Brewhouse!$AY$16:$AY$23,[8]Brewhouse!$AY$42,[8]Brewhouse!$AY$44:$AY$51,[8]Brewhouse!$AY$53:$AY$64)</f>
        <v>97.662004346633353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9"/>
      <c r="C33" s="362"/>
      <c r="D33" s="537"/>
      <c r="E33" s="534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9"/>
      <c r="C34" s="349"/>
      <c r="D34" s="535"/>
      <c r="E34" s="536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29"/>
      <c r="C35" s="349"/>
      <c r="D35" s="537"/>
      <c r="E35" s="534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29"/>
      <c r="C36" s="349"/>
      <c r="D36" s="531"/>
      <c r="E36" s="532"/>
      <c r="F36" s="294"/>
      <c r="G36" s="294"/>
      <c r="H36" s="348"/>
      <c r="I36" s="1"/>
      <c r="J36" s="39"/>
      <c r="K36" s="404">
        <f>SUM(K26:K35)</f>
        <v>116</v>
      </c>
      <c r="L36" s="405">
        <f>((L26*K26)+(L27*K27)+(L28*K28)+(L29*K29)+(L30*K30)+(K33*L33)+(L31*K31)+(L32*K32)+(L35*K35))/(K36)</f>
        <v>97.673211986300913</v>
      </c>
      <c r="M36" s="405">
        <f>AVERAGE('[9]Jan30th-31st'!$L$42,L36)</f>
        <v>97.750626861071197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30"/>
      <c r="C37" s="350"/>
      <c r="D37" s="533"/>
      <c r="E37" s="534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28"/>
      <c r="C38" s="362"/>
      <c r="D38" s="539"/>
      <c r="E38" s="540"/>
      <c r="F38" s="294"/>
      <c r="G38" s="42"/>
      <c r="H38" s="41"/>
      <c r="I38" s="42"/>
      <c r="J38" s="541" t="s">
        <v>129</v>
      </c>
      <c r="K38" s="541"/>
      <c r="L38" s="294"/>
      <c r="M38" s="294"/>
      <c r="N38" s="294"/>
      <c r="O38" s="294"/>
      <c r="P38" s="12"/>
    </row>
    <row r="39" spans="1:56" ht="15.75" thickBot="1">
      <c r="B39" s="529"/>
      <c r="C39" s="362"/>
      <c r="D39" s="537"/>
      <c r="E39" s="534"/>
      <c r="F39" s="294"/>
      <c r="G39" s="42"/>
      <c r="H39" s="42"/>
      <c r="I39" s="42"/>
      <c r="J39" s="292" t="s">
        <v>17</v>
      </c>
      <c r="K39" s="293" t="s">
        <v>172</v>
      </c>
      <c r="L39" s="542" t="s">
        <v>136</v>
      </c>
      <c r="M39" s="542"/>
      <c r="N39" s="543"/>
      <c r="O39" s="294"/>
      <c r="P39" s="12"/>
    </row>
    <row r="40" spans="1:56" ht="15" customHeight="1" thickBot="1">
      <c r="B40" s="529"/>
      <c r="C40" s="349"/>
      <c r="D40" s="535"/>
      <c r="E40" s="536"/>
      <c r="F40" s="294"/>
      <c r="G40" s="42"/>
      <c r="H40" s="42"/>
      <c r="I40" s="42"/>
      <c r="J40" s="287" t="s">
        <v>6</v>
      </c>
      <c r="K40" s="324">
        <v>6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9"/>
      <c r="C41" s="349"/>
      <c r="D41" s="537"/>
      <c r="E41" s="534"/>
      <c r="F41" s="294"/>
      <c r="G41" s="42"/>
      <c r="H41" s="42"/>
      <c r="I41" s="42"/>
      <c r="J41" s="345" t="s">
        <v>9</v>
      </c>
      <c r="K41" s="324"/>
      <c r="L41" s="344">
        <f>AVERAGE('May 2nd-23rd'!J53,'May 2nd-23rd'!K53,'May 4th'!K51,'May 5th'!K47,'May 6th'!K54,'May 7th'!K48,'May 27th'!K50,'May 8th -9th'!K55,'May 8th -9th'!J55,'May 11th'!K51,'May 12th '!K46,'May 12th '!K46,'May 13th'!K45,'May 14th'!K42,'May 15th-16th'!K44,'May 19th '!K47,'May 20th'!K48,'May 21st'!K49,'May 22nd -23rd'!K48,'May 26th'!K49)</f>
        <v>5.6</v>
      </c>
      <c r="M41" s="325">
        <f>AVERAGE('[9]Jan30th-31st'!$L$47,L41,'[10]Feb 26th '!$L$39,'[11]Mar 31st'!$L$47,'[12]Apr 30th'!$L$46)</f>
        <v>6.3273913043478256</v>
      </c>
      <c r="N41" s="416">
        <v>9.1999999999999993</v>
      </c>
      <c r="O41" s="294"/>
      <c r="P41" s="12"/>
    </row>
    <row r="42" spans="1:56" ht="15" customHeight="1">
      <c r="B42" s="529"/>
      <c r="C42" s="349"/>
      <c r="D42" s="535"/>
      <c r="E42" s="536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9"/>
      <c r="C43" s="349"/>
      <c r="D43" s="537"/>
      <c r="E43" s="534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9"/>
      <c r="C44" s="349"/>
      <c r="D44" s="535"/>
      <c r="E44" s="536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9"/>
      <c r="C45" s="349"/>
      <c r="D45" s="537"/>
      <c r="E45" s="534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9"/>
      <c r="C46" s="349"/>
      <c r="D46" s="535"/>
      <c r="E46" s="536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38"/>
      <c r="C47" s="350"/>
      <c r="D47" s="544"/>
      <c r="E47" s="545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46"/>
      <c r="E48" s="547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6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48" t="s">
        <v>17</v>
      </c>
      <c r="C53" s="548" t="s">
        <v>44</v>
      </c>
      <c r="D53" s="551" t="s">
        <v>45</v>
      </c>
      <c r="E53" s="516" t="s">
        <v>46</v>
      </c>
      <c r="F53" s="565" t="s">
        <v>47</v>
      </c>
      <c r="G53" s="560" t="s">
        <v>48</v>
      </c>
      <c r="H53" s="548" t="s">
        <v>49</v>
      </c>
      <c r="I53" s="548" t="s">
        <v>50</v>
      </c>
      <c r="J53" s="554" t="s">
        <v>28</v>
      </c>
      <c r="K53" s="514" t="s">
        <v>51</v>
      </c>
      <c r="L53" s="563" t="s">
        <v>52</v>
      </c>
      <c r="M53" s="554" t="s">
        <v>53</v>
      </c>
      <c r="N53" s="13"/>
      <c r="O53" s="13"/>
      <c r="P53" s="50"/>
    </row>
    <row r="54" spans="2:57" ht="28.5" customHeight="1" thickTop="1" thickBot="1">
      <c r="B54" s="549"/>
      <c r="C54" s="550"/>
      <c r="D54" s="552"/>
      <c r="E54" s="553"/>
      <c r="F54" s="566"/>
      <c r="G54" s="561"/>
      <c r="H54" s="549"/>
      <c r="I54" s="549"/>
      <c r="J54" s="555"/>
      <c r="K54" s="562"/>
      <c r="L54" s="564"/>
      <c r="M54" s="555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customHeight="1" thickBot="1">
      <c r="B55" s="489" t="str">
        <f>I32</f>
        <v>STARMALT</v>
      </c>
      <c r="C55" s="479">
        <v>46169</v>
      </c>
      <c r="D55" s="445">
        <f>[32]May_2026!$AD$55</f>
        <v>207.70000000000002</v>
      </c>
      <c r="E55" s="443"/>
      <c r="F55" s="444"/>
      <c r="G55" s="445">
        <f>[32]May_2026!$AD$59</f>
        <v>199</v>
      </c>
      <c r="H55" s="458"/>
      <c r="I55" s="458"/>
      <c r="J55" s="448" t="s">
        <v>173</v>
      </c>
      <c r="K55" s="449">
        <f>[34]May_2026!$AD$18</f>
        <v>0.69824561403508767</v>
      </c>
      <c r="L55" s="457">
        <f>(((D55+E55)-G55)/(D55+E55))*100</f>
        <v>4.1887337506018376</v>
      </c>
      <c r="M55" s="455" t="s">
        <v>177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[13]January_2019!L5</f>
        <v>0</v>
      </c>
      <c r="AC55" s="57">
        <f>[13]January_2019!M5</f>
        <v>0</v>
      </c>
      <c r="AD55" s="57">
        <f>[13]January_2019!N5</f>
        <v>0</v>
      </c>
      <c r="AE55" s="57">
        <f>[13]January_2019!O5</f>
        <v>0</v>
      </c>
      <c r="AF55" s="57">
        <f>[13]January_2019!P5</f>
        <v>0</v>
      </c>
      <c r="AG55" s="57">
        <f>[13]January_2019!Q5</f>
        <v>0</v>
      </c>
      <c r="AH55" s="57">
        <f>[13]January_2019!R5</f>
        <v>0</v>
      </c>
      <c r="AI55" s="57">
        <f>[13]January_2019!S5</f>
        <v>0</v>
      </c>
      <c r="AJ55" s="57">
        <f>[13]January_2019!T5</f>
        <v>0</v>
      </c>
      <c r="AK55" s="57">
        <f>[13]January_2019!U5</f>
        <v>0</v>
      </c>
      <c r="AL55" s="57">
        <f>[13]January_2019!V5</f>
        <v>0</v>
      </c>
      <c r="AM55" s="57">
        <f>[13]January_2019!W5</f>
        <v>0</v>
      </c>
      <c r="AN55" s="57">
        <f>[13]January_2019!X5</f>
        <v>0</v>
      </c>
      <c r="AO55" s="57">
        <f>[13]January_2019!Y5</f>
        <v>0</v>
      </c>
      <c r="AP55" s="57">
        <f>[13]January_2019!Z5</f>
        <v>0</v>
      </c>
      <c r="AQ55" s="57">
        <f>[13]January_2019!AA5</f>
        <v>0</v>
      </c>
      <c r="AR55" s="57">
        <f>[13]January_2019!AB5</f>
        <v>0</v>
      </c>
      <c r="AS55" s="57">
        <f>[13]January_2019!AC5</f>
        <v>0</v>
      </c>
      <c r="AT55" s="57">
        <f>[13]January_2019!AD5</f>
        <v>0</v>
      </c>
      <c r="AU55" s="57">
        <f>[13]January_2019!AE5</f>
        <v>0</v>
      </c>
      <c r="AV55" s="57">
        <f>[13]January_2019!AF5</f>
        <v>0</v>
      </c>
      <c r="AW55" s="57">
        <f>[13]January_2019!AG5</f>
        <v>0</v>
      </c>
      <c r="AX55" s="277">
        <f>[13]January_2019!AH5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[13]January_2019!L6</f>
        <v>0</v>
      </c>
      <c r="AC56" s="57">
        <f>[13]January_2019!M6</f>
        <v>0</v>
      </c>
      <c r="AD56" s="57">
        <f>[13]January_2019!N6</f>
        <v>0</v>
      </c>
      <c r="AE56" s="57">
        <f>[13]January_2019!O6</f>
        <v>0</v>
      </c>
      <c r="AF56" s="57">
        <f>[13]January_2019!P6</f>
        <v>0</v>
      </c>
      <c r="AG56" s="57">
        <f>[13]January_2019!Q6</f>
        <v>0</v>
      </c>
      <c r="AH56" s="57">
        <f>[13]January_2019!R6</f>
        <v>0</v>
      </c>
      <c r="AI56" s="57">
        <f>[13]January_2019!S6</f>
        <v>0</v>
      </c>
      <c r="AJ56" s="57">
        <f>[13]January_2019!T6</f>
        <v>0</v>
      </c>
      <c r="AK56" s="57">
        <f>[13]January_2019!U6</f>
        <v>0</v>
      </c>
      <c r="AL56" s="57">
        <f>[13]January_2019!V6</f>
        <v>0</v>
      </c>
      <c r="AM56" s="57">
        <f>[13]January_2019!W6</f>
        <v>0</v>
      </c>
      <c r="AN56" s="57">
        <f>[13]January_2019!X6</f>
        <v>0</v>
      </c>
      <c r="AO56" s="57">
        <f>[13]January_2019!Y6</f>
        <v>0</v>
      </c>
      <c r="AP56" s="57">
        <f>[13]January_2019!Z6</f>
        <v>0</v>
      </c>
      <c r="AQ56" s="57">
        <f>[13]January_2019!AA6</f>
        <v>0</v>
      </c>
      <c r="AR56" s="57">
        <f>[13]January_2019!AB6</f>
        <v>0</v>
      </c>
      <c r="AS56" s="57">
        <f>[13]January_2019!AC6</f>
        <v>0</v>
      </c>
      <c r="AT56" s="57">
        <f>[13]January_2019!AD6</f>
        <v>0</v>
      </c>
      <c r="AU56" s="57">
        <f>[13]January_2019!AE6</f>
        <v>0</v>
      </c>
      <c r="AV56" s="57">
        <f>[13]January_2019!AF6</f>
        <v>0</v>
      </c>
      <c r="AW56" s="57">
        <f>[13]January_2019!AG6</f>
        <v>0</v>
      </c>
      <c r="AX56" s="277">
        <f>[13]January_2019!AH6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[13]January_2019!L7</f>
        <v>285.8</v>
      </c>
      <c r="AC57" s="57">
        <f>[13]January_2019!M7</f>
        <v>508.1</v>
      </c>
      <c r="AD57" s="57">
        <f>[13]January_2019!N7</f>
        <v>0</v>
      </c>
      <c r="AE57" s="57">
        <f>[13]January_2019!O7</f>
        <v>0</v>
      </c>
      <c r="AF57" s="57">
        <f>[13]January_2019!P7</f>
        <v>109.56666666666666</v>
      </c>
      <c r="AG57" s="57">
        <f>[13]January_2019!Q7</f>
        <v>297.64999999999998</v>
      </c>
      <c r="AH57" s="57">
        <f>[13]January_2019!R7</f>
        <v>122.3</v>
      </c>
      <c r="AI57" s="57">
        <f>[13]January_2019!S7</f>
        <v>0</v>
      </c>
      <c r="AJ57" s="57">
        <f>[13]January_2019!T7</f>
        <v>294.7</v>
      </c>
      <c r="AK57" s="57">
        <f>[13]January_2019!U7</f>
        <v>280.5</v>
      </c>
      <c r="AL57" s="57">
        <f>[13]January_2019!V7</f>
        <v>0</v>
      </c>
      <c r="AM57" s="57">
        <f>[13]January_2019!W7</f>
        <v>0</v>
      </c>
      <c r="AN57" s="57">
        <f>[13]January_2019!X7</f>
        <v>188.25</v>
      </c>
      <c r="AO57" s="57">
        <f>[13]January_2019!Y7</f>
        <v>295.7</v>
      </c>
      <c r="AP57" s="57">
        <f>[13]January_2019!Z7</f>
        <v>257.8</v>
      </c>
      <c r="AQ57" s="57">
        <f>[13]January_2019!AA7</f>
        <v>291.2</v>
      </c>
      <c r="AR57" s="57">
        <f>[13]January_2019!AB7</f>
        <v>187</v>
      </c>
      <c r="AS57" s="57">
        <f>[13]January_2019!AC7</f>
        <v>0</v>
      </c>
      <c r="AT57" s="57">
        <f>[13]January_2019!AD7</f>
        <v>0</v>
      </c>
      <c r="AU57" s="57">
        <f>[13]January_2019!AE7</f>
        <v>485.1</v>
      </c>
      <c r="AV57" s="57">
        <f>[13]January_2019!AF7</f>
        <v>171.55</v>
      </c>
      <c r="AW57" s="57">
        <f>[13]January_2019!AG7</f>
        <v>423.8</v>
      </c>
      <c r="AX57" s="277">
        <f>[13]January_2019!AH7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9.5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450000000000003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/>
      <c r="K59" s="45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89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56" t="s">
        <v>55</v>
      </c>
      <c r="C66" s="557"/>
      <c r="D66" s="557"/>
      <c r="E66" s="557"/>
      <c r="F66" s="558"/>
      <c r="G66" s="556" t="s">
        <v>56</v>
      </c>
      <c r="H66" s="557"/>
      <c r="I66" s="557"/>
      <c r="J66" s="558"/>
      <c r="K66" s="556" t="s">
        <v>51</v>
      </c>
      <c r="L66" s="557"/>
      <c r="M66" s="557"/>
      <c r="N66" s="559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/>
      <c r="D68" s="76">
        <v>5.881447436419009</v>
      </c>
      <c r="E68" s="76">
        <v>6.5634247008449584</v>
      </c>
      <c r="F68" s="66">
        <v>4.8</v>
      </c>
      <c r="G68" s="65"/>
      <c r="H68" s="477">
        <v>5.6900897598675142</v>
      </c>
      <c r="I68" s="477">
        <v>6.2688670205621344</v>
      </c>
      <c r="J68" s="66">
        <v>4.8</v>
      </c>
      <c r="K68" s="67"/>
      <c r="L68" s="194">
        <v>0.62966165413533837</v>
      </c>
      <c r="M68" s="194">
        <v>0.51130548427310263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4.8528333911969801</v>
      </c>
      <c r="E69" s="76">
        <v>5.9367347500298155</v>
      </c>
      <c r="F69" s="66">
        <v>4.8</v>
      </c>
      <c r="G69" s="65"/>
      <c r="H69" s="76">
        <v>4.9494635940844729</v>
      </c>
      <c r="I69" s="76">
        <v>5.4655642193228315</v>
      </c>
      <c r="J69" s="66">
        <v>4.8</v>
      </c>
      <c r="K69" s="67"/>
      <c r="L69" s="194">
        <v>0.59716791979949879</v>
      </c>
      <c r="M69" s="194">
        <v>0.68713504693777017</v>
      </c>
      <c r="N69" s="68">
        <v>1</v>
      </c>
      <c r="P69" s="69"/>
    </row>
    <row r="70" spans="2:16" ht="15">
      <c r="B70" s="34" t="s">
        <v>40</v>
      </c>
      <c r="C70" s="65"/>
      <c r="D70" s="76">
        <v>9.5676691729323267</v>
      </c>
      <c r="E70" s="76">
        <v>11.555629029591669</v>
      </c>
      <c r="F70" s="66">
        <v>5.5</v>
      </c>
      <c r="G70" s="65"/>
      <c r="H70" s="76">
        <v>10.718568260092542</v>
      </c>
      <c r="I70" s="76">
        <v>12.618851801260744</v>
      </c>
      <c r="J70" s="66">
        <v>5.5</v>
      </c>
      <c r="K70" s="67"/>
      <c r="L70" s="194">
        <v>0.23956140350877195</v>
      </c>
      <c r="M70" s="194">
        <v>0.26444407894736843</v>
      </c>
      <c r="N70" s="68">
        <v>1</v>
      </c>
      <c r="P70" s="69"/>
    </row>
    <row r="71" spans="2:16" ht="15">
      <c r="B71" s="22" t="s">
        <v>33</v>
      </c>
      <c r="C71" s="65"/>
      <c r="D71" s="76">
        <v>4.9306092006073188</v>
      </c>
      <c r="E71" s="76">
        <v>4.7166249493099075</v>
      </c>
      <c r="F71" s="66">
        <v>3.3</v>
      </c>
      <c r="G71" s="65"/>
      <c r="H71" s="76">
        <v>5.5037640962151348</v>
      </c>
      <c r="I71" s="76">
        <v>4.7393662692065543</v>
      </c>
      <c r="J71" s="66">
        <v>3.3</v>
      </c>
      <c r="K71" s="67"/>
      <c r="L71" s="194">
        <v>0.61175438596491227</v>
      </c>
      <c r="M71" s="194">
        <v>0.73604010025062649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76"/>
      <c r="D73" s="76">
        <v>5.2401746724890881</v>
      </c>
      <c r="E73" s="76">
        <v>5.1541347251672045</v>
      </c>
      <c r="F73" s="487">
        <v>5.5</v>
      </c>
      <c r="G73" s="282"/>
      <c r="H73" s="76">
        <v>6.6922456038466889</v>
      </c>
      <c r="I73" s="76">
        <v>7.4989046872874194</v>
      </c>
      <c r="J73" s="66">
        <v>5.5</v>
      </c>
      <c r="K73" s="67"/>
      <c r="L73" s="194">
        <v>0.68526315789473691</v>
      </c>
      <c r="M73" s="194">
        <v>1.0201754385964912</v>
      </c>
      <c r="N73" s="68">
        <v>1</v>
      </c>
      <c r="P73" s="69"/>
    </row>
    <row r="74" spans="2:16" ht="15">
      <c r="B74" s="37" t="s">
        <v>16</v>
      </c>
      <c r="C74" s="503">
        <f>L55</f>
        <v>4.1887337506018376</v>
      </c>
      <c r="D74" s="76">
        <v>3.697571743929374</v>
      </c>
      <c r="E74" s="76">
        <v>3.8985359210078245</v>
      </c>
      <c r="F74" s="66">
        <v>3.3</v>
      </c>
      <c r="G74" s="282">
        <f>[32]May_2026!$AD$63</f>
        <v>6.1535627400660262</v>
      </c>
      <c r="H74" s="76">
        <v>4.9058595326967183</v>
      </c>
      <c r="I74" s="76">
        <v>4.8412394790618878</v>
      </c>
      <c r="J74" s="66">
        <v>3.3</v>
      </c>
      <c r="K74" s="67">
        <f>K55</f>
        <v>0.69824561403508767</v>
      </c>
      <c r="L74" s="194">
        <v>0.69175438596491223</v>
      </c>
      <c r="M74" s="194">
        <v>0.84386695906432752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5.6105814794314597</v>
      </c>
      <c r="E77" s="76">
        <v>6.3245341224400882</v>
      </c>
      <c r="F77" s="341">
        <v>5.5</v>
      </c>
      <c r="H77" s="76">
        <v>5.878354251736571</v>
      </c>
      <c r="I77" s="76">
        <v>6.3654183077136706</v>
      </c>
      <c r="J77" s="341">
        <v>5.5</v>
      </c>
      <c r="L77" s="194">
        <v>0.59926194797338184</v>
      </c>
      <c r="M77" s="194">
        <v>0.57830160611739556</v>
      </c>
      <c r="N77" s="386">
        <v>1</v>
      </c>
    </row>
  </sheetData>
  <mergeCells count="51"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553" priority="95" operator="notBetween">
      <formula>#REF!</formula>
      <formula>#REF!</formula>
    </cfRule>
  </conditionalFormatting>
  <conditionalFormatting sqref="C52">
    <cfRule type="cellIs" dxfId="552" priority="185" stopIfTrue="1" operator="greaterThan">
      <formula>100</formula>
    </cfRule>
    <cfRule type="cellIs" dxfId="551" priority="184" stopIfTrue="1" operator="lessThan">
      <formula>96</formula>
    </cfRule>
  </conditionalFormatting>
  <conditionalFormatting sqref="C68:C69">
    <cfRule type="cellIs" dxfId="550" priority="31" stopIfTrue="1" operator="greaterThan">
      <formula>$F68</formula>
    </cfRule>
    <cfRule type="cellIs" dxfId="549" priority="32" stopIfTrue="1" operator="lessThanOrEqual">
      <formula>0</formula>
    </cfRule>
    <cfRule type="cellIs" dxfId="548" priority="33" stopIfTrue="1" operator="greaterThan">
      <formula>$F68</formula>
    </cfRule>
    <cfRule type="cellIs" dxfId="547" priority="34" stopIfTrue="1" operator="lessThanOrEqual">
      <formula>0</formula>
    </cfRule>
  </conditionalFormatting>
  <conditionalFormatting sqref="C70:C72 C74:C76">
    <cfRule type="cellIs" dxfId="546" priority="65" stopIfTrue="1" operator="greaterThan">
      <formula>$F73</formula>
    </cfRule>
  </conditionalFormatting>
  <conditionalFormatting sqref="C70:C72">
    <cfRule type="cellIs" dxfId="545" priority="66" stopIfTrue="1" operator="lessThanOrEqual">
      <formula>0</formula>
    </cfRule>
  </conditionalFormatting>
  <conditionalFormatting sqref="C74:C76">
    <cfRule type="cellIs" dxfId="544" priority="67" stopIfTrue="1" operator="lessThanOrEqual">
      <formula>0</formula>
    </cfRule>
  </conditionalFormatting>
  <conditionalFormatting sqref="C79:C83">
    <cfRule type="cellIs" dxfId="543" priority="176" stopIfTrue="1" operator="lessThanOrEqual">
      <formula>0</formula>
    </cfRule>
  </conditionalFormatting>
  <conditionalFormatting sqref="C80:C83">
    <cfRule type="cellIs" dxfId="542" priority="175" stopIfTrue="1" operator="greaterThan">
      <formula>$F$79</formula>
    </cfRule>
  </conditionalFormatting>
  <conditionalFormatting sqref="C85">
    <cfRule type="cellIs" dxfId="541" priority="178" stopIfTrue="1" operator="lessThanOrEqual">
      <formula>0</formula>
    </cfRule>
    <cfRule type="cellIs" dxfId="540" priority="177" stopIfTrue="1" operator="greaterThan">
      <formula>$F$79</formula>
    </cfRule>
  </conditionalFormatting>
  <conditionalFormatting sqref="C73:D73">
    <cfRule type="cellIs" dxfId="539" priority="30" stopIfTrue="1" operator="lessThanOrEqual">
      <formula>0</formula>
    </cfRule>
    <cfRule type="cellIs" dxfId="538" priority="29" stopIfTrue="1" operator="greaterThan">
      <formula>$J73</formula>
    </cfRule>
  </conditionalFormatting>
  <conditionalFormatting sqref="C79:D79 D81:D87">
    <cfRule type="cellIs" dxfId="537" priority="170" stopIfTrue="1" operator="greaterThan">
      <formula>4.5</formula>
    </cfRule>
  </conditionalFormatting>
  <conditionalFormatting sqref="D48:D49">
    <cfRule type="cellIs" dxfId="536" priority="96" operator="notBetween">
      <formula>#REF!</formula>
      <formula>#REF!</formula>
    </cfRule>
  </conditionalFormatting>
  <conditionalFormatting sqref="D68:D72 D74:D75">
    <cfRule type="cellIs" dxfId="535" priority="60" stopIfTrue="1" operator="lessThanOrEqual">
      <formula>0</formula>
    </cfRule>
  </conditionalFormatting>
  <conditionalFormatting sqref="D68:D72 D74:D77">
    <cfRule type="cellIs" dxfId="534" priority="44" stopIfTrue="1" operator="lessThanOrEqual">
      <formula>0</formula>
    </cfRule>
  </conditionalFormatting>
  <conditionalFormatting sqref="D76">
    <cfRule type="cellIs" dxfId="533" priority="59" stopIfTrue="1" operator="lessThanOrEqual">
      <formula>0</formula>
    </cfRule>
  </conditionalFormatting>
  <conditionalFormatting sqref="D77">
    <cfRule type="cellIs" dxfId="532" priority="56" stopIfTrue="1" operator="lessThanOrEqual">
      <formula>0</formula>
    </cfRule>
  </conditionalFormatting>
  <conditionalFormatting sqref="D79 D81:D87">
    <cfRule type="cellIs" dxfId="531" priority="171" stopIfTrue="1" operator="lessThanOrEqual">
      <formula>0</formula>
    </cfRule>
  </conditionalFormatting>
  <conditionalFormatting sqref="D80">
    <cfRule type="cellIs" dxfId="530" priority="163" stopIfTrue="1" operator="lessThanOrEqual">
      <formula>0</formula>
    </cfRule>
    <cfRule type="cellIs" dxfId="529" priority="162" stopIfTrue="1" operator="greaterThan">
      <formula>$F$79</formula>
    </cfRule>
  </conditionalFormatting>
  <conditionalFormatting sqref="D68:E72 E73 D74:E77">
    <cfRule type="cellIs" dxfId="528" priority="46" stopIfTrue="1" operator="greaterThan">
      <formula>$F68</formula>
    </cfRule>
  </conditionalFormatting>
  <conditionalFormatting sqref="D77:E77">
    <cfRule type="cellIs" dxfId="527" priority="48" stopIfTrue="1" operator="lessThanOrEqual">
      <formula>0</formula>
    </cfRule>
  </conditionalFormatting>
  <conditionalFormatting sqref="E10:E23">
    <cfRule type="cellIs" dxfId="526" priority="25" operator="lessThan">
      <formula>48</formula>
    </cfRule>
  </conditionalFormatting>
  <conditionalFormatting sqref="E51 E52:F52">
    <cfRule type="cellIs" dxfId="525" priority="167" stopIfTrue="1" operator="greaterThan">
      <formula>100</formula>
    </cfRule>
  </conditionalFormatting>
  <conditionalFormatting sqref="E52">
    <cfRule type="cellIs" dxfId="524" priority="165" stopIfTrue="1" operator="greaterThan">
      <formula>100</formula>
    </cfRule>
    <cfRule type="cellIs" dxfId="523" priority="164" stopIfTrue="1" operator="lessThan">
      <formula>96.8</formula>
    </cfRule>
  </conditionalFormatting>
  <conditionalFormatting sqref="E68:E76">
    <cfRule type="cellIs" dxfId="522" priority="45" stopIfTrue="1" operator="lessThanOrEqual">
      <formula>0</formula>
    </cfRule>
  </conditionalFormatting>
  <conditionalFormatting sqref="E68:E77">
    <cfRule type="cellIs" dxfId="521" priority="47" stopIfTrue="1" operator="lessThanOrEqual">
      <formula>0</formula>
    </cfRule>
  </conditionalFormatting>
  <conditionalFormatting sqref="E79:E87">
    <cfRule type="cellIs" dxfId="520" priority="157" stopIfTrue="1" operator="lessThanOrEqual">
      <formula>0</formula>
    </cfRule>
    <cfRule type="cellIs" dxfId="519" priority="156" stopIfTrue="1" operator="greaterThan">
      <formula>4.5</formula>
    </cfRule>
  </conditionalFormatting>
  <conditionalFormatting sqref="E52:F52 E51">
    <cfRule type="cellIs" dxfId="518" priority="166" stopIfTrue="1" operator="lessThan">
      <formula>96.5</formula>
    </cfRule>
  </conditionalFormatting>
  <conditionalFormatting sqref="F10:F20 F22:F23">
    <cfRule type="cellIs" dxfId="517" priority="35" operator="greaterThan">
      <formula>60</formula>
    </cfRule>
  </conditionalFormatting>
  <conditionalFormatting sqref="F52">
    <cfRule type="cellIs" dxfId="516" priority="182" stopIfTrue="1" operator="lessThan">
      <formula>96.8</formula>
    </cfRule>
    <cfRule type="cellIs" dxfId="515" priority="183" stopIfTrue="1" operator="greaterThan">
      <formula>100</formula>
    </cfRule>
  </conditionalFormatting>
  <conditionalFormatting sqref="F77">
    <cfRule type="cellIs" dxfId="514" priority="58" stopIfTrue="1" operator="lessThanOrEqual">
      <formula>0</formula>
    </cfRule>
    <cfRule type="cellIs" dxfId="513" priority="57" stopIfTrue="1" operator="greaterThan">
      <formula>$F77</formula>
    </cfRule>
  </conditionalFormatting>
  <conditionalFormatting sqref="G21:G23">
    <cfRule type="expression" dxfId="512" priority="26">
      <formula>IF(+(IF(G21&lt;S21,0,IF(G21&gt;T21,0,1)))=0,1)</formula>
    </cfRule>
  </conditionalFormatting>
  <conditionalFormatting sqref="G68:G69">
    <cfRule type="cellIs" dxfId="511" priority="62" stopIfTrue="1" operator="lessThanOrEqual">
      <formula>0</formula>
    </cfRule>
    <cfRule type="cellIs" dxfId="510" priority="61" stopIfTrue="1" operator="greaterThan">
      <formula>$F68</formula>
    </cfRule>
  </conditionalFormatting>
  <conditionalFormatting sqref="G68:G71">
    <cfRule type="cellIs" dxfId="509" priority="39" stopIfTrue="1" operator="greaterThan">
      <formula>$F68</formula>
    </cfRule>
    <cfRule type="cellIs" dxfId="508" priority="40" stopIfTrue="1" operator="lessThanOrEqual">
      <formula>0</formula>
    </cfRule>
  </conditionalFormatting>
  <conditionalFormatting sqref="G70">
    <cfRule type="cellIs" dxfId="507" priority="38" stopIfTrue="1" operator="lessThanOrEqual">
      <formula>0</formula>
    </cfRule>
    <cfRule type="cellIs" dxfId="506" priority="37" stopIfTrue="1" operator="greaterThan">
      <formula>$F70</formula>
    </cfRule>
  </conditionalFormatting>
  <conditionalFormatting sqref="G71">
    <cfRule type="cellIs" dxfId="505" priority="52" stopIfTrue="1" operator="greaterThan">
      <formula>$F71</formula>
    </cfRule>
    <cfRule type="cellIs" dxfId="504" priority="53" stopIfTrue="1" operator="lessThanOrEqual">
      <formula>0</formula>
    </cfRule>
  </conditionalFormatting>
  <conditionalFormatting sqref="G72:G76">
    <cfRule type="cellIs" dxfId="503" priority="64" stopIfTrue="1" operator="lessThanOrEqual">
      <formula>0</formula>
    </cfRule>
    <cfRule type="cellIs" dxfId="502" priority="63" stopIfTrue="1" operator="greaterThan">
      <formula>$J72</formula>
    </cfRule>
  </conditionalFormatting>
  <conditionalFormatting sqref="G81:G86 C84 C86">
    <cfRule type="cellIs" dxfId="501" priority="180" stopIfTrue="1" operator="lessThanOrEqual">
      <formula>0</formula>
    </cfRule>
    <cfRule type="cellIs" dxfId="500" priority="179" stopIfTrue="1" operator="greaterThan">
      <formula>4.5</formula>
    </cfRule>
  </conditionalFormatting>
  <conditionalFormatting sqref="G10:H20 M10:N23 H21:H23">
    <cfRule type="expression" dxfId="499" priority="27">
      <formula>IF(+(IF(G10&lt;#REF!,0,IF(G10&gt;#REF!,0,1)))=0,1)</formula>
    </cfRule>
  </conditionalFormatting>
  <conditionalFormatting sqref="G80:H80">
    <cfRule type="cellIs" dxfId="498" priority="161" stopIfTrue="1" operator="lessThanOrEqual">
      <formula>0</formula>
    </cfRule>
    <cfRule type="cellIs" dxfId="497" priority="160" stopIfTrue="1" operator="greaterThan">
      <formula>$F$79</formula>
    </cfRule>
  </conditionalFormatting>
  <conditionalFormatting sqref="H37:H38 H51">
    <cfRule type="cellIs" dxfId="496" priority="158" stopIfTrue="1" operator="greaterThan">
      <formula>0</formula>
    </cfRule>
  </conditionalFormatting>
  <conditionalFormatting sqref="H55">
    <cfRule type="cellIs" dxfId="495" priority="6" stopIfTrue="1" operator="greaterThan">
      <formula>$F$68</formula>
    </cfRule>
    <cfRule type="cellIs" dxfId="494" priority="14" stopIfTrue="1" operator="greaterThan">
      <formula>$F$71</formula>
    </cfRule>
    <cfRule type="cellIs" dxfId="493" priority="15" stopIfTrue="1" operator="lessThanOrEqual">
      <formula>0</formula>
    </cfRule>
    <cfRule type="cellIs" dxfId="492" priority="16" stopIfTrue="1" operator="greaterThan">
      <formula>$F$69</formula>
    </cfRule>
    <cfRule type="cellIs" dxfId="491" priority="5" stopIfTrue="1" operator="lessThanOrEqual">
      <formula>0</formula>
    </cfRule>
  </conditionalFormatting>
  <conditionalFormatting sqref="H55:H57">
    <cfRule type="cellIs" dxfId="490" priority="17" stopIfTrue="1" operator="lessThanOrEqual">
      <formula>0</formula>
    </cfRule>
  </conditionalFormatting>
  <conditionalFormatting sqref="H56:H57">
    <cfRule type="cellIs" dxfId="489" priority="78" stopIfTrue="1" operator="greaterThan">
      <formula>$F$69</formula>
    </cfRule>
    <cfRule type="cellIs" dxfId="488" priority="77" stopIfTrue="1" operator="lessThanOrEqual">
      <formula>0</formula>
    </cfRule>
    <cfRule type="cellIs" dxfId="487" priority="68" stopIfTrue="1" operator="greaterThan">
      <formula>$F$68</formula>
    </cfRule>
    <cfRule type="cellIs" dxfId="486" priority="76" stopIfTrue="1" operator="greaterThan">
      <formula>$F$71</formula>
    </cfRule>
  </conditionalFormatting>
  <conditionalFormatting sqref="H56:H59">
    <cfRule type="cellIs" dxfId="485" priority="79" stopIfTrue="1" operator="lessThanOrEqual">
      <formula>0</formula>
    </cfRule>
  </conditionalFormatting>
  <conditionalFormatting sqref="H58:H59">
    <cfRule type="cellIs" dxfId="484" priority="90" stopIfTrue="1" operator="greaterThan">
      <formula>$F$71</formula>
    </cfRule>
    <cfRule type="cellIs" dxfId="483" priority="82" stopIfTrue="1" operator="greaterThan">
      <formula>$F$68</formula>
    </cfRule>
    <cfRule type="cellIs" dxfId="482" priority="91" stopIfTrue="1" operator="lessThanOrEqual">
      <formula>0</formula>
    </cfRule>
    <cfRule type="cellIs" dxfId="481" priority="92" stopIfTrue="1" operator="greaterThan">
      <formula>$F$69</formula>
    </cfRule>
    <cfRule type="cellIs" dxfId="480" priority="93" stopIfTrue="1" operator="lessThanOrEqual">
      <formula>0</formula>
    </cfRule>
  </conditionalFormatting>
  <conditionalFormatting sqref="H60:H61">
    <cfRule type="cellIs" dxfId="479" priority="129" stopIfTrue="1" operator="greaterThan">
      <formula>$F$23</formula>
    </cfRule>
    <cfRule type="cellIs" dxfId="478" priority="121" stopIfTrue="1" operator="greaterThan">
      <formula>#REF!</formula>
    </cfRule>
    <cfRule type="cellIs" dxfId="477" priority="120" stopIfTrue="1" operator="lessThanOrEqual">
      <formula>0</formula>
    </cfRule>
    <cfRule type="cellIs" dxfId="476" priority="130" stopIfTrue="1" operator="lessThanOrEqual">
      <formula>0</formula>
    </cfRule>
    <cfRule type="cellIs" dxfId="475" priority="132" stopIfTrue="1" operator="lessThanOrEqual">
      <formula>0</formula>
    </cfRule>
    <cfRule type="cellIs" dxfId="474" priority="131" stopIfTrue="1" operator="greaterThan">
      <formula>#REF!</formula>
    </cfRule>
  </conditionalFormatting>
  <conditionalFormatting sqref="H62">
    <cfRule type="cellIs" dxfId="473" priority="146" stopIfTrue="1" operator="lessThanOrEqual">
      <formula>0</formula>
    </cfRule>
    <cfRule type="cellIs" dxfId="472" priority="134" stopIfTrue="1" operator="lessThanOrEqual">
      <formula>0</formula>
    </cfRule>
    <cfRule type="cellIs" dxfId="471" priority="145" stopIfTrue="1" operator="greaterThan">
      <formula>$F$37</formula>
    </cfRule>
    <cfRule type="cellIs" dxfId="470" priority="144" stopIfTrue="1" operator="lessThanOrEqual">
      <formula>0</formula>
    </cfRule>
    <cfRule type="cellIs" dxfId="469" priority="143" stopIfTrue="1" operator="greaterThan">
      <formula>$F$39</formula>
    </cfRule>
    <cfRule type="cellIs" dxfId="468" priority="135" stopIfTrue="1" operator="greaterThan">
      <formula>$F$36</formula>
    </cfRule>
  </conditionalFormatting>
  <conditionalFormatting sqref="H63:H64">
    <cfRule type="cellIs" dxfId="467" priority="107" stopIfTrue="1" operator="greaterThan">
      <formula>#REF!</formula>
    </cfRule>
    <cfRule type="cellIs" dxfId="466" priority="106" stopIfTrue="1" operator="lessThanOrEqual">
      <formula>0</formula>
    </cfRule>
    <cfRule type="cellIs" dxfId="465" priority="115" stopIfTrue="1" operator="greaterThan">
      <formula>$F$23</formula>
    </cfRule>
    <cfRule type="cellIs" dxfId="464" priority="118" stopIfTrue="1" operator="lessThanOrEqual">
      <formula>0</formula>
    </cfRule>
    <cfRule type="cellIs" dxfId="463" priority="117" stopIfTrue="1" operator="greaterThan">
      <formula>#REF!</formula>
    </cfRule>
    <cfRule type="cellIs" dxfId="462" priority="116" stopIfTrue="1" operator="lessThanOrEqual">
      <formula>0</formula>
    </cfRule>
  </conditionalFormatting>
  <conditionalFormatting sqref="H79 H81:H87">
    <cfRule type="cellIs" dxfId="461" priority="173" stopIfTrue="1" operator="lessThanOrEqual">
      <formula>0</formula>
    </cfRule>
    <cfRule type="cellIs" dxfId="460" priority="172" stopIfTrue="1" operator="greaterThan">
      <formula>4.5</formula>
    </cfRule>
  </conditionalFormatting>
  <conditionalFormatting sqref="H55:I55">
    <cfRule type="cellIs" dxfId="459" priority="7" stopIfTrue="1" operator="lessThanOrEqual">
      <formula>0</formula>
    </cfRule>
  </conditionalFormatting>
  <conditionalFormatting sqref="H55:I59">
    <cfRule type="cellIs" dxfId="458" priority="4" stopIfTrue="1" operator="greaterThan">
      <formula>$F$70</formula>
    </cfRule>
  </conditionalFormatting>
  <conditionalFormatting sqref="H56:I57">
    <cfRule type="cellIs" dxfId="457" priority="69" stopIfTrue="1" operator="lessThanOrEqual">
      <formula>0</formula>
    </cfRule>
  </conditionalFormatting>
  <conditionalFormatting sqref="H58:I59">
    <cfRule type="cellIs" dxfId="456" priority="83" stopIfTrue="1" operator="lessThanOrEqual">
      <formula>0</formula>
    </cfRule>
  </conditionalFormatting>
  <conditionalFormatting sqref="H60:I61">
    <cfRule type="cellIs" dxfId="455" priority="122" stopIfTrue="1" operator="lessThanOrEqual">
      <formula>0</formula>
    </cfRule>
    <cfRule type="cellIs" dxfId="454" priority="119" stopIfTrue="1" operator="greaterThan">
      <formula>#REF!</formula>
    </cfRule>
  </conditionalFormatting>
  <conditionalFormatting sqref="H62:I62">
    <cfRule type="cellIs" dxfId="453" priority="133" stopIfTrue="1" operator="greaterThan">
      <formula>$F$38</formula>
    </cfRule>
    <cfRule type="cellIs" dxfId="452" priority="136" stopIfTrue="1" operator="lessThanOrEqual">
      <formula>0</formula>
    </cfRule>
  </conditionalFormatting>
  <conditionalFormatting sqref="H63:I64">
    <cfRule type="cellIs" dxfId="451" priority="108" stopIfTrue="1" operator="lessThanOrEqual">
      <formula>0</formula>
    </cfRule>
    <cfRule type="cellIs" dxfId="450" priority="105" stopIfTrue="1" operator="greaterThan">
      <formula>#REF!</formula>
    </cfRule>
  </conditionalFormatting>
  <conditionalFormatting sqref="H68:I75">
    <cfRule type="cellIs" dxfId="449" priority="42" stopIfTrue="1" operator="greaterThan">
      <formula>$J68</formula>
    </cfRule>
    <cfRule type="cellIs" dxfId="448" priority="43" stopIfTrue="1" operator="lessThanOrEqual">
      <formula>0</formula>
    </cfRule>
  </conditionalFormatting>
  <conditionalFormatting sqref="H76:I76">
    <cfRule type="cellIs" dxfId="447" priority="51" operator="greaterThan">
      <formula>5.3</formula>
    </cfRule>
  </conditionalFormatting>
  <conditionalFormatting sqref="H77:I77">
    <cfRule type="cellIs" dxfId="446" priority="49" stopIfTrue="1" operator="greaterThan">
      <formula>$J77</formula>
    </cfRule>
    <cfRule type="cellIs" dxfId="445" priority="50" stopIfTrue="1" operator="lessThanOrEqual">
      <formula>0</formula>
    </cfRule>
  </conditionalFormatting>
  <conditionalFormatting sqref="I55">
    <cfRule type="cellIs" dxfId="444" priority="8" stopIfTrue="1" operator="greaterThan">
      <formula>$F$68</formula>
    </cfRule>
    <cfRule type="cellIs" dxfId="443" priority="9" stopIfTrue="1" operator="lessThanOrEqual">
      <formula>0</formula>
    </cfRule>
    <cfRule type="cellIs" dxfId="442" priority="10" stopIfTrue="1" operator="greaterThan">
      <formula>$F$70</formula>
    </cfRule>
    <cfRule type="cellIs" dxfId="441" priority="11" stopIfTrue="1" operator="lessThanOrEqual">
      <formula>0</formula>
    </cfRule>
    <cfRule type="cellIs" dxfId="440" priority="12" stopIfTrue="1" operator="greaterThan">
      <formula>$F$68</formula>
    </cfRule>
    <cfRule type="cellIs" dxfId="439" priority="13" stopIfTrue="1" operator="lessThanOrEqual">
      <formula>0</formula>
    </cfRule>
  </conditionalFormatting>
  <conditionalFormatting sqref="I56:I57">
    <cfRule type="cellIs" dxfId="438" priority="75" stopIfTrue="1" operator="lessThanOrEqual">
      <formula>0</formula>
    </cfRule>
    <cfRule type="cellIs" dxfId="437" priority="70" stopIfTrue="1" operator="greaterThan">
      <formula>$F$68</formula>
    </cfRule>
    <cfRule type="cellIs" dxfId="436" priority="71" stopIfTrue="1" operator="lessThanOrEqual">
      <formula>0</formula>
    </cfRule>
    <cfRule type="cellIs" dxfId="435" priority="72" stopIfTrue="1" operator="greaterThan">
      <formula>$F$70</formula>
    </cfRule>
    <cfRule type="cellIs" dxfId="434" priority="74" stopIfTrue="1" operator="greaterThan">
      <formula>$F$68</formula>
    </cfRule>
    <cfRule type="cellIs" dxfId="433" priority="73" stopIfTrue="1" operator="lessThanOrEqual">
      <formula>0</formula>
    </cfRule>
  </conditionalFormatting>
  <conditionalFormatting sqref="I58:I59">
    <cfRule type="cellIs" dxfId="432" priority="86" stopIfTrue="1" operator="greaterThan">
      <formula>$F$70</formula>
    </cfRule>
    <cfRule type="cellIs" dxfId="431" priority="85" stopIfTrue="1" operator="lessThanOrEqual">
      <formula>0</formula>
    </cfRule>
    <cfRule type="cellIs" dxfId="430" priority="84" stopIfTrue="1" operator="greaterThan">
      <formula>$F$68</formula>
    </cfRule>
    <cfRule type="cellIs" dxfId="429" priority="88" stopIfTrue="1" operator="greaterThan">
      <formula>$F$68</formula>
    </cfRule>
    <cfRule type="cellIs" dxfId="428" priority="89" stopIfTrue="1" operator="lessThanOrEqual">
      <formula>0</formula>
    </cfRule>
    <cfRule type="cellIs" dxfId="427" priority="87" stopIfTrue="1" operator="lessThanOrEqual">
      <formula>0</formula>
    </cfRule>
  </conditionalFormatting>
  <conditionalFormatting sqref="I60:I61">
    <cfRule type="cellIs" dxfId="426" priority="125" stopIfTrue="1" operator="greaterThan">
      <formula>#REF!</formula>
    </cfRule>
    <cfRule type="cellIs" dxfId="425" priority="127" stopIfTrue="1" operator="greaterThan">
      <formula>#REF!</formula>
    </cfRule>
    <cfRule type="cellIs" dxfId="424" priority="128" stopIfTrue="1" operator="lessThanOrEqual">
      <formula>0</formula>
    </cfRule>
    <cfRule type="cellIs" dxfId="423" priority="126" stopIfTrue="1" operator="lessThanOrEqual">
      <formula>0</formula>
    </cfRule>
    <cfRule type="cellIs" dxfId="422" priority="123" stopIfTrue="1" operator="greaterThan">
      <formula>#REF!</formula>
    </cfRule>
    <cfRule type="cellIs" dxfId="421" priority="124" stopIfTrue="1" operator="lessThanOrEqual">
      <formula>0</formula>
    </cfRule>
  </conditionalFormatting>
  <conditionalFormatting sqref="I62">
    <cfRule type="cellIs" dxfId="420" priority="142" stopIfTrue="1" operator="lessThanOrEqual">
      <formula>0</formula>
    </cfRule>
    <cfRule type="cellIs" dxfId="419" priority="137" stopIfTrue="1" operator="greaterThan">
      <formula>$F$36</formula>
    </cfRule>
    <cfRule type="cellIs" dxfId="418" priority="139" stopIfTrue="1" operator="greaterThan">
      <formula>$F$38</formula>
    </cfRule>
    <cfRule type="cellIs" dxfId="417" priority="138" stopIfTrue="1" operator="lessThanOrEqual">
      <formula>0</formula>
    </cfRule>
    <cfRule type="cellIs" dxfId="416" priority="140" stopIfTrue="1" operator="lessThanOrEqual">
      <formula>0</formula>
    </cfRule>
    <cfRule type="cellIs" dxfId="415" priority="141" stopIfTrue="1" operator="greaterThan">
      <formula>$F$36</formula>
    </cfRule>
  </conditionalFormatting>
  <conditionalFormatting sqref="I63:I64">
    <cfRule type="cellIs" dxfId="414" priority="111" stopIfTrue="1" operator="greaterThan">
      <formula>#REF!</formula>
    </cfRule>
    <cfRule type="cellIs" dxfId="413" priority="110" stopIfTrue="1" operator="lessThanOrEqual">
      <formula>0</formula>
    </cfRule>
    <cfRule type="cellIs" dxfId="412" priority="109" stopIfTrue="1" operator="greaterThan">
      <formula>#REF!</formula>
    </cfRule>
    <cfRule type="cellIs" dxfId="411" priority="113" stopIfTrue="1" operator="greaterThan">
      <formula>#REF!</formula>
    </cfRule>
    <cfRule type="cellIs" dxfId="410" priority="114" stopIfTrue="1" operator="lessThanOrEqual">
      <formula>0</formula>
    </cfRule>
    <cfRule type="cellIs" dxfId="409" priority="112" stopIfTrue="1" operator="lessThanOrEqual">
      <formula>0</formula>
    </cfRule>
  </conditionalFormatting>
  <conditionalFormatting sqref="I79:I87">
    <cfRule type="cellIs" dxfId="408" priority="168" stopIfTrue="1" operator="greaterThan">
      <formula>4.5</formula>
    </cfRule>
    <cfRule type="cellIs" dxfId="407" priority="169" stopIfTrue="1" operator="lessThanOrEqual">
      <formula>0</formula>
    </cfRule>
  </conditionalFormatting>
  <conditionalFormatting sqref="I10:J23">
    <cfRule type="cellIs" dxfId="406" priority="19" operator="lessThan">
      <formula>97.9</formula>
    </cfRule>
  </conditionalFormatting>
  <conditionalFormatting sqref="J26:J27">
    <cfRule type="cellIs" dxfId="405" priority="81" operator="lessThan">
      <formula>97.95</formula>
    </cfRule>
  </conditionalFormatting>
  <conditionalFormatting sqref="J28">
    <cfRule type="cellIs" dxfId="404" priority="150" operator="lessThan">
      <formula>98</formula>
    </cfRule>
    <cfRule type="cellIs" dxfId="403" priority="148" stopIfTrue="1" operator="lessThan">
      <formula>96.8</formula>
    </cfRule>
    <cfRule type="cellIs" dxfId="402" priority="149" stopIfTrue="1" operator="greaterThan">
      <formula>100</formula>
    </cfRule>
  </conditionalFormatting>
  <conditionalFormatting sqref="J28:J30">
    <cfRule type="cellIs" dxfId="401" priority="147" operator="lessThan">
      <formula>97.4</formula>
    </cfRule>
  </conditionalFormatting>
  <conditionalFormatting sqref="J31:J32">
    <cfRule type="cellIs" dxfId="400" priority="151" operator="lessThan">
      <formula>98</formula>
    </cfRule>
  </conditionalFormatting>
  <conditionalFormatting sqref="J33:J34">
    <cfRule type="cellIs" dxfId="399" priority="153" stopIfTrue="1" operator="greaterThan">
      <formula>100</formula>
    </cfRule>
    <cfRule type="cellIs" dxfId="398" priority="152" stopIfTrue="1" operator="lessThan">
      <formula>96.8</formula>
    </cfRule>
  </conditionalFormatting>
  <conditionalFormatting sqref="J33:J35">
    <cfRule type="cellIs" dxfId="397" priority="154" operator="lessThan">
      <formula>98</formula>
    </cfRule>
  </conditionalFormatting>
  <conditionalFormatting sqref="J64">
    <cfRule type="cellIs" dxfId="396" priority="104" stopIfTrue="1" operator="lessThanOrEqual">
      <formula>0</formula>
    </cfRule>
    <cfRule type="cellIs" dxfId="395" priority="99" stopIfTrue="1" operator="greaterThan">
      <formula>#REF!</formula>
    </cfRule>
    <cfRule type="cellIs" dxfId="394" priority="103" stopIfTrue="1" operator="greaterThan">
      <formula>#REF!</formula>
    </cfRule>
    <cfRule type="cellIs" dxfId="393" priority="102" stopIfTrue="1" operator="lessThanOrEqual">
      <formula>0</formula>
    </cfRule>
    <cfRule type="cellIs" dxfId="392" priority="100" stopIfTrue="1" operator="lessThanOrEqual">
      <formula>0</formula>
    </cfRule>
    <cfRule type="cellIs" dxfId="391" priority="97" stopIfTrue="1" operator="greaterThan">
      <formula>#REF!</formula>
    </cfRule>
    <cfRule type="cellIs" dxfId="390" priority="98" stopIfTrue="1" operator="lessThanOrEqual">
      <formula>0</formula>
    </cfRule>
    <cfRule type="cellIs" dxfId="389" priority="101" stopIfTrue="1" operator="greaterThan">
      <formula>#REF!</formula>
    </cfRule>
  </conditionalFormatting>
  <conditionalFormatting sqref="J77">
    <cfRule type="cellIs" dxfId="388" priority="55" stopIfTrue="1" operator="lessThanOrEqual">
      <formula>0</formula>
    </cfRule>
    <cfRule type="cellIs" dxfId="387" priority="54" stopIfTrue="1" operator="greaterThan">
      <formula>$F77</formula>
    </cfRule>
  </conditionalFormatting>
  <conditionalFormatting sqref="K10:K23">
    <cfRule type="cellIs" dxfId="386" priority="20" operator="greaterThan">
      <formula>6</formula>
    </cfRule>
    <cfRule type="cellIs" dxfId="385" priority="21" operator="lessThan">
      <formula>4</formula>
    </cfRule>
    <cfRule type="cellIs" dxfId="384" priority="22" operator="greaterThan">
      <formula>6.4</formula>
    </cfRule>
  </conditionalFormatting>
  <conditionalFormatting sqref="K55:K64">
    <cfRule type="cellIs" dxfId="383" priority="80" stopIfTrue="1" operator="lessThan">
      <formula>100%</formula>
    </cfRule>
  </conditionalFormatting>
  <conditionalFormatting sqref="K68:K76">
    <cfRule type="cellIs" dxfId="382" priority="41" stopIfTrue="1" operator="lessThan">
      <formula>100%</formula>
    </cfRule>
  </conditionalFormatting>
  <conditionalFormatting sqref="K79:K84">
    <cfRule type="cellIs" dxfId="381" priority="174" stopIfTrue="1" operator="lessThan">
      <formula>100%</formula>
    </cfRule>
  </conditionalFormatting>
  <conditionalFormatting sqref="K86:K87">
    <cfRule type="cellIs" dxfId="380" priority="181" stopIfTrue="1" operator="lessThan">
      <formula>100%</formula>
    </cfRule>
  </conditionalFormatting>
  <conditionalFormatting sqref="L10:L23">
    <cfRule type="cellIs" dxfId="379" priority="24" operator="greaterThan">
      <formula>65</formula>
    </cfRule>
    <cfRule type="cellIs" dxfId="378" priority="23" operator="between">
      <formula>61</formula>
      <formula>65</formula>
    </cfRule>
  </conditionalFormatting>
  <conditionalFormatting sqref="L26:M37">
    <cfRule type="cellIs" dxfId="377" priority="94" operator="lessThan">
      <formula>97.95</formula>
    </cfRule>
  </conditionalFormatting>
  <conditionalFormatting sqref="L41:N41">
    <cfRule type="cellIs" dxfId="376" priority="36" operator="notEqual">
      <formula>#REF!</formula>
    </cfRule>
  </conditionalFormatting>
  <conditionalFormatting sqref="L68:N77">
    <cfRule type="cellIs" dxfId="375" priority="28" stopIfTrue="1" operator="lessThan">
      <formula>100%</formula>
    </cfRule>
  </conditionalFormatting>
  <conditionalFormatting sqref="L79:N87">
    <cfRule type="cellIs" dxfId="374" priority="159" stopIfTrue="1" operator="lessThan">
      <formula>100%</formula>
    </cfRule>
  </conditionalFormatting>
  <conditionalFormatting sqref="N21">
    <cfRule type="expression" dxfId="373" priority="18">
      <formula>IF(+(IF(N21&lt;W21,0,IF(N21&gt;X21,0,1)))=0,1)</formula>
    </cfRule>
  </conditionalFormatting>
  <conditionalFormatting sqref="P6">
    <cfRule type="cellIs" dxfId="372" priority="155" operator="greaterThanOrEqual">
      <formula>19</formula>
    </cfRule>
  </conditionalFormatting>
  <dataValidations count="1">
    <dataValidation type="list" allowBlank="1" showInputMessage="1" showErrorMessage="1" sqref="R8" xr:uid="{D0FDCD0F-C9C4-43E7-B933-828EAA25DE4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C727-946C-407C-9280-68CB83812D83}">
  <sheetPr>
    <pageSetUpPr fitToPage="1"/>
  </sheetPr>
  <dimension ref="A1:BE77"/>
  <sheetViews>
    <sheetView topLeftCell="A9" zoomScale="70" zoomScaleNormal="70" workbookViewId="0">
      <selection activeCell="C14" sqref="C1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46170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16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12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[4]Brewhouse!$A435</f>
        <v>CA390</v>
      </c>
      <c r="D10" s="279">
        <f>[4]Brewhouse!$AF435</f>
        <v>50.7</v>
      </c>
      <c r="E10" s="279">
        <f>[4]Brewhouse!$AI435</f>
        <v>51</v>
      </c>
      <c r="F10" s="278">
        <f>[4]Brewhouse!$V435</f>
        <v>57</v>
      </c>
      <c r="G10" s="279">
        <f>[4]Brewhouse!AG435</f>
        <v>12</v>
      </c>
      <c r="H10" s="396"/>
      <c r="I10" s="368">
        <f>[4]Brewhouse!$AU435</f>
        <v>99.775672338436593</v>
      </c>
      <c r="J10" s="368">
        <f>[4]Brewhouse!$AV435</f>
        <v>100.96246851684583</v>
      </c>
      <c r="K10" s="281">
        <f>[4]Brewhouse!$Q435</f>
        <v>10.018484288354902</v>
      </c>
      <c r="L10" s="276">
        <f>[4]Brewhouse!$P435</f>
        <v>61</v>
      </c>
      <c r="M10" s="397">
        <f>[4]Brewhouse!$U435-[4]Brewhouse!$T435</f>
        <v>0.14722222222222223</v>
      </c>
      <c r="N10" s="370">
        <f>[4]Brewhouse!$Z435</f>
        <v>0.28611111111111109</v>
      </c>
      <c r="O10" s="420" t="str">
        <f>[4]Brewhouse!$AX435</f>
        <v>R. Regis</v>
      </c>
      <c r="P10" s="418"/>
      <c r="R10" s="277" t="str">
        <f t="shared" ref="R10:R37" si="0">B10</f>
        <v>CARIB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5">
      <c r="B11" s="29" t="s">
        <v>6</v>
      </c>
      <c r="C11" s="366" t="str">
        <f>[4]Brewhouse!$A436</f>
        <v>CA391</v>
      </c>
      <c r="D11" s="279">
        <f>[4]Brewhouse!$AF436</f>
        <v>49.5</v>
      </c>
      <c r="E11" s="279">
        <f>[4]Brewhouse!$AI436</f>
        <v>50.2</v>
      </c>
      <c r="F11" s="278">
        <f>[4]Brewhouse!$V436</f>
        <v>62</v>
      </c>
      <c r="G11" s="279">
        <f>[4]Brewhouse!AG436</f>
        <v>11.9</v>
      </c>
      <c r="H11" s="396"/>
      <c r="I11" s="368">
        <f>[4]Brewhouse!$AU436</f>
        <v>99.168607234311096</v>
      </c>
      <c r="J11" s="368">
        <f>[4]Brewhouse!$AV436</f>
        <v>100.34703224218109</v>
      </c>
      <c r="K11" s="281">
        <f>[4]Brewhouse!$Q436</f>
        <v>11.312384473197778</v>
      </c>
      <c r="L11" s="276">
        <f>[4]Brewhouse!$P436</f>
        <v>57</v>
      </c>
      <c r="M11" s="397">
        <f>[4]Brewhouse!$U436-[4]Brewhouse!$T436</f>
        <v>0.10833333333333334</v>
      </c>
      <c r="N11" s="370">
        <f>[4]Brewhouse!$Z436</f>
        <v>0.30000000000000004</v>
      </c>
      <c r="O11" s="420" t="str">
        <f>[4]Brewhouse!$AX436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[4]Brewhouse!$A437</f>
        <v>CA392</v>
      </c>
      <c r="D12" s="279">
        <f>[4]Brewhouse!$AF437</f>
        <v>49.9</v>
      </c>
      <c r="E12" s="279">
        <f>[4]Brewhouse!$AI437</f>
        <v>49.45</v>
      </c>
      <c r="F12" s="278">
        <f>[4]Brewhouse!$V437</f>
        <v>62</v>
      </c>
      <c r="G12" s="279">
        <f>[4]Brewhouse!AG437</f>
        <v>11.8</v>
      </c>
      <c r="H12" s="396"/>
      <c r="I12" s="368">
        <f>[4]Brewhouse!$AU437</f>
        <v>97.065619624859266</v>
      </c>
      <c r="J12" s="368">
        <f>[4]Brewhouse!$AV437</f>
        <v>98.218901426030811</v>
      </c>
      <c r="K12" s="281">
        <f>[4]Brewhouse!$Q437</f>
        <v>9.0942698706099847</v>
      </c>
      <c r="L12" s="276">
        <f>[4]Brewhouse!$P437</f>
        <v>57</v>
      </c>
      <c r="M12" s="397">
        <f>[4]Brewhouse!$U437-[4]Brewhouse!$T437</f>
        <v>0.10555555555555557</v>
      </c>
      <c r="N12" s="370">
        <f>[4]Brewhouse!$Z437</f>
        <v>0.26250000000000001</v>
      </c>
      <c r="O12" s="420" t="str">
        <f>[4]Brewhouse!$AX437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[4]Brewhouse!$A438</f>
        <v>CA393</v>
      </c>
      <c r="D13" s="279">
        <f>[4]Brewhouse!$AF438</f>
        <v>49</v>
      </c>
      <c r="E13" s="279">
        <f>[4]Brewhouse!$AI438</f>
        <v>48.7</v>
      </c>
      <c r="F13" s="278">
        <f>[4]Brewhouse!$V438</f>
        <v>61</v>
      </c>
      <c r="G13" s="279">
        <f>[4]Brewhouse!AG438</f>
        <v>11.9</v>
      </c>
      <c r="H13" s="396"/>
      <c r="I13" s="368">
        <f>[4]Brewhouse!$AU438</f>
        <v>95.966425934229434</v>
      </c>
      <c r="J13" s="368">
        <f>[4]Brewhouse!$AV438</f>
        <v>97.106950100005349</v>
      </c>
      <c r="K13" s="281">
        <f>[4]Brewhouse!$Q438</f>
        <v>10.757855822550832</v>
      </c>
      <c r="L13" s="276">
        <f>[4]Brewhouse!$P438</f>
        <v>60</v>
      </c>
      <c r="M13" s="397">
        <f>[4]Brewhouse!$U438-[4]Brewhouse!$T438</f>
        <v>0.13749999999999996</v>
      </c>
      <c r="N13" s="370">
        <f>[4]Brewhouse!$Z438</f>
        <v>0.29583333333333334</v>
      </c>
      <c r="O13" s="420" t="str">
        <f>[4]Brewhouse!$AX438</f>
        <v>R. Sookram</v>
      </c>
      <c r="P13" s="418"/>
      <c r="R13" s="277" t="str">
        <f t="shared" ref="R13:R26" si="9">B13</f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[4]Brewhouse!$A439</f>
        <v>CA394</v>
      </c>
      <c r="D14" s="279">
        <f>[4]Brewhouse!$AF439</f>
        <v>50.2</v>
      </c>
      <c r="E14" s="279">
        <f>[4]Brewhouse!$AI439</f>
        <v>49.02</v>
      </c>
      <c r="F14" s="278">
        <f>[4]Brewhouse!$V439</f>
        <v>54</v>
      </c>
      <c r="G14" s="279">
        <f>[4]Brewhouse!AG439</f>
        <v>11.9</v>
      </c>
      <c r="H14" s="396"/>
      <c r="I14" s="368">
        <f>[4]Brewhouse!$AU439</f>
        <v>96.902068655985502</v>
      </c>
      <c r="J14" s="368">
        <f>[4]Brewhouse!$AV439</f>
        <v>97.745024515446858</v>
      </c>
      <c r="K14" s="281">
        <f>[4]Brewhouse!$Q439</f>
        <v>8.5397412199630267</v>
      </c>
      <c r="L14" s="276">
        <f>[4]Brewhouse!$P439</f>
        <v>60</v>
      </c>
      <c r="M14" s="397">
        <f>[4]Brewhouse!$U439-[4]Brewhouse!$T439</f>
        <v>0.11180555555555549</v>
      </c>
      <c r="N14" s="370">
        <f>[4]Brewhouse!$Z439</f>
        <v>0.25069444444444444</v>
      </c>
      <c r="O14" s="420" t="str">
        <f>[4]Brewhouse!$AX439</f>
        <v>K. Benjamin</v>
      </c>
      <c r="P14" s="418" t="s">
        <v>211</v>
      </c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>
      <c r="B16" s="33" t="s">
        <v>9</v>
      </c>
      <c r="C16" s="366" t="str">
        <f>[3]Brewhouse!$A244</f>
        <v>ST190</v>
      </c>
      <c r="D16" s="279">
        <f>[3]Brewhouse!$AB244</f>
        <v>53.1</v>
      </c>
      <c r="E16" s="279">
        <f>[3]Brewhouse!$AG244</f>
        <v>51.7</v>
      </c>
      <c r="F16" s="278">
        <f>[3]Brewhouse!$V244</f>
        <v>60</v>
      </c>
      <c r="G16" s="279">
        <f>[3]Brewhouse!$AE244</f>
        <v>11.9</v>
      </c>
      <c r="H16" s="396"/>
      <c r="I16" s="368">
        <f>[3]Brewhouse!$AS244</f>
        <v>101.658582761551</v>
      </c>
      <c r="J16" s="368">
        <f>[3]Brewhouse!$AT244</f>
        <v>102.39920853214261</v>
      </c>
      <c r="K16" s="281">
        <f>[3]Brewhouse!$Q244</f>
        <v>8.8041431261770189</v>
      </c>
      <c r="L16" s="276">
        <f>[3]Brewhouse!$P244</f>
        <v>61</v>
      </c>
      <c r="M16" s="374">
        <f>[3]Brewhouse!$U244-[3]Brewhouse!$T244</f>
        <v>0.1166666666666667</v>
      </c>
      <c r="N16" s="370">
        <f>[3]Brewhouse!$AW244</f>
        <v>0.28125</v>
      </c>
      <c r="O16" s="371" t="str">
        <f>[3]Brewhouse!$AV244</f>
        <v xml:space="preserve">R.Regis </v>
      </c>
      <c r="P16" s="418"/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hidden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8" hidden="1" customHeight="1">
      <c r="B22" s="29"/>
      <c r="C22" s="366"/>
      <c r="D22" s="279"/>
      <c r="E22" s="279"/>
      <c r="F22" s="278"/>
      <c r="G22" s="279"/>
      <c r="H22" s="482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.75" customHeight="1" thickBot="1">
      <c r="B24" s="358"/>
      <c r="C24" s="358"/>
      <c r="D24" s="358"/>
      <c r="E24" s="358"/>
      <c r="F24" s="294"/>
      <c r="G24" s="294"/>
      <c r="H24" s="348"/>
      <c r="I24" s="525"/>
      <c r="J24" s="525"/>
      <c r="K24" s="525"/>
      <c r="L24" s="525"/>
      <c r="M24" s="525"/>
      <c r="N24" s="525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.75" customHeight="1" thickBot="1">
      <c r="B25" s="388" t="s">
        <v>162</v>
      </c>
      <c r="C25" s="388"/>
      <c r="D25" s="526" t="s">
        <v>35</v>
      </c>
      <c r="E25" s="527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customHeight="1">
      <c r="A26" s="28"/>
      <c r="B26" s="528"/>
      <c r="C26" s="362"/>
      <c r="D26" s="531"/>
      <c r="E26" s="532"/>
      <c r="F26" s="294"/>
      <c r="G26" s="294"/>
      <c r="H26" s="348"/>
      <c r="I26" s="29" t="s">
        <v>6</v>
      </c>
      <c r="J26" s="323">
        <f>AVERAGE(I10:I14)</f>
        <v>97.775678757564378</v>
      </c>
      <c r="K26" s="284">
        <f>COUNTA([4]Brewhouse!$A$372:$A$439)</f>
        <v>68</v>
      </c>
      <c r="L26" s="305">
        <f>AVERAGE([4]Brewhouse!$AU$372:$AU$439)</f>
        <v>97.834639425875153</v>
      </c>
      <c r="M26" s="305">
        <f>AVERAGE([4]Brewhouse!$AU$42:$AU$123,[4]Brewhouse!$AU$125:$AU$188,[4]Brewhouse!$AU$198:$AU$290,[4]Brewhouse!$AU$292:$AU$370,[4]Brewhouse!$AU$372:$AU$439)</f>
        <v>97.974622726585537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29"/>
      <c r="C27" s="362"/>
      <c r="D27" s="533"/>
      <c r="E27" s="534"/>
      <c r="F27" s="294"/>
      <c r="G27" s="294"/>
      <c r="H27" s="348"/>
      <c r="I27" s="33" t="s">
        <v>9</v>
      </c>
      <c r="J27" s="323">
        <f>I16</f>
        <v>101.658582761551</v>
      </c>
      <c r="K27" s="284">
        <f>COUNTA([3]Brewhouse!$A$214:$A$244)</f>
        <v>31</v>
      </c>
      <c r="L27" s="302">
        <f>AVERAGE([3]Brewhouse!$AS$214:$AS$244)</f>
        <v>98.40708169668541</v>
      </c>
      <c r="M27" s="302">
        <f>AVERAGE([3]Brewhouse!$AS$52:$AS$81,[3]Brewhouse!$AS$83:$AS$124,[3]Brewhouse!$AS$134:$AS$177,[3]Brewhouse!$AS$22:$AS$179,[3]Brewhouse!$AS$214:$AS$244)</f>
        <v>97.993544769440618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29"/>
      <c r="C28" s="362"/>
      <c r="D28" s="535"/>
      <c r="E28" s="536"/>
      <c r="F28" s="294"/>
      <c r="G28" s="294"/>
      <c r="H28" s="348"/>
      <c r="I28" s="34" t="s">
        <v>12</v>
      </c>
      <c r="J28" s="280"/>
      <c r="K28" s="284"/>
      <c r="L28" s="302"/>
      <c r="M28" s="302">
        <f>AVERAGE([5]Brewhouse!$AU$16:$AU$23,[5]Brewhouse!$AU$25:$AU$32,[5]Brewhouse!$AU$34:$AU$41,[5]Brewhouse!$AU$43:$AU$55)</f>
        <v>96.793456653928644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29"/>
      <c r="C29" s="362"/>
      <c r="D29" s="537"/>
      <c r="E29" s="534"/>
      <c r="F29" s="294"/>
      <c r="G29" s="294"/>
      <c r="H29" s="348"/>
      <c r="I29" s="22" t="s">
        <v>33</v>
      </c>
      <c r="J29" s="280"/>
      <c r="K29" s="284">
        <f>COUNTA([6]Brewhouse!$A$62:$A$68)</f>
        <v>7</v>
      </c>
      <c r="L29" s="302">
        <f>AVERAGE([6]Brewhouse!$AV$62:$AV$68)</f>
        <v>98.287606329362575</v>
      </c>
      <c r="M29" s="302">
        <f>AVERAGE([6]Brewhouse!$AV$23:$AV$34,[6]Brewhouse!$AV$36,[6]Brewhouse!$AV$38:$AV$52,[6]Brewhouse!$AV$54:$AV$60,[6]Brewhouse!$AV$62:$AV$68)</f>
        <v>97.579195177204838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29"/>
      <c r="C30" s="362"/>
      <c r="D30" s="535"/>
      <c r="E30" s="536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9"/>
      <c r="C31" s="362"/>
      <c r="D31" s="537"/>
      <c r="E31" s="534"/>
      <c r="F31" s="417"/>
      <c r="G31" s="294"/>
      <c r="H31" s="348"/>
      <c r="I31" s="36" t="s">
        <v>15</v>
      </c>
      <c r="J31" s="323"/>
      <c r="K31" s="284">
        <f>COUNTA([7]Brewhouse!$A$13:$A$16)</f>
        <v>4</v>
      </c>
      <c r="L31" s="302">
        <f>AVERAGE([7]Brewhouse!$AT$13:$AT$16)</f>
        <v>88.962677106311475</v>
      </c>
      <c r="M31" s="302">
        <f>AVERAGE([7]Brewhouse!$AT$4:$AT$11,[7]Brewhouse!$AT$13:$AT$16)</f>
        <v>91.538375374138752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9"/>
      <c r="C32" s="362"/>
      <c r="D32" s="535"/>
      <c r="E32" s="536"/>
      <c r="F32" s="417"/>
      <c r="G32" s="294"/>
      <c r="H32" s="348"/>
      <c r="I32" s="37" t="s">
        <v>16</v>
      </c>
      <c r="J32" s="323"/>
      <c r="K32" s="284">
        <f>COUNTA([8]Brewhouse!$A$53:$A$64)</f>
        <v>12</v>
      </c>
      <c r="L32" s="302">
        <f>AVERAGE([8]Brewhouse!$AY$53:$AY$64)</f>
        <v>97.782550056061538</v>
      </c>
      <c r="M32" s="302">
        <f>AVERAGE([8]Brewhouse!$AY$5:$AY$14,[8]Brewhouse!$AY$16:$AY$23,[8]Brewhouse!$AY$42,[8]Brewhouse!$AY$44:$AY$51,[8]Brewhouse!$AY$53:$AY$64)</f>
        <v>97.662004346633353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9"/>
      <c r="C33" s="362"/>
      <c r="D33" s="537"/>
      <c r="E33" s="534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9"/>
      <c r="C34" s="349"/>
      <c r="D34" s="535"/>
      <c r="E34" s="536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29"/>
      <c r="C35" s="349"/>
      <c r="D35" s="537"/>
      <c r="E35" s="534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29"/>
      <c r="C36" s="349"/>
      <c r="D36" s="531"/>
      <c r="E36" s="532"/>
      <c r="F36" s="294"/>
      <c r="G36" s="294"/>
      <c r="H36" s="348"/>
      <c r="I36" s="1"/>
      <c r="J36" s="39"/>
      <c r="K36" s="404">
        <f>SUM(K26:K35)</f>
        <v>122</v>
      </c>
      <c r="L36" s="405">
        <f>((L26*K26)+(L27*K27)+(L28*K28)+(L29*K29)+(L30*K30)+(K33*L33)+(L31*K31)+(L32*K32)+(L35*K35))/(K36)</f>
        <v>97.710078417707194</v>
      </c>
      <c r="M36" s="405">
        <f>AVERAGE('[9]Jan30th-31st'!$L$42,L36)</f>
        <v>97.769060076774338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30"/>
      <c r="C37" s="350"/>
      <c r="D37" s="533"/>
      <c r="E37" s="534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28"/>
      <c r="C38" s="362"/>
      <c r="D38" s="539"/>
      <c r="E38" s="540"/>
      <c r="F38" s="294"/>
      <c r="G38" s="42"/>
      <c r="H38" s="41"/>
      <c r="I38" s="42"/>
      <c r="J38" s="541" t="s">
        <v>129</v>
      </c>
      <c r="K38" s="541"/>
      <c r="L38" s="294"/>
      <c r="M38" s="294"/>
      <c r="N38" s="294"/>
      <c r="O38" s="294"/>
      <c r="P38" s="12"/>
    </row>
    <row r="39" spans="1:56" ht="15.75" thickBot="1">
      <c r="B39" s="529"/>
      <c r="C39" s="362"/>
      <c r="D39" s="537"/>
      <c r="E39" s="534"/>
      <c r="F39" s="294"/>
      <c r="G39" s="42"/>
      <c r="H39" s="42"/>
      <c r="I39" s="42"/>
      <c r="J39" s="292" t="s">
        <v>17</v>
      </c>
      <c r="K39" s="293" t="s">
        <v>172</v>
      </c>
      <c r="L39" s="542" t="s">
        <v>136</v>
      </c>
      <c r="M39" s="542"/>
      <c r="N39" s="543"/>
      <c r="O39" s="294"/>
      <c r="P39" s="12"/>
    </row>
    <row r="40" spans="1:56" ht="15" customHeight="1" thickBot="1">
      <c r="B40" s="529"/>
      <c r="C40" s="349"/>
      <c r="D40" s="535"/>
      <c r="E40" s="536"/>
      <c r="F40" s="294"/>
      <c r="G40" s="42"/>
      <c r="H40" s="42"/>
      <c r="I40" s="42"/>
      <c r="J40" s="287" t="s">
        <v>6</v>
      </c>
      <c r="K40" s="324">
        <v>5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9"/>
      <c r="C41" s="349"/>
      <c r="D41" s="537"/>
      <c r="E41" s="534"/>
      <c r="F41" s="294"/>
      <c r="G41" s="42"/>
      <c r="H41" s="42"/>
      <c r="I41" s="42"/>
      <c r="J41" s="345" t="s">
        <v>9</v>
      </c>
      <c r="K41" s="324">
        <v>1</v>
      </c>
      <c r="L41" s="344">
        <f>AVERAGE('May 2nd-23rd'!J53,'May 2nd-23rd'!K53,'May 4th'!K51,'May 5th'!K47,'May 6th'!K54,'May 7th'!K48,'May 28th'!K50,'May 8th -9th'!K55,'May 8th -9th'!J55,'May 11th'!K51,'May 12th '!K46,'May 12th '!K46,'May 13th'!K45,'May 14th'!K42,'May 15th-16th'!K44,'May 19th '!K47,'May 20th'!K48,'May 21st'!K49,'May 22nd -23rd'!K48,'May 26th'!K49)</f>
        <v>5.6</v>
      </c>
      <c r="M41" s="325">
        <f>AVERAGE('[9]Jan30th-31st'!$L$47,L41,'[10]Feb 26th '!$L$39,'[11]Mar 31st'!$L$47,'[12]Apr 30th'!$L$46)</f>
        <v>6.3273913043478256</v>
      </c>
      <c r="N41" s="416">
        <v>9.1999999999999993</v>
      </c>
      <c r="O41" s="294"/>
      <c r="P41" s="12"/>
    </row>
    <row r="42" spans="1:56" ht="15" customHeight="1">
      <c r="B42" s="529"/>
      <c r="C42" s="349"/>
      <c r="D42" s="535"/>
      <c r="E42" s="536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9"/>
      <c r="C43" s="349"/>
      <c r="D43" s="537"/>
      <c r="E43" s="534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9"/>
      <c r="C44" s="349"/>
      <c r="D44" s="535"/>
      <c r="E44" s="536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9"/>
      <c r="C45" s="349"/>
      <c r="D45" s="537"/>
      <c r="E45" s="534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9"/>
      <c r="C46" s="349"/>
      <c r="D46" s="535"/>
      <c r="E46" s="536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38"/>
      <c r="C47" s="350"/>
      <c r="D47" s="544"/>
      <c r="E47" s="545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46"/>
      <c r="E48" s="547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6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48" t="s">
        <v>17</v>
      </c>
      <c r="C53" s="548" t="s">
        <v>44</v>
      </c>
      <c r="D53" s="551" t="s">
        <v>45</v>
      </c>
      <c r="E53" s="516" t="s">
        <v>46</v>
      </c>
      <c r="F53" s="565" t="s">
        <v>47</v>
      </c>
      <c r="G53" s="560" t="s">
        <v>48</v>
      </c>
      <c r="H53" s="548" t="s">
        <v>49</v>
      </c>
      <c r="I53" s="548" t="s">
        <v>50</v>
      </c>
      <c r="J53" s="554" t="s">
        <v>28</v>
      </c>
      <c r="K53" s="514" t="s">
        <v>51</v>
      </c>
      <c r="L53" s="563" t="s">
        <v>52</v>
      </c>
      <c r="M53" s="554" t="s">
        <v>53</v>
      </c>
      <c r="N53" s="13"/>
      <c r="O53" s="13"/>
      <c r="P53" s="50"/>
    </row>
    <row r="54" spans="2:57" ht="28.5" customHeight="1" thickTop="1" thickBot="1">
      <c r="B54" s="549"/>
      <c r="C54" s="550"/>
      <c r="D54" s="552"/>
      <c r="E54" s="553"/>
      <c r="F54" s="566"/>
      <c r="G54" s="561"/>
      <c r="H54" s="549"/>
      <c r="I54" s="549"/>
      <c r="J54" s="555"/>
      <c r="K54" s="562"/>
      <c r="L54" s="564"/>
      <c r="M54" s="555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customHeight="1" thickBot="1">
      <c r="B55" s="489"/>
      <c r="C55" s="479"/>
      <c r="D55" s="445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[13]January_2019!L5</f>
        <v>0</v>
      </c>
      <c r="AC55" s="57">
        <f>[13]January_2019!M5</f>
        <v>0</v>
      </c>
      <c r="AD55" s="57">
        <f>[13]January_2019!N5</f>
        <v>0</v>
      </c>
      <c r="AE55" s="57">
        <f>[13]January_2019!O5</f>
        <v>0</v>
      </c>
      <c r="AF55" s="57">
        <f>[13]January_2019!P5</f>
        <v>0</v>
      </c>
      <c r="AG55" s="57">
        <f>[13]January_2019!Q5</f>
        <v>0</v>
      </c>
      <c r="AH55" s="57">
        <f>[13]January_2019!R5</f>
        <v>0</v>
      </c>
      <c r="AI55" s="57">
        <f>[13]January_2019!S5</f>
        <v>0</v>
      </c>
      <c r="AJ55" s="57">
        <f>[13]January_2019!T5</f>
        <v>0</v>
      </c>
      <c r="AK55" s="57">
        <f>[13]January_2019!U5</f>
        <v>0</v>
      </c>
      <c r="AL55" s="57">
        <f>[13]January_2019!V5</f>
        <v>0</v>
      </c>
      <c r="AM55" s="57">
        <f>[13]January_2019!W5</f>
        <v>0</v>
      </c>
      <c r="AN55" s="57">
        <f>[13]January_2019!X5</f>
        <v>0</v>
      </c>
      <c r="AO55" s="57">
        <f>[13]January_2019!Y5</f>
        <v>0</v>
      </c>
      <c r="AP55" s="57">
        <f>[13]January_2019!Z5</f>
        <v>0</v>
      </c>
      <c r="AQ55" s="57">
        <f>[13]January_2019!AA5</f>
        <v>0</v>
      </c>
      <c r="AR55" s="57">
        <f>[13]January_2019!AB5</f>
        <v>0</v>
      </c>
      <c r="AS55" s="57">
        <f>[13]January_2019!AC5</f>
        <v>0</v>
      </c>
      <c r="AT55" s="57">
        <f>[13]January_2019!AD5</f>
        <v>0</v>
      </c>
      <c r="AU55" s="57">
        <f>[13]January_2019!AE5</f>
        <v>0</v>
      </c>
      <c r="AV55" s="57">
        <f>[13]January_2019!AF5</f>
        <v>0</v>
      </c>
      <c r="AW55" s="57">
        <f>[13]January_2019!AG5</f>
        <v>0</v>
      </c>
      <c r="AX55" s="277">
        <f>[13]January_2019!AH5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[13]January_2019!L6</f>
        <v>0</v>
      </c>
      <c r="AC56" s="57">
        <f>[13]January_2019!M6</f>
        <v>0</v>
      </c>
      <c r="AD56" s="57">
        <f>[13]January_2019!N6</f>
        <v>0</v>
      </c>
      <c r="AE56" s="57">
        <f>[13]January_2019!O6</f>
        <v>0</v>
      </c>
      <c r="AF56" s="57">
        <f>[13]January_2019!P6</f>
        <v>0</v>
      </c>
      <c r="AG56" s="57">
        <f>[13]January_2019!Q6</f>
        <v>0</v>
      </c>
      <c r="AH56" s="57">
        <f>[13]January_2019!R6</f>
        <v>0</v>
      </c>
      <c r="AI56" s="57">
        <f>[13]January_2019!S6</f>
        <v>0</v>
      </c>
      <c r="AJ56" s="57">
        <f>[13]January_2019!T6</f>
        <v>0</v>
      </c>
      <c r="AK56" s="57">
        <f>[13]January_2019!U6</f>
        <v>0</v>
      </c>
      <c r="AL56" s="57">
        <f>[13]January_2019!V6</f>
        <v>0</v>
      </c>
      <c r="AM56" s="57">
        <f>[13]January_2019!W6</f>
        <v>0</v>
      </c>
      <c r="AN56" s="57">
        <f>[13]January_2019!X6</f>
        <v>0</v>
      </c>
      <c r="AO56" s="57">
        <f>[13]January_2019!Y6</f>
        <v>0</v>
      </c>
      <c r="AP56" s="57">
        <f>[13]January_2019!Z6</f>
        <v>0</v>
      </c>
      <c r="AQ56" s="57">
        <f>[13]January_2019!AA6</f>
        <v>0</v>
      </c>
      <c r="AR56" s="57">
        <f>[13]January_2019!AB6</f>
        <v>0</v>
      </c>
      <c r="AS56" s="57">
        <f>[13]January_2019!AC6</f>
        <v>0</v>
      </c>
      <c r="AT56" s="57">
        <f>[13]January_2019!AD6</f>
        <v>0</v>
      </c>
      <c r="AU56" s="57">
        <f>[13]January_2019!AE6</f>
        <v>0</v>
      </c>
      <c r="AV56" s="57">
        <f>[13]January_2019!AF6</f>
        <v>0</v>
      </c>
      <c r="AW56" s="57">
        <f>[13]January_2019!AG6</f>
        <v>0</v>
      </c>
      <c r="AX56" s="277">
        <f>[13]January_2019!AH6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[13]January_2019!L7</f>
        <v>285.8</v>
      </c>
      <c r="AC57" s="57">
        <f>[13]January_2019!M7</f>
        <v>508.1</v>
      </c>
      <c r="AD57" s="57">
        <f>[13]January_2019!N7</f>
        <v>0</v>
      </c>
      <c r="AE57" s="57">
        <f>[13]January_2019!O7</f>
        <v>0</v>
      </c>
      <c r="AF57" s="57">
        <f>[13]January_2019!P7</f>
        <v>109.56666666666666</v>
      </c>
      <c r="AG57" s="57">
        <f>[13]January_2019!Q7</f>
        <v>297.64999999999998</v>
      </c>
      <c r="AH57" s="57">
        <f>[13]January_2019!R7</f>
        <v>122.3</v>
      </c>
      <c r="AI57" s="57">
        <f>[13]January_2019!S7</f>
        <v>0</v>
      </c>
      <c r="AJ57" s="57">
        <f>[13]January_2019!T7</f>
        <v>294.7</v>
      </c>
      <c r="AK57" s="57">
        <f>[13]January_2019!U7</f>
        <v>280.5</v>
      </c>
      <c r="AL57" s="57">
        <f>[13]January_2019!V7</f>
        <v>0</v>
      </c>
      <c r="AM57" s="57">
        <f>[13]January_2019!W7</f>
        <v>0</v>
      </c>
      <c r="AN57" s="57">
        <f>[13]January_2019!X7</f>
        <v>188.25</v>
      </c>
      <c r="AO57" s="57">
        <f>[13]January_2019!Y7</f>
        <v>295.7</v>
      </c>
      <c r="AP57" s="57">
        <f>[13]January_2019!Z7</f>
        <v>257.8</v>
      </c>
      <c r="AQ57" s="57">
        <f>[13]January_2019!AA7</f>
        <v>291.2</v>
      </c>
      <c r="AR57" s="57">
        <f>[13]January_2019!AB7</f>
        <v>187</v>
      </c>
      <c r="AS57" s="57">
        <f>[13]January_2019!AC7</f>
        <v>0</v>
      </c>
      <c r="AT57" s="57">
        <f>[13]January_2019!AD7</f>
        <v>0</v>
      </c>
      <c r="AU57" s="57">
        <f>[13]January_2019!AE7</f>
        <v>485.1</v>
      </c>
      <c r="AV57" s="57">
        <f>[13]January_2019!AF7</f>
        <v>171.55</v>
      </c>
      <c r="AW57" s="57">
        <f>[13]January_2019!AG7</f>
        <v>423.8</v>
      </c>
      <c r="AX57" s="277">
        <f>[13]January_2019!AH7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9.5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450000000000003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/>
      <c r="K59" s="45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89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56" t="s">
        <v>55</v>
      </c>
      <c r="C66" s="557"/>
      <c r="D66" s="557"/>
      <c r="E66" s="557"/>
      <c r="F66" s="558"/>
      <c r="G66" s="556" t="s">
        <v>56</v>
      </c>
      <c r="H66" s="557"/>
      <c r="I66" s="557"/>
      <c r="J66" s="558"/>
      <c r="K66" s="556" t="s">
        <v>51</v>
      </c>
      <c r="L66" s="557"/>
      <c r="M66" s="557"/>
      <c r="N66" s="559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/>
      <c r="D68" s="76">
        <v>5.881447436419009</v>
      </c>
      <c r="E68" s="76">
        <v>6.5634247008449584</v>
      </c>
      <c r="F68" s="66">
        <v>4.8</v>
      </c>
      <c r="G68" s="65"/>
      <c r="H68" s="477">
        <v>5.6900897598675142</v>
      </c>
      <c r="I68" s="477">
        <v>6.2688670205621344</v>
      </c>
      <c r="J68" s="66">
        <v>4.8</v>
      </c>
      <c r="K68" s="67"/>
      <c r="L68" s="194">
        <v>0.62966165413533837</v>
      </c>
      <c r="M68" s="194">
        <v>0.51130548427310263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4.8528333911969801</v>
      </c>
      <c r="E69" s="76">
        <v>5.9367347500298155</v>
      </c>
      <c r="F69" s="66">
        <v>4.8</v>
      </c>
      <c r="G69" s="65"/>
      <c r="H69" s="76">
        <v>4.9494635940844729</v>
      </c>
      <c r="I69" s="76">
        <v>5.4655642193228315</v>
      </c>
      <c r="J69" s="66">
        <v>4.8</v>
      </c>
      <c r="K69" s="67"/>
      <c r="L69" s="194">
        <v>0.59716791979949879</v>
      </c>
      <c r="M69" s="194">
        <v>0.68713504693777017</v>
      </c>
      <c r="N69" s="68">
        <v>1</v>
      </c>
      <c r="P69" s="69"/>
    </row>
    <row r="70" spans="2:16" ht="15">
      <c r="B70" s="34" t="s">
        <v>40</v>
      </c>
      <c r="C70" s="65"/>
      <c r="D70" s="76">
        <v>9.5676691729323267</v>
      </c>
      <c r="E70" s="76">
        <v>11.555629029591669</v>
      </c>
      <c r="F70" s="66">
        <v>5.5</v>
      </c>
      <c r="G70" s="65"/>
      <c r="H70" s="76">
        <v>10.718568260092542</v>
      </c>
      <c r="I70" s="76">
        <v>12.618851801260744</v>
      </c>
      <c r="J70" s="66">
        <v>5.5</v>
      </c>
      <c r="K70" s="67"/>
      <c r="L70" s="194">
        <v>0.23956140350877195</v>
      </c>
      <c r="M70" s="194">
        <v>0.26444407894736843</v>
      </c>
      <c r="N70" s="68">
        <v>1</v>
      </c>
      <c r="P70" s="69"/>
    </row>
    <row r="71" spans="2:16" ht="15">
      <c r="B71" s="22" t="s">
        <v>33</v>
      </c>
      <c r="C71" s="65"/>
      <c r="D71" s="76">
        <v>4.9306092006073188</v>
      </c>
      <c r="E71" s="76">
        <v>4.7166249493099075</v>
      </c>
      <c r="F71" s="66">
        <v>3.3</v>
      </c>
      <c r="G71" s="65"/>
      <c r="H71" s="76">
        <v>5.5037640962151348</v>
      </c>
      <c r="I71" s="76">
        <v>4.7393662692065543</v>
      </c>
      <c r="J71" s="66">
        <v>3.3</v>
      </c>
      <c r="K71" s="67"/>
      <c r="L71" s="194">
        <v>0.61175438596491227</v>
      </c>
      <c r="M71" s="194">
        <v>0.73604010025062649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76"/>
      <c r="D73" s="76">
        <v>5.2401746724890881</v>
      </c>
      <c r="E73" s="76">
        <v>5.1541347251672045</v>
      </c>
      <c r="F73" s="487">
        <v>5.5</v>
      </c>
      <c r="G73" s="282"/>
      <c r="H73" s="76">
        <v>6.6922456038466889</v>
      </c>
      <c r="I73" s="76">
        <v>7.4989046872874194</v>
      </c>
      <c r="J73" s="66">
        <v>5.5</v>
      </c>
      <c r="K73" s="67"/>
      <c r="L73" s="194">
        <v>0.68526315789473691</v>
      </c>
      <c r="M73" s="194">
        <v>1.0201754385964912</v>
      </c>
      <c r="N73" s="68">
        <v>1</v>
      </c>
      <c r="P73" s="69"/>
    </row>
    <row r="74" spans="2:16" ht="15">
      <c r="B74" s="37" t="s">
        <v>16</v>
      </c>
      <c r="C74" s="503"/>
      <c r="D74" s="76">
        <v>3.697571743929374</v>
      </c>
      <c r="E74" s="76">
        <v>3.8985359210078245</v>
      </c>
      <c r="F74" s="66">
        <v>3.3</v>
      </c>
      <c r="G74" s="282"/>
      <c r="H74" s="76">
        <v>4.9058595326967183</v>
      </c>
      <c r="I74" s="76">
        <v>4.8412394790618878</v>
      </c>
      <c r="J74" s="66">
        <v>3.3</v>
      </c>
      <c r="K74" s="67"/>
      <c r="L74" s="194">
        <v>0.69175438596491223</v>
      </c>
      <c r="M74" s="194">
        <v>0.84386695906432752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5.6105814794314597</v>
      </c>
      <c r="E77" s="76">
        <v>6.3245341224400882</v>
      </c>
      <c r="F77" s="341">
        <v>5.5</v>
      </c>
      <c r="H77" s="76">
        <v>5.878354251736571</v>
      </c>
      <c r="I77" s="76">
        <v>6.3654183077136706</v>
      </c>
      <c r="J77" s="341">
        <v>5.5</v>
      </c>
      <c r="L77" s="194">
        <v>0.59926194797338184</v>
      </c>
      <c r="M77" s="194">
        <v>0.57830160611739556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371" priority="106" operator="notBetween">
      <formula>#REF!</formula>
      <formula>#REF!</formula>
    </cfRule>
  </conditionalFormatting>
  <conditionalFormatting sqref="C52">
    <cfRule type="cellIs" dxfId="370" priority="195" stopIfTrue="1" operator="lessThan">
      <formula>96</formula>
    </cfRule>
    <cfRule type="cellIs" dxfId="369" priority="196" stopIfTrue="1" operator="greaterThan">
      <formula>100</formula>
    </cfRule>
  </conditionalFormatting>
  <conditionalFormatting sqref="C68:C69">
    <cfRule type="cellIs" dxfId="368" priority="45" stopIfTrue="1" operator="lessThanOrEqual">
      <formula>0</formula>
    </cfRule>
    <cfRule type="cellIs" dxfId="367" priority="44" stopIfTrue="1" operator="greaterThan">
      <formula>$F68</formula>
    </cfRule>
    <cfRule type="cellIs" dxfId="366" priority="43" stopIfTrue="1" operator="lessThanOrEqual">
      <formula>0</formula>
    </cfRule>
    <cfRule type="cellIs" dxfId="365" priority="42" stopIfTrue="1" operator="greaterThan">
      <formula>$F68</formula>
    </cfRule>
  </conditionalFormatting>
  <conditionalFormatting sqref="C70:C72 C74:C76">
    <cfRule type="cellIs" dxfId="364" priority="76" stopIfTrue="1" operator="greaterThan">
      <formula>$F73</formula>
    </cfRule>
  </conditionalFormatting>
  <conditionalFormatting sqref="C70:C72">
    <cfRule type="cellIs" dxfId="363" priority="77" stopIfTrue="1" operator="lessThanOrEqual">
      <formula>0</formula>
    </cfRule>
  </conditionalFormatting>
  <conditionalFormatting sqref="C74:C76">
    <cfRule type="cellIs" dxfId="362" priority="78" stopIfTrue="1" operator="lessThanOrEqual">
      <formula>0</formula>
    </cfRule>
  </conditionalFormatting>
  <conditionalFormatting sqref="C79:C83">
    <cfRule type="cellIs" dxfId="361" priority="187" stopIfTrue="1" operator="lessThanOrEqual">
      <formula>0</formula>
    </cfRule>
  </conditionalFormatting>
  <conditionalFormatting sqref="C80:C83">
    <cfRule type="cellIs" dxfId="360" priority="186" stopIfTrue="1" operator="greaterThan">
      <formula>$F$79</formula>
    </cfRule>
  </conditionalFormatting>
  <conditionalFormatting sqref="C85">
    <cfRule type="cellIs" dxfId="359" priority="189" stopIfTrue="1" operator="lessThanOrEqual">
      <formula>0</formula>
    </cfRule>
    <cfRule type="cellIs" dxfId="358" priority="188" stopIfTrue="1" operator="greaterThan">
      <formula>$F$79</formula>
    </cfRule>
  </conditionalFormatting>
  <conditionalFormatting sqref="C73:D73">
    <cfRule type="cellIs" dxfId="357" priority="40" stopIfTrue="1" operator="greaterThan">
      <formula>$J73</formula>
    </cfRule>
    <cfRule type="cellIs" dxfId="356" priority="41" stopIfTrue="1" operator="lessThanOrEqual">
      <formula>0</formula>
    </cfRule>
  </conditionalFormatting>
  <conditionalFormatting sqref="C79:D79 D81:D87">
    <cfRule type="cellIs" dxfId="355" priority="181" stopIfTrue="1" operator="greaterThan">
      <formula>4.5</formula>
    </cfRule>
  </conditionalFormatting>
  <conditionalFormatting sqref="D48:D49">
    <cfRule type="cellIs" dxfId="354" priority="107" operator="notBetween">
      <formula>#REF!</formula>
      <formula>#REF!</formula>
    </cfRule>
  </conditionalFormatting>
  <conditionalFormatting sqref="D68:D72 D74:D75">
    <cfRule type="cellIs" dxfId="353" priority="71" stopIfTrue="1" operator="lessThanOrEqual">
      <formula>0</formula>
    </cfRule>
  </conditionalFormatting>
  <conditionalFormatting sqref="D68:D72 D74:D77">
    <cfRule type="cellIs" dxfId="352" priority="55" stopIfTrue="1" operator="lessThanOrEqual">
      <formula>0</formula>
    </cfRule>
  </conditionalFormatting>
  <conditionalFormatting sqref="D76">
    <cfRule type="cellIs" dxfId="351" priority="70" stopIfTrue="1" operator="lessThanOrEqual">
      <formula>0</formula>
    </cfRule>
  </conditionalFormatting>
  <conditionalFormatting sqref="D77">
    <cfRule type="cellIs" dxfId="350" priority="67" stopIfTrue="1" operator="lessThanOrEqual">
      <formula>0</formula>
    </cfRule>
  </conditionalFormatting>
  <conditionalFormatting sqref="D79 D81:D87">
    <cfRule type="cellIs" dxfId="349" priority="182" stopIfTrue="1" operator="lessThanOrEqual">
      <formula>0</formula>
    </cfRule>
  </conditionalFormatting>
  <conditionalFormatting sqref="D80">
    <cfRule type="cellIs" dxfId="348" priority="174" stopIfTrue="1" operator="lessThanOrEqual">
      <formula>0</formula>
    </cfRule>
    <cfRule type="cellIs" dxfId="347" priority="173" stopIfTrue="1" operator="greaterThan">
      <formula>$F$79</formula>
    </cfRule>
  </conditionalFormatting>
  <conditionalFormatting sqref="D68:E72 E73 D74:E77">
    <cfRule type="cellIs" dxfId="346" priority="57" stopIfTrue="1" operator="greaterThan">
      <formula>$F68</formula>
    </cfRule>
  </conditionalFormatting>
  <conditionalFormatting sqref="D77:E77">
    <cfRule type="cellIs" dxfId="345" priority="59" stopIfTrue="1" operator="lessThanOrEqual">
      <formula>0</formula>
    </cfRule>
  </conditionalFormatting>
  <conditionalFormatting sqref="E10:E23">
    <cfRule type="cellIs" dxfId="344" priority="12" operator="lessThan">
      <formula>48</formula>
    </cfRule>
  </conditionalFormatting>
  <conditionalFormatting sqref="E51 E52:F52">
    <cfRule type="cellIs" dxfId="343" priority="178" stopIfTrue="1" operator="greaterThan">
      <formula>100</formula>
    </cfRule>
  </conditionalFormatting>
  <conditionalFormatting sqref="E52">
    <cfRule type="cellIs" dxfId="342" priority="175" stopIfTrue="1" operator="lessThan">
      <formula>96.8</formula>
    </cfRule>
    <cfRule type="cellIs" dxfId="341" priority="176" stopIfTrue="1" operator="greaterThan">
      <formula>100</formula>
    </cfRule>
  </conditionalFormatting>
  <conditionalFormatting sqref="E68:E76">
    <cfRule type="cellIs" dxfId="340" priority="56" stopIfTrue="1" operator="lessThanOrEqual">
      <formula>0</formula>
    </cfRule>
  </conditionalFormatting>
  <conditionalFormatting sqref="E68:E77">
    <cfRule type="cellIs" dxfId="339" priority="58" stopIfTrue="1" operator="lessThanOrEqual">
      <formula>0</formula>
    </cfRule>
  </conditionalFormatting>
  <conditionalFormatting sqref="E79:E87">
    <cfRule type="cellIs" dxfId="338" priority="167" stopIfTrue="1" operator="greaterThan">
      <formula>4.5</formula>
    </cfRule>
    <cfRule type="cellIs" dxfId="337" priority="168" stopIfTrue="1" operator="lessThanOrEqual">
      <formula>0</formula>
    </cfRule>
  </conditionalFormatting>
  <conditionalFormatting sqref="E52:F52 E51">
    <cfRule type="cellIs" dxfId="336" priority="177" stopIfTrue="1" operator="lessThan">
      <formula>96.5</formula>
    </cfRule>
  </conditionalFormatting>
  <conditionalFormatting sqref="F10:F15 F17:F20 F22:F23">
    <cfRule type="cellIs" dxfId="335" priority="46" operator="greaterThan">
      <formula>60</formula>
    </cfRule>
  </conditionalFormatting>
  <conditionalFormatting sqref="F52">
    <cfRule type="cellIs" dxfId="334" priority="193" stopIfTrue="1" operator="lessThan">
      <formula>96.8</formula>
    </cfRule>
    <cfRule type="cellIs" dxfId="333" priority="194" stopIfTrue="1" operator="greaterThan">
      <formula>100</formula>
    </cfRule>
  </conditionalFormatting>
  <conditionalFormatting sqref="F77">
    <cfRule type="cellIs" dxfId="332" priority="69" stopIfTrue="1" operator="lessThanOrEqual">
      <formula>0</formula>
    </cfRule>
    <cfRule type="cellIs" dxfId="331" priority="68" stopIfTrue="1" operator="greaterThan">
      <formula>$F77</formula>
    </cfRule>
  </conditionalFormatting>
  <conditionalFormatting sqref="G16">
    <cfRule type="expression" dxfId="330" priority="13">
      <formula>IF(+(IF(G16&lt;S16,0,IF(G16&gt;T16,0,1)))=0,1)</formula>
    </cfRule>
  </conditionalFormatting>
  <conditionalFormatting sqref="G21:G23">
    <cfRule type="expression" dxfId="329" priority="37">
      <formula>IF(+(IF(G21&lt;S21,0,IF(G21&gt;T21,0,1)))=0,1)</formula>
    </cfRule>
  </conditionalFormatting>
  <conditionalFormatting sqref="G68:G69">
    <cfRule type="cellIs" dxfId="328" priority="73" stopIfTrue="1" operator="lessThanOrEqual">
      <formula>0</formula>
    </cfRule>
    <cfRule type="cellIs" dxfId="327" priority="72" stopIfTrue="1" operator="greaterThan">
      <formula>$F68</formula>
    </cfRule>
  </conditionalFormatting>
  <conditionalFormatting sqref="G68:G71">
    <cfRule type="cellIs" dxfId="326" priority="50" stopIfTrue="1" operator="greaterThan">
      <formula>$F68</formula>
    </cfRule>
    <cfRule type="cellIs" dxfId="325" priority="51" stopIfTrue="1" operator="lessThanOrEqual">
      <formula>0</formula>
    </cfRule>
  </conditionalFormatting>
  <conditionalFormatting sqref="G70">
    <cfRule type="cellIs" dxfId="324" priority="48" stopIfTrue="1" operator="greaterThan">
      <formula>$F70</formula>
    </cfRule>
    <cfRule type="cellIs" dxfId="323" priority="49" stopIfTrue="1" operator="lessThanOrEqual">
      <formula>0</formula>
    </cfRule>
  </conditionalFormatting>
  <conditionalFormatting sqref="G71">
    <cfRule type="cellIs" dxfId="322" priority="63" stopIfTrue="1" operator="greaterThan">
      <formula>$F71</formula>
    </cfRule>
    <cfRule type="cellIs" dxfId="321" priority="64" stopIfTrue="1" operator="lessThanOrEqual">
      <formula>0</formula>
    </cfRule>
  </conditionalFormatting>
  <conditionalFormatting sqref="G72:G76">
    <cfRule type="cellIs" dxfId="320" priority="75" stopIfTrue="1" operator="lessThanOrEqual">
      <formula>0</formula>
    </cfRule>
    <cfRule type="cellIs" dxfId="319" priority="74" stopIfTrue="1" operator="greaterThan">
      <formula>$J72</formula>
    </cfRule>
  </conditionalFormatting>
  <conditionalFormatting sqref="G81:G86 C84 C86">
    <cfRule type="cellIs" dxfId="318" priority="190" stopIfTrue="1" operator="greaterThan">
      <formula>4.5</formula>
    </cfRule>
    <cfRule type="cellIs" dxfId="317" priority="191" stopIfTrue="1" operator="lessThanOrEqual">
      <formula>0</formula>
    </cfRule>
  </conditionalFormatting>
  <conditionalFormatting sqref="G10:H15 G17:H20 H21:H23">
    <cfRule type="expression" dxfId="316" priority="38">
      <formula>IF(+(IF(G10&lt;#REF!,0,IF(G10&gt;#REF!,0,1)))=0,1)</formula>
    </cfRule>
  </conditionalFormatting>
  <conditionalFormatting sqref="G80:H80">
    <cfRule type="cellIs" dxfId="315" priority="172" stopIfTrue="1" operator="lessThanOrEqual">
      <formula>0</formula>
    </cfRule>
    <cfRule type="cellIs" dxfId="314" priority="171" stopIfTrue="1" operator="greaterThan">
      <formula>$F$79</formula>
    </cfRule>
  </conditionalFormatting>
  <conditionalFormatting sqref="H16">
    <cfRule type="expression" dxfId="313" priority="14">
      <formula>IF(+(IF(H16&lt;#REF!,0,IF(H16&gt;#REF!,0,1)))=0,1)</formula>
    </cfRule>
  </conditionalFormatting>
  <conditionalFormatting sqref="H37:H38 H51">
    <cfRule type="cellIs" dxfId="312" priority="169" stopIfTrue="1" operator="greaterThan">
      <formula>0</formula>
    </cfRule>
  </conditionalFormatting>
  <conditionalFormatting sqref="H55">
    <cfRule type="cellIs" dxfId="311" priority="16" stopIfTrue="1" operator="lessThanOrEqual">
      <formula>0</formula>
    </cfRule>
    <cfRule type="cellIs" dxfId="310" priority="17" stopIfTrue="1" operator="greaterThan">
      <formula>$F$68</formula>
    </cfRule>
    <cfRule type="cellIs" dxfId="309" priority="25" stopIfTrue="1" operator="greaterThan">
      <formula>$F$71</formula>
    </cfRule>
    <cfRule type="cellIs" dxfId="308" priority="26" stopIfTrue="1" operator="lessThanOrEqual">
      <formula>0</formula>
    </cfRule>
    <cfRule type="cellIs" dxfId="307" priority="27" stopIfTrue="1" operator="greaterThan">
      <formula>$F$69</formula>
    </cfRule>
  </conditionalFormatting>
  <conditionalFormatting sqref="H55:H57">
    <cfRule type="cellIs" dxfId="306" priority="28" stopIfTrue="1" operator="lessThanOrEqual">
      <formula>0</formula>
    </cfRule>
  </conditionalFormatting>
  <conditionalFormatting sqref="H56:H57">
    <cfRule type="cellIs" dxfId="305" priority="88" stopIfTrue="1" operator="lessThanOrEqual">
      <formula>0</formula>
    </cfRule>
    <cfRule type="cellIs" dxfId="304" priority="87" stopIfTrue="1" operator="greaterThan">
      <formula>$F$71</formula>
    </cfRule>
    <cfRule type="cellIs" dxfId="303" priority="79" stopIfTrue="1" operator="greaterThan">
      <formula>$F$68</formula>
    </cfRule>
    <cfRule type="cellIs" dxfId="302" priority="89" stopIfTrue="1" operator="greaterThan">
      <formula>$F$69</formula>
    </cfRule>
  </conditionalFormatting>
  <conditionalFormatting sqref="H56:H59">
    <cfRule type="cellIs" dxfId="301" priority="90" stopIfTrue="1" operator="lessThanOrEqual">
      <formula>0</formula>
    </cfRule>
  </conditionalFormatting>
  <conditionalFormatting sqref="H58:H59">
    <cfRule type="cellIs" dxfId="300" priority="93" stopIfTrue="1" operator="greaterThan">
      <formula>$F$68</formula>
    </cfRule>
    <cfRule type="cellIs" dxfId="299" priority="101" stopIfTrue="1" operator="greaterThan">
      <formula>$F$71</formula>
    </cfRule>
    <cfRule type="cellIs" dxfId="298" priority="103" stopIfTrue="1" operator="greaterThan">
      <formula>$F$69</formula>
    </cfRule>
    <cfRule type="cellIs" dxfId="297" priority="104" stopIfTrue="1" operator="lessThanOrEqual">
      <formula>0</formula>
    </cfRule>
    <cfRule type="cellIs" dxfId="296" priority="102" stopIfTrue="1" operator="lessThanOrEqual">
      <formula>0</formula>
    </cfRule>
  </conditionalFormatting>
  <conditionalFormatting sqref="H60:H61">
    <cfRule type="cellIs" dxfId="295" priority="132" stopIfTrue="1" operator="greaterThan">
      <formula>#REF!</formula>
    </cfRule>
    <cfRule type="cellIs" dxfId="294" priority="131" stopIfTrue="1" operator="lessThanOrEqual">
      <formula>0</formula>
    </cfRule>
    <cfRule type="cellIs" dxfId="293" priority="140" stopIfTrue="1" operator="greaterThan">
      <formula>$F$23</formula>
    </cfRule>
    <cfRule type="cellIs" dxfId="292" priority="141" stopIfTrue="1" operator="lessThanOrEqual">
      <formula>0</formula>
    </cfRule>
    <cfRule type="cellIs" dxfId="291" priority="142" stopIfTrue="1" operator="greaterThan">
      <formula>#REF!</formula>
    </cfRule>
    <cfRule type="cellIs" dxfId="290" priority="143" stopIfTrue="1" operator="lessThanOrEqual">
      <formula>0</formula>
    </cfRule>
  </conditionalFormatting>
  <conditionalFormatting sqref="H62">
    <cfRule type="cellIs" dxfId="289" priority="155" stopIfTrue="1" operator="lessThanOrEqual">
      <formula>0</formula>
    </cfRule>
    <cfRule type="cellIs" dxfId="288" priority="154" stopIfTrue="1" operator="greaterThan">
      <formula>$F$39</formula>
    </cfRule>
    <cfRule type="cellIs" dxfId="287" priority="145" stopIfTrue="1" operator="lessThanOrEqual">
      <formula>0</formula>
    </cfRule>
    <cfRule type="cellIs" dxfId="286" priority="146" stopIfTrue="1" operator="greaterThan">
      <formula>$F$36</formula>
    </cfRule>
    <cfRule type="cellIs" dxfId="285" priority="157" stopIfTrue="1" operator="lessThanOrEqual">
      <formula>0</formula>
    </cfRule>
    <cfRule type="cellIs" dxfId="284" priority="156" stopIfTrue="1" operator="greaterThan">
      <formula>$F$37</formula>
    </cfRule>
  </conditionalFormatting>
  <conditionalFormatting sqref="H63:H64">
    <cfRule type="cellIs" dxfId="283" priority="117" stopIfTrue="1" operator="lessThanOrEqual">
      <formula>0</formula>
    </cfRule>
    <cfRule type="cellIs" dxfId="282" priority="128" stopIfTrue="1" operator="greaterThan">
      <formula>#REF!</formula>
    </cfRule>
    <cfRule type="cellIs" dxfId="281" priority="118" stopIfTrue="1" operator="greaterThan">
      <formula>#REF!</formula>
    </cfRule>
    <cfRule type="cellIs" dxfId="280" priority="127" stopIfTrue="1" operator="lessThanOrEqual">
      <formula>0</formula>
    </cfRule>
    <cfRule type="cellIs" dxfId="279" priority="126" stopIfTrue="1" operator="greaterThan">
      <formula>$F$23</formula>
    </cfRule>
    <cfRule type="cellIs" dxfId="278" priority="129" stopIfTrue="1" operator="lessThanOrEqual">
      <formula>0</formula>
    </cfRule>
  </conditionalFormatting>
  <conditionalFormatting sqref="H79 H81:H87">
    <cfRule type="cellIs" dxfId="277" priority="184" stopIfTrue="1" operator="lessThanOrEqual">
      <formula>0</formula>
    </cfRule>
    <cfRule type="cellIs" dxfId="276" priority="183" stopIfTrue="1" operator="greaterThan">
      <formula>4.5</formula>
    </cfRule>
  </conditionalFormatting>
  <conditionalFormatting sqref="H55:I55">
    <cfRule type="cellIs" dxfId="275" priority="18" stopIfTrue="1" operator="lessThanOrEqual">
      <formula>0</formula>
    </cfRule>
  </conditionalFormatting>
  <conditionalFormatting sqref="H55:I59">
    <cfRule type="cellIs" dxfId="274" priority="15" stopIfTrue="1" operator="greaterThan">
      <formula>$F$70</formula>
    </cfRule>
  </conditionalFormatting>
  <conditionalFormatting sqref="H56:I57">
    <cfRule type="cellIs" dxfId="273" priority="80" stopIfTrue="1" operator="lessThanOrEqual">
      <formula>0</formula>
    </cfRule>
  </conditionalFormatting>
  <conditionalFormatting sqref="H58:I59">
    <cfRule type="cellIs" dxfId="272" priority="94" stopIfTrue="1" operator="lessThanOrEqual">
      <formula>0</formula>
    </cfRule>
  </conditionalFormatting>
  <conditionalFormatting sqref="H60:I61">
    <cfRule type="cellIs" dxfId="271" priority="133" stopIfTrue="1" operator="lessThanOrEqual">
      <formula>0</formula>
    </cfRule>
    <cfRule type="cellIs" dxfId="270" priority="130" stopIfTrue="1" operator="greaterThan">
      <formula>#REF!</formula>
    </cfRule>
  </conditionalFormatting>
  <conditionalFormatting sqref="H62:I62">
    <cfRule type="cellIs" dxfId="269" priority="144" stopIfTrue="1" operator="greaterThan">
      <formula>$F$38</formula>
    </cfRule>
    <cfRule type="cellIs" dxfId="268" priority="147" stopIfTrue="1" operator="lessThanOrEqual">
      <formula>0</formula>
    </cfRule>
  </conditionalFormatting>
  <conditionalFormatting sqref="H63:I64">
    <cfRule type="cellIs" dxfId="267" priority="116" stopIfTrue="1" operator="greaterThan">
      <formula>#REF!</formula>
    </cfRule>
    <cfRule type="cellIs" dxfId="266" priority="119" stopIfTrue="1" operator="lessThanOrEqual">
      <formula>0</formula>
    </cfRule>
  </conditionalFormatting>
  <conditionalFormatting sqref="H68:I75">
    <cfRule type="cellIs" dxfId="265" priority="54" stopIfTrue="1" operator="lessThanOrEqual">
      <formula>0</formula>
    </cfRule>
    <cfRule type="cellIs" dxfId="264" priority="53" stopIfTrue="1" operator="greaterThan">
      <formula>$J68</formula>
    </cfRule>
  </conditionalFormatting>
  <conditionalFormatting sqref="H76:I76">
    <cfRule type="cellIs" dxfId="263" priority="62" operator="greaterThan">
      <formula>5.3</formula>
    </cfRule>
  </conditionalFormatting>
  <conditionalFormatting sqref="H77:I77">
    <cfRule type="cellIs" dxfId="262" priority="61" stopIfTrue="1" operator="lessThanOrEqual">
      <formula>0</formula>
    </cfRule>
    <cfRule type="cellIs" dxfId="261" priority="60" stopIfTrue="1" operator="greaterThan">
      <formula>$J77</formula>
    </cfRule>
  </conditionalFormatting>
  <conditionalFormatting sqref="I55">
    <cfRule type="cellIs" dxfId="260" priority="19" stopIfTrue="1" operator="greaterThan">
      <formula>$F$68</formula>
    </cfRule>
    <cfRule type="cellIs" dxfId="259" priority="20" stopIfTrue="1" operator="lessThanOrEqual">
      <formula>0</formula>
    </cfRule>
    <cfRule type="cellIs" dxfId="258" priority="24" stopIfTrue="1" operator="lessThanOrEqual">
      <formula>0</formula>
    </cfRule>
    <cfRule type="cellIs" dxfId="257" priority="23" stopIfTrue="1" operator="greaterThan">
      <formula>$F$68</formula>
    </cfRule>
    <cfRule type="cellIs" dxfId="256" priority="22" stopIfTrue="1" operator="lessThanOrEqual">
      <formula>0</formula>
    </cfRule>
    <cfRule type="cellIs" dxfId="255" priority="21" stopIfTrue="1" operator="greaterThan">
      <formula>$F$70</formula>
    </cfRule>
  </conditionalFormatting>
  <conditionalFormatting sqref="I56:I57">
    <cfRule type="cellIs" dxfId="254" priority="84" stopIfTrue="1" operator="lessThanOrEqual">
      <formula>0</formula>
    </cfRule>
    <cfRule type="cellIs" dxfId="253" priority="85" stopIfTrue="1" operator="greaterThan">
      <formula>$F$68</formula>
    </cfRule>
    <cfRule type="cellIs" dxfId="252" priority="86" stopIfTrue="1" operator="lessThanOrEqual">
      <formula>0</formula>
    </cfRule>
    <cfRule type="cellIs" dxfId="251" priority="82" stopIfTrue="1" operator="lessThanOrEqual">
      <formula>0</formula>
    </cfRule>
    <cfRule type="cellIs" dxfId="250" priority="81" stopIfTrue="1" operator="greaterThan">
      <formula>$F$68</formula>
    </cfRule>
    <cfRule type="cellIs" dxfId="249" priority="83" stopIfTrue="1" operator="greaterThan">
      <formula>$F$70</formula>
    </cfRule>
  </conditionalFormatting>
  <conditionalFormatting sqref="I58:I59">
    <cfRule type="cellIs" dxfId="248" priority="100" stopIfTrue="1" operator="lessThanOrEqual">
      <formula>0</formula>
    </cfRule>
    <cfRule type="cellIs" dxfId="247" priority="97" stopIfTrue="1" operator="greaterThan">
      <formula>$F$70</formula>
    </cfRule>
    <cfRule type="cellIs" dxfId="246" priority="96" stopIfTrue="1" operator="lessThanOrEqual">
      <formula>0</formula>
    </cfRule>
    <cfRule type="cellIs" dxfId="245" priority="99" stopIfTrue="1" operator="greaterThan">
      <formula>$F$68</formula>
    </cfRule>
    <cfRule type="cellIs" dxfId="244" priority="95" stopIfTrue="1" operator="greaterThan">
      <formula>$F$68</formula>
    </cfRule>
    <cfRule type="cellIs" dxfId="243" priority="98" stopIfTrue="1" operator="lessThanOrEqual">
      <formula>0</formula>
    </cfRule>
  </conditionalFormatting>
  <conditionalFormatting sqref="I60:I61">
    <cfRule type="cellIs" dxfId="242" priority="138" stopIfTrue="1" operator="greaterThan">
      <formula>#REF!</formula>
    </cfRule>
    <cfRule type="cellIs" dxfId="241" priority="139" stopIfTrue="1" operator="lessThanOrEqual">
      <formula>0</formula>
    </cfRule>
    <cfRule type="cellIs" dxfId="240" priority="134" stopIfTrue="1" operator="greaterThan">
      <formula>#REF!</formula>
    </cfRule>
    <cfRule type="cellIs" dxfId="239" priority="135" stopIfTrue="1" operator="lessThanOrEqual">
      <formula>0</formula>
    </cfRule>
    <cfRule type="cellIs" dxfId="238" priority="136" stopIfTrue="1" operator="greaterThan">
      <formula>#REF!</formula>
    </cfRule>
    <cfRule type="cellIs" dxfId="237" priority="137" stopIfTrue="1" operator="lessThanOrEqual">
      <formula>0</formula>
    </cfRule>
  </conditionalFormatting>
  <conditionalFormatting sqref="I62">
    <cfRule type="cellIs" dxfId="236" priority="150" stopIfTrue="1" operator="greaterThan">
      <formula>$F$38</formula>
    </cfRule>
    <cfRule type="cellIs" dxfId="235" priority="148" stopIfTrue="1" operator="greaterThan">
      <formula>$F$36</formula>
    </cfRule>
    <cfRule type="cellIs" dxfId="234" priority="149" stopIfTrue="1" operator="lessThanOrEqual">
      <formula>0</formula>
    </cfRule>
    <cfRule type="cellIs" dxfId="233" priority="151" stopIfTrue="1" operator="lessThanOrEqual">
      <formula>0</formula>
    </cfRule>
    <cfRule type="cellIs" dxfId="232" priority="152" stopIfTrue="1" operator="greaterThan">
      <formula>$F$36</formula>
    </cfRule>
    <cfRule type="cellIs" dxfId="231" priority="153" stopIfTrue="1" operator="lessThanOrEqual">
      <formula>0</formula>
    </cfRule>
  </conditionalFormatting>
  <conditionalFormatting sqref="I63:I64">
    <cfRule type="cellIs" dxfId="230" priority="121" stopIfTrue="1" operator="lessThanOrEqual">
      <formula>0</formula>
    </cfRule>
    <cfRule type="cellIs" dxfId="229" priority="125" stopIfTrue="1" operator="lessThanOrEqual">
      <formula>0</formula>
    </cfRule>
    <cfRule type="cellIs" dxfId="228" priority="120" stopIfTrue="1" operator="greaterThan">
      <formula>#REF!</formula>
    </cfRule>
    <cfRule type="cellIs" dxfId="227" priority="122" stopIfTrue="1" operator="greaterThan">
      <formula>#REF!</formula>
    </cfRule>
    <cfRule type="cellIs" dxfId="226" priority="123" stopIfTrue="1" operator="lessThanOrEqual">
      <formula>0</formula>
    </cfRule>
    <cfRule type="cellIs" dxfId="225" priority="124" stopIfTrue="1" operator="greaterThan">
      <formula>#REF!</formula>
    </cfRule>
  </conditionalFormatting>
  <conditionalFormatting sqref="I79:I87">
    <cfRule type="cellIs" dxfId="224" priority="180" stopIfTrue="1" operator="lessThanOrEqual">
      <formula>0</formula>
    </cfRule>
    <cfRule type="cellIs" dxfId="223" priority="179" stopIfTrue="1" operator="greaterThan">
      <formula>4.5</formula>
    </cfRule>
  </conditionalFormatting>
  <conditionalFormatting sqref="I10:J23">
    <cfRule type="cellIs" dxfId="222" priority="6" operator="lessThan">
      <formula>97.9</formula>
    </cfRule>
  </conditionalFormatting>
  <conditionalFormatting sqref="J26:J27">
    <cfRule type="cellIs" dxfId="221" priority="92" operator="lessThan">
      <formula>97.95</formula>
    </cfRule>
  </conditionalFormatting>
  <conditionalFormatting sqref="J28">
    <cfRule type="cellIs" dxfId="220" priority="159" stopIfTrue="1" operator="lessThan">
      <formula>96.8</formula>
    </cfRule>
    <cfRule type="cellIs" dxfId="219" priority="160" stopIfTrue="1" operator="greaterThan">
      <formula>100</formula>
    </cfRule>
    <cfRule type="cellIs" dxfId="218" priority="161" operator="lessThan">
      <formula>98</formula>
    </cfRule>
  </conditionalFormatting>
  <conditionalFormatting sqref="J28:J30">
    <cfRule type="cellIs" dxfId="217" priority="158" operator="lessThan">
      <formula>97.4</formula>
    </cfRule>
  </conditionalFormatting>
  <conditionalFormatting sqref="J31:J32">
    <cfRule type="cellIs" dxfId="216" priority="162" operator="lessThan">
      <formula>98</formula>
    </cfRule>
  </conditionalFormatting>
  <conditionalFormatting sqref="J33:J34">
    <cfRule type="cellIs" dxfId="215" priority="163" stopIfTrue="1" operator="lessThan">
      <formula>96.8</formula>
    </cfRule>
    <cfRule type="cellIs" dxfId="214" priority="164" stopIfTrue="1" operator="greaterThan">
      <formula>100</formula>
    </cfRule>
  </conditionalFormatting>
  <conditionalFormatting sqref="J33:J35">
    <cfRule type="cellIs" dxfId="213" priority="165" operator="lessThan">
      <formula>98</formula>
    </cfRule>
  </conditionalFormatting>
  <conditionalFormatting sqref="J64">
    <cfRule type="cellIs" dxfId="212" priority="115" stopIfTrue="1" operator="lessThanOrEqual">
      <formula>0</formula>
    </cfRule>
    <cfRule type="cellIs" dxfId="211" priority="114" stopIfTrue="1" operator="greaterThan">
      <formula>#REF!</formula>
    </cfRule>
    <cfRule type="cellIs" dxfId="210" priority="113" stopIfTrue="1" operator="lessThanOrEqual">
      <formula>0</formula>
    </cfRule>
    <cfRule type="cellIs" dxfId="209" priority="112" stopIfTrue="1" operator="greaterThan">
      <formula>#REF!</formula>
    </cfRule>
    <cfRule type="cellIs" dxfId="208" priority="108" stopIfTrue="1" operator="greaterThan">
      <formula>#REF!</formula>
    </cfRule>
    <cfRule type="cellIs" dxfId="207" priority="109" stopIfTrue="1" operator="lessThanOrEqual">
      <formula>0</formula>
    </cfRule>
    <cfRule type="cellIs" dxfId="206" priority="110" stopIfTrue="1" operator="greaterThan">
      <formula>#REF!</formula>
    </cfRule>
    <cfRule type="cellIs" dxfId="205" priority="111" stopIfTrue="1" operator="lessThanOrEqual">
      <formula>0</formula>
    </cfRule>
  </conditionalFormatting>
  <conditionalFormatting sqref="J77">
    <cfRule type="cellIs" dxfId="204" priority="65" stopIfTrue="1" operator="greaterThan">
      <formula>$F77</formula>
    </cfRule>
    <cfRule type="cellIs" dxfId="203" priority="66" stopIfTrue="1" operator="lessThanOrEqual">
      <formula>0</formula>
    </cfRule>
  </conditionalFormatting>
  <conditionalFormatting sqref="K10:K23">
    <cfRule type="cellIs" dxfId="202" priority="9" operator="greaterThan">
      <formula>6.4</formula>
    </cfRule>
    <cfRule type="cellIs" dxfId="201" priority="8" operator="lessThan">
      <formula>4</formula>
    </cfRule>
    <cfRule type="cellIs" dxfId="200" priority="7" operator="greaterThan">
      <formula>6</formula>
    </cfRule>
  </conditionalFormatting>
  <conditionalFormatting sqref="K55:K64">
    <cfRule type="cellIs" dxfId="199" priority="91" stopIfTrue="1" operator="lessThan">
      <formula>100%</formula>
    </cfRule>
  </conditionalFormatting>
  <conditionalFormatting sqref="K68:K76">
    <cfRule type="cellIs" dxfId="198" priority="52" stopIfTrue="1" operator="lessThan">
      <formula>100%</formula>
    </cfRule>
  </conditionalFormatting>
  <conditionalFormatting sqref="K79:K84">
    <cfRule type="cellIs" dxfId="197" priority="185" stopIfTrue="1" operator="lessThan">
      <formula>100%</formula>
    </cfRule>
  </conditionalFormatting>
  <conditionalFormatting sqref="K86:K87">
    <cfRule type="cellIs" dxfId="196" priority="192" stopIfTrue="1" operator="lessThan">
      <formula>100%</formula>
    </cfRule>
  </conditionalFormatting>
  <conditionalFormatting sqref="L10:L23">
    <cfRule type="cellIs" dxfId="195" priority="11" operator="greaterThan">
      <formula>65</formula>
    </cfRule>
    <cfRule type="cellIs" dxfId="194" priority="10" operator="between">
      <formula>61</formula>
      <formula>65</formula>
    </cfRule>
  </conditionalFormatting>
  <conditionalFormatting sqref="L26:M37">
    <cfRule type="cellIs" dxfId="193" priority="105" operator="lessThan">
      <formula>97.95</formula>
    </cfRule>
  </conditionalFormatting>
  <conditionalFormatting sqref="L41:N41">
    <cfRule type="cellIs" dxfId="192" priority="47" operator="notEqual">
      <formula>#REF!</formula>
    </cfRule>
  </conditionalFormatting>
  <conditionalFormatting sqref="L68:N77">
    <cfRule type="cellIs" dxfId="191" priority="39" stopIfTrue="1" operator="lessThan">
      <formula>100%</formula>
    </cfRule>
  </conditionalFormatting>
  <conditionalFormatting sqref="L79:N87">
    <cfRule type="cellIs" dxfId="190" priority="170" stopIfTrue="1" operator="lessThan">
      <formula>100%</formula>
    </cfRule>
  </conditionalFormatting>
  <conditionalFormatting sqref="M10:N23">
    <cfRule type="expression" dxfId="189" priority="2">
      <formula>IF(+(IF(M10&lt;#REF!,0,IF(M10&gt;#REF!,0,1)))=0,1)</formula>
    </cfRule>
  </conditionalFormatting>
  <conditionalFormatting sqref="N10:N11">
    <cfRule type="expression" dxfId="188" priority="3">
      <formula>IF(+(IF(N10&lt;W10,0,IF(N10&gt;X10,0,1)))=0,1)</formula>
    </cfRule>
  </conditionalFormatting>
  <conditionalFormatting sqref="N13">
    <cfRule type="expression" dxfId="187" priority="1">
      <formula>IF(+(IF(N13&lt;W13,0,IF(N13&gt;X13,0,1)))=0,1)</formula>
    </cfRule>
  </conditionalFormatting>
  <conditionalFormatting sqref="N16">
    <cfRule type="expression" dxfId="186" priority="5">
      <formula>IF(+(IF(N16&lt;W16,0,IF(N16&gt;X16,0,1)))=0,1)</formula>
    </cfRule>
  </conditionalFormatting>
  <conditionalFormatting sqref="N21">
    <cfRule type="expression" dxfId="185" priority="29">
      <formula>IF(+(IF(N21&lt;W21,0,IF(N21&gt;X21,0,1)))=0,1)</formula>
    </cfRule>
  </conditionalFormatting>
  <conditionalFormatting sqref="P6">
    <cfRule type="cellIs" dxfId="184" priority="166" operator="greaterThanOrEqual">
      <formula>19</formula>
    </cfRule>
  </conditionalFormatting>
  <dataValidations count="1">
    <dataValidation type="list" allowBlank="1" showInputMessage="1" showErrorMessage="1" sqref="R8" xr:uid="{90413850-D788-4B42-A138-EC241BCCAB8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A65F-248D-4A76-9EA8-89300246DF69}">
  <sheetPr>
    <pageSetUpPr fitToPage="1"/>
  </sheetPr>
  <dimension ref="A1:BE76"/>
  <sheetViews>
    <sheetView tabSelected="1" topLeftCell="A10" zoomScale="70" zoomScaleNormal="70" workbookViewId="0">
      <selection activeCell="M27" sqref="M2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9" t="s">
        <v>0</v>
      </c>
      <c r="T1" s="509"/>
      <c r="U1" s="509" t="s">
        <v>1</v>
      </c>
      <c r="V1" s="509"/>
      <c r="W1" s="509" t="s">
        <v>2</v>
      </c>
      <c r="X1" s="509"/>
      <c r="Y1" s="509" t="s">
        <v>124</v>
      </c>
      <c r="Z1" s="509"/>
    </row>
    <row r="2" spans="2:29" ht="15">
      <c r="B2" s="510" t="s">
        <v>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46174</v>
      </c>
      <c r="J4" s="398" t="s">
        <v>167</v>
      </c>
      <c r="K4" s="398"/>
      <c r="L4" s="11"/>
      <c r="M4" s="507" t="s">
        <v>8</v>
      </c>
      <c r="N4" s="50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13"/>
      <c r="D5" s="51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4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17" t="s">
        <v>144</v>
      </c>
      <c r="I8" s="516" t="s">
        <v>165</v>
      </c>
      <c r="J8" s="519" t="s">
        <v>23</v>
      </c>
      <c r="K8" s="521" t="s">
        <v>142</v>
      </c>
      <c r="L8" s="523" t="s">
        <v>24</v>
      </c>
      <c r="M8" s="359" t="s">
        <v>25</v>
      </c>
      <c r="N8" s="17" t="s">
        <v>169</v>
      </c>
      <c r="O8" s="516" t="s">
        <v>155</v>
      </c>
      <c r="P8" s="51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15"/>
      <c r="C9" s="512"/>
      <c r="D9" s="512"/>
      <c r="E9" s="357" t="s">
        <v>30</v>
      </c>
      <c r="F9" s="357" t="s">
        <v>31</v>
      </c>
      <c r="G9" s="512"/>
      <c r="H9" s="518"/>
      <c r="I9" s="512"/>
      <c r="J9" s="520"/>
      <c r="K9" s="522"/>
      <c r="L9" s="524"/>
      <c r="M9" s="20" t="s">
        <v>32</v>
      </c>
      <c r="N9" s="21" t="s">
        <v>41</v>
      </c>
      <c r="O9" s="512"/>
      <c r="P9" s="51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3" t="s">
        <v>9</v>
      </c>
      <c r="C10" s="366" t="str">
        <f>[3]Brewhouse!$A245</f>
        <v>ST191</v>
      </c>
      <c r="D10" s="279">
        <f>[3]Brewhouse!$AB245</f>
        <v>53.1</v>
      </c>
      <c r="E10" s="279">
        <f>[3]Brewhouse!$AG245</f>
        <v>50.6</v>
      </c>
      <c r="F10" s="278">
        <f>[3]Brewhouse!$V245</f>
        <v>63</v>
      </c>
      <c r="G10" s="279">
        <f>[3]Brewhouse!$AE245</f>
        <v>12.1</v>
      </c>
      <c r="H10" s="396"/>
      <c r="I10" s="368">
        <f>[3]Brewhouse!$AS245</f>
        <v>101.63039952812952</v>
      </c>
      <c r="J10" s="368">
        <f>[3]Brewhouse!$AT245</f>
        <v>102.37011219767618</v>
      </c>
      <c r="K10" s="281">
        <f>[3]Brewhouse!$Q245</f>
        <v>8.6158192090395538</v>
      </c>
      <c r="L10" s="276">
        <f>[3]Brewhouse!$P245</f>
        <v>61</v>
      </c>
      <c r="M10" s="374">
        <f>[3]Brewhouse!$U245-[3]Brewhouse!$T245</f>
        <v>0.11944444444444446</v>
      </c>
      <c r="N10" s="370">
        <f>[3]Brewhouse!$AW245</f>
        <v>0.26458333333333334</v>
      </c>
      <c r="O10" s="371" t="str">
        <f>[3]Brewhouse!$AV245</f>
        <v xml:space="preserve">R.Regis </v>
      </c>
      <c r="P10" s="418"/>
      <c r="R10" s="277" t="str">
        <f t="shared" ref="R10:R36" si="0">B10</f>
        <v>STAG</v>
      </c>
      <c r="S10" s="472">
        <f t="shared" ref="S10:S36" si="1">VLOOKUP($B10,$R$3:$X$9,2,FALSE)</f>
        <v>11.6</v>
      </c>
      <c r="T10" s="472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472">
        <f t="shared" ref="Z10:Z36" si="8">VLOOKUP($B10,$R$3:$Z$9,9,FALSE)</f>
        <v>60</v>
      </c>
    </row>
    <row r="11" spans="2:29" ht="15">
      <c r="B11" s="33" t="s">
        <v>9</v>
      </c>
      <c r="C11" s="366" t="str">
        <f>[3]Brewhouse!$A246</f>
        <v>ST192</v>
      </c>
      <c r="D11" s="279">
        <f>[3]Brewhouse!$AB246</f>
        <v>53.1</v>
      </c>
      <c r="E11" s="279">
        <f>[3]Brewhouse!$AG246</f>
        <v>50.1</v>
      </c>
      <c r="F11" s="278">
        <f>[3]Brewhouse!$V246</f>
        <v>66</v>
      </c>
      <c r="G11" s="279">
        <f>[3]Brewhouse!$AE246</f>
        <v>12</v>
      </c>
      <c r="H11" s="396"/>
      <c r="I11" s="368">
        <f>[3]Brewhouse!$AS246</f>
        <v>99.260258246780694</v>
      </c>
      <c r="J11" s="368">
        <f>[3]Brewhouse!$AT246</f>
        <v>99.98364049667299</v>
      </c>
      <c r="K11" s="281">
        <f>[3]Brewhouse!$Q246</f>
        <v>8.9924670433144982</v>
      </c>
      <c r="L11" s="276">
        <f>[3]Brewhouse!$P246</f>
        <v>58</v>
      </c>
      <c r="M11" s="374">
        <f>[3]Brewhouse!$U246-[3]Brewhouse!$T246</f>
        <v>0.1076388888888889</v>
      </c>
      <c r="N11" s="370">
        <f>[3]Brewhouse!$AW246</f>
        <v>0.29444444444444451</v>
      </c>
      <c r="O11" s="371" t="str">
        <f>[3]Brewhouse!$AV246</f>
        <v>R.Sookram</v>
      </c>
      <c r="P11" s="418"/>
      <c r="R11" s="277" t="str">
        <f t="shared" ref="R11:R20" si="9">B11</f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3" t="s">
        <v>9</v>
      </c>
      <c r="C12" s="366" t="str">
        <f>[3]Brewhouse!$A247</f>
        <v>ST193</v>
      </c>
      <c r="D12" s="279">
        <f>[3]Brewhouse!$AB247</f>
        <v>53</v>
      </c>
      <c r="E12" s="279">
        <f>[3]Brewhouse!$AG247</f>
        <v>50.8</v>
      </c>
      <c r="F12" s="278">
        <f>[3]Brewhouse!$V247</f>
        <v>60</v>
      </c>
      <c r="G12" s="279">
        <f>[3]Brewhouse!$AE247</f>
        <v>12</v>
      </c>
      <c r="H12" s="396"/>
      <c r="I12" s="368">
        <f>[3]Brewhouse!$AS247</f>
        <v>102.67383093717935</v>
      </c>
      <c r="J12" s="368">
        <f>[3]Brewhouse!$AT247</f>
        <v>103.41822412304379</v>
      </c>
      <c r="K12" s="281">
        <f>[3]Brewhouse!$Q247</f>
        <v>8.2547169811320753</v>
      </c>
      <c r="L12" s="276">
        <f>[3]Brewhouse!$P247</f>
        <v>59</v>
      </c>
      <c r="M12" s="374">
        <f>[3]Brewhouse!$U247-[3]Brewhouse!$T247</f>
        <v>0.10694444444444451</v>
      </c>
      <c r="N12" s="370">
        <f>[3]Brewhouse!$AW247</f>
        <v>0.2819444444444445</v>
      </c>
      <c r="O12" s="371" t="str">
        <f>[3]Brewhouse!$AV247</f>
        <v>R.Sookram</v>
      </c>
      <c r="P12" s="418"/>
      <c r="R12" s="277" t="str">
        <f t="shared" si="9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33" t="s">
        <v>9</v>
      </c>
      <c r="C13" s="366" t="str">
        <f>[3]Brewhouse!$A248</f>
        <v>ST194</v>
      </c>
      <c r="D13" s="279">
        <f>[3]Brewhouse!$AB248</f>
        <v>53.1</v>
      </c>
      <c r="E13" s="279">
        <f>[3]Brewhouse!$AG248</f>
        <v>49.8</v>
      </c>
      <c r="F13" s="278">
        <f>[3]Brewhouse!$V248</f>
        <v>51</v>
      </c>
      <c r="G13" s="279">
        <f>[3]Brewhouse!$AE248</f>
        <v>12</v>
      </c>
      <c r="H13" s="396"/>
      <c r="I13" s="368">
        <f>[3]Brewhouse!$AS248</f>
        <v>100.39997678316345</v>
      </c>
      <c r="J13" s="368">
        <f>[3]Brewhouse!$AT248</f>
        <v>101.12836522206565</v>
      </c>
      <c r="K13" s="281">
        <f>[3]Brewhouse!$Q248</f>
        <v>9.369114877589455</v>
      </c>
      <c r="L13" s="276">
        <f>[3]Brewhouse!$P248</f>
        <v>58</v>
      </c>
      <c r="M13" s="374">
        <f>[3]Brewhouse!$U248-[3]Brewhouse!$T248</f>
        <v>0.11041666666666672</v>
      </c>
      <c r="N13" s="370">
        <f>[3]Brewhouse!$AW248</f>
        <v>0.28888888888888886</v>
      </c>
      <c r="O13" s="371" t="str">
        <f>[3]Brewhouse!$AV248</f>
        <v>R.Sookram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33" t="s">
        <v>9</v>
      </c>
      <c r="C14" s="366" t="str">
        <f>[3]Brewhouse!$A249</f>
        <v>ST195</v>
      </c>
      <c r="D14" s="367"/>
      <c r="E14" s="367"/>
      <c r="F14" s="506"/>
      <c r="G14" s="279">
        <f>[3]Brewhouse!$AE249</f>
        <v>11.9</v>
      </c>
      <c r="H14" s="396"/>
      <c r="I14" s="496"/>
      <c r="J14" s="496"/>
      <c r="K14" s="392"/>
      <c r="L14" s="505"/>
      <c r="M14" s="504"/>
      <c r="N14" s="504"/>
      <c r="O14" s="371" t="str">
        <f>[3]Brewhouse!$AV249</f>
        <v>R.Sookram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5" hidden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hidden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8" hidden="1" customHeight="1">
      <c r="B21" s="29"/>
      <c r="C21" s="366"/>
      <c r="D21" s="279"/>
      <c r="E21" s="279"/>
      <c r="F21" s="278"/>
      <c r="G21" s="279"/>
      <c r="H21" s="482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.75" customHeight="1" thickBot="1">
      <c r="B23" s="358"/>
      <c r="C23" s="358"/>
      <c r="D23" s="358"/>
      <c r="E23" s="358"/>
      <c r="F23" s="294"/>
      <c r="G23" s="294"/>
      <c r="H23" s="348"/>
      <c r="I23" s="525"/>
      <c r="J23" s="525"/>
      <c r="K23" s="525"/>
      <c r="L23" s="525"/>
      <c r="M23" s="525"/>
      <c r="N23" s="525"/>
      <c r="O23" s="1"/>
      <c r="P23" s="12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.75" customHeight="1" thickBot="1">
      <c r="B24" s="388" t="s">
        <v>162</v>
      </c>
      <c r="C24" s="388"/>
      <c r="D24" s="526" t="s">
        <v>35</v>
      </c>
      <c r="E24" s="52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 xml:space="preserve">BRAND 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customHeight="1">
      <c r="A25" s="28"/>
      <c r="B25" s="528"/>
      <c r="C25" s="362"/>
      <c r="D25" s="531"/>
      <c r="E25" s="532"/>
      <c r="F25" s="294"/>
      <c r="G25" s="294"/>
      <c r="H25" s="348"/>
      <c r="I25" s="29" t="s">
        <v>6</v>
      </c>
      <c r="J25" s="323"/>
      <c r="K25" s="284">
        <f>COUNTA([4]Brewhouse!$A$372:$A$439)</f>
        <v>68</v>
      </c>
      <c r="L25" s="305">
        <f>AVERAGE([4]Brewhouse!$AU$372:$AU$439)</f>
        <v>97.834639425875153</v>
      </c>
      <c r="M25" s="305">
        <f>AVERAGE([4]Brewhouse!$AU$42:$AU$123,[4]Brewhouse!$AU$125:$AU$188,[4]Brewhouse!$AU$198:$AU$290,[4]Brewhouse!$AU$292:$AU$370,[4]Brewhouse!$AU$372:$AU$439)</f>
        <v>97.974622726585537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customHeight="1">
      <c r="A26" s="28"/>
      <c r="B26" s="529"/>
      <c r="C26" s="362"/>
      <c r="D26" s="533"/>
      <c r="E26" s="534"/>
      <c r="F26" s="294"/>
      <c r="G26" s="294"/>
      <c r="H26" s="348"/>
      <c r="I26" s="33" t="s">
        <v>9</v>
      </c>
      <c r="J26" s="323">
        <f>AVERAGE(I10:I13)</f>
        <v>100.99111637381324</v>
      </c>
      <c r="K26" s="284">
        <f>COUNTA([3]Brewhouse!$A$214:$A$249)</f>
        <v>36</v>
      </c>
      <c r="L26" s="302">
        <f>AVERAGE([3]Brewhouse!$AS$214:$AS$249)</f>
        <v>98.712917392668786</v>
      </c>
      <c r="M26" s="302">
        <f>AVERAGE([3]Brewhouse!$AS$52:$AS$81,[3]Brewhouse!$AS$83:$AS$124,[3]Brewhouse!$AS$134:$AS$177,[3]Brewhouse!$AS$22:$AS$179,[3]Brewhouse!$AS$214:$AS$249)</f>
        <v>98.035731123284577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4.65" customHeight="1">
      <c r="A27" s="28"/>
      <c r="B27" s="529"/>
      <c r="C27" s="362"/>
      <c r="D27" s="535"/>
      <c r="E27" s="536"/>
      <c r="F27" s="294"/>
      <c r="G27" s="294"/>
      <c r="H27" s="348"/>
      <c r="I27" s="34" t="s">
        <v>12</v>
      </c>
      <c r="J27" s="280"/>
      <c r="K27" s="284"/>
      <c r="L27" s="302"/>
      <c r="M27" s="302">
        <f>AVERAGE([5]Brewhouse!$AU$16:$AU$23,[5]Brewhouse!$AU$25:$AU$32,[5]Brewhouse!$AU$34:$AU$41,[5]Brewhouse!$AU$43:$AU$60)</f>
        <v>96.890932686341458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29"/>
      <c r="C28" s="362"/>
      <c r="D28" s="537"/>
      <c r="E28" s="534"/>
      <c r="F28" s="294"/>
      <c r="G28" s="294"/>
      <c r="H28" s="348"/>
      <c r="I28" s="22" t="s">
        <v>33</v>
      </c>
      <c r="J28" s="280"/>
      <c r="K28" s="284">
        <f>COUNTA([6]Brewhouse!$A$62:$A$69)</f>
        <v>8</v>
      </c>
      <c r="L28" s="302">
        <f>AVERAGE([6]Brewhouse!$AV$62:$AV$69)</f>
        <v>97.786958502614056</v>
      </c>
      <c r="M28" s="302">
        <f>AVERAGE([6]Brewhouse!$AV$23:$AV$34,[6]Brewhouse!$AV$36,[6]Brewhouse!$AV$38:$AV$52,[6]Brewhouse!$AV$54:$AV$60,[6]Brewhouse!$AV$62:$AV$69)</f>
        <v>97.502526073441345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29"/>
      <c r="C29" s="362"/>
      <c r="D29" s="535"/>
      <c r="E29" s="536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29"/>
      <c r="C30" s="362"/>
      <c r="D30" s="537"/>
      <c r="E30" s="534"/>
      <c r="F30" s="417"/>
      <c r="G30" s="294"/>
      <c r="H30" s="348"/>
      <c r="I30" s="36" t="s">
        <v>15</v>
      </c>
      <c r="J30" s="323"/>
      <c r="K30" s="284">
        <f>COUNTA([7]Brewhouse!$A$13:$A$16)</f>
        <v>4</v>
      </c>
      <c r="L30" s="302">
        <f>AVERAGE([7]Brewhouse!$AT$13:$AT$16)</f>
        <v>88.962677106311475</v>
      </c>
      <c r="M30" s="302">
        <f>AVERAGE([7]Brewhouse!$AT$4:$AT$11,[7]Brewhouse!$AT$13:$AT$16)</f>
        <v>91.538375374138752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9"/>
      <c r="C31" s="362"/>
      <c r="D31" s="535"/>
      <c r="E31" s="536"/>
      <c r="F31" s="417"/>
      <c r="G31" s="294"/>
      <c r="H31" s="348"/>
      <c r="I31" s="37" t="s">
        <v>16</v>
      </c>
      <c r="J31" s="323"/>
      <c r="K31" s="284">
        <f>COUNTA([8]Brewhouse!$A$53:$A$64)</f>
        <v>12</v>
      </c>
      <c r="L31" s="302">
        <f>AVERAGE([8]Brewhouse!$AY$53:$AY$64)</f>
        <v>97.782550056061538</v>
      </c>
      <c r="M31" s="302">
        <f>AVERAGE([8]Brewhouse!$AY$5:$AY$14,[8]Brewhouse!$AY$16:$AY$23,[8]Brewhouse!$AY$42,[8]Brewhouse!$AY$44:$AY$51,[8]Brewhouse!$AY$53:$AY$64)</f>
        <v>97.662004346633353</v>
      </c>
      <c r="N31" s="30">
        <v>98</v>
      </c>
      <c r="O31" s="11"/>
      <c r="P31" s="31" t="s">
        <v>41</v>
      </c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9"/>
      <c r="C32" s="362"/>
      <c r="D32" s="537"/>
      <c r="E32" s="534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9"/>
      <c r="C33" s="349"/>
      <c r="D33" s="535"/>
      <c r="E33" s="536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29"/>
      <c r="C34" s="349"/>
      <c r="D34" s="537"/>
      <c r="E34" s="534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29"/>
      <c r="C35" s="349"/>
      <c r="D35" s="531"/>
      <c r="E35" s="532"/>
      <c r="F35" s="294"/>
      <c r="G35" s="294"/>
      <c r="H35" s="348"/>
      <c r="I35" s="1"/>
      <c r="J35" s="39"/>
      <c r="K35" s="404">
        <f>SUM(K25:K34)</f>
        <v>128</v>
      </c>
      <c r="L35" s="405">
        <f>((L25*K25)+(L26*K26)+(L27*K27)+(L28*K28)+(L29*K29)+(K32*L32)+(L30*K30)+(L31*K31)+(L34*K34))/(K35)</f>
        <v>97.796542845425648</v>
      </c>
      <c r="M35" s="405">
        <f>AVERAGE('[9]Jan30th-31st'!$L$42,L35)</f>
        <v>97.812292290633565</v>
      </c>
      <c r="N35" s="4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30"/>
      <c r="C36" s="350"/>
      <c r="D36" s="533"/>
      <c r="E36" s="534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28"/>
      <c r="C37" s="362"/>
      <c r="D37" s="539"/>
      <c r="E37" s="540"/>
      <c r="F37" s="294"/>
      <c r="G37" s="42"/>
      <c r="H37" s="41"/>
      <c r="I37" s="42"/>
      <c r="J37" s="541" t="s">
        <v>129</v>
      </c>
      <c r="K37" s="541"/>
      <c r="L37" s="294"/>
      <c r="M37" s="294"/>
      <c r="N37" s="294"/>
      <c r="O37" s="294"/>
      <c r="P37" s="12"/>
    </row>
    <row r="38" spans="1:56" ht="15.75" thickBot="1">
      <c r="B38" s="529"/>
      <c r="C38" s="362"/>
      <c r="D38" s="537"/>
      <c r="E38" s="534"/>
      <c r="F38" s="294"/>
      <c r="G38" s="42"/>
      <c r="H38" s="42"/>
      <c r="I38" s="42"/>
      <c r="J38" s="292" t="s">
        <v>17</v>
      </c>
      <c r="K38" s="293" t="s">
        <v>172</v>
      </c>
      <c r="L38" s="542" t="s">
        <v>136</v>
      </c>
      <c r="M38" s="542"/>
      <c r="N38" s="543"/>
      <c r="O38" s="294"/>
      <c r="P38" s="12"/>
    </row>
    <row r="39" spans="1:56" ht="15" customHeight="1" thickBot="1">
      <c r="B39" s="529"/>
      <c r="C39" s="349"/>
      <c r="D39" s="535"/>
      <c r="E39" s="536"/>
      <c r="F39" s="294"/>
      <c r="G39" s="42"/>
      <c r="H39" s="42"/>
      <c r="I39" s="42"/>
      <c r="J39" s="287" t="s">
        <v>6</v>
      </c>
      <c r="K39" s="324"/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9"/>
      <c r="C40" s="349"/>
      <c r="D40" s="537"/>
      <c r="E40" s="534"/>
      <c r="F40" s="294"/>
      <c r="G40" s="42"/>
      <c r="H40" s="42"/>
      <c r="I40" s="42"/>
      <c r="J40" s="345" t="s">
        <v>9</v>
      </c>
      <c r="K40" s="324">
        <v>5</v>
      </c>
      <c r="L40" s="344">
        <f>AVERAGE('May 2nd-23rd'!J53,'May 2nd-23rd'!K53,'May 4th'!K51,'May 5th'!K47,'May 6th'!K54,'May 7th'!K48,'May 29th '!K49,'May 8th -9th'!K55,'May 8th -9th'!J55,'May 11th'!K51,'May 12th '!K46,'May 12th '!K46,'May 13th'!K45,'May 14th'!K42,'May 15th-16th'!K44,'May 19th '!K47,'May 20th'!K48,'May 21st'!K49,'May 22nd -23rd'!K48,'May 26th'!K49,'May 27th'!K50,'May 28th'!K50)</f>
        <v>5.5909090909090908</v>
      </c>
      <c r="M40" s="325">
        <f>AVERAGE('[9]Jan30th-31st'!$L$47,L40,'[10]Feb 26th '!$L$39,'[11]Mar 31st'!$L$47,'[12]Apr 30th'!$L$46)</f>
        <v>6.3255731225296445</v>
      </c>
      <c r="N40" s="416">
        <v>9.1999999999999993</v>
      </c>
      <c r="O40" s="294"/>
      <c r="P40" s="12"/>
    </row>
    <row r="41" spans="1:56" ht="15" customHeight="1">
      <c r="B41" s="529"/>
      <c r="C41" s="349"/>
      <c r="D41" s="535"/>
      <c r="E41" s="536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9"/>
      <c r="C42" s="349"/>
      <c r="D42" s="537"/>
      <c r="E42" s="534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9"/>
      <c r="C43" s="349"/>
      <c r="D43" s="535"/>
      <c r="E43" s="536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37"/>
      <c r="E44" s="534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9"/>
      <c r="C45" s="349"/>
      <c r="D45" s="535"/>
      <c r="E45" s="536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38"/>
      <c r="C46" s="350"/>
      <c r="D46" s="544"/>
      <c r="E46" s="545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46"/>
      <c r="E47" s="547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5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48" t="s">
        <v>17</v>
      </c>
      <c r="C52" s="548" t="s">
        <v>44</v>
      </c>
      <c r="D52" s="551" t="s">
        <v>45</v>
      </c>
      <c r="E52" s="516" t="s">
        <v>46</v>
      </c>
      <c r="F52" s="565" t="s">
        <v>47</v>
      </c>
      <c r="G52" s="560" t="s">
        <v>48</v>
      </c>
      <c r="H52" s="548" t="s">
        <v>49</v>
      </c>
      <c r="I52" s="548" t="s">
        <v>50</v>
      </c>
      <c r="J52" s="554" t="s">
        <v>28</v>
      </c>
      <c r="K52" s="514" t="s">
        <v>51</v>
      </c>
      <c r="L52" s="563" t="s">
        <v>52</v>
      </c>
      <c r="M52" s="554" t="s">
        <v>53</v>
      </c>
      <c r="N52" s="13"/>
      <c r="O52" s="13"/>
      <c r="P52" s="50"/>
    </row>
    <row r="53" spans="2:57" ht="28.5" customHeight="1" thickTop="1" thickBot="1">
      <c r="B53" s="549"/>
      <c r="C53" s="550"/>
      <c r="D53" s="552"/>
      <c r="E53" s="553"/>
      <c r="F53" s="566"/>
      <c r="G53" s="561"/>
      <c r="H53" s="549"/>
      <c r="I53" s="549"/>
      <c r="J53" s="555"/>
      <c r="K53" s="562"/>
      <c r="L53" s="564"/>
      <c r="M53" s="555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customHeight="1" thickBot="1">
      <c r="B54" s="489"/>
      <c r="C54" s="479"/>
      <c r="D54" s="445"/>
      <c r="E54" s="443"/>
      <c r="F54" s="444"/>
      <c r="G54" s="445"/>
      <c r="H54" s="458"/>
      <c r="I54" s="458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[13]January_2019!L5</f>
        <v>0</v>
      </c>
      <c r="AC54" s="57">
        <f>[13]January_2019!M5</f>
        <v>0</v>
      </c>
      <c r="AD54" s="57">
        <f>[13]January_2019!N5</f>
        <v>0</v>
      </c>
      <c r="AE54" s="57">
        <f>[13]January_2019!O5</f>
        <v>0</v>
      </c>
      <c r="AF54" s="57">
        <f>[13]January_2019!P5</f>
        <v>0</v>
      </c>
      <c r="AG54" s="57">
        <f>[13]January_2019!Q5</f>
        <v>0</v>
      </c>
      <c r="AH54" s="57">
        <f>[13]January_2019!R5</f>
        <v>0</v>
      </c>
      <c r="AI54" s="57">
        <f>[13]January_2019!S5</f>
        <v>0</v>
      </c>
      <c r="AJ54" s="57">
        <f>[13]January_2019!T5</f>
        <v>0</v>
      </c>
      <c r="AK54" s="57">
        <f>[13]January_2019!U5</f>
        <v>0</v>
      </c>
      <c r="AL54" s="57">
        <f>[13]January_2019!V5</f>
        <v>0</v>
      </c>
      <c r="AM54" s="57">
        <f>[13]January_2019!W5</f>
        <v>0</v>
      </c>
      <c r="AN54" s="57">
        <f>[13]January_2019!X5</f>
        <v>0</v>
      </c>
      <c r="AO54" s="57">
        <f>[13]January_2019!Y5</f>
        <v>0</v>
      </c>
      <c r="AP54" s="57">
        <f>[13]January_2019!Z5</f>
        <v>0</v>
      </c>
      <c r="AQ54" s="57">
        <f>[13]January_2019!AA5</f>
        <v>0</v>
      </c>
      <c r="AR54" s="57">
        <f>[13]January_2019!AB5</f>
        <v>0</v>
      </c>
      <c r="AS54" s="57">
        <f>[13]January_2019!AC5</f>
        <v>0</v>
      </c>
      <c r="AT54" s="57">
        <f>[13]January_2019!AD5</f>
        <v>0</v>
      </c>
      <c r="AU54" s="57">
        <f>[13]January_2019!AE5</f>
        <v>0</v>
      </c>
      <c r="AV54" s="57">
        <f>[13]January_2019!AF5</f>
        <v>0</v>
      </c>
      <c r="AW54" s="57">
        <f>[13]January_2019!AG5</f>
        <v>0</v>
      </c>
      <c r="AX54" s="277">
        <f>[13]January_2019!AH5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[13]January_2019!L6</f>
        <v>0</v>
      </c>
      <c r="AC55" s="57">
        <f>[13]January_2019!M6</f>
        <v>0</v>
      </c>
      <c r="AD55" s="57">
        <f>[13]January_2019!N6</f>
        <v>0</v>
      </c>
      <c r="AE55" s="57">
        <f>[13]January_2019!O6</f>
        <v>0</v>
      </c>
      <c r="AF55" s="57">
        <f>[13]January_2019!P6</f>
        <v>0</v>
      </c>
      <c r="AG55" s="57">
        <f>[13]January_2019!Q6</f>
        <v>0</v>
      </c>
      <c r="AH55" s="57">
        <f>[13]January_2019!R6</f>
        <v>0</v>
      </c>
      <c r="AI55" s="57">
        <f>[13]January_2019!S6</f>
        <v>0</v>
      </c>
      <c r="AJ55" s="57">
        <f>[13]January_2019!T6</f>
        <v>0</v>
      </c>
      <c r="AK55" s="57">
        <f>[13]January_2019!U6</f>
        <v>0</v>
      </c>
      <c r="AL55" s="57">
        <f>[13]January_2019!V6</f>
        <v>0</v>
      </c>
      <c r="AM55" s="57">
        <f>[13]January_2019!W6</f>
        <v>0</v>
      </c>
      <c r="AN55" s="57">
        <f>[13]January_2019!X6</f>
        <v>0</v>
      </c>
      <c r="AO55" s="57">
        <f>[13]January_2019!Y6</f>
        <v>0</v>
      </c>
      <c r="AP55" s="57">
        <f>[13]January_2019!Z6</f>
        <v>0</v>
      </c>
      <c r="AQ55" s="57">
        <f>[13]January_2019!AA6</f>
        <v>0</v>
      </c>
      <c r="AR55" s="57">
        <f>[13]January_2019!AB6</f>
        <v>0</v>
      </c>
      <c r="AS55" s="57">
        <f>[13]January_2019!AC6</f>
        <v>0</v>
      </c>
      <c r="AT55" s="57">
        <f>[13]January_2019!AD6</f>
        <v>0</v>
      </c>
      <c r="AU55" s="57">
        <f>[13]January_2019!AE6</f>
        <v>0</v>
      </c>
      <c r="AV55" s="57">
        <f>[13]January_2019!AF6</f>
        <v>0</v>
      </c>
      <c r="AW55" s="57">
        <f>[13]January_2019!AG6</f>
        <v>0</v>
      </c>
      <c r="AX55" s="277">
        <f>[13]January_2019!AH6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[13]January_2019!L7</f>
        <v>285.8</v>
      </c>
      <c r="AC56" s="57">
        <f>[13]January_2019!M7</f>
        <v>508.1</v>
      </c>
      <c r="AD56" s="57">
        <f>[13]January_2019!N7</f>
        <v>0</v>
      </c>
      <c r="AE56" s="57">
        <f>[13]January_2019!O7</f>
        <v>0</v>
      </c>
      <c r="AF56" s="57">
        <f>[13]January_2019!P7</f>
        <v>109.56666666666666</v>
      </c>
      <c r="AG56" s="57">
        <f>[13]January_2019!Q7</f>
        <v>297.64999999999998</v>
      </c>
      <c r="AH56" s="57">
        <f>[13]January_2019!R7</f>
        <v>122.3</v>
      </c>
      <c r="AI56" s="57">
        <f>[13]January_2019!S7</f>
        <v>0</v>
      </c>
      <c r="AJ56" s="57">
        <f>[13]January_2019!T7</f>
        <v>294.7</v>
      </c>
      <c r="AK56" s="57">
        <f>[13]January_2019!U7</f>
        <v>280.5</v>
      </c>
      <c r="AL56" s="57">
        <f>[13]January_2019!V7</f>
        <v>0</v>
      </c>
      <c r="AM56" s="57">
        <f>[13]January_2019!W7</f>
        <v>0</v>
      </c>
      <c r="AN56" s="57">
        <f>[13]January_2019!X7</f>
        <v>188.25</v>
      </c>
      <c r="AO56" s="57">
        <f>[13]January_2019!Y7</f>
        <v>295.7</v>
      </c>
      <c r="AP56" s="57">
        <f>[13]January_2019!Z7</f>
        <v>257.8</v>
      </c>
      <c r="AQ56" s="57">
        <f>[13]January_2019!AA7</f>
        <v>291.2</v>
      </c>
      <c r="AR56" s="57">
        <f>[13]January_2019!AB7</f>
        <v>187</v>
      </c>
      <c r="AS56" s="57">
        <f>[13]January_2019!AC7</f>
        <v>0</v>
      </c>
      <c r="AT56" s="57">
        <f>[13]January_2019!AD7</f>
        <v>0</v>
      </c>
      <c r="AU56" s="57">
        <f>[13]January_2019!AE7</f>
        <v>485.1</v>
      </c>
      <c r="AV56" s="57">
        <f>[13]January_2019!AF7</f>
        <v>171.55</v>
      </c>
      <c r="AW56" s="57">
        <f>[13]January_2019!AG7</f>
        <v>423.8</v>
      </c>
      <c r="AX56" s="277">
        <f>[13]January_2019!AH7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9.5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hidden="1" customHeight="1" thickBot="1">
      <c r="B58" s="480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89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56" t="s">
        <v>55</v>
      </c>
      <c r="C65" s="557"/>
      <c r="D65" s="557"/>
      <c r="E65" s="557"/>
      <c r="F65" s="558"/>
      <c r="G65" s="556" t="s">
        <v>56</v>
      </c>
      <c r="H65" s="557"/>
      <c r="I65" s="557"/>
      <c r="J65" s="558"/>
      <c r="K65" s="556" t="s">
        <v>51</v>
      </c>
      <c r="L65" s="557"/>
      <c r="M65" s="557"/>
      <c r="N65" s="559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/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/>
      <c r="D67" s="76">
        <v>6.2226381404154338</v>
      </c>
      <c r="E67" s="76">
        <v>6.5623673132836648</v>
      </c>
      <c r="F67" s="66">
        <v>4.8</v>
      </c>
      <c r="G67" s="65"/>
      <c r="H67" s="477">
        <v>5.6900897598675142</v>
      </c>
      <c r="I67" s="477">
        <v>6.2688670205621344</v>
      </c>
      <c r="J67" s="66">
        <v>4.8</v>
      </c>
      <c r="K67" s="67"/>
      <c r="L67" s="194">
        <v>0.62966165413533837</v>
      </c>
      <c r="M67" s="194">
        <v>0.51130548427310263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4.8528333911969801</v>
      </c>
      <c r="E68" s="76">
        <v>5.8230180888372871</v>
      </c>
      <c r="F68" s="66">
        <v>4.8</v>
      </c>
      <c r="G68" s="65"/>
      <c r="H68" s="76">
        <v>4.9494635940844729</v>
      </c>
      <c r="I68" s="76">
        <v>5.4655642193228315</v>
      </c>
      <c r="J68" s="66">
        <v>4.8</v>
      </c>
      <c r="K68" s="67"/>
      <c r="L68" s="194">
        <v>0.59716791979949879</v>
      </c>
      <c r="M68" s="194">
        <v>0.68713504693777017</v>
      </c>
      <c r="N68" s="68">
        <v>1</v>
      </c>
      <c r="P68" s="69"/>
    </row>
    <row r="69" spans="2:16" ht="15">
      <c r="B69" s="34" t="s">
        <v>40</v>
      </c>
      <c r="C69" s="65"/>
      <c r="D69" s="76">
        <v>9.5676691729323267</v>
      </c>
      <c r="E69" s="76">
        <v>11.435860710768946</v>
      </c>
      <c r="F69" s="66">
        <v>5.5</v>
      </c>
      <c r="G69" s="65"/>
      <c r="H69" s="76">
        <v>10.718568260092542</v>
      </c>
      <c r="I69" s="76">
        <v>12.618851801260744</v>
      </c>
      <c r="J69" s="66">
        <v>5.5</v>
      </c>
      <c r="K69" s="67"/>
      <c r="L69" s="194">
        <v>0.23956140350877195</v>
      </c>
      <c r="M69" s="194">
        <v>0.26444407894736843</v>
      </c>
      <c r="N69" s="68">
        <v>1</v>
      </c>
      <c r="P69" s="69"/>
    </row>
    <row r="70" spans="2:16" ht="15">
      <c r="B70" s="22" t="s">
        <v>33</v>
      </c>
      <c r="C70" s="65"/>
      <c r="D70" s="76">
        <v>4.9306092006073188</v>
      </c>
      <c r="E70" s="76">
        <v>4.7166249493099075</v>
      </c>
      <c r="F70" s="66">
        <v>3.3</v>
      </c>
      <c r="G70" s="65"/>
      <c r="H70" s="76">
        <v>5.5037640962151348</v>
      </c>
      <c r="I70" s="76">
        <v>4.7393662692065543</v>
      </c>
      <c r="J70" s="66">
        <v>3.3</v>
      </c>
      <c r="K70" s="67"/>
      <c r="L70" s="194">
        <v>0.61175438596491227</v>
      </c>
      <c r="M70" s="194">
        <v>0.73604010025062649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76"/>
      <c r="D72" s="76">
        <v>5.2401746724890881</v>
      </c>
      <c r="E72" s="76">
        <v>5.1541347251672045</v>
      </c>
      <c r="F72" s="487">
        <v>5.5</v>
      </c>
      <c r="G72" s="282"/>
      <c r="H72" s="76">
        <v>6.6922456038466889</v>
      </c>
      <c r="I72" s="76">
        <v>7.4989046872874194</v>
      </c>
      <c r="J72" s="66">
        <v>5.5</v>
      </c>
      <c r="K72" s="67"/>
      <c r="L72" s="194">
        <v>0.68526315789473691</v>
      </c>
      <c r="M72" s="194">
        <v>1.0201754385964912</v>
      </c>
      <c r="N72" s="68">
        <v>1</v>
      </c>
      <c r="P72" s="69"/>
    </row>
    <row r="73" spans="2:16" ht="15">
      <c r="B73" s="37" t="s">
        <v>16</v>
      </c>
      <c r="C73" s="503"/>
      <c r="D73" s="76">
        <v>3.697571743929374</v>
      </c>
      <c r="E73" s="76">
        <v>3.7333963207914191</v>
      </c>
      <c r="F73" s="66">
        <v>3.3</v>
      </c>
      <c r="G73" s="282"/>
      <c r="H73" s="76">
        <v>4.9058595326967183</v>
      </c>
      <c r="I73" s="76">
        <v>4.8412394790618878</v>
      </c>
      <c r="J73" s="66">
        <v>3.3</v>
      </c>
      <c r="K73" s="67"/>
      <c r="L73" s="194">
        <v>0.69175438596491223</v>
      </c>
      <c r="M73" s="194">
        <v>0.84386695906432752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5.7933498655857569</v>
      </c>
      <c r="E76" s="76">
        <v>6.3115024469710663</v>
      </c>
      <c r="F76" s="341">
        <v>5.5</v>
      </c>
      <c r="H76" s="76">
        <v>5.878354251736571</v>
      </c>
      <c r="I76" s="76">
        <v>6.3654183077136706</v>
      </c>
      <c r="J76" s="341">
        <v>5.5</v>
      </c>
      <c r="L76" s="194">
        <v>0.59926194797338184</v>
      </c>
      <c r="M76" s="194">
        <v>0.57830160611739556</v>
      </c>
      <c r="N76" s="386">
        <v>1</v>
      </c>
    </row>
  </sheetData>
  <mergeCells count="51"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183" priority="98" operator="notBetween">
      <formula>#REF!</formula>
      <formula>#REF!</formula>
    </cfRule>
  </conditionalFormatting>
  <conditionalFormatting sqref="C51">
    <cfRule type="cellIs" dxfId="182" priority="188" stopIfTrue="1" operator="greaterThan">
      <formula>100</formula>
    </cfRule>
    <cfRule type="cellIs" dxfId="181" priority="187" stopIfTrue="1" operator="lessThan">
      <formula>96</formula>
    </cfRule>
  </conditionalFormatting>
  <conditionalFormatting sqref="C67:C68">
    <cfRule type="cellIs" dxfId="180" priority="34" stopIfTrue="1" operator="greaterThan">
      <formula>$F67</formula>
    </cfRule>
    <cfRule type="cellIs" dxfId="179" priority="35" stopIfTrue="1" operator="lessThanOrEqual">
      <formula>0</formula>
    </cfRule>
    <cfRule type="cellIs" dxfId="178" priority="36" stopIfTrue="1" operator="greaterThan">
      <formula>$F67</formula>
    </cfRule>
    <cfRule type="cellIs" dxfId="177" priority="37" stopIfTrue="1" operator="lessThanOrEqual">
      <formula>0</formula>
    </cfRule>
  </conditionalFormatting>
  <conditionalFormatting sqref="C69:C71 C73:C75">
    <cfRule type="cellIs" dxfId="176" priority="68" stopIfTrue="1" operator="greaterThan">
      <formula>$F72</formula>
    </cfRule>
  </conditionalFormatting>
  <conditionalFormatting sqref="C69:C71">
    <cfRule type="cellIs" dxfId="175" priority="69" stopIfTrue="1" operator="lessThanOrEqual">
      <formula>0</formula>
    </cfRule>
  </conditionalFormatting>
  <conditionalFormatting sqref="C73:C75">
    <cfRule type="cellIs" dxfId="174" priority="70" stopIfTrue="1" operator="lessThanOrEqual">
      <formula>0</formula>
    </cfRule>
  </conditionalFormatting>
  <conditionalFormatting sqref="C78:C82">
    <cfRule type="cellIs" dxfId="173" priority="179" stopIfTrue="1" operator="lessThanOrEqual">
      <formula>0</formula>
    </cfRule>
  </conditionalFormatting>
  <conditionalFormatting sqref="C79:C82">
    <cfRule type="cellIs" dxfId="172" priority="178" stopIfTrue="1" operator="greaterThan">
      <formula>$F$78</formula>
    </cfRule>
  </conditionalFormatting>
  <conditionalFormatting sqref="C84">
    <cfRule type="cellIs" dxfId="171" priority="181" stopIfTrue="1" operator="lessThanOrEqual">
      <formula>0</formula>
    </cfRule>
    <cfRule type="cellIs" dxfId="170" priority="180" stopIfTrue="1" operator="greaterThan">
      <formula>$F$78</formula>
    </cfRule>
  </conditionalFormatting>
  <conditionalFormatting sqref="C72:D72">
    <cfRule type="cellIs" dxfId="169" priority="33" stopIfTrue="1" operator="lessThanOrEqual">
      <formula>0</formula>
    </cfRule>
    <cfRule type="cellIs" dxfId="168" priority="32" stopIfTrue="1" operator="greaterThan">
      <formula>$J72</formula>
    </cfRule>
  </conditionalFormatting>
  <conditionalFormatting sqref="C78:D78 D80:D86">
    <cfRule type="cellIs" dxfId="167" priority="173" stopIfTrue="1" operator="greaterThan">
      <formula>4.5</formula>
    </cfRule>
  </conditionalFormatting>
  <conditionalFormatting sqref="D47:D48">
    <cfRule type="cellIs" dxfId="166" priority="99" operator="notBetween">
      <formula>#REF!</formula>
      <formula>#REF!</formula>
    </cfRule>
  </conditionalFormatting>
  <conditionalFormatting sqref="D67:D71 D73:D74">
    <cfRule type="cellIs" dxfId="165" priority="63" stopIfTrue="1" operator="lessThanOrEqual">
      <formula>0</formula>
    </cfRule>
  </conditionalFormatting>
  <conditionalFormatting sqref="D67:D71 D73:D76">
    <cfRule type="cellIs" dxfId="164" priority="47" stopIfTrue="1" operator="lessThanOrEqual">
      <formula>0</formula>
    </cfRule>
  </conditionalFormatting>
  <conditionalFormatting sqref="D75">
    <cfRule type="cellIs" dxfId="163" priority="62" stopIfTrue="1" operator="lessThanOrEqual">
      <formula>0</formula>
    </cfRule>
  </conditionalFormatting>
  <conditionalFormatting sqref="D76">
    <cfRule type="cellIs" dxfId="162" priority="59" stopIfTrue="1" operator="lessThanOrEqual">
      <formula>0</formula>
    </cfRule>
  </conditionalFormatting>
  <conditionalFormatting sqref="D78 D80:D86">
    <cfRule type="cellIs" dxfId="161" priority="174" stopIfTrue="1" operator="lessThanOrEqual">
      <formula>0</formula>
    </cfRule>
  </conditionalFormatting>
  <conditionalFormatting sqref="D79">
    <cfRule type="cellIs" dxfId="160" priority="165" stopIfTrue="1" operator="greaterThan">
      <formula>$F$78</formula>
    </cfRule>
    <cfRule type="cellIs" dxfId="159" priority="166" stopIfTrue="1" operator="lessThanOrEqual">
      <formula>0</formula>
    </cfRule>
  </conditionalFormatting>
  <conditionalFormatting sqref="D67:E71 E72 D73:E76">
    <cfRule type="cellIs" dxfId="158" priority="49" stopIfTrue="1" operator="greaterThan">
      <formula>$F67</formula>
    </cfRule>
  </conditionalFormatting>
  <conditionalFormatting sqref="D76:E76">
    <cfRule type="cellIs" dxfId="157" priority="51" stopIfTrue="1" operator="lessThanOrEqual">
      <formula>0</formula>
    </cfRule>
  </conditionalFormatting>
  <conditionalFormatting sqref="E10:E22">
    <cfRule type="cellIs" dxfId="156" priority="11" operator="lessThan">
      <formula>48</formula>
    </cfRule>
  </conditionalFormatting>
  <conditionalFormatting sqref="E50 E51:F51">
    <cfRule type="cellIs" dxfId="155" priority="170" stopIfTrue="1" operator="greaterThan">
      <formula>100</formula>
    </cfRule>
  </conditionalFormatting>
  <conditionalFormatting sqref="E51">
    <cfRule type="cellIs" dxfId="154" priority="167" stopIfTrue="1" operator="lessThan">
      <formula>96.8</formula>
    </cfRule>
    <cfRule type="cellIs" dxfId="153" priority="168" stopIfTrue="1" operator="greaterThan">
      <formula>100</formula>
    </cfRule>
  </conditionalFormatting>
  <conditionalFormatting sqref="E67:E75">
    <cfRule type="cellIs" dxfId="152" priority="48" stopIfTrue="1" operator="lessThanOrEqual">
      <formula>0</formula>
    </cfRule>
  </conditionalFormatting>
  <conditionalFormatting sqref="E67:E76">
    <cfRule type="cellIs" dxfId="151" priority="50" stopIfTrue="1" operator="lessThanOrEqual">
      <formula>0</formula>
    </cfRule>
  </conditionalFormatting>
  <conditionalFormatting sqref="E78:E86">
    <cfRule type="cellIs" dxfId="150" priority="160" stopIfTrue="1" operator="lessThanOrEqual">
      <formula>0</formula>
    </cfRule>
    <cfRule type="cellIs" dxfId="149" priority="159" stopIfTrue="1" operator="greaterThan">
      <formula>4.5</formula>
    </cfRule>
  </conditionalFormatting>
  <conditionalFormatting sqref="E51:F51 E50">
    <cfRule type="cellIs" dxfId="148" priority="169" stopIfTrue="1" operator="lessThan">
      <formula>96.5</formula>
    </cfRule>
  </conditionalFormatting>
  <conditionalFormatting sqref="F18:F19 F21:F22">
    <cfRule type="cellIs" dxfId="147" priority="38" operator="greaterThan">
      <formula>60</formula>
    </cfRule>
  </conditionalFormatting>
  <conditionalFormatting sqref="F51">
    <cfRule type="cellIs" dxfId="146" priority="186" stopIfTrue="1" operator="greaterThan">
      <formula>100</formula>
    </cfRule>
    <cfRule type="cellIs" dxfId="145" priority="185" stopIfTrue="1" operator="lessThan">
      <formula>96.8</formula>
    </cfRule>
  </conditionalFormatting>
  <conditionalFormatting sqref="F76">
    <cfRule type="cellIs" dxfId="144" priority="60" stopIfTrue="1" operator="greaterThan">
      <formula>$F76</formula>
    </cfRule>
    <cfRule type="cellIs" dxfId="143" priority="61" stopIfTrue="1" operator="lessThanOrEqual">
      <formula>0</formula>
    </cfRule>
  </conditionalFormatting>
  <conditionalFormatting sqref="G10:G17">
    <cfRule type="expression" dxfId="142" priority="12">
      <formula>IF(+(IF(G10&lt;S10,0,IF(G10&gt;T10,0,1)))=0,1)</formula>
    </cfRule>
  </conditionalFormatting>
  <conditionalFormatting sqref="G20:G22">
    <cfRule type="expression" dxfId="141" priority="29">
      <formula>IF(+(IF(G20&lt;S20,0,IF(G20&gt;T20,0,1)))=0,1)</formula>
    </cfRule>
  </conditionalFormatting>
  <conditionalFormatting sqref="G67:G68">
    <cfRule type="cellIs" dxfId="140" priority="65" stopIfTrue="1" operator="lessThanOrEqual">
      <formula>0</formula>
    </cfRule>
    <cfRule type="cellIs" dxfId="139" priority="64" stopIfTrue="1" operator="greaterThan">
      <formula>$F67</formula>
    </cfRule>
  </conditionalFormatting>
  <conditionalFormatting sqref="G67:G70">
    <cfRule type="cellIs" dxfId="138" priority="43" stopIfTrue="1" operator="lessThanOrEqual">
      <formula>0</formula>
    </cfRule>
    <cfRule type="cellIs" dxfId="137" priority="42" stopIfTrue="1" operator="greaterThan">
      <formula>$F67</formula>
    </cfRule>
  </conditionalFormatting>
  <conditionalFormatting sqref="G69">
    <cfRule type="cellIs" dxfId="136" priority="41" stopIfTrue="1" operator="lessThanOrEqual">
      <formula>0</formula>
    </cfRule>
    <cfRule type="cellIs" dxfId="135" priority="40" stopIfTrue="1" operator="greaterThan">
      <formula>$F69</formula>
    </cfRule>
  </conditionalFormatting>
  <conditionalFormatting sqref="G70">
    <cfRule type="cellIs" dxfId="134" priority="55" stopIfTrue="1" operator="greaterThan">
      <formula>$F70</formula>
    </cfRule>
    <cfRule type="cellIs" dxfId="133" priority="56" stopIfTrue="1" operator="lessThanOrEqual">
      <formula>0</formula>
    </cfRule>
  </conditionalFormatting>
  <conditionalFormatting sqref="G71:G75">
    <cfRule type="cellIs" dxfId="132" priority="66" stopIfTrue="1" operator="greaterThan">
      <formula>$J71</formula>
    </cfRule>
    <cfRule type="cellIs" dxfId="131" priority="67" stopIfTrue="1" operator="lessThanOrEqual">
      <formula>0</formula>
    </cfRule>
  </conditionalFormatting>
  <conditionalFormatting sqref="G80:G85 C83 C85">
    <cfRule type="cellIs" dxfId="130" priority="182" stopIfTrue="1" operator="greaterThan">
      <formula>4.5</formula>
    </cfRule>
    <cfRule type="cellIs" dxfId="129" priority="183" stopIfTrue="1" operator="lessThanOrEqual">
      <formula>0</formula>
    </cfRule>
  </conditionalFormatting>
  <conditionalFormatting sqref="G79:H79">
    <cfRule type="cellIs" dxfId="128" priority="164" stopIfTrue="1" operator="lessThanOrEqual">
      <formula>0</formula>
    </cfRule>
    <cfRule type="cellIs" dxfId="127" priority="163" stopIfTrue="1" operator="greaterThan">
      <formula>$F$78</formula>
    </cfRule>
  </conditionalFormatting>
  <conditionalFormatting sqref="H10:H17 M10:N22 G18:H19 H20:H22">
    <cfRule type="expression" dxfId="126" priority="30">
      <formula>IF(+(IF(G10&lt;#REF!,0,IF(G10&gt;#REF!,0,1)))=0,1)</formula>
    </cfRule>
  </conditionalFormatting>
  <conditionalFormatting sqref="H36:H37 H50">
    <cfRule type="cellIs" dxfId="125" priority="161" stopIfTrue="1" operator="greaterThan">
      <formula>0</formula>
    </cfRule>
  </conditionalFormatting>
  <conditionalFormatting sqref="H54">
    <cfRule type="cellIs" dxfId="124" priority="24" stopIfTrue="1" operator="greaterThan">
      <formula>$F$70</formula>
    </cfRule>
    <cfRule type="cellIs" dxfId="123" priority="16" stopIfTrue="1" operator="greaterThan">
      <formula>$F$67</formula>
    </cfRule>
    <cfRule type="cellIs" dxfId="122" priority="15" stopIfTrue="1" operator="lessThanOrEqual">
      <formula>0</formula>
    </cfRule>
    <cfRule type="cellIs" dxfId="121" priority="25" stopIfTrue="1" operator="lessThanOrEqual">
      <formula>0</formula>
    </cfRule>
    <cfRule type="cellIs" dxfId="120" priority="26" stopIfTrue="1" operator="greaterThan">
      <formula>$F$68</formula>
    </cfRule>
  </conditionalFormatting>
  <conditionalFormatting sqref="H54:H56">
    <cfRule type="cellIs" dxfId="119" priority="27" stopIfTrue="1" operator="lessThanOrEqual">
      <formula>0</formula>
    </cfRule>
  </conditionalFormatting>
  <conditionalFormatting sqref="H55:H56">
    <cfRule type="cellIs" dxfId="118" priority="80" stopIfTrue="1" operator="lessThanOrEqual">
      <formula>0</formula>
    </cfRule>
    <cfRule type="cellIs" dxfId="117" priority="79" stopIfTrue="1" operator="greaterThan">
      <formula>$F$70</formula>
    </cfRule>
    <cfRule type="cellIs" dxfId="116" priority="71" stopIfTrue="1" operator="greaterThan">
      <formula>$F$67</formula>
    </cfRule>
    <cfRule type="cellIs" dxfId="115" priority="81" stopIfTrue="1" operator="greaterThan">
      <formula>$F$68</formula>
    </cfRule>
  </conditionalFormatting>
  <conditionalFormatting sqref="H55:H58">
    <cfRule type="cellIs" dxfId="114" priority="82" stopIfTrue="1" operator="lessThanOrEqual">
      <formula>0</formula>
    </cfRule>
  </conditionalFormatting>
  <conditionalFormatting sqref="H57:H58">
    <cfRule type="cellIs" dxfId="113" priority="93" stopIfTrue="1" operator="greaterThan">
      <formula>$F$70</formula>
    </cfRule>
    <cfRule type="cellIs" dxfId="112" priority="94" stopIfTrue="1" operator="lessThanOrEqual">
      <formula>0</formula>
    </cfRule>
    <cfRule type="cellIs" dxfId="111" priority="96" stopIfTrue="1" operator="lessThanOrEqual">
      <formula>0</formula>
    </cfRule>
    <cfRule type="cellIs" dxfId="110" priority="95" stopIfTrue="1" operator="greaterThan">
      <formula>$F$68</formula>
    </cfRule>
    <cfRule type="cellIs" dxfId="109" priority="85" stopIfTrue="1" operator="greaterThan">
      <formula>$F$67</formula>
    </cfRule>
  </conditionalFormatting>
  <conditionalFormatting sqref="H59:H60">
    <cfRule type="cellIs" dxfId="108" priority="132" stopIfTrue="1" operator="greaterThan">
      <formula>$F$22</formula>
    </cfRule>
    <cfRule type="cellIs" dxfId="107" priority="124" stopIfTrue="1" operator="greaterThan">
      <formula>#REF!</formula>
    </cfRule>
    <cfRule type="cellIs" dxfId="106" priority="123" stopIfTrue="1" operator="lessThanOrEqual">
      <formula>0</formula>
    </cfRule>
    <cfRule type="cellIs" dxfId="105" priority="135" stopIfTrue="1" operator="lessThanOrEqual">
      <formula>0</formula>
    </cfRule>
    <cfRule type="cellIs" dxfId="104" priority="134" stopIfTrue="1" operator="greaterThan">
      <formula>#REF!</formula>
    </cfRule>
    <cfRule type="cellIs" dxfId="103" priority="133" stopIfTrue="1" operator="lessThanOrEqual">
      <formula>0</formula>
    </cfRule>
  </conditionalFormatting>
  <conditionalFormatting sqref="H61">
    <cfRule type="cellIs" dxfId="102" priority="138" stopIfTrue="1" operator="greaterThan">
      <formula>$F$35</formula>
    </cfRule>
    <cfRule type="cellIs" dxfId="101" priority="146" stopIfTrue="1" operator="greaterThan">
      <formula>$F$38</formula>
    </cfRule>
    <cfRule type="cellIs" dxfId="100" priority="147" stopIfTrue="1" operator="lessThanOrEqual">
      <formula>0</formula>
    </cfRule>
    <cfRule type="cellIs" dxfId="99" priority="148" stopIfTrue="1" operator="greaterThan">
      <formula>$F$36</formula>
    </cfRule>
    <cfRule type="cellIs" dxfId="98" priority="149" stopIfTrue="1" operator="lessThanOrEqual">
      <formula>0</formula>
    </cfRule>
    <cfRule type="cellIs" dxfId="97" priority="137" stopIfTrue="1" operator="lessThanOrEqual">
      <formula>0</formula>
    </cfRule>
  </conditionalFormatting>
  <conditionalFormatting sqref="H62:H63">
    <cfRule type="cellIs" dxfId="96" priority="121" stopIfTrue="1" operator="lessThanOrEqual">
      <formula>0</formula>
    </cfRule>
    <cfRule type="cellIs" dxfId="95" priority="110" stopIfTrue="1" operator="greaterThan">
      <formula>#REF!</formula>
    </cfRule>
    <cfRule type="cellIs" dxfId="94" priority="109" stopIfTrue="1" operator="lessThanOrEqual">
      <formula>0</formula>
    </cfRule>
    <cfRule type="cellIs" dxfId="93" priority="120" stopIfTrue="1" operator="greaterThan">
      <formula>#REF!</formula>
    </cfRule>
    <cfRule type="cellIs" dxfId="92" priority="119" stopIfTrue="1" operator="lessThanOrEqual">
      <formula>0</formula>
    </cfRule>
    <cfRule type="cellIs" dxfId="91" priority="118" stopIfTrue="1" operator="greaterThan">
      <formula>$F$22</formula>
    </cfRule>
  </conditionalFormatting>
  <conditionalFormatting sqref="H78 H80:H86">
    <cfRule type="cellIs" dxfId="90" priority="176" stopIfTrue="1" operator="lessThanOrEqual">
      <formula>0</formula>
    </cfRule>
    <cfRule type="cellIs" dxfId="89" priority="175" stopIfTrue="1" operator="greaterThan">
      <formula>4.5</formula>
    </cfRule>
  </conditionalFormatting>
  <conditionalFormatting sqref="H54:I54">
    <cfRule type="cellIs" dxfId="88" priority="17" stopIfTrue="1" operator="lessThanOrEqual">
      <formula>0</formula>
    </cfRule>
  </conditionalFormatting>
  <conditionalFormatting sqref="H54:I58">
    <cfRule type="cellIs" dxfId="87" priority="14" stopIfTrue="1" operator="greaterThan">
      <formula>$F$69</formula>
    </cfRule>
  </conditionalFormatting>
  <conditionalFormatting sqref="H55:I56">
    <cfRule type="cellIs" dxfId="86" priority="72" stopIfTrue="1" operator="lessThanOrEqual">
      <formula>0</formula>
    </cfRule>
  </conditionalFormatting>
  <conditionalFormatting sqref="H57:I58">
    <cfRule type="cellIs" dxfId="85" priority="86" stopIfTrue="1" operator="lessThanOrEqual">
      <formula>0</formula>
    </cfRule>
  </conditionalFormatting>
  <conditionalFormatting sqref="H59:I60">
    <cfRule type="cellIs" dxfId="84" priority="122" stopIfTrue="1" operator="greaterThan">
      <formula>#REF!</formula>
    </cfRule>
    <cfRule type="cellIs" dxfId="83" priority="125" stopIfTrue="1" operator="lessThanOrEqual">
      <formula>0</formula>
    </cfRule>
  </conditionalFormatting>
  <conditionalFormatting sqref="H61:I61">
    <cfRule type="cellIs" dxfId="82" priority="136" stopIfTrue="1" operator="greaterThan">
      <formula>$F$37</formula>
    </cfRule>
    <cfRule type="cellIs" dxfId="81" priority="139" stopIfTrue="1" operator="lessThanOrEqual">
      <formula>0</formula>
    </cfRule>
  </conditionalFormatting>
  <conditionalFormatting sqref="H62:I63">
    <cfRule type="cellIs" dxfId="80" priority="108" stopIfTrue="1" operator="greaterThan">
      <formula>#REF!</formula>
    </cfRule>
    <cfRule type="cellIs" dxfId="79" priority="111" stopIfTrue="1" operator="lessThanOrEqual">
      <formula>0</formula>
    </cfRule>
  </conditionalFormatting>
  <conditionalFormatting sqref="H67:I74">
    <cfRule type="cellIs" dxfId="78" priority="46" stopIfTrue="1" operator="lessThanOrEqual">
      <formula>0</formula>
    </cfRule>
    <cfRule type="cellIs" dxfId="77" priority="45" stopIfTrue="1" operator="greaterThan">
      <formula>$J67</formula>
    </cfRule>
  </conditionalFormatting>
  <conditionalFormatting sqref="H75:I75">
    <cfRule type="cellIs" dxfId="76" priority="54" operator="greaterThan">
      <formula>5.3</formula>
    </cfRule>
  </conditionalFormatting>
  <conditionalFormatting sqref="H76:I76">
    <cfRule type="cellIs" dxfId="75" priority="52" stopIfTrue="1" operator="greaterThan">
      <formula>$J76</formula>
    </cfRule>
    <cfRule type="cellIs" dxfId="74" priority="53" stopIfTrue="1" operator="lessThanOrEqual">
      <formula>0</formula>
    </cfRule>
  </conditionalFormatting>
  <conditionalFormatting sqref="I54">
    <cfRule type="cellIs" dxfId="73" priority="22" stopIfTrue="1" operator="greaterThan">
      <formula>$F$67</formula>
    </cfRule>
    <cfRule type="cellIs" dxfId="72" priority="23" stopIfTrue="1" operator="lessThanOrEqual">
      <formula>0</formula>
    </cfRule>
    <cfRule type="cellIs" dxfId="71" priority="18" stopIfTrue="1" operator="greaterThan">
      <formula>$F$67</formula>
    </cfRule>
    <cfRule type="cellIs" dxfId="70" priority="19" stopIfTrue="1" operator="lessThanOrEqual">
      <formula>0</formula>
    </cfRule>
    <cfRule type="cellIs" dxfId="69" priority="20" stopIfTrue="1" operator="greaterThan">
      <formula>$F$69</formula>
    </cfRule>
    <cfRule type="cellIs" dxfId="68" priority="21" stopIfTrue="1" operator="lessThanOrEqual">
      <formula>0</formula>
    </cfRule>
  </conditionalFormatting>
  <conditionalFormatting sqref="I55:I56">
    <cfRule type="cellIs" dxfId="67" priority="74" stopIfTrue="1" operator="lessThanOrEqual">
      <formula>0</formula>
    </cfRule>
    <cfRule type="cellIs" dxfId="66" priority="73" stopIfTrue="1" operator="greaterThan">
      <formula>$F$67</formula>
    </cfRule>
    <cfRule type="cellIs" dxfId="65" priority="75" stopIfTrue="1" operator="greaterThan">
      <formula>$F$69</formula>
    </cfRule>
    <cfRule type="cellIs" dxfId="64" priority="76" stopIfTrue="1" operator="lessThanOrEqual">
      <formula>0</formula>
    </cfRule>
    <cfRule type="cellIs" dxfId="63" priority="77" stopIfTrue="1" operator="greaterThan">
      <formula>$F$67</formula>
    </cfRule>
    <cfRule type="cellIs" dxfId="62" priority="78" stopIfTrue="1" operator="lessThanOrEqual">
      <formula>0</formula>
    </cfRule>
  </conditionalFormatting>
  <conditionalFormatting sqref="I57:I58">
    <cfRule type="cellIs" dxfId="61" priority="87" stopIfTrue="1" operator="greaterThan">
      <formula>$F$67</formula>
    </cfRule>
    <cfRule type="cellIs" dxfId="60" priority="88" stopIfTrue="1" operator="lessThanOrEqual">
      <formula>0</formula>
    </cfRule>
    <cfRule type="cellIs" dxfId="59" priority="89" stopIfTrue="1" operator="greaterThan">
      <formula>$F$69</formula>
    </cfRule>
    <cfRule type="cellIs" dxfId="58" priority="92" stopIfTrue="1" operator="lessThanOrEqual">
      <formula>0</formula>
    </cfRule>
    <cfRule type="cellIs" dxfId="57" priority="90" stopIfTrue="1" operator="lessThanOrEqual">
      <formula>0</formula>
    </cfRule>
    <cfRule type="cellIs" dxfId="56" priority="91" stopIfTrue="1" operator="greaterThan">
      <formula>$F$67</formula>
    </cfRule>
  </conditionalFormatting>
  <conditionalFormatting sqref="I59:I60">
    <cfRule type="cellIs" dxfId="55" priority="127" stopIfTrue="1" operator="lessThanOrEqual">
      <formula>0</formula>
    </cfRule>
    <cfRule type="cellIs" dxfId="54" priority="128" stopIfTrue="1" operator="greaterThan">
      <formula>#REF!</formula>
    </cfRule>
    <cfRule type="cellIs" dxfId="53" priority="129" stopIfTrue="1" operator="lessThanOrEqual">
      <formula>0</formula>
    </cfRule>
    <cfRule type="cellIs" dxfId="52" priority="130" stopIfTrue="1" operator="greaterThan">
      <formula>#REF!</formula>
    </cfRule>
    <cfRule type="cellIs" dxfId="51" priority="131" stopIfTrue="1" operator="lessThanOrEqual">
      <formula>0</formula>
    </cfRule>
    <cfRule type="cellIs" dxfId="50" priority="126" stopIfTrue="1" operator="greaterThan">
      <formula>#REF!</formula>
    </cfRule>
  </conditionalFormatting>
  <conditionalFormatting sqref="I61">
    <cfRule type="cellIs" dxfId="49" priority="145" stopIfTrue="1" operator="lessThanOrEqual">
      <formula>0</formula>
    </cfRule>
    <cfRule type="cellIs" dxfId="48" priority="141" stopIfTrue="1" operator="lessThanOrEqual">
      <formula>0</formula>
    </cfRule>
    <cfRule type="cellIs" dxfId="47" priority="142" stopIfTrue="1" operator="greaterThan">
      <formula>$F$37</formula>
    </cfRule>
    <cfRule type="cellIs" dxfId="46" priority="140" stopIfTrue="1" operator="greaterThan">
      <formula>$F$35</formula>
    </cfRule>
    <cfRule type="cellIs" dxfId="45" priority="143" stopIfTrue="1" operator="lessThanOrEqual">
      <formula>0</formula>
    </cfRule>
    <cfRule type="cellIs" dxfId="44" priority="144" stopIfTrue="1" operator="greaterThan">
      <formula>$F$35</formula>
    </cfRule>
  </conditionalFormatting>
  <conditionalFormatting sqref="I62:I63">
    <cfRule type="cellIs" dxfId="43" priority="117" stopIfTrue="1" operator="lessThanOrEqual">
      <formula>0</formula>
    </cfRule>
    <cfRule type="cellIs" dxfId="42" priority="115" stopIfTrue="1" operator="lessThanOrEqual">
      <formula>0</formula>
    </cfRule>
    <cfRule type="cellIs" dxfId="41" priority="112" stopIfTrue="1" operator="greaterThan">
      <formula>#REF!</formula>
    </cfRule>
    <cfRule type="cellIs" dxfId="40" priority="113" stopIfTrue="1" operator="lessThanOrEqual">
      <formula>0</formula>
    </cfRule>
    <cfRule type="cellIs" dxfId="39" priority="114" stopIfTrue="1" operator="greaterThan">
      <formula>#REF!</formula>
    </cfRule>
    <cfRule type="cellIs" dxfId="38" priority="116" stopIfTrue="1" operator="greaterThan">
      <formula>#REF!</formula>
    </cfRule>
  </conditionalFormatting>
  <conditionalFormatting sqref="I78:I86">
    <cfRule type="cellIs" dxfId="37" priority="172" stopIfTrue="1" operator="lessThanOrEqual">
      <formula>0</formula>
    </cfRule>
    <cfRule type="cellIs" dxfId="36" priority="171" stopIfTrue="1" operator="greaterThan">
      <formula>4.5</formula>
    </cfRule>
  </conditionalFormatting>
  <conditionalFormatting sqref="I10:J22">
    <cfRule type="cellIs" dxfId="35" priority="5" operator="lessThan">
      <formula>97.9</formula>
    </cfRule>
  </conditionalFormatting>
  <conditionalFormatting sqref="J25:J26">
    <cfRule type="cellIs" dxfId="34" priority="84" operator="lessThan">
      <formula>97.95</formula>
    </cfRule>
  </conditionalFormatting>
  <conditionalFormatting sqref="J27">
    <cfRule type="cellIs" dxfId="33" priority="153" operator="lessThan">
      <formula>98</formula>
    </cfRule>
    <cfRule type="cellIs" dxfId="32" priority="151" stopIfTrue="1" operator="lessThan">
      <formula>96.8</formula>
    </cfRule>
    <cfRule type="cellIs" dxfId="31" priority="152" stopIfTrue="1" operator="greaterThan">
      <formula>100</formula>
    </cfRule>
  </conditionalFormatting>
  <conditionalFormatting sqref="J27:J29">
    <cfRule type="cellIs" dxfId="30" priority="150" operator="lessThan">
      <formula>97.4</formula>
    </cfRule>
  </conditionalFormatting>
  <conditionalFormatting sqref="J30:J31">
    <cfRule type="cellIs" dxfId="29" priority="154" operator="lessThan">
      <formula>98</formula>
    </cfRule>
  </conditionalFormatting>
  <conditionalFormatting sqref="J32:J33">
    <cfRule type="cellIs" dxfId="28" priority="156" stopIfTrue="1" operator="greaterThan">
      <formula>100</formula>
    </cfRule>
    <cfRule type="cellIs" dxfId="27" priority="155" stopIfTrue="1" operator="lessThan">
      <formula>96.8</formula>
    </cfRule>
  </conditionalFormatting>
  <conditionalFormatting sqref="J32:J34">
    <cfRule type="cellIs" dxfId="26" priority="157" operator="lessThan">
      <formula>98</formula>
    </cfRule>
  </conditionalFormatting>
  <conditionalFormatting sqref="J63">
    <cfRule type="cellIs" dxfId="25" priority="105" stopIfTrue="1" operator="lessThanOrEqual">
      <formula>0</formula>
    </cfRule>
    <cfRule type="cellIs" dxfId="24" priority="107" stopIfTrue="1" operator="lessThanOrEqual">
      <formula>0</formula>
    </cfRule>
    <cfRule type="cellIs" dxfId="23" priority="106" stopIfTrue="1" operator="greaterThan">
      <formula>#REF!</formula>
    </cfRule>
    <cfRule type="cellIs" dxfId="22" priority="100" stopIfTrue="1" operator="greaterThan">
      <formula>#REF!</formula>
    </cfRule>
    <cfRule type="cellIs" dxfId="21" priority="101" stopIfTrue="1" operator="lessThanOrEqual">
      <formula>0</formula>
    </cfRule>
    <cfRule type="cellIs" dxfId="20" priority="102" stopIfTrue="1" operator="greaterThan">
      <formula>#REF!</formula>
    </cfRule>
    <cfRule type="cellIs" dxfId="19" priority="103" stopIfTrue="1" operator="lessThanOrEqual">
      <formula>0</formula>
    </cfRule>
    <cfRule type="cellIs" dxfId="18" priority="104" stopIfTrue="1" operator="greaterThan">
      <formula>#REF!</formula>
    </cfRule>
  </conditionalFormatting>
  <conditionalFormatting sqref="J76">
    <cfRule type="cellIs" dxfId="17" priority="57" stopIfTrue="1" operator="greaterThan">
      <formula>$F76</formula>
    </cfRule>
    <cfRule type="cellIs" dxfId="16" priority="58" stopIfTrue="1" operator="lessThanOrEqual">
      <formula>0</formula>
    </cfRule>
  </conditionalFormatting>
  <conditionalFormatting sqref="K10:K22">
    <cfRule type="cellIs" dxfId="15" priority="6" operator="greaterThan">
      <formula>6</formula>
    </cfRule>
    <cfRule type="cellIs" dxfId="14" priority="7" operator="lessThan">
      <formula>4</formula>
    </cfRule>
    <cfRule type="cellIs" dxfId="13" priority="8" operator="greaterThan">
      <formula>6.4</formula>
    </cfRule>
  </conditionalFormatting>
  <conditionalFormatting sqref="K54:K63">
    <cfRule type="cellIs" dxfId="12" priority="83" stopIfTrue="1" operator="lessThan">
      <formula>100%</formula>
    </cfRule>
  </conditionalFormatting>
  <conditionalFormatting sqref="K67:K75">
    <cfRule type="cellIs" dxfId="11" priority="44" stopIfTrue="1" operator="lessThan">
      <formula>100%</formula>
    </cfRule>
  </conditionalFormatting>
  <conditionalFormatting sqref="K78:K83">
    <cfRule type="cellIs" dxfId="10" priority="177" stopIfTrue="1" operator="lessThan">
      <formula>100%</formula>
    </cfRule>
  </conditionalFormatting>
  <conditionalFormatting sqref="K85:K86">
    <cfRule type="cellIs" dxfId="9" priority="184" stopIfTrue="1" operator="lessThan">
      <formula>100%</formula>
    </cfRule>
  </conditionalFormatting>
  <conditionalFormatting sqref="L10:L22">
    <cfRule type="cellIs" dxfId="8" priority="10" operator="greaterThan">
      <formula>65</formula>
    </cfRule>
    <cfRule type="cellIs" dxfId="7" priority="9" operator="between">
      <formula>61</formula>
      <formula>65</formula>
    </cfRule>
  </conditionalFormatting>
  <conditionalFormatting sqref="L25:M36">
    <cfRule type="cellIs" dxfId="6" priority="97" operator="lessThan">
      <formula>97.95</formula>
    </cfRule>
  </conditionalFormatting>
  <conditionalFormatting sqref="L40:N40">
    <cfRule type="cellIs" dxfId="5" priority="39" operator="notEqual">
      <formula>#REF!</formula>
    </cfRule>
  </conditionalFormatting>
  <conditionalFormatting sqref="L67:N76">
    <cfRule type="cellIs" dxfId="4" priority="31" stopIfTrue="1" operator="lessThan">
      <formula>100%</formula>
    </cfRule>
  </conditionalFormatting>
  <conditionalFormatting sqref="L78:N86">
    <cfRule type="cellIs" dxfId="3" priority="162" stopIfTrue="1" operator="lessThan">
      <formula>100%</formula>
    </cfRule>
  </conditionalFormatting>
  <conditionalFormatting sqref="N10:N17">
    <cfRule type="expression" dxfId="2" priority="4">
      <formula>IF(+(IF(N10&lt;W10,0,IF(N10&gt;X10,0,1)))=0,1)</formula>
    </cfRule>
  </conditionalFormatting>
  <conditionalFormatting sqref="N20">
    <cfRule type="expression" dxfId="1" priority="28">
      <formula>IF(+(IF(N20&lt;W20,0,IF(N20&gt;X20,0,1)))=0,1)</formula>
    </cfRule>
  </conditionalFormatting>
  <conditionalFormatting sqref="P6">
    <cfRule type="cellIs" dxfId="0" priority="158" operator="greaterThanOrEqual">
      <formula>19</formula>
    </cfRule>
  </conditionalFormatting>
  <dataValidations count="1">
    <dataValidation type="list" allowBlank="1" showInputMessage="1" showErrorMessage="1" sqref="R8" xr:uid="{8CAF284F-1531-4AC8-8D1C-4811299B8B1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23" t="s">
        <v>58</v>
      </c>
      <c r="C2" s="623"/>
      <c r="D2" s="623"/>
      <c r="E2" s="623"/>
      <c r="F2" s="623"/>
      <c r="G2" s="623"/>
      <c r="H2" s="623"/>
      <c r="I2" s="623"/>
      <c r="J2" s="623"/>
      <c r="K2" s="623"/>
    </row>
    <row r="3" spans="2:14" ht="15.75" hidden="1" thickBot="1">
      <c r="B3" s="79"/>
    </row>
    <row r="4" spans="2:14" ht="13.5" hidden="1" thickBot="1">
      <c r="B4" s="78" t="s">
        <v>7</v>
      </c>
      <c r="C4" s="624">
        <v>41431</v>
      </c>
      <c r="D4" s="624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21" t="s">
        <v>17</v>
      </c>
      <c r="C8" s="607" t="s">
        <v>18</v>
      </c>
      <c r="D8" s="607" t="s">
        <v>59</v>
      </c>
      <c r="E8" s="80" t="s">
        <v>20</v>
      </c>
      <c r="F8" s="81" t="s">
        <v>21</v>
      </c>
      <c r="G8" s="607" t="s">
        <v>60</v>
      </c>
      <c r="H8" s="607" t="s">
        <v>61</v>
      </c>
      <c r="I8" s="627" t="s">
        <v>62</v>
      </c>
      <c r="J8" s="82" t="s">
        <v>25</v>
      </c>
      <c r="K8" s="617" t="s">
        <v>28</v>
      </c>
    </row>
    <row r="9" spans="2:14" ht="26.25" hidden="1" thickBot="1">
      <c r="B9" s="625"/>
      <c r="C9" s="626"/>
      <c r="D9" s="626"/>
      <c r="E9" s="83" t="s">
        <v>30</v>
      </c>
      <c r="F9" s="84" t="s">
        <v>63</v>
      </c>
      <c r="G9" s="626"/>
      <c r="H9" s="626"/>
      <c r="I9" s="628"/>
      <c r="J9" s="85" t="s">
        <v>32</v>
      </c>
      <c r="K9" s="629"/>
      <c r="L9" s="86"/>
      <c r="M9" s="86"/>
      <c r="N9" s="86"/>
    </row>
    <row r="10" spans="2:14" ht="13.5" hidden="1" thickBot="1">
      <c r="B10" s="87" t="s">
        <v>64</v>
      </c>
      <c r="C10" s="88" t="str">
        <f>[35]Brewhouse!A5359</f>
        <v>CA236</v>
      </c>
      <c r="D10" s="88">
        <f>[35]Brewhouse!B5359</f>
        <v>41437</v>
      </c>
      <c r="E10" s="89">
        <f>[35]Brewhouse!AG5359</f>
        <v>49.011000000000003</v>
      </c>
      <c r="F10" s="90">
        <f>[35]Brewhouse!T5359</f>
        <v>60</v>
      </c>
      <c r="G10" s="91">
        <f>[35]Brewhouse!I5359</f>
        <v>19.79</v>
      </c>
      <c r="H10" s="92">
        <f>[35]Brewhouse!AS5359</f>
        <v>94.981545664755075</v>
      </c>
      <c r="I10" s="92">
        <f>[35]Brewhouse!AT5359</f>
        <v>97.074072469002047</v>
      </c>
      <c r="J10" s="93">
        <f>[35]Brewhouse!S5359-[35]Brewhouse!R5359</f>
        <v>0.10694444444444451</v>
      </c>
      <c r="K10" s="94"/>
      <c r="N10" s="95"/>
    </row>
    <row r="11" spans="2:14" ht="13.5" hidden="1" thickBot="1">
      <c r="B11" s="96"/>
      <c r="C11" s="88" t="str">
        <f>[35]Brewhouse!A5360</f>
        <v>CA237</v>
      </c>
      <c r="D11" s="88">
        <f>[35]Brewhouse!B5360</f>
        <v>41437</v>
      </c>
      <c r="E11" s="89">
        <f>[35]Brewhouse!AG5360</f>
        <v>48.531999999999996</v>
      </c>
      <c r="F11" s="90">
        <f>[35]Brewhouse!T5360</f>
        <v>68</v>
      </c>
      <c r="G11" s="91">
        <f>[35]Brewhouse!I5360</f>
        <v>17.7</v>
      </c>
      <c r="H11" s="92">
        <f>[35]Brewhouse!AS5360</f>
        <v>94.053260986347809</v>
      </c>
      <c r="I11" s="92">
        <f>[35]Brewhouse!AT5360</f>
        <v>96.1253368644918</v>
      </c>
      <c r="J11" s="93">
        <f>[35]Brewhouse!S5360-[35]Brewhouse!R5360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[35]Brewhouse!A5361</f>
        <v>CA238</v>
      </c>
      <c r="D12" s="88">
        <f>[35]Brewhouse!B5361</f>
        <v>41437</v>
      </c>
      <c r="E12" s="89">
        <f>[35]Brewhouse!AG5361</f>
        <v>50.466999999999999</v>
      </c>
      <c r="F12" s="90">
        <f>[35]Brewhouse!T5361</f>
        <v>61</v>
      </c>
      <c r="G12" s="91">
        <f>[35]Brewhouse!I5361</f>
        <v>19.7</v>
      </c>
      <c r="H12" s="92">
        <f>[35]Brewhouse!AS5361</f>
        <v>96.931393272913695</v>
      </c>
      <c r="I12" s="92">
        <f>[35]Brewhouse!AT5361</f>
        <v>99.066876931102286</v>
      </c>
      <c r="J12" s="93">
        <f>[35]Brewhouse!S5361-[35]Brewhouse!R5361</f>
        <v>0.10208333333333341</v>
      </c>
      <c r="K12" s="98"/>
    </row>
    <row r="13" spans="2:14" ht="13.5" hidden="1" thickBot="1">
      <c r="B13" s="99"/>
      <c r="C13" s="88" t="str">
        <f>[35]Brewhouse!A5362</f>
        <v>CA239</v>
      </c>
      <c r="D13" s="88">
        <f>[35]Brewhouse!B5362</f>
        <v>41437</v>
      </c>
      <c r="E13" s="89">
        <f>[35]Brewhouse!AG5362</f>
        <v>49.374000000000002</v>
      </c>
      <c r="F13" s="90">
        <f>[35]Brewhouse!T5362</f>
        <v>62</v>
      </c>
      <c r="G13" s="91">
        <f>[35]Brewhouse!I5362</f>
        <v>19</v>
      </c>
      <c r="H13" s="92">
        <f>[35]Brewhouse!AS5362</f>
        <v>95.68502653795305</v>
      </c>
      <c r="I13" s="92">
        <f>[35]Brewhouse!AT5362</f>
        <v>97.793051643192499</v>
      </c>
      <c r="J13" s="93">
        <f>[35]Brewhouse!S5362-[35]Brewhouse!R5362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5" t="s">
        <v>69</v>
      </c>
      <c r="G21" s="616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[35]Brewhouse!N5359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[35]Brewhouse!N5360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[35]Brewhouse!N5361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[35]Brewhouse!N5362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AVERAGE([35]Brewhouse!$AS$5347:$AS$5362)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AVERAGE([36]Brewhouse!$AQ$641:$AQ$644)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AVERAGE([37]Brewhouse!$AU$708:$AU$711)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AVERAGE([38]Brewhouse!$AY$943:$AY$946)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21" t="s">
        <v>17</v>
      </c>
      <c r="C43" s="607" t="s">
        <v>18</v>
      </c>
      <c r="D43" s="607" t="s">
        <v>44</v>
      </c>
      <c r="E43" s="607" t="s">
        <v>79</v>
      </c>
      <c r="F43" s="607" t="s">
        <v>51</v>
      </c>
      <c r="G43" s="607" t="s">
        <v>48</v>
      </c>
      <c r="H43" s="609" t="s">
        <v>28</v>
      </c>
      <c r="I43" s="610"/>
      <c r="J43" s="610"/>
      <c r="K43" s="617" t="s">
        <v>27</v>
      </c>
    </row>
    <row r="44" spans="2:15" ht="15.75" hidden="1" customHeight="1" thickBot="1">
      <c r="B44" s="622"/>
      <c r="C44" s="608"/>
      <c r="D44" s="608"/>
      <c r="E44" s="608"/>
      <c r="F44" s="608"/>
      <c r="G44" s="608"/>
      <c r="H44" s="611"/>
      <c r="I44" s="612"/>
      <c r="J44" s="612"/>
      <c r="K44" s="618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9"/>
      <c r="I45" s="620"/>
      <c r="J45" s="620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3"/>
      <c r="I46" s="614"/>
      <c r="J46" s="614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3"/>
      <c r="I47" s="614"/>
      <c r="J47" s="614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3"/>
      <c r="I48" s="614"/>
      <c r="J48" s="614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5"/>
      <c r="I49" s="606"/>
      <c r="J49" s="606"/>
      <c r="K49" s="172"/>
    </row>
    <row r="50" spans="2:11" ht="13.5" hidden="1" thickBot="1">
      <c r="B50" s="173"/>
      <c r="C50" s="160"/>
      <c r="E50" s="168"/>
      <c r="F50" s="168"/>
      <c r="G50" s="145"/>
      <c r="H50" s="605"/>
      <c r="I50" s="606"/>
      <c r="J50" s="606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5"/>
      <c r="I51" s="606"/>
      <c r="J51" s="606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96"/>
      <c r="I52" s="597"/>
      <c r="J52" s="597"/>
      <c r="K52" s="183"/>
    </row>
    <row r="53" spans="2:11" ht="13.5" thickBot="1">
      <c r="B53" s="184"/>
      <c r="C53" s="117"/>
      <c r="D53" s="598" t="s">
        <v>80</v>
      </c>
      <c r="E53" s="598"/>
      <c r="F53" s="598"/>
      <c r="G53" s="598"/>
      <c r="H53" s="598"/>
      <c r="I53" s="598"/>
      <c r="J53" s="598"/>
      <c r="K53" s="185"/>
    </row>
    <row r="54" spans="2:11" ht="13.5" thickBot="1">
      <c r="B54" s="599" t="s">
        <v>55</v>
      </c>
      <c r="C54" s="600"/>
      <c r="D54" s="600"/>
      <c r="E54" s="601"/>
      <c r="F54" s="599" t="s">
        <v>56</v>
      </c>
      <c r="G54" s="600"/>
      <c r="H54" s="601"/>
      <c r="I54" s="602" t="s">
        <v>81</v>
      </c>
      <c r="J54" s="603"/>
      <c r="K54" s="604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[33]MTD!$E5</f>
        <v>6.2226381404154338</v>
      </c>
      <c r="E56" s="192">
        <v>5</v>
      </c>
      <c r="F56" s="191"/>
      <c r="G56" s="76">
        <f>[32]May_2026!$AN3</f>
        <v>5.904983953748923</v>
      </c>
      <c r="H56" s="192">
        <v>5</v>
      </c>
      <c r="I56" s="193"/>
      <c r="J56" s="194">
        <f>[34]May_2026!$AN13</f>
        <v>0.62903508771929817</v>
      </c>
      <c r="K56" s="195">
        <v>1</v>
      </c>
    </row>
    <row r="57" spans="2:11" ht="15">
      <c r="B57" s="33" t="s">
        <v>72</v>
      </c>
      <c r="C57" s="191"/>
      <c r="D57" s="76">
        <f>[33]MTD!$E6</f>
        <v>4.8528333911969801</v>
      </c>
      <c r="E57" s="192">
        <v>5</v>
      </c>
      <c r="F57" s="191"/>
      <c r="G57" s="76">
        <f>[32]May_2026!$AN4</f>
        <v>4.9494635940844729</v>
      </c>
      <c r="H57" s="192">
        <v>5</v>
      </c>
      <c r="I57" s="196"/>
      <c r="J57" s="194">
        <f>[34]May_2026!$AN14</f>
        <v>0.59716791979949879</v>
      </c>
      <c r="K57" s="195">
        <v>1</v>
      </c>
    </row>
    <row r="58" spans="2:11" ht="15">
      <c r="B58" s="34" t="s">
        <v>73</v>
      </c>
      <c r="C58" s="191"/>
      <c r="D58" s="76">
        <f>[33]MTD!$E7</f>
        <v>9.5676691729323267</v>
      </c>
      <c r="E58" s="192">
        <v>5</v>
      </c>
      <c r="F58" s="191"/>
      <c r="G58" s="76">
        <f>[32]May_2026!$AN5</f>
        <v>10.718568260092542</v>
      </c>
      <c r="H58" s="192">
        <v>5</v>
      </c>
      <c r="I58" s="196"/>
      <c r="J58" s="194">
        <f>[34]May_2026!$AN15</f>
        <v>0.23956140350877195</v>
      </c>
      <c r="K58" s="195">
        <v>1</v>
      </c>
    </row>
    <row r="59" spans="2:11" ht="15">
      <c r="B59" s="197" t="s">
        <v>74</v>
      </c>
      <c r="C59" s="191"/>
      <c r="D59" s="76">
        <f>[33]MTD!$E8</f>
        <v>4.9306092006073188</v>
      </c>
      <c r="E59" s="192">
        <v>3.5</v>
      </c>
      <c r="F59" s="191"/>
      <c r="G59" s="76">
        <f>[32]May_2026!$AN6</f>
        <v>5.5037640962151348</v>
      </c>
      <c r="H59" s="192">
        <v>3.5</v>
      </c>
      <c r="I59" s="196"/>
      <c r="J59" s="194">
        <f>[34]May_2026!$AN16</f>
        <v>0.61175438596491227</v>
      </c>
      <c r="K59" s="195">
        <v>1</v>
      </c>
    </row>
    <row r="60" spans="2:11" ht="15.75" thickBot="1">
      <c r="B60" s="38" t="s">
        <v>160</v>
      </c>
      <c r="C60" s="191"/>
      <c r="D60" s="76" t="e">
        <f>[33]MTD!$E9</f>
        <v>#DIV/0!</v>
      </c>
      <c r="E60" s="192">
        <v>3.5</v>
      </c>
      <c r="F60" s="198"/>
      <c r="G60" s="76" t="e">
        <f>[32]May_2026!$AN7</f>
        <v>#DIV/0!</v>
      </c>
      <c r="H60" s="192">
        <v>3.5</v>
      </c>
      <c r="I60" s="196"/>
      <c r="J60" s="194" t="e">
        <f>[34]May_2026!$AN17</f>
        <v>#DIV/0!</v>
      </c>
      <c r="K60" s="195">
        <v>1</v>
      </c>
    </row>
    <row r="61" spans="2:11" ht="15">
      <c r="B61" s="199" t="s">
        <v>76</v>
      </c>
      <c r="C61" s="191"/>
      <c r="D61" s="76">
        <f>[33]MTD!$E10</f>
        <v>-5039.4736842105267</v>
      </c>
      <c r="E61" s="200">
        <v>5</v>
      </c>
      <c r="F61" s="191"/>
      <c r="G61" s="76">
        <f>[32]May_2026!$AN8</f>
        <v>6.6922456038466889</v>
      </c>
      <c r="H61" s="200">
        <v>5</v>
      </c>
      <c r="I61" s="196"/>
      <c r="J61" s="194">
        <f>[34]May_2026!$AN18</f>
        <v>0.68526315789473691</v>
      </c>
      <c r="K61" s="195">
        <v>1</v>
      </c>
    </row>
    <row r="62" spans="2:11" ht="15">
      <c r="B62" s="201" t="s">
        <v>82</v>
      </c>
      <c r="C62" s="202"/>
      <c r="D62" s="76">
        <f>[33]MTD!$E11</f>
        <v>3.697571743929374</v>
      </c>
      <c r="E62" s="200">
        <v>3.3</v>
      </c>
      <c r="F62" s="202"/>
      <c r="G62" s="76">
        <f>[32]May_2026!$AN9</f>
        <v>4.9058595326967183</v>
      </c>
      <c r="H62" s="200">
        <v>3.3</v>
      </c>
      <c r="I62" s="203"/>
      <c r="J62" s="194">
        <f>[34]May_2026!$AN19</f>
        <v>0.69175438596491223</v>
      </c>
      <c r="K62" s="204">
        <v>1</v>
      </c>
    </row>
    <row r="63" spans="2:11" ht="15.75" thickBot="1">
      <c r="B63" s="38" t="s">
        <v>128</v>
      </c>
      <c r="C63" s="205"/>
      <c r="D63" s="76" t="e">
        <f>[33]MTD!$E12</f>
        <v>#DIV/0!</v>
      </c>
      <c r="E63" s="206">
        <v>3.5</v>
      </c>
      <c r="F63" s="205"/>
      <c r="G63" s="76" t="e">
        <f>[32]May_2026!$AN10</f>
        <v>#DIV/0!</v>
      </c>
      <c r="H63" s="206">
        <v>3.5</v>
      </c>
      <c r="I63" s="207"/>
      <c r="J63" s="194" t="e">
        <f>[34]May_2026!$AN20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[33]MTD!$E13</f>
        <v>#DIV/0!</v>
      </c>
      <c r="E64" s="192">
        <v>5</v>
      </c>
      <c r="F64" s="198"/>
      <c r="G64" s="76" t="e">
        <f>[32]May_2026!$AN11</f>
        <v>#DIV/0!</v>
      </c>
      <c r="H64" s="192">
        <v>5</v>
      </c>
      <c r="I64" s="412"/>
      <c r="J64" s="194">
        <f>[34]May_2026!$AN21</f>
        <v>0</v>
      </c>
      <c r="K64" s="208">
        <v>1</v>
      </c>
    </row>
    <row r="65" spans="2:11">
      <c r="B65" s="209"/>
      <c r="C65" s="210"/>
      <c r="D65" s="76">
        <f>[33]MTD!$E14</f>
        <v>3.583697879045415</v>
      </c>
      <c r="E65" s="210"/>
      <c r="F65" s="210"/>
      <c r="G65" s="76">
        <f>[32]May_2026!$AN12</f>
        <v>5.9802631450380064</v>
      </c>
      <c r="H65" s="211"/>
      <c r="I65" s="212"/>
      <c r="J65" s="194">
        <f>[34]May_2026!$AN22</f>
        <v>0.59895946763460384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23" t="s">
        <v>58</v>
      </c>
      <c r="C2" s="623"/>
      <c r="D2" s="623"/>
      <c r="E2" s="623"/>
      <c r="F2" s="623"/>
      <c r="G2" s="623"/>
      <c r="H2" s="623"/>
      <c r="I2" s="623"/>
      <c r="J2" s="623"/>
      <c r="K2" s="623"/>
    </row>
    <row r="3" spans="2:14" ht="15.75" hidden="1" thickBot="1">
      <c r="B3" s="79"/>
    </row>
    <row r="4" spans="2:14" ht="13.5" hidden="1" thickBot="1">
      <c r="B4" s="78" t="s">
        <v>7</v>
      </c>
      <c r="C4" s="624">
        <v>41431</v>
      </c>
      <c r="D4" s="624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21" t="s">
        <v>17</v>
      </c>
      <c r="C8" s="607" t="s">
        <v>18</v>
      </c>
      <c r="D8" s="607" t="s">
        <v>59</v>
      </c>
      <c r="E8" s="80" t="s">
        <v>20</v>
      </c>
      <c r="F8" s="81" t="s">
        <v>21</v>
      </c>
      <c r="G8" s="607" t="s">
        <v>60</v>
      </c>
      <c r="H8" s="607" t="s">
        <v>61</v>
      </c>
      <c r="I8" s="627" t="s">
        <v>62</v>
      </c>
      <c r="J8" s="82" t="s">
        <v>25</v>
      </c>
      <c r="K8" s="617" t="s">
        <v>28</v>
      </c>
    </row>
    <row r="9" spans="2:14" ht="26.25" hidden="1" thickBot="1">
      <c r="B9" s="625"/>
      <c r="C9" s="626"/>
      <c r="D9" s="626"/>
      <c r="E9" s="83" t="s">
        <v>30</v>
      </c>
      <c r="F9" s="84" t="s">
        <v>63</v>
      </c>
      <c r="G9" s="626"/>
      <c r="H9" s="626"/>
      <c r="I9" s="628"/>
      <c r="J9" s="85" t="s">
        <v>32</v>
      </c>
      <c r="K9" s="629"/>
      <c r="L9" s="86"/>
      <c r="M9" s="86"/>
      <c r="N9" s="86"/>
    </row>
    <row r="10" spans="2:14" ht="13.5" hidden="1" thickBot="1">
      <c r="B10" s="87" t="s">
        <v>64</v>
      </c>
      <c r="C10" s="88" t="str">
        <f>[35]Brewhouse!A5359</f>
        <v>CA236</v>
      </c>
      <c r="D10" s="88">
        <f>[35]Brewhouse!B5359</f>
        <v>41437</v>
      </c>
      <c r="E10" s="89">
        <f>[35]Brewhouse!AG5359</f>
        <v>49.011000000000003</v>
      </c>
      <c r="F10" s="90">
        <f>[35]Brewhouse!T5359</f>
        <v>60</v>
      </c>
      <c r="G10" s="91">
        <f>[35]Brewhouse!I5359</f>
        <v>19.79</v>
      </c>
      <c r="H10" s="92">
        <f>[35]Brewhouse!AS5359</f>
        <v>94.981545664755075</v>
      </c>
      <c r="I10" s="92">
        <f>[35]Brewhouse!AT5359</f>
        <v>97.074072469002047</v>
      </c>
      <c r="J10" s="93">
        <f>[35]Brewhouse!S5359-[35]Brewhouse!R5359</f>
        <v>0.10694444444444451</v>
      </c>
      <c r="K10" s="94"/>
      <c r="N10" s="95"/>
    </row>
    <row r="11" spans="2:14" ht="13.5" hidden="1" thickBot="1">
      <c r="B11" s="96"/>
      <c r="C11" s="88" t="str">
        <f>[35]Brewhouse!A5360</f>
        <v>CA237</v>
      </c>
      <c r="D11" s="88">
        <f>[35]Brewhouse!B5360</f>
        <v>41437</v>
      </c>
      <c r="E11" s="89">
        <f>[35]Brewhouse!AG5360</f>
        <v>48.531999999999996</v>
      </c>
      <c r="F11" s="90">
        <f>[35]Brewhouse!T5360</f>
        <v>68</v>
      </c>
      <c r="G11" s="91">
        <f>[35]Brewhouse!I5360</f>
        <v>17.7</v>
      </c>
      <c r="H11" s="92">
        <f>[35]Brewhouse!AS5360</f>
        <v>94.053260986347809</v>
      </c>
      <c r="I11" s="92">
        <f>[35]Brewhouse!AT5360</f>
        <v>96.1253368644918</v>
      </c>
      <c r="J11" s="93">
        <f>[35]Brewhouse!S5360-[35]Brewhouse!R5360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[35]Brewhouse!A5361</f>
        <v>CA238</v>
      </c>
      <c r="D12" s="88">
        <f>[35]Brewhouse!B5361</f>
        <v>41437</v>
      </c>
      <c r="E12" s="89">
        <f>[35]Brewhouse!AG5361</f>
        <v>50.466999999999999</v>
      </c>
      <c r="F12" s="90">
        <f>[35]Brewhouse!T5361</f>
        <v>61</v>
      </c>
      <c r="G12" s="91">
        <f>[35]Brewhouse!I5361</f>
        <v>19.7</v>
      </c>
      <c r="H12" s="92">
        <f>[35]Brewhouse!AS5361</f>
        <v>96.931393272913695</v>
      </c>
      <c r="I12" s="92">
        <f>[35]Brewhouse!AT5361</f>
        <v>99.066876931102286</v>
      </c>
      <c r="J12" s="93">
        <f>[35]Brewhouse!S5361-[35]Brewhouse!R5361</f>
        <v>0.10208333333333341</v>
      </c>
      <c r="K12" s="98"/>
    </row>
    <row r="13" spans="2:14" ht="13.5" hidden="1" thickBot="1">
      <c r="B13" s="99"/>
      <c r="C13" s="88" t="str">
        <f>[35]Brewhouse!A5362</f>
        <v>CA239</v>
      </c>
      <c r="D13" s="88">
        <f>[35]Brewhouse!B5362</f>
        <v>41437</v>
      </c>
      <c r="E13" s="89">
        <f>[35]Brewhouse!AG5362</f>
        <v>49.374000000000002</v>
      </c>
      <c r="F13" s="90">
        <f>[35]Brewhouse!T5362</f>
        <v>62</v>
      </c>
      <c r="G13" s="91">
        <f>[35]Brewhouse!I5362</f>
        <v>19</v>
      </c>
      <c r="H13" s="92">
        <f>[35]Brewhouse!AS5362</f>
        <v>95.68502653795305</v>
      </c>
      <c r="I13" s="92">
        <f>[35]Brewhouse!AT5362</f>
        <v>97.793051643192499</v>
      </c>
      <c r="J13" s="93">
        <f>[35]Brewhouse!S5362-[35]Brewhouse!R5362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5" t="s">
        <v>69</v>
      </c>
      <c r="G21" s="616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[35]Brewhouse!N5359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[35]Brewhouse!N5360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[35]Brewhouse!N5361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[35]Brewhouse!N5362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AVERAGE([35]Brewhouse!$AS$5347:$AS$5362)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AVERAGE([36]Brewhouse!$AQ$641:$AQ$644)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AVERAGE([37]Brewhouse!$AU$708:$AU$711)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AVERAGE([38]Brewhouse!$AY$943:$AY$946)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21" t="s">
        <v>17</v>
      </c>
      <c r="C43" s="607" t="s">
        <v>18</v>
      </c>
      <c r="D43" s="607" t="s">
        <v>44</v>
      </c>
      <c r="E43" s="607" t="s">
        <v>79</v>
      </c>
      <c r="F43" s="607" t="s">
        <v>51</v>
      </c>
      <c r="G43" s="607" t="s">
        <v>48</v>
      </c>
      <c r="H43" s="609" t="s">
        <v>28</v>
      </c>
      <c r="I43" s="610"/>
      <c r="J43" s="610"/>
      <c r="K43" s="617" t="s">
        <v>27</v>
      </c>
    </row>
    <row r="44" spans="2:15" ht="15.75" hidden="1" customHeight="1" thickBot="1">
      <c r="B44" s="622"/>
      <c r="C44" s="608"/>
      <c r="D44" s="608"/>
      <c r="E44" s="608"/>
      <c r="F44" s="608"/>
      <c r="G44" s="608"/>
      <c r="H44" s="611"/>
      <c r="I44" s="612"/>
      <c r="J44" s="612"/>
      <c r="K44" s="618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9"/>
      <c r="I45" s="620"/>
      <c r="J45" s="620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3"/>
      <c r="I46" s="614"/>
      <c r="J46" s="614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3"/>
      <c r="I47" s="614"/>
      <c r="J47" s="614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3"/>
      <c r="I48" s="614"/>
      <c r="J48" s="614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5"/>
      <c r="I49" s="606"/>
      <c r="J49" s="606"/>
      <c r="K49" s="172"/>
    </row>
    <row r="50" spans="2:11" ht="13.5" hidden="1" thickBot="1">
      <c r="B50" s="173"/>
      <c r="C50" s="160"/>
      <c r="E50" s="168"/>
      <c r="F50" s="168"/>
      <c r="G50" s="145"/>
      <c r="H50" s="605"/>
      <c r="I50" s="606"/>
      <c r="J50" s="606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5"/>
      <c r="I51" s="606"/>
      <c r="J51" s="606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96"/>
      <c r="I52" s="597"/>
      <c r="J52" s="597"/>
      <c r="K52" s="183"/>
    </row>
    <row r="53" spans="2:11" ht="13.5" thickBot="1">
      <c r="B53" s="184"/>
      <c r="C53" s="117"/>
      <c r="D53" s="598" t="s">
        <v>80</v>
      </c>
      <c r="E53" s="598"/>
      <c r="F53" s="598"/>
      <c r="G53" s="598"/>
      <c r="H53" s="598"/>
      <c r="I53" s="598"/>
      <c r="J53" s="598"/>
      <c r="K53" s="185"/>
    </row>
    <row r="54" spans="2:11" ht="13.5" thickBot="1">
      <c r="B54" s="599" t="s">
        <v>55</v>
      </c>
      <c r="C54" s="600"/>
      <c r="D54" s="600"/>
      <c r="E54" s="601"/>
      <c r="F54" s="599" t="s">
        <v>56</v>
      </c>
      <c r="G54" s="600"/>
      <c r="H54" s="601"/>
      <c r="I54" s="602" t="s">
        <v>81</v>
      </c>
      <c r="J54" s="603"/>
      <c r="K54" s="604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'[33]YTD 2026'!$E5</f>
        <v>6.5623673132836648</v>
      </c>
      <c r="E56" s="192">
        <v>5</v>
      </c>
      <c r="F56" s="191"/>
      <c r="G56" s="76">
        <f>[32]May_2026!$AQ3</f>
        <v>6.3197775649714227</v>
      </c>
      <c r="H56" s="192">
        <v>5</v>
      </c>
      <c r="I56" s="193"/>
      <c r="J56" s="194">
        <f>[34]May_2026!$AQ13</f>
        <v>0.51116477369802427</v>
      </c>
      <c r="K56" s="195">
        <v>1</v>
      </c>
    </row>
    <row r="57" spans="2:11" ht="15">
      <c r="B57" s="33" t="s">
        <v>72</v>
      </c>
      <c r="C57" s="191"/>
      <c r="D57" s="76">
        <f>'[33]YTD 2026'!$E6</f>
        <v>5.8230180888372871</v>
      </c>
      <c r="E57" s="192">
        <v>5</v>
      </c>
      <c r="F57" s="191"/>
      <c r="G57" s="76">
        <f>[32]May_2026!$AQ4</f>
        <v>5.4655642193228315</v>
      </c>
      <c r="H57" s="192">
        <v>5</v>
      </c>
      <c r="I57" s="196"/>
      <c r="J57" s="194">
        <f>[34]May_2026!$AQ14</f>
        <v>0.68713504693777017</v>
      </c>
      <c r="K57" s="195">
        <v>1</v>
      </c>
    </row>
    <row r="58" spans="2:11" ht="15">
      <c r="B58" s="34" t="s">
        <v>73</v>
      </c>
      <c r="C58" s="191"/>
      <c r="D58" s="76">
        <f>'[33]YTD 2026'!$E7</f>
        <v>11.435860710768946</v>
      </c>
      <c r="E58" s="192">
        <v>5</v>
      </c>
      <c r="F58" s="191"/>
      <c r="G58" s="76">
        <f>[32]May_2026!$AQ5</f>
        <v>12.618851801260744</v>
      </c>
      <c r="H58" s="192">
        <v>5</v>
      </c>
      <c r="I58" s="196"/>
      <c r="J58" s="194">
        <f>[34]May_2026!$AQ15</f>
        <v>0.26444407894736843</v>
      </c>
      <c r="K58" s="195">
        <v>1</v>
      </c>
    </row>
    <row r="59" spans="2:11" ht="15">
      <c r="B59" s="197" t="s">
        <v>74</v>
      </c>
      <c r="C59" s="191"/>
      <c r="D59" s="76">
        <f>'[33]YTD 2026'!$E8</f>
        <v>4.7166249493099075</v>
      </c>
      <c r="E59" s="192">
        <v>3.5</v>
      </c>
      <c r="F59" s="191"/>
      <c r="G59" s="76">
        <f>[32]May_2026!$AQ6</f>
        <v>4.7393662692065543</v>
      </c>
      <c r="H59" s="192">
        <v>3.5</v>
      </c>
      <c r="I59" s="196"/>
      <c r="J59" s="194">
        <f>[34]May_2026!$AQ16</f>
        <v>0.73604010025062649</v>
      </c>
      <c r="K59" s="195">
        <v>1</v>
      </c>
    </row>
    <row r="60" spans="2:11" ht="15.75" thickBot="1">
      <c r="B60" s="38" t="s">
        <v>160</v>
      </c>
      <c r="C60" s="191"/>
      <c r="D60" s="76" t="e">
        <f>'[33]YTD 2026'!$E9</f>
        <v>#DIV/0!</v>
      </c>
      <c r="E60" s="192">
        <v>3.5</v>
      </c>
      <c r="F60" s="198"/>
      <c r="G60" s="76" t="e">
        <f>[32]May_2026!$AQ7</f>
        <v>#DIV/0!</v>
      </c>
      <c r="H60" s="192">
        <v>3.5</v>
      </c>
      <c r="I60" s="196"/>
      <c r="J60" s="194" t="e">
        <f>[34]May_2026!$AQ17</f>
        <v>#DIV/0!</v>
      </c>
      <c r="K60" s="195">
        <v>1</v>
      </c>
    </row>
    <row r="61" spans="2:11" ht="15">
      <c r="B61" s="199" t="s">
        <v>76</v>
      </c>
      <c r="C61" s="191"/>
      <c r="D61" s="76">
        <f>'[33]YTD 2026'!$E10</f>
        <v>-41.553067185978556</v>
      </c>
      <c r="E61" s="200">
        <v>5</v>
      </c>
      <c r="F61" s="191"/>
      <c r="G61" s="76">
        <f>[32]May_2026!$AQ8</f>
        <v>7.4989046872874194</v>
      </c>
      <c r="H61" s="200">
        <v>5</v>
      </c>
      <c r="I61" s="196"/>
      <c r="J61" s="194">
        <f>[34]May_2026!$AQ18</f>
        <v>1.0201754385964912</v>
      </c>
      <c r="K61" s="195">
        <v>1</v>
      </c>
    </row>
    <row r="62" spans="2:11" ht="15">
      <c r="B62" s="201" t="s">
        <v>82</v>
      </c>
      <c r="C62" s="202"/>
      <c r="D62" s="76">
        <f>'[33]YTD 2026'!$E11</f>
        <v>3.7333963207914191</v>
      </c>
      <c r="E62" s="200">
        <v>3.3</v>
      </c>
      <c r="F62" s="202"/>
      <c r="G62" s="76">
        <f>[32]May_2026!$AQ9</f>
        <v>4.8412394790618878</v>
      </c>
      <c r="H62" s="200">
        <v>3.3</v>
      </c>
      <c r="I62" s="203"/>
      <c r="J62" s="194">
        <f>[34]May_2026!$AQ19</f>
        <v>0.84386695906432752</v>
      </c>
      <c r="K62" s="204">
        <v>1</v>
      </c>
    </row>
    <row r="63" spans="2:11" ht="15.75" thickBot="1">
      <c r="B63" s="38" t="s">
        <v>128</v>
      </c>
      <c r="C63" s="205"/>
      <c r="D63" s="76" t="e">
        <f>'[33]YTD 2026'!$E12</f>
        <v>#DIV/0!</v>
      </c>
      <c r="E63" s="206">
        <v>3.5</v>
      </c>
      <c r="F63" s="205"/>
      <c r="G63" s="76" t="e">
        <f>[32]May_2026!$AQ10</f>
        <v>#DIV/0!</v>
      </c>
      <c r="H63" s="206">
        <v>3.5</v>
      </c>
      <c r="I63" s="207"/>
      <c r="J63" s="194" t="e">
        <f>[34]May_2026!$AQ20</f>
        <v>#DIV/0!</v>
      </c>
      <c r="K63" s="208">
        <v>1</v>
      </c>
    </row>
    <row r="64" spans="2:11" ht="15.75" thickBot="1">
      <c r="B64" s="413" t="s">
        <v>159</v>
      </c>
      <c r="C64" s="205"/>
      <c r="D64" s="76" t="e">
        <f>'[33]YTD 2026'!$E13</f>
        <v>#DIV/0!</v>
      </c>
      <c r="E64" s="206">
        <v>5</v>
      </c>
      <c r="F64" s="205"/>
      <c r="G64" s="76" t="e">
        <f>[32]May_2026!$AQ11</f>
        <v>#DIV/0!</v>
      </c>
      <c r="H64" s="206">
        <v>5</v>
      </c>
      <c r="I64" s="207"/>
      <c r="J64" s="194" t="e">
        <f>[34]May_2026!$AQ21</f>
        <v>#DIV/0!</v>
      </c>
      <c r="K64" s="208">
        <v>1</v>
      </c>
    </row>
    <row r="65" spans="2:11">
      <c r="B65" s="209"/>
      <c r="C65" s="210"/>
      <c r="D65" s="76">
        <f>'[33]YTD 2026'!$E14</f>
        <v>5.7983590290628682</v>
      </c>
      <c r="E65" s="210"/>
      <c r="F65" s="210"/>
      <c r="G65" s="76">
        <f>[32]May_2026!$AQ12</f>
        <v>6.3897238793330811</v>
      </c>
      <c r="H65" s="211"/>
      <c r="I65" s="212"/>
      <c r="J65" s="194">
        <f>[34]May_2026!$AQ22</f>
        <v>0.57822257972257973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30" t="s">
        <v>34</v>
      </c>
      <c r="C2" s="630"/>
      <c r="D2" s="630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30" t="s">
        <v>100</v>
      </c>
      <c r="C14" s="630"/>
      <c r="D14" s="630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30" t="s">
        <v>101</v>
      </c>
      <c r="C27" s="630"/>
      <c r="D27" s="630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32" t="s">
        <v>102</v>
      </c>
      <c r="D3" s="633"/>
      <c r="E3" s="634">
        <f ca="1">TODAY()</f>
        <v>46176</v>
      </c>
      <c r="F3" s="634"/>
      <c r="G3" s="634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35" t="s">
        <v>143</v>
      </c>
      <c r="D14" s="635"/>
      <c r="E14" s="635"/>
      <c r="F14" s="635"/>
      <c r="G14" s="635"/>
      <c r="H14" s="635"/>
    </row>
    <row r="15" spans="3:23" ht="15" customHeight="1">
      <c r="C15" s="635"/>
      <c r="D15" s="635"/>
      <c r="E15" s="635"/>
      <c r="F15" s="635"/>
      <c r="G15" s="635"/>
      <c r="H15" s="635"/>
    </row>
    <row r="16" spans="3:23" ht="15" customHeight="1">
      <c r="C16" s="635"/>
      <c r="D16" s="635"/>
      <c r="E16" s="635"/>
      <c r="F16" s="635"/>
      <c r="G16" s="635"/>
      <c r="H16" s="635"/>
    </row>
    <row r="17" spans="3:8" ht="15" customHeight="1">
      <c r="C17" s="635"/>
      <c r="D17" s="635"/>
      <c r="E17" s="635"/>
      <c r="F17" s="635"/>
      <c r="G17" s="635"/>
      <c r="H17" s="635"/>
    </row>
    <row r="18" spans="3:8" ht="15" customHeight="1">
      <c r="C18" s="635"/>
      <c r="D18" s="635"/>
      <c r="E18" s="635"/>
      <c r="F18" s="635"/>
      <c r="G18" s="635"/>
      <c r="H18" s="635"/>
    </row>
    <row r="19" spans="3:8" ht="15" customHeight="1">
      <c r="C19" s="635"/>
      <c r="D19" s="635"/>
      <c r="E19" s="635"/>
      <c r="F19" s="635"/>
      <c r="G19" s="635"/>
      <c r="H19" s="635"/>
    </row>
    <row r="20" spans="3:8" ht="15" customHeight="1">
      <c r="C20" s="635"/>
      <c r="D20" s="635"/>
      <c r="E20" s="635"/>
      <c r="F20" s="635"/>
      <c r="G20" s="635"/>
      <c r="H20" s="635"/>
    </row>
    <row r="21" spans="3:8" ht="15" customHeight="1">
      <c r="C21" s="635"/>
      <c r="D21" s="635"/>
      <c r="E21" s="635"/>
      <c r="F21" s="635"/>
      <c r="G21" s="635"/>
      <c r="H21" s="635"/>
    </row>
    <row r="22" spans="3:8" ht="15" customHeight="1">
      <c r="C22" s="635"/>
      <c r="D22" s="635"/>
      <c r="E22" s="635"/>
      <c r="F22" s="635"/>
      <c r="G22" s="635"/>
      <c r="H22" s="635"/>
    </row>
    <row r="23" spans="3:8" ht="15" customHeight="1">
      <c r="C23" s="635"/>
      <c r="D23" s="635"/>
      <c r="E23" s="635"/>
      <c r="F23" s="635"/>
      <c r="G23" s="635"/>
      <c r="H23" s="635"/>
    </row>
    <row r="24" spans="3:8" ht="15" customHeight="1">
      <c r="C24" s="635"/>
      <c r="D24" s="635"/>
      <c r="E24" s="635"/>
      <c r="F24" s="635"/>
      <c r="G24" s="635"/>
      <c r="H24" s="635"/>
    </row>
    <row r="25" spans="3:8" ht="15" customHeight="1">
      <c r="C25" s="635"/>
      <c r="D25" s="635"/>
      <c r="E25" s="635"/>
      <c r="F25" s="635"/>
      <c r="G25" s="635"/>
      <c r="H25" s="635"/>
    </row>
    <row r="26" spans="3:8" ht="15" customHeight="1">
      <c r="C26" s="635"/>
      <c r="D26" s="635"/>
      <c r="E26" s="635"/>
      <c r="F26" s="635"/>
      <c r="G26" s="635"/>
      <c r="H26" s="635"/>
    </row>
    <row r="27" spans="3:8" ht="15" customHeight="1">
      <c r="C27" s="635"/>
      <c r="D27" s="635"/>
      <c r="E27" s="635"/>
      <c r="F27" s="635"/>
      <c r="G27" s="635"/>
      <c r="H27" s="635"/>
    </row>
    <row r="28" spans="3:8" ht="15" customHeight="1">
      <c r="C28" s="635"/>
      <c r="D28" s="635"/>
      <c r="E28" s="635"/>
      <c r="F28" s="635"/>
      <c r="G28" s="635"/>
      <c r="H28" s="635"/>
    </row>
    <row r="29" spans="3:8" ht="15" customHeight="1">
      <c r="C29" s="635"/>
      <c r="D29" s="635"/>
      <c r="E29" s="635"/>
      <c r="F29" s="635"/>
      <c r="G29" s="635"/>
      <c r="H29" s="635"/>
    </row>
    <row r="30" spans="3:8" ht="15" customHeight="1">
      <c r="C30" s="635"/>
      <c r="D30" s="635"/>
      <c r="E30" s="635"/>
      <c r="F30" s="635"/>
      <c r="G30" s="635"/>
      <c r="H30" s="635"/>
    </row>
    <row r="31" spans="3:8" ht="15" customHeight="1">
      <c r="C31" s="635"/>
      <c r="D31" s="635"/>
      <c r="E31" s="635"/>
      <c r="F31" s="635"/>
      <c r="G31" s="635"/>
      <c r="H31" s="635"/>
    </row>
    <row r="36" spans="2:17" ht="15" customHeight="1"/>
    <row r="37" spans="2:17" ht="15" customHeight="1"/>
    <row r="38" spans="2:17" ht="30.75" customHeight="1" thickBot="1">
      <c r="C38" s="636" t="s">
        <v>109</v>
      </c>
      <c r="D38" s="636"/>
      <c r="E38" s="636"/>
      <c r="F38" s="637">
        <f ca="1">TODAY()</f>
        <v>46176</v>
      </c>
      <c r="G38" s="637"/>
      <c r="H38" s="637"/>
      <c r="I38" s="637"/>
      <c r="J38" s="638" t="s">
        <v>110</v>
      </c>
      <c r="K38" s="638"/>
      <c r="L38" s="638"/>
      <c r="M38" s="638"/>
      <c r="N38" s="638"/>
      <c r="O38" s="638"/>
      <c r="P38" s="638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'[39]Brewer Performance'!D40</f>
        <v>96.507822129582451</v>
      </c>
      <c r="E40" s="259">
        <f>AVERAGE('[40]Feb. 1'!I12:I13,'[40]Feb. 2'!I11:I14,[40]Feb.4!I13,[40]Feb.8!I14:I16,[40]Feb.9!I14,[40]Feb.9!I17:I18,[40]Feb10!I13:I16,[40]Feb14!I17,[40]Feb14!I15:I17,[40]Feb17!I10,[40]Feb17!I19:I21,'[40]Feb 21'!I10:I12,'[40]Feb 22'!I11:I13,'[40]Feb 23'!I14:I16,'[40]Feb 24'!I10:I12,'[40]Feb 25'!I13:I15,'[40]Feb 28'!I15:I18)</f>
        <v>98.284801217583563</v>
      </c>
      <c r="F40" s="259">
        <v>98.226686244092193</v>
      </c>
      <c r="G40" s="259">
        <v>98.210530202427222</v>
      </c>
      <c r="H40" s="259">
        <f>'[41]Brewer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'[39]Brewer Performance'!D41</f>
        <v>97.99738587335284</v>
      </c>
      <c r="E41" s="259">
        <f>AVERAGE('[40]Feb. 1'!I10:I11,'[40]Feb. 2'!I10,[40]Feb.3!I11:I13,[40]Feb.4!I10:I12,[40]Feb.8!I10,[40]Feb.8!I13,[40]Feb.9!I10:I13,[40]Feb10!I10:I12,[40]Feb11!I11:I13,[40]Feb14!I13:I14,[40]Feb17!I16:I18,[40]Feb18!I13:I15,'[40]Feb 21'!I17:I19,'[40]Feb 22'!I10,'[40]Feb 22'!I20:I22,'[40]Feb 23'!I10:I11,'[40]Feb 23'!I21,'[40]Feb 25'!I10:I12,'[40]Feb 28'!I11:I14)</f>
        <v>97.918121549662388</v>
      </c>
      <c r="F41" s="259">
        <v>98.070081368185257</v>
      </c>
      <c r="G41" s="259">
        <v>97.79453968977019</v>
      </c>
      <c r="H41" s="259">
        <f>'[41]Brewer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'[39]Brewer Performance'!D43</f>
        <v>98.304611060419475</v>
      </c>
      <c r="E44" s="259">
        <f>AVERAGE('[40]Feb. 2'!I15,[40]Feb.3!I10,[40]Feb.4!I16:I17,[40]Feb.8!I19:I21,[40]Feb.9!I19:I20,[40]Feb10!I17:I18,[40]Feb11!I10,[40]Feb14!I10:I12,[40]Feb17!I11:I13,[40]Feb18!I10:I12,'[40]Feb 21'!I13,'[40]Feb 21'!I16,'[40]Feb 22'!I16:I19,'[40]Feb 23'!I17:I20,'[40]Feb 24'!I15:I18,'[40]Feb 25'!I16:I17,'[40]Feb 28'!I10,'[40]Feb 28'!I19:I20)</f>
        <v>97.289162940824014</v>
      </c>
      <c r="F44" s="259">
        <v>98.163642226187022</v>
      </c>
      <c r="G44" s="259">
        <v>97.964054285784258</v>
      </c>
      <c r="H44" s="259">
        <f>'[41]Brewer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'[39]Brewer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'[39]Brewer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31" t="s">
        <v>123</v>
      </c>
      <c r="C48" s="631"/>
      <c r="D48" s="631"/>
      <c r="E48" s="631"/>
      <c r="F48" s="631"/>
      <c r="G48" s="631"/>
      <c r="H48" s="631"/>
      <c r="I48" s="631"/>
      <c r="J48" s="631"/>
      <c r="K48" s="631"/>
      <c r="L48" s="631"/>
      <c r="M48" s="631"/>
      <c r="N48" s="631"/>
      <c r="O48" s="631"/>
      <c r="P48" s="631"/>
      <c r="Q48" s="631"/>
    </row>
    <row r="49" spans="2:17" ht="15" customHeight="1"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1"/>
      <c r="P49" s="631"/>
      <c r="Q49" s="631"/>
    </row>
    <row r="50" spans="2:17" ht="15" customHeight="1">
      <c r="B50" s="631"/>
      <c r="C50" s="631"/>
      <c r="D50" s="63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Q50" s="631"/>
    </row>
    <row r="51" spans="2:17" ht="15" customHeight="1">
      <c r="B51" s="631"/>
      <c r="C51" s="631"/>
      <c r="D51" s="631"/>
      <c r="E51" s="631"/>
      <c r="F51" s="631"/>
      <c r="G51" s="631"/>
      <c r="H51" s="631"/>
      <c r="I51" s="631"/>
      <c r="J51" s="631"/>
      <c r="K51" s="631"/>
      <c r="L51" s="631"/>
      <c r="M51" s="631"/>
      <c r="N51" s="631"/>
      <c r="O51" s="631"/>
      <c r="P51" s="631"/>
      <c r="Q51" s="631"/>
    </row>
    <row r="52" spans="2:17" ht="15" customHeight="1">
      <c r="B52" s="631"/>
      <c r="C52" s="631"/>
      <c r="D52" s="631"/>
      <c r="E52" s="631"/>
      <c r="F52" s="631"/>
      <c r="G52" s="631"/>
      <c r="H52" s="631"/>
      <c r="I52" s="631"/>
      <c r="J52" s="631"/>
      <c r="K52" s="631"/>
      <c r="L52" s="631"/>
      <c r="M52" s="631"/>
      <c r="N52" s="631"/>
      <c r="O52" s="631"/>
      <c r="P52" s="631"/>
      <c r="Q52" s="631"/>
    </row>
    <row r="53" spans="2:17" ht="15" customHeight="1">
      <c r="B53" s="631"/>
      <c r="C53" s="631"/>
      <c r="D53" s="631"/>
      <c r="E53" s="631"/>
      <c r="F53" s="631"/>
      <c r="G53" s="631"/>
      <c r="H53" s="631"/>
      <c r="I53" s="631"/>
      <c r="J53" s="631"/>
      <c r="K53" s="631"/>
      <c r="L53" s="631"/>
      <c r="M53" s="631"/>
      <c r="N53" s="631"/>
      <c r="O53" s="631"/>
      <c r="P53" s="631"/>
      <c r="Q53" s="631"/>
    </row>
    <row r="54" spans="2:17" ht="15" customHeight="1">
      <c r="B54" s="631"/>
      <c r="C54" s="631"/>
      <c r="D54" s="631"/>
      <c r="E54" s="631"/>
      <c r="F54" s="631"/>
      <c r="G54" s="631"/>
      <c r="H54" s="631"/>
      <c r="I54" s="631"/>
      <c r="J54" s="631"/>
      <c r="K54" s="631"/>
      <c r="L54" s="631"/>
      <c r="M54" s="631"/>
      <c r="N54" s="631"/>
      <c r="O54" s="631"/>
      <c r="P54" s="631"/>
      <c r="Q54" s="631"/>
    </row>
    <row r="55" spans="2:17" ht="15" customHeight="1">
      <c r="B55" s="631"/>
      <c r="C55" s="631"/>
      <c r="D55" s="631"/>
      <c r="E55" s="631"/>
      <c r="F55" s="631"/>
      <c r="G55" s="631"/>
      <c r="H55" s="631"/>
      <c r="I55" s="631"/>
      <c r="J55" s="631"/>
      <c r="K55" s="631"/>
      <c r="L55" s="631"/>
      <c r="M55" s="631"/>
      <c r="N55" s="631"/>
      <c r="O55" s="631"/>
      <c r="P55" s="631"/>
      <c r="Q55" s="631"/>
    </row>
    <row r="56" spans="2:17" ht="15" customHeight="1">
      <c r="B56" s="631"/>
      <c r="C56" s="631"/>
      <c r="D56" s="631"/>
      <c r="E56" s="631"/>
      <c r="F56" s="631"/>
      <c r="G56" s="631"/>
      <c r="H56" s="631"/>
      <c r="I56" s="631"/>
      <c r="J56" s="631"/>
      <c r="K56" s="631"/>
      <c r="L56" s="631"/>
      <c r="M56" s="631"/>
      <c r="N56" s="631"/>
      <c r="O56" s="631"/>
      <c r="P56" s="631"/>
      <c r="Q56" s="631"/>
    </row>
    <row r="57" spans="2:17" ht="15" customHeight="1">
      <c r="B57" s="631"/>
      <c r="C57" s="631"/>
      <c r="D57" s="631"/>
      <c r="E57" s="631"/>
      <c r="F57" s="631"/>
      <c r="G57" s="631"/>
      <c r="H57" s="631"/>
      <c r="I57" s="631"/>
      <c r="J57" s="631"/>
      <c r="K57" s="631"/>
      <c r="L57" s="631"/>
      <c r="M57" s="631"/>
      <c r="N57" s="631"/>
      <c r="O57" s="631"/>
      <c r="P57" s="631"/>
      <c r="Q57" s="631"/>
    </row>
    <row r="58" spans="2:17" ht="15" customHeight="1">
      <c r="B58" s="631"/>
      <c r="C58" s="631"/>
      <c r="D58" s="631"/>
      <c r="E58" s="631"/>
      <c r="F58" s="631"/>
      <c r="G58" s="631"/>
      <c r="H58" s="631"/>
      <c r="I58" s="631"/>
      <c r="J58" s="631"/>
      <c r="K58" s="631"/>
      <c r="L58" s="631"/>
      <c r="M58" s="631"/>
      <c r="N58" s="631"/>
      <c r="O58" s="631"/>
      <c r="P58" s="631"/>
      <c r="Q58" s="631"/>
    </row>
    <row r="59" spans="2:17" ht="15" customHeight="1">
      <c r="B59" s="631"/>
      <c r="C59" s="631"/>
      <c r="D59" s="631"/>
      <c r="E59" s="631"/>
      <c r="F59" s="631"/>
      <c r="G59" s="631"/>
      <c r="H59" s="631"/>
      <c r="I59" s="631"/>
      <c r="J59" s="631"/>
      <c r="K59" s="631"/>
      <c r="L59" s="631"/>
      <c r="M59" s="631"/>
      <c r="N59" s="631"/>
      <c r="O59" s="631"/>
      <c r="P59" s="631"/>
      <c r="Q59" s="631"/>
    </row>
    <row r="60" spans="2:17" ht="15" customHeight="1">
      <c r="B60" s="631"/>
      <c r="C60" s="631"/>
      <c r="D60" s="631"/>
      <c r="E60" s="631"/>
      <c r="F60" s="631"/>
      <c r="G60" s="631"/>
      <c r="H60" s="631"/>
      <c r="I60" s="631"/>
      <c r="J60" s="631"/>
      <c r="K60" s="631"/>
      <c r="L60" s="631"/>
      <c r="M60" s="631"/>
      <c r="N60" s="631"/>
      <c r="O60" s="631"/>
      <c r="P60" s="631"/>
      <c r="Q60" s="631"/>
    </row>
    <row r="61" spans="2:17" ht="15" customHeight="1">
      <c r="B61" s="631"/>
      <c r="C61" s="631"/>
      <c r="D61" s="631"/>
      <c r="E61" s="631"/>
      <c r="F61" s="631"/>
      <c r="G61" s="631"/>
      <c r="H61" s="631"/>
      <c r="I61" s="631"/>
      <c r="J61" s="631"/>
      <c r="K61" s="631"/>
      <c r="L61" s="631"/>
      <c r="M61" s="631"/>
      <c r="N61" s="631"/>
      <c r="O61" s="631"/>
      <c r="P61" s="631"/>
      <c r="Q61" s="631"/>
    </row>
    <row r="62" spans="2:17" ht="15" customHeight="1">
      <c r="B62" s="631"/>
      <c r="C62" s="631"/>
      <c r="D62" s="631"/>
      <c r="E62" s="631"/>
      <c r="F62" s="631"/>
      <c r="G62" s="631"/>
      <c r="H62" s="631"/>
      <c r="I62" s="631"/>
      <c r="J62" s="631"/>
      <c r="K62" s="631"/>
      <c r="L62" s="631"/>
      <c r="M62" s="631"/>
      <c r="N62" s="631"/>
      <c r="O62" s="631"/>
      <c r="P62" s="631"/>
      <c r="Q62" s="631"/>
    </row>
    <row r="63" spans="2:17" ht="15" customHeight="1">
      <c r="B63" s="631"/>
      <c r="C63" s="631"/>
      <c r="D63" s="631"/>
      <c r="E63" s="631"/>
      <c r="F63" s="631"/>
      <c r="G63" s="631"/>
      <c r="H63" s="631"/>
      <c r="I63" s="631"/>
      <c r="J63" s="631"/>
      <c r="K63" s="631"/>
      <c r="L63" s="631"/>
      <c r="M63" s="631"/>
      <c r="N63" s="631"/>
      <c r="O63" s="631"/>
      <c r="P63" s="631"/>
      <c r="Q63" s="631"/>
    </row>
    <row r="64" spans="2:17" ht="15" customHeight="1"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1"/>
      <c r="P64" s="631"/>
      <c r="Q64" s="631"/>
    </row>
    <row r="65" spans="2:17" ht="15" customHeight="1">
      <c r="B65" s="631"/>
      <c r="C65" s="631"/>
      <c r="D65" s="631"/>
      <c r="E65" s="631"/>
      <c r="F65" s="631"/>
      <c r="G65" s="631"/>
      <c r="H65" s="631"/>
      <c r="I65" s="631"/>
      <c r="J65" s="631"/>
      <c r="K65" s="631"/>
      <c r="L65" s="631"/>
      <c r="M65" s="631"/>
      <c r="N65" s="631"/>
      <c r="O65" s="631"/>
      <c r="P65" s="631"/>
      <c r="Q65" s="631"/>
    </row>
    <row r="66" spans="2:17" ht="15" customHeight="1">
      <c r="B66" s="631"/>
      <c r="C66" s="631"/>
      <c r="D66" s="631"/>
      <c r="E66" s="631"/>
      <c r="F66" s="631"/>
      <c r="G66" s="631"/>
      <c r="H66" s="631"/>
      <c r="I66" s="631"/>
      <c r="J66" s="631"/>
      <c r="K66" s="631"/>
      <c r="L66" s="631"/>
      <c r="M66" s="631"/>
      <c r="N66" s="631"/>
      <c r="O66" s="631"/>
      <c r="P66" s="631"/>
      <c r="Q66" s="631"/>
    </row>
    <row r="67" spans="2:17" ht="15" customHeight="1">
      <c r="B67" s="631"/>
      <c r="C67" s="631"/>
      <c r="D67" s="631"/>
      <c r="E67" s="631"/>
      <c r="F67" s="631"/>
      <c r="G67" s="631"/>
      <c r="H67" s="631"/>
      <c r="I67" s="631"/>
      <c r="J67" s="631"/>
      <c r="K67" s="631"/>
      <c r="L67" s="631"/>
      <c r="M67" s="631"/>
      <c r="N67" s="631"/>
      <c r="O67" s="631"/>
      <c r="P67" s="631"/>
      <c r="Q67" s="631"/>
    </row>
    <row r="68" spans="2:17" ht="15" customHeight="1">
      <c r="B68" s="631"/>
      <c r="C68" s="631"/>
      <c r="D68" s="631"/>
      <c r="E68" s="631"/>
      <c r="F68" s="631"/>
      <c r="G68" s="631"/>
      <c r="H68" s="631"/>
      <c r="I68" s="631"/>
      <c r="J68" s="631"/>
      <c r="K68" s="631"/>
      <c r="L68" s="631"/>
      <c r="M68" s="631"/>
      <c r="N68" s="631"/>
      <c r="O68" s="631"/>
      <c r="P68" s="631"/>
      <c r="Q68" s="631"/>
    </row>
    <row r="69" spans="2:17" ht="15" customHeight="1">
      <c r="B69" s="631"/>
      <c r="C69" s="631"/>
      <c r="D69" s="631"/>
      <c r="E69" s="631"/>
      <c r="F69" s="631"/>
      <c r="G69" s="631"/>
      <c r="H69" s="631"/>
      <c r="I69" s="631"/>
      <c r="J69" s="631"/>
      <c r="K69" s="631"/>
      <c r="L69" s="631"/>
      <c r="M69" s="631"/>
      <c r="N69" s="631"/>
      <c r="O69" s="631"/>
      <c r="P69" s="631"/>
      <c r="Q69" s="631"/>
    </row>
    <row r="70" spans="2:17" ht="15" customHeight="1">
      <c r="B70" s="631"/>
      <c r="C70" s="631"/>
      <c r="D70" s="631"/>
      <c r="E70" s="631"/>
      <c r="F70" s="631"/>
      <c r="G70" s="631"/>
      <c r="H70" s="631"/>
      <c r="I70" s="631"/>
      <c r="J70" s="631"/>
      <c r="K70" s="631"/>
      <c r="L70" s="631"/>
      <c r="M70" s="631"/>
      <c r="N70" s="631"/>
      <c r="O70" s="631"/>
      <c r="P70" s="631"/>
      <c r="Q70" s="631"/>
    </row>
    <row r="71" spans="2:17" ht="15" customHeight="1">
      <c r="B71" s="631"/>
      <c r="C71" s="631"/>
      <c r="D71" s="631"/>
      <c r="E71" s="631"/>
      <c r="F71" s="631"/>
      <c r="G71" s="631"/>
      <c r="H71" s="631"/>
      <c r="I71" s="631"/>
      <c r="J71" s="631"/>
      <c r="K71" s="631"/>
      <c r="L71" s="631"/>
      <c r="M71" s="631"/>
      <c r="N71" s="631"/>
      <c r="O71" s="631"/>
      <c r="P71" s="631"/>
      <c r="Q71" s="631"/>
    </row>
    <row r="72" spans="2:17" ht="15" customHeight="1">
      <c r="B72" s="631"/>
      <c r="C72" s="631"/>
      <c r="D72" s="631"/>
      <c r="E72" s="631"/>
      <c r="F72" s="631"/>
      <c r="G72" s="631"/>
      <c r="H72" s="631"/>
      <c r="I72" s="631"/>
      <c r="J72" s="631"/>
      <c r="K72" s="631"/>
      <c r="L72" s="631"/>
      <c r="M72" s="631"/>
      <c r="N72" s="631"/>
      <c r="O72" s="631"/>
      <c r="P72" s="631"/>
      <c r="Q72" s="631"/>
    </row>
    <row r="73" spans="2:17" ht="15" customHeight="1">
      <c r="B73" s="631"/>
      <c r="C73" s="631"/>
      <c r="D73" s="631"/>
      <c r="E73" s="631"/>
      <c r="F73" s="631"/>
      <c r="G73" s="631"/>
      <c r="H73" s="631"/>
      <c r="I73" s="631"/>
      <c r="J73" s="631"/>
      <c r="K73" s="631"/>
      <c r="L73" s="631"/>
      <c r="M73" s="631"/>
      <c r="N73" s="631"/>
      <c r="O73" s="631"/>
      <c r="P73" s="631"/>
      <c r="Q73" s="631"/>
    </row>
    <row r="74" spans="2:17" ht="15" customHeight="1">
      <c r="B74" s="631"/>
      <c r="C74" s="631"/>
      <c r="D74" s="631"/>
      <c r="E74" s="631"/>
      <c r="F74" s="631"/>
      <c r="G74" s="631"/>
      <c r="H74" s="631"/>
      <c r="I74" s="631"/>
      <c r="J74" s="631"/>
      <c r="K74" s="631"/>
      <c r="L74" s="631"/>
      <c r="M74" s="631"/>
      <c r="N74" s="631"/>
      <c r="O74" s="631"/>
      <c r="P74" s="631"/>
      <c r="Q74" s="631"/>
    </row>
    <row r="75" spans="2:17" ht="15" customHeight="1">
      <c r="B75" s="631"/>
      <c r="C75" s="631"/>
      <c r="D75" s="631"/>
      <c r="E75" s="631"/>
      <c r="F75" s="631"/>
      <c r="G75" s="631"/>
      <c r="H75" s="631"/>
      <c r="I75" s="631"/>
      <c r="J75" s="631"/>
      <c r="K75" s="631"/>
      <c r="L75" s="631"/>
      <c r="M75" s="631"/>
      <c r="N75" s="631"/>
      <c r="O75" s="631"/>
      <c r="P75" s="631"/>
      <c r="Q75" s="631"/>
    </row>
    <row r="76" spans="2:17">
      <c r="B76" s="631"/>
      <c r="C76" s="631"/>
      <c r="D76" s="631"/>
      <c r="E76" s="631"/>
      <c r="F76" s="631"/>
      <c r="G76" s="631"/>
      <c r="H76" s="631"/>
      <c r="I76" s="631"/>
      <c r="J76" s="631"/>
      <c r="K76" s="631"/>
      <c r="L76" s="631"/>
      <c r="M76" s="631"/>
      <c r="N76" s="631"/>
      <c r="O76" s="631"/>
      <c r="P76" s="631"/>
      <c r="Q76" s="631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Dec 18th</vt:lpstr>
      <vt:lpstr>May 2nd-23rd</vt:lpstr>
      <vt:lpstr>May 4th</vt:lpstr>
      <vt:lpstr>May 5th</vt:lpstr>
      <vt:lpstr>May 6th</vt:lpstr>
      <vt:lpstr>May 7th</vt:lpstr>
      <vt:lpstr>May 8th -9th</vt:lpstr>
      <vt:lpstr>May 11th</vt:lpstr>
      <vt:lpstr>May 12th </vt:lpstr>
      <vt:lpstr>May 13th</vt:lpstr>
      <vt:lpstr>May 14th</vt:lpstr>
      <vt:lpstr>May 15th-16th</vt:lpstr>
      <vt:lpstr>May 18th</vt:lpstr>
      <vt:lpstr>May 19th </vt:lpstr>
      <vt:lpstr>May 20th</vt:lpstr>
      <vt:lpstr>May 21st</vt:lpstr>
      <vt:lpstr>May 22nd -23rd</vt:lpstr>
      <vt:lpstr>May 26th</vt:lpstr>
      <vt:lpstr>May 27th</vt:lpstr>
      <vt:lpstr>May 28th</vt:lpstr>
      <vt:lpstr>May 29th 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2026-06-03T17:57:38Z</dcterms:modified>
</cp:coreProperties>
</file>