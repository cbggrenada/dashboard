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D5656C2D-6B32-4F65-B7C6-6C1F852A820C}" xr6:coauthVersionLast="47" xr6:coauthVersionMax="47" xr10:uidLastSave="{00000000-0000-0000-0000-000000000000}"/>
  <bookViews>
    <workbookView xWindow="-108" yWindow="-108" windowWidth="23256" windowHeight="12456" tabRatio="599" firstSheet="20" activeTab="20" xr2:uid="{1120807F-7390-4E10-A66F-84111922E872}"/>
  </bookViews>
  <sheets>
    <sheet name="Dec 18th" sheetId="658" state="hidden" r:id="rId1"/>
    <sheet name="Feb 3rd" sheetId="706" r:id="rId2"/>
    <sheet name="Feb 4th" sheetId="707" r:id="rId3"/>
    <sheet name="Feb 5th" sheetId="708" r:id="rId4"/>
    <sheet name="Feb 6th" sheetId="709" r:id="rId5"/>
    <sheet name="Feb 10th" sheetId="710" r:id="rId6"/>
    <sheet name="Feb 11th" sheetId="711" r:id="rId7"/>
    <sheet name="Feb 12th" sheetId="713" r:id="rId8"/>
    <sheet name="Feb 13th" sheetId="714" r:id="rId9"/>
    <sheet name="Feb 14th" sheetId="715" r:id="rId10"/>
    <sheet name="Feb 17th" sheetId="718" r:id="rId11"/>
    <sheet name="Feb 18th" sheetId="716" r:id="rId12"/>
    <sheet name="Feb 19th " sheetId="717" r:id="rId13"/>
    <sheet name="Feb 20th" sheetId="719" r:id="rId14"/>
    <sheet name="Feb 21st" sheetId="720" r:id="rId15"/>
    <sheet name="Feb 23rd" sheetId="721" r:id="rId16"/>
    <sheet name="Feb 24th" sheetId="722" r:id="rId17"/>
    <sheet name="Feb 25th" sheetId="723" r:id="rId18"/>
    <sheet name="Feb 26th" sheetId="724" r:id="rId19"/>
    <sheet name="Feb 27th" sheetId="725" r:id="rId20"/>
    <sheet name="Feb 28th" sheetId="726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5" i="726" l="1"/>
  <c r="L25" i="726"/>
  <c r="M26" i="726" l="1"/>
  <c r="L26" i="726"/>
  <c r="K26" i="726"/>
  <c r="D11" i="711"/>
  <c r="D12" i="711"/>
  <c r="D13" i="711"/>
  <c r="D14" i="711"/>
  <c r="D15" i="711"/>
  <c r="D10" i="711"/>
  <c r="O11" i="711"/>
  <c r="O12" i="711"/>
  <c r="O13" i="711"/>
  <c r="O14" i="711"/>
  <c r="O15" i="711"/>
  <c r="O10" i="711"/>
  <c r="G67" i="726"/>
  <c r="K54" i="726"/>
  <c r="K67" i="726" s="1"/>
  <c r="F54" i="726"/>
  <c r="G54" i="726"/>
  <c r="D54" i="726"/>
  <c r="B54" i="726" l="1"/>
  <c r="K39" i="726"/>
  <c r="K25" i="726"/>
  <c r="C25" i="726" a="1"/>
  <c r="C25" i="726" s="1"/>
  <c r="S11" i="726"/>
  <c r="T11" i="726"/>
  <c r="U11" i="726"/>
  <c r="V11" i="726"/>
  <c r="W11" i="726"/>
  <c r="X11" i="726"/>
  <c r="Y11" i="726"/>
  <c r="Z11" i="726"/>
  <c r="AA11" i="726"/>
  <c r="S12" i="726"/>
  <c r="T12" i="726"/>
  <c r="U12" i="726"/>
  <c r="V12" i="726"/>
  <c r="W12" i="726"/>
  <c r="X12" i="726"/>
  <c r="Y12" i="726"/>
  <c r="Z12" i="726"/>
  <c r="AA12" i="726"/>
  <c r="S13" i="726"/>
  <c r="T13" i="726"/>
  <c r="U13" i="726"/>
  <c r="V13" i="726"/>
  <c r="W13" i="726"/>
  <c r="X13" i="726"/>
  <c r="Y13" i="726"/>
  <c r="Z13" i="726"/>
  <c r="AA13" i="726"/>
  <c r="S14" i="726"/>
  <c r="T14" i="726"/>
  <c r="U14" i="726"/>
  <c r="V14" i="726"/>
  <c r="W14" i="726"/>
  <c r="X14" i="726"/>
  <c r="Y14" i="726"/>
  <c r="Z14" i="726"/>
  <c r="AA14" i="726"/>
  <c r="S15" i="726"/>
  <c r="T15" i="726"/>
  <c r="U15" i="726"/>
  <c r="V15" i="726"/>
  <c r="W15" i="726"/>
  <c r="X15" i="726"/>
  <c r="Y15" i="726"/>
  <c r="Z15" i="726"/>
  <c r="AA15" i="726"/>
  <c r="S16" i="726"/>
  <c r="T16" i="726"/>
  <c r="U16" i="726"/>
  <c r="V16" i="726"/>
  <c r="W16" i="726"/>
  <c r="X16" i="726"/>
  <c r="Y16" i="726"/>
  <c r="Z16" i="726"/>
  <c r="AA16" i="726"/>
  <c r="S17" i="726"/>
  <c r="T17" i="726"/>
  <c r="U17" i="726"/>
  <c r="V17" i="726"/>
  <c r="W17" i="726"/>
  <c r="X17" i="726"/>
  <c r="Y17" i="726"/>
  <c r="Z17" i="726"/>
  <c r="AA17" i="726"/>
  <c r="S18" i="726"/>
  <c r="T18" i="726"/>
  <c r="U18" i="726"/>
  <c r="V18" i="726"/>
  <c r="W18" i="726"/>
  <c r="X18" i="726"/>
  <c r="Y18" i="726"/>
  <c r="Z18" i="726"/>
  <c r="AA18" i="726"/>
  <c r="S19" i="726"/>
  <c r="T19" i="726"/>
  <c r="U19" i="726"/>
  <c r="V19" i="726"/>
  <c r="W19" i="726"/>
  <c r="X19" i="726"/>
  <c r="Y19" i="726"/>
  <c r="Z19" i="726"/>
  <c r="AA19" i="726"/>
  <c r="C12" i="726"/>
  <c r="D12" i="726"/>
  <c r="E12" i="726"/>
  <c r="F12" i="726"/>
  <c r="G12" i="726"/>
  <c r="I12" i="726"/>
  <c r="J12" i="726"/>
  <c r="K12" i="726"/>
  <c r="L12" i="726"/>
  <c r="M12" i="726"/>
  <c r="N12" i="726"/>
  <c r="O12" i="726"/>
  <c r="C13" i="726"/>
  <c r="D13" i="726"/>
  <c r="E13" i="726"/>
  <c r="F13" i="726"/>
  <c r="G13" i="726"/>
  <c r="I13" i="726"/>
  <c r="J13" i="726"/>
  <c r="K13" i="726"/>
  <c r="L13" i="726"/>
  <c r="M13" i="726"/>
  <c r="N13" i="726"/>
  <c r="O13" i="726"/>
  <c r="C14" i="726"/>
  <c r="D14" i="726"/>
  <c r="E14" i="726"/>
  <c r="F14" i="726"/>
  <c r="G14" i="726"/>
  <c r="I14" i="726"/>
  <c r="J14" i="726"/>
  <c r="K14" i="726"/>
  <c r="L14" i="726"/>
  <c r="M14" i="726"/>
  <c r="N14" i="726"/>
  <c r="O14" i="726"/>
  <c r="C15" i="726"/>
  <c r="D15" i="726"/>
  <c r="E15" i="726"/>
  <c r="F15" i="726"/>
  <c r="G15" i="726"/>
  <c r="I15" i="726"/>
  <c r="J15" i="726"/>
  <c r="K15" i="726"/>
  <c r="L15" i="726"/>
  <c r="M15" i="726"/>
  <c r="N15" i="726"/>
  <c r="O15" i="726"/>
  <c r="C16" i="726"/>
  <c r="D16" i="726"/>
  <c r="E16" i="726"/>
  <c r="F16" i="726"/>
  <c r="G16" i="726"/>
  <c r="I16" i="726"/>
  <c r="J16" i="726"/>
  <c r="K16" i="726"/>
  <c r="L16" i="726"/>
  <c r="M16" i="726"/>
  <c r="N16" i="726"/>
  <c r="O16" i="726"/>
  <c r="F71" i="726"/>
  <c r="AY59" i="726"/>
  <c r="AX59" i="726"/>
  <c r="AW59" i="726"/>
  <c r="AV59" i="726"/>
  <c r="AU59" i="726"/>
  <c r="AT59" i="726"/>
  <c r="AS59" i="726"/>
  <c r="AR59" i="726"/>
  <c r="AQ59" i="726"/>
  <c r="AP59" i="726"/>
  <c r="AO59" i="726"/>
  <c r="AN59" i="726"/>
  <c r="AM59" i="726"/>
  <c r="AL59" i="726"/>
  <c r="AK59" i="726"/>
  <c r="AJ59" i="726"/>
  <c r="AI59" i="726"/>
  <c r="AH59" i="726"/>
  <c r="AG59" i="726"/>
  <c r="AF59" i="726"/>
  <c r="AE59" i="726"/>
  <c r="AD59" i="726"/>
  <c r="AC59" i="726"/>
  <c r="AB59" i="726"/>
  <c r="AA59" i="726"/>
  <c r="Z59" i="726"/>
  <c r="Y59" i="726"/>
  <c r="X59" i="726"/>
  <c r="W59" i="726"/>
  <c r="V59" i="726"/>
  <c r="U59" i="726"/>
  <c r="AY57" i="726"/>
  <c r="AX57" i="726"/>
  <c r="AW57" i="726"/>
  <c r="AV57" i="726"/>
  <c r="AU57" i="726"/>
  <c r="AT57" i="726"/>
  <c r="AS57" i="726"/>
  <c r="AR57" i="726"/>
  <c r="AQ57" i="726"/>
  <c r="AP57" i="726"/>
  <c r="AO57" i="726"/>
  <c r="AN57" i="726"/>
  <c r="AM57" i="726"/>
  <c r="AL57" i="726"/>
  <c r="AK57" i="726"/>
  <c r="AJ57" i="726"/>
  <c r="AI57" i="726"/>
  <c r="AH57" i="726"/>
  <c r="AG57" i="726"/>
  <c r="AF57" i="726"/>
  <c r="AE57" i="726"/>
  <c r="AD57" i="726"/>
  <c r="AC57" i="726"/>
  <c r="AB57" i="726"/>
  <c r="AA57" i="726"/>
  <c r="Z57" i="726"/>
  <c r="Y57" i="726"/>
  <c r="X57" i="726"/>
  <c r="W57" i="726"/>
  <c r="V57" i="726"/>
  <c r="U57" i="726"/>
  <c r="D47" i="726"/>
  <c r="K40" i="726"/>
  <c r="K49" i="726" s="1"/>
  <c r="M32" i="726"/>
  <c r="M31" i="726"/>
  <c r="L31" i="726"/>
  <c r="K31" i="726"/>
  <c r="M30" i="726"/>
  <c r="M28" i="726"/>
  <c r="L28" i="726"/>
  <c r="K28" i="726"/>
  <c r="M27" i="726"/>
  <c r="L27" i="726"/>
  <c r="K27" i="726"/>
  <c r="AA23" i="726"/>
  <c r="Z23" i="726"/>
  <c r="Y23" i="726"/>
  <c r="X23" i="726"/>
  <c r="W23" i="726"/>
  <c r="V23" i="726"/>
  <c r="U23" i="726"/>
  <c r="T23" i="726"/>
  <c r="S23" i="726"/>
  <c r="AA22" i="726"/>
  <c r="Z22" i="726"/>
  <c r="Y22" i="726"/>
  <c r="X22" i="726"/>
  <c r="W22" i="726"/>
  <c r="V22" i="726"/>
  <c r="U22" i="726"/>
  <c r="T22" i="726"/>
  <c r="S22" i="726"/>
  <c r="AA21" i="726"/>
  <c r="Z21" i="726"/>
  <c r="Y21" i="726"/>
  <c r="X21" i="726"/>
  <c r="W21" i="726"/>
  <c r="V21" i="726"/>
  <c r="U21" i="726"/>
  <c r="T21" i="726"/>
  <c r="S21" i="726"/>
  <c r="AA20" i="726"/>
  <c r="Z20" i="726"/>
  <c r="Y20" i="726"/>
  <c r="X20" i="726"/>
  <c r="W20" i="726"/>
  <c r="V20" i="726"/>
  <c r="U20" i="726"/>
  <c r="T20" i="726"/>
  <c r="S20" i="726"/>
  <c r="AA10" i="726"/>
  <c r="Z10" i="726"/>
  <c r="Y10" i="726"/>
  <c r="X10" i="726"/>
  <c r="W10" i="726"/>
  <c r="V10" i="726"/>
  <c r="U10" i="726"/>
  <c r="T10" i="726"/>
  <c r="S10" i="726"/>
  <c r="O10" i="726"/>
  <c r="N10" i="726"/>
  <c r="M10" i="726"/>
  <c r="L10" i="726"/>
  <c r="K10" i="726"/>
  <c r="J10" i="726"/>
  <c r="I10" i="726"/>
  <c r="J26" i="726" s="1"/>
  <c r="G10" i="726"/>
  <c r="F10" i="726"/>
  <c r="E10" i="726"/>
  <c r="D10" i="726"/>
  <c r="C10" i="726"/>
  <c r="M24" i="725"/>
  <c r="L24" i="725"/>
  <c r="K24" i="725"/>
  <c r="L54" i="726" l="1"/>
  <c r="C67" i="726" s="1"/>
  <c r="J25" i="726"/>
  <c r="I54" i="726"/>
  <c r="K35" i="726"/>
  <c r="L35" i="726" s="1"/>
  <c r="K38" i="725"/>
  <c r="M35" i="726" l="1"/>
  <c r="H54" i="726"/>
  <c r="G64" i="725"/>
  <c r="F52" i="725"/>
  <c r="G52" i="725"/>
  <c r="D52" i="725"/>
  <c r="K52" i="725"/>
  <c r="K64" i="725" s="1"/>
  <c r="S10" i="725" l="1"/>
  <c r="T10" i="725"/>
  <c r="U10" i="725"/>
  <c r="V10" i="725"/>
  <c r="W10" i="725"/>
  <c r="X10" i="725"/>
  <c r="Y10" i="725"/>
  <c r="Z10" i="725"/>
  <c r="AA10" i="725"/>
  <c r="S11" i="725"/>
  <c r="T11" i="725"/>
  <c r="U11" i="725"/>
  <c r="V11" i="725"/>
  <c r="W11" i="725"/>
  <c r="X11" i="725"/>
  <c r="Y11" i="725"/>
  <c r="Z11" i="725"/>
  <c r="AA11" i="725"/>
  <c r="S12" i="725"/>
  <c r="T12" i="725"/>
  <c r="U12" i="725"/>
  <c r="V12" i="725"/>
  <c r="W12" i="725"/>
  <c r="X12" i="725"/>
  <c r="Y12" i="725"/>
  <c r="Z12" i="725"/>
  <c r="AA12" i="725"/>
  <c r="S13" i="725"/>
  <c r="T13" i="725"/>
  <c r="U13" i="725"/>
  <c r="V13" i="725"/>
  <c r="W13" i="725"/>
  <c r="X13" i="725"/>
  <c r="Y13" i="725"/>
  <c r="Z13" i="725"/>
  <c r="AA13" i="725"/>
  <c r="S14" i="725"/>
  <c r="T14" i="725"/>
  <c r="U14" i="725"/>
  <c r="V14" i="725"/>
  <c r="W14" i="725"/>
  <c r="X14" i="725"/>
  <c r="Y14" i="725"/>
  <c r="Z14" i="725"/>
  <c r="AA14" i="725"/>
  <c r="S15" i="725"/>
  <c r="T15" i="725"/>
  <c r="U15" i="725"/>
  <c r="V15" i="725"/>
  <c r="W15" i="725"/>
  <c r="X15" i="725"/>
  <c r="Y15" i="725"/>
  <c r="Z15" i="725"/>
  <c r="AA15" i="725"/>
  <c r="S16" i="725"/>
  <c r="T16" i="725"/>
  <c r="U16" i="725"/>
  <c r="V16" i="725"/>
  <c r="W16" i="725"/>
  <c r="X16" i="725"/>
  <c r="Y16" i="725"/>
  <c r="Z16" i="725"/>
  <c r="AA16" i="725"/>
  <c r="S17" i="725"/>
  <c r="T17" i="725"/>
  <c r="U17" i="725"/>
  <c r="V17" i="725"/>
  <c r="W17" i="725"/>
  <c r="X17" i="725"/>
  <c r="Y17" i="725"/>
  <c r="Z17" i="725"/>
  <c r="AA17" i="725"/>
  <c r="S18" i="725"/>
  <c r="T18" i="725"/>
  <c r="U18" i="725"/>
  <c r="V18" i="725"/>
  <c r="W18" i="725"/>
  <c r="X18" i="725"/>
  <c r="Y18" i="725"/>
  <c r="Z18" i="725"/>
  <c r="AA18" i="725"/>
  <c r="C10" i="725"/>
  <c r="D10" i="725"/>
  <c r="E10" i="725"/>
  <c r="F10" i="725"/>
  <c r="G10" i="725"/>
  <c r="I10" i="725"/>
  <c r="J10" i="725"/>
  <c r="K10" i="725"/>
  <c r="L10" i="725"/>
  <c r="M10" i="725"/>
  <c r="N10" i="725"/>
  <c r="O10" i="725"/>
  <c r="C11" i="725"/>
  <c r="D11" i="725"/>
  <c r="E11" i="725"/>
  <c r="F11" i="725"/>
  <c r="G11" i="725"/>
  <c r="I11" i="725"/>
  <c r="J11" i="725"/>
  <c r="K11" i="725"/>
  <c r="L11" i="725"/>
  <c r="M11" i="725"/>
  <c r="N11" i="725"/>
  <c r="O11" i="725"/>
  <c r="C12" i="725"/>
  <c r="D12" i="725"/>
  <c r="E12" i="725"/>
  <c r="F12" i="725"/>
  <c r="G12" i="725"/>
  <c r="I12" i="725"/>
  <c r="J12" i="725"/>
  <c r="K12" i="725"/>
  <c r="L12" i="725"/>
  <c r="M12" i="725"/>
  <c r="N12" i="725"/>
  <c r="O12" i="725"/>
  <c r="C13" i="725"/>
  <c r="D13" i="725"/>
  <c r="E13" i="725"/>
  <c r="F13" i="725"/>
  <c r="G13" i="725"/>
  <c r="I13" i="725"/>
  <c r="J13" i="725"/>
  <c r="K13" i="725"/>
  <c r="L13" i="725"/>
  <c r="M13" i="725"/>
  <c r="O13" i="725"/>
  <c r="C14" i="725"/>
  <c r="D14" i="725"/>
  <c r="E14" i="725"/>
  <c r="F14" i="725"/>
  <c r="G14" i="725"/>
  <c r="I14" i="725"/>
  <c r="J14" i="725"/>
  <c r="K14" i="725"/>
  <c r="L14" i="725"/>
  <c r="M14" i="725"/>
  <c r="N14" i="725"/>
  <c r="O14" i="725"/>
  <c r="C15" i="725"/>
  <c r="D15" i="725"/>
  <c r="E15" i="725"/>
  <c r="F15" i="725"/>
  <c r="G15" i="725"/>
  <c r="I15" i="725"/>
  <c r="J15" i="725"/>
  <c r="K15" i="725"/>
  <c r="L15" i="725"/>
  <c r="M15" i="725"/>
  <c r="N15" i="725"/>
  <c r="O15" i="725"/>
  <c r="C16" i="725"/>
  <c r="D16" i="725"/>
  <c r="E16" i="725"/>
  <c r="F16" i="725"/>
  <c r="G16" i="725"/>
  <c r="I16" i="725"/>
  <c r="J16" i="725"/>
  <c r="K16" i="725"/>
  <c r="L16" i="725"/>
  <c r="M16" i="725"/>
  <c r="N16" i="725"/>
  <c r="O16" i="725"/>
  <c r="K47" i="725"/>
  <c r="F69" i="725"/>
  <c r="AY57" i="725"/>
  <c r="AX57" i="725"/>
  <c r="AW57" i="725"/>
  <c r="AV57" i="725"/>
  <c r="AU57" i="725"/>
  <c r="AT57" i="725"/>
  <c r="AS57" i="725"/>
  <c r="AR57" i="725"/>
  <c r="AQ57" i="725"/>
  <c r="AP57" i="725"/>
  <c r="AO57" i="725"/>
  <c r="AN57" i="725"/>
  <c r="AM57" i="725"/>
  <c r="AL57" i="725"/>
  <c r="AK57" i="725"/>
  <c r="AJ57" i="725"/>
  <c r="AI57" i="725"/>
  <c r="AH57" i="725"/>
  <c r="AG57" i="725"/>
  <c r="AF57" i="725"/>
  <c r="AE57" i="725"/>
  <c r="AD57" i="725"/>
  <c r="AC57" i="725"/>
  <c r="AB57" i="725"/>
  <c r="AA57" i="725"/>
  <c r="Z57" i="725"/>
  <c r="Y57" i="725"/>
  <c r="X57" i="725"/>
  <c r="W57" i="725"/>
  <c r="V57" i="725"/>
  <c r="U57" i="725"/>
  <c r="AY55" i="725"/>
  <c r="AX55" i="725"/>
  <c r="AW55" i="725"/>
  <c r="AV55" i="725"/>
  <c r="AU55" i="725"/>
  <c r="AT55" i="725"/>
  <c r="AS55" i="725"/>
  <c r="AR55" i="725"/>
  <c r="AQ55" i="725"/>
  <c r="AP55" i="725"/>
  <c r="AO55" i="725"/>
  <c r="AN55" i="725"/>
  <c r="AM55" i="725"/>
  <c r="AL55" i="725"/>
  <c r="AK55" i="725"/>
  <c r="AJ55" i="725"/>
  <c r="AI55" i="725"/>
  <c r="AH55" i="725"/>
  <c r="AG55" i="725"/>
  <c r="AF55" i="725"/>
  <c r="AE55" i="725"/>
  <c r="AD55" i="725"/>
  <c r="AC55" i="725"/>
  <c r="AB55" i="725"/>
  <c r="AA55" i="725"/>
  <c r="Z55" i="725"/>
  <c r="Y55" i="725"/>
  <c r="X55" i="725"/>
  <c r="W55" i="725"/>
  <c r="V55" i="725"/>
  <c r="U55" i="725"/>
  <c r="I52" i="725"/>
  <c r="L52" i="725"/>
  <c r="C64" i="725" s="1"/>
  <c r="B52" i="725"/>
  <c r="D45" i="725"/>
  <c r="M30" i="725"/>
  <c r="M29" i="725"/>
  <c r="L29" i="725"/>
  <c r="K29" i="725"/>
  <c r="M28" i="725"/>
  <c r="M26" i="725"/>
  <c r="L26" i="725"/>
  <c r="K26" i="725"/>
  <c r="M25" i="725"/>
  <c r="L25" i="725"/>
  <c r="K25" i="725"/>
  <c r="M23" i="725"/>
  <c r="L23" i="725"/>
  <c r="K23" i="725"/>
  <c r="AA21" i="725"/>
  <c r="Z21" i="725"/>
  <c r="Y21" i="725"/>
  <c r="X21" i="725"/>
  <c r="W21" i="725"/>
  <c r="V21" i="725"/>
  <c r="U21" i="725"/>
  <c r="T21" i="725"/>
  <c r="S21" i="725"/>
  <c r="AA20" i="725"/>
  <c r="Z20" i="725"/>
  <c r="Y20" i="725"/>
  <c r="X20" i="725"/>
  <c r="W20" i="725"/>
  <c r="V20" i="725"/>
  <c r="U20" i="725"/>
  <c r="T20" i="725"/>
  <c r="S20" i="725"/>
  <c r="AA19" i="725"/>
  <c r="Z19" i="725"/>
  <c r="Y19" i="725"/>
  <c r="X19" i="725"/>
  <c r="W19" i="725"/>
  <c r="V19" i="725"/>
  <c r="U19" i="725"/>
  <c r="T19" i="725"/>
  <c r="S19" i="725"/>
  <c r="C39" i="724" a="1"/>
  <c r="C39" i="724" s="1"/>
  <c r="C37" i="724" a="1"/>
  <c r="C37" i="724" s="1"/>
  <c r="G68" i="724"/>
  <c r="G66" i="724"/>
  <c r="K56" i="724"/>
  <c r="K68" i="724" s="1"/>
  <c r="G56" i="724"/>
  <c r="G54" i="724"/>
  <c r="D56" i="724"/>
  <c r="D54" i="724"/>
  <c r="F54" i="724"/>
  <c r="K54" i="724"/>
  <c r="J24" i="725" l="1"/>
  <c r="K33" i="725"/>
  <c r="L33" i="725" s="1"/>
  <c r="M33" i="725" s="1"/>
  <c r="H52" i="725"/>
  <c r="L56" i="724"/>
  <c r="C68" i="724" s="1"/>
  <c r="K49" i="724"/>
  <c r="K40" i="724"/>
  <c r="K39" i="724"/>
  <c r="L25" i="724"/>
  <c r="M25" i="724"/>
  <c r="K25" i="724"/>
  <c r="M26" i="724"/>
  <c r="L26" i="724"/>
  <c r="K26" i="724"/>
  <c r="S19" i="724"/>
  <c r="T19" i="724"/>
  <c r="U19" i="724"/>
  <c r="V19" i="724"/>
  <c r="W19" i="724"/>
  <c r="X19" i="724"/>
  <c r="Y19" i="724"/>
  <c r="Z19" i="724"/>
  <c r="AA19" i="724"/>
  <c r="S20" i="724"/>
  <c r="T20" i="724"/>
  <c r="U20" i="724"/>
  <c r="V20" i="724"/>
  <c r="W20" i="724"/>
  <c r="X20" i="724"/>
  <c r="Y20" i="724"/>
  <c r="Z20" i="724"/>
  <c r="AA20" i="724"/>
  <c r="C18" i="724"/>
  <c r="D18" i="724"/>
  <c r="E18" i="724"/>
  <c r="F18" i="724"/>
  <c r="G18" i="724"/>
  <c r="I18" i="724"/>
  <c r="J18" i="724"/>
  <c r="L18" i="724"/>
  <c r="M18" i="724"/>
  <c r="N18" i="724"/>
  <c r="O18" i="724"/>
  <c r="C19" i="724"/>
  <c r="D19" i="724"/>
  <c r="E19" i="724"/>
  <c r="F19" i="724"/>
  <c r="G19" i="724"/>
  <c r="I19" i="724"/>
  <c r="J19" i="724"/>
  <c r="L19" i="724"/>
  <c r="M19" i="724"/>
  <c r="N19" i="724"/>
  <c r="O19" i="724"/>
  <c r="C16" i="724"/>
  <c r="D16" i="724"/>
  <c r="E16" i="724"/>
  <c r="F16" i="724"/>
  <c r="G16" i="724"/>
  <c r="I16" i="724"/>
  <c r="J16" i="724"/>
  <c r="L16" i="724"/>
  <c r="M16" i="724"/>
  <c r="N16" i="724"/>
  <c r="O16" i="724"/>
  <c r="C17" i="724"/>
  <c r="D17" i="724"/>
  <c r="E17" i="724"/>
  <c r="F17" i="724"/>
  <c r="G17" i="724"/>
  <c r="I17" i="724"/>
  <c r="J17" i="724"/>
  <c r="L17" i="724"/>
  <c r="M17" i="724"/>
  <c r="N17" i="724"/>
  <c r="O17" i="724"/>
  <c r="J26" i="724" l="1"/>
  <c r="S10" i="724"/>
  <c r="T10" i="724"/>
  <c r="U10" i="724"/>
  <c r="V10" i="724"/>
  <c r="W10" i="724"/>
  <c r="X10" i="724"/>
  <c r="Y10" i="724"/>
  <c r="Z10" i="724"/>
  <c r="AA10" i="724"/>
  <c r="S11" i="724"/>
  <c r="T11" i="724"/>
  <c r="U11" i="724"/>
  <c r="V11" i="724"/>
  <c r="W11" i="724"/>
  <c r="X11" i="724"/>
  <c r="Y11" i="724"/>
  <c r="Z11" i="724"/>
  <c r="AA11" i="724"/>
  <c r="S12" i="724"/>
  <c r="T12" i="724"/>
  <c r="U12" i="724"/>
  <c r="V12" i="724"/>
  <c r="W12" i="724"/>
  <c r="X12" i="724"/>
  <c r="Y12" i="724"/>
  <c r="Z12" i="724"/>
  <c r="AA12" i="724"/>
  <c r="S13" i="724"/>
  <c r="T13" i="724"/>
  <c r="U13" i="724"/>
  <c r="V13" i="724"/>
  <c r="W13" i="724"/>
  <c r="X13" i="724"/>
  <c r="Y13" i="724"/>
  <c r="Z13" i="724"/>
  <c r="AA13" i="724"/>
  <c r="S14" i="724"/>
  <c r="T14" i="724"/>
  <c r="U14" i="724"/>
  <c r="V14" i="724"/>
  <c r="W14" i="724"/>
  <c r="X14" i="724"/>
  <c r="Y14" i="724"/>
  <c r="Z14" i="724"/>
  <c r="AA14" i="724"/>
  <c r="S15" i="724"/>
  <c r="T15" i="724"/>
  <c r="U15" i="724"/>
  <c r="V15" i="724"/>
  <c r="W15" i="724"/>
  <c r="X15" i="724"/>
  <c r="Y15" i="724"/>
  <c r="Z15" i="724"/>
  <c r="AA15" i="724"/>
  <c r="S16" i="724"/>
  <c r="T16" i="724"/>
  <c r="U16" i="724"/>
  <c r="V16" i="724"/>
  <c r="W16" i="724"/>
  <c r="X16" i="724"/>
  <c r="Y16" i="724"/>
  <c r="Z16" i="724"/>
  <c r="AA16" i="724"/>
  <c r="C10" i="724"/>
  <c r="D10" i="724"/>
  <c r="E10" i="724"/>
  <c r="F10" i="724"/>
  <c r="G10" i="724"/>
  <c r="I10" i="724"/>
  <c r="J10" i="724"/>
  <c r="K10" i="724"/>
  <c r="L10" i="724"/>
  <c r="M10" i="724"/>
  <c r="N10" i="724"/>
  <c r="O10" i="724"/>
  <c r="C11" i="724"/>
  <c r="D11" i="724"/>
  <c r="E11" i="724"/>
  <c r="F11" i="724"/>
  <c r="G11" i="724"/>
  <c r="I11" i="724"/>
  <c r="J11" i="724"/>
  <c r="K11" i="724"/>
  <c r="L11" i="724"/>
  <c r="M11" i="724"/>
  <c r="N11" i="724"/>
  <c r="O11" i="724"/>
  <c r="C12" i="724"/>
  <c r="D12" i="724"/>
  <c r="E12" i="724"/>
  <c r="F12" i="724"/>
  <c r="G12" i="724"/>
  <c r="I12" i="724"/>
  <c r="J12" i="724"/>
  <c r="K12" i="724"/>
  <c r="L12" i="724"/>
  <c r="M12" i="724"/>
  <c r="N12" i="724"/>
  <c r="O12" i="724"/>
  <c r="C13" i="724"/>
  <c r="D13" i="724"/>
  <c r="E13" i="724"/>
  <c r="F13" i="724"/>
  <c r="G13" i="724"/>
  <c r="I13" i="724"/>
  <c r="J13" i="724"/>
  <c r="K13" i="724"/>
  <c r="L13" i="724"/>
  <c r="M13" i="724"/>
  <c r="N13" i="724"/>
  <c r="O13" i="724"/>
  <c r="C14" i="724"/>
  <c r="D14" i="724"/>
  <c r="E14" i="724"/>
  <c r="F14" i="724"/>
  <c r="G14" i="724"/>
  <c r="I14" i="724"/>
  <c r="J14" i="724"/>
  <c r="K14" i="724"/>
  <c r="L14" i="724"/>
  <c r="M14" i="724"/>
  <c r="N14" i="724"/>
  <c r="O14" i="724"/>
  <c r="F71" i="724"/>
  <c r="AY59" i="724"/>
  <c r="AX59" i="724"/>
  <c r="AW59" i="724"/>
  <c r="AV59" i="724"/>
  <c r="AU59" i="724"/>
  <c r="AT59" i="724"/>
  <c r="AS59" i="724"/>
  <c r="AR59" i="724"/>
  <c r="AQ59" i="724"/>
  <c r="AP59" i="724"/>
  <c r="AO59" i="724"/>
  <c r="AN59" i="724"/>
  <c r="AM59" i="724"/>
  <c r="AL59" i="724"/>
  <c r="AK59" i="724"/>
  <c r="AJ59" i="724"/>
  <c r="AI59" i="724"/>
  <c r="AH59" i="724"/>
  <c r="AG59" i="724"/>
  <c r="AF59" i="724"/>
  <c r="AE59" i="724"/>
  <c r="AD59" i="724"/>
  <c r="AC59" i="724"/>
  <c r="AB59" i="724"/>
  <c r="AA59" i="724"/>
  <c r="Z59" i="724"/>
  <c r="Y59" i="724"/>
  <c r="X59" i="724"/>
  <c r="W59" i="724"/>
  <c r="V59" i="724"/>
  <c r="U59" i="724"/>
  <c r="AY57" i="724"/>
  <c r="AX57" i="724"/>
  <c r="AW57" i="724"/>
  <c r="AV57" i="724"/>
  <c r="AU57" i="724"/>
  <c r="AT57" i="724"/>
  <c r="AS57" i="724"/>
  <c r="AR57" i="724"/>
  <c r="AQ57" i="724"/>
  <c r="AP57" i="724"/>
  <c r="AO57" i="724"/>
  <c r="AN57" i="724"/>
  <c r="AM57" i="724"/>
  <c r="AL57" i="724"/>
  <c r="AK57" i="724"/>
  <c r="AJ57" i="724"/>
  <c r="AI57" i="724"/>
  <c r="AH57" i="724"/>
  <c r="AG57" i="724"/>
  <c r="AF57" i="724"/>
  <c r="AE57" i="724"/>
  <c r="AD57" i="724"/>
  <c r="AC57" i="724"/>
  <c r="AB57" i="724"/>
  <c r="AA57" i="724"/>
  <c r="Z57" i="724"/>
  <c r="Y57" i="724"/>
  <c r="X57" i="724"/>
  <c r="W57" i="724"/>
  <c r="V57" i="724"/>
  <c r="U57" i="724"/>
  <c r="K66" i="724"/>
  <c r="B54" i="724"/>
  <c r="D47" i="724"/>
  <c r="M32" i="724"/>
  <c r="M31" i="724"/>
  <c r="L31" i="724"/>
  <c r="K31" i="724"/>
  <c r="M30" i="724"/>
  <c r="M28" i="724"/>
  <c r="L28" i="724"/>
  <c r="K28" i="724"/>
  <c r="M27" i="724"/>
  <c r="L27" i="724"/>
  <c r="K27" i="724"/>
  <c r="AA23" i="724"/>
  <c r="Z23" i="724"/>
  <c r="Y23" i="724"/>
  <c r="X23" i="724"/>
  <c r="W23" i="724"/>
  <c r="V23" i="724"/>
  <c r="U23" i="724"/>
  <c r="T23" i="724"/>
  <c r="S23" i="724"/>
  <c r="AA22" i="724"/>
  <c r="Z22" i="724"/>
  <c r="Y22" i="724"/>
  <c r="X22" i="724"/>
  <c r="W22" i="724"/>
  <c r="V22" i="724"/>
  <c r="U22" i="724"/>
  <c r="T22" i="724"/>
  <c r="S22" i="724"/>
  <c r="AA21" i="724"/>
  <c r="Z21" i="724"/>
  <c r="Y21" i="724"/>
  <c r="X21" i="724"/>
  <c r="W21" i="724"/>
  <c r="V21" i="724"/>
  <c r="U21" i="724"/>
  <c r="T21" i="724"/>
  <c r="S21" i="724"/>
  <c r="AA18" i="724"/>
  <c r="Z18" i="724"/>
  <c r="Y18" i="724"/>
  <c r="X18" i="724"/>
  <c r="W18" i="724"/>
  <c r="V18" i="724"/>
  <c r="U18" i="724"/>
  <c r="T18" i="724"/>
  <c r="S18" i="724"/>
  <c r="AA17" i="724"/>
  <c r="Z17" i="724"/>
  <c r="Y17" i="724"/>
  <c r="X17" i="724"/>
  <c r="W17" i="724"/>
  <c r="V17" i="724"/>
  <c r="U17" i="724"/>
  <c r="T17" i="724"/>
  <c r="S17" i="724"/>
  <c r="G65" i="723"/>
  <c r="K53" i="723"/>
  <c r="K65" i="723" s="1"/>
  <c r="G53" i="723"/>
  <c r="D53" i="723"/>
  <c r="F53" i="723"/>
  <c r="J25" i="724" l="1"/>
  <c r="K35" i="724"/>
  <c r="L35" i="724" s="1"/>
  <c r="M35" i="724" s="1"/>
  <c r="I54" i="724"/>
  <c r="L54" i="724"/>
  <c r="C66" i="724" s="1"/>
  <c r="H54" i="724"/>
  <c r="M24" i="723"/>
  <c r="L24" i="723"/>
  <c r="K24" i="723"/>
  <c r="C15" i="723"/>
  <c r="D15" i="723"/>
  <c r="E15" i="723"/>
  <c r="F15" i="723"/>
  <c r="G15" i="723"/>
  <c r="I15" i="723"/>
  <c r="J15" i="723"/>
  <c r="K15" i="723"/>
  <c r="L15" i="723"/>
  <c r="M15" i="723"/>
  <c r="N15" i="723"/>
  <c r="O15" i="723"/>
  <c r="C16" i="723"/>
  <c r="D16" i="723"/>
  <c r="E16" i="723"/>
  <c r="F16" i="723"/>
  <c r="G16" i="723"/>
  <c r="I16" i="723"/>
  <c r="J16" i="723"/>
  <c r="K16" i="723"/>
  <c r="L16" i="723"/>
  <c r="M16" i="723"/>
  <c r="N16" i="723"/>
  <c r="O16" i="723"/>
  <c r="C17" i="723"/>
  <c r="D17" i="723"/>
  <c r="E17" i="723"/>
  <c r="F17" i="723"/>
  <c r="G17" i="723"/>
  <c r="I17" i="723"/>
  <c r="J17" i="723"/>
  <c r="K17" i="723"/>
  <c r="L17" i="723"/>
  <c r="M17" i="723"/>
  <c r="N17" i="723"/>
  <c r="O17" i="723"/>
  <c r="S10" i="723"/>
  <c r="T10" i="723"/>
  <c r="U10" i="723"/>
  <c r="V10" i="723"/>
  <c r="W10" i="723"/>
  <c r="X10" i="723"/>
  <c r="Y10" i="723"/>
  <c r="Z10" i="723"/>
  <c r="AA10" i="723"/>
  <c r="S11" i="723"/>
  <c r="T11" i="723"/>
  <c r="U11" i="723"/>
  <c r="V11" i="723"/>
  <c r="W11" i="723"/>
  <c r="X11" i="723"/>
  <c r="Y11" i="723"/>
  <c r="Z11" i="723"/>
  <c r="AA11" i="723"/>
  <c r="S12" i="723"/>
  <c r="T12" i="723"/>
  <c r="U12" i="723"/>
  <c r="V12" i="723"/>
  <c r="W12" i="723"/>
  <c r="X12" i="723"/>
  <c r="Y12" i="723"/>
  <c r="Z12" i="723"/>
  <c r="AA12" i="723"/>
  <c r="S13" i="723"/>
  <c r="T13" i="723"/>
  <c r="U13" i="723"/>
  <c r="V13" i="723"/>
  <c r="W13" i="723"/>
  <c r="X13" i="723"/>
  <c r="Y13" i="723"/>
  <c r="Z13" i="723"/>
  <c r="AA13" i="723"/>
  <c r="S14" i="723"/>
  <c r="T14" i="723"/>
  <c r="U14" i="723"/>
  <c r="V14" i="723"/>
  <c r="W14" i="723"/>
  <c r="X14" i="723"/>
  <c r="Y14" i="723"/>
  <c r="Z14" i="723"/>
  <c r="AA14" i="723"/>
  <c r="S15" i="723"/>
  <c r="T15" i="723"/>
  <c r="U15" i="723"/>
  <c r="V15" i="723"/>
  <c r="W15" i="723"/>
  <c r="X15" i="723"/>
  <c r="Y15" i="723"/>
  <c r="Z15" i="723"/>
  <c r="AA15" i="723"/>
  <c r="S16" i="723"/>
  <c r="T16" i="723"/>
  <c r="U16" i="723"/>
  <c r="V16" i="723"/>
  <c r="W16" i="723"/>
  <c r="X16" i="723"/>
  <c r="Y16" i="723"/>
  <c r="Z16" i="723"/>
  <c r="AA16" i="723"/>
  <c r="S17" i="723"/>
  <c r="T17" i="723"/>
  <c r="U17" i="723"/>
  <c r="V17" i="723"/>
  <c r="W17" i="723"/>
  <c r="X17" i="723"/>
  <c r="Y17" i="723"/>
  <c r="Z17" i="723"/>
  <c r="AA17" i="723"/>
  <c r="S18" i="723"/>
  <c r="T18" i="723"/>
  <c r="U18" i="723"/>
  <c r="V18" i="723"/>
  <c r="W18" i="723"/>
  <c r="X18" i="723"/>
  <c r="Y18" i="723"/>
  <c r="Z18" i="723"/>
  <c r="AA18" i="723"/>
  <c r="C11" i="723"/>
  <c r="D11" i="723"/>
  <c r="E11" i="723"/>
  <c r="F11" i="723"/>
  <c r="G11" i="723"/>
  <c r="I11" i="723"/>
  <c r="J11" i="723"/>
  <c r="K11" i="723"/>
  <c r="L11" i="723"/>
  <c r="M11" i="723"/>
  <c r="N11" i="723"/>
  <c r="O11" i="723"/>
  <c r="C12" i="723"/>
  <c r="D12" i="723"/>
  <c r="E12" i="723"/>
  <c r="F12" i="723"/>
  <c r="G12" i="723"/>
  <c r="I12" i="723"/>
  <c r="J12" i="723"/>
  <c r="K12" i="723"/>
  <c r="L12" i="723"/>
  <c r="M12" i="723"/>
  <c r="N12" i="723"/>
  <c r="O12" i="723"/>
  <c r="C13" i="723"/>
  <c r="D13" i="723"/>
  <c r="E13" i="723"/>
  <c r="F13" i="723"/>
  <c r="G13" i="723"/>
  <c r="I13" i="723"/>
  <c r="J13" i="723"/>
  <c r="K13" i="723"/>
  <c r="L13" i="723"/>
  <c r="M13" i="723"/>
  <c r="N13" i="723"/>
  <c r="O13" i="723"/>
  <c r="C14" i="723"/>
  <c r="D14" i="723"/>
  <c r="E14" i="723"/>
  <c r="F14" i="723"/>
  <c r="G14" i="723"/>
  <c r="I14" i="723"/>
  <c r="J14" i="723"/>
  <c r="K14" i="723"/>
  <c r="L14" i="723"/>
  <c r="M14" i="723"/>
  <c r="N14" i="723"/>
  <c r="O14" i="723"/>
  <c r="C10" i="723"/>
  <c r="D10" i="723"/>
  <c r="E10" i="723"/>
  <c r="F10" i="723"/>
  <c r="G10" i="723"/>
  <c r="I10" i="723"/>
  <c r="J10" i="723"/>
  <c r="K10" i="723"/>
  <c r="L10" i="723"/>
  <c r="M10" i="723"/>
  <c r="N10" i="723"/>
  <c r="O10" i="723"/>
  <c r="F70" i="723"/>
  <c r="AY58" i="723"/>
  <c r="AX58" i="723"/>
  <c r="AW58" i="723"/>
  <c r="AV58" i="723"/>
  <c r="AU58" i="723"/>
  <c r="AT58" i="723"/>
  <c r="AS58" i="723"/>
  <c r="AR58" i="723"/>
  <c r="AQ58" i="723"/>
  <c r="AP58" i="723"/>
  <c r="AO58" i="723"/>
  <c r="AN58" i="723"/>
  <c r="AM58" i="723"/>
  <c r="AL58" i="723"/>
  <c r="AK58" i="723"/>
  <c r="AJ58" i="723"/>
  <c r="AI58" i="723"/>
  <c r="AH58" i="723"/>
  <c r="AG58" i="723"/>
  <c r="AF58" i="723"/>
  <c r="AE58" i="723"/>
  <c r="AD58" i="723"/>
  <c r="AC58" i="723"/>
  <c r="AB58" i="723"/>
  <c r="AA58" i="723"/>
  <c r="Z58" i="723"/>
  <c r="Y58" i="723"/>
  <c r="X58" i="723"/>
  <c r="W58" i="723"/>
  <c r="V58" i="723"/>
  <c r="U58" i="723"/>
  <c r="AY56" i="723"/>
  <c r="AX56" i="723"/>
  <c r="AW56" i="723"/>
  <c r="AV56" i="723"/>
  <c r="AU56" i="723"/>
  <c r="AT56" i="723"/>
  <c r="AS56" i="723"/>
  <c r="AR56" i="723"/>
  <c r="AQ56" i="723"/>
  <c r="AP56" i="723"/>
  <c r="AO56" i="723"/>
  <c r="AN56" i="723"/>
  <c r="AM56" i="723"/>
  <c r="AL56" i="723"/>
  <c r="AK56" i="723"/>
  <c r="AJ56" i="723"/>
  <c r="AI56" i="723"/>
  <c r="AH56" i="723"/>
  <c r="AG56" i="723"/>
  <c r="AF56" i="723"/>
  <c r="AE56" i="723"/>
  <c r="AD56" i="723"/>
  <c r="AC56" i="723"/>
  <c r="AB56" i="723"/>
  <c r="AA56" i="723"/>
  <c r="Z56" i="723"/>
  <c r="Y56" i="723"/>
  <c r="X56" i="723"/>
  <c r="W56" i="723"/>
  <c r="V56" i="723"/>
  <c r="U56" i="723"/>
  <c r="H53" i="723"/>
  <c r="B53" i="723"/>
  <c r="D46" i="723"/>
  <c r="M31" i="723"/>
  <c r="M30" i="723"/>
  <c r="L30" i="723"/>
  <c r="K30" i="723"/>
  <c r="M29" i="723"/>
  <c r="M27" i="723"/>
  <c r="L27" i="723"/>
  <c r="K27" i="723"/>
  <c r="M26" i="723"/>
  <c r="L26" i="723"/>
  <c r="K26" i="723"/>
  <c r="M25" i="723"/>
  <c r="L25" i="723"/>
  <c r="K25" i="723"/>
  <c r="AA22" i="723"/>
  <c r="Z22" i="723"/>
  <c r="Y22" i="723"/>
  <c r="X22" i="723"/>
  <c r="W22" i="723"/>
  <c r="V22" i="723"/>
  <c r="U22" i="723"/>
  <c r="T22" i="723"/>
  <c r="S22" i="723"/>
  <c r="AA21" i="723"/>
  <c r="Z21" i="723"/>
  <c r="Y21" i="723"/>
  <c r="X21" i="723"/>
  <c r="W21" i="723"/>
  <c r="V21" i="723"/>
  <c r="U21" i="723"/>
  <c r="T21" i="723"/>
  <c r="S21" i="723"/>
  <c r="AA20" i="723"/>
  <c r="Z20" i="723"/>
  <c r="Y20" i="723"/>
  <c r="X20" i="723"/>
  <c r="W20" i="723"/>
  <c r="V20" i="723"/>
  <c r="U20" i="723"/>
  <c r="T20" i="723"/>
  <c r="S20" i="723"/>
  <c r="AA19" i="723"/>
  <c r="Z19" i="723"/>
  <c r="Y19" i="723"/>
  <c r="X19" i="723"/>
  <c r="W19" i="723"/>
  <c r="V19" i="723"/>
  <c r="U19" i="723"/>
  <c r="T19" i="723"/>
  <c r="S19" i="723"/>
  <c r="G64" i="722"/>
  <c r="K56" i="722"/>
  <c r="K54" i="722"/>
  <c r="K52" i="722"/>
  <c r="K64" i="722" s="1"/>
  <c r="F52" i="722"/>
  <c r="G52" i="722"/>
  <c r="D52" i="722"/>
  <c r="G56" i="722"/>
  <c r="G54" i="722"/>
  <c r="L52" i="722" l="1"/>
  <c r="C64" i="722" s="1"/>
  <c r="K65" i="722"/>
  <c r="H52" i="722"/>
  <c r="K38" i="723"/>
  <c r="K48" i="723" s="1"/>
  <c r="J24" i="723"/>
  <c r="I52" i="722"/>
  <c r="I53" i="723"/>
  <c r="K34" i="723"/>
  <c r="L34" i="723" s="1"/>
  <c r="M34" i="723" s="1"/>
  <c r="L53" i="723"/>
  <c r="C65" i="723" s="1"/>
  <c r="C27" i="722" a="1"/>
  <c r="C27" i="722" s="1"/>
  <c r="C23" i="722" a="1"/>
  <c r="C23" i="722" s="1"/>
  <c r="C39" i="722" a="1"/>
  <c r="C39" i="722" s="1"/>
  <c r="B39" i="722"/>
  <c r="B35" i="722"/>
  <c r="B52" i="722"/>
  <c r="B56" i="722"/>
  <c r="B54" i="722"/>
  <c r="K37" i="722"/>
  <c r="B23" i="722"/>
  <c r="M23" i="722"/>
  <c r="L23" i="722"/>
  <c r="K23" i="722"/>
  <c r="S11" i="722"/>
  <c r="T11" i="722"/>
  <c r="U11" i="722"/>
  <c r="V11" i="722"/>
  <c r="W11" i="722"/>
  <c r="X11" i="722"/>
  <c r="Y11" i="722"/>
  <c r="Z11" i="722"/>
  <c r="AA11" i="722"/>
  <c r="S12" i="722"/>
  <c r="T12" i="722"/>
  <c r="U12" i="722"/>
  <c r="V12" i="722"/>
  <c r="W12" i="722"/>
  <c r="X12" i="722"/>
  <c r="Y12" i="722"/>
  <c r="Z12" i="722"/>
  <c r="AA12" i="722"/>
  <c r="S13" i="722"/>
  <c r="T13" i="722"/>
  <c r="U13" i="722"/>
  <c r="V13" i="722"/>
  <c r="W13" i="722"/>
  <c r="X13" i="722"/>
  <c r="Y13" i="722"/>
  <c r="Z13" i="722"/>
  <c r="AA13" i="722"/>
  <c r="S14" i="722"/>
  <c r="T14" i="722"/>
  <c r="U14" i="722"/>
  <c r="V14" i="722"/>
  <c r="W14" i="722"/>
  <c r="X14" i="722"/>
  <c r="Y14" i="722"/>
  <c r="Z14" i="722"/>
  <c r="AA14" i="722"/>
  <c r="S15" i="722"/>
  <c r="T15" i="722"/>
  <c r="U15" i="722"/>
  <c r="V15" i="722"/>
  <c r="W15" i="722"/>
  <c r="X15" i="722"/>
  <c r="Y15" i="722"/>
  <c r="Z15" i="722"/>
  <c r="AA15" i="722"/>
  <c r="S16" i="722"/>
  <c r="T16" i="722"/>
  <c r="U16" i="722"/>
  <c r="V16" i="722"/>
  <c r="W16" i="722"/>
  <c r="X16" i="722"/>
  <c r="Y16" i="722"/>
  <c r="Z16" i="722"/>
  <c r="AA16" i="722"/>
  <c r="S17" i="722"/>
  <c r="T17" i="722"/>
  <c r="U17" i="722"/>
  <c r="V17" i="722"/>
  <c r="W17" i="722"/>
  <c r="X17" i="722"/>
  <c r="Y17" i="722"/>
  <c r="Z17" i="722"/>
  <c r="AA17" i="722"/>
  <c r="S18" i="722"/>
  <c r="T18" i="722"/>
  <c r="U18" i="722"/>
  <c r="V18" i="722"/>
  <c r="W18" i="722"/>
  <c r="X18" i="722"/>
  <c r="Y18" i="722"/>
  <c r="Z18" i="722"/>
  <c r="AA18" i="722"/>
  <c r="S19" i="722"/>
  <c r="T19" i="722"/>
  <c r="U19" i="722"/>
  <c r="V19" i="722"/>
  <c r="W19" i="722"/>
  <c r="X19" i="722"/>
  <c r="Y19" i="722"/>
  <c r="Z19" i="722"/>
  <c r="AA19" i="722"/>
  <c r="S20" i="722"/>
  <c r="T20" i="722"/>
  <c r="U20" i="722"/>
  <c r="V20" i="722"/>
  <c r="W20" i="722"/>
  <c r="X20" i="722"/>
  <c r="Y20" i="722"/>
  <c r="Z20" i="722"/>
  <c r="AA20" i="722"/>
  <c r="S21" i="722"/>
  <c r="T21" i="722"/>
  <c r="U21" i="722"/>
  <c r="V21" i="722"/>
  <c r="W21" i="722"/>
  <c r="X21" i="722"/>
  <c r="Y21" i="722"/>
  <c r="Z21" i="722"/>
  <c r="AA21" i="722"/>
  <c r="C10" i="722"/>
  <c r="D10" i="722"/>
  <c r="E10" i="722"/>
  <c r="F10" i="722"/>
  <c r="G10" i="722"/>
  <c r="I10" i="722"/>
  <c r="J10" i="722"/>
  <c r="K10" i="722"/>
  <c r="L10" i="722"/>
  <c r="M10" i="722"/>
  <c r="N10" i="722"/>
  <c r="O10" i="722"/>
  <c r="C11" i="722"/>
  <c r="D11" i="722"/>
  <c r="E11" i="722"/>
  <c r="F11" i="722"/>
  <c r="G11" i="722"/>
  <c r="I11" i="722"/>
  <c r="J11" i="722"/>
  <c r="K11" i="722"/>
  <c r="L11" i="722"/>
  <c r="M11" i="722"/>
  <c r="N11" i="722"/>
  <c r="O11" i="722"/>
  <c r="C12" i="722"/>
  <c r="D12" i="722"/>
  <c r="E12" i="722"/>
  <c r="F12" i="722"/>
  <c r="G12" i="722"/>
  <c r="I12" i="722"/>
  <c r="J12" i="722"/>
  <c r="K12" i="722"/>
  <c r="L12" i="722"/>
  <c r="M12" i="722"/>
  <c r="N12" i="722"/>
  <c r="O12" i="722"/>
  <c r="C13" i="722"/>
  <c r="D13" i="722"/>
  <c r="E13" i="722"/>
  <c r="F13" i="722"/>
  <c r="G13" i="722"/>
  <c r="I13" i="722"/>
  <c r="J13" i="722"/>
  <c r="K13" i="722"/>
  <c r="L13" i="722"/>
  <c r="M13" i="722"/>
  <c r="N13" i="722"/>
  <c r="O13" i="722"/>
  <c r="C14" i="722"/>
  <c r="D14" i="722"/>
  <c r="E14" i="722"/>
  <c r="F14" i="722"/>
  <c r="G14" i="722"/>
  <c r="I14" i="722"/>
  <c r="J14" i="722"/>
  <c r="K14" i="722"/>
  <c r="L14" i="722"/>
  <c r="M14" i="722"/>
  <c r="N14" i="722"/>
  <c r="O14" i="722"/>
  <c r="C15" i="722"/>
  <c r="D15" i="722"/>
  <c r="E15" i="722"/>
  <c r="F15" i="722"/>
  <c r="G15" i="722"/>
  <c r="K15" i="722"/>
  <c r="L15" i="722"/>
  <c r="M15" i="722"/>
  <c r="N15" i="722"/>
  <c r="O15" i="722"/>
  <c r="C16" i="722"/>
  <c r="D16" i="722"/>
  <c r="E16" i="722"/>
  <c r="F16" i="722"/>
  <c r="G16" i="722"/>
  <c r="K16" i="722"/>
  <c r="L16" i="722"/>
  <c r="M16" i="722"/>
  <c r="N16" i="722"/>
  <c r="O16" i="722"/>
  <c r="C17" i="722"/>
  <c r="D17" i="722"/>
  <c r="E17" i="722"/>
  <c r="F17" i="722"/>
  <c r="G17" i="722"/>
  <c r="K17" i="722"/>
  <c r="L17" i="722"/>
  <c r="M17" i="722"/>
  <c r="N17" i="722"/>
  <c r="O17" i="722"/>
  <c r="F69" i="722"/>
  <c r="AY57" i="722"/>
  <c r="AX57" i="722"/>
  <c r="AW57" i="722"/>
  <c r="AV57" i="722"/>
  <c r="AU57" i="722"/>
  <c r="AT57" i="722"/>
  <c r="AS57" i="722"/>
  <c r="AR57" i="722"/>
  <c r="AQ57" i="722"/>
  <c r="AP57" i="722"/>
  <c r="AO57" i="722"/>
  <c r="AN57" i="722"/>
  <c r="AM57" i="722"/>
  <c r="AL57" i="722"/>
  <c r="AK57" i="722"/>
  <c r="AJ57" i="722"/>
  <c r="AI57" i="722"/>
  <c r="AH57" i="722"/>
  <c r="AG57" i="722"/>
  <c r="AF57" i="722"/>
  <c r="AE57" i="722"/>
  <c r="AD57" i="722"/>
  <c r="AC57" i="722"/>
  <c r="AB57" i="722"/>
  <c r="AA57" i="722"/>
  <c r="Z57" i="722"/>
  <c r="Y57" i="722"/>
  <c r="X57" i="722"/>
  <c r="W57" i="722"/>
  <c r="V57" i="722"/>
  <c r="U57" i="722"/>
  <c r="AY55" i="722"/>
  <c r="AX55" i="722"/>
  <c r="AW55" i="722"/>
  <c r="AV55" i="722"/>
  <c r="AU55" i="722"/>
  <c r="AT55" i="722"/>
  <c r="AS55" i="722"/>
  <c r="AR55" i="722"/>
  <c r="AQ55" i="722"/>
  <c r="AP55" i="722"/>
  <c r="AO55" i="722"/>
  <c r="AN55" i="722"/>
  <c r="AM55" i="722"/>
  <c r="AL55" i="722"/>
  <c r="AK55" i="722"/>
  <c r="AJ55" i="722"/>
  <c r="AI55" i="722"/>
  <c r="AH55" i="722"/>
  <c r="AG55" i="722"/>
  <c r="AF55" i="722"/>
  <c r="AE55" i="722"/>
  <c r="AD55" i="722"/>
  <c r="AC55" i="722"/>
  <c r="AB55" i="722"/>
  <c r="AA55" i="722"/>
  <c r="Z55" i="722"/>
  <c r="Y55" i="722"/>
  <c r="X55" i="722"/>
  <c r="W55" i="722"/>
  <c r="V55" i="722"/>
  <c r="U55" i="722"/>
  <c r="K47" i="722"/>
  <c r="D45" i="722"/>
  <c r="M30" i="722"/>
  <c r="M29" i="722"/>
  <c r="L29" i="722"/>
  <c r="K29" i="722"/>
  <c r="M28" i="722"/>
  <c r="M26" i="722"/>
  <c r="L26" i="722"/>
  <c r="K26" i="722"/>
  <c r="M25" i="722"/>
  <c r="L25" i="722"/>
  <c r="K25" i="722"/>
  <c r="M24" i="722"/>
  <c r="L24" i="722"/>
  <c r="K24" i="722"/>
  <c r="AA10" i="722"/>
  <c r="Z10" i="722"/>
  <c r="Y10" i="722"/>
  <c r="X10" i="722"/>
  <c r="W10" i="722"/>
  <c r="V10" i="722"/>
  <c r="U10" i="722"/>
  <c r="T10" i="722"/>
  <c r="S10" i="722"/>
  <c r="S10" i="721"/>
  <c r="T10" i="721"/>
  <c r="U10" i="721"/>
  <c r="V10" i="721"/>
  <c r="W10" i="721"/>
  <c r="X10" i="721"/>
  <c r="Y10" i="721"/>
  <c r="Z10" i="721"/>
  <c r="AA10" i="721"/>
  <c r="S11" i="721"/>
  <c r="T11" i="721"/>
  <c r="U11" i="721"/>
  <c r="V11" i="721"/>
  <c r="W11" i="721"/>
  <c r="X11" i="721"/>
  <c r="Y11" i="721"/>
  <c r="Z11" i="721"/>
  <c r="AA11" i="721"/>
  <c r="S12" i="721"/>
  <c r="T12" i="721"/>
  <c r="U12" i="721"/>
  <c r="V12" i="721"/>
  <c r="W12" i="721"/>
  <c r="X12" i="721"/>
  <c r="Y12" i="721"/>
  <c r="Z12" i="721"/>
  <c r="AA12" i="721"/>
  <c r="S13" i="721"/>
  <c r="T13" i="721"/>
  <c r="U13" i="721"/>
  <c r="V13" i="721"/>
  <c r="W13" i="721"/>
  <c r="X13" i="721"/>
  <c r="Y13" i="721"/>
  <c r="Z13" i="721"/>
  <c r="AA13" i="721"/>
  <c r="S14" i="721"/>
  <c r="T14" i="721"/>
  <c r="U14" i="721"/>
  <c r="V14" i="721"/>
  <c r="W14" i="721"/>
  <c r="X14" i="721"/>
  <c r="Y14" i="721"/>
  <c r="Z14" i="721"/>
  <c r="AA14" i="721"/>
  <c r="M21" i="720"/>
  <c r="L21" i="720"/>
  <c r="K21" i="720"/>
  <c r="M22" i="720"/>
  <c r="L22" i="720"/>
  <c r="K22" i="720"/>
  <c r="M19" i="721"/>
  <c r="L19" i="721"/>
  <c r="K19" i="721"/>
  <c r="K35" i="720"/>
  <c r="K36" i="720"/>
  <c r="K33" i="721"/>
  <c r="L16" i="720"/>
  <c r="F16" i="720"/>
  <c r="C10" i="721"/>
  <c r="D10" i="721"/>
  <c r="E10" i="721"/>
  <c r="F10" i="721"/>
  <c r="G10" i="721"/>
  <c r="I10" i="721"/>
  <c r="J10" i="721"/>
  <c r="K10" i="721"/>
  <c r="L10" i="721"/>
  <c r="M10" i="721"/>
  <c r="N10" i="721"/>
  <c r="O10" i="721"/>
  <c r="C11" i="721"/>
  <c r="D11" i="721"/>
  <c r="E11" i="721"/>
  <c r="F11" i="721"/>
  <c r="G11" i="721"/>
  <c r="I11" i="721"/>
  <c r="J11" i="721"/>
  <c r="K11" i="721"/>
  <c r="L11" i="721"/>
  <c r="M11" i="721"/>
  <c r="N11" i="721"/>
  <c r="O11" i="721"/>
  <c r="C12" i="721"/>
  <c r="D12" i="721"/>
  <c r="E12" i="721"/>
  <c r="F12" i="721"/>
  <c r="G12" i="721"/>
  <c r="I12" i="721"/>
  <c r="J12" i="721"/>
  <c r="L12" i="721"/>
  <c r="M12" i="721"/>
  <c r="N12" i="721"/>
  <c r="O12" i="721"/>
  <c r="F64" i="721"/>
  <c r="AY51" i="721"/>
  <c r="AX51" i="721"/>
  <c r="AW51" i="721"/>
  <c r="AV51" i="721"/>
  <c r="AU51" i="721"/>
  <c r="AT51" i="721"/>
  <c r="AS51" i="721"/>
  <c r="AR51" i="721"/>
  <c r="AQ51" i="721"/>
  <c r="AP51" i="721"/>
  <c r="AO51" i="721"/>
  <c r="AN51" i="721"/>
  <c r="AM51" i="721"/>
  <c r="AL51" i="721"/>
  <c r="AK51" i="721"/>
  <c r="AJ51" i="721"/>
  <c r="AI51" i="721"/>
  <c r="AH51" i="721"/>
  <c r="AG51" i="721"/>
  <c r="AF51" i="721"/>
  <c r="AE51" i="721"/>
  <c r="AD51" i="721"/>
  <c r="AC51" i="721"/>
  <c r="AB51" i="721"/>
  <c r="AA51" i="721"/>
  <c r="Z51" i="721"/>
  <c r="Y51" i="721"/>
  <c r="X51" i="721"/>
  <c r="W51" i="721"/>
  <c r="V51" i="721"/>
  <c r="U51" i="721"/>
  <c r="AY49" i="721"/>
  <c r="AX49" i="721"/>
  <c r="AW49" i="721"/>
  <c r="AV49" i="721"/>
  <c r="AU49" i="721"/>
  <c r="AT49" i="721"/>
  <c r="AS49" i="721"/>
  <c r="AR49" i="721"/>
  <c r="AQ49" i="721"/>
  <c r="AP49" i="721"/>
  <c r="AO49" i="721"/>
  <c r="AN49" i="721"/>
  <c r="AM49" i="721"/>
  <c r="AL49" i="721"/>
  <c r="AK49" i="721"/>
  <c r="AJ49" i="721"/>
  <c r="AI49" i="721"/>
  <c r="AH49" i="721"/>
  <c r="AG49" i="721"/>
  <c r="AF49" i="721"/>
  <c r="AE49" i="721"/>
  <c r="AD49" i="721"/>
  <c r="AC49" i="721"/>
  <c r="AB49" i="721"/>
  <c r="AA49" i="721"/>
  <c r="Z49" i="721"/>
  <c r="Y49" i="721"/>
  <c r="X49" i="721"/>
  <c r="W49" i="721"/>
  <c r="V49" i="721"/>
  <c r="U49" i="721"/>
  <c r="K43" i="721"/>
  <c r="D41" i="721"/>
  <c r="M26" i="721"/>
  <c r="M25" i="721"/>
  <c r="L25" i="721"/>
  <c r="K25" i="721"/>
  <c r="M24" i="721"/>
  <c r="M22" i="721"/>
  <c r="L22" i="721"/>
  <c r="K22" i="721"/>
  <c r="M21" i="721"/>
  <c r="L21" i="721"/>
  <c r="K21" i="721"/>
  <c r="M20" i="721"/>
  <c r="L20" i="721"/>
  <c r="K20" i="721"/>
  <c r="AA16" i="721"/>
  <c r="Z16" i="721"/>
  <c r="Y16" i="721"/>
  <c r="X16" i="721"/>
  <c r="W16" i="721"/>
  <c r="V16" i="721"/>
  <c r="U16" i="721"/>
  <c r="T16" i="721"/>
  <c r="S16" i="721"/>
  <c r="AA15" i="721"/>
  <c r="Z15" i="721"/>
  <c r="Y15" i="721"/>
  <c r="X15" i="721"/>
  <c r="W15" i="721"/>
  <c r="V15" i="721"/>
  <c r="U15" i="721"/>
  <c r="T15" i="721"/>
  <c r="S15" i="721"/>
  <c r="S10" i="720"/>
  <c r="T10" i="720"/>
  <c r="U10" i="720"/>
  <c r="V10" i="720"/>
  <c r="W10" i="720"/>
  <c r="X10" i="720"/>
  <c r="Y10" i="720"/>
  <c r="Z10" i="720"/>
  <c r="AA10" i="720"/>
  <c r="S11" i="720"/>
  <c r="T11" i="720"/>
  <c r="U11" i="720"/>
  <c r="V11" i="720"/>
  <c r="W11" i="720"/>
  <c r="X11" i="720"/>
  <c r="Y11" i="720"/>
  <c r="Z11" i="720"/>
  <c r="AA11" i="720"/>
  <c r="S12" i="720"/>
  <c r="T12" i="720"/>
  <c r="U12" i="720"/>
  <c r="V12" i="720"/>
  <c r="W12" i="720"/>
  <c r="X12" i="720"/>
  <c r="Y12" i="720"/>
  <c r="Z12" i="720"/>
  <c r="AA12" i="720"/>
  <c r="S13" i="720"/>
  <c r="T13" i="720"/>
  <c r="U13" i="720"/>
  <c r="V13" i="720"/>
  <c r="W13" i="720"/>
  <c r="X13" i="720"/>
  <c r="Y13" i="720"/>
  <c r="Z13" i="720"/>
  <c r="AA13" i="720"/>
  <c r="S14" i="720"/>
  <c r="T14" i="720"/>
  <c r="U14" i="720"/>
  <c r="V14" i="720"/>
  <c r="W14" i="720"/>
  <c r="X14" i="720"/>
  <c r="Y14" i="720"/>
  <c r="Z14" i="720"/>
  <c r="AA14" i="720"/>
  <c r="O16" i="720"/>
  <c r="M16" i="720"/>
  <c r="G16" i="720"/>
  <c r="E16" i="720"/>
  <c r="D16" i="720"/>
  <c r="C16" i="720"/>
  <c r="C11" i="720"/>
  <c r="D11" i="720"/>
  <c r="E11" i="720"/>
  <c r="F11" i="720"/>
  <c r="G11" i="720"/>
  <c r="I11" i="720"/>
  <c r="J11" i="720"/>
  <c r="K11" i="720"/>
  <c r="L11" i="720"/>
  <c r="M11" i="720"/>
  <c r="N11" i="720"/>
  <c r="O11" i="720"/>
  <c r="C12" i="720"/>
  <c r="D12" i="720"/>
  <c r="E12" i="720"/>
  <c r="F12" i="720"/>
  <c r="G12" i="720"/>
  <c r="I12" i="720"/>
  <c r="J12" i="720"/>
  <c r="K12" i="720"/>
  <c r="L12" i="720"/>
  <c r="M12" i="720"/>
  <c r="N12" i="720"/>
  <c r="O12" i="720"/>
  <c r="C13" i="720"/>
  <c r="D13" i="720"/>
  <c r="E13" i="720"/>
  <c r="F13" i="720"/>
  <c r="G13" i="720"/>
  <c r="K13" i="720"/>
  <c r="L13" i="720"/>
  <c r="M13" i="720"/>
  <c r="N13" i="720"/>
  <c r="O13" i="720"/>
  <c r="F66" i="720"/>
  <c r="AY53" i="720"/>
  <c r="AX53" i="720"/>
  <c r="AW53" i="720"/>
  <c r="AV53" i="720"/>
  <c r="AU53" i="720"/>
  <c r="AT53" i="720"/>
  <c r="AS53" i="720"/>
  <c r="AR53" i="720"/>
  <c r="AQ53" i="720"/>
  <c r="AP53" i="720"/>
  <c r="AO53" i="720"/>
  <c r="AN53" i="720"/>
  <c r="AM53" i="720"/>
  <c r="AL53" i="720"/>
  <c r="AK53" i="720"/>
  <c r="AJ53" i="720"/>
  <c r="AI53" i="720"/>
  <c r="AH53" i="720"/>
  <c r="AG53" i="720"/>
  <c r="AF53" i="720"/>
  <c r="AE53" i="720"/>
  <c r="AD53" i="720"/>
  <c r="AC53" i="720"/>
  <c r="AB53" i="720"/>
  <c r="AA53" i="720"/>
  <c r="Z53" i="720"/>
  <c r="Y53" i="720"/>
  <c r="X53" i="720"/>
  <c r="W53" i="720"/>
  <c r="V53" i="720"/>
  <c r="U53" i="720"/>
  <c r="AY51" i="720"/>
  <c r="AX51" i="720"/>
  <c r="AW51" i="720"/>
  <c r="AV51" i="720"/>
  <c r="AU51" i="720"/>
  <c r="AT51" i="720"/>
  <c r="AS51" i="720"/>
  <c r="AR51" i="720"/>
  <c r="AQ51" i="720"/>
  <c r="AP51" i="720"/>
  <c r="AO51" i="720"/>
  <c r="AN51" i="720"/>
  <c r="AM51" i="720"/>
  <c r="AL51" i="720"/>
  <c r="AK51" i="720"/>
  <c r="AJ51" i="720"/>
  <c r="AI51" i="720"/>
  <c r="AH51" i="720"/>
  <c r="AG51" i="720"/>
  <c r="AF51" i="720"/>
  <c r="AE51" i="720"/>
  <c r="AD51" i="720"/>
  <c r="AC51" i="720"/>
  <c r="AB51" i="720"/>
  <c r="AA51" i="720"/>
  <c r="Z51" i="720"/>
  <c r="Y51" i="720"/>
  <c r="X51" i="720"/>
  <c r="W51" i="720"/>
  <c r="V51" i="720"/>
  <c r="U51" i="720"/>
  <c r="D43" i="720"/>
  <c r="M28" i="720"/>
  <c r="M27" i="720"/>
  <c r="L27" i="720"/>
  <c r="K27" i="720"/>
  <c r="M26" i="720"/>
  <c r="M24" i="720"/>
  <c r="L24" i="720"/>
  <c r="K24" i="720"/>
  <c r="M23" i="720"/>
  <c r="L23" i="720"/>
  <c r="K23" i="720"/>
  <c r="AA18" i="720"/>
  <c r="Z18" i="720"/>
  <c r="Y18" i="720"/>
  <c r="X18" i="720"/>
  <c r="W18" i="720"/>
  <c r="V18" i="720"/>
  <c r="U18" i="720"/>
  <c r="T18" i="720"/>
  <c r="S18" i="720"/>
  <c r="AA17" i="720"/>
  <c r="Z17" i="720"/>
  <c r="Y17" i="720"/>
  <c r="X17" i="720"/>
  <c r="W17" i="720"/>
  <c r="V17" i="720"/>
  <c r="U17" i="720"/>
  <c r="T17" i="720"/>
  <c r="S17" i="720"/>
  <c r="AA16" i="720"/>
  <c r="Z16" i="720"/>
  <c r="Y16" i="720"/>
  <c r="X16" i="720"/>
  <c r="W16" i="720"/>
  <c r="V16" i="720"/>
  <c r="U16" i="720"/>
  <c r="T16" i="720"/>
  <c r="S16" i="720"/>
  <c r="AA15" i="720"/>
  <c r="Z15" i="720"/>
  <c r="Y15" i="720"/>
  <c r="X15" i="720"/>
  <c r="W15" i="720"/>
  <c r="V15" i="720"/>
  <c r="U15" i="720"/>
  <c r="T15" i="720"/>
  <c r="S15" i="720"/>
  <c r="O10" i="720"/>
  <c r="N10" i="720"/>
  <c r="M10" i="720"/>
  <c r="L10" i="720"/>
  <c r="K10" i="720"/>
  <c r="J10" i="720"/>
  <c r="I10" i="720"/>
  <c r="G10" i="720"/>
  <c r="F10" i="720"/>
  <c r="E10" i="720"/>
  <c r="D10" i="720"/>
  <c r="C10" i="720"/>
  <c r="K54" i="719"/>
  <c r="K65" i="719" s="1"/>
  <c r="G54" i="719"/>
  <c r="F54" i="719" l="1"/>
  <c r="I54" i="719" s="1"/>
  <c r="K33" i="722"/>
  <c r="L33" i="722" s="1"/>
  <c r="M33" i="722" s="1"/>
  <c r="J19" i="721"/>
  <c r="K29" i="721"/>
  <c r="L29" i="721" s="1"/>
  <c r="M29" i="721" s="1"/>
  <c r="K31" i="720"/>
  <c r="L31" i="720" s="1"/>
  <c r="M31" i="720" s="1"/>
  <c r="K45" i="720"/>
  <c r="G65" i="719" l="1"/>
  <c r="D54" i="719"/>
  <c r="H54" i="719" s="1"/>
  <c r="B54" i="719"/>
  <c r="K39" i="719"/>
  <c r="M25" i="719"/>
  <c r="L25" i="719"/>
  <c r="K25" i="719"/>
  <c r="S18" i="719"/>
  <c r="T18" i="719"/>
  <c r="U18" i="719"/>
  <c r="V18" i="719"/>
  <c r="W18" i="719"/>
  <c r="X18" i="719"/>
  <c r="Y18" i="719"/>
  <c r="Z18" i="719"/>
  <c r="AA18" i="719"/>
  <c r="S19" i="719"/>
  <c r="T19" i="719"/>
  <c r="U19" i="719"/>
  <c r="V19" i="719"/>
  <c r="W19" i="719"/>
  <c r="X19" i="719"/>
  <c r="Y19" i="719"/>
  <c r="Z19" i="719"/>
  <c r="AA19" i="719"/>
  <c r="S20" i="719"/>
  <c r="T20" i="719"/>
  <c r="U20" i="719"/>
  <c r="V20" i="719"/>
  <c r="W20" i="719"/>
  <c r="X20" i="719"/>
  <c r="Y20" i="719"/>
  <c r="Z20" i="719"/>
  <c r="AA20" i="719"/>
  <c r="C17" i="719"/>
  <c r="D17" i="719"/>
  <c r="E17" i="719"/>
  <c r="F17" i="719"/>
  <c r="G17" i="719"/>
  <c r="I17" i="719"/>
  <c r="J17" i="719"/>
  <c r="K17" i="719"/>
  <c r="L17" i="719"/>
  <c r="M17" i="719"/>
  <c r="N17" i="719"/>
  <c r="O17" i="719"/>
  <c r="C18" i="719"/>
  <c r="D18" i="719"/>
  <c r="E18" i="719"/>
  <c r="F18" i="719"/>
  <c r="G18" i="719"/>
  <c r="I18" i="719"/>
  <c r="J18" i="719"/>
  <c r="K18" i="719"/>
  <c r="L18" i="719"/>
  <c r="M18" i="719"/>
  <c r="N18" i="719"/>
  <c r="O18" i="719"/>
  <c r="C15" i="719"/>
  <c r="D15" i="719"/>
  <c r="E15" i="719"/>
  <c r="F15" i="719"/>
  <c r="G15" i="719"/>
  <c r="I15" i="719"/>
  <c r="J15" i="719"/>
  <c r="K15" i="719"/>
  <c r="L15" i="719"/>
  <c r="M15" i="719"/>
  <c r="N15" i="719"/>
  <c r="O15" i="719"/>
  <c r="C16" i="719"/>
  <c r="D16" i="719"/>
  <c r="E16" i="719"/>
  <c r="F16" i="719"/>
  <c r="G16" i="719"/>
  <c r="I16" i="719"/>
  <c r="J16" i="719"/>
  <c r="K16" i="719"/>
  <c r="L16" i="719"/>
  <c r="M16" i="719"/>
  <c r="N16" i="719"/>
  <c r="O16" i="719"/>
  <c r="J25" i="719" l="1"/>
  <c r="S10" i="719"/>
  <c r="T10" i="719"/>
  <c r="U10" i="719"/>
  <c r="V10" i="719"/>
  <c r="W10" i="719"/>
  <c r="X10" i="719"/>
  <c r="Y10" i="719"/>
  <c r="Z10" i="719"/>
  <c r="AA10" i="719"/>
  <c r="S11" i="719"/>
  <c r="T11" i="719"/>
  <c r="U11" i="719"/>
  <c r="V11" i="719"/>
  <c r="W11" i="719"/>
  <c r="X11" i="719"/>
  <c r="Y11" i="719"/>
  <c r="Z11" i="719"/>
  <c r="AA11" i="719"/>
  <c r="S12" i="719"/>
  <c r="T12" i="719"/>
  <c r="U12" i="719"/>
  <c r="V12" i="719"/>
  <c r="W12" i="719"/>
  <c r="X12" i="719"/>
  <c r="Y12" i="719"/>
  <c r="Z12" i="719"/>
  <c r="AA12" i="719"/>
  <c r="S13" i="719"/>
  <c r="T13" i="719"/>
  <c r="U13" i="719"/>
  <c r="V13" i="719"/>
  <c r="W13" i="719"/>
  <c r="X13" i="719"/>
  <c r="Y13" i="719"/>
  <c r="Z13" i="719"/>
  <c r="AA13" i="719"/>
  <c r="S14" i="719"/>
  <c r="T14" i="719"/>
  <c r="U14" i="719"/>
  <c r="V14" i="719"/>
  <c r="W14" i="719"/>
  <c r="X14" i="719"/>
  <c r="Y14" i="719"/>
  <c r="Z14" i="719"/>
  <c r="AA14" i="719"/>
  <c r="S15" i="719"/>
  <c r="T15" i="719"/>
  <c r="U15" i="719"/>
  <c r="V15" i="719"/>
  <c r="W15" i="719"/>
  <c r="X15" i="719"/>
  <c r="Y15" i="719"/>
  <c r="Z15" i="719"/>
  <c r="AA15" i="719"/>
  <c r="S16" i="719"/>
  <c r="T16" i="719"/>
  <c r="U16" i="719"/>
  <c r="V16" i="719"/>
  <c r="W16" i="719"/>
  <c r="X16" i="719"/>
  <c r="Y16" i="719"/>
  <c r="Z16" i="719"/>
  <c r="AA16" i="719"/>
  <c r="S17" i="719"/>
  <c r="T17" i="719"/>
  <c r="U17" i="719"/>
  <c r="V17" i="719"/>
  <c r="W17" i="719"/>
  <c r="X17" i="719"/>
  <c r="Y17" i="719"/>
  <c r="Z17" i="719"/>
  <c r="AA17" i="719"/>
  <c r="S21" i="719"/>
  <c r="T21" i="719"/>
  <c r="U21" i="719"/>
  <c r="V21" i="719"/>
  <c r="W21" i="719"/>
  <c r="X21" i="719"/>
  <c r="Y21" i="719"/>
  <c r="Z21" i="719"/>
  <c r="AA21" i="719"/>
  <c r="M26" i="719"/>
  <c r="L26" i="719"/>
  <c r="K26" i="719"/>
  <c r="C10" i="719" l="1"/>
  <c r="D10" i="719"/>
  <c r="E10" i="719"/>
  <c r="F10" i="719"/>
  <c r="G10" i="719"/>
  <c r="L10" i="719"/>
  <c r="M10" i="719"/>
  <c r="O10" i="719"/>
  <c r="C11" i="719"/>
  <c r="D11" i="719"/>
  <c r="E11" i="719"/>
  <c r="F11" i="719"/>
  <c r="G11" i="719"/>
  <c r="L11" i="719"/>
  <c r="M11" i="719"/>
  <c r="O11" i="719"/>
  <c r="C12" i="719"/>
  <c r="D12" i="719"/>
  <c r="E12" i="719"/>
  <c r="F12" i="719"/>
  <c r="G12" i="719"/>
  <c r="L12" i="719"/>
  <c r="M12" i="719"/>
  <c r="O12" i="719"/>
  <c r="C13" i="719"/>
  <c r="D13" i="719"/>
  <c r="E13" i="719"/>
  <c r="F13" i="719"/>
  <c r="G13" i="719"/>
  <c r="L13" i="719"/>
  <c r="M13" i="719"/>
  <c r="O13" i="719"/>
  <c r="K40" i="719" l="1"/>
  <c r="K49" i="719" s="1"/>
  <c r="F70" i="719"/>
  <c r="AY57" i="719"/>
  <c r="AX57" i="719"/>
  <c r="AW57" i="719"/>
  <c r="AV57" i="719"/>
  <c r="AU57" i="719"/>
  <c r="AT57" i="719"/>
  <c r="AS57" i="719"/>
  <c r="AR57" i="719"/>
  <c r="AQ57" i="719"/>
  <c r="AP57" i="719"/>
  <c r="AO57" i="719"/>
  <c r="AN57" i="719"/>
  <c r="AM57" i="719"/>
  <c r="AL57" i="719"/>
  <c r="AK57" i="719"/>
  <c r="AJ57" i="719"/>
  <c r="AI57" i="719"/>
  <c r="AH57" i="719"/>
  <c r="AG57" i="719"/>
  <c r="AF57" i="719"/>
  <c r="AE57" i="719"/>
  <c r="AD57" i="719"/>
  <c r="AC57" i="719"/>
  <c r="AB57" i="719"/>
  <c r="AA57" i="719"/>
  <c r="Z57" i="719"/>
  <c r="Y57" i="719"/>
  <c r="X57" i="719"/>
  <c r="W57" i="719"/>
  <c r="V57" i="719"/>
  <c r="U57" i="719"/>
  <c r="AY55" i="719"/>
  <c r="AX55" i="719"/>
  <c r="AW55" i="719"/>
  <c r="AV55" i="719"/>
  <c r="AU55" i="719"/>
  <c r="AT55" i="719"/>
  <c r="AS55" i="719"/>
  <c r="AR55" i="719"/>
  <c r="AQ55" i="719"/>
  <c r="AP55" i="719"/>
  <c r="AO55" i="719"/>
  <c r="AN55" i="719"/>
  <c r="AM55" i="719"/>
  <c r="AL55" i="719"/>
  <c r="AK55" i="719"/>
  <c r="AJ55" i="719"/>
  <c r="AI55" i="719"/>
  <c r="AH55" i="719"/>
  <c r="AG55" i="719"/>
  <c r="AF55" i="719"/>
  <c r="AE55" i="719"/>
  <c r="AD55" i="719"/>
  <c r="AC55" i="719"/>
  <c r="AB55" i="719"/>
  <c r="AA55" i="719"/>
  <c r="Z55" i="719"/>
  <c r="Y55" i="719"/>
  <c r="X55" i="719"/>
  <c r="W55" i="719"/>
  <c r="V55" i="719"/>
  <c r="U55" i="719"/>
  <c r="D47" i="719"/>
  <c r="M32" i="719"/>
  <c r="M31" i="719"/>
  <c r="L31" i="719"/>
  <c r="K31" i="719"/>
  <c r="M30" i="719"/>
  <c r="M28" i="719"/>
  <c r="L28" i="719"/>
  <c r="K28" i="719"/>
  <c r="M27" i="719"/>
  <c r="L27" i="719"/>
  <c r="K27" i="719"/>
  <c r="AA22" i="719"/>
  <c r="Z22" i="719"/>
  <c r="Y22" i="719"/>
  <c r="X22" i="719"/>
  <c r="W22" i="719"/>
  <c r="V22" i="719"/>
  <c r="U22" i="719"/>
  <c r="T22" i="719"/>
  <c r="S22" i="719"/>
  <c r="K52" i="717"/>
  <c r="K66" i="717" s="1"/>
  <c r="K35" i="719" l="1"/>
  <c r="L35" i="719"/>
  <c r="M35" i="719" s="1"/>
  <c r="L54" i="719"/>
  <c r="C65" i="719" s="1"/>
  <c r="E52" i="717"/>
  <c r="B52" i="717"/>
  <c r="C23" i="717" a="1"/>
  <c r="C23" i="717" s="1"/>
  <c r="K39" i="717"/>
  <c r="K38" i="717"/>
  <c r="M25" i="717"/>
  <c r="L25" i="717"/>
  <c r="K25" i="717"/>
  <c r="M24" i="717"/>
  <c r="L24" i="717"/>
  <c r="K24" i="717"/>
  <c r="S10" i="717"/>
  <c r="T10" i="717"/>
  <c r="U10" i="717"/>
  <c r="V10" i="717"/>
  <c r="W10" i="717"/>
  <c r="X10" i="717"/>
  <c r="Y10" i="717"/>
  <c r="Z10" i="717"/>
  <c r="AA10" i="717"/>
  <c r="S11" i="717"/>
  <c r="T11" i="717"/>
  <c r="U11" i="717"/>
  <c r="V11" i="717"/>
  <c r="W11" i="717"/>
  <c r="X11" i="717"/>
  <c r="Y11" i="717"/>
  <c r="Z11" i="717"/>
  <c r="AA11" i="717"/>
  <c r="S12" i="717"/>
  <c r="T12" i="717"/>
  <c r="U12" i="717"/>
  <c r="V12" i="717"/>
  <c r="W12" i="717"/>
  <c r="X12" i="717"/>
  <c r="Y12" i="717"/>
  <c r="Z12" i="717"/>
  <c r="AA12" i="717"/>
  <c r="S13" i="717"/>
  <c r="T13" i="717"/>
  <c r="U13" i="717"/>
  <c r="V13" i="717"/>
  <c r="W13" i="717"/>
  <c r="X13" i="717"/>
  <c r="Y13" i="717"/>
  <c r="Z13" i="717"/>
  <c r="AA13" i="717"/>
  <c r="S14" i="717"/>
  <c r="T14" i="717"/>
  <c r="U14" i="717"/>
  <c r="V14" i="717"/>
  <c r="W14" i="717"/>
  <c r="X14" i="717"/>
  <c r="Y14" i="717"/>
  <c r="Z14" i="717"/>
  <c r="AA14" i="717"/>
  <c r="S15" i="717"/>
  <c r="T15" i="717"/>
  <c r="U15" i="717"/>
  <c r="V15" i="717"/>
  <c r="W15" i="717"/>
  <c r="X15" i="717"/>
  <c r="Y15" i="717"/>
  <c r="Z15" i="717"/>
  <c r="AA15" i="717"/>
  <c r="S16" i="717"/>
  <c r="T16" i="717"/>
  <c r="U16" i="717"/>
  <c r="V16" i="717"/>
  <c r="W16" i="717"/>
  <c r="X16" i="717"/>
  <c r="Y16" i="717"/>
  <c r="Z16" i="717"/>
  <c r="AA16" i="717"/>
  <c r="S17" i="717"/>
  <c r="T17" i="717"/>
  <c r="U17" i="717"/>
  <c r="V17" i="717"/>
  <c r="W17" i="717"/>
  <c r="X17" i="717"/>
  <c r="Y17" i="717"/>
  <c r="Z17" i="717"/>
  <c r="AA17" i="717"/>
  <c r="C14" i="717"/>
  <c r="D14" i="717"/>
  <c r="E14" i="717"/>
  <c r="F14" i="717"/>
  <c r="G14" i="717"/>
  <c r="I14" i="717"/>
  <c r="J14" i="717"/>
  <c r="L14" i="717"/>
  <c r="M14" i="717"/>
  <c r="N14" i="717"/>
  <c r="O14" i="717"/>
  <c r="C15" i="717"/>
  <c r="D15" i="717"/>
  <c r="E15" i="717"/>
  <c r="F15" i="717"/>
  <c r="G15" i="717"/>
  <c r="I15" i="717"/>
  <c r="J15" i="717"/>
  <c r="L15" i="717"/>
  <c r="M15" i="717"/>
  <c r="N15" i="717"/>
  <c r="O15" i="717"/>
  <c r="C16" i="717"/>
  <c r="D16" i="717"/>
  <c r="E16" i="717"/>
  <c r="F16" i="717"/>
  <c r="G16" i="717"/>
  <c r="I16" i="717"/>
  <c r="J16" i="717"/>
  <c r="L16" i="717"/>
  <c r="M16" i="717"/>
  <c r="N16" i="717"/>
  <c r="O16" i="717"/>
  <c r="C17" i="717"/>
  <c r="D17" i="717"/>
  <c r="E17" i="717"/>
  <c r="F17" i="717"/>
  <c r="G17" i="717"/>
  <c r="I17" i="717"/>
  <c r="J17" i="717"/>
  <c r="L17" i="717"/>
  <c r="M17" i="717"/>
  <c r="N17" i="717"/>
  <c r="O17" i="717"/>
  <c r="C18" i="717"/>
  <c r="D18" i="717"/>
  <c r="E18" i="717"/>
  <c r="F18" i="717"/>
  <c r="G18" i="717"/>
  <c r="I18" i="717"/>
  <c r="J18" i="717"/>
  <c r="L18" i="717"/>
  <c r="M18" i="717"/>
  <c r="N18" i="717"/>
  <c r="O18" i="717"/>
  <c r="J24" i="717" l="1"/>
  <c r="G63" i="718"/>
  <c r="G52" i="717"/>
  <c r="I10" i="717"/>
  <c r="J10" i="717"/>
  <c r="L10" i="717"/>
  <c r="M10" i="717"/>
  <c r="N10" i="717"/>
  <c r="O10" i="717"/>
  <c r="I11" i="717"/>
  <c r="J11" i="717"/>
  <c r="L11" i="717"/>
  <c r="M11" i="717"/>
  <c r="N11" i="717"/>
  <c r="O11" i="717"/>
  <c r="I12" i="717"/>
  <c r="J12" i="717"/>
  <c r="L12" i="717"/>
  <c r="M12" i="717"/>
  <c r="N12" i="717"/>
  <c r="O12" i="717"/>
  <c r="C10" i="717"/>
  <c r="D10" i="717"/>
  <c r="E10" i="717"/>
  <c r="F10" i="717"/>
  <c r="G10" i="717"/>
  <c r="C11" i="717"/>
  <c r="D11" i="717"/>
  <c r="E11" i="717"/>
  <c r="F11" i="717"/>
  <c r="G11" i="717"/>
  <c r="C12" i="717"/>
  <c r="D12" i="717"/>
  <c r="E12" i="717"/>
  <c r="F12" i="717"/>
  <c r="G12" i="717"/>
  <c r="K52" i="718" l="1"/>
  <c r="K63" i="718" s="1"/>
  <c r="J25" i="717"/>
  <c r="D52" i="718"/>
  <c r="K40" i="718"/>
  <c r="K37" i="718"/>
  <c r="M19" i="718"/>
  <c r="L19" i="718"/>
  <c r="K19" i="718"/>
  <c r="J19" i="718"/>
  <c r="I19" i="718"/>
  <c r="G19" i="718"/>
  <c r="F19" i="718"/>
  <c r="E19" i="718"/>
  <c r="C19" i="718"/>
  <c r="O19" i="718"/>
  <c r="N19" i="718"/>
  <c r="D19" i="718"/>
  <c r="M23" i="718"/>
  <c r="L23" i="718"/>
  <c r="K23" i="718"/>
  <c r="C17" i="718"/>
  <c r="D17" i="718"/>
  <c r="E17" i="718"/>
  <c r="F17" i="718"/>
  <c r="G17" i="718"/>
  <c r="I17" i="718"/>
  <c r="J17" i="718"/>
  <c r="K17" i="718"/>
  <c r="L17" i="718"/>
  <c r="M17" i="718"/>
  <c r="N17" i="718"/>
  <c r="O17" i="718"/>
  <c r="C11" i="718"/>
  <c r="D11" i="718"/>
  <c r="E11" i="718"/>
  <c r="F11" i="718"/>
  <c r="G11" i="718"/>
  <c r="I11" i="718"/>
  <c r="J11" i="718"/>
  <c r="K11" i="718"/>
  <c r="L11" i="718"/>
  <c r="M11" i="718"/>
  <c r="N11" i="718"/>
  <c r="O11" i="718"/>
  <c r="C12" i="718"/>
  <c r="D12" i="718"/>
  <c r="E12" i="718"/>
  <c r="F12" i="718"/>
  <c r="G12" i="718"/>
  <c r="I12" i="718"/>
  <c r="J12" i="718"/>
  <c r="K12" i="718"/>
  <c r="L12" i="718"/>
  <c r="M12" i="718"/>
  <c r="N12" i="718"/>
  <c r="O12" i="718"/>
  <c r="C13" i="718"/>
  <c r="D13" i="718"/>
  <c r="E13" i="718"/>
  <c r="F13" i="718"/>
  <c r="G13" i="718"/>
  <c r="I13" i="718"/>
  <c r="J13" i="718"/>
  <c r="K13" i="718"/>
  <c r="L13" i="718"/>
  <c r="M13" i="718"/>
  <c r="N13" i="718"/>
  <c r="O13" i="718"/>
  <c r="C14" i="718"/>
  <c r="D14" i="718"/>
  <c r="E14" i="718"/>
  <c r="F14" i="718"/>
  <c r="G14" i="718"/>
  <c r="I14" i="718"/>
  <c r="J14" i="718"/>
  <c r="K14" i="718"/>
  <c r="L14" i="718"/>
  <c r="M14" i="718"/>
  <c r="N14" i="718"/>
  <c r="O14" i="718"/>
  <c r="C15" i="718"/>
  <c r="D15" i="718"/>
  <c r="E15" i="718"/>
  <c r="F15" i="718"/>
  <c r="G15" i="718"/>
  <c r="I15" i="718"/>
  <c r="J15" i="718"/>
  <c r="K15" i="718"/>
  <c r="L15" i="718"/>
  <c r="M15" i="718"/>
  <c r="N15" i="718"/>
  <c r="O15" i="718"/>
  <c r="C16" i="718"/>
  <c r="D16" i="718"/>
  <c r="E16" i="718"/>
  <c r="F16" i="718"/>
  <c r="G16" i="718"/>
  <c r="I16" i="718"/>
  <c r="J16" i="718"/>
  <c r="K16" i="718"/>
  <c r="L16" i="718"/>
  <c r="M16" i="718"/>
  <c r="N16" i="718"/>
  <c r="O16" i="718"/>
  <c r="O10" i="718"/>
  <c r="N10" i="718"/>
  <c r="M10" i="718"/>
  <c r="L10" i="718"/>
  <c r="K10" i="718"/>
  <c r="J10" i="718"/>
  <c r="I10" i="718"/>
  <c r="G10" i="718"/>
  <c r="F10" i="718"/>
  <c r="E10" i="718"/>
  <c r="D10" i="718"/>
  <c r="C10" i="718"/>
  <c r="F68" i="718"/>
  <c r="AY55" i="718"/>
  <c r="AX55" i="718"/>
  <c r="AW55" i="718"/>
  <c r="AV55" i="718"/>
  <c r="AU55" i="718"/>
  <c r="AT55" i="718"/>
  <c r="AS55" i="718"/>
  <c r="AR55" i="718"/>
  <c r="AQ55" i="718"/>
  <c r="AP55" i="718"/>
  <c r="AO55" i="718"/>
  <c r="AN55" i="718"/>
  <c r="AM55" i="718"/>
  <c r="AL55" i="718"/>
  <c r="AK55" i="718"/>
  <c r="AJ55" i="718"/>
  <c r="AI55" i="718"/>
  <c r="AH55" i="718"/>
  <c r="AG55" i="718"/>
  <c r="AF55" i="718"/>
  <c r="AE55" i="718"/>
  <c r="AD55" i="718"/>
  <c r="AC55" i="718"/>
  <c r="AB55" i="718"/>
  <c r="AA55" i="718"/>
  <c r="Z55" i="718"/>
  <c r="Y55" i="718"/>
  <c r="X55" i="718"/>
  <c r="W55" i="718"/>
  <c r="V55" i="718"/>
  <c r="U55" i="718"/>
  <c r="AY53" i="718"/>
  <c r="AX53" i="718"/>
  <c r="AW53" i="718"/>
  <c r="AV53" i="718"/>
  <c r="AU53" i="718"/>
  <c r="AT53" i="718"/>
  <c r="AS53" i="718"/>
  <c r="AR53" i="718"/>
  <c r="AQ53" i="718"/>
  <c r="AP53" i="718"/>
  <c r="AO53" i="718"/>
  <c r="AN53" i="718"/>
  <c r="AM53" i="718"/>
  <c r="AL53" i="718"/>
  <c r="AK53" i="718"/>
  <c r="AJ53" i="718"/>
  <c r="AI53" i="718"/>
  <c r="AH53" i="718"/>
  <c r="AG53" i="718"/>
  <c r="AF53" i="718"/>
  <c r="AE53" i="718"/>
  <c r="AD53" i="718"/>
  <c r="AC53" i="718"/>
  <c r="AB53" i="718"/>
  <c r="AA53" i="718"/>
  <c r="Z53" i="718"/>
  <c r="Y53" i="718"/>
  <c r="X53" i="718"/>
  <c r="W53" i="718"/>
  <c r="V53" i="718"/>
  <c r="U53" i="718"/>
  <c r="D45" i="718"/>
  <c r="M30" i="718"/>
  <c r="M29" i="718"/>
  <c r="L29" i="718"/>
  <c r="K29" i="718"/>
  <c r="M28" i="718"/>
  <c r="M26" i="718"/>
  <c r="M25" i="718"/>
  <c r="L25" i="718"/>
  <c r="K25" i="718"/>
  <c r="K24" i="718"/>
  <c r="AA20" i="718"/>
  <c r="Z20" i="718"/>
  <c r="Y20" i="718"/>
  <c r="X20" i="718"/>
  <c r="W20" i="718"/>
  <c r="V20" i="718"/>
  <c r="U20" i="718"/>
  <c r="T20" i="718"/>
  <c r="S20" i="718"/>
  <c r="AA19" i="718"/>
  <c r="Z19" i="718"/>
  <c r="Y19" i="718"/>
  <c r="X19" i="718"/>
  <c r="W19" i="718"/>
  <c r="V19" i="718"/>
  <c r="U19" i="718"/>
  <c r="T19" i="718"/>
  <c r="S19" i="718"/>
  <c r="AA18" i="718"/>
  <c r="Z18" i="718"/>
  <c r="Y18" i="718"/>
  <c r="X18" i="718"/>
  <c r="W18" i="718"/>
  <c r="V18" i="718"/>
  <c r="U18" i="718"/>
  <c r="T18" i="718"/>
  <c r="S18" i="718"/>
  <c r="AA17" i="718"/>
  <c r="Z17" i="718"/>
  <c r="Y17" i="718"/>
  <c r="X17" i="718"/>
  <c r="W17" i="718"/>
  <c r="V17" i="718"/>
  <c r="U17" i="718"/>
  <c r="T17" i="718"/>
  <c r="S17" i="718"/>
  <c r="AA16" i="718"/>
  <c r="Z16" i="718"/>
  <c r="Y16" i="718"/>
  <c r="X16" i="718"/>
  <c r="W16" i="718"/>
  <c r="V16" i="718"/>
  <c r="U16" i="718"/>
  <c r="T16" i="718"/>
  <c r="S16" i="718"/>
  <c r="AA15" i="718"/>
  <c r="Z15" i="718"/>
  <c r="Y15" i="718"/>
  <c r="X15" i="718"/>
  <c r="W15" i="718"/>
  <c r="V15" i="718"/>
  <c r="U15" i="718"/>
  <c r="T15" i="718"/>
  <c r="S15" i="718"/>
  <c r="AA14" i="718"/>
  <c r="Z14" i="718"/>
  <c r="Y14" i="718"/>
  <c r="X14" i="718"/>
  <c r="W14" i="718"/>
  <c r="V14" i="718"/>
  <c r="U14" i="718"/>
  <c r="T14" i="718"/>
  <c r="S14" i="718"/>
  <c r="AA13" i="718"/>
  <c r="Z13" i="718"/>
  <c r="Y13" i="718"/>
  <c r="X13" i="718"/>
  <c r="W13" i="718"/>
  <c r="V13" i="718"/>
  <c r="U13" i="718"/>
  <c r="T13" i="718"/>
  <c r="S13" i="718"/>
  <c r="AA12" i="718"/>
  <c r="Z12" i="718"/>
  <c r="Y12" i="718"/>
  <c r="X12" i="718"/>
  <c r="W12" i="718"/>
  <c r="V12" i="718"/>
  <c r="U12" i="718"/>
  <c r="T12" i="718"/>
  <c r="S12" i="718"/>
  <c r="AA11" i="718"/>
  <c r="Z11" i="718"/>
  <c r="Y11" i="718"/>
  <c r="X11" i="718"/>
  <c r="W11" i="718"/>
  <c r="V11" i="718"/>
  <c r="U11" i="718"/>
  <c r="T11" i="718"/>
  <c r="S11" i="718"/>
  <c r="AA10" i="718"/>
  <c r="Z10" i="718"/>
  <c r="Y10" i="718"/>
  <c r="X10" i="718"/>
  <c r="W10" i="718"/>
  <c r="V10" i="718"/>
  <c r="U10" i="718"/>
  <c r="T10" i="718"/>
  <c r="S10" i="718"/>
  <c r="J23" i="718" l="1"/>
  <c r="K33" i="718"/>
  <c r="G52" i="718"/>
  <c r="L52" i="718" s="1"/>
  <c r="C63" i="718" s="1"/>
  <c r="K47" i="718"/>
  <c r="L24" i="718" l="1"/>
  <c r="L33" i="718" s="1"/>
  <c r="M33" i="718" s="1"/>
  <c r="M24" i="718"/>
  <c r="F68" i="717"/>
  <c r="AY55" i="717"/>
  <c r="AX55" i="717"/>
  <c r="AW55" i="717"/>
  <c r="AV55" i="717"/>
  <c r="AU55" i="717"/>
  <c r="AT55" i="717"/>
  <c r="AS55" i="717"/>
  <c r="AR55" i="717"/>
  <c r="AQ55" i="717"/>
  <c r="AP55" i="717"/>
  <c r="AO55" i="717"/>
  <c r="AN55" i="717"/>
  <c r="AM55" i="717"/>
  <c r="AL55" i="717"/>
  <c r="AK55" i="717"/>
  <c r="AJ55" i="717"/>
  <c r="AI55" i="717"/>
  <c r="AH55" i="717"/>
  <c r="AG55" i="717"/>
  <c r="AF55" i="717"/>
  <c r="AE55" i="717"/>
  <c r="AD55" i="717"/>
  <c r="AC55" i="717"/>
  <c r="AB55" i="717"/>
  <c r="AA55" i="717"/>
  <c r="Z55" i="717"/>
  <c r="Y55" i="717"/>
  <c r="X55" i="717"/>
  <c r="W55" i="717"/>
  <c r="V55" i="717"/>
  <c r="U55" i="717"/>
  <c r="AY53" i="717"/>
  <c r="AX53" i="717"/>
  <c r="AW53" i="717"/>
  <c r="AV53" i="717"/>
  <c r="AU53" i="717"/>
  <c r="AT53" i="717"/>
  <c r="AS53" i="717"/>
  <c r="AR53" i="717"/>
  <c r="AQ53" i="717"/>
  <c r="AP53" i="717"/>
  <c r="AO53" i="717"/>
  <c r="AN53" i="717"/>
  <c r="AM53" i="717"/>
  <c r="AL53" i="717"/>
  <c r="AK53" i="717"/>
  <c r="AJ53" i="717"/>
  <c r="AI53" i="717"/>
  <c r="AH53" i="717"/>
  <c r="AG53" i="717"/>
  <c r="AF53" i="717"/>
  <c r="AE53" i="717"/>
  <c r="AD53" i="717"/>
  <c r="AC53" i="717"/>
  <c r="AB53" i="717"/>
  <c r="AA53" i="717"/>
  <c r="Z53" i="717"/>
  <c r="Y53" i="717"/>
  <c r="X53" i="717"/>
  <c r="W53" i="717"/>
  <c r="V53" i="717"/>
  <c r="U53" i="717"/>
  <c r="D45" i="717"/>
  <c r="K47" i="717"/>
  <c r="M30" i="717"/>
  <c r="M29" i="717"/>
  <c r="L29" i="717"/>
  <c r="K29" i="717"/>
  <c r="M28" i="717"/>
  <c r="M26" i="717"/>
  <c r="L26" i="717"/>
  <c r="K26" i="717"/>
  <c r="M23" i="717"/>
  <c r="L23" i="717"/>
  <c r="K23" i="717"/>
  <c r="AA20" i="717"/>
  <c r="Z20" i="717"/>
  <c r="Y20" i="717"/>
  <c r="X20" i="717"/>
  <c r="W20" i="717"/>
  <c r="V20" i="717"/>
  <c r="U20" i="717"/>
  <c r="T20" i="717"/>
  <c r="S20" i="717"/>
  <c r="AA18" i="717"/>
  <c r="Z18" i="717"/>
  <c r="Y18" i="717"/>
  <c r="X18" i="717"/>
  <c r="W18" i="717"/>
  <c r="V18" i="717"/>
  <c r="U18" i="717"/>
  <c r="T18" i="717"/>
  <c r="S18" i="717"/>
  <c r="K40" i="716"/>
  <c r="K39" i="716"/>
  <c r="M26" i="716"/>
  <c r="L26" i="716"/>
  <c r="K26" i="716"/>
  <c r="C15" i="716"/>
  <c r="D15" i="716"/>
  <c r="E15" i="716"/>
  <c r="F15" i="716"/>
  <c r="G15" i="716"/>
  <c r="I15" i="716"/>
  <c r="J15" i="716"/>
  <c r="L15" i="716"/>
  <c r="M15" i="716"/>
  <c r="N15" i="716"/>
  <c r="O15" i="716"/>
  <c r="C16" i="716"/>
  <c r="D16" i="716"/>
  <c r="E16" i="716"/>
  <c r="F16" i="716"/>
  <c r="G16" i="716"/>
  <c r="I16" i="716"/>
  <c r="J16" i="716"/>
  <c r="L16" i="716"/>
  <c r="M16" i="716"/>
  <c r="N16" i="716"/>
  <c r="O16" i="716"/>
  <c r="C17" i="716"/>
  <c r="D17" i="716"/>
  <c r="E17" i="716"/>
  <c r="F17" i="716"/>
  <c r="G17" i="716"/>
  <c r="I17" i="716"/>
  <c r="J17" i="716"/>
  <c r="L17" i="716"/>
  <c r="M17" i="716"/>
  <c r="N17" i="716"/>
  <c r="O17" i="716"/>
  <c r="C18" i="716"/>
  <c r="D18" i="716"/>
  <c r="E18" i="716"/>
  <c r="F18" i="716"/>
  <c r="G18" i="716"/>
  <c r="I18" i="716"/>
  <c r="J18" i="716"/>
  <c r="L18" i="716"/>
  <c r="M18" i="716"/>
  <c r="N18" i="716"/>
  <c r="O18" i="716"/>
  <c r="O14" i="716"/>
  <c r="N14" i="716"/>
  <c r="M14" i="716"/>
  <c r="L14" i="716"/>
  <c r="J14" i="716"/>
  <c r="I14" i="716"/>
  <c r="G14" i="716"/>
  <c r="F14" i="716"/>
  <c r="E14" i="716"/>
  <c r="D14" i="716"/>
  <c r="C14" i="716"/>
  <c r="S10" i="716"/>
  <c r="T10" i="716"/>
  <c r="U10" i="716"/>
  <c r="V10" i="716"/>
  <c r="W10" i="716"/>
  <c r="X10" i="716"/>
  <c r="Y10" i="716"/>
  <c r="Z10" i="716"/>
  <c r="AA10" i="716"/>
  <c r="S11" i="716"/>
  <c r="T11" i="716"/>
  <c r="U11" i="716"/>
  <c r="V11" i="716"/>
  <c r="W11" i="716"/>
  <c r="X11" i="716"/>
  <c r="Y11" i="716"/>
  <c r="Z11" i="716"/>
  <c r="AA11" i="716"/>
  <c r="S12" i="716"/>
  <c r="T12" i="716"/>
  <c r="U12" i="716"/>
  <c r="V12" i="716"/>
  <c r="W12" i="716"/>
  <c r="X12" i="716"/>
  <c r="Y12" i="716"/>
  <c r="Z12" i="716"/>
  <c r="AA12" i="716"/>
  <c r="S13" i="716"/>
  <c r="T13" i="716"/>
  <c r="U13" i="716"/>
  <c r="V13" i="716"/>
  <c r="W13" i="716"/>
  <c r="X13" i="716"/>
  <c r="Y13" i="716"/>
  <c r="Z13" i="716"/>
  <c r="AA13" i="716"/>
  <c r="S14" i="716"/>
  <c r="T14" i="716"/>
  <c r="U14" i="716"/>
  <c r="V14" i="716"/>
  <c r="W14" i="716"/>
  <c r="X14" i="716"/>
  <c r="Y14" i="716"/>
  <c r="Z14" i="716"/>
  <c r="AA14" i="716"/>
  <c r="S15" i="716"/>
  <c r="T15" i="716"/>
  <c r="U15" i="716"/>
  <c r="V15" i="716"/>
  <c r="W15" i="716"/>
  <c r="X15" i="716"/>
  <c r="Y15" i="716"/>
  <c r="Z15" i="716"/>
  <c r="AA15" i="716"/>
  <c r="S16" i="716"/>
  <c r="T16" i="716"/>
  <c r="U16" i="716"/>
  <c r="V16" i="716"/>
  <c r="W16" i="716"/>
  <c r="X16" i="716"/>
  <c r="Y16" i="716"/>
  <c r="Z16" i="716"/>
  <c r="AA16" i="716"/>
  <c r="S17" i="716"/>
  <c r="T17" i="716"/>
  <c r="U17" i="716"/>
  <c r="V17" i="716"/>
  <c r="W17" i="716"/>
  <c r="X17" i="716"/>
  <c r="Y17" i="716"/>
  <c r="Z17" i="716"/>
  <c r="AA17" i="716"/>
  <c r="S18" i="716"/>
  <c r="T18" i="716"/>
  <c r="U18" i="716"/>
  <c r="V18" i="716"/>
  <c r="W18" i="716"/>
  <c r="X18" i="716"/>
  <c r="Y18" i="716"/>
  <c r="Z18" i="716"/>
  <c r="AA18" i="716"/>
  <c r="S19" i="716"/>
  <c r="T19" i="716"/>
  <c r="U19" i="716"/>
  <c r="V19" i="716"/>
  <c r="W19" i="716"/>
  <c r="X19" i="716"/>
  <c r="Y19" i="716"/>
  <c r="Z19" i="716"/>
  <c r="AA19" i="716"/>
  <c r="S20" i="716"/>
  <c r="T20" i="716"/>
  <c r="U20" i="716"/>
  <c r="V20" i="716"/>
  <c r="W20" i="716"/>
  <c r="X20" i="716"/>
  <c r="Y20" i="716"/>
  <c r="Z20" i="716"/>
  <c r="AA20" i="716"/>
  <c r="C10" i="716"/>
  <c r="D10" i="716"/>
  <c r="E10" i="716"/>
  <c r="F10" i="716"/>
  <c r="G10" i="716"/>
  <c r="I10" i="716"/>
  <c r="J10" i="716"/>
  <c r="K10" i="716"/>
  <c r="L10" i="716"/>
  <c r="M10" i="716"/>
  <c r="N10" i="716"/>
  <c r="O10" i="716"/>
  <c r="C11" i="716"/>
  <c r="D11" i="716"/>
  <c r="E11" i="716"/>
  <c r="F11" i="716"/>
  <c r="G11" i="716"/>
  <c r="I11" i="716"/>
  <c r="J11" i="716"/>
  <c r="K11" i="716"/>
  <c r="L11" i="716"/>
  <c r="M11" i="716"/>
  <c r="N11" i="716"/>
  <c r="O11" i="716"/>
  <c r="C12" i="716"/>
  <c r="D12" i="716"/>
  <c r="E12" i="716"/>
  <c r="F12" i="716"/>
  <c r="G12" i="716"/>
  <c r="I12" i="716"/>
  <c r="J12" i="716"/>
  <c r="K12" i="716"/>
  <c r="L12" i="716"/>
  <c r="M12" i="716"/>
  <c r="N12" i="716"/>
  <c r="O12" i="716"/>
  <c r="M28" i="716"/>
  <c r="J26" i="716" l="1"/>
  <c r="J25" i="716"/>
  <c r="K33" i="717"/>
  <c r="L33" i="717" s="1"/>
  <c r="M33" i="717" s="1"/>
  <c r="B45" i="714"/>
  <c r="C45" i="714" a="1"/>
  <c r="C45" i="714" s="1"/>
  <c r="B57" i="714"/>
  <c r="C57" i="714" a="1"/>
  <c r="C57" i="714" s="1"/>
  <c r="C59" i="714"/>
  <c r="S11" i="709" l="1"/>
  <c r="T11" i="709"/>
  <c r="U11" i="709"/>
  <c r="V11" i="709"/>
  <c r="W11" i="709"/>
  <c r="X11" i="709"/>
  <c r="Y11" i="709"/>
  <c r="Z11" i="709"/>
  <c r="AA11" i="709"/>
  <c r="S12" i="709"/>
  <c r="T12" i="709"/>
  <c r="U12" i="709"/>
  <c r="V12" i="709"/>
  <c r="W12" i="709"/>
  <c r="X12" i="709"/>
  <c r="Y12" i="709"/>
  <c r="Z12" i="709"/>
  <c r="AA12" i="709"/>
  <c r="S13" i="709"/>
  <c r="T13" i="709"/>
  <c r="U13" i="709"/>
  <c r="V13" i="709"/>
  <c r="W13" i="709"/>
  <c r="X13" i="709"/>
  <c r="Y13" i="709"/>
  <c r="Z13" i="709"/>
  <c r="AA13" i="709"/>
  <c r="S14" i="709"/>
  <c r="T14" i="709"/>
  <c r="U14" i="709"/>
  <c r="V14" i="709"/>
  <c r="W14" i="709"/>
  <c r="X14" i="709"/>
  <c r="Y14" i="709"/>
  <c r="Z14" i="709"/>
  <c r="AA14" i="709"/>
  <c r="S15" i="709"/>
  <c r="T15" i="709"/>
  <c r="U15" i="709"/>
  <c r="V15" i="709"/>
  <c r="W15" i="709"/>
  <c r="X15" i="709"/>
  <c r="Y15" i="709"/>
  <c r="Z15" i="709"/>
  <c r="AA15" i="709"/>
  <c r="S16" i="709"/>
  <c r="T16" i="709"/>
  <c r="U16" i="709"/>
  <c r="V16" i="709"/>
  <c r="W16" i="709"/>
  <c r="X16" i="709"/>
  <c r="Y16" i="709"/>
  <c r="Z16" i="709"/>
  <c r="AA16" i="709"/>
  <c r="S17" i="709"/>
  <c r="T17" i="709"/>
  <c r="U17" i="709"/>
  <c r="V17" i="709"/>
  <c r="W17" i="709"/>
  <c r="X17" i="709"/>
  <c r="Y17" i="709"/>
  <c r="Z17" i="709"/>
  <c r="AA17" i="709"/>
  <c r="S18" i="709"/>
  <c r="T18" i="709"/>
  <c r="U18" i="709"/>
  <c r="V18" i="709"/>
  <c r="W18" i="709"/>
  <c r="X18" i="709"/>
  <c r="Y18" i="709"/>
  <c r="Z18" i="709"/>
  <c r="AA18" i="709"/>
  <c r="S10" i="710"/>
  <c r="T10" i="710"/>
  <c r="U10" i="710"/>
  <c r="V10" i="710"/>
  <c r="W10" i="710"/>
  <c r="X10" i="710"/>
  <c r="Y10" i="710"/>
  <c r="Z10" i="710"/>
  <c r="AA10" i="710"/>
  <c r="S11" i="710"/>
  <c r="T11" i="710"/>
  <c r="U11" i="710"/>
  <c r="V11" i="710"/>
  <c r="W11" i="710"/>
  <c r="X11" i="710"/>
  <c r="Y11" i="710"/>
  <c r="Z11" i="710"/>
  <c r="AA11" i="710"/>
  <c r="S12" i="710"/>
  <c r="T12" i="710"/>
  <c r="U12" i="710"/>
  <c r="V12" i="710"/>
  <c r="W12" i="710"/>
  <c r="X12" i="710"/>
  <c r="Y12" i="710"/>
  <c r="Z12" i="710"/>
  <c r="AA12" i="710"/>
  <c r="S10" i="711"/>
  <c r="T10" i="711"/>
  <c r="U10" i="711"/>
  <c r="V10" i="711"/>
  <c r="W10" i="711"/>
  <c r="X10" i="711"/>
  <c r="Y10" i="711"/>
  <c r="Z10" i="711"/>
  <c r="AA10" i="711"/>
  <c r="S11" i="711"/>
  <c r="T11" i="711"/>
  <c r="U11" i="711"/>
  <c r="V11" i="711"/>
  <c r="W11" i="711"/>
  <c r="X11" i="711"/>
  <c r="Y11" i="711"/>
  <c r="Z11" i="711"/>
  <c r="AA11" i="711"/>
  <c r="S12" i="711"/>
  <c r="T12" i="711"/>
  <c r="U12" i="711"/>
  <c r="V12" i="711"/>
  <c r="W12" i="711"/>
  <c r="X12" i="711"/>
  <c r="Y12" i="711"/>
  <c r="Z12" i="711"/>
  <c r="AA12" i="711"/>
  <c r="S10" i="713"/>
  <c r="T10" i="713"/>
  <c r="U10" i="713"/>
  <c r="V10" i="713"/>
  <c r="W10" i="713"/>
  <c r="X10" i="713"/>
  <c r="Y10" i="713"/>
  <c r="Z10" i="713"/>
  <c r="AA10" i="713"/>
  <c r="S11" i="713"/>
  <c r="T11" i="713"/>
  <c r="U11" i="713"/>
  <c r="V11" i="713"/>
  <c r="W11" i="713"/>
  <c r="X11" i="713"/>
  <c r="Y11" i="713"/>
  <c r="Z11" i="713"/>
  <c r="AA11" i="713"/>
  <c r="S12" i="713"/>
  <c r="T12" i="713"/>
  <c r="U12" i="713"/>
  <c r="V12" i="713"/>
  <c r="W12" i="713"/>
  <c r="X12" i="713"/>
  <c r="Y12" i="713"/>
  <c r="Z12" i="713"/>
  <c r="AA12" i="713"/>
  <c r="S13" i="713"/>
  <c r="T13" i="713"/>
  <c r="U13" i="713"/>
  <c r="V13" i="713"/>
  <c r="W13" i="713"/>
  <c r="X13" i="713"/>
  <c r="Y13" i="713"/>
  <c r="Z13" i="713"/>
  <c r="AA13" i="713"/>
  <c r="S14" i="713"/>
  <c r="T14" i="713"/>
  <c r="U14" i="713"/>
  <c r="V14" i="713"/>
  <c r="W14" i="713"/>
  <c r="X14" i="713"/>
  <c r="Y14" i="713"/>
  <c r="Z14" i="713"/>
  <c r="AA14" i="713"/>
  <c r="S15" i="713"/>
  <c r="T15" i="713"/>
  <c r="U15" i="713"/>
  <c r="V15" i="713"/>
  <c r="W15" i="713"/>
  <c r="X15" i="713"/>
  <c r="Y15" i="713"/>
  <c r="Z15" i="713"/>
  <c r="AA15" i="713"/>
  <c r="S16" i="713"/>
  <c r="T16" i="713"/>
  <c r="U16" i="713"/>
  <c r="V16" i="713"/>
  <c r="W16" i="713"/>
  <c r="X16" i="713"/>
  <c r="Y16" i="713"/>
  <c r="Z16" i="713"/>
  <c r="AA16" i="713"/>
  <c r="S17" i="713"/>
  <c r="T17" i="713"/>
  <c r="U17" i="713"/>
  <c r="V17" i="713"/>
  <c r="W17" i="713"/>
  <c r="X17" i="713"/>
  <c r="Y17" i="713"/>
  <c r="Z17" i="713"/>
  <c r="AA17" i="713"/>
  <c r="S18" i="713"/>
  <c r="T18" i="713"/>
  <c r="U18" i="713"/>
  <c r="V18" i="713"/>
  <c r="W18" i="713"/>
  <c r="X18" i="713"/>
  <c r="Y18" i="713"/>
  <c r="Z18" i="713"/>
  <c r="AA18" i="713"/>
  <c r="S19" i="713"/>
  <c r="T19" i="713"/>
  <c r="U19" i="713"/>
  <c r="V19" i="713"/>
  <c r="W19" i="713"/>
  <c r="X19" i="713"/>
  <c r="Y19" i="713"/>
  <c r="Z19" i="713"/>
  <c r="AA19" i="713"/>
  <c r="S10" i="714"/>
  <c r="T10" i="714"/>
  <c r="U10" i="714"/>
  <c r="V10" i="714"/>
  <c r="W10" i="714"/>
  <c r="X10" i="714"/>
  <c r="Y10" i="714"/>
  <c r="Z10" i="714"/>
  <c r="AA10" i="714"/>
  <c r="S11" i="714"/>
  <c r="T11" i="714"/>
  <c r="U11" i="714"/>
  <c r="V11" i="714"/>
  <c r="W11" i="714"/>
  <c r="X11" i="714"/>
  <c r="Y11" i="714"/>
  <c r="Z11" i="714"/>
  <c r="AA11" i="714"/>
  <c r="S12" i="714"/>
  <c r="T12" i="714"/>
  <c r="U12" i="714"/>
  <c r="V12" i="714"/>
  <c r="W12" i="714"/>
  <c r="X12" i="714"/>
  <c r="Y12" i="714"/>
  <c r="Z12" i="714"/>
  <c r="AA12" i="714"/>
  <c r="S13" i="714"/>
  <c r="T13" i="714"/>
  <c r="U13" i="714"/>
  <c r="V13" i="714"/>
  <c r="W13" i="714"/>
  <c r="X13" i="714"/>
  <c r="Y13" i="714"/>
  <c r="Z13" i="714"/>
  <c r="AA13" i="714"/>
  <c r="S14" i="714"/>
  <c r="T14" i="714"/>
  <c r="U14" i="714"/>
  <c r="V14" i="714"/>
  <c r="W14" i="714"/>
  <c r="X14" i="714"/>
  <c r="Y14" i="714"/>
  <c r="Z14" i="714"/>
  <c r="AA14" i="714"/>
  <c r="S15" i="714"/>
  <c r="T15" i="714"/>
  <c r="U15" i="714"/>
  <c r="V15" i="714"/>
  <c r="W15" i="714"/>
  <c r="X15" i="714"/>
  <c r="Y15" i="714"/>
  <c r="Z15" i="714"/>
  <c r="AA15" i="714"/>
  <c r="S16" i="714"/>
  <c r="T16" i="714"/>
  <c r="U16" i="714"/>
  <c r="V16" i="714"/>
  <c r="W16" i="714"/>
  <c r="X16" i="714"/>
  <c r="Y16" i="714"/>
  <c r="Z16" i="714"/>
  <c r="AA16" i="714"/>
  <c r="S17" i="714"/>
  <c r="T17" i="714"/>
  <c r="U17" i="714"/>
  <c r="V17" i="714"/>
  <c r="W17" i="714"/>
  <c r="X17" i="714"/>
  <c r="Y17" i="714"/>
  <c r="Z17" i="714"/>
  <c r="AA17" i="714"/>
  <c r="S18" i="714"/>
  <c r="T18" i="714"/>
  <c r="U18" i="714"/>
  <c r="V18" i="714"/>
  <c r="W18" i="714"/>
  <c r="X18" i="714"/>
  <c r="Y18" i="714"/>
  <c r="Z18" i="714"/>
  <c r="AA18" i="714"/>
  <c r="S19" i="714"/>
  <c r="T19" i="714"/>
  <c r="U19" i="714"/>
  <c r="V19" i="714"/>
  <c r="W19" i="714"/>
  <c r="X19" i="714"/>
  <c r="Y19" i="714"/>
  <c r="Z19" i="714"/>
  <c r="AA19" i="714"/>
  <c r="S20" i="714"/>
  <c r="T20" i="714"/>
  <c r="U20" i="714"/>
  <c r="V20" i="714"/>
  <c r="W20" i="714"/>
  <c r="X20" i="714"/>
  <c r="Y20" i="714"/>
  <c r="Z20" i="714"/>
  <c r="AA20" i="714"/>
  <c r="S10" i="715"/>
  <c r="T10" i="715"/>
  <c r="U10" i="715"/>
  <c r="V10" i="715"/>
  <c r="W10" i="715"/>
  <c r="X10" i="715"/>
  <c r="Y10" i="715"/>
  <c r="Z10" i="715"/>
  <c r="AA10" i="715"/>
  <c r="S11" i="715"/>
  <c r="T11" i="715"/>
  <c r="U11" i="715"/>
  <c r="V11" i="715"/>
  <c r="W11" i="715"/>
  <c r="X11" i="715"/>
  <c r="Y11" i="715"/>
  <c r="Z11" i="715"/>
  <c r="AA11" i="715"/>
  <c r="S12" i="715"/>
  <c r="T12" i="715"/>
  <c r="U12" i="715"/>
  <c r="V12" i="715"/>
  <c r="W12" i="715"/>
  <c r="X12" i="715"/>
  <c r="Y12" i="715"/>
  <c r="Z12" i="715"/>
  <c r="AA12" i="715"/>
  <c r="S13" i="715"/>
  <c r="T13" i="715"/>
  <c r="U13" i="715"/>
  <c r="V13" i="715"/>
  <c r="W13" i="715"/>
  <c r="X13" i="715"/>
  <c r="Y13" i="715"/>
  <c r="Z13" i="715"/>
  <c r="AA13" i="715"/>
  <c r="M23" i="716" l="1"/>
  <c r="L23" i="716"/>
  <c r="K23" i="716"/>
  <c r="F68" i="716" l="1"/>
  <c r="AY55" i="716"/>
  <c r="AX55" i="716"/>
  <c r="AW55" i="716"/>
  <c r="AV55" i="716"/>
  <c r="AU55" i="716"/>
  <c r="AT55" i="716"/>
  <c r="AS55" i="716"/>
  <c r="AR55" i="716"/>
  <c r="AQ55" i="716"/>
  <c r="AP55" i="716"/>
  <c r="AO55" i="716"/>
  <c r="AN55" i="716"/>
  <c r="AM55" i="716"/>
  <c r="AL55" i="716"/>
  <c r="AK55" i="716"/>
  <c r="AJ55" i="716"/>
  <c r="AI55" i="716"/>
  <c r="AH55" i="716"/>
  <c r="AG55" i="716"/>
  <c r="AF55" i="716"/>
  <c r="AE55" i="716"/>
  <c r="AD55" i="716"/>
  <c r="AC55" i="716"/>
  <c r="AB55" i="716"/>
  <c r="AA55" i="716"/>
  <c r="Z55" i="716"/>
  <c r="Y55" i="716"/>
  <c r="X55" i="716"/>
  <c r="W55" i="716"/>
  <c r="V55" i="716"/>
  <c r="U55" i="716"/>
  <c r="AY53" i="716"/>
  <c r="AX53" i="716"/>
  <c r="AW53" i="716"/>
  <c r="AV53" i="716"/>
  <c r="AU53" i="716"/>
  <c r="AT53" i="716"/>
  <c r="AS53" i="716"/>
  <c r="AR53" i="716"/>
  <c r="AQ53" i="716"/>
  <c r="AP53" i="716"/>
  <c r="AO53" i="716"/>
  <c r="AN53" i="716"/>
  <c r="AM53" i="716"/>
  <c r="AL53" i="716"/>
  <c r="AK53" i="716"/>
  <c r="AJ53" i="716"/>
  <c r="AI53" i="716"/>
  <c r="AH53" i="716"/>
  <c r="AG53" i="716"/>
  <c r="AF53" i="716"/>
  <c r="AE53" i="716"/>
  <c r="AD53" i="716"/>
  <c r="AC53" i="716"/>
  <c r="AB53" i="716"/>
  <c r="AA53" i="716"/>
  <c r="Z53" i="716"/>
  <c r="Y53" i="716"/>
  <c r="X53" i="716"/>
  <c r="W53" i="716"/>
  <c r="V53" i="716"/>
  <c r="U53" i="716"/>
  <c r="D45" i="716"/>
  <c r="K47" i="716"/>
  <c r="M30" i="716"/>
  <c r="M29" i="716"/>
  <c r="L29" i="716"/>
  <c r="K29" i="716"/>
  <c r="M25" i="716"/>
  <c r="L25" i="716"/>
  <c r="K25" i="716"/>
  <c r="M24" i="716"/>
  <c r="L24" i="716"/>
  <c r="K24" i="716"/>
  <c r="C27" i="715" a="1"/>
  <c r="C27" i="715" s="1"/>
  <c r="K56" i="715"/>
  <c r="K54" i="715"/>
  <c r="K64" i="715" s="1"/>
  <c r="K52" i="715"/>
  <c r="G56" i="715"/>
  <c r="G54" i="715"/>
  <c r="G52" i="715"/>
  <c r="B56" i="715"/>
  <c r="K63" i="715" l="1"/>
  <c r="K33" i="716"/>
  <c r="L33" i="716" s="1"/>
  <c r="M33" i="716" s="1"/>
  <c r="K38" i="715"/>
  <c r="K47" i="715"/>
  <c r="K60" i="714"/>
  <c r="K47" i="714"/>
  <c r="M46" i="714"/>
  <c r="L46" i="714"/>
  <c r="K46" i="714"/>
  <c r="C18" i="714"/>
  <c r="D18" i="714"/>
  <c r="E18" i="714"/>
  <c r="F18" i="714"/>
  <c r="G18" i="714"/>
  <c r="I18" i="714"/>
  <c r="J18" i="714"/>
  <c r="L18" i="714"/>
  <c r="M18" i="714"/>
  <c r="N18" i="714"/>
  <c r="O18" i="714"/>
  <c r="O17" i="714"/>
  <c r="N17" i="714"/>
  <c r="M17" i="714"/>
  <c r="L17" i="714"/>
  <c r="J17" i="714"/>
  <c r="I17" i="714"/>
  <c r="G17" i="714"/>
  <c r="F17" i="714"/>
  <c r="E17" i="714"/>
  <c r="D17" i="714"/>
  <c r="C17" i="714"/>
  <c r="M24" i="715"/>
  <c r="L24" i="715"/>
  <c r="K24" i="715"/>
  <c r="N12" i="715"/>
  <c r="N15" i="715"/>
  <c r="N11" i="715"/>
  <c r="N13" i="715"/>
  <c r="N14" i="715"/>
  <c r="F10" i="715"/>
  <c r="F11" i="715"/>
  <c r="F12" i="715"/>
  <c r="F13" i="715"/>
  <c r="F14" i="715"/>
  <c r="F15" i="715"/>
  <c r="M10" i="715"/>
  <c r="M11" i="715"/>
  <c r="M12" i="715"/>
  <c r="M13" i="715"/>
  <c r="M14" i="715"/>
  <c r="M15" i="715"/>
  <c r="C12" i="715"/>
  <c r="D12" i="715"/>
  <c r="E12" i="715"/>
  <c r="G12" i="715"/>
  <c r="I12" i="715"/>
  <c r="J12" i="715"/>
  <c r="L12" i="715"/>
  <c r="O12" i="715"/>
  <c r="C13" i="715"/>
  <c r="D13" i="715"/>
  <c r="E13" i="715"/>
  <c r="G13" i="715"/>
  <c r="I13" i="715"/>
  <c r="J13" i="715"/>
  <c r="L13" i="715"/>
  <c r="O13" i="715"/>
  <c r="C14" i="715"/>
  <c r="D14" i="715"/>
  <c r="E14" i="715"/>
  <c r="G14" i="715"/>
  <c r="I14" i="715"/>
  <c r="J14" i="715"/>
  <c r="L14" i="715"/>
  <c r="O14" i="715"/>
  <c r="C15" i="715"/>
  <c r="D15" i="715"/>
  <c r="E15" i="715"/>
  <c r="G15" i="715"/>
  <c r="I15" i="715"/>
  <c r="J15" i="715"/>
  <c r="L15" i="715"/>
  <c r="O15" i="715"/>
  <c r="C11" i="715"/>
  <c r="D11" i="715"/>
  <c r="E11" i="715"/>
  <c r="G11" i="715"/>
  <c r="I11" i="715"/>
  <c r="J11" i="715"/>
  <c r="L11" i="715"/>
  <c r="O11" i="715"/>
  <c r="C10" i="715"/>
  <c r="D10" i="715"/>
  <c r="E10" i="715"/>
  <c r="G10" i="715"/>
  <c r="I10" i="715"/>
  <c r="J10" i="715"/>
  <c r="L10" i="715"/>
  <c r="O10" i="715"/>
  <c r="F68" i="715"/>
  <c r="AY55" i="715"/>
  <c r="AX55" i="715"/>
  <c r="AW55" i="715"/>
  <c r="AV55" i="715"/>
  <c r="AU55" i="715"/>
  <c r="AT55" i="715"/>
  <c r="AS55" i="715"/>
  <c r="AR55" i="715"/>
  <c r="AQ55" i="715"/>
  <c r="AP55" i="715"/>
  <c r="AO55" i="715"/>
  <c r="AN55" i="715"/>
  <c r="AM55" i="715"/>
  <c r="AL55" i="715"/>
  <c r="AK55" i="715"/>
  <c r="AJ55" i="715"/>
  <c r="AI55" i="715"/>
  <c r="AH55" i="715"/>
  <c r="AG55" i="715"/>
  <c r="AF55" i="715"/>
  <c r="AE55" i="715"/>
  <c r="AD55" i="715"/>
  <c r="AC55" i="715"/>
  <c r="AB55" i="715"/>
  <c r="AA55" i="715"/>
  <c r="Z55" i="715"/>
  <c r="Y55" i="715"/>
  <c r="X55" i="715"/>
  <c r="W55" i="715"/>
  <c r="V55" i="715"/>
  <c r="U55" i="715"/>
  <c r="AY53" i="715"/>
  <c r="AX53" i="715"/>
  <c r="AW53" i="715"/>
  <c r="AV53" i="715"/>
  <c r="AU53" i="715"/>
  <c r="AT53" i="715"/>
  <c r="AS53" i="715"/>
  <c r="AR53" i="715"/>
  <c r="AQ53" i="715"/>
  <c r="AP53" i="715"/>
  <c r="AO53" i="715"/>
  <c r="AN53" i="715"/>
  <c r="AM53" i="715"/>
  <c r="AL53" i="715"/>
  <c r="AK53" i="715"/>
  <c r="AJ53" i="715"/>
  <c r="AI53" i="715"/>
  <c r="AH53" i="715"/>
  <c r="AG53" i="715"/>
  <c r="AF53" i="715"/>
  <c r="AE53" i="715"/>
  <c r="AD53" i="715"/>
  <c r="AC53" i="715"/>
  <c r="AB53" i="715"/>
  <c r="AA53" i="715"/>
  <c r="Z53" i="715"/>
  <c r="Y53" i="715"/>
  <c r="X53" i="715"/>
  <c r="W53" i="715"/>
  <c r="V53" i="715"/>
  <c r="U53" i="715"/>
  <c r="D45" i="715"/>
  <c r="M30" i="715"/>
  <c r="M29" i="715"/>
  <c r="L29" i="715"/>
  <c r="K29" i="715"/>
  <c r="M28" i="715"/>
  <c r="M25" i="715"/>
  <c r="L25" i="715"/>
  <c r="K25" i="715"/>
  <c r="M23" i="715"/>
  <c r="L23" i="715"/>
  <c r="K23" i="715"/>
  <c r="AA20" i="715"/>
  <c r="Z20" i="715"/>
  <c r="Y20" i="715"/>
  <c r="X20" i="715"/>
  <c r="W20" i="715"/>
  <c r="V20" i="715"/>
  <c r="U20" i="715"/>
  <c r="T20" i="715"/>
  <c r="S20" i="715"/>
  <c r="AA19" i="715"/>
  <c r="Z19" i="715"/>
  <c r="Y19" i="715"/>
  <c r="X19" i="715"/>
  <c r="W19" i="715"/>
  <c r="V19" i="715"/>
  <c r="U19" i="715"/>
  <c r="T19" i="715"/>
  <c r="S19" i="715"/>
  <c r="AA18" i="715"/>
  <c r="Z18" i="715"/>
  <c r="Y18" i="715"/>
  <c r="X18" i="715"/>
  <c r="W18" i="715"/>
  <c r="V18" i="715"/>
  <c r="U18" i="715"/>
  <c r="T18" i="715"/>
  <c r="S18" i="715"/>
  <c r="AA17" i="715"/>
  <c r="Z17" i="715"/>
  <c r="Y17" i="715"/>
  <c r="X17" i="715"/>
  <c r="W17" i="715"/>
  <c r="V17" i="715"/>
  <c r="U17" i="715"/>
  <c r="T17" i="715"/>
  <c r="S17" i="715"/>
  <c r="AA16" i="715"/>
  <c r="Z16" i="715"/>
  <c r="Y16" i="715"/>
  <c r="X16" i="715"/>
  <c r="W16" i="715"/>
  <c r="V16" i="715"/>
  <c r="U16" i="715"/>
  <c r="T16" i="715"/>
  <c r="S16" i="715"/>
  <c r="AA15" i="715"/>
  <c r="Z15" i="715"/>
  <c r="Y15" i="715"/>
  <c r="X15" i="715"/>
  <c r="W15" i="715"/>
  <c r="V15" i="715"/>
  <c r="U15" i="715"/>
  <c r="T15" i="715"/>
  <c r="S15" i="715"/>
  <c r="AA14" i="715"/>
  <c r="Z14" i="715"/>
  <c r="Y14" i="715"/>
  <c r="X14" i="715"/>
  <c r="W14" i="715"/>
  <c r="V14" i="715"/>
  <c r="U14" i="715"/>
  <c r="T14" i="715"/>
  <c r="S14" i="715"/>
  <c r="K76" i="714"/>
  <c r="K74" i="714"/>
  <c r="J24" i="715" l="1"/>
  <c r="J46" i="714"/>
  <c r="D52" i="715"/>
  <c r="L52" i="715" s="1"/>
  <c r="K33" i="715"/>
  <c r="L33" i="715" s="1"/>
  <c r="M33" i="715" s="1"/>
  <c r="K87" i="714"/>
  <c r="E76" i="714"/>
  <c r="E74" i="714"/>
  <c r="G76" i="714"/>
  <c r="G74" i="714"/>
  <c r="K59" i="714"/>
  <c r="M45" i="714"/>
  <c r="L45" i="714"/>
  <c r="K45" i="714"/>
  <c r="I10" i="714"/>
  <c r="J10" i="714"/>
  <c r="K10" i="714"/>
  <c r="L10" i="714"/>
  <c r="M10" i="714"/>
  <c r="N10" i="714"/>
  <c r="O10" i="714"/>
  <c r="I11" i="714"/>
  <c r="J11" i="714"/>
  <c r="K11" i="714"/>
  <c r="L11" i="714"/>
  <c r="M11" i="714"/>
  <c r="N11" i="714"/>
  <c r="O11" i="714"/>
  <c r="I12" i="714"/>
  <c r="J12" i="714"/>
  <c r="K12" i="714"/>
  <c r="L12" i="714"/>
  <c r="M12" i="714"/>
  <c r="N12" i="714"/>
  <c r="O12" i="714"/>
  <c r="I13" i="714"/>
  <c r="J13" i="714"/>
  <c r="K13" i="714"/>
  <c r="L13" i="714"/>
  <c r="M13" i="714"/>
  <c r="N13" i="714"/>
  <c r="O13" i="714"/>
  <c r="I14" i="714"/>
  <c r="J14" i="714"/>
  <c r="K14" i="714"/>
  <c r="L14" i="714"/>
  <c r="M14" i="714"/>
  <c r="N14" i="714"/>
  <c r="O14" i="714"/>
  <c r="I15" i="714"/>
  <c r="J15" i="714"/>
  <c r="K15" i="714"/>
  <c r="L15" i="714"/>
  <c r="M15" i="714"/>
  <c r="N15" i="714"/>
  <c r="O15" i="714"/>
  <c r="C10" i="714"/>
  <c r="D10" i="714"/>
  <c r="E10" i="714"/>
  <c r="F10" i="714"/>
  <c r="G10" i="714"/>
  <c r="C11" i="714"/>
  <c r="D11" i="714"/>
  <c r="E11" i="714"/>
  <c r="F11" i="714"/>
  <c r="G11" i="714"/>
  <c r="C12" i="714"/>
  <c r="D12" i="714"/>
  <c r="E12" i="714"/>
  <c r="F12" i="714"/>
  <c r="G12" i="714"/>
  <c r="C13" i="714"/>
  <c r="D13" i="714"/>
  <c r="E13" i="714"/>
  <c r="F13" i="714"/>
  <c r="G13" i="714"/>
  <c r="C14" i="714"/>
  <c r="D14" i="714"/>
  <c r="E14" i="714"/>
  <c r="F14" i="714"/>
  <c r="G14" i="714"/>
  <c r="C15" i="714"/>
  <c r="D15" i="714"/>
  <c r="E15" i="714"/>
  <c r="F15" i="714"/>
  <c r="G15" i="714"/>
  <c r="F90" i="714"/>
  <c r="AY77" i="714"/>
  <c r="AX77" i="714"/>
  <c r="AW77" i="714"/>
  <c r="AV77" i="714"/>
  <c r="AU77" i="714"/>
  <c r="AT77" i="714"/>
  <c r="AS77" i="714"/>
  <c r="AR77" i="714"/>
  <c r="AQ77" i="714"/>
  <c r="AP77" i="714"/>
  <c r="AO77" i="714"/>
  <c r="AN77" i="714"/>
  <c r="AM77" i="714"/>
  <c r="AL77" i="714"/>
  <c r="AK77" i="714"/>
  <c r="AJ77" i="714"/>
  <c r="AI77" i="714"/>
  <c r="AH77" i="714"/>
  <c r="AG77" i="714"/>
  <c r="AF77" i="714"/>
  <c r="AE77" i="714"/>
  <c r="AD77" i="714"/>
  <c r="AC77" i="714"/>
  <c r="AB77" i="714"/>
  <c r="AA77" i="714"/>
  <c r="Z77" i="714"/>
  <c r="Y77" i="714"/>
  <c r="X77" i="714"/>
  <c r="W77" i="714"/>
  <c r="V77" i="714"/>
  <c r="U77" i="714"/>
  <c r="AY75" i="714"/>
  <c r="AX75" i="714"/>
  <c r="AW75" i="714"/>
  <c r="AV75" i="714"/>
  <c r="AU75" i="714"/>
  <c r="AT75" i="714"/>
  <c r="AS75" i="714"/>
  <c r="AR75" i="714"/>
  <c r="AQ75" i="714"/>
  <c r="AP75" i="714"/>
  <c r="AO75" i="714"/>
  <c r="AN75" i="714"/>
  <c r="AM75" i="714"/>
  <c r="AL75" i="714"/>
  <c r="AK75" i="714"/>
  <c r="AJ75" i="714"/>
  <c r="AI75" i="714"/>
  <c r="AH75" i="714"/>
  <c r="AG75" i="714"/>
  <c r="AF75" i="714"/>
  <c r="AE75" i="714"/>
  <c r="AD75" i="714"/>
  <c r="AC75" i="714"/>
  <c r="AB75" i="714"/>
  <c r="AA75" i="714"/>
  <c r="Z75" i="714"/>
  <c r="Y75" i="714"/>
  <c r="X75" i="714"/>
  <c r="W75" i="714"/>
  <c r="V75" i="714"/>
  <c r="U75" i="714"/>
  <c r="D67" i="714"/>
  <c r="M52" i="714"/>
  <c r="M51" i="714"/>
  <c r="L51" i="714"/>
  <c r="K51" i="714"/>
  <c r="M50" i="714"/>
  <c r="M47" i="714"/>
  <c r="L47" i="714"/>
  <c r="AA42" i="714"/>
  <c r="Z42" i="714"/>
  <c r="Y42" i="714"/>
  <c r="X42" i="714"/>
  <c r="W42" i="714"/>
  <c r="V42" i="714"/>
  <c r="U42" i="714"/>
  <c r="T42" i="714"/>
  <c r="S42" i="714"/>
  <c r="AA41" i="714"/>
  <c r="Z41" i="714"/>
  <c r="Y41" i="714"/>
  <c r="X41" i="714"/>
  <c r="W41" i="714"/>
  <c r="V41" i="714"/>
  <c r="U41" i="714"/>
  <c r="T41" i="714"/>
  <c r="S41" i="714"/>
  <c r="AA40" i="714"/>
  <c r="Z40" i="714"/>
  <c r="Y40" i="714"/>
  <c r="X40" i="714"/>
  <c r="W40" i="714"/>
  <c r="V40" i="714"/>
  <c r="U40" i="714"/>
  <c r="T40" i="714"/>
  <c r="S40" i="714"/>
  <c r="AA39" i="714"/>
  <c r="Z39" i="714"/>
  <c r="Y39" i="714"/>
  <c r="X39" i="714"/>
  <c r="W39" i="714"/>
  <c r="V39" i="714"/>
  <c r="U39" i="714"/>
  <c r="T39" i="714"/>
  <c r="S39" i="714"/>
  <c r="AA38" i="714"/>
  <c r="Z38" i="714"/>
  <c r="Y38" i="714"/>
  <c r="X38" i="714"/>
  <c r="W38" i="714"/>
  <c r="V38" i="714"/>
  <c r="U38" i="714"/>
  <c r="T38" i="714"/>
  <c r="S38" i="714"/>
  <c r="AA37" i="714"/>
  <c r="Z37" i="714"/>
  <c r="Y37" i="714"/>
  <c r="X37" i="714"/>
  <c r="W37" i="714"/>
  <c r="V37" i="714"/>
  <c r="U37" i="714"/>
  <c r="T37" i="714"/>
  <c r="S37" i="714"/>
  <c r="AA36" i="714"/>
  <c r="Z36" i="714"/>
  <c r="Y36" i="714"/>
  <c r="X36" i="714"/>
  <c r="W36" i="714"/>
  <c r="V36" i="714"/>
  <c r="U36" i="714"/>
  <c r="T36" i="714"/>
  <c r="S36" i="714"/>
  <c r="AA35" i="714"/>
  <c r="Z35" i="714"/>
  <c r="Y35" i="714"/>
  <c r="X35" i="714"/>
  <c r="W35" i="714"/>
  <c r="V35" i="714"/>
  <c r="U35" i="714"/>
  <c r="T35" i="714"/>
  <c r="S35" i="714"/>
  <c r="AA34" i="714"/>
  <c r="Z34" i="714"/>
  <c r="Y34" i="714"/>
  <c r="X34" i="714"/>
  <c r="W34" i="714"/>
  <c r="V34" i="714"/>
  <c r="U34" i="714"/>
  <c r="T34" i="714"/>
  <c r="S34" i="714"/>
  <c r="AA33" i="714"/>
  <c r="Z33" i="714"/>
  <c r="Y33" i="714"/>
  <c r="X33" i="714"/>
  <c r="W33" i="714"/>
  <c r="V33" i="714"/>
  <c r="U33" i="714"/>
  <c r="T33" i="714"/>
  <c r="S33" i="714"/>
  <c r="AA32" i="714"/>
  <c r="Z32" i="714"/>
  <c r="Y32" i="714"/>
  <c r="X32" i="714"/>
  <c r="W32" i="714"/>
  <c r="V32" i="714"/>
  <c r="U32" i="714"/>
  <c r="T32" i="714"/>
  <c r="S32" i="714"/>
  <c r="AA31" i="714"/>
  <c r="Z31" i="714"/>
  <c r="Y31" i="714"/>
  <c r="X31" i="714"/>
  <c r="W31" i="714"/>
  <c r="V31" i="714"/>
  <c r="U31" i="714"/>
  <c r="T31" i="714"/>
  <c r="S31" i="714"/>
  <c r="AA30" i="714"/>
  <c r="Z30" i="714"/>
  <c r="Y30" i="714"/>
  <c r="X30" i="714"/>
  <c r="W30" i="714"/>
  <c r="V30" i="714"/>
  <c r="U30" i="714"/>
  <c r="T30" i="714"/>
  <c r="S30" i="714"/>
  <c r="AA29" i="714"/>
  <c r="Z29" i="714"/>
  <c r="Y29" i="714"/>
  <c r="X29" i="714"/>
  <c r="W29" i="714"/>
  <c r="V29" i="714"/>
  <c r="U29" i="714"/>
  <c r="T29" i="714"/>
  <c r="S29" i="714"/>
  <c r="AA28" i="714"/>
  <c r="Z28" i="714"/>
  <c r="Y28" i="714"/>
  <c r="X28" i="714"/>
  <c r="W28" i="714"/>
  <c r="V28" i="714"/>
  <c r="U28" i="714"/>
  <c r="T28" i="714"/>
  <c r="S28" i="714"/>
  <c r="AA27" i="714"/>
  <c r="Z27" i="714"/>
  <c r="Y27" i="714"/>
  <c r="X27" i="714"/>
  <c r="W27" i="714"/>
  <c r="V27" i="714"/>
  <c r="U27" i="714"/>
  <c r="T27" i="714"/>
  <c r="S27" i="714"/>
  <c r="AA26" i="714"/>
  <c r="Z26" i="714"/>
  <c r="Y26" i="714"/>
  <c r="X26" i="714"/>
  <c r="W26" i="714"/>
  <c r="V26" i="714"/>
  <c r="U26" i="714"/>
  <c r="T26" i="714"/>
  <c r="S26" i="714"/>
  <c r="AA25" i="714"/>
  <c r="Z25" i="714"/>
  <c r="Y25" i="714"/>
  <c r="X25" i="714"/>
  <c r="W25" i="714"/>
  <c r="V25" i="714"/>
  <c r="U25" i="714"/>
  <c r="T25" i="714"/>
  <c r="S25" i="714"/>
  <c r="AA24" i="714"/>
  <c r="Z24" i="714"/>
  <c r="Y24" i="714"/>
  <c r="X24" i="714"/>
  <c r="W24" i="714"/>
  <c r="V24" i="714"/>
  <c r="U24" i="714"/>
  <c r="T24" i="714"/>
  <c r="S24" i="714"/>
  <c r="AA23" i="714"/>
  <c r="Z23" i="714"/>
  <c r="Y23" i="714"/>
  <c r="X23" i="714"/>
  <c r="W23" i="714"/>
  <c r="V23" i="714"/>
  <c r="U23" i="714"/>
  <c r="T23" i="714"/>
  <c r="S23" i="714"/>
  <c r="AA22" i="714"/>
  <c r="Z22" i="714"/>
  <c r="Y22" i="714"/>
  <c r="X22" i="714"/>
  <c r="W22" i="714"/>
  <c r="V22" i="714"/>
  <c r="U22" i="714"/>
  <c r="T22" i="714"/>
  <c r="S22" i="714"/>
  <c r="AA21" i="714"/>
  <c r="Z21" i="714"/>
  <c r="Y21" i="714"/>
  <c r="X21" i="714"/>
  <c r="W21" i="714"/>
  <c r="V21" i="714"/>
  <c r="U21" i="714"/>
  <c r="T21" i="714"/>
  <c r="S21" i="714"/>
  <c r="G77" i="713"/>
  <c r="K79" i="713"/>
  <c r="K92" i="713" s="1"/>
  <c r="K75" i="713"/>
  <c r="K88" i="713" s="1"/>
  <c r="G75" i="713"/>
  <c r="G63" i="715" l="1"/>
  <c r="D56" i="715"/>
  <c r="L56" i="715" s="1"/>
  <c r="C63" i="715" s="1"/>
  <c r="G79" i="713"/>
  <c r="J45" i="714"/>
  <c r="K69" i="714"/>
  <c r="K55" i="714"/>
  <c r="L55" i="714" s="1"/>
  <c r="M55" i="714" s="1"/>
  <c r="K77" i="713"/>
  <c r="K87" i="713" s="1"/>
  <c r="AY76" i="713" l="1"/>
  <c r="AX76" i="713"/>
  <c r="AW76" i="713"/>
  <c r="AV76" i="713"/>
  <c r="AU76" i="713"/>
  <c r="AT76" i="713"/>
  <c r="AS76" i="713"/>
  <c r="AR76" i="713"/>
  <c r="AQ76" i="713"/>
  <c r="AP76" i="713"/>
  <c r="AO76" i="713"/>
  <c r="AN76" i="713"/>
  <c r="AM76" i="713"/>
  <c r="AL76" i="713"/>
  <c r="AK76" i="713"/>
  <c r="AJ76" i="713"/>
  <c r="AI76" i="713"/>
  <c r="AH76" i="713"/>
  <c r="AG76" i="713"/>
  <c r="AF76" i="713"/>
  <c r="AE76" i="713"/>
  <c r="AD76" i="713"/>
  <c r="AC76" i="713"/>
  <c r="AB76" i="713"/>
  <c r="AA76" i="713"/>
  <c r="Z76" i="713"/>
  <c r="Y76" i="713"/>
  <c r="X76" i="713"/>
  <c r="W76" i="713"/>
  <c r="V76" i="713"/>
  <c r="U76" i="713"/>
  <c r="C46" i="713"/>
  <c r="C48" i="713" a="1"/>
  <c r="C48" i="713" s="1"/>
  <c r="B48" i="713"/>
  <c r="B46" i="713"/>
  <c r="M46" i="713"/>
  <c r="L46" i="713"/>
  <c r="K46" i="713"/>
  <c r="C10" i="713"/>
  <c r="D10" i="713"/>
  <c r="E10" i="713"/>
  <c r="F10" i="713"/>
  <c r="G10" i="713"/>
  <c r="I10" i="713"/>
  <c r="J10" i="713"/>
  <c r="K10" i="713"/>
  <c r="L10" i="713"/>
  <c r="M10" i="713"/>
  <c r="N10" i="713"/>
  <c r="O10" i="713"/>
  <c r="C11" i="713"/>
  <c r="D11" i="713"/>
  <c r="E11" i="713"/>
  <c r="F11" i="713"/>
  <c r="G11" i="713"/>
  <c r="I11" i="713"/>
  <c r="J11" i="713"/>
  <c r="K11" i="713"/>
  <c r="L11" i="713"/>
  <c r="M11" i="713"/>
  <c r="N11" i="713"/>
  <c r="O11" i="713"/>
  <c r="C12" i="713"/>
  <c r="D12" i="713"/>
  <c r="E12" i="713"/>
  <c r="F12" i="713"/>
  <c r="G12" i="713"/>
  <c r="I12" i="713"/>
  <c r="J12" i="713"/>
  <c r="K12" i="713"/>
  <c r="L12" i="713"/>
  <c r="M12" i="713"/>
  <c r="N12" i="713"/>
  <c r="O12" i="713"/>
  <c r="C13" i="713"/>
  <c r="D13" i="713"/>
  <c r="E13" i="713"/>
  <c r="F13" i="713"/>
  <c r="G13" i="713"/>
  <c r="I13" i="713"/>
  <c r="J13" i="713"/>
  <c r="K13" i="713"/>
  <c r="L13" i="713"/>
  <c r="M13" i="713"/>
  <c r="N13" i="713"/>
  <c r="O13" i="713"/>
  <c r="C14" i="713"/>
  <c r="D14" i="713"/>
  <c r="E14" i="713"/>
  <c r="F14" i="713"/>
  <c r="G14" i="713"/>
  <c r="I14" i="713"/>
  <c r="J14" i="713"/>
  <c r="K14" i="713"/>
  <c r="L14" i="713"/>
  <c r="M14" i="713"/>
  <c r="N14" i="713"/>
  <c r="O14" i="713"/>
  <c r="C15" i="713"/>
  <c r="D15" i="713"/>
  <c r="E15" i="713"/>
  <c r="F15" i="713"/>
  <c r="G15" i="713"/>
  <c r="I15" i="713"/>
  <c r="J15" i="713"/>
  <c r="K15" i="713"/>
  <c r="L15" i="713"/>
  <c r="M15" i="713"/>
  <c r="N15" i="713"/>
  <c r="O15" i="713"/>
  <c r="C16" i="713"/>
  <c r="D16" i="713"/>
  <c r="E16" i="713"/>
  <c r="F16" i="713"/>
  <c r="G16" i="713"/>
  <c r="I16" i="713"/>
  <c r="J16" i="713"/>
  <c r="K16" i="713"/>
  <c r="L16" i="713"/>
  <c r="M16" i="713"/>
  <c r="N16" i="713"/>
  <c r="O16" i="713"/>
  <c r="C17" i="713"/>
  <c r="D17" i="713"/>
  <c r="E17" i="713"/>
  <c r="F17" i="713"/>
  <c r="G17" i="713"/>
  <c r="I17" i="713"/>
  <c r="J17" i="713"/>
  <c r="K17" i="713"/>
  <c r="L17" i="713"/>
  <c r="M17" i="713"/>
  <c r="N17" i="713"/>
  <c r="O17" i="713"/>
  <c r="C18" i="713"/>
  <c r="D18" i="713"/>
  <c r="E18" i="713"/>
  <c r="F18" i="713"/>
  <c r="G18" i="713"/>
  <c r="I18" i="713"/>
  <c r="J18" i="713"/>
  <c r="K18" i="713"/>
  <c r="L18" i="713"/>
  <c r="M18" i="713"/>
  <c r="N18" i="713"/>
  <c r="O18" i="713"/>
  <c r="F91" i="713"/>
  <c r="AY78" i="713"/>
  <c r="AX78" i="713"/>
  <c r="AW78" i="713"/>
  <c r="AV78" i="713"/>
  <c r="AU78" i="713"/>
  <c r="AT78" i="713"/>
  <c r="AS78" i="713"/>
  <c r="AR78" i="713"/>
  <c r="AQ78" i="713"/>
  <c r="AP78" i="713"/>
  <c r="AO78" i="713"/>
  <c r="AN78" i="713"/>
  <c r="AM78" i="713"/>
  <c r="AL78" i="713"/>
  <c r="AK78" i="713"/>
  <c r="AJ78" i="713"/>
  <c r="AI78" i="713"/>
  <c r="AH78" i="713"/>
  <c r="AG78" i="713"/>
  <c r="AF78" i="713"/>
  <c r="AE78" i="713"/>
  <c r="AD78" i="713"/>
  <c r="AC78" i="713"/>
  <c r="AB78" i="713"/>
  <c r="AA78" i="713"/>
  <c r="Z78" i="713"/>
  <c r="Y78" i="713"/>
  <c r="X78" i="713"/>
  <c r="W78" i="713"/>
  <c r="V78" i="713"/>
  <c r="U78" i="713"/>
  <c r="D68" i="713"/>
  <c r="B58" i="713"/>
  <c r="M53" i="713"/>
  <c r="M52" i="713"/>
  <c r="L52" i="713"/>
  <c r="K52" i="713"/>
  <c r="M51" i="713"/>
  <c r="M48" i="713"/>
  <c r="L48" i="713"/>
  <c r="K48" i="713"/>
  <c r="M47" i="713"/>
  <c r="L47" i="713"/>
  <c r="K47" i="713"/>
  <c r="AA43" i="713"/>
  <c r="Z43" i="713"/>
  <c r="Y43" i="713"/>
  <c r="X43" i="713"/>
  <c r="W43" i="713"/>
  <c r="V43" i="713"/>
  <c r="U43" i="713"/>
  <c r="T43" i="713"/>
  <c r="S43" i="713"/>
  <c r="AA42" i="713"/>
  <c r="Z42" i="713"/>
  <c r="Y42" i="713"/>
  <c r="X42" i="713"/>
  <c r="W42" i="713"/>
  <c r="V42" i="713"/>
  <c r="U42" i="713"/>
  <c r="T42" i="713"/>
  <c r="S42" i="713"/>
  <c r="AA41" i="713"/>
  <c r="Z41" i="713"/>
  <c r="Y41" i="713"/>
  <c r="X41" i="713"/>
  <c r="W41" i="713"/>
  <c r="V41" i="713"/>
  <c r="U41" i="713"/>
  <c r="T41" i="713"/>
  <c r="S41" i="713"/>
  <c r="AA40" i="713"/>
  <c r="Z40" i="713"/>
  <c r="Y40" i="713"/>
  <c r="X40" i="713"/>
  <c r="W40" i="713"/>
  <c r="V40" i="713"/>
  <c r="U40" i="713"/>
  <c r="T40" i="713"/>
  <c r="S40" i="713"/>
  <c r="AA39" i="713"/>
  <c r="Z39" i="713"/>
  <c r="Y39" i="713"/>
  <c r="X39" i="713"/>
  <c r="W39" i="713"/>
  <c r="V39" i="713"/>
  <c r="U39" i="713"/>
  <c r="T39" i="713"/>
  <c r="S39" i="713"/>
  <c r="AA38" i="713"/>
  <c r="Z38" i="713"/>
  <c r="Y38" i="713"/>
  <c r="X38" i="713"/>
  <c r="W38" i="713"/>
  <c r="V38" i="713"/>
  <c r="U38" i="713"/>
  <c r="T38" i="713"/>
  <c r="S38" i="713"/>
  <c r="AA37" i="713"/>
  <c r="Z37" i="713"/>
  <c r="Y37" i="713"/>
  <c r="X37" i="713"/>
  <c r="W37" i="713"/>
  <c r="V37" i="713"/>
  <c r="U37" i="713"/>
  <c r="T37" i="713"/>
  <c r="S37" i="713"/>
  <c r="AA36" i="713"/>
  <c r="Z36" i="713"/>
  <c r="Y36" i="713"/>
  <c r="X36" i="713"/>
  <c r="W36" i="713"/>
  <c r="V36" i="713"/>
  <c r="U36" i="713"/>
  <c r="T36" i="713"/>
  <c r="S36" i="713"/>
  <c r="AA35" i="713"/>
  <c r="Z35" i="713"/>
  <c r="Y35" i="713"/>
  <c r="X35" i="713"/>
  <c r="W35" i="713"/>
  <c r="V35" i="713"/>
  <c r="U35" i="713"/>
  <c r="T35" i="713"/>
  <c r="S35" i="713"/>
  <c r="AA34" i="713"/>
  <c r="Z34" i="713"/>
  <c r="Y34" i="713"/>
  <c r="X34" i="713"/>
  <c r="W34" i="713"/>
  <c r="V34" i="713"/>
  <c r="U34" i="713"/>
  <c r="T34" i="713"/>
  <c r="S34" i="713"/>
  <c r="AA33" i="713"/>
  <c r="Z33" i="713"/>
  <c r="Y33" i="713"/>
  <c r="X33" i="713"/>
  <c r="W33" i="713"/>
  <c r="V33" i="713"/>
  <c r="U33" i="713"/>
  <c r="T33" i="713"/>
  <c r="S33" i="713"/>
  <c r="AA32" i="713"/>
  <c r="Z32" i="713"/>
  <c r="Y32" i="713"/>
  <c r="X32" i="713"/>
  <c r="W32" i="713"/>
  <c r="V32" i="713"/>
  <c r="U32" i="713"/>
  <c r="T32" i="713"/>
  <c r="S32" i="713"/>
  <c r="AA31" i="713"/>
  <c r="Z31" i="713"/>
  <c r="Y31" i="713"/>
  <c r="X31" i="713"/>
  <c r="W31" i="713"/>
  <c r="V31" i="713"/>
  <c r="U31" i="713"/>
  <c r="T31" i="713"/>
  <c r="S31" i="713"/>
  <c r="AA30" i="713"/>
  <c r="Z30" i="713"/>
  <c r="Y30" i="713"/>
  <c r="X30" i="713"/>
  <c r="W30" i="713"/>
  <c r="V30" i="713"/>
  <c r="U30" i="713"/>
  <c r="T30" i="713"/>
  <c r="S30" i="713"/>
  <c r="AA29" i="713"/>
  <c r="Z29" i="713"/>
  <c r="Y29" i="713"/>
  <c r="X29" i="713"/>
  <c r="W29" i="713"/>
  <c r="V29" i="713"/>
  <c r="U29" i="713"/>
  <c r="T29" i="713"/>
  <c r="S29" i="713"/>
  <c r="AA28" i="713"/>
  <c r="Z28" i="713"/>
  <c r="Y28" i="713"/>
  <c r="X28" i="713"/>
  <c r="W28" i="713"/>
  <c r="V28" i="713"/>
  <c r="U28" i="713"/>
  <c r="T28" i="713"/>
  <c r="S28" i="713"/>
  <c r="AA27" i="713"/>
  <c r="Z27" i="713"/>
  <c r="Y27" i="713"/>
  <c r="X27" i="713"/>
  <c r="W27" i="713"/>
  <c r="V27" i="713"/>
  <c r="U27" i="713"/>
  <c r="T27" i="713"/>
  <c r="S27" i="713"/>
  <c r="AA26" i="713"/>
  <c r="Z26" i="713"/>
  <c r="Y26" i="713"/>
  <c r="X26" i="713"/>
  <c r="W26" i="713"/>
  <c r="V26" i="713"/>
  <c r="U26" i="713"/>
  <c r="T26" i="713"/>
  <c r="S26" i="713"/>
  <c r="AA25" i="713"/>
  <c r="Z25" i="713"/>
  <c r="Y25" i="713"/>
  <c r="X25" i="713"/>
  <c r="W25" i="713"/>
  <c r="V25" i="713"/>
  <c r="U25" i="713"/>
  <c r="T25" i="713"/>
  <c r="S25" i="713"/>
  <c r="AA24" i="713"/>
  <c r="Z24" i="713"/>
  <c r="Y24" i="713"/>
  <c r="X24" i="713"/>
  <c r="W24" i="713"/>
  <c r="V24" i="713"/>
  <c r="U24" i="713"/>
  <c r="T24" i="713"/>
  <c r="S24" i="713"/>
  <c r="AA23" i="713"/>
  <c r="Z23" i="713"/>
  <c r="Y23" i="713"/>
  <c r="X23" i="713"/>
  <c r="W23" i="713"/>
  <c r="V23" i="713"/>
  <c r="U23" i="713"/>
  <c r="T23" i="713"/>
  <c r="S23" i="713"/>
  <c r="AA22" i="713"/>
  <c r="Z22" i="713"/>
  <c r="Y22" i="713"/>
  <c r="X22" i="713"/>
  <c r="W22" i="713"/>
  <c r="V22" i="713"/>
  <c r="U22" i="713"/>
  <c r="T22" i="713"/>
  <c r="S22" i="713"/>
  <c r="AA21" i="713"/>
  <c r="Z21" i="713"/>
  <c r="Y21" i="713"/>
  <c r="X21" i="713"/>
  <c r="W21" i="713"/>
  <c r="V21" i="713"/>
  <c r="U21" i="713"/>
  <c r="T21" i="713"/>
  <c r="S21" i="713"/>
  <c r="AA20" i="713"/>
  <c r="Z20" i="713"/>
  <c r="Y20" i="713"/>
  <c r="X20" i="713"/>
  <c r="W20" i="713"/>
  <c r="V20" i="713"/>
  <c r="U20" i="713"/>
  <c r="T20" i="713"/>
  <c r="S20" i="713"/>
  <c r="M46" i="711"/>
  <c r="L46" i="711"/>
  <c r="K46" i="711"/>
  <c r="M47" i="710"/>
  <c r="L47" i="710"/>
  <c r="K47" i="710"/>
  <c r="M53" i="709"/>
  <c r="L53" i="709"/>
  <c r="K53" i="709"/>
  <c r="M55" i="708"/>
  <c r="L55" i="708"/>
  <c r="K55" i="708"/>
  <c r="K60" i="713" l="1"/>
  <c r="K70" i="713" s="1"/>
  <c r="J46" i="713"/>
  <c r="K56" i="713"/>
  <c r="L56" i="713" s="1"/>
  <c r="M56" i="713" s="1"/>
  <c r="K75" i="711"/>
  <c r="K73" i="711"/>
  <c r="G73" i="711"/>
  <c r="G75" i="711"/>
  <c r="M50" i="711" l="1"/>
  <c r="L50" i="711"/>
  <c r="K50" i="711"/>
  <c r="I11" i="711"/>
  <c r="J11" i="711"/>
  <c r="I12" i="711"/>
  <c r="J12" i="711"/>
  <c r="I13" i="711"/>
  <c r="J13" i="711"/>
  <c r="I14" i="711"/>
  <c r="J14" i="711"/>
  <c r="I15" i="711"/>
  <c r="J15" i="711"/>
  <c r="J10" i="711"/>
  <c r="I10" i="711"/>
  <c r="G11" i="711"/>
  <c r="G12" i="711"/>
  <c r="G13" i="711"/>
  <c r="G14" i="711"/>
  <c r="G15" i="711"/>
  <c r="G10" i="711"/>
  <c r="C11" i="711"/>
  <c r="E11" i="711"/>
  <c r="F11" i="711"/>
  <c r="C12" i="711"/>
  <c r="E12" i="711"/>
  <c r="F12" i="711"/>
  <c r="C13" i="711"/>
  <c r="E13" i="711"/>
  <c r="F13" i="711"/>
  <c r="C14" i="711"/>
  <c r="E14" i="711"/>
  <c r="F14" i="711"/>
  <c r="C15" i="711"/>
  <c r="E15" i="711"/>
  <c r="F15" i="711"/>
  <c r="L11" i="711"/>
  <c r="M11" i="711"/>
  <c r="N11" i="711"/>
  <c r="L12" i="711"/>
  <c r="M12" i="711"/>
  <c r="N12" i="711"/>
  <c r="L13" i="711"/>
  <c r="M13" i="711"/>
  <c r="N13" i="711"/>
  <c r="L14" i="711"/>
  <c r="M14" i="711"/>
  <c r="N14" i="711"/>
  <c r="L15" i="711"/>
  <c r="M15" i="711"/>
  <c r="N15" i="711"/>
  <c r="N10" i="711"/>
  <c r="M10" i="711"/>
  <c r="L10" i="711"/>
  <c r="F10" i="711"/>
  <c r="E10" i="711"/>
  <c r="C10" i="711"/>
  <c r="J50" i="711" l="1"/>
  <c r="K62" i="711"/>
  <c r="I17" i="711"/>
  <c r="J44" i="711" s="1"/>
  <c r="J17" i="711"/>
  <c r="K17" i="711"/>
  <c r="L17" i="711"/>
  <c r="M17" i="711"/>
  <c r="N17" i="711"/>
  <c r="O17" i="711"/>
  <c r="C17" i="711"/>
  <c r="K58" i="711" s="1"/>
  <c r="K68" i="711" s="1"/>
  <c r="D17" i="711"/>
  <c r="E17" i="711"/>
  <c r="F17" i="711"/>
  <c r="G17" i="711"/>
  <c r="F88" i="711"/>
  <c r="K84" i="711"/>
  <c r="B75" i="711"/>
  <c r="AY74" i="711"/>
  <c r="AX74" i="711"/>
  <c r="AW74" i="711"/>
  <c r="AV74" i="711"/>
  <c r="AU74" i="711"/>
  <c r="AT74" i="711"/>
  <c r="AS74" i="711"/>
  <c r="AR74" i="711"/>
  <c r="AQ74" i="711"/>
  <c r="AP74" i="711"/>
  <c r="AO74" i="711"/>
  <c r="AN74" i="711"/>
  <c r="AM74" i="711"/>
  <c r="AL74" i="711"/>
  <c r="AK74" i="711"/>
  <c r="AJ74" i="711"/>
  <c r="AI74" i="711"/>
  <c r="AH74" i="711"/>
  <c r="AG74" i="711"/>
  <c r="AF74" i="711"/>
  <c r="AE74" i="711"/>
  <c r="AD74" i="711"/>
  <c r="AC74" i="711"/>
  <c r="AB74" i="711"/>
  <c r="AA74" i="711"/>
  <c r="Z74" i="711"/>
  <c r="Y74" i="711"/>
  <c r="X74" i="711"/>
  <c r="W74" i="711"/>
  <c r="V74" i="711"/>
  <c r="U74" i="711"/>
  <c r="K83" i="711"/>
  <c r="B73" i="711"/>
  <c r="D66" i="711"/>
  <c r="B56" i="711"/>
  <c r="M51" i="711"/>
  <c r="M49" i="711"/>
  <c r="M45" i="711"/>
  <c r="L45" i="711"/>
  <c r="K45" i="711"/>
  <c r="M44" i="711"/>
  <c r="L44" i="711"/>
  <c r="K44" i="711"/>
  <c r="B44" i="711"/>
  <c r="AA41" i="711"/>
  <c r="Z41" i="711"/>
  <c r="Y41" i="711"/>
  <c r="X41" i="711"/>
  <c r="W41" i="711"/>
  <c r="V41" i="711"/>
  <c r="U41" i="711"/>
  <c r="T41" i="711"/>
  <c r="S41" i="711"/>
  <c r="AA40" i="711"/>
  <c r="Z40" i="711"/>
  <c r="Y40" i="711"/>
  <c r="X40" i="711"/>
  <c r="W40" i="711"/>
  <c r="V40" i="711"/>
  <c r="U40" i="711"/>
  <c r="T40" i="711"/>
  <c r="S40" i="711"/>
  <c r="AA39" i="711"/>
  <c r="Z39" i="711"/>
  <c r="Y39" i="711"/>
  <c r="X39" i="711"/>
  <c r="W39" i="711"/>
  <c r="V39" i="711"/>
  <c r="U39" i="711"/>
  <c r="T39" i="711"/>
  <c r="S39" i="711"/>
  <c r="AA38" i="711"/>
  <c r="Z38" i="711"/>
  <c r="Y38" i="711"/>
  <c r="X38" i="711"/>
  <c r="W38" i="711"/>
  <c r="V38" i="711"/>
  <c r="U38" i="711"/>
  <c r="T38" i="711"/>
  <c r="S38" i="711"/>
  <c r="AA37" i="711"/>
  <c r="Z37" i="711"/>
  <c r="Y37" i="711"/>
  <c r="X37" i="711"/>
  <c r="W37" i="711"/>
  <c r="V37" i="711"/>
  <c r="U37" i="711"/>
  <c r="T37" i="711"/>
  <c r="S37" i="711"/>
  <c r="AA36" i="711"/>
  <c r="Z36" i="711"/>
  <c r="Y36" i="711"/>
  <c r="X36" i="711"/>
  <c r="W36" i="711"/>
  <c r="V36" i="711"/>
  <c r="U36" i="711"/>
  <c r="T36" i="711"/>
  <c r="S36" i="711"/>
  <c r="AA35" i="711"/>
  <c r="Z35" i="711"/>
  <c r="Y35" i="711"/>
  <c r="X35" i="711"/>
  <c r="W35" i="711"/>
  <c r="V35" i="711"/>
  <c r="U35" i="711"/>
  <c r="T35" i="711"/>
  <c r="S35" i="711"/>
  <c r="AA34" i="711"/>
  <c r="Z34" i="711"/>
  <c r="Y34" i="711"/>
  <c r="X34" i="711"/>
  <c r="W34" i="711"/>
  <c r="V34" i="711"/>
  <c r="U34" i="711"/>
  <c r="T34" i="711"/>
  <c r="S34" i="711"/>
  <c r="AA33" i="711"/>
  <c r="Z33" i="711"/>
  <c r="Y33" i="711"/>
  <c r="X33" i="711"/>
  <c r="W33" i="711"/>
  <c r="V33" i="711"/>
  <c r="U33" i="711"/>
  <c r="T33" i="711"/>
  <c r="S33" i="711"/>
  <c r="AA32" i="711"/>
  <c r="Z32" i="711"/>
  <c r="Y32" i="711"/>
  <c r="X32" i="711"/>
  <c r="W32" i="711"/>
  <c r="V32" i="711"/>
  <c r="U32" i="711"/>
  <c r="T32" i="711"/>
  <c r="S32" i="711"/>
  <c r="AA31" i="711"/>
  <c r="Z31" i="711"/>
  <c r="Y31" i="711"/>
  <c r="X31" i="711"/>
  <c r="W31" i="711"/>
  <c r="V31" i="711"/>
  <c r="U31" i="711"/>
  <c r="T31" i="711"/>
  <c r="S31" i="711"/>
  <c r="AA30" i="711"/>
  <c r="Z30" i="711"/>
  <c r="Y30" i="711"/>
  <c r="X30" i="711"/>
  <c r="W30" i="711"/>
  <c r="V30" i="711"/>
  <c r="U30" i="711"/>
  <c r="T30" i="711"/>
  <c r="S30" i="711"/>
  <c r="AA29" i="711"/>
  <c r="Z29" i="711"/>
  <c r="Y29" i="711"/>
  <c r="X29" i="711"/>
  <c r="W29" i="711"/>
  <c r="V29" i="711"/>
  <c r="U29" i="711"/>
  <c r="T29" i="711"/>
  <c r="S29" i="711"/>
  <c r="AA28" i="711"/>
  <c r="Z28" i="711"/>
  <c r="Y28" i="711"/>
  <c r="X28" i="711"/>
  <c r="W28" i="711"/>
  <c r="V28" i="711"/>
  <c r="U28" i="711"/>
  <c r="T28" i="711"/>
  <c r="S28" i="711"/>
  <c r="AA27" i="711"/>
  <c r="Z27" i="711"/>
  <c r="Y27" i="711"/>
  <c r="X27" i="711"/>
  <c r="W27" i="711"/>
  <c r="V27" i="711"/>
  <c r="U27" i="711"/>
  <c r="T27" i="711"/>
  <c r="S27" i="711"/>
  <c r="AA26" i="711"/>
  <c r="Z26" i="711"/>
  <c r="Y26" i="711"/>
  <c r="X26" i="711"/>
  <c r="W26" i="711"/>
  <c r="V26" i="711"/>
  <c r="U26" i="711"/>
  <c r="T26" i="711"/>
  <c r="S26" i="711"/>
  <c r="AA25" i="711"/>
  <c r="Z25" i="711"/>
  <c r="Y25" i="711"/>
  <c r="X25" i="711"/>
  <c r="W25" i="711"/>
  <c r="V25" i="711"/>
  <c r="U25" i="711"/>
  <c r="T25" i="711"/>
  <c r="S25" i="711"/>
  <c r="AA24" i="711"/>
  <c r="Z24" i="711"/>
  <c r="Y24" i="711"/>
  <c r="X24" i="711"/>
  <c r="W24" i="711"/>
  <c r="V24" i="711"/>
  <c r="U24" i="711"/>
  <c r="T24" i="711"/>
  <c r="S24" i="711"/>
  <c r="AA23" i="711"/>
  <c r="Z23" i="711"/>
  <c r="Y23" i="711"/>
  <c r="X23" i="711"/>
  <c r="W23" i="711"/>
  <c r="V23" i="711"/>
  <c r="U23" i="711"/>
  <c r="T23" i="711"/>
  <c r="S23" i="711"/>
  <c r="AA22" i="711"/>
  <c r="Z22" i="711"/>
  <c r="Y22" i="711"/>
  <c r="X22" i="711"/>
  <c r="W22" i="711"/>
  <c r="V22" i="711"/>
  <c r="U22" i="711"/>
  <c r="T22" i="711"/>
  <c r="S22" i="711"/>
  <c r="AA21" i="711"/>
  <c r="Z21" i="711"/>
  <c r="Y21" i="711"/>
  <c r="X21" i="711"/>
  <c r="W21" i="711"/>
  <c r="V21" i="711"/>
  <c r="U21" i="711"/>
  <c r="T21" i="711"/>
  <c r="S21" i="711"/>
  <c r="AA20" i="711"/>
  <c r="Z20" i="711"/>
  <c r="Y20" i="711"/>
  <c r="X20" i="711"/>
  <c r="W20" i="711"/>
  <c r="V20" i="711"/>
  <c r="U20" i="711"/>
  <c r="T20" i="711"/>
  <c r="S20" i="711"/>
  <c r="AA19" i="711"/>
  <c r="Z19" i="711"/>
  <c r="Y19" i="711"/>
  <c r="X19" i="711"/>
  <c r="W19" i="711"/>
  <c r="V19" i="711"/>
  <c r="U19" i="711"/>
  <c r="T19" i="711"/>
  <c r="S19" i="711"/>
  <c r="AA18" i="711"/>
  <c r="Z18" i="711"/>
  <c r="Y18" i="711"/>
  <c r="X18" i="711"/>
  <c r="W18" i="711"/>
  <c r="V18" i="711"/>
  <c r="U18" i="711"/>
  <c r="T18" i="711"/>
  <c r="S18" i="711"/>
  <c r="AA17" i="711"/>
  <c r="Z17" i="711"/>
  <c r="Y17" i="711"/>
  <c r="X17" i="711"/>
  <c r="W17" i="711"/>
  <c r="V17" i="711"/>
  <c r="U17" i="711"/>
  <c r="T17" i="711"/>
  <c r="S17" i="711"/>
  <c r="AA16" i="711"/>
  <c r="Z16" i="711"/>
  <c r="Y16" i="711"/>
  <c r="X16" i="711"/>
  <c r="W16" i="711"/>
  <c r="V16" i="711"/>
  <c r="U16" i="711"/>
  <c r="T16" i="711"/>
  <c r="S16" i="711"/>
  <c r="AA15" i="711"/>
  <c r="Z15" i="711"/>
  <c r="Y15" i="711"/>
  <c r="X15" i="711"/>
  <c r="W15" i="711"/>
  <c r="V15" i="711"/>
  <c r="U15" i="711"/>
  <c r="T15" i="711"/>
  <c r="S15" i="711"/>
  <c r="AA14" i="711"/>
  <c r="Z14" i="711"/>
  <c r="Y14" i="711"/>
  <c r="X14" i="711"/>
  <c r="W14" i="711"/>
  <c r="V14" i="711"/>
  <c r="U14" i="711"/>
  <c r="T14" i="711"/>
  <c r="S14" i="711"/>
  <c r="AA13" i="711"/>
  <c r="Z13" i="711"/>
  <c r="Y13" i="711"/>
  <c r="X13" i="711"/>
  <c r="W13" i="711"/>
  <c r="V13" i="711"/>
  <c r="U13" i="711"/>
  <c r="T13" i="711"/>
  <c r="S13" i="711"/>
  <c r="M46" i="710"/>
  <c r="K54" i="711" l="1"/>
  <c r="L54" i="711" s="1"/>
  <c r="M54" i="711" s="1"/>
  <c r="L46" i="710"/>
  <c r="K76" i="710" l="1"/>
  <c r="K85" i="710" s="1"/>
  <c r="K74" i="710"/>
  <c r="K84" i="710" s="1"/>
  <c r="G76" i="710"/>
  <c r="G74" i="710"/>
  <c r="B74" i="710"/>
  <c r="B76" i="710"/>
  <c r="K59" i="710"/>
  <c r="M45" i="710"/>
  <c r="L45" i="710"/>
  <c r="K45" i="710"/>
  <c r="B57" i="710" l="1"/>
  <c r="B45" i="710"/>
  <c r="C16" i="710"/>
  <c r="D16" i="710"/>
  <c r="E16" i="710"/>
  <c r="F16" i="710"/>
  <c r="G16" i="710"/>
  <c r="I16" i="710"/>
  <c r="J16" i="710"/>
  <c r="K16" i="710"/>
  <c r="L16" i="710"/>
  <c r="M16" i="710"/>
  <c r="N16" i="710"/>
  <c r="O16" i="710"/>
  <c r="C17" i="710"/>
  <c r="D17" i="710"/>
  <c r="E17" i="710"/>
  <c r="F17" i="710"/>
  <c r="G17" i="710"/>
  <c r="I17" i="710"/>
  <c r="J17" i="710"/>
  <c r="K17" i="710"/>
  <c r="L17" i="710"/>
  <c r="M17" i="710"/>
  <c r="N17" i="710"/>
  <c r="O17" i="710"/>
  <c r="C14" i="710"/>
  <c r="D14" i="710"/>
  <c r="E14" i="710"/>
  <c r="F14" i="710"/>
  <c r="G14" i="710"/>
  <c r="I14" i="710"/>
  <c r="J14" i="710"/>
  <c r="K14" i="710"/>
  <c r="L14" i="710"/>
  <c r="M14" i="710"/>
  <c r="N14" i="710"/>
  <c r="O14" i="710"/>
  <c r="C15" i="710"/>
  <c r="D15" i="710"/>
  <c r="E15" i="710"/>
  <c r="F15" i="710"/>
  <c r="G15" i="710"/>
  <c r="I15" i="710"/>
  <c r="J15" i="710"/>
  <c r="K15" i="710"/>
  <c r="L15" i="710"/>
  <c r="M15" i="710"/>
  <c r="N15" i="710"/>
  <c r="O15" i="710"/>
  <c r="C10" i="710" l="1"/>
  <c r="D10" i="710"/>
  <c r="E10" i="710"/>
  <c r="F10" i="710"/>
  <c r="G10" i="710"/>
  <c r="I10" i="710"/>
  <c r="J10" i="710"/>
  <c r="K10" i="710"/>
  <c r="L10" i="710"/>
  <c r="M10" i="710"/>
  <c r="N10" i="710"/>
  <c r="O10" i="710"/>
  <c r="C11" i="710"/>
  <c r="D11" i="710"/>
  <c r="E11" i="710"/>
  <c r="F11" i="710"/>
  <c r="G11" i="710"/>
  <c r="I11" i="710"/>
  <c r="J11" i="710"/>
  <c r="K11" i="710"/>
  <c r="L11" i="710"/>
  <c r="M11" i="710"/>
  <c r="N11" i="710"/>
  <c r="O11" i="710"/>
  <c r="C12" i="710"/>
  <c r="D12" i="710"/>
  <c r="E12" i="710"/>
  <c r="F12" i="710"/>
  <c r="G12" i="710"/>
  <c r="I12" i="710"/>
  <c r="J12" i="710"/>
  <c r="K12" i="710"/>
  <c r="L12" i="710"/>
  <c r="M12" i="710"/>
  <c r="N12" i="710"/>
  <c r="O12" i="710"/>
  <c r="C13" i="710"/>
  <c r="D13" i="710"/>
  <c r="E13" i="710"/>
  <c r="F13" i="710"/>
  <c r="G13" i="710"/>
  <c r="I13" i="710"/>
  <c r="J13" i="710"/>
  <c r="K13" i="710"/>
  <c r="L13" i="710"/>
  <c r="M13" i="710"/>
  <c r="N13" i="710"/>
  <c r="O13" i="710"/>
  <c r="J45" i="710" l="1"/>
  <c r="F89" i="710"/>
  <c r="AY75" i="710"/>
  <c r="AX75" i="710"/>
  <c r="AW75" i="710"/>
  <c r="AV75" i="710"/>
  <c r="AU75" i="710"/>
  <c r="AT75" i="710"/>
  <c r="AS75" i="710"/>
  <c r="AR75" i="710"/>
  <c r="AQ75" i="710"/>
  <c r="AP75" i="710"/>
  <c r="AO75" i="710"/>
  <c r="AN75" i="710"/>
  <c r="AM75" i="710"/>
  <c r="AL75" i="710"/>
  <c r="AK75" i="710"/>
  <c r="AJ75" i="710"/>
  <c r="AI75" i="710"/>
  <c r="AH75" i="710"/>
  <c r="AG75" i="710"/>
  <c r="AF75" i="710"/>
  <c r="AE75" i="710"/>
  <c r="AD75" i="710"/>
  <c r="AC75" i="710"/>
  <c r="AB75" i="710"/>
  <c r="AA75" i="710"/>
  <c r="Z75" i="710"/>
  <c r="Y75" i="710"/>
  <c r="X75" i="710"/>
  <c r="W75" i="710"/>
  <c r="V75" i="710"/>
  <c r="U75" i="710"/>
  <c r="D67" i="710"/>
  <c r="K69" i="710"/>
  <c r="M52" i="710"/>
  <c r="M51" i="710"/>
  <c r="M50" i="710"/>
  <c r="K46" i="710"/>
  <c r="AA42" i="710"/>
  <c r="Z42" i="710"/>
  <c r="Y42" i="710"/>
  <c r="X42" i="710"/>
  <c r="W42" i="710"/>
  <c r="V42" i="710"/>
  <c r="U42" i="710"/>
  <c r="T42" i="710"/>
  <c r="S42" i="710"/>
  <c r="AA41" i="710"/>
  <c r="Z41" i="710"/>
  <c r="Y41" i="710"/>
  <c r="X41" i="710"/>
  <c r="W41" i="710"/>
  <c r="V41" i="710"/>
  <c r="U41" i="710"/>
  <c r="T41" i="710"/>
  <c r="S41" i="710"/>
  <c r="AA40" i="710"/>
  <c r="Z40" i="710"/>
  <c r="Y40" i="710"/>
  <c r="X40" i="710"/>
  <c r="W40" i="710"/>
  <c r="V40" i="710"/>
  <c r="U40" i="710"/>
  <c r="T40" i="710"/>
  <c r="S40" i="710"/>
  <c r="AA39" i="710"/>
  <c r="Z39" i="710"/>
  <c r="Y39" i="710"/>
  <c r="X39" i="710"/>
  <c r="W39" i="710"/>
  <c r="V39" i="710"/>
  <c r="U39" i="710"/>
  <c r="T39" i="710"/>
  <c r="S39" i="710"/>
  <c r="AA38" i="710"/>
  <c r="Z38" i="710"/>
  <c r="Y38" i="710"/>
  <c r="X38" i="710"/>
  <c r="W38" i="710"/>
  <c r="V38" i="710"/>
  <c r="U38" i="710"/>
  <c r="T38" i="710"/>
  <c r="S38" i="710"/>
  <c r="AA37" i="710"/>
  <c r="Z37" i="710"/>
  <c r="Y37" i="710"/>
  <c r="X37" i="710"/>
  <c r="W37" i="710"/>
  <c r="V37" i="710"/>
  <c r="U37" i="710"/>
  <c r="T37" i="710"/>
  <c r="S37" i="710"/>
  <c r="AA36" i="710"/>
  <c r="Z36" i="710"/>
  <c r="Y36" i="710"/>
  <c r="X36" i="710"/>
  <c r="W36" i="710"/>
  <c r="V36" i="710"/>
  <c r="U36" i="710"/>
  <c r="T36" i="710"/>
  <c r="S36" i="710"/>
  <c r="AA35" i="710"/>
  <c r="Z35" i="710"/>
  <c r="Y35" i="710"/>
  <c r="X35" i="710"/>
  <c r="W35" i="710"/>
  <c r="V35" i="710"/>
  <c r="U35" i="710"/>
  <c r="T35" i="710"/>
  <c r="S35" i="710"/>
  <c r="AA34" i="710"/>
  <c r="Z34" i="710"/>
  <c r="Y34" i="710"/>
  <c r="X34" i="710"/>
  <c r="W34" i="710"/>
  <c r="V34" i="710"/>
  <c r="U34" i="710"/>
  <c r="T34" i="710"/>
  <c r="S34" i="710"/>
  <c r="AA33" i="710"/>
  <c r="Z33" i="710"/>
  <c r="Y33" i="710"/>
  <c r="X33" i="710"/>
  <c r="W33" i="710"/>
  <c r="V33" i="710"/>
  <c r="U33" i="710"/>
  <c r="T33" i="710"/>
  <c r="S33" i="710"/>
  <c r="AA32" i="710"/>
  <c r="Z32" i="710"/>
  <c r="Y32" i="710"/>
  <c r="X32" i="710"/>
  <c r="W32" i="710"/>
  <c r="V32" i="710"/>
  <c r="U32" i="710"/>
  <c r="T32" i="710"/>
  <c r="S32" i="710"/>
  <c r="AA31" i="710"/>
  <c r="Z31" i="710"/>
  <c r="Y31" i="710"/>
  <c r="X31" i="710"/>
  <c r="W31" i="710"/>
  <c r="V31" i="710"/>
  <c r="U31" i="710"/>
  <c r="T31" i="710"/>
  <c r="S31" i="710"/>
  <c r="AA30" i="710"/>
  <c r="Z30" i="710"/>
  <c r="Y30" i="710"/>
  <c r="X30" i="710"/>
  <c r="W30" i="710"/>
  <c r="V30" i="710"/>
  <c r="U30" i="710"/>
  <c r="T30" i="710"/>
  <c r="S30" i="710"/>
  <c r="AA29" i="710"/>
  <c r="Z29" i="710"/>
  <c r="Y29" i="710"/>
  <c r="X29" i="710"/>
  <c r="W29" i="710"/>
  <c r="V29" i="710"/>
  <c r="U29" i="710"/>
  <c r="T29" i="710"/>
  <c r="S29" i="710"/>
  <c r="AA28" i="710"/>
  <c r="Z28" i="710"/>
  <c r="Y28" i="710"/>
  <c r="X28" i="710"/>
  <c r="W28" i="710"/>
  <c r="V28" i="710"/>
  <c r="U28" i="710"/>
  <c r="T28" i="710"/>
  <c r="S28" i="710"/>
  <c r="AA27" i="710"/>
  <c r="Z27" i="710"/>
  <c r="Y27" i="710"/>
  <c r="X27" i="710"/>
  <c r="W27" i="710"/>
  <c r="V27" i="710"/>
  <c r="U27" i="710"/>
  <c r="T27" i="710"/>
  <c r="S27" i="710"/>
  <c r="AA26" i="710"/>
  <c r="Z26" i="710"/>
  <c r="Y26" i="710"/>
  <c r="X26" i="710"/>
  <c r="W26" i="710"/>
  <c r="V26" i="710"/>
  <c r="U26" i="710"/>
  <c r="T26" i="710"/>
  <c r="S26" i="710"/>
  <c r="AA25" i="710"/>
  <c r="Z25" i="710"/>
  <c r="Y25" i="710"/>
  <c r="X25" i="710"/>
  <c r="W25" i="710"/>
  <c r="V25" i="710"/>
  <c r="U25" i="710"/>
  <c r="T25" i="710"/>
  <c r="S25" i="710"/>
  <c r="AA24" i="710"/>
  <c r="Z24" i="710"/>
  <c r="Y24" i="710"/>
  <c r="X24" i="710"/>
  <c r="W24" i="710"/>
  <c r="V24" i="710"/>
  <c r="U24" i="710"/>
  <c r="T24" i="710"/>
  <c r="S24" i="710"/>
  <c r="AA23" i="710"/>
  <c r="Z23" i="710"/>
  <c r="Y23" i="710"/>
  <c r="X23" i="710"/>
  <c r="W23" i="710"/>
  <c r="V23" i="710"/>
  <c r="U23" i="710"/>
  <c r="T23" i="710"/>
  <c r="S23" i="710"/>
  <c r="AA22" i="710"/>
  <c r="Z22" i="710"/>
  <c r="Y22" i="710"/>
  <c r="X22" i="710"/>
  <c r="W22" i="710"/>
  <c r="V22" i="710"/>
  <c r="U22" i="710"/>
  <c r="T22" i="710"/>
  <c r="S22" i="710"/>
  <c r="AA21" i="710"/>
  <c r="Z21" i="710"/>
  <c r="Y21" i="710"/>
  <c r="X21" i="710"/>
  <c r="W21" i="710"/>
  <c r="V21" i="710"/>
  <c r="U21" i="710"/>
  <c r="T21" i="710"/>
  <c r="S21" i="710"/>
  <c r="AA20" i="710"/>
  <c r="Z20" i="710"/>
  <c r="Y20" i="710"/>
  <c r="X20" i="710"/>
  <c r="W20" i="710"/>
  <c r="V20" i="710"/>
  <c r="U20" i="710"/>
  <c r="T20" i="710"/>
  <c r="S20" i="710"/>
  <c r="AA19" i="710"/>
  <c r="Z19" i="710"/>
  <c r="Y19" i="710"/>
  <c r="X19" i="710"/>
  <c r="W19" i="710"/>
  <c r="V19" i="710"/>
  <c r="U19" i="710"/>
  <c r="T19" i="710"/>
  <c r="S19" i="710"/>
  <c r="AA18" i="710"/>
  <c r="Z18" i="710"/>
  <c r="Y18" i="710"/>
  <c r="X18" i="710"/>
  <c r="W18" i="710"/>
  <c r="V18" i="710"/>
  <c r="U18" i="710"/>
  <c r="T18" i="710"/>
  <c r="S18" i="710"/>
  <c r="AA17" i="710"/>
  <c r="Z17" i="710"/>
  <c r="Y17" i="710"/>
  <c r="X17" i="710"/>
  <c r="W17" i="710"/>
  <c r="V17" i="710"/>
  <c r="U17" i="710"/>
  <c r="T17" i="710"/>
  <c r="S17" i="710"/>
  <c r="AA16" i="710"/>
  <c r="Z16" i="710"/>
  <c r="Y16" i="710"/>
  <c r="X16" i="710"/>
  <c r="W16" i="710"/>
  <c r="V16" i="710"/>
  <c r="U16" i="710"/>
  <c r="T16" i="710"/>
  <c r="S16" i="710"/>
  <c r="AA15" i="710"/>
  <c r="Z15" i="710"/>
  <c r="Y15" i="710"/>
  <c r="X15" i="710"/>
  <c r="W15" i="710"/>
  <c r="V15" i="710"/>
  <c r="U15" i="710"/>
  <c r="T15" i="710"/>
  <c r="S15" i="710"/>
  <c r="AA14" i="710"/>
  <c r="Z14" i="710"/>
  <c r="Y14" i="710"/>
  <c r="X14" i="710"/>
  <c r="W14" i="710"/>
  <c r="V14" i="710"/>
  <c r="U14" i="710"/>
  <c r="T14" i="710"/>
  <c r="S14" i="710"/>
  <c r="AA13" i="710"/>
  <c r="Z13" i="710"/>
  <c r="Y13" i="710"/>
  <c r="X13" i="710"/>
  <c r="W13" i="710"/>
  <c r="V13" i="710"/>
  <c r="U13" i="710"/>
  <c r="T13" i="710"/>
  <c r="S13" i="710"/>
  <c r="K82" i="709"/>
  <c r="K91" i="709" s="1"/>
  <c r="B82" i="709"/>
  <c r="K65" i="709"/>
  <c r="K66" i="709"/>
  <c r="B63" i="709"/>
  <c r="M51" i="709"/>
  <c r="L51" i="709"/>
  <c r="K51" i="709"/>
  <c r="M52" i="709"/>
  <c r="L52" i="709"/>
  <c r="K52" i="709"/>
  <c r="M54" i="708"/>
  <c r="L54" i="708"/>
  <c r="K54" i="708"/>
  <c r="C10" i="709"/>
  <c r="D10" i="709"/>
  <c r="E10" i="709"/>
  <c r="F10" i="709"/>
  <c r="G10" i="709"/>
  <c r="I10" i="709"/>
  <c r="J10" i="709"/>
  <c r="L10" i="709"/>
  <c r="M10" i="709"/>
  <c r="O10" i="709"/>
  <c r="C15" i="709"/>
  <c r="D15" i="709"/>
  <c r="E15" i="709"/>
  <c r="F15" i="709"/>
  <c r="G15" i="709"/>
  <c r="I15" i="709"/>
  <c r="J15" i="709"/>
  <c r="K15" i="709"/>
  <c r="L15" i="709"/>
  <c r="M15" i="709"/>
  <c r="N15" i="709"/>
  <c r="O15" i="709"/>
  <c r="O14" i="709"/>
  <c r="N14" i="709"/>
  <c r="M14" i="709"/>
  <c r="L14" i="709"/>
  <c r="K14" i="709"/>
  <c r="J14" i="709"/>
  <c r="I14" i="709"/>
  <c r="G14" i="709"/>
  <c r="F14" i="709"/>
  <c r="E14" i="709"/>
  <c r="D14" i="709"/>
  <c r="C14" i="709"/>
  <c r="J51" i="709" l="1"/>
  <c r="K55" i="710"/>
  <c r="L55" i="710" s="1"/>
  <c r="M55" i="710" s="1"/>
  <c r="G82" i="709"/>
  <c r="C11" i="709" l="1"/>
  <c r="C12" i="709"/>
  <c r="D11" i="709"/>
  <c r="E11" i="709"/>
  <c r="F11" i="709"/>
  <c r="G11" i="709"/>
  <c r="L11" i="709"/>
  <c r="M11" i="709"/>
  <c r="O11" i="709"/>
  <c r="D12" i="709"/>
  <c r="E12" i="709"/>
  <c r="F12" i="709"/>
  <c r="G12" i="709"/>
  <c r="L12" i="709"/>
  <c r="M12" i="709"/>
  <c r="O12" i="709"/>
  <c r="K80" i="709"/>
  <c r="K98" i="709" s="1"/>
  <c r="G80" i="709"/>
  <c r="F95" i="709"/>
  <c r="AY81" i="709"/>
  <c r="AX81" i="709"/>
  <c r="AW81" i="709"/>
  <c r="AV81" i="709"/>
  <c r="AU81" i="709"/>
  <c r="AT81" i="709"/>
  <c r="AS81" i="709"/>
  <c r="AR81" i="709"/>
  <c r="AQ81" i="709"/>
  <c r="AP81" i="709"/>
  <c r="AO81" i="709"/>
  <c r="AN81" i="709"/>
  <c r="AM81" i="709"/>
  <c r="AL81" i="709"/>
  <c r="AK81" i="709"/>
  <c r="AJ81" i="709"/>
  <c r="AI81" i="709"/>
  <c r="AH81" i="709"/>
  <c r="AG81" i="709"/>
  <c r="AF81" i="709"/>
  <c r="AE81" i="709"/>
  <c r="AD81" i="709"/>
  <c r="AC81" i="709"/>
  <c r="AB81" i="709"/>
  <c r="AA81" i="709"/>
  <c r="Z81" i="709"/>
  <c r="Y81" i="709"/>
  <c r="X81" i="709"/>
  <c r="W81" i="709"/>
  <c r="V81" i="709"/>
  <c r="U81" i="709"/>
  <c r="B80" i="709"/>
  <c r="D73" i="709"/>
  <c r="M58" i="709"/>
  <c r="M57" i="709"/>
  <c r="M56" i="709"/>
  <c r="K61" i="709"/>
  <c r="C51" i="709" a="1"/>
  <c r="C51" i="709" s="1"/>
  <c r="AA48" i="709"/>
  <c r="Z48" i="709"/>
  <c r="Y48" i="709"/>
  <c r="X48" i="709"/>
  <c r="W48" i="709"/>
  <c r="V48" i="709"/>
  <c r="U48" i="709"/>
  <c r="T48" i="709"/>
  <c r="S48" i="709"/>
  <c r="AA47" i="709"/>
  <c r="Z47" i="709"/>
  <c r="Y47" i="709"/>
  <c r="X47" i="709"/>
  <c r="W47" i="709"/>
  <c r="V47" i="709"/>
  <c r="U47" i="709"/>
  <c r="T47" i="709"/>
  <c r="S47" i="709"/>
  <c r="AA46" i="709"/>
  <c r="Z46" i="709"/>
  <c r="Y46" i="709"/>
  <c r="X46" i="709"/>
  <c r="W46" i="709"/>
  <c r="V46" i="709"/>
  <c r="U46" i="709"/>
  <c r="T46" i="709"/>
  <c r="S46" i="709"/>
  <c r="AA45" i="709"/>
  <c r="Z45" i="709"/>
  <c r="Y45" i="709"/>
  <c r="X45" i="709"/>
  <c r="W45" i="709"/>
  <c r="V45" i="709"/>
  <c r="U45" i="709"/>
  <c r="T45" i="709"/>
  <c r="S45" i="709"/>
  <c r="AA44" i="709"/>
  <c r="Z44" i="709"/>
  <c r="Y44" i="709"/>
  <c r="X44" i="709"/>
  <c r="W44" i="709"/>
  <c r="V44" i="709"/>
  <c r="U44" i="709"/>
  <c r="T44" i="709"/>
  <c r="S44" i="709"/>
  <c r="AA43" i="709"/>
  <c r="Z43" i="709"/>
  <c r="Y43" i="709"/>
  <c r="X43" i="709"/>
  <c r="W43" i="709"/>
  <c r="V43" i="709"/>
  <c r="U43" i="709"/>
  <c r="T43" i="709"/>
  <c r="S43" i="709"/>
  <c r="AA42" i="709"/>
  <c r="Z42" i="709"/>
  <c r="Y42" i="709"/>
  <c r="X42" i="709"/>
  <c r="W42" i="709"/>
  <c r="V42" i="709"/>
  <c r="U42" i="709"/>
  <c r="T42" i="709"/>
  <c r="S42" i="709"/>
  <c r="AA41" i="709"/>
  <c r="Z41" i="709"/>
  <c r="Y41" i="709"/>
  <c r="X41" i="709"/>
  <c r="W41" i="709"/>
  <c r="V41" i="709"/>
  <c r="U41" i="709"/>
  <c r="T41" i="709"/>
  <c r="S41" i="709"/>
  <c r="AA40" i="709"/>
  <c r="Z40" i="709"/>
  <c r="Y40" i="709"/>
  <c r="X40" i="709"/>
  <c r="W40" i="709"/>
  <c r="V40" i="709"/>
  <c r="U40" i="709"/>
  <c r="T40" i="709"/>
  <c r="S40" i="709"/>
  <c r="AA39" i="709"/>
  <c r="Z39" i="709"/>
  <c r="Y39" i="709"/>
  <c r="X39" i="709"/>
  <c r="W39" i="709"/>
  <c r="V39" i="709"/>
  <c r="U39" i="709"/>
  <c r="T39" i="709"/>
  <c r="S39" i="709"/>
  <c r="AA38" i="709"/>
  <c r="Z38" i="709"/>
  <c r="Y38" i="709"/>
  <c r="X38" i="709"/>
  <c r="W38" i="709"/>
  <c r="V38" i="709"/>
  <c r="U38" i="709"/>
  <c r="T38" i="709"/>
  <c r="S38" i="709"/>
  <c r="AA37" i="709"/>
  <c r="Z37" i="709"/>
  <c r="Y37" i="709"/>
  <c r="X37" i="709"/>
  <c r="W37" i="709"/>
  <c r="V37" i="709"/>
  <c r="U37" i="709"/>
  <c r="T37" i="709"/>
  <c r="S37" i="709"/>
  <c r="AA36" i="709"/>
  <c r="Z36" i="709"/>
  <c r="Y36" i="709"/>
  <c r="X36" i="709"/>
  <c r="W36" i="709"/>
  <c r="V36" i="709"/>
  <c r="U36" i="709"/>
  <c r="T36" i="709"/>
  <c r="S36" i="709"/>
  <c r="AA35" i="709"/>
  <c r="Z35" i="709"/>
  <c r="Y35" i="709"/>
  <c r="X35" i="709"/>
  <c r="W35" i="709"/>
  <c r="V35" i="709"/>
  <c r="U35" i="709"/>
  <c r="T35" i="709"/>
  <c r="S35" i="709"/>
  <c r="AA34" i="709"/>
  <c r="Z34" i="709"/>
  <c r="Y34" i="709"/>
  <c r="X34" i="709"/>
  <c r="W34" i="709"/>
  <c r="V34" i="709"/>
  <c r="U34" i="709"/>
  <c r="T34" i="709"/>
  <c r="S34" i="709"/>
  <c r="AA33" i="709"/>
  <c r="Z33" i="709"/>
  <c r="Y33" i="709"/>
  <c r="X33" i="709"/>
  <c r="W33" i="709"/>
  <c r="V33" i="709"/>
  <c r="U33" i="709"/>
  <c r="T33" i="709"/>
  <c r="S33" i="709"/>
  <c r="AA32" i="709"/>
  <c r="Z32" i="709"/>
  <c r="Y32" i="709"/>
  <c r="X32" i="709"/>
  <c r="W32" i="709"/>
  <c r="V32" i="709"/>
  <c r="U32" i="709"/>
  <c r="T32" i="709"/>
  <c r="S32" i="709"/>
  <c r="AA31" i="709"/>
  <c r="Z31" i="709"/>
  <c r="Y31" i="709"/>
  <c r="X31" i="709"/>
  <c r="W31" i="709"/>
  <c r="V31" i="709"/>
  <c r="U31" i="709"/>
  <c r="T31" i="709"/>
  <c r="S31" i="709"/>
  <c r="AA30" i="709"/>
  <c r="Z30" i="709"/>
  <c r="Y30" i="709"/>
  <c r="X30" i="709"/>
  <c r="W30" i="709"/>
  <c r="V30" i="709"/>
  <c r="U30" i="709"/>
  <c r="T30" i="709"/>
  <c r="S30" i="709"/>
  <c r="AA29" i="709"/>
  <c r="Z29" i="709"/>
  <c r="Y29" i="709"/>
  <c r="X29" i="709"/>
  <c r="W29" i="709"/>
  <c r="V29" i="709"/>
  <c r="U29" i="709"/>
  <c r="T29" i="709"/>
  <c r="S29" i="709"/>
  <c r="AA28" i="709"/>
  <c r="Z28" i="709"/>
  <c r="Y28" i="709"/>
  <c r="X28" i="709"/>
  <c r="W28" i="709"/>
  <c r="V28" i="709"/>
  <c r="U28" i="709"/>
  <c r="T28" i="709"/>
  <c r="S28" i="709"/>
  <c r="AA27" i="709"/>
  <c r="Z27" i="709"/>
  <c r="Y27" i="709"/>
  <c r="X27" i="709"/>
  <c r="W27" i="709"/>
  <c r="V27" i="709"/>
  <c r="U27" i="709"/>
  <c r="T27" i="709"/>
  <c r="S27" i="709"/>
  <c r="AA26" i="709"/>
  <c r="Z26" i="709"/>
  <c r="Y26" i="709"/>
  <c r="X26" i="709"/>
  <c r="W26" i="709"/>
  <c r="V26" i="709"/>
  <c r="U26" i="709"/>
  <c r="T26" i="709"/>
  <c r="S26" i="709"/>
  <c r="AA25" i="709"/>
  <c r="Z25" i="709"/>
  <c r="Y25" i="709"/>
  <c r="X25" i="709"/>
  <c r="W25" i="709"/>
  <c r="V25" i="709"/>
  <c r="U25" i="709"/>
  <c r="T25" i="709"/>
  <c r="S25" i="709"/>
  <c r="AA24" i="709"/>
  <c r="Z24" i="709"/>
  <c r="Y24" i="709"/>
  <c r="X24" i="709"/>
  <c r="W24" i="709"/>
  <c r="V24" i="709"/>
  <c r="U24" i="709"/>
  <c r="T24" i="709"/>
  <c r="S24" i="709"/>
  <c r="AA23" i="709"/>
  <c r="Z23" i="709"/>
  <c r="Y23" i="709"/>
  <c r="X23" i="709"/>
  <c r="W23" i="709"/>
  <c r="V23" i="709"/>
  <c r="U23" i="709"/>
  <c r="T23" i="709"/>
  <c r="S23" i="709"/>
  <c r="AA22" i="709"/>
  <c r="Z22" i="709"/>
  <c r="Y22" i="709"/>
  <c r="X22" i="709"/>
  <c r="W22" i="709"/>
  <c r="V22" i="709"/>
  <c r="U22" i="709"/>
  <c r="T22" i="709"/>
  <c r="S22" i="709"/>
  <c r="AA21" i="709"/>
  <c r="Z21" i="709"/>
  <c r="Y21" i="709"/>
  <c r="X21" i="709"/>
  <c r="W21" i="709"/>
  <c r="V21" i="709"/>
  <c r="U21" i="709"/>
  <c r="T21" i="709"/>
  <c r="S21" i="709"/>
  <c r="AA20" i="709"/>
  <c r="Z20" i="709"/>
  <c r="Y20" i="709"/>
  <c r="X20" i="709"/>
  <c r="W20" i="709"/>
  <c r="V20" i="709"/>
  <c r="U20" i="709"/>
  <c r="T20" i="709"/>
  <c r="S20" i="709"/>
  <c r="AA19" i="709"/>
  <c r="Z19" i="709"/>
  <c r="Y19" i="709"/>
  <c r="X19" i="709"/>
  <c r="W19" i="709"/>
  <c r="V19" i="709"/>
  <c r="U19" i="709"/>
  <c r="T19" i="709"/>
  <c r="S19" i="709"/>
  <c r="K75" i="709"/>
  <c r="L61" i="709" l="1"/>
  <c r="M61" i="709" s="1"/>
  <c r="C57" i="708" l="1" a="1"/>
  <c r="C57" i="708" s="1"/>
  <c r="B65" i="708"/>
  <c r="B57" i="708"/>
  <c r="J64" i="18"/>
  <c r="J64" i="19" l="1"/>
  <c r="E85" i="708" l="1"/>
  <c r="G85" i="708"/>
  <c r="K83" i="708"/>
  <c r="K91" i="708" s="1"/>
  <c r="G83" i="708"/>
  <c r="B85" i="708"/>
  <c r="B83" i="708"/>
  <c r="K68" i="708" l="1"/>
  <c r="C15" i="708"/>
  <c r="D15" i="708"/>
  <c r="E15" i="708"/>
  <c r="F15" i="708"/>
  <c r="G15" i="708"/>
  <c r="L15" i="708"/>
  <c r="M15" i="708"/>
  <c r="O15" i="708"/>
  <c r="C16" i="708"/>
  <c r="D16" i="708"/>
  <c r="E16" i="708"/>
  <c r="F16" i="708"/>
  <c r="G16" i="708"/>
  <c r="I16" i="708"/>
  <c r="J16" i="708"/>
  <c r="L16" i="708"/>
  <c r="M16" i="708"/>
  <c r="O16" i="708"/>
  <c r="C17" i="708"/>
  <c r="D17" i="708"/>
  <c r="E17" i="708"/>
  <c r="F17" i="708"/>
  <c r="G17" i="708"/>
  <c r="I17" i="708"/>
  <c r="J17" i="708"/>
  <c r="L17" i="708"/>
  <c r="M17" i="708"/>
  <c r="O17" i="708"/>
  <c r="C18" i="708"/>
  <c r="D18" i="708"/>
  <c r="E18" i="708"/>
  <c r="F18" i="708"/>
  <c r="G18" i="708"/>
  <c r="I18" i="708"/>
  <c r="J18" i="708"/>
  <c r="L18" i="708"/>
  <c r="M18" i="708"/>
  <c r="O18" i="708"/>
  <c r="O14" i="708"/>
  <c r="M14" i="708"/>
  <c r="L14" i="708"/>
  <c r="J14" i="708"/>
  <c r="I14" i="708"/>
  <c r="G14" i="708"/>
  <c r="F14" i="708"/>
  <c r="E14" i="708"/>
  <c r="D14" i="708"/>
  <c r="C14" i="708"/>
  <c r="M53" i="708" l="1"/>
  <c r="L53" i="708"/>
  <c r="K53" i="708"/>
  <c r="C11" i="708"/>
  <c r="D11" i="708"/>
  <c r="E11" i="708"/>
  <c r="F11" i="708"/>
  <c r="G11" i="708"/>
  <c r="I11" i="708"/>
  <c r="J11" i="708"/>
  <c r="L11" i="708"/>
  <c r="M11" i="708"/>
  <c r="N11" i="708"/>
  <c r="O11" i="708"/>
  <c r="C12" i="708"/>
  <c r="D12" i="708"/>
  <c r="E12" i="708"/>
  <c r="F12" i="708"/>
  <c r="G12" i="708"/>
  <c r="I12" i="708"/>
  <c r="J12" i="708"/>
  <c r="L12" i="708"/>
  <c r="M12" i="708"/>
  <c r="N12" i="708"/>
  <c r="O12" i="708"/>
  <c r="O10" i="708"/>
  <c r="N10" i="708"/>
  <c r="M10" i="708"/>
  <c r="L10" i="708"/>
  <c r="J10" i="708"/>
  <c r="I10" i="708"/>
  <c r="G10" i="708"/>
  <c r="F10" i="708"/>
  <c r="E10" i="708"/>
  <c r="D10" i="708"/>
  <c r="C10" i="708"/>
  <c r="F96" i="708"/>
  <c r="AY82" i="708"/>
  <c r="AX82" i="708"/>
  <c r="AW82" i="708"/>
  <c r="AV82" i="708"/>
  <c r="AU82" i="708"/>
  <c r="AT82" i="708"/>
  <c r="AS82" i="708"/>
  <c r="AR82" i="708"/>
  <c r="AQ82" i="708"/>
  <c r="AP82" i="708"/>
  <c r="AO82" i="708"/>
  <c r="AN82" i="708"/>
  <c r="AM82" i="708"/>
  <c r="AL82" i="708"/>
  <c r="AK82" i="708"/>
  <c r="AJ82" i="708"/>
  <c r="AI82" i="708"/>
  <c r="AH82" i="708"/>
  <c r="AG82" i="708"/>
  <c r="AF82" i="708"/>
  <c r="AE82" i="708"/>
  <c r="AD82" i="708"/>
  <c r="AC82" i="708"/>
  <c r="AB82" i="708"/>
  <c r="AA82" i="708"/>
  <c r="Z82" i="708"/>
  <c r="Y82" i="708"/>
  <c r="X82" i="708"/>
  <c r="W82" i="708"/>
  <c r="V82" i="708"/>
  <c r="U82" i="708"/>
  <c r="D75" i="708"/>
  <c r="M60" i="708"/>
  <c r="M59" i="708"/>
  <c r="M58" i="708"/>
  <c r="AA50" i="708"/>
  <c r="Z50" i="708"/>
  <c r="Y50" i="708"/>
  <c r="X50" i="708"/>
  <c r="W50" i="708"/>
  <c r="V50" i="708"/>
  <c r="U50" i="708"/>
  <c r="T50" i="708"/>
  <c r="S50" i="708"/>
  <c r="AA49" i="708"/>
  <c r="Z49" i="708"/>
  <c r="Y49" i="708"/>
  <c r="X49" i="708"/>
  <c r="W49" i="708"/>
  <c r="V49" i="708"/>
  <c r="U49" i="708"/>
  <c r="T49" i="708"/>
  <c r="S49" i="708"/>
  <c r="AA48" i="708"/>
  <c r="Z48" i="708"/>
  <c r="Y48" i="708"/>
  <c r="X48" i="708"/>
  <c r="W48" i="708"/>
  <c r="V48" i="708"/>
  <c r="U48" i="708"/>
  <c r="T48" i="708"/>
  <c r="S48" i="708"/>
  <c r="AA47" i="708"/>
  <c r="Z47" i="708"/>
  <c r="Y47" i="708"/>
  <c r="X47" i="708"/>
  <c r="W47" i="708"/>
  <c r="V47" i="708"/>
  <c r="U47" i="708"/>
  <c r="T47" i="708"/>
  <c r="S47" i="708"/>
  <c r="AA46" i="708"/>
  <c r="Z46" i="708"/>
  <c r="Y46" i="708"/>
  <c r="X46" i="708"/>
  <c r="W46" i="708"/>
  <c r="V46" i="708"/>
  <c r="U46" i="708"/>
  <c r="T46" i="708"/>
  <c r="S46" i="708"/>
  <c r="AA45" i="708"/>
  <c r="Z45" i="708"/>
  <c r="Y45" i="708"/>
  <c r="X45" i="708"/>
  <c r="W45" i="708"/>
  <c r="V45" i="708"/>
  <c r="U45" i="708"/>
  <c r="T45" i="708"/>
  <c r="S45" i="708"/>
  <c r="AA44" i="708"/>
  <c r="Z44" i="708"/>
  <c r="Y44" i="708"/>
  <c r="X44" i="708"/>
  <c r="W44" i="708"/>
  <c r="V44" i="708"/>
  <c r="U44" i="708"/>
  <c r="T44" i="708"/>
  <c r="S44" i="708"/>
  <c r="AA43" i="708"/>
  <c r="Z43" i="708"/>
  <c r="Y43" i="708"/>
  <c r="X43" i="708"/>
  <c r="W43" i="708"/>
  <c r="V43" i="708"/>
  <c r="U43" i="708"/>
  <c r="T43" i="708"/>
  <c r="S43" i="708"/>
  <c r="AA42" i="708"/>
  <c r="Z42" i="708"/>
  <c r="Y42" i="708"/>
  <c r="X42" i="708"/>
  <c r="W42" i="708"/>
  <c r="V42" i="708"/>
  <c r="U42" i="708"/>
  <c r="T42" i="708"/>
  <c r="S42" i="708"/>
  <c r="AA41" i="708"/>
  <c r="Z41" i="708"/>
  <c r="Y41" i="708"/>
  <c r="X41" i="708"/>
  <c r="W41" i="708"/>
  <c r="V41" i="708"/>
  <c r="U41" i="708"/>
  <c r="T41" i="708"/>
  <c r="S41" i="708"/>
  <c r="AA40" i="708"/>
  <c r="Z40" i="708"/>
  <c r="Y40" i="708"/>
  <c r="X40" i="708"/>
  <c r="W40" i="708"/>
  <c r="V40" i="708"/>
  <c r="U40" i="708"/>
  <c r="T40" i="708"/>
  <c r="S40" i="708"/>
  <c r="AA39" i="708"/>
  <c r="Z39" i="708"/>
  <c r="Y39" i="708"/>
  <c r="X39" i="708"/>
  <c r="W39" i="708"/>
  <c r="V39" i="708"/>
  <c r="U39" i="708"/>
  <c r="T39" i="708"/>
  <c r="S39" i="708"/>
  <c r="AA38" i="708"/>
  <c r="Z38" i="708"/>
  <c r="Y38" i="708"/>
  <c r="X38" i="708"/>
  <c r="W38" i="708"/>
  <c r="V38" i="708"/>
  <c r="U38" i="708"/>
  <c r="T38" i="708"/>
  <c r="S38" i="708"/>
  <c r="AA37" i="708"/>
  <c r="Z37" i="708"/>
  <c r="Y37" i="708"/>
  <c r="X37" i="708"/>
  <c r="W37" i="708"/>
  <c r="V37" i="708"/>
  <c r="U37" i="708"/>
  <c r="T37" i="708"/>
  <c r="S37" i="708"/>
  <c r="AA36" i="708"/>
  <c r="Z36" i="708"/>
  <c r="Y36" i="708"/>
  <c r="X36" i="708"/>
  <c r="W36" i="708"/>
  <c r="V36" i="708"/>
  <c r="U36" i="708"/>
  <c r="T36" i="708"/>
  <c r="S36" i="708"/>
  <c r="AA35" i="708"/>
  <c r="Z35" i="708"/>
  <c r="Y35" i="708"/>
  <c r="X35" i="708"/>
  <c r="W35" i="708"/>
  <c r="V35" i="708"/>
  <c r="U35" i="708"/>
  <c r="T35" i="708"/>
  <c r="S35" i="708"/>
  <c r="AA34" i="708"/>
  <c r="Z34" i="708"/>
  <c r="Y34" i="708"/>
  <c r="X34" i="708"/>
  <c r="W34" i="708"/>
  <c r="V34" i="708"/>
  <c r="U34" i="708"/>
  <c r="T34" i="708"/>
  <c r="S34" i="708"/>
  <c r="AA33" i="708"/>
  <c r="Z33" i="708"/>
  <c r="Y33" i="708"/>
  <c r="X33" i="708"/>
  <c r="W33" i="708"/>
  <c r="V33" i="708"/>
  <c r="U33" i="708"/>
  <c r="T33" i="708"/>
  <c r="S33" i="708"/>
  <c r="AA32" i="708"/>
  <c r="Z32" i="708"/>
  <c r="Y32" i="708"/>
  <c r="X32" i="708"/>
  <c r="W32" i="708"/>
  <c r="V32" i="708"/>
  <c r="U32" i="708"/>
  <c r="T32" i="708"/>
  <c r="S32" i="708"/>
  <c r="AA31" i="708"/>
  <c r="Z31" i="708"/>
  <c r="Y31" i="708"/>
  <c r="X31" i="708"/>
  <c r="W31" i="708"/>
  <c r="V31" i="708"/>
  <c r="U31" i="708"/>
  <c r="T31" i="708"/>
  <c r="S31" i="708"/>
  <c r="AA30" i="708"/>
  <c r="Z30" i="708"/>
  <c r="Y30" i="708"/>
  <c r="X30" i="708"/>
  <c r="W30" i="708"/>
  <c r="V30" i="708"/>
  <c r="U30" i="708"/>
  <c r="T30" i="708"/>
  <c r="S30" i="708"/>
  <c r="AA29" i="708"/>
  <c r="Z29" i="708"/>
  <c r="Y29" i="708"/>
  <c r="X29" i="708"/>
  <c r="W29" i="708"/>
  <c r="V29" i="708"/>
  <c r="U29" i="708"/>
  <c r="T29" i="708"/>
  <c r="S29" i="708"/>
  <c r="AA28" i="708"/>
  <c r="Z28" i="708"/>
  <c r="Y28" i="708"/>
  <c r="X28" i="708"/>
  <c r="W28" i="708"/>
  <c r="V28" i="708"/>
  <c r="U28" i="708"/>
  <c r="T28" i="708"/>
  <c r="S28" i="708"/>
  <c r="AA27" i="708"/>
  <c r="Z27" i="708"/>
  <c r="Y27" i="708"/>
  <c r="X27" i="708"/>
  <c r="W27" i="708"/>
  <c r="V27" i="708"/>
  <c r="U27" i="708"/>
  <c r="T27" i="708"/>
  <c r="S27" i="708"/>
  <c r="AA26" i="708"/>
  <c r="Z26" i="708"/>
  <c r="Y26" i="708"/>
  <c r="X26" i="708"/>
  <c r="W26" i="708"/>
  <c r="V26" i="708"/>
  <c r="U26" i="708"/>
  <c r="T26" i="708"/>
  <c r="S26" i="708"/>
  <c r="AA25" i="708"/>
  <c r="Z25" i="708"/>
  <c r="Y25" i="708"/>
  <c r="X25" i="708"/>
  <c r="W25" i="708"/>
  <c r="V25" i="708"/>
  <c r="U25" i="708"/>
  <c r="T25" i="708"/>
  <c r="S25" i="708"/>
  <c r="AA24" i="708"/>
  <c r="Z24" i="708"/>
  <c r="Y24" i="708"/>
  <c r="X24" i="708"/>
  <c r="W24" i="708"/>
  <c r="V24" i="708"/>
  <c r="U24" i="708"/>
  <c r="T24" i="708"/>
  <c r="S24" i="708"/>
  <c r="AA23" i="708"/>
  <c r="Z23" i="708"/>
  <c r="Y23" i="708"/>
  <c r="X23" i="708"/>
  <c r="W23" i="708"/>
  <c r="V23" i="708"/>
  <c r="U23" i="708"/>
  <c r="T23" i="708"/>
  <c r="S23" i="708"/>
  <c r="AA22" i="708"/>
  <c r="Z22" i="708"/>
  <c r="Y22" i="708"/>
  <c r="X22" i="708"/>
  <c r="W22" i="708"/>
  <c r="V22" i="708"/>
  <c r="U22" i="708"/>
  <c r="T22" i="708"/>
  <c r="S22" i="708"/>
  <c r="AA21" i="708"/>
  <c r="Z21" i="708"/>
  <c r="Y21" i="708"/>
  <c r="X21" i="708"/>
  <c r="W21" i="708"/>
  <c r="V21" i="708"/>
  <c r="U21" i="708"/>
  <c r="T21" i="708"/>
  <c r="S21" i="708"/>
  <c r="AA20" i="708"/>
  <c r="Z20" i="708"/>
  <c r="Y20" i="708"/>
  <c r="X20" i="708"/>
  <c r="W20" i="708"/>
  <c r="V20" i="708"/>
  <c r="U20" i="708"/>
  <c r="T20" i="708"/>
  <c r="S20" i="708"/>
  <c r="AA19" i="708"/>
  <c r="Z19" i="708"/>
  <c r="Y19" i="708"/>
  <c r="X19" i="708"/>
  <c r="W19" i="708"/>
  <c r="V19" i="708"/>
  <c r="U19" i="708"/>
  <c r="T19" i="708"/>
  <c r="S19" i="708"/>
  <c r="AA18" i="708"/>
  <c r="Z18" i="708"/>
  <c r="Y18" i="708"/>
  <c r="X18" i="708"/>
  <c r="W18" i="708"/>
  <c r="V18" i="708"/>
  <c r="U18" i="708"/>
  <c r="T18" i="708"/>
  <c r="S18" i="708"/>
  <c r="AA17" i="708"/>
  <c r="Z17" i="708"/>
  <c r="Y17" i="708"/>
  <c r="X17" i="708"/>
  <c r="W17" i="708"/>
  <c r="V17" i="708"/>
  <c r="U17" i="708"/>
  <c r="T17" i="708"/>
  <c r="S17" i="708"/>
  <c r="AA16" i="708"/>
  <c r="Z16" i="708"/>
  <c r="Y16" i="708"/>
  <c r="X16" i="708"/>
  <c r="W16" i="708"/>
  <c r="V16" i="708"/>
  <c r="U16" i="708"/>
  <c r="T16" i="708"/>
  <c r="S16" i="708"/>
  <c r="AA15" i="708"/>
  <c r="Z15" i="708"/>
  <c r="Y15" i="708"/>
  <c r="X15" i="708"/>
  <c r="W15" i="708"/>
  <c r="V15" i="708"/>
  <c r="U15" i="708"/>
  <c r="T15" i="708"/>
  <c r="S15" i="708"/>
  <c r="AA14" i="708"/>
  <c r="Z14" i="708"/>
  <c r="Y14" i="708"/>
  <c r="X14" i="708"/>
  <c r="W14" i="708"/>
  <c r="V14" i="708"/>
  <c r="U14" i="708"/>
  <c r="T14" i="708"/>
  <c r="S14" i="708"/>
  <c r="AA13" i="708"/>
  <c r="Z13" i="708"/>
  <c r="Y13" i="708"/>
  <c r="X13" i="708"/>
  <c r="W13" i="708"/>
  <c r="V13" i="708"/>
  <c r="U13" i="708"/>
  <c r="T13" i="708"/>
  <c r="S13" i="708"/>
  <c r="AA12" i="708"/>
  <c r="Z12" i="708"/>
  <c r="Y12" i="708"/>
  <c r="X12" i="708"/>
  <c r="W12" i="708"/>
  <c r="V12" i="708"/>
  <c r="U12" i="708"/>
  <c r="T12" i="708"/>
  <c r="S12" i="708"/>
  <c r="AA11" i="708"/>
  <c r="Z11" i="708"/>
  <c r="Y11" i="708"/>
  <c r="X11" i="708"/>
  <c r="W11" i="708"/>
  <c r="V11" i="708"/>
  <c r="U11" i="708"/>
  <c r="T11" i="708"/>
  <c r="S11" i="708"/>
  <c r="AA10" i="708"/>
  <c r="Z10" i="708"/>
  <c r="Y10" i="708"/>
  <c r="X10" i="708"/>
  <c r="W10" i="708"/>
  <c r="V10" i="708"/>
  <c r="U10" i="708"/>
  <c r="T10" i="708"/>
  <c r="S10" i="708"/>
  <c r="J57" i="19"/>
  <c r="J59" i="19"/>
  <c r="J60" i="19"/>
  <c r="J61" i="19"/>
  <c r="J62" i="19"/>
  <c r="J63" i="19"/>
  <c r="G60" i="19"/>
  <c r="G61" i="19"/>
  <c r="G63" i="19"/>
  <c r="K82" i="707"/>
  <c r="M53" i="707"/>
  <c r="L53" i="707"/>
  <c r="C10" i="707"/>
  <c r="D10" i="707"/>
  <c r="E10" i="707"/>
  <c r="F10" i="707"/>
  <c r="G10" i="707"/>
  <c r="I10" i="707"/>
  <c r="J10" i="707"/>
  <c r="L10" i="707"/>
  <c r="M10" i="707"/>
  <c r="N10" i="707"/>
  <c r="O10" i="707"/>
  <c r="C11" i="707"/>
  <c r="D11" i="707"/>
  <c r="E11" i="707"/>
  <c r="F11" i="707"/>
  <c r="G11" i="707"/>
  <c r="I11" i="707"/>
  <c r="J11" i="707"/>
  <c r="L11" i="707"/>
  <c r="M11" i="707"/>
  <c r="N11" i="707"/>
  <c r="O11" i="707"/>
  <c r="C12" i="707"/>
  <c r="D12" i="707"/>
  <c r="E12" i="707"/>
  <c r="F12" i="707"/>
  <c r="G12" i="707"/>
  <c r="I12" i="707"/>
  <c r="J12" i="707"/>
  <c r="L12" i="707"/>
  <c r="M12" i="707"/>
  <c r="N12" i="707"/>
  <c r="O12" i="707"/>
  <c r="C13" i="707"/>
  <c r="D13" i="707"/>
  <c r="E13" i="707"/>
  <c r="F13" i="707"/>
  <c r="G13" i="707"/>
  <c r="I13" i="707"/>
  <c r="J13" i="707"/>
  <c r="L13" i="707"/>
  <c r="M13" i="707"/>
  <c r="N13" i="707"/>
  <c r="O13" i="707"/>
  <c r="C14" i="707"/>
  <c r="D14" i="707"/>
  <c r="E14" i="707"/>
  <c r="F14" i="707"/>
  <c r="G14" i="707"/>
  <c r="I14" i="707"/>
  <c r="J14" i="707"/>
  <c r="L14" i="707"/>
  <c r="M14" i="707"/>
  <c r="N14" i="707"/>
  <c r="O14" i="707"/>
  <c r="G82" i="707"/>
  <c r="F97" i="707"/>
  <c r="AY83" i="707"/>
  <c r="AX83" i="707"/>
  <c r="AW83" i="707"/>
  <c r="AV83" i="707"/>
  <c r="AU83" i="707"/>
  <c r="AT83" i="707"/>
  <c r="AS83" i="707"/>
  <c r="AR83" i="707"/>
  <c r="AQ83" i="707"/>
  <c r="AP83" i="707"/>
  <c r="AO83" i="707"/>
  <c r="AN83" i="707"/>
  <c r="AM83" i="707"/>
  <c r="AL83" i="707"/>
  <c r="AK83" i="707"/>
  <c r="AJ83" i="707"/>
  <c r="AI83" i="707"/>
  <c r="AH83" i="707"/>
  <c r="AG83" i="707"/>
  <c r="AF83" i="707"/>
  <c r="AE83" i="707"/>
  <c r="AD83" i="707"/>
  <c r="AC83" i="707"/>
  <c r="AB83" i="707"/>
  <c r="AA83" i="707"/>
  <c r="Z83" i="707"/>
  <c r="Y83" i="707"/>
  <c r="X83" i="707"/>
  <c r="W83" i="707"/>
  <c r="V83" i="707"/>
  <c r="U83" i="707"/>
  <c r="B82" i="707"/>
  <c r="D75" i="707"/>
  <c r="M60" i="707"/>
  <c r="M59" i="707"/>
  <c r="M58" i="707"/>
  <c r="M55" i="707"/>
  <c r="L55" i="707"/>
  <c r="K55" i="707"/>
  <c r="M54" i="707"/>
  <c r="K53" i="707"/>
  <c r="AA50" i="707"/>
  <c r="Z50" i="707"/>
  <c r="Y50" i="707"/>
  <c r="X50" i="707"/>
  <c r="W50" i="707"/>
  <c r="V50" i="707"/>
  <c r="U50" i="707"/>
  <c r="T50" i="707"/>
  <c r="S50" i="707"/>
  <c r="AA49" i="707"/>
  <c r="Z49" i="707"/>
  <c r="Y49" i="707"/>
  <c r="X49" i="707"/>
  <c r="W49" i="707"/>
  <c r="V49" i="707"/>
  <c r="U49" i="707"/>
  <c r="T49" i="707"/>
  <c r="S49" i="707"/>
  <c r="AA48" i="707"/>
  <c r="Z48" i="707"/>
  <c r="Y48" i="707"/>
  <c r="X48" i="707"/>
  <c r="W48" i="707"/>
  <c r="V48" i="707"/>
  <c r="U48" i="707"/>
  <c r="T48" i="707"/>
  <c r="S48" i="707"/>
  <c r="AA47" i="707"/>
  <c r="Z47" i="707"/>
  <c r="Y47" i="707"/>
  <c r="X47" i="707"/>
  <c r="W47" i="707"/>
  <c r="V47" i="707"/>
  <c r="U47" i="707"/>
  <c r="T47" i="707"/>
  <c r="S47" i="707"/>
  <c r="AA46" i="707"/>
  <c r="Z46" i="707"/>
  <c r="Y46" i="707"/>
  <c r="X46" i="707"/>
  <c r="W46" i="707"/>
  <c r="V46" i="707"/>
  <c r="U46" i="707"/>
  <c r="T46" i="707"/>
  <c r="S46" i="707"/>
  <c r="AA45" i="707"/>
  <c r="Z45" i="707"/>
  <c r="Y45" i="707"/>
  <c r="X45" i="707"/>
  <c r="W45" i="707"/>
  <c r="V45" i="707"/>
  <c r="U45" i="707"/>
  <c r="T45" i="707"/>
  <c r="S45" i="707"/>
  <c r="AA44" i="707"/>
  <c r="Z44" i="707"/>
  <c r="Y44" i="707"/>
  <c r="X44" i="707"/>
  <c r="W44" i="707"/>
  <c r="V44" i="707"/>
  <c r="U44" i="707"/>
  <c r="T44" i="707"/>
  <c r="S44" i="707"/>
  <c r="AA43" i="707"/>
  <c r="Z43" i="707"/>
  <c r="Y43" i="707"/>
  <c r="X43" i="707"/>
  <c r="W43" i="707"/>
  <c r="V43" i="707"/>
  <c r="U43" i="707"/>
  <c r="T43" i="707"/>
  <c r="S43" i="707"/>
  <c r="AA42" i="707"/>
  <c r="Z42" i="707"/>
  <c r="Y42" i="707"/>
  <c r="X42" i="707"/>
  <c r="W42" i="707"/>
  <c r="V42" i="707"/>
  <c r="U42" i="707"/>
  <c r="T42" i="707"/>
  <c r="S42" i="707"/>
  <c r="AA41" i="707"/>
  <c r="Z41" i="707"/>
  <c r="Y41" i="707"/>
  <c r="X41" i="707"/>
  <c r="W41" i="707"/>
  <c r="V41" i="707"/>
  <c r="U41" i="707"/>
  <c r="T41" i="707"/>
  <c r="S41" i="707"/>
  <c r="AA40" i="707"/>
  <c r="Z40" i="707"/>
  <c r="Y40" i="707"/>
  <c r="X40" i="707"/>
  <c r="W40" i="707"/>
  <c r="V40" i="707"/>
  <c r="U40" i="707"/>
  <c r="T40" i="707"/>
  <c r="S40" i="707"/>
  <c r="AA39" i="707"/>
  <c r="Z39" i="707"/>
  <c r="Y39" i="707"/>
  <c r="X39" i="707"/>
  <c r="W39" i="707"/>
  <c r="V39" i="707"/>
  <c r="U39" i="707"/>
  <c r="T39" i="707"/>
  <c r="S39" i="707"/>
  <c r="AA38" i="707"/>
  <c r="Z38" i="707"/>
  <c r="Y38" i="707"/>
  <c r="X38" i="707"/>
  <c r="W38" i="707"/>
  <c r="V38" i="707"/>
  <c r="U38" i="707"/>
  <c r="T38" i="707"/>
  <c r="S38" i="707"/>
  <c r="AA37" i="707"/>
  <c r="Z37" i="707"/>
  <c r="Y37" i="707"/>
  <c r="X37" i="707"/>
  <c r="W37" i="707"/>
  <c r="V37" i="707"/>
  <c r="U37" i="707"/>
  <c r="T37" i="707"/>
  <c r="S37" i="707"/>
  <c r="AA36" i="707"/>
  <c r="Z36" i="707"/>
  <c r="Y36" i="707"/>
  <c r="X36" i="707"/>
  <c r="W36" i="707"/>
  <c r="V36" i="707"/>
  <c r="U36" i="707"/>
  <c r="T36" i="707"/>
  <c r="S36" i="707"/>
  <c r="AA35" i="707"/>
  <c r="Z35" i="707"/>
  <c r="Y35" i="707"/>
  <c r="X35" i="707"/>
  <c r="W35" i="707"/>
  <c r="V35" i="707"/>
  <c r="U35" i="707"/>
  <c r="T35" i="707"/>
  <c r="S35" i="707"/>
  <c r="AA34" i="707"/>
  <c r="Z34" i="707"/>
  <c r="Y34" i="707"/>
  <c r="X34" i="707"/>
  <c r="W34" i="707"/>
  <c r="V34" i="707"/>
  <c r="U34" i="707"/>
  <c r="T34" i="707"/>
  <c r="S34" i="707"/>
  <c r="AA33" i="707"/>
  <c r="Z33" i="707"/>
  <c r="Y33" i="707"/>
  <c r="X33" i="707"/>
  <c r="W33" i="707"/>
  <c r="V33" i="707"/>
  <c r="U33" i="707"/>
  <c r="T33" i="707"/>
  <c r="S33" i="707"/>
  <c r="AA32" i="707"/>
  <c r="Z32" i="707"/>
  <c r="Y32" i="707"/>
  <c r="X32" i="707"/>
  <c r="W32" i="707"/>
  <c r="V32" i="707"/>
  <c r="U32" i="707"/>
  <c r="T32" i="707"/>
  <c r="S32" i="707"/>
  <c r="AA31" i="707"/>
  <c r="Z31" i="707"/>
  <c r="Y31" i="707"/>
  <c r="X31" i="707"/>
  <c r="W31" i="707"/>
  <c r="V31" i="707"/>
  <c r="U31" i="707"/>
  <c r="T31" i="707"/>
  <c r="S31" i="707"/>
  <c r="AA30" i="707"/>
  <c r="Z30" i="707"/>
  <c r="Y30" i="707"/>
  <c r="X30" i="707"/>
  <c r="W30" i="707"/>
  <c r="V30" i="707"/>
  <c r="U30" i="707"/>
  <c r="T30" i="707"/>
  <c r="S30" i="707"/>
  <c r="AA29" i="707"/>
  <c r="Z29" i="707"/>
  <c r="Y29" i="707"/>
  <c r="X29" i="707"/>
  <c r="W29" i="707"/>
  <c r="V29" i="707"/>
  <c r="U29" i="707"/>
  <c r="T29" i="707"/>
  <c r="S29" i="707"/>
  <c r="AA28" i="707"/>
  <c r="Z28" i="707"/>
  <c r="Y28" i="707"/>
  <c r="X28" i="707"/>
  <c r="W28" i="707"/>
  <c r="V28" i="707"/>
  <c r="U28" i="707"/>
  <c r="T28" i="707"/>
  <c r="S28" i="707"/>
  <c r="AA27" i="707"/>
  <c r="Z27" i="707"/>
  <c r="Y27" i="707"/>
  <c r="X27" i="707"/>
  <c r="W27" i="707"/>
  <c r="V27" i="707"/>
  <c r="U27" i="707"/>
  <c r="T27" i="707"/>
  <c r="S27" i="707"/>
  <c r="AA26" i="707"/>
  <c r="Z26" i="707"/>
  <c r="Y26" i="707"/>
  <c r="X26" i="707"/>
  <c r="W26" i="707"/>
  <c r="V26" i="707"/>
  <c r="U26" i="707"/>
  <c r="T26" i="707"/>
  <c r="S26" i="707"/>
  <c r="AA25" i="707"/>
  <c r="Z25" i="707"/>
  <c r="Y25" i="707"/>
  <c r="X25" i="707"/>
  <c r="W25" i="707"/>
  <c r="V25" i="707"/>
  <c r="U25" i="707"/>
  <c r="T25" i="707"/>
  <c r="S25" i="707"/>
  <c r="AA24" i="707"/>
  <c r="Z24" i="707"/>
  <c r="Y24" i="707"/>
  <c r="X24" i="707"/>
  <c r="W24" i="707"/>
  <c r="V24" i="707"/>
  <c r="U24" i="707"/>
  <c r="T24" i="707"/>
  <c r="S24" i="707"/>
  <c r="AA23" i="707"/>
  <c r="Z23" i="707"/>
  <c r="Y23" i="707"/>
  <c r="X23" i="707"/>
  <c r="W23" i="707"/>
  <c r="V23" i="707"/>
  <c r="U23" i="707"/>
  <c r="T23" i="707"/>
  <c r="S23" i="707"/>
  <c r="AA22" i="707"/>
  <c r="Z22" i="707"/>
  <c r="Y22" i="707"/>
  <c r="X22" i="707"/>
  <c r="W22" i="707"/>
  <c r="V22" i="707"/>
  <c r="U22" i="707"/>
  <c r="T22" i="707"/>
  <c r="S22" i="707"/>
  <c r="AA21" i="707"/>
  <c r="Z21" i="707"/>
  <c r="Y21" i="707"/>
  <c r="X21" i="707"/>
  <c r="W21" i="707"/>
  <c r="V21" i="707"/>
  <c r="U21" i="707"/>
  <c r="T21" i="707"/>
  <c r="S21" i="707"/>
  <c r="AA20" i="707"/>
  <c r="Z20" i="707"/>
  <c r="Y20" i="707"/>
  <c r="X20" i="707"/>
  <c r="W20" i="707"/>
  <c r="V20" i="707"/>
  <c r="U20" i="707"/>
  <c r="T20" i="707"/>
  <c r="S20" i="707"/>
  <c r="AA19" i="707"/>
  <c r="Z19" i="707"/>
  <c r="Y19" i="707"/>
  <c r="X19" i="707"/>
  <c r="W19" i="707"/>
  <c r="V19" i="707"/>
  <c r="U19" i="707"/>
  <c r="T19" i="707"/>
  <c r="S19" i="707"/>
  <c r="AA18" i="707"/>
  <c r="Z18" i="707"/>
  <c r="Y18" i="707"/>
  <c r="X18" i="707"/>
  <c r="W18" i="707"/>
  <c r="V18" i="707"/>
  <c r="U18" i="707"/>
  <c r="T18" i="707"/>
  <c r="S18" i="707"/>
  <c r="AA17" i="707"/>
  <c r="Z17" i="707"/>
  <c r="Y17" i="707"/>
  <c r="X17" i="707"/>
  <c r="W17" i="707"/>
  <c r="V17" i="707"/>
  <c r="U17" i="707"/>
  <c r="T17" i="707"/>
  <c r="S17" i="707"/>
  <c r="AA16" i="707"/>
  <c r="Z16" i="707"/>
  <c r="Y16" i="707"/>
  <c r="X16" i="707"/>
  <c r="W16" i="707"/>
  <c r="V16" i="707"/>
  <c r="U16" i="707"/>
  <c r="T16" i="707"/>
  <c r="S16" i="707"/>
  <c r="AA15" i="707"/>
  <c r="Z15" i="707"/>
  <c r="Y15" i="707"/>
  <c r="X15" i="707"/>
  <c r="W15" i="707"/>
  <c r="V15" i="707"/>
  <c r="U15" i="707"/>
  <c r="T15" i="707"/>
  <c r="S15" i="707"/>
  <c r="AA14" i="707"/>
  <c r="Z14" i="707"/>
  <c r="Y14" i="707"/>
  <c r="X14" i="707"/>
  <c r="W14" i="707"/>
  <c r="V14" i="707"/>
  <c r="U14" i="707"/>
  <c r="T14" i="707"/>
  <c r="S14" i="707"/>
  <c r="AA13" i="707"/>
  <c r="Z13" i="707"/>
  <c r="Y13" i="707"/>
  <c r="X13" i="707"/>
  <c r="W13" i="707"/>
  <c r="V13" i="707"/>
  <c r="U13" i="707"/>
  <c r="T13" i="707"/>
  <c r="S13" i="707"/>
  <c r="AA12" i="707"/>
  <c r="Z12" i="707"/>
  <c r="Y12" i="707"/>
  <c r="X12" i="707"/>
  <c r="W12" i="707"/>
  <c r="V12" i="707"/>
  <c r="U12" i="707"/>
  <c r="T12" i="707"/>
  <c r="S12" i="707"/>
  <c r="AA11" i="707"/>
  <c r="Z11" i="707"/>
  <c r="Y11" i="707"/>
  <c r="X11" i="707"/>
  <c r="W11" i="707"/>
  <c r="V11" i="707"/>
  <c r="U11" i="707"/>
  <c r="T11" i="707"/>
  <c r="S11" i="707"/>
  <c r="AA10" i="707"/>
  <c r="Z10" i="707"/>
  <c r="Y10" i="707"/>
  <c r="X10" i="707"/>
  <c r="W10" i="707"/>
  <c r="V10" i="707"/>
  <c r="U10" i="707"/>
  <c r="T10" i="707"/>
  <c r="S10" i="707"/>
  <c r="J63" i="18"/>
  <c r="J61" i="18"/>
  <c r="J60" i="18"/>
  <c r="J59" i="18"/>
  <c r="G63" i="18"/>
  <c r="G61" i="18"/>
  <c r="G60" i="18"/>
  <c r="D63" i="18"/>
  <c r="D61" i="18"/>
  <c r="D60" i="18"/>
  <c r="G86" i="706"/>
  <c r="G84" i="706"/>
  <c r="B86" i="706"/>
  <c r="B84" i="706"/>
  <c r="M55" i="706"/>
  <c r="L55" i="706"/>
  <c r="K57" i="706"/>
  <c r="E14" i="706"/>
  <c r="E15" i="706"/>
  <c r="E16" i="706"/>
  <c r="E17" i="706"/>
  <c r="E18" i="706"/>
  <c r="E13" i="706"/>
  <c r="D14" i="706"/>
  <c r="D15" i="706"/>
  <c r="D16" i="706"/>
  <c r="D17" i="706"/>
  <c r="D18" i="706"/>
  <c r="D13" i="706"/>
  <c r="G14" i="706"/>
  <c r="G15" i="706"/>
  <c r="G16" i="706"/>
  <c r="G17" i="706"/>
  <c r="G18" i="706"/>
  <c r="G13" i="706"/>
  <c r="F14" i="706"/>
  <c r="F15" i="706"/>
  <c r="F16" i="706"/>
  <c r="F17" i="706"/>
  <c r="F18" i="706"/>
  <c r="F13" i="706"/>
  <c r="K55" i="706"/>
  <c r="N14" i="706"/>
  <c r="N15" i="706"/>
  <c r="N16" i="706"/>
  <c r="N17" i="706"/>
  <c r="N13" i="706"/>
  <c r="M14" i="706"/>
  <c r="M15" i="706"/>
  <c r="M16" i="706"/>
  <c r="M17" i="706"/>
  <c r="M18" i="706"/>
  <c r="M13" i="706"/>
  <c r="O14" i="706"/>
  <c r="O15" i="706"/>
  <c r="O16" i="706"/>
  <c r="O17" i="706"/>
  <c r="O18" i="706"/>
  <c r="O13" i="706"/>
  <c r="L14" i="706"/>
  <c r="L15" i="706"/>
  <c r="L16" i="706"/>
  <c r="L17" i="706"/>
  <c r="L18" i="706"/>
  <c r="I15" i="706"/>
  <c r="J15" i="706"/>
  <c r="I16" i="706"/>
  <c r="J16" i="706"/>
  <c r="I17" i="706"/>
  <c r="J17" i="706"/>
  <c r="I18" i="706"/>
  <c r="J18" i="706"/>
  <c r="L13" i="706"/>
  <c r="C14" i="706"/>
  <c r="C15" i="706"/>
  <c r="C16" i="706"/>
  <c r="C17" i="706"/>
  <c r="C18" i="706"/>
  <c r="C13" i="706"/>
  <c r="K67" i="707" l="1"/>
  <c r="J53" i="707"/>
  <c r="K67" i="708"/>
  <c r="K77" i="708" s="1"/>
  <c r="J53" i="708"/>
  <c r="K63" i="708"/>
  <c r="K63" i="707"/>
  <c r="L63" i="707" s="1"/>
  <c r="M63" i="707" s="1"/>
  <c r="K71" i="706"/>
  <c r="K92" i="707"/>
  <c r="I14" i="706"/>
  <c r="K77" i="707" l="1"/>
  <c r="C11" i="706"/>
  <c r="D11" i="706"/>
  <c r="E11" i="706"/>
  <c r="F11" i="706"/>
  <c r="G11" i="706"/>
  <c r="I11" i="706"/>
  <c r="J11" i="706"/>
  <c r="L11" i="706"/>
  <c r="M11" i="706"/>
  <c r="N11" i="706"/>
  <c r="O11" i="706"/>
  <c r="O10" i="706"/>
  <c r="N10" i="706"/>
  <c r="M10" i="706"/>
  <c r="L10" i="706"/>
  <c r="J10" i="706"/>
  <c r="I10" i="706"/>
  <c r="G10" i="706"/>
  <c r="F10" i="706"/>
  <c r="E10" i="706"/>
  <c r="D10" i="706"/>
  <c r="C10" i="706"/>
  <c r="K69" i="706" l="1"/>
  <c r="L70" i="706" s="1"/>
  <c r="M70" i="706" s="1"/>
  <c r="J55" i="706"/>
  <c r="F99" i="706"/>
  <c r="AY85" i="706"/>
  <c r="AX85" i="706"/>
  <c r="AW85" i="706"/>
  <c r="AV85" i="706"/>
  <c r="AU85" i="706"/>
  <c r="AT85" i="706"/>
  <c r="AS85" i="706"/>
  <c r="AR85" i="706"/>
  <c r="AQ85" i="706"/>
  <c r="AP85" i="706"/>
  <c r="AO85" i="706"/>
  <c r="AN85" i="706"/>
  <c r="AM85" i="706"/>
  <c r="AL85" i="706"/>
  <c r="AK85" i="706"/>
  <c r="AJ85" i="706"/>
  <c r="AI85" i="706"/>
  <c r="AH85" i="706"/>
  <c r="AG85" i="706"/>
  <c r="AF85" i="706"/>
  <c r="AE85" i="706"/>
  <c r="AD85" i="706"/>
  <c r="AC85" i="706"/>
  <c r="AB85" i="706"/>
  <c r="AA85" i="706"/>
  <c r="Z85" i="706"/>
  <c r="Y85" i="706"/>
  <c r="X85" i="706"/>
  <c r="W85" i="706"/>
  <c r="V85" i="706"/>
  <c r="U85" i="706"/>
  <c r="D77" i="706"/>
  <c r="M62" i="706"/>
  <c r="M61" i="706"/>
  <c r="M60" i="706"/>
  <c r="M56" i="706"/>
  <c r="AA52" i="706"/>
  <c r="Z52" i="706"/>
  <c r="Y52" i="706"/>
  <c r="X52" i="706"/>
  <c r="W52" i="706"/>
  <c r="V52" i="706"/>
  <c r="U52" i="706"/>
  <c r="T52" i="706"/>
  <c r="S52" i="706"/>
  <c r="AA51" i="706"/>
  <c r="Z51" i="706"/>
  <c r="Y51" i="706"/>
  <c r="X51" i="706"/>
  <c r="W51" i="706"/>
  <c r="V51" i="706"/>
  <c r="U51" i="706"/>
  <c r="T51" i="706"/>
  <c r="S51" i="706"/>
  <c r="AA50" i="706"/>
  <c r="Z50" i="706"/>
  <c r="Y50" i="706"/>
  <c r="X50" i="706"/>
  <c r="W50" i="706"/>
  <c r="V50" i="706"/>
  <c r="U50" i="706"/>
  <c r="T50" i="706"/>
  <c r="S50" i="706"/>
  <c r="AA49" i="706"/>
  <c r="Z49" i="706"/>
  <c r="Y49" i="706"/>
  <c r="X49" i="706"/>
  <c r="W49" i="706"/>
  <c r="V49" i="706"/>
  <c r="U49" i="706"/>
  <c r="T49" i="706"/>
  <c r="S49" i="706"/>
  <c r="AA48" i="706"/>
  <c r="Z48" i="706"/>
  <c r="Y48" i="706"/>
  <c r="X48" i="706"/>
  <c r="W48" i="706"/>
  <c r="V48" i="706"/>
  <c r="U48" i="706"/>
  <c r="T48" i="706"/>
  <c r="S48" i="706"/>
  <c r="AA47" i="706"/>
  <c r="Z47" i="706"/>
  <c r="Y47" i="706"/>
  <c r="X47" i="706"/>
  <c r="W47" i="706"/>
  <c r="V47" i="706"/>
  <c r="U47" i="706"/>
  <c r="T47" i="706"/>
  <c r="S47" i="706"/>
  <c r="AA46" i="706"/>
  <c r="Z46" i="706"/>
  <c r="Y46" i="706"/>
  <c r="X46" i="706"/>
  <c r="W46" i="706"/>
  <c r="V46" i="706"/>
  <c r="U46" i="706"/>
  <c r="T46" i="706"/>
  <c r="S46" i="706"/>
  <c r="AA45" i="706"/>
  <c r="Z45" i="706"/>
  <c r="Y45" i="706"/>
  <c r="X45" i="706"/>
  <c r="W45" i="706"/>
  <c r="V45" i="706"/>
  <c r="U45" i="706"/>
  <c r="T45" i="706"/>
  <c r="S45" i="706"/>
  <c r="AA44" i="706"/>
  <c r="Z44" i="706"/>
  <c r="Y44" i="706"/>
  <c r="X44" i="706"/>
  <c r="W44" i="706"/>
  <c r="V44" i="706"/>
  <c r="U44" i="706"/>
  <c r="T44" i="706"/>
  <c r="S44" i="706"/>
  <c r="AA43" i="706"/>
  <c r="Z43" i="706"/>
  <c r="Y43" i="706"/>
  <c r="X43" i="706"/>
  <c r="W43" i="706"/>
  <c r="V43" i="706"/>
  <c r="U43" i="706"/>
  <c r="T43" i="706"/>
  <c r="S43" i="706"/>
  <c r="AA42" i="706"/>
  <c r="Z42" i="706"/>
  <c r="Y42" i="706"/>
  <c r="X42" i="706"/>
  <c r="W42" i="706"/>
  <c r="V42" i="706"/>
  <c r="U42" i="706"/>
  <c r="T42" i="706"/>
  <c r="S42" i="706"/>
  <c r="AA41" i="706"/>
  <c r="Z41" i="706"/>
  <c r="Y41" i="706"/>
  <c r="X41" i="706"/>
  <c r="W41" i="706"/>
  <c r="V41" i="706"/>
  <c r="U41" i="706"/>
  <c r="T41" i="706"/>
  <c r="S41" i="706"/>
  <c r="AA40" i="706"/>
  <c r="Z40" i="706"/>
  <c r="Y40" i="706"/>
  <c r="X40" i="706"/>
  <c r="W40" i="706"/>
  <c r="V40" i="706"/>
  <c r="U40" i="706"/>
  <c r="T40" i="706"/>
  <c r="S40" i="706"/>
  <c r="AA39" i="706"/>
  <c r="Z39" i="706"/>
  <c r="Y39" i="706"/>
  <c r="X39" i="706"/>
  <c r="W39" i="706"/>
  <c r="V39" i="706"/>
  <c r="U39" i="706"/>
  <c r="T39" i="706"/>
  <c r="S39" i="706"/>
  <c r="AA38" i="706"/>
  <c r="Z38" i="706"/>
  <c r="Y38" i="706"/>
  <c r="X38" i="706"/>
  <c r="W38" i="706"/>
  <c r="V38" i="706"/>
  <c r="U38" i="706"/>
  <c r="T38" i="706"/>
  <c r="S38" i="706"/>
  <c r="AA37" i="706"/>
  <c r="Z37" i="706"/>
  <c r="Y37" i="706"/>
  <c r="X37" i="706"/>
  <c r="W37" i="706"/>
  <c r="V37" i="706"/>
  <c r="U37" i="706"/>
  <c r="T37" i="706"/>
  <c r="S37" i="706"/>
  <c r="AA36" i="706"/>
  <c r="Z36" i="706"/>
  <c r="Y36" i="706"/>
  <c r="X36" i="706"/>
  <c r="W36" i="706"/>
  <c r="V36" i="706"/>
  <c r="U36" i="706"/>
  <c r="T36" i="706"/>
  <c r="S36" i="706"/>
  <c r="AA35" i="706"/>
  <c r="Z35" i="706"/>
  <c r="Y35" i="706"/>
  <c r="X35" i="706"/>
  <c r="W35" i="706"/>
  <c r="V35" i="706"/>
  <c r="U35" i="706"/>
  <c r="T35" i="706"/>
  <c r="S35" i="706"/>
  <c r="AA34" i="706"/>
  <c r="Z34" i="706"/>
  <c r="Y34" i="706"/>
  <c r="X34" i="706"/>
  <c r="W34" i="706"/>
  <c r="V34" i="706"/>
  <c r="U34" i="706"/>
  <c r="T34" i="706"/>
  <c r="S34" i="706"/>
  <c r="AA33" i="706"/>
  <c r="Z33" i="706"/>
  <c r="Y33" i="706"/>
  <c r="X33" i="706"/>
  <c r="W33" i="706"/>
  <c r="V33" i="706"/>
  <c r="U33" i="706"/>
  <c r="T33" i="706"/>
  <c r="S33" i="706"/>
  <c r="AA32" i="706"/>
  <c r="Z32" i="706"/>
  <c r="Y32" i="706"/>
  <c r="X32" i="706"/>
  <c r="W32" i="706"/>
  <c r="V32" i="706"/>
  <c r="U32" i="706"/>
  <c r="T32" i="706"/>
  <c r="S32" i="706"/>
  <c r="AA31" i="706"/>
  <c r="Z31" i="706"/>
  <c r="Y31" i="706"/>
  <c r="X31" i="706"/>
  <c r="W31" i="706"/>
  <c r="V31" i="706"/>
  <c r="U31" i="706"/>
  <c r="T31" i="706"/>
  <c r="S31" i="706"/>
  <c r="AA30" i="706"/>
  <c r="Z30" i="706"/>
  <c r="Y30" i="706"/>
  <c r="X30" i="706"/>
  <c r="W30" i="706"/>
  <c r="V30" i="706"/>
  <c r="U30" i="706"/>
  <c r="T30" i="706"/>
  <c r="S30" i="706"/>
  <c r="AA29" i="706"/>
  <c r="Z29" i="706"/>
  <c r="Y29" i="706"/>
  <c r="X29" i="706"/>
  <c r="W29" i="706"/>
  <c r="V29" i="706"/>
  <c r="U29" i="706"/>
  <c r="T29" i="706"/>
  <c r="S29" i="706"/>
  <c r="AA28" i="706"/>
  <c r="Z28" i="706"/>
  <c r="Y28" i="706"/>
  <c r="X28" i="706"/>
  <c r="W28" i="706"/>
  <c r="V28" i="706"/>
  <c r="U28" i="706"/>
  <c r="T28" i="706"/>
  <c r="S28" i="706"/>
  <c r="AA27" i="706"/>
  <c r="Z27" i="706"/>
  <c r="Y27" i="706"/>
  <c r="X27" i="706"/>
  <c r="W27" i="706"/>
  <c r="V27" i="706"/>
  <c r="U27" i="706"/>
  <c r="T27" i="706"/>
  <c r="S27" i="706"/>
  <c r="AA26" i="706"/>
  <c r="Z26" i="706"/>
  <c r="Y26" i="706"/>
  <c r="X26" i="706"/>
  <c r="W26" i="706"/>
  <c r="V26" i="706"/>
  <c r="U26" i="706"/>
  <c r="T26" i="706"/>
  <c r="S26" i="706"/>
  <c r="AA25" i="706"/>
  <c r="Z25" i="706"/>
  <c r="Y25" i="706"/>
  <c r="X25" i="706"/>
  <c r="W25" i="706"/>
  <c r="V25" i="706"/>
  <c r="U25" i="706"/>
  <c r="T25" i="706"/>
  <c r="S25" i="706"/>
  <c r="AA24" i="706"/>
  <c r="Z24" i="706"/>
  <c r="Y24" i="706"/>
  <c r="X24" i="706"/>
  <c r="W24" i="706"/>
  <c r="V24" i="706"/>
  <c r="U24" i="706"/>
  <c r="T24" i="706"/>
  <c r="S24" i="706"/>
  <c r="AA23" i="706"/>
  <c r="Z23" i="706"/>
  <c r="Y23" i="706"/>
  <c r="X23" i="706"/>
  <c r="W23" i="706"/>
  <c r="V23" i="706"/>
  <c r="U23" i="706"/>
  <c r="T23" i="706"/>
  <c r="S23" i="706"/>
  <c r="AA22" i="706"/>
  <c r="Z22" i="706"/>
  <c r="Y22" i="706"/>
  <c r="X22" i="706"/>
  <c r="W22" i="706"/>
  <c r="V22" i="706"/>
  <c r="U22" i="706"/>
  <c r="T22" i="706"/>
  <c r="S22" i="706"/>
  <c r="AA21" i="706"/>
  <c r="Z21" i="706"/>
  <c r="Y21" i="706"/>
  <c r="X21" i="706"/>
  <c r="W21" i="706"/>
  <c r="V21" i="706"/>
  <c r="U21" i="706"/>
  <c r="T21" i="706"/>
  <c r="S21" i="706"/>
  <c r="AA20" i="706"/>
  <c r="Z20" i="706"/>
  <c r="Y20" i="706"/>
  <c r="X20" i="706"/>
  <c r="W20" i="706"/>
  <c r="V20" i="706"/>
  <c r="U20" i="706"/>
  <c r="T20" i="706"/>
  <c r="S20" i="706"/>
  <c r="AA19" i="706"/>
  <c r="Z19" i="706"/>
  <c r="Y19" i="706"/>
  <c r="X19" i="706"/>
  <c r="W19" i="706"/>
  <c r="V19" i="706"/>
  <c r="U19" i="706"/>
  <c r="T19" i="706"/>
  <c r="S19" i="706"/>
  <c r="AA18" i="706"/>
  <c r="Z18" i="706"/>
  <c r="Y18" i="706"/>
  <c r="X18" i="706"/>
  <c r="W18" i="706"/>
  <c r="V18" i="706"/>
  <c r="U18" i="706"/>
  <c r="T18" i="706"/>
  <c r="S18" i="706"/>
  <c r="AA17" i="706"/>
  <c r="Z17" i="706"/>
  <c r="Y17" i="706"/>
  <c r="X17" i="706"/>
  <c r="W17" i="706"/>
  <c r="V17" i="706"/>
  <c r="U17" i="706"/>
  <c r="T17" i="706"/>
  <c r="S17" i="706"/>
  <c r="AA16" i="706"/>
  <c r="Z16" i="706"/>
  <c r="Y16" i="706"/>
  <c r="X16" i="706"/>
  <c r="W16" i="706"/>
  <c r="V16" i="706"/>
  <c r="U16" i="706"/>
  <c r="T16" i="706"/>
  <c r="S16" i="706"/>
  <c r="AA15" i="706"/>
  <c r="Z15" i="706"/>
  <c r="Y15" i="706"/>
  <c r="X15" i="706"/>
  <c r="W15" i="706"/>
  <c r="V15" i="706"/>
  <c r="U15" i="706"/>
  <c r="T15" i="706"/>
  <c r="S15" i="706"/>
  <c r="AA14" i="706"/>
  <c r="Z14" i="706"/>
  <c r="Y14" i="706"/>
  <c r="X14" i="706"/>
  <c r="W14" i="706"/>
  <c r="V14" i="706"/>
  <c r="U14" i="706"/>
  <c r="T14" i="706"/>
  <c r="S14" i="706"/>
  <c r="AA13" i="706"/>
  <c r="Z13" i="706"/>
  <c r="Y13" i="706"/>
  <c r="X13" i="706"/>
  <c r="W13" i="706"/>
  <c r="V13" i="706"/>
  <c r="U13" i="706"/>
  <c r="T13" i="706"/>
  <c r="S13" i="706"/>
  <c r="AA12" i="706"/>
  <c r="Z12" i="706"/>
  <c r="Y12" i="706"/>
  <c r="X12" i="706"/>
  <c r="W12" i="706"/>
  <c r="V12" i="706"/>
  <c r="U12" i="706"/>
  <c r="T12" i="706"/>
  <c r="S12" i="706"/>
  <c r="AA11" i="706"/>
  <c r="Z11" i="706"/>
  <c r="Y11" i="706"/>
  <c r="X11" i="706"/>
  <c r="W11" i="706"/>
  <c r="V11" i="706"/>
  <c r="U11" i="706"/>
  <c r="T11" i="706"/>
  <c r="S11" i="706"/>
  <c r="AA10" i="706"/>
  <c r="Z10" i="706"/>
  <c r="Y10" i="706"/>
  <c r="X10" i="706"/>
  <c r="W10" i="706"/>
  <c r="V10" i="706"/>
  <c r="U10" i="706"/>
  <c r="T10" i="706"/>
  <c r="S10" i="706"/>
  <c r="K79" i="706" l="1"/>
  <c r="K65" i="706"/>
  <c r="L68" i="707" l="1"/>
  <c r="M68" i="707" s="1"/>
  <c r="L68" i="708"/>
  <c r="M68" i="708" s="1"/>
  <c r="F94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4" i="658"/>
  <c r="L65" i="658" s="1"/>
  <c r="M65" i="658" s="1"/>
  <c r="D72" i="658"/>
  <c r="M58" i="658"/>
  <c r="M57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L38" i="718" l="1"/>
  <c r="M38" i="718" s="1"/>
  <c r="L66" i="709"/>
  <c r="M66" i="709" s="1"/>
  <c r="L60" i="710"/>
  <c r="M60" i="710" s="1"/>
  <c r="L60" i="714"/>
  <c r="M60" i="714" s="1"/>
  <c r="L38" i="715"/>
  <c r="M38" i="715" s="1"/>
  <c r="L38" i="716"/>
  <c r="M38" i="716" s="1"/>
  <c r="L38" i="717"/>
  <c r="L40" i="726" s="1"/>
  <c r="L59" i="711"/>
  <c r="M59" i="711" s="1"/>
  <c r="L61" i="713"/>
  <c r="M61" i="713" s="1"/>
  <c r="K59" i="658"/>
  <c r="M40" i="726" l="1"/>
  <c r="L38" i="725"/>
  <c r="M38" i="725" s="1"/>
  <c r="M38" i="717"/>
  <c r="L40" i="724"/>
  <c r="M40" i="724" s="1"/>
  <c r="L36" i="720"/>
  <c r="M36" i="720" s="1"/>
  <c r="L39" i="723"/>
  <c r="M39" i="723" s="1"/>
  <c r="L34" i="721"/>
  <c r="M34" i="721" s="1"/>
  <c r="L38" i="722"/>
  <c r="M38" i="722" s="1"/>
  <c r="L40" i="719"/>
  <c r="M40" i="719" s="1"/>
  <c r="H40" i="21"/>
  <c r="H41" i="21"/>
  <c r="H44" i="21"/>
  <c r="D40" i="21" l="1"/>
  <c r="D41" i="21"/>
  <c r="D44" i="21"/>
  <c r="D45" i="21"/>
  <c r="D47" i="21"/>
  <c r="N47" i="21" l="1"/>
  <c r="F38" i="21" l="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C33" i="18" l="1"/>
  <c r="I20" i="18"/>
  <c r="C33" i="19"/>
  <c r="D40" i="19"/>
  <c r="I20" i="19"/>
  <c r="D40" i="18"/>
  <c r="O47" i="21" l="1"/>
  <c r="E44" i="21" l="1"/>
  <c r="E41" i="21" l="1"/>
  <c r="E40" i="21"/>
  <c r="E47" i="21" l="1"/>
  <c r="F47" i="21" l="1"/>
  <c r="G47" i="21" l="1"/>
  <c r="H47" i="21" l="1"/>
  <c r="E7" i="21" l="1"/>
  <c r="P42" i="21"/>
  <c r="F7" i="21" s="1"/>
  <c r="E6" i="21" l="1"/>
  <c r="E9" i="21" l="1"/>
  <c r="E8" i="21"/>
  <c r="E5" i="21"/>
  <c r="I47" i="21"/>
  <c r="E10" i="21" l="1"/>
  <c r="J47" i="21" l="1"/>
  <c r="P45" i="21" l="1"/>
  <c r="F9" i="21" s="1"/>
  <c r="K47" i="21" l="1"/>
  <c r="L47" i="21" l="1"/>
  <c r="P40" i="21" l="1"/>
  <c r="F5" i="21" s="1"/>
  <c r="P44" i="21" l="1"/>
  <c r="F8" i="21" s="1"/>
  <c r="P41" i="21"/>
  <c r="F6" i="21" s="1"/>
  <c r="M47" i="21" l="1"/>
  <c r="P47" i="21" s="1"/>
  <c r="F10" i="21" s="1"/>
  <c r="L56" i="658" l="1"/>
  <c r="L59" i="658" s="1"/>
  <c r="M59" i="658" s="1"/>
  <c r="M56" i="658"/>
  <c r="G79" i="658" l="1"/>
  <c r="K79" i="658" l="1"/>
  <c r="K90" i="658" s="1"/>
  <c r="D79" i="658" l="1"/>
  <c r="L79" i="658" s="1"/>
  <c r="C90" i="658" s="1"/>
  <c r="G90" i="658"/>
  <c r="N18" i="706" l="1"/>
  <c r="J14" i="706" l="1"/>
  <c r="J13" i="706"/>
  <c r="M57" i="706" l="1"/>
  <c r="I13" i="706"/>
  <c r="J57" i="706" s="1"/>
  <c r="L57" i="706"/>
  <c r="L65" i="706" s="1"/>
  <c r="M65" i="706" s="1"/>
  <c r="J62" i="18" l="1"/>
  <c r="K86" i="706" l="1"/>
  <c r="K95" i="706" s="1"/>
  <c r="K84" i="706"/>
  <c r="K94" i="706" s="1"/>
  <c r="J57" i="18" l="1"/>
  <c r="K11" i="708" l="1"/>
  <c r="K12" i="708"/>
  <c r="K12" i="707"/>
  <c r="J15" i="708" l="1"/>
  <c r="L63" i="708" l="1"/>
  <c r="M63" i="708" s="1"/>
  <c r="I15" i="708"/>
  <c r="J54" i="708" s="1"/>
  <c r="K10" i="706" l="1"/>
  <c r="K11" i="706"/>
  <c r="K10" i="707"/>
  <c r="K11" i="707"/>
  <c r="K13" i="707"/>
  <c r="K14" i="707"/>
  <c r="K10" i="708"/>
  <c r="G99" i="708" l="1"/>
  <c r="J11" i="709" l="1"/>
  <c r="J12" i="709" l="1"/>
  <c r="I12" i="709"/>
  <c r="I11" i="709"/>
  <c r="J52" i="709" l="1"/>
  <c r="K85" i="708"/>
  <c r="K93" i="708" s="1"/>
  <c r="J58" i="18" l="1"/>
  <c r="J58" i="19" l="1"/>
  <c r="K10" i="711" l="1"/>
  <c r="K11" i="711"/>
  <c r="K12" i="711"/>
  <c r="K13" i="711"/>
  <c r="K14" i="711"/>
  <c r="K15" i="711"/>
  <c r="F84" i="706" l="1"/>
  <c r="D63" i="19"/>
  <c r="D60" i="19"/>
  <c r="D61" i="19"/>
  <c r="G91" i="708" l="1"/>
  <c r="D83" i="708"/>
  <c r="L83" i="708" s="1"/>
  <c r="C91" i="708" s="1"/>
  <c r="F74" i="710"/>
  <c r="I74" i="710" s="1"/>
  <c r="I84" i="706"/>
  <c r="D84" i="706" l="1"/>
  <c r="G92" i="707"/>
  <c r="D82" i="707"/>
  <c r="L82" i="707" s="1"/>
  <c r="C92" i="707" s="1"/>
  <c r="G83" i="711"/>
  <c r="D73" i="711"/>
  <c r="L73" i="711" s="1"/>
  <c r="C83" i="711" s="1"/>
  <c r="G84" i="710"/>
  <c r="D74" i="710"/>
  <c r="D56" i="18"/>
  <c r="L84" i="706" l="1"/>
  <c r="C94" i="706" s="1"/>
  <c r="H84" i="706"/>
  <c r="G94" i="706"/>
  <c r="L74" i="710"/>
  <c r="C84" i="710" s="1"/>
  <c r="H74" i="710"/>
  <c r="D56" i="19"/>
  <c r="N14" i="708" l="1"/>
  <c r="N15" i="708"/>
  <c r="N16" i="708"/>
  <c r="N17" i="708"/>
  <c r="N18" i="708"/>
  <c r="N10" i="709"/>
  <c r="N11" i="709"/>
  <c r="N10" i="715"/>
  <c r="C56" i="711" a="1"/>
  <c r="C56" i="711" s="1"/>
  <c r="C57" i="710" l="1" a="1"/>
  <c r="C57" i="710" s="1"/>
  <c r="C63" i="709" a="1"/>
  <c r="C63" i="709" s="1"/>
  <c r="C58" i="713" a="1"/>
  <c r="C58" i="713" s="1"/>
  <c r="C67" i="706" a="1"/>
  <c r="C67" i="706" s="1"/>
  <c r="N12" i="709"/>
  <c r="M26" i="715" l="1"/>
  <c r="M48" i="714"/>
  <c r="M49" i="713"/>
  <c r="M47" i="711"/>
  <c r="M48" i="710"/>
  <c r="M54" i="709"/>
  <c r="M56" i="708"/>
  <c r="M56" i="707"/>
  <c r="M58" i="706"/>
  <c r="J12" i="719"/>
  <c r="N10" i="719"/>
  <c r="I11" i="719"/>
  <c r="N11" i="719"/>
  <c r="N12" i="719"/>
  <c r="I13" i="719"/>
  <c r="N13" i="719"/>
  <c r="J10" i="719"/>
  <c r="I10" i="719"/>
  <c r="I12" i="719"/>
  <c r="J26" i="719" l="1"/>
  <c r="J11" i="719"/>
  <c r="J13" i="719"/>
  <c r="N16" i="720"/>
  <c r="J16" i="720" l="1"/>
  <c r="I16" i="720" l="1"/>
  <c r="J22" i="720" s="1"/>
  <c r="K12" i="721"/>
  <c r="J13" i="720" l="1"/>
  <c r="I13" i="720"/>
  <c r="J21" i="720" s="1"/>
  <c r="K12" i="717" l="1"/>
  <c r="K17" i="706"/>
  <c r="K13" i="706"/>
  <c r="K14" i="706"/>
  <c r="K15" i="706"/>
  <c r="K16" i="706"/>
  <c r="K18" i="706"/>
  <c r="K14" i="716"/>
  <c r="K15" i="716"/>
  <c r="K16" i="716"/>
  <c r="K17" i="716"/>
  <c r="K18" i="716"/>
  <c r="K10" i="717"/>
  <c r="K11" i="717"/>
  <c r="J17" i="722" l="1"/>
  <c r="I15" i="722"/>
  <c r="I16" i="722"/>
  <c r="J16" i="722"/>
  <c r="J15" i="722"/>
  <c r="I17" i="722" l="1"/>
  <c r="J23" i="722" s="1"/>
  <c r="J56" i="19" l="1"/>
  <c r="J56" i="18"/>
  <c r="J65" i="18" l="1"/>
  <c r="J65" i="19"/>
  <c r="F54" i="722"/>
  <c r="I54" i="722" s="1"/>
  <c r="D75" i="711"/>
  <c r="L75" i="711" s="1"/>
  <c r="C84" i="711" s="1"/>
  <c r="D82" i="709"/>
  <c r="D75" i="713"/>
  <c r="L75" i="713" s="1"/>
  <c r="C88" i="713" s="1"/>
  <c r="G88" i="713"/>
  <c r="D52" i="717"/>
  <c r="L52" i="717" s="1"/>
  <c r="C66" i="717" s="1"/>
  <c r="D86" i="706" l="1"/>
  <c r="G87" i="713"/>
  <c r="D77" i="713"/>
  <c r="D56" i="722"/>
  <c r="D79" i="713"/>
  <c r="L79" i="713" s="1"/>
  <c r="C92" i="713" s="1"/>
  <c r="F54" i="715"/>
  <c r="I54" i="715" s="1"/>
  <c r="G85" i="710"/>
  <c r="D76" i="710"/>
  <c r="F82" i="709"/>
  <c r="I82" i="709" s="1"/>
  <c r="F77" i="713"/>
  <c r="I77" i="713" s="1"/>
  <c r="L82" i="709"/>
  <c r="C91" i="709" s="1"/>
  <c r="F56" i="722"/>
  <c r="I56" i="722" s="1"/>
  <c r="D54" i="722"/>
  <c r="F76" i="710"/>
  <c r="I76" i="710" s="1"/>
  <c r="G84" i="711"/>
  <c r="F86" i="706"/>
  <c r="I86" i="706" s="1"/>
  <c r="G91" i="709"/>
  <c r="D54" i="715"/>
  <c r="G92" i="713"/>
  <c r="G95" i="706"/>
  <c r="G65" i="722"/>
  <c r="G64" i="715"/>
  <c r="G87" i="714"/>
  <c r="H82" i="709" l="1"/>
  <c r="L86" i="706"/>
  <c r="C95" i="706" s="1"/>
  <c r="H86" i="706"/>
  <c r="L54" i="715"/>
  <c r="C64" i="715" s="1"/>
  <c r="H54" i="715"/>
  <c r="H54" i="722"/>
  <c r="L54" i="722"/>
  <c r="D57" i="18"/>
  <c r="D57" i="19"/>
  <c r="D85" i="708"/>
  <c r="L85" i="708" s="1"/>
  <c r="C93" i="708" s="1"/>
  <c r="L76" i="710"/>
  <c r="C85" i="710" s="1"/>
  <c r="H76" i="710"/>
  <c r="H56" i="722"/>
  <c r="L56" i="722"/>
  <c r="G66" i="717"/>
  <c r="D80" i="709"/>
  <c r="L77" i="713"/>
  <c r="C87" i="713" s="1"/>
  <c r="H77" i="713"/>
  <c r="G62" i="18"/>
  <c r="G57" i="18"/>
  <c r="G56" i="18"/>
  <c r="C65" i="722" l="1"/>
  <c r="G98" i="709"/>
  <c r="L80" i="709"/>
  <c r="C98" i="709" s="1"/>
  <c r="G93" i="708"/>
  <c r="G59" i="18"/>
  <c r="G57" i="19"/>
  <c r="G62" i="19"/>
  <c r="G56" i="19"/>
  <c r="G58" i="18" l="1"/>
  <c r="G59" i="19"/>
  <c r="G64" i="18"/>
  <c r="G64" i="19" l="1"/>
  <c r="G58" i="19"/>
  <c r="G65" i="19" l="1"/>
  <c r="G65" i="18"/>
  <c r="K15" i="717" l="1"/>
  <c r="K16" i="717"/>
  <c r="K17" i="717"/>
  <c r="K18" i="717"/>
  <c r="K10" i="719"/>
  <c r="K11" i="719"/>
  <c r="K12" i="719"/>
  <c r="K13" i="719"/>
  <c r="K16" i="720"/>
  <c r="K16" i="724"/>
  <c r="K17" i="724"/>
  <c r="K18" i="724"/>
  <c r="K19" i="724"/>
  <c r="K14" i="708"/>
  <c r="K15" i="708"/>
  <c r="K16" i="708"/>
  <c r="K17" i="708"/>
  <c r="K18" i="708"/>
  <c r="K10" i="709"/>
  <c r="K11" i="709"/>
  <c r="K12" i="709"/>
  <c r="K17" i="714"/>
  <c r="K18" i="714"/>
  <c r="K10" i="715"/>
  <c r="K11" i="715"/>
  <c r="K12" i="715"/>
  <c r="K13" i="715"/>
  <c r="K14" i="715"/>
  <c r="K15" i="715"/>
  <c r="K14" i="717"/>
  <c r="F56" i="724"/>
  <c r="D74" i="714"/>
  <c r="L74" i="714" s="1"/>
  <c r="D76" i="714"/>
  <c r="L76" i="714" s="1"/>
  <c r="F80" i="709"/>
  <c r="D64" i="18"/>
  <c r="D59" i="18"/>
  <c r="C87" i="714" l="1"/>
  <c r="D62" i="19"/>
  <c r="D62" i="18"/>
  <c r="I56" i="724"/>
  <c r="H56" i="724"/>
  <c r="D59" i="19"/>
  <c r="I80" i="709"/>
  <c r="H80" i="709"/>
  <c r="D58" i="19" l="1"/>
  <c r="D58" i="18"/>
  <c r="D64" i="19" l="1"/>
  <c r="D65" i="18"/>
  <c r="D65" i="19"/>
  <c r="N13" i="725" l="1"/>
  <c r="C23" i="725" l="1" a="1"/>
  <c r="C23" i="725" s="1"/>
  <c r="C25" i="724" l="1" a="1"/>
  <c r="C25" i="724" s="1"/>
  <c r="C35" i="722" l="1" a="1"/>
  <c r="C35" i="722" s="1"/>
  <c r="C31" i="719" a="1"/>
  <c r="C31" i="719" s="1"/>
  <c r="C24" i="723" a="1"/>
  <c r="C24" i="723" s="1"/>
  <c r="C37" i="722" l="1" a="1"/>
  <c r="C37" i="722" s="1"/>
  <c r="C25" i="719" l="1" a="1"/>
  <c r="C25" i="719" s="1"/>
  <c r="C35" i="715" l="1" a="1"/>
  <c r="C35" i="715" s="1"/>
  <c r="C23" i="718" l="1" a="1"/>
  <c r="C23" i="718" s="1"/>
  <c r="C44" i="711" l="1" a="1"/>
  <c r="C44" i="711" s="1"/>
  <c r="C23" i="715" a="1"/>
  <c r="C23" i="715" s="1"/>
  <c r="C45" i="710" l="1" a="1"/>
  <c r="C45" i="710" s="1"/>
  <c r="C57" i="707" l="1" a="1"/>
  <c r="C57" i="707" s="1"/>
  <c r="C67" i="708" l="1" a="1"/>
  <c r="C67" i="708" s="1"/>
  <c r="C65" i="708" l="1"/>
  <c r="C55" i="706" a="1"/>
  <c r="C55" i="706" s="1"/>
  <c r="C66" i="708"/>
  <c r="C53" i="707" a="1"/>
  <c r="C53" i="70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DD36263-B3E9-417E-9F5B-E8B7688FFA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3A53C51-5EA1-483A-BFB5-8B8B0D4526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AF7479-63F9-4DEE-A97E-957CEDF64A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A604554-3C94-427A-B0B9-0C49E4C807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B152920A-2CD8-4391-A864-34ADB05C01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7A462F0-BAEB-449A-90C4-E4344BACA9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492EA6C-A361-4614-B047-E395EE15D8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20336264-999D-4352-9623-295E2A2731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EEA64AD-C5AF-41CF-BBCA-C23F6C13DC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644A9805-2D9B-43F3-A2A8-89B33A1A5B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9" authorId="0" shapeId="0" xr:uid="{F3646F7B-E2E9-48D2-8B49-75B83681CA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66AF70C-6222-485A-8C97-F2D926765A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9A86FDCC-F14E-4C1F-AB12-8765718BF0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0967473-DD41-40C4-B6CE-12D1478971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31E20A06-095C-469B-87DA-C66F1FDACB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83F94DB3-03B3-419C-9E6D-8BFCBD9AC7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BF94DB4C-936A-4AD2-8C8A-09CBB9E777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1B2ACCF1-6188-4AEC-A48C-966806C1E4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A6FA289E-0883-499A-86FC-86FCA36C18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8F7C844-7A61-4BD5-A235-017844357C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BBA243C6-E293-43FF-A049-8BE01A001A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7" authorId="0" shapeId="0" xr:uid="{BB910E1E-5B33-4F7A-94EC-A9F5F76730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A37BEBA0-1F25-4280-AB8D-4098E3F637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85D2038-7DA5-47EF-8C1F-1EA6092721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5C898DB-F95B-4C4F-9F70-0CE49C01E7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7C06FE5-3E07-4BC6-A019-98328A28AE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BDB7B2B9-AB8B-4B62-97B5-E7B42B6C6F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A47A9188-4474-4FA8-932D-073D9D2D48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79790786-2788-468C-A643-5A3A571949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9A578926-D19A-4063-B690-8052283A2C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ADB354A4-8811-4D09-8E14-B8B7AEEA2E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D957ED3B-DEFD-4E6E-AC83-738AF65B1F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926ABB33-1836-408B-B40E-C21D30CB07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8C7D032E-84E2-4780-8E66-18D2087EF0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938B857-4D5D-4ACB-8C4A-8625A7CF90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D0B19FA5-0AEB-415D-80A0-09CF49AC46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DC4FBE79-0606-4CAF-B0B3-B66AB03CE2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4989521B-8C0C-4D8A-9618-5714BE1852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BB6FD3F9-9DB5-41F4-BE21-13CC94CE26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CBB046C-9073-437C-AD03-A719E80D82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30A197CA-18AF-479A-AEB7-C5D709E74E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7C28634A-FC96-408B-A23C-516B0E08FD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D911891-7A93-4E40-B268-3BF526D1B0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20CE2333-0C78-4C31-89C7-263F264CA9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0905CA8-EE9A-4BBF-82D3-AE60CB874D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FA8EDEC8-2FEB-4E3C-92AE-54224A84A8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36F242E3-DF8C-416C-931E-99995F3333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77D462DD-2980-434F-B1F1-DDE0A76559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E90DE510-2C69-4EEF-8A87-D04030C37B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FD92378-4595-45F3-85E7-A6618B63E6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1BFEE60F-D97E-4628-8B70-1E77F41FC0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1454ED97-277B-4798-87D7-063B41ECE8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6" authorId="0" shapeId="0" xr:uid="{F09794FC-0540-45E1-92E2-F25B89439B9F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 </t>
        </r>
      </text>
    </comment>
    <comment ref="B57" authorId="0" shapeId="0" xr:uid="{B4A61CC0-4DEC-4DB1-8AC2-E38714EFBF93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for 11th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A649433-9B49-4C38-B767-8A12650C88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66FB353B-9C5C-4E32-B549-CDA6DC6A4B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798E536-B28C-48A6-93D3-A9CD1C5DCB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03BD6EDD-0B04-4DA6-BAF9-D11C913320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4AD6AF51-DFDE-4813-841B-887FCFD1F3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9A57EB35-23FB-4812-8134-4ED65F708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657C58C6-7C13-4587-9D72-372B9E54CA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85E12FA5-4FD5-409F-A54B-E7B87AE063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8FC8A087-F516-4502-ADD8-9BABA0F353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28E7348F-25BA-47D9-9A4D-A7562E1151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5" authorId="0" shapeId="0" xr:uid="{D7449556-A21C-4CA5-A39C-2CC3ED2C1076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</t>
        </r>
      </text>
    </comment>
    <comment ref="H17" authorId="0" shapeId="0" xr:uid="{29AA6ADC-3BE2-4E81-8DFC-2F7CE1589B43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9B5A0691-F17C-458A-9C09-E08B607D17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E215E1DF-8F9A-45B8-8DBB-41B73A841C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3DA55E5-B2C6-4CCA-9993-5E7E529DA2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415EF39-1C00-4E34-A779-2559EE1B92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A1A14F37-7DE6-44BC-AEEC-7A37487583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A7A9098-628A-4801-937A-B61A312660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862B4666-BA42-444A-A0E0-F3A1C79D9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1B4A809C-A4FD-43FC-B9D7-D5220034EE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66B7858A-6AED-4C5E-9C29-F9E51A97CE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92B40E17-1ED3-4B65-AAB9-29ABEBE019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0" authorId="0" shapeId="0" xr:uid="{450099EE-945D-4FB1-BC72-FFDC27B90A81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</t>
        </r>
      </text>
    </comment>
    <comment ref="D46" authorId="0" shapeId="0" xr:uid="{055A8FAC-B78B-461F-AE34-EDDB48B44823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Filtration was stopped only 26.8hls was filtered-FV PG used here</t>
        </r>
      </text>
    </comment>
    <comment ref="E75" authorId="0" shapeId="0" xr:uid="{9F929AF8-20EB-4D47-A047-0A1A218B176A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only 26.8hls was filtered from SV14- no GFE was added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CB55A718-9A22-4618-AA3B-AC5BE1B759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82294D93-9C5E-4940-95C7-0E3D423277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6514308-8F70-44C5-88E1-2A2F801C4E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D8A48EC0-703B-43A7-A703-658437DF0A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84E3FAA5-E8FC-44AC-9F1B-E0101E762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436EF6CC-10FD-42E2-8118-29E7AD75F9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28CBC2BE-CBB0-42A9-BBB0-8E3E8FB9A7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100005BF-D80B-4038-BD10-34628AB4C7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12154FAD-3768-4663-8F2E-16D143F39F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BA44A44-6CED-4E58-B289-071701A30D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5" authorId="0" shapeId="0" xr:uid="{4EE23EF0-2ED6-4785-AE00-ABF0D7069E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missing data</t>
        </r>
      </text>
    </comment>
    <comment ref="H17" authorId="0" shapeId="0" xr:uid="{A179E02B-CED5-45A4-A417-DB5DBBE13DE9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</t>
        </r>
      </text>
    </comment>
    <comment ref="H18" authorId="0" shapeId="0" xr:uid="{852A20FB-1874-4A16-8987-28845BB10FC4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missing data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03BA3980-F046-4C6A-A32F-2946DBA853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60778C6A-CEEE-4E40-9D91-48A5EBC2BE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65AF1A1-2AF3-42FE-B584-041D53290E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5BF6D544-FD72-49E3-BF04-67C51B39BC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DABA34-9139-4451-BAA4-0B06FED1E8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C981BE7D-BC36-482A-AEAD-804A520E87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EBDB9604-F0EC-4F95-8407-3C7090A8DC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710DBCCA-4AF0-4D2D-B6A6-83D0E633BC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73C9D37A-5DF8-4AC0-88A8-9AF3E2FA84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0811C39-8BE0-4390-BA97-4C37DF4214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C56" authorId="0" shapeId="0" xr:uid="{A227A52F-A77A-4C7D-B70E-A2BFDCFEF5DC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pm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30F3E2D1-E6E1-4D22-9015-8711F21E65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48B6C346-6D5D-4159-9371-E5DCBF8294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5848718-9E96-4A6C-BC11-E7A3F6387C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593936BC-4F80-4232-9F01-19443E2E9D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2A3434F-CE78-41E9-A15D-9CBA29110F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42CC598F-898F-450D-ACB6-ABDB2E939A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97C819E-EBA7-45C1-A404-BD5D095DE8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4FF7FD6-968F-4DC2-9F8A-758AC09624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46AA9138-915E-4FAC-AC4C-9AF76A7CDF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5F68F62-93B1-418E-AF47-7B60B6F91D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7AA28364-3F6F-4C79-BE0D-2100CD449C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D7548C6B-A494-4889-B3CC-B26B5B481B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6C3C2DA-D299-4CCC-9DA6-E09C87F0C1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5238ED0-25D5-4394-B9DC-877C3E1199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F4D62036-687E-4B7A-BC45-C96706C565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29EE5179-CE8E-4E87-9153-6303F3BBCE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99B162B-D2E4-49B5-9E63-A63B5EDB38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F3226880-8A62-4D9C-ACFC-341C734CA7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6420A01D-F388-4E5C-9FD7-ACF6B8126B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960413E6-AA30-4B30-A36B-A4CA32C076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C6864F23-3ADA-4790-95CC-D2F1870263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A27EF9F-9840-4F3E-8E72-14E00480F0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709E31B-8F33-45EA-9108-B08033B610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B451F00D-8644-4DCA-8142-13DA649ACB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193043E0-B4EF-49FD-8144-47A4CB5B04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C5FE1B34-D121-45FF-BC8B-82C8D9A009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6A51E8CB-3C90-4568-B616-CB5EE2230A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6EBC2E0D-C592-4B24-B299-F7CBE620D5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4641621-4DE6-4136-951D-C63B3C2C78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51477375-73D0-4407-9A9B-B887363D63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EEA05D5-4410-456E-A5F6-8DDCE6897C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4E4314DA-8C10-4DC1-A3EB-395E1418A4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835AEF5-0D82-47CE-B20B-F3DDAE3978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3427578C-22F1-43FE-889A-804FA33F11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177B130B-4419-41EE-BBE1-A662AE9CC0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134B719A-8EBA-48C8-A300-9FD6ADB527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6EB70B3D-E7BA-4988-8BD2-F785D2D91E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D7596396-C74B-4D07-BCAC-4C921579B7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6FD2ABC1-761F-47FE-B066-51C221EB5B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87E604DC-AEC6-4EC1-88F6-31E7D299CB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0F2A321F-581F-4321-914E-F9C74C9AD2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054133DF-47D1-46D2-9142-D5AFFEE454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115F635-0E9D-4B6A-B8A0-59A4E338FF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AB660390-713E-49E3-8008-2001163C6F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24A9508B-32A0-40D1-9D68-27B23DC1D9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43113EC-98A6-41E2-B1D4-6438CC1B8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F2F8CB7-E65E-4262-95E3-E1791FD5DF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5E229C27-44EA-4A26-BCED-44B78F5260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ED99CB7D-8503-46E7-B42E-E0FB1F51BB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D52F110E-917F-4A42-908A-5A4CFB7A03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4EBECC4A-73E9-43D2-92E6-A1DD566443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523E21D-554A-45B3-AF8E-4C068289B3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0E8F9B1-D13D-47C3-8141-20A403AA84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1A61D333-A99A-4574-9458-F56291AE0C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053C7515-FEE9-4023-BDA0-DC35AC5AF7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C809B30B-830B-4FC5-81A3-7D4C1D2D9B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C65F58E1-41E4-43F5-9717-FB41840913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14540A8F-AFDC-4DE3-8298-6D1E4FF5E2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4250099-8D87-4697-9257-DF185A9890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28222A3B-6E1F-488C-BDCF-583A2C4E97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9E48B895-A37A-435A-AA93-8A2D0CE9A1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0B4CF04-C2F2-4076-AF61-2D47CD814F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5D3BF76-5761-4027-AE3C-0DF00F02CD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2C590B4A-262B-4369-B79F-EC091A8FF0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172102C-F7FA-45B5-BD98-DE664BF01F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7D989F2-A6CE-4A5D-980C-922C23B0E3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24155C0-5325-4FE3-A708-A7267789A3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F3180BE-60FE-43A6-92CF-0F3F6DA74F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E89F0B99-674B-45C9-99A4-41258301DA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73E47E9E-9ABE-4F3F-A45D-3C46A03EA6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23F94BF1-18F1-4A17-8BD9-92B64E7A13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9043E68B-59CC-4355-8E1B-2BE7B21C8E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70C3688-3C21-4816-B34B-8C3649A56B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FB7D5DB-A3A3-4EB2-86B6-C50170595E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3144B7A1-21A8-4801-BBD4-93658ECBBE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29A6FAF1-A5CA-4579-A2BB-311EC83459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7ECA5AD1-3B3F-4A1B-9F9B-A7FB8B98F2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B783CE33-B852-486E-A334-9B369DEF95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DB7D7FC6-7B75-47C5-BDB1-95515B1F75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2E983070-7EB0-473E-978C-E043BC6EF3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714AB1F0-1401-4B87-B05E-403A4A3E7F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7F321FCB-8AC2-4845-9C5F-DCBFBE2636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5430E98-A177-4A82-A3FF-BAF5E36A67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A0C2C80E-664C-4A1A-8BAF-0AC9A05B09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2FF0519C-0099-4FD9-9D1E-CD2B2A9657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C5183BF8-3B76-41CB-B10E-D559F4756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3AA89B6-BF92-46CC-B388-59C7440E62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D955EA34-B98C-4D44-A69C-F090EC41F7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505B924-DA4D-42B0-A676-4DC587211D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13FAFDF1-2A81-4C09-AB68-2A1F6D7DD5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V3" authorId="0" shapeId="0" xr:uid="{CA6C8768-3462-49C9-B9F6-B4E74F12C1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E2B23C8-BEAF-411E-9547-F1DFBB3519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3D01F38-BDAC-4374-BFDC-0FEB6381AA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7A2482D-CF06-4336-A527-D0FE7F6804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76B3844C-25EB-422F-A2C5-D30947D2A5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25E8693D-A00D-4CEC-9774-04F6A4CE3E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94B497AE-FA60-43E6-8866-C0EC7CCF54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A17FA3BF-5DE3-431E-BFBE-33F9CE10B2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9155329-AF93-4212-BAEE-CC2E0103F4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AF4CE39-9B19-4995-AE35-42CDC5EF7A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52" authorId="1" shapeId="0" xr:uid="{27453F7B-8A59-494F-85CE-CAC15FCC4C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Stop to change double and single side sheets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AA0884A0-7DCC-4F93-83DF-AE14EBFF52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3BE5462-B904-4C7B-A7D3-3777E05835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F49B220-4068-42A1-994D-678BE170B7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19C5797-F239-44FE-8DC7-9B4FCDE682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995FE905-B9BE-433A-B6F8-3855F0AA1F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CA213F7-2AA6-4662-89A3-FDF4C978F6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E250E9D8-EF67-46E4-B2F7-93738D1BEF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A2F2CA95-B228-40C5-9FAD-8A43DFF11E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C276644-9DB0-4FD6-906F-59BC73B4AA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7A4333BA-97D9-411B-890C-C6249C7544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<sst xmlns="http://schemas.openxmlformats.org/spreadsheetml/2006/main" count="3276" uniqueCount="199">
  <si>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</si>
  <si>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</si>
  <si>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</si>
  <si>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</si>
  <si>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</si>
  <si>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</si>
  <si>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</si>
  <si>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</si>
  <si>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</si>
  <si>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</si>
  <si>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</si>
  <si>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</si>
  <si>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</si>
  <si>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</si>
  <si>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</si>
  <si>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</si>
  <si>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</si>
  <si>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</si>
  <si>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</si>
  <si>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</si>
  <si>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</si>
  <si>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</si>
  <si>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</si>
  <si>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</si>
  <si>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</si>
  <si>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</si>
  <si>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</si>
  <si>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</si>
  <si>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</si>
  <si>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</si>
  <si>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</si>
  <si>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</si>
  <si>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</si>
  <si>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</si>
  <si>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</si>
  <si>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</si>
  <si>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</si>
  <si>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</si>
  <si>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</si>
  <si>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</si>
  <si>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</si>
  <si>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</si>
  <si>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</si>
  <si>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</si>
  <si>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</si>
  <si>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</si>
  <si>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</si>
  <si>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</si>
  <si>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</si>
  <si>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</si>
  <si>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</si>
  <si>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</si>
  <si>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</si>
  <si>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</si>
  <si>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</si>
  <si>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</si>
  <si>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</si>
  <si>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</si>
  <si>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</si>
  <si>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</si>
  <si>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</si>
  <si>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</si>
  <si>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</si>
  <si>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</si>
  <si>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</si>
  <si>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</si>
  <si>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</si>
  <si>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</si>
  <si>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</si>
  <si>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</si>
  <si>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</si>
  <si>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</si>
  <si>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</si>
  <si>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</si>
  <si>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</si>
  <si>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</si>
  <si>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</si>
  <si>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</si>
  <si>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</si>
  <si>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</si>
  <si>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</si>
  <si>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</si>
  <si>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</si>
  <si>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</si>
  <si>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</si>
  <si>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</si>
  <si>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</si>
  <si>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</si>
  <si>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</si>
  <si>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</si>
  <si>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</si>
  <si>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</si>
  <si>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</si>
  <si>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</si>
  <si>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</si>
  <si>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</si>
  <si>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</si>
  <si>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</si>
  <si>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</si>
  <si>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</si>
  <si>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</si>
  <si>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</si>
  <si>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</si>
  <si>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</si>
  <si>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</si>
  <si>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</si>
  <si>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</si>
  <si>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</si>
  <si>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</si>
  <si>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</si>
  <si>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</si>
  <si>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</si>
  <si>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</si>
  <si>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</si>
  <si>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</si>
  <si>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</si>
  <si>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</si>
  <si>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</si>
  <si>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</si>
  <si>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</si>
  <si>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</si>
  <si>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</si>
  <si>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</si>
  <si>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</si>
  <si>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</si>
  <si>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</si>
  <si>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</si>
  <si>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</si>
  <si>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</si>
  <si>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</si>
  <si>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</si>
  <si>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</si>
  <si>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</si>
  <si>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</si>
  <si>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</si>
  <si>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</si>
  <si>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</si>
  <si>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</si>
  <si>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</si>
  <si>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</si>
  <si>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</si>
  <si>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</si>
  <si>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</si>
  <si>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</si>
  <si>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</si>
  <si>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</si>
  <si>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</si>
  <si>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</si>
  <si>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</si>
  <si>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</si>
  <si>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</si>
  <si>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</si>
  <si>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</si>
  <si>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</si>
  <si>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</si>
  <si>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</si>
  <si>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</si>
  <si>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</si>
  <si>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</si>
  <si>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Extr. Rec (80.9%)</t>
  </si>
  <si>
    <t xml:space="preserve"> MALT LOT: Lot 24</t>
  </si>
  <si>
    <t>LOT WORT COLOUR: 3.5</t>
  </si>
  <si>
    <t>NO Break</t>
  </si>
  <si>
    <t>1 Break</t>
  </si>
  <si>
    <t>D. Emery</t>
  </si>
  <si>
    <t>J. Nelson</t>
  </si>
  <si>
    <t>HR-PILS</t>
  </si>
  <si>
    <t xml:space="preserve">1 BREAK </t>
  </si>
  <si>
    <t>T. Charles</t>
  </si>
  <si>
    <t xml:space="preserve">J. Nelson </t>
  </si>
  <si>
    <t>HR PILS</t>
  </si>
  <si>
    <t>Extra boil for 15mins</t>
  </si>
  <si>
    <t xml:space="preserve">K. Hosten </t>
  </si>
  <si>
    <t xml:space="preserve">T. Charles </t>
  </si>
  <si>
    <t>2 Breaks</t>
  </si>
  <si>
    <t xml:space="preserve">J.Mason </t>
  </si>
  <si>
    <t>2 Break</t>
  </si>
  <si>
    <t>No Breaks</t>
  </si>
  <si>
    <t>No Break</t>
  </si>
  <si>
    <t>K. Hosten</t>
  </si>
  <si>
    <t>One bag less</t>
  </si>
  <si>
    <t>HR APA</t>
  </si>
  <si>
    <t xml:space="preserve"> MALT LOT: Lot 27</t>
  </si>
  <si>
    <t>Compressor issues</t>
  </si>
  <si>
    <t xml:space="preserve">Compressor down causing delay </t>
  </si>
  <si>
    <t xml:space="preserve">D. Emery </t>
  </si>
  <si>
    <t xml:space="preserve">Steam issues </t>
  </si>
  <si>
    <t>Heat up issues</t>
  </si>
  <si>
    <t>1 BREAK</t>
  </si>
  <si>
    <t>T.Charles</t>
  </si>
  <si>
    <t>LOT WORT COLOUR: 3.2</t>
  </si>
  <si>
    <t xml:space="preserve"> MALT LOT: Lot 17</t>
  </si>
  <si>
    <t>J. Mason</t>
  </si>
  <si>
    <t>Glycol pump kept chipping hence the delay in cooling time</t>
  </si>
  <si>
    <t>Slow heat up due to a drop in steam pressure</t>
  </si>
  <si>
    <t>Delyaed time waiting on skip man to prepare skip in order to empty lauter turn spent grains to transfer brew</t>
  </si>
  <si>
    <t>Valves locked out (compressor tripped)</t>
  </si>
  <si>
    <t>Issues with rake hoisting fan when emptying spent grains</t>
  </si>
  <si>
    <t xml:space="preserve">Held back in mash awaiting spent grain removal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</si>
</sst>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-0.249977111117893"/>
      <name val="Arial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1"/>
      <color rgb="FFC00000"/>
      <name val="Arial"/>
      <family val="2"/>
    </font>
    <font>
      <b/>
      <sz val="11"/>
      <color theme="5"/>
      <name val="Arial"/>
      <family val="2"/>
    </font>
    <font>
      <b/>
      <sz val="11"/>
      <color rgb="FF00B0F0"/>
      <name val="Arial"/>
      <family val="2"/>
    </font>
    <font>
      <b/>
      <sz val="11"/>
      <color theme="4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8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2" fontId="9" fillId="23" borderId="1" xfId="3" applyNumberFormat="1" applyFont="1" applyFill="1" applyBorder="1" applyAlignment="1">
      <alignment horizontal="center" vertical="center"/>
    </xf>
    <xf numFmtId="167" fontId="21" fillId="23" borderId="11" xfId="3" applyNumberFormat="1" applyFont="1" applyFill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" fontId="9" fillId="26" borderId="63" xfId="3" applyNumberFormat="1" applyFont="1" applyFill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6" fontId="8" fillId="27" borderId="1" xfId="3" applyNumberFormat="1" applyFont="1" applyFill="1" applyBorder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9" fillId="4" borderId="3" xfId="3" applyFont="1" applyFill="1" applyBorder="1" applyAlignment="1">
      <alignment horizontal="left" vertical="center" wrapText="1"/>
    </xf>
    <xf numFmtId="165" fontId="26" fillId="4" borderId="3" xfId="3" applyFont="1" applyFill="1" applyBorder="1" applyAlignment="1">
      <alignment horizontal="left"/>
    </xf>
    <xf numFmtId="165" fontId="27" fillId="4" borderId="3" xfId="3" applyFont="1" applyFill="1" applyBorder="1"/>
    <xf numFmtId="165" fontId="28" fillId="4" borderId="3" xfId="3" applyFont="1" applyFill="1" applyBorder="1"/>
    <xf numFmtId="165" fontId="23" fillId="4" borderId="3" xfId="3" applyFont="1" applyFill="1" applyBorder="1" applyAlignment="1">
      <alignment horizontal="left"/>
    </xf>
    <xf numFmtId="165" fontId="29" fillId="4" borderId="3" xfId="3" applyFont="1" applyFill="1" applyBorder="1"/>
    <xf numFmtId="165" fontId="30" fillId="4" borderId="3" xfId="3" applyFont="1" applyFill="1" applyBorder="1" applyAlignment="1">
      <alignment horizontal="left"/>
    </xf>
    <xf numFmtId="165" fontId="77" fillId="4" borderId="3" xfId="3" applyFont="1" applyFill="1" applyBorder="1" applyAlignment="1">
      <alignment horizontal="left"/>
    </xf>
    <xf numFmtId="2" fontId="76" fillId="6" borderId="3" xfId="3" applyNumberFormat="1" applyFont="1" applyFill="1" applyBorder="1"/>
    <xf numFmtId="165" fontId="20" fillId="0" borderId="13" xfId="3" applyFont="1" applyBorder="1" applyAlignment="1">
      <alignment horizontal="center" vertical="center"/>
    </xf>
    <xf numFmtId="165" fontId="83" fillId="0" borderId="13" xfId="3" applyFont="1" applyBorder="1" applyAlignment="1">
      <alignment horizontal="center" vertical="center"/>
    </xf>
    <xf numFmtId="165" fontId="84" fillId="0" borderId="13" xfId="3" applyFont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70" fontId="7" fillId="0" borderId="0" xfId="3" applyNumberFormat="1" applyAlignment="1">
      <alignment horizontal="right"/>
    </xf>
    <xf numFmtId="166" fontId="8" fillId="0" borderId="80" xfId="3" applyNumberFormat="1" applyFont="1" applyBorder="1" applyAlignment="1">
      <alignment horizontal="right"/>
    </xf>
    <xf numFmtId="2" fontId="35" fillId="0" borderId="3" xfId="3" applyNumberFormat="1" applyFont="1" applyBorder="1" applyAlignment="1">
      <alignment horizontal="right"/>
    </xf>
    <xf numFmtId="165" fontId="83" fillId="0" borderId="13" xfId="3" applyFont="1" applyBorder="1"/>
    <xf numFmtId="165" fontId="83" fillId="0" borderId="31" xfId="3" applyFont="1" applyBorder="1"/>
    <xf numFmtId="170" fontId="8" fillId="0" borderId="3" xfId="4" applyNumberFormat="1" applyFont="1" applyFill="1" applyBorder="1" applyAlignment="1">
      <alignment horizontal="center" vertical="center"/>
    </xf>
    <xf numFmtId="2" fontId="9" fillId="0" borderId="18" xfId="3" applyNumberFormat="1" applyFont="1" applyBorder="1" applyAlignment="1">
      <alignment horizontal="center" vertical="center"/>
    </xf>
    <xf numFmtId="165" fontId="9" fillId="0" borderId="11" xfId="3" applyFont="1" applyBorder="1" applyAlignment="1">
      <alignment horizontal="center" vertical="center" wrapText="1"/>
    </xf>
    <xf numFmtId="165" fontId="9" fillId="0" borderId="74" xfId="3" applyFont="1" applyBorder="1" applyAlignment="1">
      <alignment horizontal="center" vertical="center" wrapText="1"/>
    </xf>
    <xf numFmtId="165" fontId="10" fillId="3" borderId="0" xfId="0" applyFont="1" applyFill="1"/>
    <xf numFmtId="166" fontId="10" fillId="3" borderId="0" xfId="0" applyNumberFormat="1" applyFont="1" applyFill="1"/>
    <xf numFmtId="167" fontId="9" fillId="3" borderId="0" xfId="3" applyNumberFormat="1" applyFont="1" applyFill="1" applyAlignment="1">
      <alignment horizontal="right"/>
    </xf>
    <xf numFmtId="167" fontId="9" fillId="3" borderId="0" xfId="3" applyNumberFormat="1" applyFont="1" applyFill="1" applyAlignment="1">
      <alignment horizontal="right" vertical="center"/>
    </xf>
    <xf numFmtId="1" fontId="10" fillId="3" borderId="0" xfId="0" applyNumberFormat="1" applyFont="1" applyFill="1" applyAlignment="1">
      <alignment horizontal="center"/>
    </xf>
    <xf numFmtId="165" fontId="87" fillId="0" borderId="13" xfId="3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79" fillId="0" borderId="27" xfId="3" applyFont="1" applyBorder="1" applyAlignment="1">
      <alignment vertical="center" wrapText="1"/>
    </xf>
    <xf numFmtId="2" fontId="25" fillId="0" borderId="85" xfId="3" applyNumberFormat="1" applyFont="1" applyBorder="1" applyAlignment="1">
      <alignment horizontal="center" vertical="center"/>
    </xf>
    <xf numFmtId="2" fontId="25" fillId="0" borderId="34" xfId="3" applyNumberFormat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5" fontId="9" fillId="4" borderId="13" xfId="3" applyFont="1" applyFill="1" applyBorder="1" applyAlignment="1">
      <alignment horizontal="left" vertical="center" wrapText="1"/>
    </xf>
    <xf numFmtId="1" fontId="9" fillId="4" borderId="15" xfId="3" applyNumberFormat="1" applyFont="1" applyFill="1" applyBorder="1" applyAlignment="1">
      <alignment horizontal="center" vertical="center" wrapText="1"/>
    </xf>
    <xf numFmtId="165" fontId="26" fillId="4" borderId="13" xfId="3" applyFont="1" applyFill="1" applyBorder="1" applyAlignment="1">
      <alignment horizontal="left"/>
    </xf>
    <xf numFmtId="1" fontId="9" fillId="0" borderId="15" xfId="3" applyNumberFormat="1" applyFont="1" applyBorder="1" applyAlignment="1">
      <alignment horizontal="center"/>
    </xf>
    <xf numFmtId="165" fontId="27" fillId="4" borderId="13" xfId="3" applyFont="1" applyFill="1" applyBorder="1"/>
    <xf numFmtId="165" fontId="28" fillId="4" borderId="13" xfId="3" applyFont="1" applyFill="1" applyBorder="1"/>
    <xf numFmtId="165" fontId="23" fillId="4" borderId="13" xfId="3" applyFont="1" applyFill="1" applyBorder="1" applyAlignment="1">
      <alignment horizontal="left"/>
    </xf>
    <xf numFmtId="165" fontId="29" fillId="4" borderId="13" xfId="3" applyFont="1" applyFill="1" applyBorder="1"/>
    <xf numFmtId="165" fontId="30" fillId="4" borderId="13" xfId="3" applyFont="1" applyFill="1" applyBorder="1" applyAlignment="1">
      <alignment horizontal="left"/>
    </xf>
    <xf numFmtId="165" fontId="77" fillId="4" borderId="13" xfId="3" applyFont="1" applyFill="1" applyBorder="1" applyAlignment="1">
      <alignment horizontal="left"/>
    </xf>
    <xf numFmtId="2" fontId="76" fillId="6" borderId="31" xfId="3" applyNumberFormat="1" applyFont="1" applyFill="1" applyBorder="1"/>
    <xf numFmtId="1" fontId="9" fillId="0" borderId="36" xfId="3" applyNumberFormat="1" applyFont="1" applyBorder="1" applyAlignment="1">
      <alignment horizontal="center"/>
    </xf>
    <xf numFmtId="170" fontId="8" fillId="0" borderId="10" xfId="4" applyNumberFormat="1" applyFont="1" applyFill="1" applyBorder="1" applyAlignment="1">
      <alignment horizontal="center" vertical="center"/>
    </xf>
    <xf numFmtId="165" fontId="88" fillId="0" borderId="13" xfId="3" applyFont="1" applyBorder="1" applyAlignment="1">
      <alignment horizontal="center" vertical="center"/>
    </xf>
    <xf numFmtId="165" fontId="83" fillId="0" borderId="50" xfId="3" applyFont="1" applyBorder="1"/>
    <xf numFmtId="165" fontId="89" fillId="0" borderId="13" xfId="3" applyFont="1" applyBorder="1" applyAlignment="1">
      <alignment horizontal="left"/>
    </xf>
    <xf numFmtId="165" fontId="90" fillId="0" borderId="13" xfId="3" applyFont="1" applyBorder="1" applyAlignment="1">
      <alignment horizontal="left"/>
    </xf>
    <xf numFmtId="2" fontId="9" fillId="4" borderId="10" xfId="3" applyNumberFormat="1" applyFont="1" applyFill="1" applyBorder="1" applyAlignment="1">
      <alignment horizontal="center" vertical="center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27" fillId="0" borderId="23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27" fillId="0" borderId="34" xfId="3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27" fillId="0" borderId="23" xfId="3" applyFont="1" applyBorder="1" applyAlignment="1">
      <alignment horizontal="center" vertical="center" wrapText="1"/>
    </xf>
    <xf numFmtId="165" fontId="27" fillId="0" borderId="27" xfId="3" applyFont="1" applyBorder="1" applyAlignment="1">
      <alignment horizontal="center" vertical="center" wrapText="1"/>
    </xf>
    <xf numFmtId="165" fontId="27" fillId="0" borderId="37" xfId="3" applyFont="1" applyBorder="1" applyAlignment="1">
      <alignment horizontal="center" vertical="center" wrapText="1"/>
    </xf>
    <xf numFmtId="165" fontId="27" fillId="0" borderId="35" xfId="3" applyFont="1" applyBorder="1" applyAlignment="1">
      <alignment horizontal="center" vertical="center" wrapText="1"/>
    </xf>
    <xf numFmtId="165" fontId="84" fillId="0" borderId="66" xfId="3" applyFont="1" applyBorder="1" applyAlignment="1">
      <alignment horizontal="center" vertical="center"/>
    </xf>
    <xf numFmtId="165" fontId="84" fillId="0" borderId="27" xfId="3" applyFont="1" applyBorder="1" applyAlignment="1">
      <alignment horizontal="center" vertical="center"/>
    </xf>
    <xf numFmtId="165" fontId="84" fillId="0" borderId="35" xfId="3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 wrapText="1"/>
    </xf>
    <xf numFmtId="165" fontId="20" fillId="0" borderId="27" xfId="3" applyFont="1" applyBorder="1" applyAlignment="1">
      <alignment horizontal="center" vertical="center" wrapText="1"/>
    </xf>
    <xf numFmtId="165" fontId="20" fillId="0" borderId="37" xfId="3" applyFont="1" applyBorder="1" applyAlignment="1">
      <alignment horizontal="center" vertical="center" wrapText="1"/>
    </xf>
    <xf numFmtId="165" fontId="20" fillId="0" borderId="35" xfId="3" applyFont="1" applyBorder="1" applyAlignment="1">
      <alignment horizontal="center" vertical="center" wrapText="1"/>
    </xf>
    <xf numFmtId="165" fontId="79" fillId="0" borderId="23" xfId="3" applyFont="1" applyBorder="1" applyAlignment="1">
      <alignment horizontal="center" vertical="center" wrapText="1"/>
    </xf>
    <xf numFmtId="165" fontId="79" fillId="0" borderId="27" xfId="3" applyFont="1" applyBorder="1" applyAlignment="1">
      <alignment horizontal="center" vertical="center" wrapText="1"/>
    </xf>
    <xf numFmtId="165" fontId="87" fillId="0" borderId="27" xfId="3" applyFont="1" applyBorder="1" applyAlignment="1">
      <alignment horizontal="center" vertical="center" wrapText="1"/>
    </xf>
    <xf numFmtId="165" fontId="87" fillId="0" borderId="35" xfId="3" applyFont="1" applyBorder="1" applyAlignment="1">
      <alignment horizontal="center" vertical="center" wrapText="1"/>
    </xf>
    <xf numFmtId="165" fontId="79" fillId="0" borderId="35" xfId="3" applyFont="1" applyBorder="1" applyAlignment="1">
      <alignment horizontal="center" vertical="center" wrapText="1"/>
    </xf>
    <xf numFmtId="165" fontId="79" fillId="0" borderId="66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 wrapText="1"/>
    </xf>
    <xf numFmtId="165" fontId="80" fillId="0" borderId="27" xfId="3" applyFont="1" applyBorder="1" applyAlignment="1">
      <alignment horizontal="center" vertical="center" wrapText="1"/>
    </xf>
    <xf numFmtId="165" fontId="80" fillId="0" borderId="34" xfId="3" applyFont="1" applyBorder="1" applyAlignment="1">
      <alignment horizontal="center" vertical="center" wrapText="1"/>
    </xf>
    <xf numFmtId="166" fontId="8" fillId="0" borderId="17" xfId="3" applyNumberFormat="1" applyFont="1" applyBorder="1" applyAlignment="1">
      <alignment horizontal="center" vertical="center"/>
    </xf>
    <xf numFmtId="166" fontId="8" fillId="0" borderId="4" xfId="3" applyNumberFormat="1" applyFont="1" applyBorder="1" applyAlignment="1">
      <alignment horizontal="center" vertical="center"/>
    </xf>
    <xf numFmtId="165" fontId="83" fillId="0" borderId="27" xfId="3" applyFont="1" applyBorder="1" applyAlignment="1">
      <alignment horizontal="center" vertical="center"/>
    </xf>
    <xf numFmtId="165" fontId="83" fillId="0" borderId="35" xfId="3" applyFont="1" applyBorder="1" applyAlignment="1">
      <alignment horizontal="center" vertical="center"/>
    </xf>
    <xf numFmtId="165" fontId="77" fillId="0" borderId="27" xfId="3" applyFont="1" applyBorder="1" applyAlignment="1">
      <alignment horizontal="center" vertical="center"/>
    </xf>
    <xf numFmtId="165" fontId="77" fillId="0" borderId="35" xfId="3" applyFont="1" applyBorder="1" applyAlignment="1">
      <alignment horizontal="center" vertical="center"/>
    </xf>
    <xf numFmtId="2" fontId="31" fillId="24" borderId="86" xfId="3" applyNumberFormat="1" applyFont="1" applyFill="1" applyBorder="1" applyAlignment="1">
      <alignment horizontal="center"/>
    </xf>
    <xf numFmtId="2" fontId="31" fillId="24" borderId="56" xfId="3" applyNumberFormat="1" applyFont="1" applyFill="1" applyBorder="1" applyAlignment="1">
      <alignment horizontal="center"/>
    </xf>
    <xf numFmtId="165" fontId="88" fillId="0" borderId="23" xfId="3" applyFont="1" applyBorder="1" applyAlignment="1">
      <alignment horizontal="center" vertical="center" wrapText="1"/>
    </xf>
    <xf numFmtId="165" fontId="88" fillId="0" borderId="27" xfId="3" applyFont="1" applyBorder="1" applyAlignment="1">
      <alignment horizontal="center" vertical="center" wrapText="1"/>
    </xf>
    <xf numFmtId="165" fontId="88" fillId="0" borderId="34" xfId="3" applyFont="1" applyBorder="1" applyAlignment="1">
      <alignment horizontal="center" vertical="center" wrapText="1"/>
    </xf>
    <xf numFmtId="165" fontId="80" fillId="0" borderId="23" xfId="3" applyFont="1" applyBorder="1" applyAlignment="1">
      <alignment horizontal="center" vertical="center" wrapText="1"/>
    </xf>
    <xf numFmtId="165" fontId="20" fillId="0" borderId="23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531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GD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GD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GD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GD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GD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GD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February_2025.xls" TargetMode="External"/><Relationship Id="rId1" Type="http://schemas.openxmlformats.org/officeDocument/2006/relationships/externalLinkPath" Target="/Operations/Brewing/Reports%20Local/Losses%202025/February_2025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24">
          <cell r="AU24">
            <v>95.033114450535422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20">
          <cell r="B20">
            <v>44581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7">
          <cell r="D7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2">
          <cell r="AY12">
            <v>96.029058348682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208.10000000000002</v>
          </cell>
        </row>
      </sheetData>
      <sheetData sheetId="9"/>
      <sheetData sheetId="10"/>
      <sheetData sheetId="11"/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22">
          <cell r="A22" t="str">
            <v>CA804</v>
          </cell>
          <cell r="AU22">
            <v>99.880771274363951</v>
          </cell>
        </row>
        <row r="23">
          <cell r="A23" t="str">
            <v>CA805</v>
          </cell>
          <cell r="AU23">
            <v>99.700692989650562</v>
          </cell>
        </row>
        <row r="24">
          <cell r="A24" t="str">
            <v>CA806</v>
          </cell>
          <cell r="AU24">
            <v>99.282745189591012</v>
          </cell>
        </row>
        <row r="25">
          <cell r="A25" t="str">
            <v>CA807</v>
          </cell>
          <cell r="AU25">
            <v>98.587876540298581</v>
          </cell>
        </row>
        <row r="26">
          <cell r="A26" t="str">
            <v>CA808</v>
          </cell>
          <cell r="AU26">
            <v>100.16168366526968</v>
          </cell>
        </row>
        <row r="27">
          <cell r="A27" t="str">
            <v>CA809</v>
          </cell>
          <cell r="AU27">
            <v>100.3536566867264</v>
          </cell>
        </row>
        <row r="28">
          <cell r="A28" t="str">
            <v>CA810</v>
          </cell>
          <cell r="AU28">
            <v>98.836021046851528</v>
          </cell>
        </row>
        <row r="29">
          <cell r="A29" t="str">
            <v>CA811</v>
          </cell>
          <cell r="AU29">
            <v>99.664334558218897</v>
          </cell>
        </row>
        <row r="30">
          <cell r="A30" t="str">
            <v>CA812</v>
          </cell>
          <cell r="AU30">
            <v>101.99056623846541</v>
          </cell>
        </row>
        <row r="31">
          <cell r="A31" t="str">
            <v>CA813</v>
          </cell>
          <cell r="AU31">
            <v>99.732851452430666</v>
          </cell>
        </row>
        <row r="32">
          <cell r="A32" t="str">
            <v>CA814</v>
          </cell>
          <cell r="AU32">
            <v>100.1818431919971</v>
          </cell>
        </row>
        <row r="33">
          <cell r="A33" t="str">
            <v>CA815</v>
          </cell>
          <cell r="AU33">
            <v>106.58730933756244</v>
          </cell>
        </row>
        <row r="34">
          <cell r="A34" t="str">
            <v>CA816</v>
          </cell>
          <cell r="AU34">
            <v>94.672630689080478</v>
          </cell>
        </row>
        <row r="35">
          <cell r="A35" t="str">
            <v>CA817</v>
          </cell>
          <cell r="AU35">
            <v>101.91439936415448</v>
          </cell>
        </row>
        <row r="36">
          <cell r="A36" t="str">
            <v>CA818</v>
          </cell>
          <cell r="AU36">
            <v>108.14096280999364</v>
          </cell>
        </row>
        <row r="37">
          <cell r="A37" t="str">
            <v>CA819</v>
          </cell>
          <cell r="AU37">
            <v>101.69762338483947</v>
          </cell>
        </row>
        <row r="38">
          <cell r="A38" t="str">
            <v>CA820</v>
          </cell>
          <cell r="AU38">
            <v>100.93210516034017</v>
          </cell>
        </row>
        <row r="39">
          <cell r="A39" t="str">
            <v>CA821</v>
          </cell>
          <cell r="AU39">
            <v>99.541621445423729</v>
          </cell>
        </row>
        <row r="40">
          <cell r="A40" t="str">
            <v>CA822</v>
          </cell>
          <cell r="AU40">
            <v>105.86018557323598</v>
          </cell>
        </row>
        <row r="41">
          <cell r="A41" t="str">
            <v>CA823</v>
          </cell>
          <cell r="AU41">
            <v>104.58990166062824</v>
          </cell>
        </row>
        <row r="42">
          <cell r="A42" t="str">
            <v>CA824</v>
          </cell>
          <cell r="AU42">
            <v>95.084434083376905</v>
          </cell>
        </row>
        <row r="43">
          <cell r="A43" t="str">
            <v>CA825</v>
          </cell>
          <cell r="AU43">
            <v>100.73306559669513</v>
          </cell>
        </row>
        <row r="44">
          <cell r="A44" t="str">
            <v>CA826</v>
          </cell>
          <cell r="AU44">
            <v>100.60129936456745</v>
          </cell>
        </row>
        <row r="45">
          <cell r="A45" t="str">
            <v>CA827</v>
          </cell>
          <cell r="AU45">
            <v>103.01798437998116</v>
          </cell>
        </row>
        <row r="46">
          <cell r="A46" t="str">
            <v>CA828</v>
          </cell>
          <cell r="AU46">
            <v>106.40636303739078</v>
          </cell>
        </row>
        <row r="47">
          <cell r="A47" t="str">
            <v>CA829</v>
          </cell>
          <cell r="AU47">
            <v>102.84087229641123</v>
          </cell>
        </row>
        <row r="48">
          <cell r="A48" t="str">
            <v>CA830</v>
          </cell>
          <cell r="AU48">
            <v>101.38700375815655</v>
          </cell>
        </row>
        <row r="49">
          <cell r="A49" t="str">
            <v>CA831</v>
          </cell>
          <cell r="AU49">
            <v>102.34348492568633</v>
          </cell>
        </row>
        <row r="50">
          <cell r="A50" t="str">
            <v>CA832</v>
          </cell>
          <cell r="AU50">
            <v>97.70733757949229</v>
          </cell>
        </row>
        <row r="51">
          <cell r="A51" t="str">
            <v>CA833</v>
          </cell>
          <cell r="AU51">
            <v>98.022295546037512</v>
          </cell>
        </row>
        <row r="52">
          <cell r="A52" t="str">
            <v>CA834</v>
          </cell>
          <cell r="AU52">
            <v>98.870520169724358</v>
          </cell>
        </row>
        <row r="53">
          <cell r="A53" t="str">
            <v>CA835</v>
          </cell>
          <cell r="AU53">
            <v>100.24472842384637</v>
          </cell>
        </row>
        <row r="54">
          <cell r="A54" t="str">
            <v>CA836</v>
          </cell>
          <cell r="AU54">
            <v>100.16208490655684</v>
          </cell>
        </row>
        <row r="55">
          <cell r="A55" t="str">
            <v>CA837</v>
          </cell>
          <cell r="AU55">
            <v>97.652640301225162</v>
          </cell>
        </row>
        <row r="56">
          <cell r="A56" t="str">
            <v>CA838</v>
          </cell>
          <cell r="AU56">
            <v>96.22200545349574</v>
          </cell>
        </row>
        <row r="57">
          <cell r="A57" t="str">
            <v>CA839</v>
          </cell>
          <cell r="AU57">
            <v>98.63956684673893</v>
          </cell>
        </row>
        <row r="58">
          <cell r="A58" t="str">
            <v>CA840</v>
          </cell>
          <cell r="AU58">
            <v>94.472818582211232</v>
          </cell>
        </row>
        <row r="59">
          <cell r="A59" t="str">
            <v>CA841</v>
          </cell>
          <cell r="AU59">
            <v>96.037157238386698</v>
          </cell>
        </row>
        <row r="60">
          <cell r="A60" t="str">
            <v>CA842</v>
          </cell>
          <cell r="AU60">
            <v>98.456679776399184</v>
          </cell>
        </row>
        <row r="61">
          <cell r="A61" t="str">
            <v>CA843</v>
          </cell>
          <cell r="AU61">
            <v>95.207077167800819</v>
          </cell>
        </row>
        <row r="62">
          <cell r="A62" t="str">
            <v>CA844</v>
          </cell>
          <cell r="AU62">
            <v>97.390748748199158</v>
          </cell>
        </row>
        <row r="63">
          <cell r="A63" t="str">
            <v>CA845</v>
          </cell>
          <cell r="AU63">
            <v>100.17344886494892</v>
          </cell>
        </row>
        <row r="64">
          <cell r="A64" t="str">
            <v>CA846</v>
          </cell>
          <cell r="AU64">
            <v>99.395901544653171</v>
          </cell>
        </row>
        <row r="65">
          <cell r="A65" t="str">
            <v>CA847</v>
          </cell>
          <cell r="AU65">
            <v>102.3716780912543</v>
          </cell>
        </row>
        <row r="66">
          <cell r="A66" t="str">
            <v>CA848</v>
          </cell>
          <cell r="AU66">
            <v>95.665574178408392</v>
          </cell>
        </row>
        <row r="67">
          <cell r="A67" t="str">
            <v>CA849</v>
          </cell>
          <cell r="AU67">
            <v>99.463869604820445</v>
          </cell>
        </row>
        <row r="68">
          <cell r="A68" t="str">
            <v>CA850</v>
          </cell>
          <cell r="AU68">
            <v>99.615771315819813</v>
          </cell>
        </row>
        <row r="69">
          <cell r="A69" t="str">
            <v>CA851</v>
          </cell>
          <cell r="AU69">
            <v>98.438501026862752</v>
          </cell>
        </row>
        <row r="70">
          <cell r="A70" t="str">
            <v>CA852</v>
          </cell>
          <cell r="AU70">
            <v>96.320563222330563</v>
          </cell>
        </row>
        <row r="71">
          <cell r="A71" t="str">
            <v>CA853</v>
          </cell>
          <cell r="AU71">
            <v>98.531355399948069</v>
          </cell>
        </row>
        <row r="72">
          <cell r="A72" t="str">
            <v>CA854</v>
          </cell>
          <cell r="AU72">
            <v>99.136905491820215</v>
          </cell>
        </row>
        <row r="73">
          <cell r="A73" t="str">
            <v>CA855</v>
          </cell>
          <cell r="AU73">
            <v>99.853813544995063</v>
          </cell>
        </row>
        <row r="74">
          <cell r="A74" t="str">
            <v>CA856</v>
          </cell>
          <cell r="AU74">
            <v>98.874451214497441</v>
          </cell>
        </row>
        <row r="75">
          <cell r="A75" t="str">
            <v>CA857</v>
          </cell>
          <cell r="AU75">
            <v>98.778735447081573</v>
          </cell>
        </row>
        <row r="76">
          <cell r="A76" t="str">
            <v>CA858</v>
          </cell>
          <cell r="AU76">
            <v>99.403384848458273</v>
          </cell>
        </row>
        <row r="77">
          <cell r="A77" t="str">
            <v>CA859</v>
          </cell>
          <cell r="AU77">
            <v>107.30053178508791</v>
          </cell>
        </row>
        <row r="78">
          <cell r="A78" t="str">
            <v>CA860</v>
          </cell>
          <cell r="AU78">
            <v>97.509342036581373</v>
          </cell>
        </row>
        <row r="79">
          <cell r="A79" t="str">
            <v>CA861</v>
          </cell>
          <cell r="AU79">
            <v>100.48155673426191</v>
          </cell>
        </row>
        <row r="80">
          <cell r="A80" t="str">
            <v>CA862</v>
          </cell>
          <cell r="AU80">
            <v>98.433452137295305</v>
          </cell>
        </row>
        <row r="81">
          <cell r="A81" t="str">
            <v>CA863</v>
          </cell>
          <cell r="AU81">
            <v>99.506007639754529</v>
          </cell>
        </row>
        <row r="82">
          <cell r="A82" t="str">
            <v>CA864</v>
          </cell>
          <cell r="AU82">
            <v>98.63956684673893</v>
          </cell>
        </row>
        <row r="83">
          <cell r="A83" t="str">
            <v>CA865</v>
          </cell>
          <cell r="AU83">
            <v>99.668889482866931</v>
          </cell>
        </row>
        <row r="84">
          <cell r="A84" t="str">
            <v>CA866</v>
          </cell>
          <cell r="AU84">
            <v>98.469402319619675</v>
          </cell>
        </row>
        <row r="85">
          <cell r="A85" t="str">
            <v>CA867</v>
          </cell>
          <cell r="AU85">
            <v>101.47432245434543</v>
          </cell>
        </row>
        <row r="86">
          <cell r="A86" t="str">
            <v>CA868</v>
          </cell>
          <cell r="AU86">
            <v>97.970876696927263</v>
          </cell>
        </row>
        <row r="87">
          <cell r="A87" t="str">
            <v>CA869</v>
          </cell>
          <cell r="AU87">
            <v>98.134146000975846</v>
          </cell>
        </row>
        <row r="88">
          <cell r="A88" t="str">
            <v>CA870</v>
          </cell>
          <cell r="AU88">
            <v>98.136684782049372</v>
          </cell>
        </row>
        <row r="89">
          <cell r="A89" t="str">
            <v>CA871</v>
          </cell>
          <cell r="AU89">
            <v>101.38317038497284</v>
          </cell>
        </row>
        <row r="90">
          <cell r="A90" t="str">
            <v>CA872</v>
          </cell>
          <cell r="AU90">
            <v>96.262319325150528</v>
          </cell>
        </row>
        <row r="91">
          <cell r="A91" t="str">
            <v>CA873</v>
          </cell>
          <cell r="AU91">
            <v>94.952052430696156</v>
          </cell>
        </row>
        <row r="92">
          <cell r="A92" t="str">
            <v>CA874</v>
          </cell>
          <cell r="AU92">
            <v>93.735027471634297</v>
          </cell>
        </row>
        <row r="93">
          <cell r="A93" t="str">
            <v>CA875</v>
          </cell>
          <cell r="AU93">
            <v>96.031048175126642</v>
          </cell>
        </row>
        <row r="94">
          <cell r="A94" t="str">
            <v>CA876</v>
          </cell>
          <cell r="AU94">
            <v>96.12109149710389</v>
          </cell>
        </row>
        <row r="95">
          <cell r="A95" t="str">
            <v>CA877</v>
          </cell>
          <cell r="AU95">
            <v>94.577488121304825</v>
          </cell>
        </row>
        <row r="96">
          <cell r="A96" t="str">
            <v>CA878</v>
          </cell>
          <cell r="AU96">
            <v>96.02046455290116</v>
          </cell>
        </row>
        <row r="97">
          <cell r="A97" t="str">
            <v>CA879</v>
          </cell>
          <cell r="AU97">
            <v>94.010876326534458</v>
          </cell>
        </row>
        <row r="98">
          <cell r="A98" t="str">
            <v>CA880</v>
          </cell>
          <cell r="AU98">
            <v>95.527180783414039</v>
          </cell>
        </row>
        <row r="99">
          <cell r="A99" t="str">
            <v>CA881</v>
          </cell>
          <cell r="AU99">
            <v>94.854040636658738</v>
          </cell>
        </row>
        <row r="100">
          <cell r="A100">
            <v>82</v>
          </cell>
          <cell r="AU100">
            <v>99.253665315401761</v>
          </cell>
        </row>
        <row r="101">
          <cell r="A101">
            <v>2025</v>
          </cell>
        </row>
        <row r="102">
          <cell r="A102" t="str">
            <v>CA001</v>
          </cell>
          <cell r="AU102">
            <v>92.721004414750013</v>
          </cell>
        </row>
        <row r="103">
          <cell r="A103" t="str">
            <v>CA002</v>
          </cell>
          <cell r="AU103">
            <v>95.183546542203274</v>
          </cell>
        </row>
        <row r="104">
          <cell r="A104" t="str">
            <v>CA003</v>
          </cell>
          <cell r="AU104">
            <v>95.186026119258216</v>
          </cell>
        </row>
        <row r="105">
          <cell r="A105" t="str">
            <v>CA004</v>
          </cell>
          <cell r="AU105">
            <v>95.834588221072792</v>
          </cell>
        </row>
        <row r="106">
          <cell r="A106" t="str">
            <v>CA005</v>
          </cell>
          <cell r="AU106">
            <v>95.701714072534301</v>
          </cell>
        </row>
        <row r="107">
          <cell r="A107" t="str">
            <v>CA006</v>
          </cell>
          <cell r="AU107">
            <v>92.798968247797376</v>
          </cell>
        </row>
        <row r="108">
          <cell r="A108" t="str">
            <v>CA007</v>
          </cell>
          <cell r="AU108">
            <v>95.637869985017701</v>
          </cell>
        </row>
        <row r="109">
          <cell r="A109" t="str">
            <v>CA008</v>
          </cell>
          <cell r="AU109">
            <v>96.273574518798767</v>
          </cell>
        </row>
        <row r="110">
          <cell r="A110" t="str">
            <v>CA009</v>
          </cell>
          <cell r="AU110">
            <v>94.86612185107694</v>
          </cell>
        </row>
        <row r="111">
          <cell r="A111" t="str">
            <v>CA010</v>
          </cell>
          <cell r="AU111">
            <v>90.396256118959755</v>
          </cell>
        </row>
        <row r="112">
          <cell r="A112" t="str">
            <v>CA011</v>
          </cell>
          <cell r="AU112">
            <v>96.811385381152121</v>
          </cell>
        </row>
        <row r="113">
          <cell r="A113" t="str">
            <v>CA012</v>
          </cell>
          <cell r="AU113">
            <v>93.316641237557349</v>
          </cell>
        </row>
        <row r="114">
          <cell r="A114" t="str">
            <v>CA013</v>
          </cell>
          <cell r="AU114">
            <v>97.63400510059688</v>
          </cell>
        </row>
        <row r="115">
          <cell r="A115" t="str">
            <v>CA014</v>
          </cell>
          <cell r="AU115">
            <v>99.134858630299789</v>
          </cell>
        </row>
        <row r="116">
          <cell r="A116" t="str">
            <v>CA015</v>
          </cell>
          <cell r="AU116">
            <v>92.554167304143249</v>
          </cell>
        </row>
        <row r="117">
          <cell r="A117" t="str">
            <v>CA016</v>
          </cell>
          <cell r="AU117">
            <v>94.723161458360067</v>
          </cell>
        </row>
        <row r="118">
          <cell r="A118" t="str">
            <v>CA017</v>
          </cell>
          <cell r="AU118">
            <v>94.836688212040571</v>
          </cell>
        </row>
        <row r="119">
          <cell r="A119" t="str">
            <v>CA018</v>
          </cell>
          <cell r="AU119">
            <v>88.825216186637164</v>
          </cell>
        </row>
        <row r="120">
          <cell r="A120" t="str">
            <v>CA019</v>
          </cell>
          <cell r="AU120">
            <v>93.256832532072352</v>
          </cell>
        </row>
        <row r="121">
          <cell r="A121" t="str">
            <v>CA020</v>
          </cell>
          <cell r="AU121">
            <v>96.271194795735298</v>
          </cell>
        </row>
        <row r="122">
          <cell r="A122" t="str">
            <v>CA021</v>
          </cell>
          <cell r="AU122">
            <v>90.611883285060202</v>
          </cell>
        </row>
        <row r="123">
          <cell r="A123" t="str">
            <v>CA022</v>
          </cell>
          <cell r="AU123">
            <v>96.544443432374834</v>
          </cell>
        </row>
        <row r="124">
          <cell r="A124" t="str">
            <v>CA023</v>
          </cell>
          <cell r="AU124">
            <v>94.232258322472063</v>
          </cell>
        </row>
        <row r="125">
          <cell r="A125" t="str">
            <v>CA024</v>
          </cell>
          <cell r="AU125">
            <v>95.957942302884106</v>
          </cell>
        </row>
        <row r="126">
          <cell r="A126" t="str">
            <v>CA025</v>
          </cell>
          <cell r="AU126">
            <v>95.337604364892485</v>
          </cell>
        </row>
        <row r="127">
          <cell r="A127" t="str">
            <v>CA026</v>
          </cell>
          <cell r="AU127">
            <v>89.580178011311446</v>
          </cell>
        </row>
        <row r="128">
          <cell r="A128" t="str">
            <v>CA027</v>
          </cell>
          <cell r="AU128">
            <v>90.548707098481913</v>
          </cell>
        </row>
        <row r="129">
          <cell r="A129" t="str">
            <v>CA028</v>
          </cell>
          <cell r="AU129">
            <v>94.451373889375304</v>
          </cell>
        </row>
        <row r="130">
          <cell r="A130" t="str">
            <v>CA029</v>
          </cell>
          <cell r="AU130">
            <v>92.379727168907181</v>
          </cell>
        </row>
        <row r="131">
          <cell r="A131" t="str">
            <v>CA030</v>
          </cell>
          <cell r="AU131">
            <v>99.165328369665957</v>
          </cell>
        </row>
        <row r="132">
          <cell r="A132" t="str">
            <v>CA031</v>
          </cell>
          <cell r="AU132">
            <v>93.744354514117632</v>
          </cell>
        </row>
        <row r="133">
          <cell r="A133" t="str">
            <v>CA032</v>
          </cell>
          <cell r="AU133">
            <v>93.755953364927763</v>
          </cell>
        </row>
        <row r="134">
          <cell r="A134" t="str">
            <v>CA033</v>
          </cell>
          <cell r="AU134">
            <v>94.510748705987353</v>
          </cell>
        </row>
        <row r="135">
          <cell r="A135" t="str">
            <v>CA034</v>
          </cell>
          <cell r="AU135">
            <v>94.653823201385563</v>
          </cell>
        </row>
        <row r="136">
          <cell r="A136" t="str">
            <v>CA035</v>
          </cell>
          <cell r="AU136">
            <v>94.703434335224557</v>
          </cell>
        </row>
        <row r="137">
          <cell r="A137" t="str">
            <v>CA036</v>
          </cell>
          <cell r="AU137">
            <v>94.045467052799196</v>
          </cell>
        </row>
        <row r="138">
          <cell r="A138" t="str">
            <v>CA037</v>
          </cell>
          <cell r="AU138">
            <v>95.023430747802905</v>
          </cell>
        </row>
        <row r="139">
          <cell r="A139" t="str">
            <v>CA038</v>
          </cell>
          <cell r="AU139">
            <v>95.149931915355324</v>
          </cell>
        </row>
        <row r="140">
          <cell r="A140" t="str">
            <v>CA039</v>
          </cell>
          <cell r="AU140">
            <v>92.54089949084161</v>
          </cell>
        </row>
        <row r="141">
          <cell r="A141" t="str">
            <v>CA040</v>
          </cell>
          <cell r="AU141">
            <v>94.468287382263057</v>
          </cell>
        </row>
        <row r="142">
          <cell r="A142" t="str">
            <v>CA041</v>
          </cell>
          <cell r="AU142">
            <v>90.693632481516147</v>
          </cell>
        </row>
        <row r="143">
          <cell r="A143" t="str">
            <v>CA042</v>
          </cell>
          <cell r="AU143">
            <v>93.387729203040266</v>
          </cell>
        </row>
        <row r="144">
          <cell r="A144" t="str">
            <v>CA043</v>
          </cell>
          <cell r="AU144">
            <v>92.301580285213745</v>
          </cell>
        </row>
        <row r="145">
          <cell r="A145" t="str">
            <v>CA044</v>
          </cell>
          <cell r="AU145">
            <v>95.47146892959492</v>
          </cell>
        </row>
        <row r="146">
          <cell r="A146" t="str">
            <v>CA045</v>
          </cell>
          <cell r="AU146">
            <v>95.327861606040415</v>
          </cell>
        </row>
        <row r="147">
          <cell r="A147" t="str">
            <v>CA046</v>
          </cell>
          <cell r="AU147">
            <v>96.037505306647844</v>
          </cell>
        </row>
        <row r="148">
          <cell r="A148" t="str">
            <v>CA047</v>
          </cell>
          <cell r="AU148">
            <v>90.435403081015338</v>
          </cell>
        </row>
        <row r="149">
          <cell r="A149" t="str">
            <v>CA048</v>
          </cell>
          <cell r="AU149">
            <v>91.935604428876957</v>
          </cell>
        </row>
        <row r="150">
          <cell r="A150" t="str">
            <v>CA049</v>
          </cell>
          <cell r="AU150">
            <v>90.096176580018806</v>
          </cell>
        </row>
        <row r="151">
          <cell r="A151" t="str">
            <v>CA050</v>
          </cell>
          <cell r="AU151">
            <v>91.160984251356965</v>
          </cell>
        </row>
        <row r="152">
          <cell r="A152" t="str">
            <v>CA051</v>
          </cell>
          <cell r="AU152">
            <v>97.110207612864656</v>
          </cell>
        </row>
        <row r="153">
          <cell r="A153" t="str">
            <v>CA052</v>
          </cell>
          <cell r="AU153">
            <v>93.955688908867202</v>
          </cell>
        </row>
        <row r="154">
          <cell r="A154" t="str">
            <v>CA053</v>
          </cell>
          <cell r="AU154">
            <v>93.201117045963912</v>
          </cell>
        </row>
        <row r="155">
          <cell r="A155" t="str">
            <v>CA054</v>
          </cell>
          <cell r="AU155">
            <v>98.594401379338521</v>
          </cell>
        </row>
        <row r="156">
          <cell r="A156" t="str">
            <v>CA055</v>
          </cell>
          <cell r="AU156">
            <v>92.001421037013401</v>
          </cell>
        </row>
        <row r="157">
          <cell r="A157" t="str">
            <v>CA056</v>
          </cell>
          <cell r="AU157">
            <v>98.547841921632482</v>
          </cell>
        </row>
        <row r="158">
          <cell r="A158" t="str">
            <v>CA057</v>
          </cell>
          <cell r="AU158">
            <v>95.30958953671977</v>
          </cell>
        </row>
        <row r="159">
          <cell r="A159" t="str">
            <v>CA058</v>
          </cell>
          <cell r="AU159">
            <v>94.916368405240789</v>
          </cell>
        </row>
        <row r="160">
          <cell r="A160" t="str">
            <v>CA059</v>
          </cell>
          <cell r="AU160">
            <v>94.672690305430109</v>
          </cell>
        </row>
        <row r="161">
          <cell r="A161" t="str">
            <v>CA060</v>
          </cell>
          <cell r="AU161">
            <v>95.964139881158587</v>
          </cell>
        </row>
        <row r="162">
          <cell r="A162" t="str">
            <v>CA061</v>
          </cell>
          <cell r="AU162">
            <v>96.907424929882168</v>
          </cell>
        </row>
        <row r="163">
          <cell r="A163" t="str">
            <v>CA062</v>
          </cell>
          <cell r="AU163">
            <v>94.283239341838936</v>
          </cell>
        </row>
        <row r="164">
          <cell r="A164" t="str">
            <v>CA063</v>
          </cell>
          <cell r="AU164">
            <v>89.622426366714592</v>
          </cell>
        </row>
        <row r="165">
          <cell r="A165" t="str">
            <v>CA064</v>
          </cell>
          <cell r="AU165">
            <v>95.468836285735648</v>
          </cell>
        </row>
        <row r="166">
          <cell r="A166" t="str">
            <v>CA065</v>
          </cell>
          <cell r="AU166">
            <v>95.468836285735648</v>
          </cell>
        </row>
        <row r="167">
          <cell r="A167" t="str">
            <v>CA066</v>
          </cell>
          <cell r="AU167">
            <v>95.411155352297129</v>
          </cell>
        </row>
        <row r="168">
          <cell r="A168" t="str">
            <v>CA067</v>
          </cell>
          <cell r="AU168">
            <v>97.574485486208175</v>
          </cell>
        </row>
        <row r="169">
          <cell r="A169" t="str">
            <v>CA068</v>
          </cell>
          <cell r="AU169">
            <v>101.10646423110623</v>
          </cell>
        </row>
        <row r="170">
          <cell r="A170" t="str">
            <v>CA069</v>
          </cell>
          <cell r="AU170">
            <v>98.374430517533199</v>
          </cell>
        </row>
        <row r="171">
          <cell r="A171" t="str">
            <v>CA070</v>
          </cell>
          <cell r="AU171">
            <v>101.61477490794771</v>
          </cell>
        </row>
        <row r="172">
          <cell r="A172">
            <v>70</v>
          </cell>
          <cell r="AU172">
            <v>94.576044053982088</v>
          </cell>
        </row>
        <row r="173">
          <cell r="A173" t="str">
            <v>CA071</v>
          </cell>
          <cell r="P173">
            <v>63</v>
          </cell>
          <cell r="Q173">
            <v>7.4426807760141074</v>
          </cell>
          <cell r="T173">
            <v>1.0131944444444445</v>
          </cell>
          <cell r="U173">
            <v>1.1333333333333333</v>
          </cell>
          <cell r="V173">
            <v>77</v>
          </cell>
          <cell r="Z173">
            <v>0.26874999999999993</v>
          </cell>
          <cell r="AF173">
            <v>53.2</v>
          </cell>
          <cell r="AG173">
            <v>11.6</v>
          </cell>
          <cell r="AI173">
            <v>49.3</v>
          </cell>
          <cell r="AU173">
            <v>91.322447267719596</v>
          </cell>
          <cell r="AV173">
            <v>95.159711974888367</v>
          </cell>
          <cell r="AX173" t="str">
            <v>K.Benjamin</v>
          </cell>
        </row>
        <row r="174">
          <cell r="A174" t="str">
            <v>CA072</v>
          </cell>
          <cell r="P174">
            <v>62</v>
          </cell>
          <cell r="Q174">
            <v>7.2432432432432359</v>
          </cell>
          <cell r="T174">
            <v>1.1263888888888889</v>
          </cell>
          <cell r="U174">
            <v>1.2520833333333334</v>
          </cell>
          <cell r="V174">
            <v>77</v>
          </cell>
          <cell r="Z174">
            <v>0.27291666666666681</v>
          </cell>
          <cell r="AF174">
            <v>53.1</v>
          </cell>
          <cell r="AG174">
            <v>11.9</v>
          </cell>
          <cell r="AI174">
            <v>49.8</v>
          </cell>
          <cell r="AU174">
            <v>94.643337024811686</v>
          </cell>
          <cell r="AV174">
            <v>98.620357804666298</v>
          </cell>
          <cell r="AX174" t="str">
            <v>K.Benjamin</v>
          </cell>
        </row>
        <row r="175">
          <cell r="A175" t="str">
            <v>CA073</v>
          </cell>
          <cell r="P175">
            <v>57</v>
          </cell>
          <cell r="Q175">
            <v>7.7543859649122835</v>
          </cell>
          <cell r="T175">
            <v>0.67013888888888884</v>
          </cell>
          <cell r="U175">
            <v>0.77777777777777779</v>
          </cell>
          <cell r="V175">
            <v>57</v>
          </cell>
          <cell r="Z175">
            <v>0.27777777777777779</v>
          </cell>
          <cell r="AF175">
            <v>53.3</v>
          </cell>
          <cell r="AG175">
            <v>11.6</v>
          </cell>
          <cell r="AI175">
            <v>49.4</v>
          </cell>
          <cell r="AU175">
            <v>90.625657788599028</v>
          </cell>
          <cell r="AV175">
            <v>94.279175982290141</v>
          </cell>
          <cell r="AX175" t="str">
            <v>R.Sookram</v>
          </cell>
        </row>
        <row r="176">
          <cell r="A176" t="str">
            <v>CA074</v>
          </cell>
          <cell r="P176">
            <v>57</v>
          </cell>
          <cell r="Q176">
            <v>6.642201834862381</v>
          </cell>
          <cell r="T176">
            <v>0.78541666666666665</v>
          </cell>
          <cell r="U176">
            <v>0.89513888888888893</v>
          </cell>
          <cell r="V176">
            <v>60</v>
          </cell>
          <cell r="Z176">
            <v>0.28402777777777777</v>
          </cell>
          <cell r="AF176">
            <v>54.1</v>
          </cell>
          <cell r="AG176">
            <v>12.1</v>
          </cell>
          <cell r="AI176">
            <v>50.4</v>
          </cell>
          <cell r="AU176">
            <v>96.877995805558157</v>
          </cell>
          <cell r="AV176">
            <v>100.95001730306134</v>
          </cell>
          <cell r="AX176" t="str">
            <v>R.Sookram</v>
          </cell>
        </row>
        <row r="177">
          <cell r="A177" t="str">
            <v>CA075</v>
          </cell>
          <cell r="P177">
            <v>60</v>
          </cell>
          <cell r="Q177">
            <v>8.9323843416370163</v>
          </cell>
          <cell r="T177">
            <v>0.88888888888888884</v>
          </cell>
          <cell r="U177">
            <v>0.99652777777777779</v>
          </cell>
          <cell r="V177">
            <v>57</v>
          </cell>
          <cell r="Z177">
            <v>0.27083333333333337</v>
          </cell>
          <cell r="AF177">
            <v>52.3</v>
          </cell>
          <cell r="AG177">
            <v>11.9</v>
          </cell>
          <cell r="AI177">
            <v>48.6</v>
          </cell>
          <cell r="AU177">
            <v>92.135214898662127</v>
          </cell>
          <cell r="AV177">
            <v>96.007260698439694</v>
          </cell>
          <cell r="AX177" t="str">
            <v>R.Sookram</v>
          </cell>
        </row>
        <row r="178">
          <cell r="A178" t="str">
            <v>CA076</v>
          </cell>
          <cell r="P178">
            <v>60</v>
          </cell>
          <cell r="Q178">
            <v>7.3049645390070879</v>
          </cell>
          <cell r="T178">
            <v>0.99236111111111114</v>
          </cell>
          <cell r="U178">
            <v>1.0965277777777778</v>
          </cell>
          <cell r="V178">
            <v>57</v>
          </cell>
          <cell r="Z178">
            <v>0.2631944444444444</v>
          </cell>
          <cell r="AF178">
            <v>53.4</v>
          </cell>
          <cell r="AG178">
            <v>11.8</v>
          </cell>
          <cell r="AI178">
            <v>49.9</v>
          </cell>
          <cell r="AU178">
            <v>93.533472030969435</v>
          </cell>
          <cell r="AV178">
            <v>97.464703989523088</v>
          </cell>
          <cell r="AX178" t="str">
            <v>K.Benjamin</v>
          </cell>
        </row>
        <row r="179">
          <cell r="A179" t="str">
            <v>CA077</v>
          </cell>
          <cell r="P179">
            <v>62</v>
          </cell>
          <cell r="Q179">
            <v>6.7971530249110321</v>
          </cell>
          <cell r="T179">
            <v>1.0916666666666666</v>
          </cell>
          <cell r="U179">
            <v>1.2055555555555555</v>
          </cell>
          <cell r="V179">
            <v>61</v>
          </cell>
          <cell r="Z179">
            <v>0.26805555555555549</v>
          </cell>
          <cell r="AF179">
            <v>53.5</v>
          </cell>
          <cell r="AG179">
            <v>11.8</v>
          </cell>
          <cell r="AI179">
            <v>50.1</v>
          </cell>
          <cell r="AU179">
            <v>94.139723416562532</v>
          </cell>
          <cell r="AV179">
            <v>98.096010066007523</v>
          </cell>
          <cell r="AX179" t="str">
            <v>K.Benjamin</v>
          </cell>
        </row>
        <row r="180">
          <cell r="A180" t="str">
            <v>CA078</v>
          </cell>
          <cell r="P180">
            <v>60</v>
          </cell>
          <cell r="Q180">
            <v>6.5107913669064699</v>
          </cell>
          <cell r="T180">
            <v>0.12916666666666668</v>
          </cell>
          <cell r="U180">
            <v>0.34444444444444444</v>
          </cell>
          <cell r="V180">
            <v>65</v>
          </cell>
          <cell r="Z180">
            <v>0.29236111111111113</v>
          </cell>
          <cell r="AF180">
            <v>53.1</v>
          </cell>
          <cell r="AG180">
            <v>11.9</v>
          </cell>
          <cell r="AI180">
            <v>50</v>
          </cell>
          <cell r="AU180">
            <v>95.023430747802905</v>
          </cell>
          <cell r="AV180">
            <v>99.016423498660956</v>
          </cell>
          <cell r="AX180" t="str">
            <v>K.Benjamin</v>
          </cell>
        </row>
        <row r="181">
          <cell r="A181" t="str">
            <v>CA079</v>
          </cell>
          <cell r="P181">
            <v>60</v>
          </cell>
          <cell r="Q181">
            <v>6.9512195121951255</v>
          </cell>
          <cell r="T181">
            <v>0.23958333333333334</v>
          </cell>
          <cell r="U181">
            <v>0.45</v>
          </cell>
          <cell r="V181">
            <v>63</v>
          </cell>
          <cell r="Z181">
            <v>0.28333333333333333</v>
          </cell>
          <cell r="AF181">
            <v>50</v>
          </cell>
          <cell r="AG181">
            <v>11.8</v>
          </cell>
          <cell r="AI181">
            <v>47</v>
          </cell>
          <cell r="AU181">
            <v>88.206051282479294</v>
          </cell>
          <cell r="AV181">
            <v>91.913171184371706</v>
          </cell>
          <cell r="AX181" t="str">
            <v>R. Regis</v>
          </cell>
        </row>
        <row r="182">
          <cell r="A182" t="str">
            <v>CA080</v>
          </cell>
          <cell r="P182">
            <v>60</v>
          </cell>
          <cell r="Q182">
            <v>5.3641207815275243</v>
          </cell>
          <cell r="T182">
            <v>0.35972222222222222</v>
          </cell>
          <cell r="U182">
            <v>0.55763888888888891</v>
          </cell>
          <cell r="V182">
            <v>73</v>
          </cell>
          <cell r="Z182">
            <v>0.27638888888888891</v>
          </cell>
          <cell r="AF182">
            <v>55.4</v>
          </cell>
          <cell r="AG182">
            <v>11.9</v>
          </cell>
          <cell r="AI182">
            <v>52.1</v>
          </cell>
          <cell r="AU182">
            <v>98.770467000417625</v>
          </cell>
          <cell r="AV182">
            <v>102.9213638351586</v>
          </cell>
          <cell r="AX182" t="str">
            <v>R. Regis</v>
          </cell>
        </row>
        <row r="183">
          <cell r="A183" t="str">
            <v>CA081</v>
          </cell>
          <cell r="P183">
            <v>60</v>
          </cell>
          <cell r="Q183">
            <v>5.3832442067736244</v>
          </cell>
          <cell r="T183">
            <v>0.56180555555555556</v>
          </cell>
          <cell r="U183">
            <v>0.6875</v>
          </cell>
          <cell r="V183">
            <v>72</v>
          </cell>
          <cell r="Z183">
            <v>0.2673611111111111</v>
          </cell>
          <cell r="AF183">
            <v>53.8</v>
          </cell>
          <cell r="AG183">
            <v>11.6</v>
          </cell>
          <cell r="AI183">
            <v>50.1</v>
          </cell>
          <cell r="AU183">
            <v>92.689746877485774</v>
          </cell>
          <cell r="AV183">
            <v>96.584675575050468</v>
          </cell>
          <cell r="AX183" t="str">
            <v>R. Regis</v>
          </cell>
        </row>
        <row r="184">
          <cell r="A184" t="str">
            <v>CA082</v>
          </cell>
          <cell r="P184">
            <v>58</v>
          </cell>
          <cell r="Q184">
            <v>5.7092198581560263</v>
          </cell>
          <cell r="T184">
            <v>0.6743055555555556</v>
          </cell>
          <cell r="U184">
            <v>0.80555555555555558</v>
          </cell>
          <cell r="V184">
            <v>95</v>
          </cell>
          <cell r="Z184">
            <v>0.27430555555555558</v>
          </cell>
          <cell r="AF184">
            <v>53.9</v>
          </cell>
          <cell r="AG184">
            <v>11.7</v>
          </cell>
          <cell r="AI184">
            <v>50.9</v>
          </cell>
          <cell r="AU184">
            <v>94.673754897931531</v>
          </cell>
          <cell r="AV184">
            <v>98.652699152504695</v>
          </cell>
          <cell r="AX184" t="str">
            <v>R. Sookram</v>
          </cell>
        </row>
        <row r="185">
          <cell r="A185" t="str">
            <v>CA083</v>
          </cell>
          <cell r="P185">
            <v>57</v>
          </cell>
          <cell r="Q185">
            <v>4.1428571428571432</v>
          </cell>
          <cell r="T185">
            <v>0.24444444444444444</v>
          </cell>
          <cell r="U185">
            <v>0.36875000000000002</v>
          </cell>
          <cell r="V185">
            <v>61</v>
          </cell>
          <cell r="Z185">
            <v>0.28541666666666671</v>
          </cell>
          <cell r="AF185">
            <v>56.6</v>
          </cell>
          <cell r="AG185">
            <v>12</v>
          </cell>
          <cell r="AI185">
            <v>52</v>
          </cell>
          <cell r="AU185">
            <v>98.858629653014077</v>
          </cell>
          <cell r="AV185">
            <v>102.84405509271879</v>
          </cell>
          <cell r="AX185" t="str">
            <v>R. Sookram</v>
          </cell>
        </row>
        <row r="186">
          <cell r="A186" t="str">
            <v>CA084</v>
          </cell>
          <cell r="P186">
            <v>61</v>
          </cell>
          <cell r="Q186">
            <v>6.3732394366197136</v>
          </cell>
          <cell r="T186">
            <v>0.35416666666666669</v>
          </cell>
          <cell r="U186">
            <v>0.46805555555555556</v>
          </cell>
          <cell r="V186">
            <v>61</v>
          </cell>
          <cell r="Z186">
            <v>0.27708333333333335</v>
          </cell>
          <cell r="AF186">
            <v>53.9</v>
          </cell>
          <cell r="AG186">
            <v>11.6</v>
          </cell>
          <cell r="AI186">
            <v>51</v>
          </cell>
          <cell r="AU186">
            <v>93.560901765557716</v>
          </cell>
          <cell r="AV186">
            <v>97.332752532323838</v>
          </cell>
          <cell r="AX186" t="str">
            <v>R. Sookram</v>
          </cell>
        </row>
        <row r="187">
          <cell r="A187" t="str">
            <v>CA085</v>
          </cell>
          <cell r="P187">
            <v>60</v>
          </cell>
          <cell r="Q187">
            <v>6.0424028268551266</v>
          </cell>
          <cell r="T187">
            <v>0.4597222222222222</v>
          </cell>
          <cell r="U187">
            <v>0.57361111111111107</v>
          </cell>
          <cell r="V187">
            <v>61</v>
          </cell>
          <cell r="Z187">
            <v>0.28194444444444439</v>
          </cell>
          <cell r="AF187">
            <v>53.9</v>
          </cell>
          <cell r="AG187">
            <v>11.6</v>
          </cell>
          <cell r="AI187">
            <v>51.4</v>
          </cell>
          <cell r="AU187">
            <v>94.294712759797378</v>
          </cell>
          <cell r="AV187">
            <v>98.096146669832251</v>
          </cell>
          <cell r="AX187" t="str">
            <v>R. Regis</v>
          </cell>
        </row>
        <row r="188">
          <cell r="A188" t="str">
            <v>CA086</v>
          </cell>
          <cell r="P188">
            <v>60</v>
          </cell>
          <cell r="Q188">
            <v>4.6619217081850612</v>
          </cell>
          <cell r="T188">
            <v>0.56944444444444442</v>
          </cell>
          <cell r="U188">
            <v>0.67777777777777781</v>
          </cell>
          <cell r="V188">
            <v>65</v>
          </cell>
          <cell r="Z188">
            <v>0.26111111111111113</v>
          </cell>
          <cell r="AF188">
            <v>54.3</v>
          </cell>
          <cell r="AG188">
            <v>11.65</v>
          </cell>
          <cell r="AI188">
            <v>50.9</v>
          </cell>
          <cell r="AU188">
            <v>94.907296083516144</v>
          </cell>
          <cell r="AV188">
            <v>98.895624878792646</v>
          </cell>
          <cell r="AX188" t="str">
            <v>R. Regis</v>
          </cell>
        </row>
        <row r="189">
          <cell r="A189" t="str">
            <v>CA087</v>
          </cell>
          <cell r="P189">
            <v>61</v>
          </cell>
          <cell r="Q189">
            <v>3.7992831541218597</v>
          </cell>
          <cell r="T189">
            <v>0.6791666666666667</v>
          </cell>
          <cell r="U189">
            <v>0.80972222222222223</v>
          </cell>
          <cell r="V189">
            <v>64</v>
          </cell>
          <cell r="Z189">
            <v>0.27500000000000002</v>
          </cell>
          <cell r="AF189">
            <v>55.3</v>
          </cell>
          <cell r="AG189">
            <v>11.9</v>
          </cell>
          <cell r="AI189">
            <v>51.9</v>
          </cell>
          <cell r="AU189">
            <v>98.512665561743688</v>
          </cell>
          <cell r="AV189">
            <v>102.65250429883721</v>
          </cell>
          <cell r="AX189" t="str">
            <v>R. Regis</v>
          </cell>
        </row>
        <row r="190">
          <cell r="A190" t="str">
            <v>CA088</v>
          </cell>
          <cell r="P190">
            <v>60</v>
          </cell>
          <cell r="Q190">
            <v>4.1577060931899519</v>
          </cell>
          <cell r="T190">
            <v>0.79791666666666672</v>
          </cell>
          <cell r="U190">
            <v>0.90833333333333333</v>
          </cell>
          <cell r="V190">
            <v>61</v>
          </cell>
          <cell r="Z190">
            <v>0.26944444444444449</v>
          </cell>
          <cell r="AF190">
            <v>54.2</v>
          </cell>
          <cell r="AG190">
            <v>11.7</v>
          </cell>
          <cell r="AI190">
            <v>50.8</v>
          </cell>
          <cell r="AU190">
            <v>94.487755379468013</v>
          </cell>
          <cell r="AV190">
            <v>98.45888245475912</v>
          </cell>
          <cell r="AX190" t="str">
            <v>R. Regis</v>
          </cell>
        </row>
        <row r="191">
          <cell r="A191" t="str">
            <v>CA089</v>
          </cell>
          <cell r="P191">
            <v>60</v>
          </cell>
          <cell r="Q191">
            <v>3.9642857142857126</v>
          </cell>
          <cell r="T191">
            <v>0.90694444444444444</v>
          </cell>
          <cell r="U191">
            <v>1.0243055555555556</v>
          </cell>
          <cell r="V191">
            <v>64</v>
          </cell>
          <cell r="Z191">
            <v>0.27083333333333337</v>
          </cell>
          <cell r="AF191">
            <v>54.5</v>
          </cell>
          <cell r="AG191">
            <v>11.82</v>
          </cell>
          <cell r="AI191">
            <v>50.9</v>
          </cell>
          <cell r="AU191">
            <v>95.057455440135968</v>
          </cell>
          <cell r="AV191">
            <v>99.053382314723549</v>
          </cell>
          <cell r="AX191" t="str">
            <v>R. Regis</v>
          </cell>
        </row>
        <row r="192">
          <cell r="A192" t="str">
            <v>CA090</v>
          </cell>
          <cell r="P192">
            <v>57</v>
          </cell>
          <cell r="Q192">
            <v>3.5438596491227998</v>
          </cell>
          <cell r="T192">
            <v>1.0194444444444444</v>
          </cell>
          <cell r="U192">
            <v>1.125</v>
          </cell>
          <cell r="V192">
            <v>65</v>
          </cell>
          <cell r="Z192">
            <v>0.25</v>
          </cell>
          <cell r="AF192">
            <v>55.9</v>
          </cell>
          <cell r="AG192">
            <v>11.6</v>
          </cell>
          <cell r="AI192">
            <v>52.5</v>
          </cell>
          <cell r="AU192">
            <v>96.4155793854151</v>
          </cell>
          <cell r="AV192">
            <v>100.4683812883038</v>
          </cell>
          <cell r="AX192" t="str">
            <v>R. Sookram</v>
          </cell>
        </row>
        <row r="193">
          <cell r="A193" t="str">
            <v>CA091</v>
          </cell>
          <cell r="P193">
            <v>58</v>
          </cell>
          <cell r="Q193">
            <v>6.2745098039215739</v>
          </cell>
          <cell r="T193">
            <v>1.0840277777777778</v>
          </cell>
          <cell r="U193">
            <v>1.211111111111111</v>
          </cell>
          <cell r="V193">
            <v>74</v>
          </cell>
          <cell r="Z193">
            <v>0.28402777777777766</v>
          </cell>
          <cell r="AF193">
            <v>53.3</v>
          </cell>
          <cell r="AG193">
            <v>12.01</v>
          </cell>
          <cell r="AI193">
            <v>49.1</v>
          </cell>
          <cell r="AU193">
            <v>93.674736941647851</v>
          </cell>
          <cell r="AV193">
            <v>97.611906294798573</v>
          </cell>
          <cell r="AX193" t="str">
            <v>R. Sookram</v>
          </cell>
        </row>
        <row r="194">
          <cell r="A194" t="str">
            <v>CA092</v>
          </cell>
          <cell r="P194">
            <v>57</v>
          </cell>
          <cell r="Q194">
            <v>6.3652802893309159</v>
          </cell>
          <cell r="T194">
            <v>1.2041666666666666</v>
          </cell>
          <cell r="U194">
            <v>1.3145833333333334</v>
          </cell>
          <cell r="V194">
            <v>60</v>
          </cell>
          <cell r="Z194">
            <v>0.29375000000000018</v>
          </cell>
          <cell r="AF194">
            <v>52.9</v>
          </cell>
          <cell r="AG194">
            <v>11.9</v>
          </cell>
          <cell r="AI194">
            <v>49.5</v>
          </cell>
          <cell r="AU194">
            <v>93.610787987459005</v>
          </cell>
          <cell r="AV194">
            <v>97.545269552302898</v>
          </cell>
          <cell r="AX194" t="str">
            <v>R. Sookram</v>
          </cell>
        </row>
        <row r="195">
          <cell r="A195" t="str">
            <v>CA093</v>
          </cell>
          <cell r="P195">
            <v>62</v>
          </cell>
          <cell r="Q195">
            <v>6.0424028268551266</v>
          </cell>
          <cell r="T195">
            <v>0.30208333333333331</v>
          </cell>
          <cell r="U195">
            <v>0.44305555555555554</v>
          </cell>
          <cell r="V195">
            <v>99</v>
          </cell>
          <cell r="Z195">
            <v>0.29374999999999996</v>
          </cell>
          <cell r="AF195">
            <v>55.7</v>
          </cell>
          <cell r="AG195">
            <v>11.9</v>
          </cell>
          <cell r="AI195">
            <v>52.5</v>
          </cell>
          <cell r="AU195">
            <v>99.406324820701613</v>
          </cell>
          <cell r="AV195">
            <v>103.58416930822607</v>
          </cell>
          <cell r="AX195" t="str">
            <v>R. Regis</v>
          </cell>
        </row>
        <row r="196">
          <cell r="A196" t="str">
            <v>CA094</v>
          </cell>
          <cell r="P196">
            <v>61</v>
          </cell>
          <cell r="Q196">
            <v>5.0267379679144391</v>
          </cell>
          <cell r="T196">
            <v>0.40972222222222221</v>
          </cell>
          <cell r="U196">
            <v>0.52708333333333335</v>
          </cell>
          <cell r="V196">
            <v>62</v>
          </cell>
          <cell r="Z196">
            <v>0.28055555555555556</v>
          </cell>
          <cell r="AF196">
            <v>54</v>
          </cell>
          <cell r="AG196">
            <v>11.7</v>
          </cell>
          <cell r="AI196">
            <v>50.7</v>
          </cell>
          <cell r="AU196">
            <v>94.417924348057809</v>
          </cell>
          <cell r="AV196">
            <v>98.385902583065132</v>
          </cell>
          <cell r="AX196" t="str">
            <v>R. Regis</v>
          </cell>
        </row>
        <row r="197">
          <cell r="A197" t="str">
            <v>CA095</v>
          </cell>
          <cell r="P197">
            <v>60</v>
          </cell>
          <cell r="Q197">
            <v>4.6619217081850612</v>
          </cell>
          <cell r="T197">
            <v>0.51736111111111116</v>
          </cell>
          <cell r="U197">
            <v>0.63402777777777775</v>
          </cell>
          <cell r="V197">
            <v>67</v>
          </cell>
          <cell r="Z197">
            <v>0.26597222222222217</v>
          </cell>
          <cell r="AF197">
            <v>55.2</v>
          </cell>
          <cell r="AG197">
            <v>11.7</v>
          </cell>
          <cell r="AI197">
            <v>51.5</v>
          </cell>
          <cell r="AU197">
            <v>98.829665455011778</v>
          </cell>
          <cell r="AV197">
            <v>102.97750425686239</v>
          </cell>
          <cell r="AX197" t="str">
            <v>R. Regis</v>
          </cell>
        </row>
        <row r="198">
          <cell r="A198" t="str">
            <v>CA096</v>
          </cell>
          <cell r="P198">
            <v>60</v>
          </cell>
          <cell r="Q198">
            <v>4.822695035460991</v>
          </cell>
          <cell r="T198">
            <v>0.62569444444444444</v>
          </cell>
          <cell r="U198">
            <v>0.73611111111111116</v>
          </cell>
          <cell r="V198">
            <v>63</v>
          </cell>
          <cell r="Z198">
            <v>0.25000000000000006</v>
          </cell>
          <cell r="AF198">
            <v>54.4</v>
          </cell>
          <cell r="AG198">
            <v>11.8</v>
          </cell>
          <cell r="AI198">
            <v>51.1</v>
          </cell>
          <cell r="AU198">
            <v>95.665215493250571</v>
          </cell>
          <cell r="AV198">
            <v>99.686260838094938</v>
          </cell>
          <cell r="AX198" t="str">
            <v>R. Regis</v>
          </cell>
        </row>
        <row r="199">
          <cell r="A199" t="str">
            <v>CA097</v>
          </cell>
          <cell r="P199">
            <v>62</v>
          </cell>
          <cell r="Q199">
            <v>5.7092198581560263</v>
          </cell>
          <cell r="T199">
            <v>0.73888888888888893</v>
          </cell>
          <cell r="U199">
            <v>0.86458333333333337</v>
          </cell>
          <cell r="V199">
            <v>66</v>
          </cell>
          <cell r="Z199">
            <v>0.27083333333333337</v>
          </cell>
          <cell r="AF199">
            <v>53.9</v>
          </cell>
          <cell r="AG199">
            <v>11.7</v>
          </cell>
          <cell r="AI199">
            <v>51.4</v>
          </cell>
          <cell r="AU199">
            <v>95.72152488146294</v>
          </cell>
          <cell r="AV199">
            <v>99.744287825829332</v>
          </cell>
          <cell r="AX199" t="str">
            <v>K.Benjamin</v>
          </cell>
        </row>
        <row r="200">
          <cell r="A200" t="str">
            <v>CA098</v>
          </cell>
          <cell r="P200">
            <v>59</v>
          </cell>
          <cell r="Q200">
            <v>6.0317460317460343</v>
          </cell>
          <cell r="T200">
            <v>0.84236111111111112</v>
          </cell>
          <cell r="U200">
            <v>0.96944444444444444</v>
          </cell>
          <cell r="V200">
            <v>74</v>
          </cell>
          <cell r="Z200">
            <v>0.2680555555555556</v>
          </cell>
          <cell r="AF200">
            <v>54</v>
          </cell>
          <cell r="AG200">
            <v>11.7</v>
          </cell>
          <cell r="AI200">
            <v>52.3</v>
          </cell>
          <cell r="AU200">
            <v>97.277748156420813</v>
          </cell>
          <cell r="AV200">
            <v>101.36613292094296</v>
          </cell>
          <cell r="AX200" t="str">
            <v>K.Benjamin</v>
          </cell>
        </row>
        <row r="201">
          <cell r="A201" t="str">
            <v>CA099</v>
          </cell>
          <cell r="P201">
            <v>57</v>
          </cell>
          <cell r="Q201">
            <v>7.1657754010695243</v>
          </cell>
          <cell r="T201">
            <v>0.99722222222222223</v>
          </cell>
          <cell r="U201">
            <v>1.1138888888888889</v>
          </cell>
          <cell r="V201">
            <v>61</v>
          </cell>
          <cell r="Z201">
            <v>0.2597222222222223</v>
          </cell>
          <cell r="AF201">
            <v>52.8</v>
          </cell>
          <cell r="AG201">
            <v>11.9</v>
          </cell>
          <cell r="AI201">
            <v>48.8</v>
          </cell>
          <cell r="AU201">
            <v>95.45407223763587</v>
          </cell>
          <cell r="AV201">
            <v>99.460008570494267</v>
          </cell>
          <cell r="AX201" t="str">
            <v>R. Sookram</v>
          </cell>
        </row>
        <row r="202">
          <cell r="A202" t="str">
            <v>CA100</v>
          </cell>
          <cell r="P202">
            <v>57</v>
          </cell>
          <cell r="Q202">
            <v>7.0503597122302182</v>
          </cell>
          <cell r="T202">
            <v>1.1152777777777778</v>
          </cell>
          <cell r="U202">
            <v>1.226388888888889</v>
          </cell>
          <cell r="V202">
            <v>59</v>
          </cell>
          <cell r="Z202">
            <v>0.26111111111111118</v>
          </cell>
          <cell r="AF202">
            <v>53.7</v>
          </cell>
          <cell r="AG202">
            <v>12</v>
          </cell>
          <cell r="AI202">
            <v>50.2</v>
          </cell>
          <cell r="AU202">
            <v>99.8213249704677</v>
          </cell>
          <cell r="AV202">
            <v>104.00908476743047</v>
          </cell>
          <cell r="AX202" t="str">
            <v>R. Sookram</v>
          </cell>
        </row>
        <row r="203">
          <cell r="A203" t="str">
            <v>CA101</v>
          </cell>
          <cell r="P203">
            <v>57</v>
          </cell>
          <cell r="Q203">
            <v>9.6613190730837815</v>
          </cell>
          <cell r="T203">
            <v>0.22430555555555556</v>
          </cell>
          <cell r="U203">
            <v>0.36458333333333331</v>
          </cell>
          <cell r="V203">
            <v>64</v>
          </cell>
          <cell r="Z203">
            <v>0.31597222222222221</v>
          </cell>
          <cell r="AF203">
            <v>53.1</v>
          </cell>
          <cell r="AG203">
            <v>12</v>
          </cell>
          <cell r="AI203">
            <v>49.5</v>
          </cell>
          <cell r="AU203">
            <v>97.307715934041752</v>
          </cell>
          <cell r="AV203">
            <v>101.3921468582564</v>
          </cell>
          <cell r="AX203" t="str">
            <v>R. Sookram</v>
          </cell>
        </row>
        <row r="204">
          <cell r="A204" t="str">
            <v>CA102</v>
          </cell>
          <cell r="P204">
            <v>60</v>
          </cell>
          <cell r="Q204">
            <v>6.2969588550983833</v>
          </cell>
          <cell r="T204">
            <v>0.38680555555555557</v>
          </cell>
          <cell r="U204">
            <v>0.49375000000000002</v>
          </cell>
          <cell r="V204">
            <v>55</v>
          </cell>
          <cell r="Z204">
            <v>0.3305555555555556</v>
          </cell>
          <cell r="AF204">
            <v>53.1</v>
          </cell>
          <cell r="AG204">
            <v>11.8</v>
          </cell>
          <cell r="AI204">
            <v>49.8</v>
          </cell>
          <cell r="AU204">
            <v>93.460879869520596</v>
          </cell>
          <cell r="AV204">
            <v>97.388849467695977</v>
          </cell>
          <cell r="AX204" t="str">
            <v>K.Benjamin</v>
          </cell>
        </row>
        <row r="205">
          <cell r="A205" t="str">
            <v>CA103</v>
          </cell>
          <cell r="P205">
            <v>61</v>
          </cell>
          <cell r="Q205">
            <v>5.9391771019678004</v>
          </cell>
          <cell r="T205">
            <v>0.49652777777777779</v>
          </cell>
          <cell r="U205">
            <v>0.60972222222222228</v>
          </cell>
          <cell r="V205">
            <v>59</v>
          </cell>
          <cell r="Z205">
            <v>0.26597222222222228</v>
          </cell>
          <cell r="AF205">
            <v>53.7</v>
          </cell>
          <cell r="AG205">
            <v>11.9</v>
          </cell>
          <cell r="AI205">
            <v>50.5</v>
          </cell>
          <cell r="AU205">
            <v>95.737208896757963</v>
          </cell>
          <cell r="AV205">
            <v>99.760630972658518</v>
          </cell>
          <cell r="AX205" t="str">
            <v>K.Benjamin</v>
          </cell>
        </row>
        <row r="206">
          <cell r="A206" t="str">
            <v>CA104</v>
          </cell>
          <cell r="P206">
            <v>61</v>
          </cell>
          <cell r="Q206">
            <v>5.3736654804270509</v>
          </cell>
          <cell r="T206">
            <v>0.61458333333333337</v>
          </cell>
          <cell r="U206">
            <v>0.7270833333333333</v>
          </cell>
          <cell r="V206">
            <v>48</v>
          </cell>
          <cell r="Z206">
            <v>0.2722222222222222</v>
          </cell>
          <cell r="AF206">
            <v>53.9</v>
          </cell>
          <cell r="AG206">
            <v>11.79</v>
          </cell>
          <cell r="AI206">
            <v>50.8</v>
          </cell>
          <cell r="AU206">
            <v>95.337604364892485</v>
          </cell>
          <cell r="AV206">
            <v>99.344448854597502</v>
          </cell>
          <cell r="AX206" t="str">
            <v>K.Benjamin</v>
          </cell>
        </row>
        <row r="207">
          <cell r="A207" t="str">
            <v>CA105</v>
          </cell>
          <cell r="P207">
            <v>60</v>
          </cell>
          <cell r="Q207">
            <v>5.9285714285714288</v>
          </cell>
          <cell r="T207">
            <v>0.72291666666666665</v>
          </cell>
          <cell r="U207">
            <v>0.84027777777777779</v>
          </cell>
          <cell r="V207">
            <v>64</v>
          </cell>
          <cell r="Z207">
            <v>0.26388888888888895</v>
          </cell>
          <cell r="AF207">
            <v>53.8</v>
          </cell>
          <cell r="AG207">
            <v>11.8</v>
          </cell>
          <cell r="AI207">
            <v>50.5</v>
          </cell>
          <cell r="AU207">
            <v>95.008376934499935</v>
          </cell>
          <cell r="AV207">
            <v>99.000953492438171</v>
          </cell>
          <cell r="AX207" t="str">
            <v>R. Regis</v>
          </cell>
        </row>
        <row r="208">
          <cell r="A208" t="str">
            <v>CA106</v>
          </cell>
          <cell r="P208">
            <v>60</v>
          </cell>
          <cell r="Q208">
            <v>5.8657243816254425</v>
          </cell>
          <cell r="T208">
            <v>0.83194444444444449</v>
          </cell>
          <cell r="U208">
            <v>0.9604166666666667</v>
          </cell>
          <cell r="V208">
            <v>71</v>
          </cell>
          <cell r="Z208">
            <v>0.2729166666666667</v>
          </cell>
          <cell r="AF208">
            <v>54.5</v>
          </cell>
          <cell r="AG208">
            <v>11.9</v>
          </cell>
          <cell r="AI208">
            <v>51.6</v>
          </cell>
          <cell r="AU208">
            <v>97.702216395203862</v>
          </cell>
          <cell r="AV208">
            <v>101.80844069151362</v>
          </cell>
          <cell r="AX208" t="str">
            <v>R. Regis</v>
          </cell>
        </row>
        <row r="209">
          <cell r="A209" t="str">
            <v>CA107</v>
          </cell>
          <cell r="P209">
            <v>60</v>
          </cell>
          <cell r="Q209">
            <v>6.9875222816399312</v>
          </cell>
          <cell r="T209">
            <v>0.18888888888888888</v>
          </cell>
          <cell r="U209">
            <v>0.29930555555555555</v>
          </cell>
          <cell r="V209">
            <v>58</v>
          </cell>
          <cell r="Z209">
            <v>0.25763888888888886</v>
          </cell>
          <cell r="AF209">
            <v>53.3</v>
          </cell>
          <cell r="AG209">
            <v>12.06</v>
          </cell>
          <cell r="AI209">
            <v>48.9</v>
          </cell>
          <cell r="AU209">
            <v>96.725169759375845</v>
          </cell>
          <cell r="AV209">
            <v>100.78561121853397</v>
          </cell>
          <cell r="AX209" t="str">
            <v>R. Regis</v>
          </cell>
        </row>
        <row r="210">
          <cell r="A210" t="str">
            <v>CA108</v>
          </cell>
          <cell r="P210">
            <v>61</v>
          </cell>
          <cell r="Q210">
            <v>6.9380530973451355</v>
          </cell>
          <cell r="T210">
            <v>0.29305555555555557</v>
          </cell>
          <cell r="U210">
            <v>0.40694444444444444</v>
          </cell>
          <cell r="V210">
            <v>64</v>
          </cell>
          <cell r="Z210">
            <v>0.25416666666666665</v>
          </cell>
          <cell r="AF210">
            <v>54.6</v>
          </cell>
          <cell r="AG210">
            <v>11.9</v>
          </cell>
          <cell r="AI210">
            <v>51.1</v>
          </cell>
          <cell r="AU210">
            <v>99.447332347643368</v>
          </cell>
          <cell r="AV210">
            <v>103.62181042491945</v>
          </cell>
          <cell r="AX210" t="str">
            <v>R. Regis</v>
          </cell>
        </row>
        <row r="211">
          <cell r="A211" t="str">
            <v>CA109</v>
          </cell>
          <cell r="P211">
            <v>61</v>
          </cell>
          <cell r="Q211">
            <v>5.4316546762589981</v>
          </cell>
          <cell r="T211">
            <v>0.40416666666666667</v>
          </cell>
          <cell r="U211">
            <v>0.51666666666666672</v>
          </cell>
          <cell r="V211">
            <v>61</v>
          </cell>
          <cell r="Z211">
            <v>0.25277777777777782</v>
          </cell>
          <cell r="AF211">
            <v>54.6</v>
          </cell>
          <cell r="AG211">
            <v>11.8</v>
          </cell>
          <cell r="AI211">
            <v>51.2</v>
          </cell>
          <cell r="AU211">
            <v>99.011995036913419</v>
          </cell>
          <cell r="AV211">
            <v>103.16772437663937</v>
          </cell>
          <cell r="AX211" t="str">
            <v>R. Sookram</v>
          </cell>
        </row>
        <row r="212">
          <cell r="A212" t="str">
            <v>CA110</v>
          </cell>
          <cell r="P212">
            <v>57</v>
          </cell>
          <cell r="Q212">
            <v>3.3211678832116669</v>
          </cell>
          <cell r="T212">
            <v>0.50347222222222221</v>
          </cell>
          <cell r="U212">
            <v>0.60763888888888884</v>
          </cell>
          <cell r="V212">
            <v>62</v>
          </cell>
          <cell r="Z212">
            <v>0.26736111111111105</v>
          </cell>
          <cell r="AF212">
            <v>53.7</v>
          </cell>
          <cell r="AG212">
            <v>11.7</v>
          </cell>
          <cell r="AI212">
            <v>50.3</v>
          </cell>
          <cell r="AU212">
            <v>93.718965445074957</v>
          </cell>
          <cell r="AV212">
            <v>97.657569451265545</v>
          </cell>
          <cell r="AX212" t="str">
            <v>R. Sookram</v>
          </cell>
        </row>
        <row r="213">
          <cell r="A213" t="str">
            <v>CA111</v>
          </cell>
          <cell r="P213">
            <v>57</v>
          </cell>
          <cell r="Q213">
            <v>6.2300884955752149</v>
          </cell>
          <cell r="T213">
            <v>0.60555555555555551</v>
          </cell>
          <cell r="U213">
            <v>0.72291666666666665</v>
          </cell>
          <cell r="V213">
            <v>68</v>
          </cell>
          <cell r="Z213">
            <v>0.27499999999999997</v>
          </cell>
          <cell r="AF213">
            <v>53.7</v>
          </cell>
          <cell r="AG213">
            <v>11.89</v>
          </cell>
          <cell r="AI213">
            <v>50.2</v>
          </cell>
          <cell r="AU213">
            <v>95.16847300232179</v>
          </cell>
          <cell r="AV213">
            <v>99.167993560939777</v>
          </cell>
          <cell r="AX213" t="str">
            <v>R. Sookram</v>
          </cell>
        </row>
        <row r="214">
          <cell r="A214" t="str">
            <v>CA112</v>
          </cell>
          <cell r="P214">
            <v>60</v>
          </cell>
          <cell r="Q214">
            <v>5.5417406749555909</v>
          </cell>
          <cell r="T214">
            <v>0.71458333333333335</v>
          </cell>
          <cell r="U214">
            <v>0.82847222222222228</v>
          </cell>
          <cell r="V214">
            <v>68</v>
          </cell>
          <cell r="Z214">
            <v>0.27986111111111112</v>
          </cell>
          <cell r="AF214">
            <v>53.9</v>
          </cell>
          <cell r="AG214">
            <v>11.76</v>
          </cell>
          <cell r="AI214">
            <v>50.5</v>
          </cell>
          <cell r="AU214">
            <v>94.541944861235876</v>
          </cell>
          <cell r="AV214">
            <v>98.515776366414755</v>
          </cell>
          <cell r="AX214" t="str">
            <v>K.Benjamin</v>
          </cell>
        </row>
        <row r="215">
          <cell r="A215" t="str">
            <v>CA113</v>
          </cell>
          <cell r="P215">
            <v>61</v>
          </cell>
          <cell r="Q215">
            <v>4.637168141592916</v>
          </cell>
          <cell r="T215">
            <v>0.81458333333333333</v>
          </cell>
          <cell r="U215">
            <v>0.95208333333333328</v>
          </cell>
          <cell r="V215">
            <v>75</v>
          </cell>
          <cell r="Z215">
            <v>0.29236111111111107</v>
          </cell>
          <cell r="AF215">
            <v>55.5</v>
          </cell>
          <cell r="AG215">
            <v>11.87</v>
          </cell>
          <cell r="AI215">
            <v>52</v>
          </cell>
          <cell r="AU215">
            <v>98.338605562583197</v>
          </cell>
          <cell r="AV215">
            <v>102.47179831757072</v>
          </cell>
          <cell r="AX215" t="str">
            <v>K.Benjamin</v>
          </cell>
        </row>
        <row r="216">
          <cell r="A216" t="str">
            <v>CA114</v>
          </cell>
          <cell r="P216">
            <v>59</v>
          </cell>
          <cell r="Q216">
            <v>2.695035460992901</v>
          </cell>
          <cell r="T216">
            <v>0.92708333333333337</v>
          </cell>
          <cell r="U216">
            <v>1.04375</v>
          </cell>
          <cell r="V216">
            <v>72</v>
          </cell>
          <cell r="Z216">
            <v>0.27291666666666659</v>
          </cell>
          <cell r="AF216">
            <v>55.6</v>
          </cell>
          <cell r="AG216">
            <v>11.94</v>
          </cell>
          <cell r="AI216">
            <v>52.1</v>
          </cell>
          <cell r="AU216">
            <v>98.527718265588177</v>
          </cell>
          <cell r="AV216">
            <v>102.66885946818142</v>
          </cell>
          <cell r="AX216" t="str">
            <v>K.Benjamin</v>
          </cell>
        </row>
        <row r="217">
          <cell r="A217" t="str">
            <v>CA115</v>
          </cell>
          <cell r="P217">
            <v>59</v>
          </cell>
          <cell r="Q217">
            <v>6.7372134038800713</v>
          </cell>
          <cell r="T217">
            <v>0.69097222222222221</v>
          </cell>
          <cell r="U217">
            <v>0.84305555555555556</v>
          </cell>
          <cell r="V217">
            <v>98</v>
          </cell>
          <cell r="Z217">
            <v>0.2944444444444444</v>
          </cell>
          <cell r="AF217">
            <v>53.6</v>
          </cell>
          <cell r="AG217">
            <v>11.8</v>
          </cell>
          <cell r="AI217">
            <v>49.6</v>
          </cell>
          <cell r="AU217">
            <v>96.039629364456829</v>
          </cell>
          <cell r="AV217">
            <v>100.07037154454225</v>
          </cell>
          <cell r="AX217" t="str">
            <v>K.Benjamin</v>
          </cell>
        </row>
        <row r="218">
          <cell r="A218" t="str">
            <v>CA116</v>
          </cell>
          <cell r="P218">
            <v>60</v>
          </cell>
          <cell r="Q218">
            <v>5.8553791887125222</v>
          </cell>
          <cell r="T218">
            <v>0.82638888888888884</v>
          </cell>
          <cell r="U218">
            <v>0.93125000000000002</v>
          </cell>
          <cell r="V218">
            <v>60</v>
          </cell>
          <cell r="Z218">
            <v>0.27152777777777781</v>
          </cell>
          <cell r="AF218">
            <v>54.1</v>
          </cell>
          <cell r="AG218">
            <v>11.8</v>
          </cell>
          <cell r="AI218">
            <v>50.5</v>
          </cell>
          <cell r="AU218">
            <v>98.156085088814663</v>
          </cell>
          <cell r="AV218">
            <v>102.27494185442166</v>
          </cell>
          <cell r="AX218" t="str">
            <v>K.Benjamin</v>
          </cell>
        </row>
        <row r="219">
          <cell r="A219" t="str">
            <v>CA117</v>
          </cell>
          <cell r="P219">
            <v>60</v>
          </cell>
          <cell r="Q219">
            <v>4.9823321554770326</v>
          </cell>
          <cell r="T219">
            <v>0.93402777777777779</v>
          </cell>
          <cell r="U219">
            <v>1.0486111111111112</v>
          </cell>
          <cell r="V219">
            <v>59</v>
          </cell>
          <cell r="Z219">
            <v>0.27777777777777779</v>
          </cell>
          <cell r="AF219">
            <v>55</v>
          </cell>
          <cell r="AG219">
            <v>11.8</v>
          </cell>
          <cell r="AI219">
            <v>51.5</v>
          </cell>
          <cell r="AU219">
            <v>100.09976994205851</v>
          </cell>
          <cell r="AV219">
            <v>104.30018822777653</v>
          </cell>
          <cell r="AX219" t="str">
            <v>K.Benjamin</v>
          </cell>
        </row>
        <row r="220">
          <cell r="A220" t="str">
            <v>CA118</v>
          </cell>
          <cell r="P220">
            <v>60</v>
          </cell>
          <cell r="Q220">
            <v>5.3356890459364008</v>
          </cell>
          <cell r="T220">
            <v>1.0395833333333333</v>
          </cell>
          <cell r="U220">
            <v>1.1472222222222221</v>
          </cell>
          <cell r="V220">
            <v>59</v>
          </cell>
          <cell r="Z220">
            <v>0.24791666666666656</v>
          </cell>
          <cell r="AF220">
            <v>54.8</v>
          </cell>
          <cell r="AG220">
            <v>11.8</v>
          </cell>
          <cell r="AI220">
            <v>51.4</v>
          </cell>
          <cell r="AU220">
            <v>96.463639062115632</v>
          </cell>
          <cell r="AV220">
            <v>100.51780848673842</v>
          </cell>
          <cell r="AX220" t="str">
            <v>R.Regis</v>
          </cell>
        </row>
        <row r="221">
          <cell r="A221" t="str">
            <v>CA119</v>
          </cell>
          <cell r="P221">
            <v>60</v>
          </cell>
          <cell r="Q221">
            <v>5.1773049645389975</v>
          </cell>
          <cell r="T221">
            <v>1.1513888888888888</v>
          </cell>
          <cell r="U221">
            <v>1.2625</v>
          </cell>
          <cell r="V221">
            <v>63</v>
          </cell>
          <cell r="Z221">
            <v>0.25208333333333321</v>
          </cell>
          <cell r="AF221">
            <v>54.2</v>
          </cell>
          <cell r="AG221">
            <v>11.8</v>
          </cell>
          <cell r="AI221">
            <v>50.9</v>
          </cell>
          <cell r="AU221">
            <v>95.879175892818452</v>
          </cell>
          <cell r="AV221">
            <v>99.908128028995876</v>
          </cell>
          <cell r="AX221" t="str">
            <v>R.Regis</v>
          </cell>
        </row>
        <row r="222">
          <cell r="A222" t="str">
            <v>CA120</v>
          </cell>
          <cell r="P222">
            <v>62</v>
          </cell>
          <cell r="Q222">
            <v>4.1281138790035588</v>
          </cell>
          <cell r="T222">
            <v>0.2722222222222222</v>
          </cell>
          <cell r="U222">
            <v>0.38472222222222224</v>
          </cell>
          <cell r="V222">
            <v>64</v>
          </cell>
          <cell r="Z222">
            <v>0.25972222222222224</v>
          </cell>
          <cell r="AF222">
            <v>56.4</v>
          </cell>
          <cell r="AG222">
            <v>11.8</v>
          </cell>
          <cell r="AI222">
            <v>52.9</v>
          </cell>
          <cell r="AU222">
            <v>99.27872580517348</v>
          </cell>
          <cell r="AV222">
            <v>103.45120756709069</v>
          </cell>
          <cell r="AX222" t="str">
            <v>R.Regis</v>
          </cell>
        </row>
        <row r="223">
          <cell r="A223" t="str">
            <v>CA121</v>
          </cell>
          <cell r="P223">
            <v>58</v>
          </cell>
          <cell r="Q223">
            <v>2.4087591240875792</v>
          </cell>
          <cell r="T223">
            <v>0.3840277777777778</v>
          </cell>
          <cell r="U223">
            <v>0.49652777777777779</v>
          </cell>
          <cell r="V223">
            <v>71</v>
          </cell>
          <cell r="Z223">
            <v>0.26041666666666669</v>
          </cell>
          <cell r="AF223">
            <v>54.7</v>
          </cell>
          <cell r="AG223">
            <v>11.6</v>
          </cell>
          <cell r="AI223">
            <v>51.4</v>
          </cell>
          <cell r="AU223">
            <v>94.977580053808055</v>
          </cell>
          <cell r="AV223">
            <v>98.968862421614048</v>
          </cell>
          <cell r="AX223" t="str">
            <v>R.Sookram</v>
          </cell>
        </row>
        <row r="224">
          <cell r="A224" t="str">
            <v>CA122</v>
          </cell>
          <cell r="P224">
            <v>57</v>
          </cell>
          <cell r="Q224">
            <v>2.9401088929219554</v>
          </cell>
          <cell r="T224">
            <v>0.49166666666666664</v>
          </cell>
          <cell r="U224">
            <v>0.62291666666666667</v>
          </cell>
          <cell r="V224">
            <v>76</v>
          </cell>
          <cell r="Z224">
            <v>0.29652777777777778</v>
          </cell>
          <cell r="AF224">
            <v>54.2</v>
          </cell>
          <cell r="AG224">
            <v>11.8</v>
          </cell>
          <cell r="AI224">
            <v>50.7</v>
          </cell>
          <cell r="AU224">
            <v>95.149931915355324</v>
          </cell>
          <cell r="AV224">
            <v>99.148888915907364</v>
          </cell>
          <cell r="AX224" t="str">
            <v>R.Sookram</v>
          </cell>
        </row>
        <row r="225">
          <cell r="A225" t="str">
            <v>CA123</v>
          </cell>
          <cell r="P225">
            <v>57</v>
          </cell>
          <cell r="Q225">
            <v>4.6208112874779621</v>
          </cell>
          <cell r="T225">
            <v>0.90486111111111112</v>
          </cell>
          <cell r="U225">
            <v>1.0277777777777777</v>
          </cell>
          <cell r="V225">
            <v>63</v>
          </cell>
          <cell r="Z225">
            <v>0.27777777777777768</v>
          </cell>
          <cell r="AF225">
            <v>55.6</v>
          </cell>
          <cell r="AG225">
            <v>12.2</v>
          </cell>
          <cell r="AI225">
            <v>51.5</v>
          </cell>
          <cell r="AU225">
            <v>99.623016105347048</v>
          </cell>
          <cell r="AV225">
            <v>103.63925731929007</v>
          </cell>
          <cell r="AX225" t="str">
            <v>R.Sookram</v>
          </cell>
        </row>
        <row r="226">
          <cell r="A226" t="str">
            <v>CA124</v>
          </cell>
          <cell r="P226">
            <v>61</v>
          </cell>
          <cell r="Q226">
            <v>3.7192982456140307</v>
          </cell>
          <cell r="T226">
            <v>1.0256944444444445</v>
          </cell>
          <cell r="U226">
            <v>1.1576388888888889</v>
          </cell>
          <cell r="V226">
            <v>61</v>
          </cell>
          <cell r="Z226">
            <v>0.32430555555555551</v>
          </cell>
          <cell r="AF226">
            <v>57</v>
          </cell>
          <cell r="AG226">
            <v>12</v>
          </cell>
          <cell r="AI226">
            <v>53.5</v>
          </cell>
          <cell r="AU226">
            <v>101.83502113105483</v>
          </cell>
          <cell r="AV226">
            <v>105.93999544531802</v>
          </cell>
          <cell r="AX226" t="str">
            <v>K.Benjamin</v>
          </cell>
        </row>
        <row r="227">
          <cell r="A227" t="str">
            <v>CA125</v>
          </cell>
          <cell r="P227">
            <v>57</v>
          </cell>
          <cell r="Q227">
            <v>1.2720848056537082</v>
          </cell>
          <cell r="T227">
            <v>1.1381944444444445</v>
          </cell>
          <cell r="U227">
            <v>1.2694444444444444</v>
          </cell>
          <cell r="V227">
            <v>63</v>
          </cell>
          <cell r="Z227">
            <v>0.31111111111111101</v>
          </cell>
          <cell r="AF227">
            <v>58</v>
          </cell>
          <cell r="AG227">
            <v>12</v>
          </cell>
          <cell r="AI227">
            <v>54.5</v>
          </cell>
          <cell r="AU227">
            <v>103.48472802945992</v>
          </cell>
          <cell r="AV227">
            <v>107.65710041512999</v>
          </cell>
          <cell r="AX227" t="str">
            <v>K.Benjamin</v>
          </cell>
        </row>
        <row r="228">
          <cell r="A228" t="str">
            <v>CA126</v>
          </cell>
          <cell r="P228">
            <v>60</v>
          </cell>
          <cell r="Q228">
            <v>2.2141560798548072</v>
          </cell>
          <cell r="T228">
            <v>0.24652777777777779</v>
          </cell>
          <cell r="U228">
            <v>0.37152777777777779</v>
          </cell>
          <cell r="V228">
            <v>65</v>
          </cell>
          <cell r="Z228">
            <v>0.29166666666666669</v>
          </cell>
          <cell r="AF228">
            <v>55.5</v>
          </cell>
          <cell r="AG228">
            <v>11.8</v>
          </cell>
          <cell r="AI228">
            <v>52</v>
          </cell>
          <cell r="AU228">
            <v>98.072332728747526</v>
          </cell>
          <cell r="AV228">
            <v>102.193219897118</v>
          </cell>
          <cell r="AX228" t="str">
            <v>K.Benjamin</v>
          </cell>
        </row>
        <row r="229">
          <cell r="A229" t="str">
            <v>CA127</v>
          </cell>
          <cell r="P229">
            <v>60</v>
          </cell>
          <cell r="Q229">
            <v>3.8686131386861269</v>
          </cell>
          <cell r="T229">
            <v>0.37013888888888891</v>
          </cell>
          <cell r="U229">
            <v>0.47638888888888886</v>
          </cell>
          <cell r="V229">
            <v>59</v>
          </cell>
          <cell r="Z229">
            <v>0.27847222222222223</v>
          </cell>
          <cell r="AF229">
            <v>53.4</v>
          </cell>
          <cell r="AG229">
            <v>11.8</v>
          </cell>
          <cell r="AI229">
            <v>50</v>
          </cell>
          <cell r="AU229">
            <v>94.067699935148468</v>
          </cell>
          <cell r="AV229">
            <v>98.020746032117017</v>
          </cell>
          <cell r="AX229" t="str">
            <v>R.Regis</v>
          </cell>
        </row>
        <row r="230">
          <cell r="A230" t="str">
            <v>CA128</v>
          </cell>
          <cell r="P230">
            <v>60</v>
          </cell>
          <cell r="Q230">
            <v>4.1281138790035588</v>
          </cell>
          <cell r="T230">
            <v>0.50416666666666665</v>
          </cell>
          <cell r="U230">
            <v>0.61875000000000002</v>
          </cell>
          <cell r="V230">
            <v>66</v>
          </cell>
          <cell r="Z230">
            <v>0.27152777777777781</v>
          </cell>
          <cell r="AF230">
            <v>54.6</v>
          </cell>
          <cell r="AG230">
            <v>11.9</v>
          </cell>
          <cell r="AI230">
            <v>51</v>
          </cell>
          <cell r="AU230">
            <v>96.685102054151599</v>
          </cell>
          <cell r="AV230">
            <v>100.74835999218979</v>
          </cell>
          <cell r="AX230" t="str">
            <v>R.Regis</v>
          </cell>
        </row>
        <row r="231">
          <cell r="A231" t="str">
            <v>CA129</v>
          </cell>
          <cell r="P231">
            <v>68</v>
          </cell>
          <cell r="Q231">
            <v>2.5088339222614873</v>
          </cell>
          <cell r="T231">
            <v>0.62083333333333335</v>
          </cell>
          <cell r="U231">
            <v>0.73472222222222228</v>
          </cell>
          <cell r="V231">
            <v>65</v>
          </cell>
          <cell r="Z231">
            <v>0.27986111111111117</v>
          </cell>
          <cell r="AF231">
            <v>55.9</v>
          </cell>
          <cell r="AG231">
            <v>11.9</v>
          </cell>
          <cell r="AI231">
            <v>52.6</v>
          </cell>
          <cell r="AU231">
            <v>99.351193785447862</v>
          </cell>
          <cell r="AV231">
            <v>103.52716990399738</v>
          </cell>
          <cell r="AX231" t="str">
            <v>R.Regis</v>
          </cell>
        </row>
        <row r="232">
          <cell r="A232" t="str">
            <v>CA130</v>
          </cell>
          <cell r="P232">
            <v>57</v>
          </cell>
          <cell r="Q232">
            <v>1.6254416961130773</v>
          </cell>
          <cell r="T232">
            <v>0.76041666666666663</v>
          </cell>
          <cell r="U232">
            <v>0.87847222222222221</v>
          </cell>
          <cell r="V232">
            <v>79</v>
          </cell>
          <cell r="Z232">
            <v>0.3125</v>
          </cell>
          <cell r="AF232">
            <v>56.4</v>
          </cell>
          <cell r="AG232">
            <v>11.7</v>
          </cell>
          <cell r="AI232">
            <v>53.7</v>
          </cell>
          <cell r="AU232">
            <v>99.514424291923262</v>
          </cell>
          <cell r="AV232">
            <v>103.69748527341636</v>
          </cell>
          <cell r="AX232" t="str">
            <v>R.Sookram</v>
          </cell>
        </row>
        <row r="233">
          <cell r="A233" t="str">
            <v>CA131</v>
          </cell>
          <cell r="P233">
            <v>57</v>
          </cell>
          <cell r="Q233">
            <v>6.2295081967213024</v>
          </cell>
          <cell r="T233">
            <v>0.89444444444444449</v>
          </cell>
          <cell r="U233">
            <v>1.0208333333333333</v>
          </cell>
          <cell r="V233">
            <v>71</v>
          </cell>
          <cell r="Z233">
            <v>0.27777777777777768</v>
          </cell>
          <cell r="AF233">
            <v>53.5</v>
          </cell>
          <cell r="AG233">
            <v>12</v>
          </cell>
          <cell r="AI233">
            <v>49.4</v>
          </cell>
          <cell r="AU233">
            <v>93.800836048721479</v>
          </cell>
          <cell r="AV233">
            <v>97.582766247842613</v>
          </cell>
          <cell r="AX233" t="str">
            <v>R.Sookram</v>
          </cell>
        </row>
        <row r="234">
          <cell r="A234" t="str">
            <v>CA132</v>
          </cell>
          <cell r="P234">
            <v>61</v>
          </cell>
          <cell r="Q234">
            <v>7.0503597122302182</v>
          </cell>
          <cell r="T234">
            <v>0.99583333333333335</v>
          </cell>
          <cell r="U234">
            <v>1.117361111111111</v>
          </cell>
          <cell r="V234">
            <v>62</v>
          </cell>
          <cell r="Z234">
            <v>0.27708333333333324</v>
          </cell>
          <cell r="AF234">
            <v>53.3</v>
          </cell>
          <cell r="AG234">
            <v>11.7</v>
          </cell>
          <cell r="AI234">
            <v>49.7</v>
          </cell>
          <cell r="AU234">
            <v>92.003521130299475</v>
          </cell>
          <cell r="AV234">
            <v>95.712587045355164</v>
          </cell>
          <cell r="AX234" t="str">
            <v>K.Benjamin</v>
          </cell>
        </row>
        <row r="235">
          <cell r="A235" t="str">
            <v>CA133</v>
          </cell>
          <cell r="P235">
            <v>61</v>
          </cell>
          <cell r="Q235">
            <v>5.7706093189964145</v>
          </cell>
          <cell r="T235">
            <v>1.1048611111111111</v>
          </cell>
          <cell r="U235">
            <v>1.2277777777777779</v>
          </cell>
          <cell r="V235">
            <v>58</v>
          </cell>
          <cell r="Z235">
            <v>0.29722222222222228</v>
          </cell>
          <cell r="AF235">
            <v>53.3</v>
          </cell>
          <cell r="AG235">
            <v>11.9</v>
          </cell>
          <cell r="AI235">
            <v>49.7</v>
          </cell>
          <cell r="AU235">
            <v>94.351751735386642</v>
          </cell>
          <cell r="AV235">
            <v>98.153009921578075</v>
          </cell>
          <cell r="AX235" t="str">
            <v>K.Benjamin</v>
          </cell>
        </row>
        <row r="236">
          <cell r="A236" t="str">
            <v>CA134</v>
          </cell>
          <cell r="P236">
            <v>60</v>
          </cell>
          <cell r="Q236">
            <v>5.1086956521739131</v>
          </cell>
          <cell r="T236">
            <v>0.22500000000000001</v>
          </cell>
          <cell r="U236">
            <v>0.3347222222222222</v>
          </cell>
          <cell r="V236">
            <v>60</v>
          </cell>
          <cell r="Z236">
            <v>0.27569444444444441</v>
          </cell>
          <cell r="AF236">
            <v>54.9</v>
          </cell>
          <cell r="AG236">
            <v>11.7</v>
          </cell>
          <cell r="AI236">
            <v>51.4</v>
          </cell>
          <cell r="AU236">
            <v>91.887467769179437</v>
          </cell>
          <cell r="AV236">
            <v>95.603025502648677</v>
          </cell>
          <cell r="AX236" t="str">
            <v>K.Benjamin</v>
          </cell>
        </row>
        <row r="237">
          <cell r="A237" t="str">
            <v>CA135</v>
          </cell>
          <cell r="P237">
            <v>61</v>
          </cell>
          <cell r="Q237">
            <v>5.6890459363957575</v>
          </cell>
          <cell r="T237">
            <v>0.33263888888888887</v>
          </cell>
          <cell r="U237">
            <v>0.44513888888888886</v>
          </cell>
          <cell r="V237">
            <v>64</v>
          </cell>
          <cell r="Z237">
            <v>0.27847222222222223</v>
          </cell>
          <cell r="AF237">
            <v>54.1</v>
          </cell>
          <cell r="AG237">
            <v>11.7</v>
          </cell>
          <cell r="AI237">
            <v>50.7</v>
          </cell>
          <cell r="AU237">
            <v>94.651122076969358</v>
          </cell>
          <cell r="AV237">
            <v>98.628469993579458</v>
          </cell>
          <cell r="AX237" t="str">
            <v>R.Regis</v>
          </cell>
        </row>
        <row r="238">
          <cell r="A238" t="str">
            <v>CA136</v>
          </cell>
          <cell r="P238">
            <v>61</v>
          </cell>
          <cell r="Q238">
            <v>7.1024734982332207</v>
          </cell>
          <cell r="T238">
            <v>0.44444444444444442</v>
          </cell>
          <cell r="U238">
            <v>0.55833333333333335</v>
          </cell>
          <cell r="V238">
            <v>62</v>
          </cell>
          <cell r="Z238">
            <v>0.27361111111111114</v>
          </cell>
          <cell r="AF238">
            <v>53.3</v>
          </cell>
          <cell r="AG238">
            <v>11.6</v>
          </cell>
          <cell r="AI238">
            <v>50.6</v>
          </cell>
          <cell r="AU238">
            <v>94.196420875147751</v>
          </cell>
          <cell r="AV238">
            <v>98.153581065397105</v>
          </cell>
          <cell r="AX238" t="str">
            <v>R.Regis</v>
          </cell>
        </row>
        <row r="239">
          <cell r="A239" t="str">
            <v>CA137</v>
          </cell>
          <cell r="P239">
            <v>60</v>
          </cell>
          <cell r="Q239">
            <v>5.2329749103942556</v>
          </cell>
          <cell r="T239">
            <v>0.55694444444444446</v>
          </cell>
          <cell r="U239">
            <v>0.67361111111111116</v>
          </cell>
          <cell r="V239">
            <v>63</v>
          </cell>
          <cell r="Z239">
            <v>0.25694444444444448</v>
          </cell>
          <cell r="AF239">
            <v>53.6</v>
          </cell>
          <cell r="AG239">
            <v>11.8</v>
          </cell>
          <cell r="AI239">
            <v>50.3</v>
          </cell>
          <cell r="AU239">
            <v>94.983564269611392</v>
          </cell>
          <cell r="AV239">
            <v>98.974447523767111</v>
          </cell>
          <cell r="AX239" t="str">
            <v>R.Regis</v>
          </cell>
        </row>
        <row r="240">
          <cell r="A240" t="str">
            <v>CA138</v>
          </cell>
          <cell r="P240">
            <v>58</v>
          </cell>
          <cell r="Q240">
            <v>4.352517985611513</v>
          </cell>
          <cell r="T240">
            <v>0.67083333333333328</v>
          </cell>
          <cell r="U240">
            <v>0.78125</v>
          </cell>
          <cell r="V240">
            <v>63</v>
          </cell>
          <cell r="Z240">
            <v>0.25347222222222221</v>
          </cell>
          <cell r="AF240">
            <v>53.9</v>
          </cell>
          <cell r="AG240">
            <v>11.69</v>
          </cell>
          <cell r="AI240">
            <v>50.9</v>
          </cell>
          <cell r="AU240">
            <v>95.614884373859567</v>
          </cell>
          <cell r="AV240">
            <v>99.631633742086976</v>
          </cell>
          <cell r="AX240" t="str">
            <v>R.Sookram</v>
          </cell>
        </row>
        <row r="241">
          <cell r="A241" t="str">
            <v>CA139</v>
          </cell>
          <cell r="P241">
            <v>64</v>
          </cell>
          <cell r="Q241">
            <v>5.4809437386569932</v>
          </cell>
          <cell r="T241">
            <v>0.83402777777777781</v>
          </cell>
          <cell r="U241">
            <v>0.95138888888888884</v>
          </cell>
          <cell r="V241">
            <v>61</v>
          </cell>
          <cell r="Z241">
            <v>0.26388888888888884</v>
          </cell>
          <cell r="AF241">
            <v>52.9</v>
          </cell>
          <cell r="AG241">
            <v>11.65</v>
          </cell>
          <cell r="AI241">
            <v>49.4</v>
          </cell>
          <cell r="AU241">
            <v>92.238813509883116</v>
          </cell>
          <cell r="AV241">
            <v>95.954538536813487</v>
          </cell>
          <cell r="AX241" t="str">
            <v>R.Sookram</v>
          </cell>
        </row>
        <row r="242">
          <cell r="A242" t="str">
            <v>CA140</v>
          </cell>
          <cell r="P242">
            <v>57</v>
          </cell>
          <cell r="Q242">
            <v>5.4611211573236815</v>
          </cell>
          <cell r="T242">
            <v>0.95833333333333337</v>
          </cell>
          <cell r="U242">
            <v>1.0659722222222223</v>
          </cell>
          <cell r="V242">
            <v>57</v>
          </cell>
          <cell r="Z242">
            <v>0.29513888888888895</v>
          </cell>
          <cell r="AF242">
            <v>53</v>
          </cell>
          <cell r="AG242">
            <v>11.9</v>
          </cell>
          <cell r="AI242">
            <v>49.3</v>
          </cell>
          <cell r="AU242">
            <v>98.233595160056836</v>
          </cell>
          <cell r="AV242">
            <v>97.482887761590547</v>
          </cell>
          <cell r="AX242" t="str">
            <v>R.Sookram</v>
          </cell>
        </row>
        <row r="243">
          <cell r="A243" t="str">
            <v>CA141</v>
          </cell>
          <cell r="P243">
            <v>62</v>
          </cell>
          <cell r="Q243">
            <v>6.9380530973451355</v>
          </cell>
          <cell r="T243">
            <v>1.0604166666666666</v>
          </cell>
          <cell r="U243">
            <v>1.1736111111111112</v>
          </cell>
          <cell r="V243">
            <v>54</v>
          </cell>
          <cell r="Z243">
            <v>0.28472222222222232</v>
          </cell>
          <cell r="AF243">
            <v>53.3</v>
          </cell>
          <cell r="AG243">
            <v>11.8</v>
          </cell>
          <cell r="AI243">
            <v>49.7</v>
          </cell>
          <cell r="AU243">
            <v>97.914776616343687</v>
          </cell>
          <cell r="AV243">
            <v>97.166342019440094</v>
          </cell>
          <cell r="AX243" t="str">
            <v>K.Benjamin</v>
          </cell>
        </row>
        <row r="244">
          <cell r="A244" t="str">
            <v>CA142</v>
          </cell>
          <cell r="P244">
            <v>60</v>
          </cell>
          <cell r="Q244">
            <v>5.7092198581560263</v>
          </cell>
          <cell r="T244">
            <v>1.1777777777777778</v>
          </cell>
          <cell r="U244">
            <v>1.3027777777777778</v>
          </cell>
          <cell r="V244">
            <v>58</v>
          </cell>
          <cell r="Z244">
            <v>0.28194444444444455</v>
          </cell>
          <cell r="AF244">
            <v>55.2</v>
          </cell>
          <cell r="AG244">
            <v>11.8</v>
          </cell>
          <cell r="AI244">
            <v>51.5</v>
          </cell>
          <cell r="AU244">
            <v>102.78475439772893</v>
          </cell>
          <cell r="AV244">
            <v>101.96570353213137</v>
          </cell>
          <cell r="AX244" t="str">
            <v>K.Benjamin</v>
          </cell>
        </row>
        <row r="245">
          <cell r="A245" t="str">
            <v>CA143</v>
          </cell>
          <cell r="P245">
            <v>60</v>
          </cell>
          <cell r="Q245">
            <v>5.3676470588235192</v>
          </cell>
          <cell r="T245">
            <v>0.28888888888888886</v>
          </cell>
          <cell r="U245">
            <v>0.39930555555555558</v>
          </cell>
          <cell r="V245">
            <v>59</v>
          </cell>
          <cell r="Z245">
            <v>0.25347222222222221</v>
          </cell>
          <cell r="AF245">
            <v>53.9</v>
          </cell>
          <cell r="AG245">
            <v>11.7</v>
          </cell>
          <cell r="AI245">
            <v>50.1</v>
          </cell>
          <cell r="AU245">
            <v>98.608987287762162</v>
          </cell>
          <cell r="AV245">
            <v>97.823038695674683</v>
          </cell>
          <cell r="AX245" t="str">
            <v>K.Benjamin</v>
          </cell>
        </row>
        <row r="246">
          <cell r="A246" t="str">
            <v>CA144</v>
          </cell>
          <cell r="P246">
            <v>61</v>
          </cell>
          <cell r="Q246">
            <v>4.720720720720716</v>
          </cell>
          <cell r="T246">
            <v>0.39791666666666664</v>
          </cell>
          <cell r="U246">
            <v>0.51041666666666663</v>
          </cell>
          <cell r="V246">
            <v>64</v>
          </cell>
          <cell r="Z246">
            <v>0.26041666666666663</v>
          </cell>
          <cell r="AF246">
            <v>53.6</v>
          </cell>
          <cell r="AG246">
            <v>11.8</v>
          </cell>
          <cell r="AI246">
            <v>50.4</v>
          </cell>
          <cell r="AU246">
            <v>99.968040047087285</v>
          </cell>
          <cell r="AV246">
            <v>99.17121580910262</v>
          </cell>
          <cell r="AX246" t="str">
            <v>R.Regis</v>
          </cell>
        </row>
        <row r="247">
          <cell r="A247" t="str">
            <v>CA145</v>
          </cell>
          <cell r="P247">
            <v>60</v>
          </cell>
          <cell r="Q247">
            <v>5.2612612612612644</v>
          </cell>
          <cell r="T247">
            <v>0.50347222222222221</v>
          </cell>
          <cell r="U247">
            <v>0.62152777777777779</v>
          </cell>
          <cell r="V247">
            <v>60</v>
          </cell>
          <cell r="Z247">
            <v>0.26041666666666669</v>
          </cell>
          <cell r="AF247">
            <v>54.6</v>
          </cell>
          <cell r="AG247">
            <v>11.64</v>
          </cell>
          <cell r="AI247">
            <v>51.4</v>
          </cell>
          <cell r="AU247">
            <v>100.63117662235325</v>
          </cell>
          <cell r="AV247">
            <v>99.829242523588263</v>
          </cell>
          <cell r="AX247" t="str">
            <v>R.Regis</v>
          </cell>
        </row>
        <row r="248">
          <cell r="A248" t="str">
            <v>CA146</v>
          </cell>
          <cell r="P248">
            <v>60</v>
          </cell>
          <cell r="Q248">
            <v>5.1681415929203567</v>
          </cell>
          <cell r="T248">
            <v>0.62777777777777777</v>
          </cell>
          <cell r="U248">
            <v>0.74305555555555558</v>
          </cell>
          <cell r="V248">
            <v>75</v>
          </cell>
          <cell r="Z248">
            <v>0.26041666666666669</v>
          </cell>
          <cell r="AF248">
            <v>54.3</v>
          </cell>
          <cell r="AG248">
            <v>11.75</v>
          </cell>
          <cell r="AI248">
            <v>51.5</v>
          </cell>
          <cell r="AU248">
            <v>102.40288760061762</v>
          </cell>
          <cell r="AV248">
            <v>101.58674496164525</v>
          </cell>
          <cell r="AX248" t="str">
            <v>R.Regis</v>
          </cell>
        </row>
        <row r="249">
          <cell r="A249" t="str">
            <v>CA147</v>
          </cell>
          <cell r="P249">
            <v>62</v>
          </cell>
          <cell r="Q249">
            <v>6.0254083484573506</v>
          </cell>
          <cell r="T249">
            <v>0.29236111111111113</v>
          </cell>
          <cell r="U249">
            <v>0.41111111111111109</v>
          </cell>
          <cell r="V249">
            <v>65</v>
          </cell>
          <cell r="Z249">
            <v>0.28611111111111109</v>
          </cell>
          <cell r="AF249">
            <v>52.9</v>
          </cell>
          <cell r="AG249">
            <v>11.9</v>
          </cell>
          <cell r="AI249">
            <v>49.5</v>
          </cell>
          <cell r="AU249">
            <v>98.753578648455701</v>
          </cell>
          <cell r="AV249">
            <v>97.998980324008727</v>
          </cell>
          <cell r="AX249" t="str">
            <v>K.Benjamin</v>
          </cell>
        </row>
        <row r="250">
          <cell r="A250" t="str">
            <v>CA148</v>
          </cell>
          <cell r="P250">
            <v>61</v>
          </cell>
          <cell r="Q250">
            <v>5.7706093189964145</v>
          </cell>
          <cell r="T250">
            <v>0.42083333333333334</v>
          </cell>
          <cell r="U250">
            <v>0.52638888888888891</v>
          </cell>
          <cell r="V250">
            <v>57</v>
          </cell>
          <cell r="Z250">
            <v>0.28680555555555554</v>
          </cell>
          <cell r="AF250">
            <v>53.3</v>
          </cell>
          <cell r="AG250">
            <v>11.7</v>
          </cell>
          <cell r="AI250">
            <v>49.7</v>
          </cell>
          <cell r="AU250">
            <v>98.30806761549934</v>
          </cell>
          <cell r="AV250">
            <v>97.524689688028417</v>
          </cell>
          <cell r="AX250" t="str">
            <v>R.Regis</v>
          </cell>
        </row>
        <row r="251">
          <cell r="A251" t="str">
            <v>CA149</v>
          </cell>
          <cell r="P251">
            <v>60</v>
          </cell>
          <cell r="Q251">
            <v>5.7499999999999982</v>
          </cell>
          <cell r="T251">
            <v>0.53055555555555556</v>
          </cell>
          <cell r="U251">
            <v>0.64375000000000004</v>
          </cell>
          <cell r="V251">
            <v>67</v>
          </cell>
          <cell r="Z251">
            <v>0.25833333333333336</v>
          </cell>
          <cell r="AF251">
            <v>53.5</v>
          </cell>
          <cell r="AG251">
            <v>11.78</v>
          </cell>
          <cell r="AI251">
            <v>50.2</v>
          </cell>
          <cell r="AU251">
            <v>100.19018778186395</v>
          </cell>
          <cell r="AV251">
            <v>99.391811986660102</v>
          </cell>
          <cell r="AX251" t="str">
            <v>R.Regis</v>
          </cell>
        </row>
        <row r="252">
          <cell r="A252" t="str">
            <v>CA150</v>
          </cell>
          <cell r="P252">
            <v>67</v>
          </cell>
          <cell r="Q252">
            <v>5.6014362657091645</v>
          </cell>
          <cell r="T252">
            <v>0.64652777777777781</v>
          </cell>
          <cell r="U252">
            <v>0.76111111111111107</v>
          </cell>
          <cell r="V252">
            <v>67</v>
          </cell>
          <cell r="Z252">
            <v>0.27152777777777776</v>
          </cell>
          <cell r="AF252">
            <v>53.3</v>
          </cell>
          <cell r="AG252">
            <v>11.8</v>
          </cell>
          <cell r="AI252">
            <v>49.8</v>
          </cell>
          <cell r="AU252">
            <v>98.900119917031091</v>
          </cell>
          <cell r="AV252">
            <v>98.111850894662581</v>
          </cell>
          <cell r="AX252" t="str">
            <v>R.Sookram</v>
          </cell>
        </row>
        <row r="253">
          <cell r="A253" t="str">
            <v>CA151</v>
          </cell>
          <cell r="P253">
            <v>60</v>
          </cell>
          <cell r="Q253">
            <v>5.0719424460431659</v>
          </cell>
          <cell r="T253">
            <v>0.75</v>
          </cell>
          <cell r="U253">
            <v>0.88263888888888886</v>
          </cell>
          <cell r="V253">
            <v>62</v>
          </cell>
          <cell r="Z253">
            <v>0.29236111111111107</v>
          </cell>
          <cell r="AF253">
            <v>56.1</v>
          </cell>
          <cell r="AG253">
            <v>11.8</v>
          </cell>
          <cell r="AI253">
            <v>52.6</v>
          </cell>
          <cell r="AU253">
            <v>104.59013374354345</v>
          </cell>
          <cell r="AV253">
            <v>103.75655893169984</v>
          </cell>
          <cell r="AX253" t="str">
            <v>R.Sookram</v>
          </cell>
        </row>
      </sheetData>
      <sheetData sheetId="6">
        <row r="118">
          <cell r="D118">
            <v>11.7</v>
          </cell>
        </row>
        <row r="119">
          <cell r="D119">
            <v>11.58</v>
          </cell>
        </row>
        <row r="120">
          <cell r="D120">
            <v>11.81</v>
          </cell>
        </row>
        <row r="121">
          <cell r="D121">
            <v>11.83</v>
          </cell>
        </row>
        <row r="122">
          <cell r="D122">
            <v>11.8</v>
          </cell>
        </row>
        <row r="123">
          <cell r="D123">
            <v>11.8</v>
          </cell>
        </row>
        <row r="124">
          <cell r="D124">
            <v>11.9</v>
          </cell>
        </row>
        <row r="125">
          <cell r="D125">
            <v>11.7</v>
          </cell>
        </row>
        <row r="126">
          <cell r="D126">
            <v>11.8</v>
          </cell>
        </row>
        <row r="127">
          <cell r="D127">
            <v>11.9</v>
          </cell>
        </row>
        <row r="132">
          <cell r="D132">
            <v>11.6</v>
          </cell>
        </row>
        <row r="133">
          <cell r="D133">
            <v>11.9</v>
          </cell>
        </row>
        <row r="134">
          <cell r="D134">
            <v>12</v>
          </cell>
        </row>
        <row r="135">
          <cell r="D135">
            <v>11.8</v>
          </cell>
        </row>
        <row r="136">
          <cell r="D136">
            <v>11.8</v>
          </cell>
        </row>
        <row r="137">
          <cell r="D137">
            <v>11.7</v>
          </cell>
        </row>
        <row r="138">
          <cell r="D138">
            <v>11.9</v>
          </cell>
        </row>
        <row r="139">
          <cell r="D139">
            <v>11.8</v>
          </cell>
        </row>
        <row r="140">
          <cell r="D140">
            <v>12</v>
          </cell>
        </row>
        <row r="141">
          <cell r="D141">
            <v>11.9</v>
          </cell>
        </row>
        <row r="142">
          <cell r="D142">
            <v>11.6</v>
          </cell>
        </row>
        <row r="143">
          <cell r="D143">
            <v>11.9</v>
          </cell>
        </row>
        <row r="144">
          <cell r="D144">
            <v>11.9</v>
          </cell>
        </row>
        <row r="145">
          <cell r="D145">
            <v>11.9</v>
          </cell>
        </row>
        <row r="146">
          <cell r="D146">
            <v>11.9</v>
          </cell>
        </row>
        <row r="147">
          <cell r="D147">
            <v>11.9</v>
          </cell>
        </row>
        <row r="148">
          <cell r="D148">
            <v>11.9</v>
          </cell>
        </row>
        <row r="149">
          <cell r="D149">
            <v>11.9</v>
          </cell>
        </row>
        <row r="150">
          <cell r="D150">
            <v>11.7</v>
          </cell>
        </row>
        <row r="151">
          <cell r="D151">
            <v>11.8</v>
          </cell>
        </row>
        <row r="152">
          <cell r="D152">
            <v>11.83</v>
          </cell>
        </row>
        <row r="153">
          <cell r="D153">
            <v>12</v>
          </cell>
        </row>
        <row r="154">
          <cell r="D154">
            <v>11.7</v>
          </cell>
        </row>
        <row r="155">
          <cell r="D155">
            <v>11.79</v>
          </cell>
        </row>
        <row r="156">
          <cell r="D156">
            <v>11.9</v>
          </cell>
        </row>
        <row r="157">
          <cell r="D157">
            <v>11.96</v>
          </cell>
        </row>
        <row r="158">
          <cell r="D158">
            <v>11.89</v>
          </cell>
        </row>
        <row r="159">
          <cell r="D159">
            <v>11.84</v>
          </cell>
        </row>
        <row r="160">
          <cell r="D160">
            <v>11.89</v>
          </cell>
        </row>
        <row r="161">
          <cell r="D161">
            <v>12.04</v>
          </cell>
        </row>
        <row r="162">
          <cell r="D162">
            <v>11.8</v>
          </cell>
        </row>
        <row r="163">
          <cell r="D163">
            <v>11.83</v>
          </cell>
        </row>
        <row r="164">
          <cell r="D164">
            <v>11.94</v>
          </cell>
        </row>
        <row r="165">
          <cell r="D165">
            <v>11.75</v>
          </cell>
        </row>
        <row r="166">
          <cell r="D166">
            <v>11.75</v>
          </cell>
        </row>
        <row r="167">
          <cell r="D167">
            <v>11.9</v>
          </cell>
        </row>
        <row r="168">
          <cell r="D168">
            <v>11.8</v>
          </cell>
        </row>
        <row r="169">
          <cell r="D169">
            <v>11.95</v>
          </cell>
        </row>
        <row r="170">
          <cell r="D170">
            <v>11.97</v>
          </cell>
        </row>
        <row r="171">
          <cell r="D171">
            <v>12</v>
          </cell>
        </row>
        <row r="173">
          <cell r="D173">
            <v>11.6</v>
          </cell>
        </row>
        <row r="174">
          <cell r="D174">
            <v>11.9</v>
          </cell>
        </row>
        <row r="175">
          <cell r="D175">
            <v>11.6</v>
          </cell>
        </row>
        <row r="176">
          <cell r="D176">
            <v>12.1</v>
          </cell>
        </row>
        <row r="177">
          <cell r="D177">
            <v>11.9</v>
          </cell>
        </row>
        <row r="178">
          <cell r="D178">
            <v>11.8</v>
          </cell>
        </row>
        <row r="179">
          <cell r="D179">
            <v>11.8</v>
          </cell>
        </row>
        <row r="180">
          <cell r="D180">
            <v>11.9</v>
          </cell>
        </row>
        <row r="181">
          <cell r="D181">
            <v>11.8</v>
          </cell>
        </row>
        <row r="182">
          <cell r="D182">
            <v>11.9</v>
          </cell>
        </row>
        <row r="183">
          <cell r="D183">
            <v>11.6</v>
          </cell>
        </row>
        <row r="184">
          <cell r="D184">
            <v>11.7</v>
          </cell>
        </row>
        <row r="185">
          <cell r="D185">
            <v>12</v>
          </cell>
        </row>
        <row r="186">
          <cell r="D186">
            <v>11.6</v>
          </cell>
        </row>
        <row r="187">
          <cell r="D187">
            <v>11.6</v>
          </cell>
        </row>
        <row r="188">
          <cell r="D188">
            <v>11.65</v>
          </cell>
        </row>
        <row r="189">
          <cell r="D189">
            <v>11.9</v>
          </cell>
        </row>
        <row r="190">
          <cell r="D190">
            <v>11.7</v>
          </cell>
        </row>
        <row r="191">
          <cell r="D191">
            <v>11.82</v>
          </cell>
        </row>
        <row r="192">
          <cell r="D192">
            <v>11.6</v>
          </cell>
        </row>
        <row r="193">
          <cell r="D193">
            <v>12.01</v>
          </cell>
        </row>
        <row r="194">
          <cell r="D194">
            <v>11.9</v>
          </cell>
        </row>
        <row r="195">
          <cell r="D195">
            <v>11.9</v>
          </cell>
        </row>
        <row r="196">
          <cell r="D196">
            <v>11.7</v>
          </cell>
        </row>
        <row r="197">
          <cell r="D197">
            <v>11.7</v>
          </cell>
        </row>
        <row r="198">
          <cell r="D198">
            <v>11.8</v>
          </cell>
        </row>
        <row r="199">
          <cell r="D199">
            <v>11.7</v>
          </cell>
        </row>
        <row r="200">
          <cell r="D200">
            <v>11.7</v>
          </cell>
        </row>
        <row r="201">
          <cell r="D201">
            <v>11.9</v>
          </cell>
        </row>
        <row r="202">
          <cell r="D202">
            <v>12</v>
          </cell>
        </row>
        <row r="203">
          <cell r="D203">
            <v>12</v>
          </cell>
        </row>
        <row r="204">
          <cell r="D204">
            <v>11.8</v>
          </cell>
        </row>
        <row r="205">
          <cell r="D205">
            <v>11.9</v>
          </cell>
        </row>
        <row r="206">
          <cell r="D206">
            <v>11.79</v>
          </cell>
        </row>
        <row r="207">
          <cell r="D207">
            <v>11.8</v>
          </cell>
        </row>
        <row r="208">
          <cell r="D208">
            <v>11.9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4" t="str">
            <v>GU001</v>
          </cell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98.040462342043114</v>
          </cell>
        </row>
        <row r="9">
          <cell r="A9" t="str">
            <v>GU005</v>
          </cell>
          <cell r="O9">
            <v>60</v>
          </cell>
          <cell r="R9">
            <v>0.9914529914529886</v>
          </cell>
          <cell r="T9">
            <v>0.22708333333333333</v>
          </cell>
          <cell r="U9">
            <v>0.36180555555555555</v>
          </cell>
          <cell r="V9">
            <v>122</v>
          </cell>
          <cell r="Z9">
            <v>0.27847222222222223</v>
          </cell>
          <cell r="AF9">
            <v>60</v>
          </cell>
          <cell r="AG9">
            <v>17.2</v>
          </cell>
          <cell r="AI9">
            <v>54</v>
          </cell>
          <cell r="AU9">
            <v>96.878658921984908</v>
          </cell>
          <cell r="AV9">
            <v>99.015919679115044</v>
          </cell>
          <cell r="AW9" t="str">
            <v>K. Benjamin</v>
          </cell>
        </row>
        <row r="10">
          <cell r="A10" t="str">
            <v>GU006</v>
          </cell>
          <cell r="O10">
            <v>59</v>
          </cell>
          <cell r="R10">
            <v>0.83333333333332793</v>
          </cell>
          <cell r="T10">
            <v>0.34861111111111109</v>
          </cell>
          <cell r="U10">
            <v>0.47361111111111109</v>
          </cell>
          <cell r="V10">
            <v>82</v>
          </cell>
          <cell r="Z10">
            <v>0.27916666666666667</v>
          </cell>
          <cell r="AF10">
            <v>58.2</v>
          </cell>
          <cell r="AG10">
            <v>17.2</v>
          </cell>
          <cell r="AI10">
            <v>53.3</v>
          </cell>
          <cell r="AU10">
            <v>95.771550127068778</v>
          </cell>
          <cell r="AV10">
            <v>97.883574119819343</v>
          </cell>
          <cell r="AW10" t="str">
            <v>R. Regis</v>
          </cell>
        </row>
        <row r="11">
          <cell r="A11" t="str">
            <v>GU007</v>
          </cell>
          <cell r="O11">
            <v>58</v>
          </cell>
          <cell r="R11">
            <v>1.0086956521739101</v>
          </cell>
          <cell r="T11">
            <v>0.47291666666666665</v>
          </cell>
          <cell r="U11">
            <v>0.60555555555555551</v>
          </cell>
          <cell r="V11">
            <v>84</v>
          </cell>
          <cell r="Z11">
            <v>0.29652777777777772</v>
          </cell>
          <cell r="AF11">
            <v>58.3</v>
          </cell>
          <cell r="AG11">
            <v>17.12</v>
          </cell>
          <cell r="AI11">
            <v>53.4</v>
          </cell>
          <cell r="AU11">
            <v>97.655042988145951</v>
          </cell>
          <cell r="AV11">
            <v>99.863657300783032</v>
          </cell>
          <cell r="AW11" t="str">
            <v>R. Regis</v>
          </cell>
        </row>
        <row r="12">
          <cell r="A12" t="str">
            <v>GU008</v>
          </cell>
          <cell r="O12">
            <v>58</v>
          </cell>
          <cell r="R12">
            <v>-1.5944540727902974</v>
          </cell>
          <cell r="T12">
            <v>0.60416666666666663</v>
          </cell>
          <cell r="U12">
            <v>0.74791666666666667</v>
          </cell>
          <cell r="V12">
            <v>81</v>
          </cell>
          <cell r="Z12">
            <v>0.31736111111111109</v>
          </cell>
          <cell r="AF12">
            <v>57.7</v>
          </cell>
          <cell r="AG12">
            <v>17.3</v>
          </cell>
          <cell r="AI12">
            <v>52.7</v>
          </cell>
          <cell r="AU12">
            <v>97.588179145211456</v>
          </cell>
          <cell r="AV12">
            <v>99.795281232406978</v>
          </cell>
          <cell r="AW12" t="str">
            <v>R.Sookram</v>
          </cell>
        </row>
        <row r="13">
          <cell r="A13" t="str">
            <v>GU009</v>
          </cell>
          <cell r="O13">
            <v>55</v>
          </cell>
          <cell r="R13">
            <v>-3.5523978685618345E-2</v>
          </cell>
          <cell r="T13">
            <v>0.73888888888888893</v>
          </cell>
          <cell r="U13">
            <v>0.86250000000000004</v>
          </cell>
          <cell r="V13">
            <v>82</v>
          </cell>
          <cell r="Z13">
            <v>0.29305555555555562</v>
          </cell>
          <cell r="AF13">
            <v>57.3</v>
          </cell>
          <cell r="AG13">
            <v>17.399999999999999</v>
          </cell>
          <cell r="AI13">
            <v>52.5</v>
          </cell>
          <cell r="AU13">
            <v>95.48497302787608</v>
          </cell>
          <cell r="AV13">
            <v>97.590271188133642</v>
          </cell>
          <cell r="AW13" t="str">
            <v>R.Sookram</v>
          </cell>
        </row>
        <row r="14">
          <cell r="A14" t="str">
            <v>GU010</v>
          </cell>
          <cell r="O14">
            <v>56</v>
          </cell>
          <cell r="R14">
            <v>-3.5587188612092563E-2</v>
          </cell>
          <cell r="T14">
            <v>0.85902777777777772</v>
          </cell>
          <cell r="U14">
            <v>1.0055555555555555</v>
          </cell>
          <cell r="V14">
            <v>85</v>
          </cell>
          <cell r="Z14">
            <v>0.3354166666666667</v>
          </cell>
          <cell r="AF14">
            <v>57.3</v>
          </cell>
          <cell r="AG14">
            <v>17.100000000000001</v>
          </cell>
          <cell r="AI14">
            <v>52.5</v>
          </cell>
          <cell r="AU14">
            <v>96.085762312216758</v>
          </cell>
          <cell r="AV14">
            <v>98.258508976361824</v>
          </cell>
          <cell r="AW14" t="str">
            <v>R.Sookram</v>
          </cell>
        </row>
        <row r="15">
          <cell r="A15" t="str">
            <v>GU011</v>
          </cell>
          <cell r="O15">
            <v>56</v>
          </cell>
          <cell r="R15">
            <v>5.5400696864111501</v>
          </cell>
          <cell r="T15">
            <v>0.58194444444444449</v>
          </cell>
          <cell r="U15">
            <v>0.7</v>
          </cell>
          <cell r="V15">
            <v>68</v>
          </cell>
          <cell r="Z15">
            <v>0.26597222222222217</v>
          </cell>
          <cell r="AF15">
            <v>57.5</v>
          </cell>
          <cell r="AG15">
            <v>17.13</v>
          </cell>
          <cell r="AI15">
            <v>52.4</v>
          </cell>
          <cell r="AU15">
            <v>94.435555625701596</v>
          </cell>
          <cell r="AV15">
            <v>97.83832396525294</v>
          </cell>
          <cell r="AW15" t="str">
            <v>R.Sookram</v>
          </cell>
        </row>
        <row r="16">
          <cell r="A16" t="str">
            <v>GU012</v>
          </cell>
          <cell r="O16">
            <v>59</v>
          </cell>
          <cell r="R16">
            <v>3.8045375218149964</v>
          </cell>
          <cell r="T16">
            <v>0.68888888888888888</v>
          </cell>
          <cell r="U16">
            <v>0.80625000000000002</v>
          </cell>
          <cell r="V16">
            <v>69</v>
          </cell>
          <cell r="Z16">
            <v>0.26458333333333339</v>
          </cell>
          <cell r="AF16">
            <v>57.2</v>
          </cell>
          <cell r="AG16">
            <v>17.29</v>
          </cell>
          <cell r="AI16">
            <v>52.4</v>
          </cell>
          <cell r="AU16">
            <v>95.624399511520494</v>
          </cell>
          <cell r="AV16">
            <v>99.070005109862038</v>
          </cell>
          <cell r="AW16" t="str">
            <v>K. Benjamin</v>
          </cell>
        </row>
        <row r="17">
          <cell r="A17" t="str">
            <v>GU013</v>
          </cell>
          <cell r="O17">
            <v>59</v>
          </cell>
          <cell r="R17">
            <v>3.8045375218149964</v>
          </cell>
          <cell r="T17">
            <v>0.79097222222222219</v>
          </cell>
          <cell r="U17">
            <v>0.91597222222222219</v>
          </cell>
          <cell r="V17">
            <v>71</v>
          </cell>
          <cell r="Z17">
            <v>0.26666666666666661</v>
          </cell>
          <cell r="AF17">
            <v>57.8</v>
          </cell>
          <cell r="AG17">
            <v>17.3</v>
          </cell>
          <cell r="AI17">
            <v>53.1</v>
          </cell>
          <cell r="AU17">
            <v>96.979216130328368</v>
          </cell>
          <cell r="AV17">
            <v>100.47303689687797</v>
          </cell>
          <cell r="AW17" t="str">
            <v>K. Benjamin</v>
          </cell>
        </row>
        <row r="18">
          <cell r="A18" t="str">
            <v>GU014</v>
          </cell>
          <cell r="O18">
            <v>57</v>
          </cell>
          <cell r="R18">
            <v>4.3130434782608642</v>
          </cell>
          <cell r="T18">
            <v>0.90277777777777779</v>
          </cell>
          <cell r="U18">
            <v>1.0222222222222221</v>
          </cell>
          <cell r="V18">
            <v>67</v>
          </cell>
          <cell r="Z18">
            <v>0.26180555555555551</v>
          </cell>
          <cell r="AF18">
            <v>56.1</v>
          </cell>
          <cell r="AG18">
            <v>17.399999999999999</v>
          </cell>
          <cell r="AI18">
            <v>51.3</v>
          </cell>
          <cell r="AU18">
            <v>94.248871364698488</v>
          </cell>
          <cell r="AV18">
            <v>97.644327392671755</v>
          </cell>
          <cell r="AW18" t="str">
            <v>K. Benjamin</v>
          </cell>
        </row>
        <row r="19">
          <cell r="A19" t="str">
            <v>GU015</v>
          </cell>
          <cell r="O19">
            <v>58</v>
          </cell>
          <cell r="R19">
            <v>4.4444444444444393</v>
          </cell>
          <cell r="T19">
            <v>1.0201388888888889</v>
          </cell>
          <cell r="U19">
            <v>1.1368055555555556</v>
          </cell>
          <cell r="V19">
            <v>64</v>
          </cell>
          <cell r="Z19">
            <v>0.26180555555555562</v>
          </cell>
          <cell r="AF19">
            <v>56.9</v>
          </cell>
          <cell r="AG19">
            <v>17.2</v>
          </cell>
          <cell r="AI19">
            <v>52.3</v>
          </cell>
          <cell r="AU19">
            <v>95.050384097787941</v>
          </cell>
          <cell r="AV19">
            <v>98.473531897456894</v>
          </cell>
          <cell r="AW19" t="str">
            <v>R. Regis</v>
          </cell>
        </row>
        <row r="20">
          <cell r="A20" t="str">
            <v>GU016</v>
          </cell>
          <cell r="O20">
            <v>58</v>
          </cell>
          <cell r="R20">
            <v>4.0683760683760601</v>
          </cell>
          <cell r="T20">
            <v>0.2076388888888889</v>
          </cell>
          <cell r="U20">
            <v>0.32291666666666669</v>
          </cell>
          <cell r="V20">
            <v>66</v>
          </cell>
          <cell r="Z20">
            <v>0.2638888888888889</v>
          </cell>
          <cell r="AF20">
            <v>57.2</v>
          </cell>
          <cell r="AG20">
            <v>17.16</v>
          </cell>
          <cell r="AI20">
            <v>52.3</v>
          </cell>
          <cell r="AU20">
            <v>95.050384097787941</v>
          </cell>
          <cell r="AV20">
            <v>98.473531897456894</v>
          </cell>
          <cell r="AW20" t="str">
            <v>R. Regis</v>
          </cell>
        </row>
        <row r="21">
          <cell r="A21" t="str">
            <v>GU017</v>
          </cell>
          <cell r="O21">
            <v>56</v>
          </cell>
          <cell r="R21">
            <v>3.617391304347823</v>
          </cell>
          <cell r="T21">
            <v>0.31666666666666665</v>
          </cell>
          <cell r="U21">
            <v>0.43680555555555556</v>
          </cell>
          <cell r="V21">
            <v>76</v>
          </cell>
          <cell r="Z21">
            <v>0.26319444444444445</v>
          </cell>
          <cell r="AF21">
            <v>56.5</v>
          </cell>
          <cell r="AG21">
            <v>17.3</v>
          </cell>
          <cell r="AI21">
            <v>51.7</v>
          </cell>
          <cell r="AU21">
            <v>95.2118805924067</v>
          </cell>
          <cell r="AV21">
            <v>98.640250153783057</v>
          </cell>
          <cell r="AW21" t="str">
            <v>R.Sookram</v>
          </cell>
        </row>
        <row r="22">
          <cell r="A22" t="str">
            <v>GU018</v>
          </cell>
          <cell r="O22">
            <v>56</v>
          </cell>
          <cell r="R22">
            <v>3.7913043478260864</v>
          </cell>
          <cell r="T22">
            <v>0.45</v>
          </cell>
          <cell r="U22">
            <v>0.58750000000000002</v>
          </cell>
          <cell r="V22">
            <v>71</v>
          </cell>
          <cell r="Z22">
            <v>0.30277777777777781</v>
          </cell>
          <cell r="AF22">
            <v>57.7</v>
          </cell>
          <cell r="AG22">
            <v>17.3</v>
          </cell>
          <cell r="AI22">
            <v>52.7</v>
          </cell>
          <cell r="AU22">
            <v>97.521945612269661</v>
          </cell>
          <cell r="AV22">
            <v>101.02982230234356</v>
          </cell>
          <cell r="AW22" t="str">
            <v>R.Sookram</v>
          </cell>
        </row>
      </sheetData>
      <sheetData sheetId="2">
        <row r="5">
          <cell r="D5" t="e">
            <v>#REF!</v>
          </cell>
        </row>
        <row r="16">
          <cell r="D16">
            <v>17.7</v>
          </cell>
        </row>
        <row r="17">
          <cell r="D17">
            <v>17.5</v>
          </cell>
        </row>
        <row r="18">
          <cell r="D18">
            <v>17.600000000000001</v>
          </cell>
        </row>
        <row r="19">
          <cell r="D19">
            <v>17.3</v>
          </cell>
        </row>
        <row r="21">
          <cell r="D21">
            <v>17.7</v>
          </cell>
        </row>
        <row r="22">
          <cell r="D22">
            <v>17.399999999999999</v>
          </cell>
        </row>
        <row r="23">
          <cell r="D23">
            <v>17.5</v>
          </cell>
        </row>
        <row r="24">
          <cell r="D24">
            <v>17.5</v>
          </cell>
        </row>
        <row r="25">
          <cell r="D25">
            <v>17.5</v>
          </cell>
        </row>
        <row r="26">
          <cell r="D26">
            <v>17.399999999999999</v>
          </cell>
        </row>
        <row r="27">
          <cell r="D27">
            <v>17.7</v>
          </cell>
        </row>
        <row r="28">
          <cell r="D28">
            <v>17.600000000000001</v>
          </cell>
        </row>
        <row r="31">
          <cell r="D31">
            <v>17.5</v>
          </cell>
        </row>
        <row r="32">
          <cell r="D32">
            <v>17.399999999999999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February '25"/>
      <sheetName val="Summary January '25"/>
      <sheetName val="Summary December '24  "/>
      <sheetName val="Summary November '24   "/>
      <sheetName val="Summary October '24  "/>
      <sheetName val="Summary May '24 "/>
      <sheetName val="Summary April '24 "/>
      <sheetName val="Summary March '24  "/>
      <sheetName val="Summary February '24 "/>
      <sheetName val="Summary January '24"/>
      <sheetName val="Summary December '23 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9">
          <cell r="A9" t="str">
            <v>ST469</v>
          </cell>
          <cell r="AS9">
            <v>96.294792924800348</v>
          </cell>
        </row>
        <row r="10">
          <cell r="A10" t="str">
            <v>ST470</v>
          </cell>
          <cell r="AS10">
            <v>101.55445900699654</v>
          </cell>
        </row>
        <row r="11">
          <cell r="A11" t="str">
            <v>ST471</v>
          </cell>
          <cell r="AS11">
            <v>99.033048695872623</v>
          </cell>
        </row>
        <row r="12">
          <cell r="A12" t="str">
            <v>ST472</v>
          </cell>
          <cell r="AS12">
            <v>105.26105814457547</v>
          </cell>
        </row>
        <row r="13">
          <cell r="A13" t="str">
            <v>ST473</v>
          </cell>
          <cell r="AS13">
            <v>94.595166386563889</v>
          </cell>
        </row>
        <row r="14">
          <cell r="A14">
            <v>10</v>
          </cell>
          <cell r="AS14">
            <v>98.273119086730702</v>
          </cell>
        </row>
        <row r="15">
          <cell r="A15" t="str">
            <v>ST001</v>
          </cell>
          <cell r="AS15">
            <v>93.952909228354414</v>
          </cell>
        </row>
        <row r="16">
          <cell r="A16" t="str">
            <v>ST002</v>
          </cell>
          <cell r="AS16">
            <v>96.305388330846725</v>
          </cell>
        </row>
        <row r="17">
          <cell r="A17" t="str">
            <v>ST003</v>
          </cell>
          <cell r="AS17">
            <v>97.317556311342841</v>
          </cell>
        </row>
        <row r="18">
          <cell r="A18" t="str">
            <v>ST004</v>
          </cell>
          <cell r="AS18">
            <v>96.740574752184699</v>
          </cell>
        </row>
        <row r="19">
          <cell r="A19" t="str">
            <v>ST005</v>
          </cell>
          <cell r="AS19">
            <v>95.662513854103381</v>
          </cell>
        </row>
        <row r="20">
          <cell r="A20" t="str">
            <v>ST006</v>
          </cell>
          <cell r="AS20">
            <v>96.762676801570322</v>
          </cell>
        </row>
        <row r="21">
          <cell r="A21" t="str">
            <v>ST007</v>
          </cell>
          <cell r="AS21">
            <v>94.359297157598206</v>
          </cell>
        </row>
        <row r="22">
          <cell r="A22" t="str">
            <v>ST008</v>
          </cell>
          <cell r="AS22">
            <v>95.89985711119165</v>
          </cell>
        </row>
        <row r="23">
          <cell r="A23" t="str">
            <v>ST009</v>
          </cell>
          <cell r="AS23">
            <v>96.050597074606841</v>
          </cell>
        </row>
        <row r="24">
          <cell r="A24" t="str">
            <v>ST010</v>
          </cell>
          <cell r="AS24">
            <v>96.050597074606841</v>
          </cell>
        </row>
        <row r="25">
          <cell r="A25" t="str">
            <v>ST011</v>
          </cell>
          <cell r="AS25">
            <v>93.400253634983798</v>
          </cell>
        </row>
        <row r="26">
          <cell r="A26" t="str">
            <v>ST012</v>
          </cell>
          <cell r="AS26">
            <v>96.426665032854629</v>
          </cell>
        </row>
        <row r="27">
          <cell r="A27" t="str">
            <v>ST013</v>
          </cell>
          <cell r="AS27">
            <v>96.328598952006701</v>
          </cell>
        </row>
        <row r="28">
          <cell r="A28" t="str">
            <v>ST014</v>
          </cell>
          <cell r="AS28">
            <v>97.60292995662067</v>
          </cell>
        </row>
        <row r="29">
          <cell r="A29" t="str">
            <v>ST015</v>
          </cell>
          <cell r="AS29">
            <v>92.363806479823964</v>
          </cell>
        </row>
        <row r="30">
          <cell r="A30" t="str">
            <v>ST016</v>
          </cell>
          <cell r="AS30">
            <v>97.071554839885479</v>
          </cell>
        </row>
        <row r="31">
          <cell r="A31" t="str">
            <v>ST017</v>
          </cell>
          <cell r="AS31">
            <v>93.180885322057676</v>
          </cell>
        </row>
        <row r="32">
          <cell r="A32" t="str">
            <v>ST018</v>
          </cell>
          <cell r="AS32">
            <v>93.104069106683397</v>
          </cell>
        </row>
        <row r="33">
          <cell r="A33" t="str">
            <v>ST019</v>
          </cell>
          <cell r="AS33">
            <v>96.914841762663983</v>
          </cell>
        </row>
        <row r="34">
          <cell r="A34" t="str">
            <v>ST020</v>
          </cell>
          <cell r="AS34">
            <v>100.133600634603</v>
          </cell>
        </row>
        <row r="35">
          <cell r="A35" t="str">
            <v>ST021</v>
          </cell>
          <cell r="AS35">
            <v>97.985541190514951</v>
          </cell>
        </row>
        <row r="36">
          <cell r="A36" t="str">
            <v>ST022</v>
          </cell>
          <cell r="AS36">
            <v>97.465856823914748</v>
          </cell>
        </row>
        <row r="37">
          <cell r="A37" t="str">
            <v>ST023</v>
          </cell>
          <cell r="AS37">
            <v>93.269474250821958</v>
          </cell>
        </row>
        <row r="38">
          <cell r="A38" t="str">
            <v>ST024</v>
          </cell>
          <cell r="AS38">
            <v>95.729858121698229</v>
          </cell>
        </row>
        <row r="39">
          <cell r="A39" t="str">
            <v>ST025</v>
          </cell>
          <cell r="AS39">
            <v>96.776757210948887</v>
          </cell>
        </row>
        <row r="40">
          <cell r="A40" t="str">
            <v>ST026</v>
          </cell>
          <cell r="AS40">
            <v>96.149254375240844</v>
          </cell>
        </row>
        <row r="41">
          <cell r="A41" t="str">
            <v>ST027</v>
          </cell>
          <cell r="AS41">
            <v>95.703229726515019</v>
          </cell>
        </row>
        <row r="42">
          <cell r="A42" t="str">
            <v>ST028</v>
          </cell>
          <cell r="AS42">
            <v>96.392332863581075</v>
          </cell>
        </row>
        <row r="43">
          <cell r="A43" t="str">
            <v>ST029</v>
          </cell>
          <cell r="AS43">
            <v>96.042495052644043</v>
          </cell>
        </row>
        <row r="44">
          <cell r="A44" t="str">
            <v>ST030</v>
          </cell>
          <cell r="AS44">
            <v>96.528726855243008</v>
          </cell>
        </row>
        <row r="45">
          <cell r="A45" t="str">
            <v>ST031</v>
          </cell>
          <cell r="AS45">
            <v>99.057134588670351</v>
          </cell>
        </row>
        <row r="46">
          <cell r="A46" t="str">
            <v>ST032</v>
          </cell>
          <cell r="AS46">
            <v>97.66120802841786</v>
          </cell>
        </row>
        <row r="47">
          <cell r="A47" t="str">
            <v>ST033</v>
          </cell>
          <cell r="AS47">
            <v>99.956949475386367</v>
          </cell>
        </row>
        <row r="48">
          <cell r="A48" t="str">
            <v>ST034</v>
          </cell>
          <cell r="AS48">
            <v>101.54928414912592</v>
          </cell>
        </row>
        <row r="49">
          <cell r="A49" t="str">
            <v>ST035</v>
          </cell>
          <cell r="AS49">
            <v>97.80064193750701</v>
          </cell>
        </row>
        <row r="50">
          <cell r="A50" t="str">
            <v>ST036</v>
          </cell>
          <cell r="AS50">
            <v>96.518971677208299</v>
          </cell>
        </row>
        <row r="51">
          <cell r="A51" t="str">
            <v>ST037</v>
          </cell>
          <cell r="AS51">
            <v>95.561137165761352</v>
          </cell>
        </row>
        <row r="52">
          <cell r="A52" t="str">
            <v>ST038</v>
          </cell>
          <cell r="AS52">
            <v>95.558880444994585</v>
          </cell>
        </row>
        <row r="53">
          <cell r="A53" t="str">
            <v>ST039</v>
          </cell>
          <cell r="AS53">
            <v>95.952410461648014</v>
          </cell>
        </row>
        <row r="54">
          <cell r="A54" t="str">
            <v>ST040</v>
          </cell>
          <cell r="AS54">
            <v>95.30638126018755</v>
          </cell>
        </row>
        <row r="55">
          <cell r="A55" t="str">
            <v>ST041</v>
          </cell>
          <cell r="AS55">
            <v>94.732040280520366</v>
          </cell>
        </row>
        <row r="56">
          <cell r="A56" t="str">
            <v>ST042</v>
          </cell>
          <cell r="AS56">
            <v>93.077322691564333</v>
          </cell>
        </row>
        <row r="57">
          <cell r="A57" t="str">
            <v>ST043</v>
          </cell>
          <cell r="AS57">
            <v>94.371821342410584</v>
          </cell>
        </row>
        <row r="58">
          <cell r="A58" t="str">
            <v>ST044</v>
          </cell>
          <cell r="AS58">
            <v>98.856173802431272</v>
          </cell>
        </row>
        <row r="59">
          <cell r="A59" t="str">
            <v>ST045</v>
          </cell>
          <cell r="AS59">
            <v>95.30638126018755</v>
          </cell>
        </row>
        <row r="60">
          <cell r="A60" t="str">
            <v>ST046</v>
          </cell>
          <cell r="AS60">
            <v>97.2646053460942</v>
          </cell>
        </row>
        <row r="61">
          <cell r="A61" t="str">
            <v>ST047</v>
          </cell>
          <cell r="AS61">
            <v>93.552519520813476</v>
          </cell>
        </row>
        <row r="62">
          <cell r="A62" t="str">
            <v>ST048</v>
          </cell>
          <cell r="AS62">
            <v>94.825567674202887</v>
          </cell>
        </row>
        <row r="63">
          <cell r="A63" t="str">
            <v>ST049</v>
          </cell>
          <cell r="AS63">
            <v>92.656238601066747</v>
          </cell>
        </row>
        <row r="64">
          <cell r="A64" t="str">
            <v>ST050</v>
          </cell>
          <cell r="AS64">
            <v>96.628236432962609</v>
          </cell>
        </row>
        <row r="65">
          <cell r="A65">
            <v>50</v>
          </cell>
          <cell r="AS65">
            <v>96.07733212061747</v>
          </cell>
        </row>
        <row r="66">
          <cell r="A66" t="str">
            <v>ST051</v>
          </cell>
          <cell r="P66">
            <v>60</v>
          </cell>
          <cell r="Q66">
            <v>7.3126142595978063</v>
          </cell>
          <cell r="T66">
            <v>0.54861111111111116</v>
          </cell>
          <cell r="U66">
            <v>0.7368055555555556</v>
          </cell>
          <cell r="V66">
            <v>61</v>
          </cell>
          <cell r="AD66">
            <v>52.1</v>
          </cell>
          <cell r="AE66">
            <v>11.8</v>
          </cell>
          <cell r="AG66">
            <v>48.5</v>
          </cell>
          <cell r="AS66">
            <v>92.002637422262225</v>
          </cell>
          <cell r="AT66">
            <v>95.212419992390508</v>
          </cell>
          <cell r="AV66" t="str">
            <v>R. Regis</v>
          </cell>
          <cell r="AW66">
            <v>0.25763888888888892</v>
          </cell>
        </row>
        <row r="67">
          <cell r="A67" t="str">
            <v>ST052</v>
          </cell>
          <cell r="P67">
            <v>57</v>
          </cell>
          <cell r="Q67">
            <v>6.6666666666666696</v>
          </cell>
          <cell r="T67">
            <v>0.66597222222222219</v>
          </cell>
          <cell r="U67">
            <v>0.84513888888888888</v>
          </cell>
          <cell r="V67">
            <v>61</v>
          </cell>
          <cell r="AD67">
            <v>53</v>
          </cell>
          <cell r="AE67">
            <v>12</v>
          </cell>
          <cell r="AG67">
            <v>49.6</v>
          </cell>
          <cell r="AS67">
            <v>95.885984924603306</v>
          </cell>
          <cell r="AT67">
            <v>99.230186201866232</v>
          </cell>
          <cell r="AV67" t="str">
            <v>R.Sookram</v>
          </cell>
          <cell r="AW67">
            <v>0.25486111111111109</v>
          </cell>
        </row>
        <row r="68">
          <cell r="A68" t="str">
            <v>ST053</v>
          </cell>
          <cell r="P68">
            <v>57</v>
          </cell>
          <cell r="Q68">
            <v>5.7301293900184866</v>
          </cell>
          <cell r="T68">
            <v>0.76527777777777772</v>
          </cell>
          <cell r="U68">
            <v>0.94652777777777775</v>
          </cell>
          <cell r="V68">
            <v>60</v>
          </cell>
          <cell r="AD68">
            <v>53.2</v>
          </cell>
          <cell r="AE68">
            <v>11.8</v>
          </cell>
          <cell r="AG68">
            <v>49.9</v>
          </cell>
          <cell r="AS68">
            <v>95.012866791826809</v>
          </cell>
          <cell r="AT68">
            <v>98.324501417113453</v>
          </cell>
          <cell r="AV68" t="str">
            <v>R.Sookram</v>
          </cell>
          <cell r="AW68">
            <v>0.26249999999999996</v>
          </cell>
        </row>
        <row r="69">
          <cell r="A69" t="str">
            <v>ST054</v>
          </cell>
          <cell r="P69">
            <v>59</v>
          </cell>
          <cell r="Q69">
            <v>3.4155597722960227</v>
          </cell>
          <cell r="T69">
            <v>0.87569444444444444</v>
          </cell>
          <cell r="U69">
            <v>1.0534722222222221</v>
          </cell>
          <cell r="V69">
            <v>62</v>
          </cell>
          <cell r="AD69">
            <v>53.1</v>
          </cell>
          <cell r="AE69">
            <v>11.9</v>
          </cell>
          <cell r="AG69">
            <v>49.7</v>
          </cell>
          <cell r="AS69">
            <v>95.834500872564547</v>
          </cell>
          <cell r="AT69">
            <v>99.171553348370381</v>
          </cell>
          <cell r="AV69" t="str">
            <v>R.Sookram</v>
          </cell>
          <cell r="AW69">
            <v>0.26527777777777772</v>
          </cell>
        </row>
        <row r="70">
          <cell r="A70" t="str">
            <v>ST055</v>
          </cell>
          <cell r="P70">
            <v>60</v>
          </cell>
          <cell r="Q70">
            <v>6.0773480662983372</v>
          </cell>
          <cell r="T70">
            <v>0.9868055555555556</v>
          </cell>
          <cell r="U70">
            <v>1.1972222222222222</v>
          </cell>
          <cell r="V70">
            <v>79</v>
          </cell>
          <cell r="AD70">
            <v>53.2</v>
          </cell>
          <cell r="AE70">
            <v>11.8</v>
          </cell>
          <cell r="AG70">
            <v>50.2</v>
          </cell>
          <cell r="AS70">
            <v>95.943381714424419</v>
          </cell>
          <cell r="AT70">
            <v>99.284225529253135</v>
          </cell>
          <cell r="AV70" t="str">
            <v>K. Benjamin</v>
          </cell>
          <cell r="AW70">
            <v>0.28749999999999998</v>
          </cell>
        </row>
        <row r="71">
          <cell r="A71" t="str">
            <v>ST056</v>
          </cell>
          <cell r="P71">
            <v>61</v>
          </cell>
          <cell r="Q71">
            <v>4.7272727272727302</v>
          </cell>
          <cell r="T71">
            <v>1.0944444444444446</v>
          </cell>
          <cell r="U71">
            <v>1.2847222222222223</v>
          </cell>
          <cell r="V71">
            <v>68</v>
          </cell>
          <cell r="AD71">
            <v>54.2</v>
          </cell>
          <cell r="AE71">
            <v>11.7</v>
          </cell>
          <cell r="AG71">
            <v>51.2</v>
          </cell>
          <cell r="AS71">
            <v>96.860953695286469</v>
          </cell>
          <cell r="AT71">
            <v>100.23483575455681</v>
          </cell>
          <cell r="AV71" t="str">
            <v>K. Benjamin</v>
          </cell>
          <cell r="AW71">
            <v>0.25694444444444464</v>
          </cell>
        </row>
        <row r="72">
          <cell r="A72" t="str">
            <v>ST057</v>
          </cell>
          <cell r="P72">
            <v>59</v>
          </cell>
          <cell r="Q72">
            <v>5.5454545454545405</v>
          </cell>
          <cell r="T72">
            <v>0.27361111111111114</v>
          </cell>
          <cell r="U72">
            <v>0.39444444444444443</v>
          </cell>
          <cell r="V72">
            <v>66</v>
          </cell>
          <cell r="AD72">
            <v>53.2</v>
          </cell>
          <cell r="AE72">
            <v>11.9</v>
          </cell>
          <cell r="AG72">
            <v>50</v>
          </cell>
          <cell r="AS72">
            <v>96.412978745034764</v>
          </cell>
          <cell r="AT72">
            <v>99.770174394738817</v>
          </cell>
          <cell r="AV72" t="str">
            <v>K. Benjamin</v>
          </cell>
          <cell r="AW72">
            <v>0.26597222222222222</v>
          </cell>
        </row>
        <row r="73">
          <cell r="A73" t="str">
            <v>ST058</v>
          </cell>
          <cell r="P73">
            <v>60</v>
          </cell>
          <cell r="Q73">
            <v>4.7186932849364815</v>
          </cell>
          <cell r="T73">
            <v>0.37152777777777779</v>
          </cell>
          <cell r="U73">
            <v>0.49513888888888891</v>
          </cell>
          <cell r="V73">
            <v>60</v>
          </cell>
          <cell r="AD73">
            <v>53.4</v>
          </cell>
          <cell r="AE73">
            <v>11.8</v>
          </cell>
          <cell r="AG73">
            <v>50.3</v>
          </cell>
          <cell r="AS73">
            <v>96.134503988755924</v>
          </cell>
          <cell r="AT73">
            <v>99.482002870944854</v>
          </cell>
          <cell r="AV73" t="str">
            <v xml:space="preserve">R.Regis </v>
          </cell>
          <cell r="AW73">
            <v>0.2590277777777778</v>
          </cell>
        </row>
        <row r="74">
          <cell r="A74" t="str">
            <v>ST059</v>
          </cell>
          <cell r="P74">
            <v>59</v>
          </cell>
          <cell r="Q74">
            <v>6.9469835466179228</v>
          </cell>
          <cell r="T74">
            <v>1.0201388888888889</v>
          </cell>
          <cell r="U74">
            <v>1.1340277777777779</v>
          </cell>
          <cell r="V74">
            <v>57</v>
          </cell>
          <cell r="AD74">
            <v>51.8</v>
          </cell>
          <cell r="AE74">
            <v>12</v>
          </cell>
          <cell r="AG74">
            <v>47.9</v>
          </cell>
          <cell r="AS74">
            <v>92.715017057588085</v>
          </cell>
          <cell r="AT74">
            <v>95.947594289789322</v>
          </cell>
          <cell r="AV74" t="str">
            <v>R.Sookram</v>
          </cell>
          <cell r="AW74">
            <v>0.25902777777777786</v>
          </cell>
        </row>
        <row r="75">
          <cell r="A75" t="str">
            <v>ST060</v>
          </cell>
          <cell r="P75">
            <v>58</v>
          </cell>
          <cell r="Q75">
            <v>5.8161350844277573</v>
          </cell>
          <cell r="T75">
            <v>1.1402777777777777</v>
          </cell>
          <cell r="U75">
            <v>1.2520833333333334</v>
          </cell>
          <cell r="V75">
            <v>60</v>
          </cell>
          <cell r="AD75">
            <v>53.2</v>
          </cell>
          <cell r="AE75">
            <v>12</v>
          </cell>
          <cell r="AG75">
            <v>49.4</v>
          </cell>
          <cell r="AS75">
            <v>96.097642480416468</v>
          </cell>
          <cell r="AT75">
            <v>99.443857808284704</v>
          </cell>
          <cell r="AV75" t="str">
            <v>R.Sookram</v>
          </cell>
          <cell r="AW75">
            <v>0.28333333333333344</v>
          </cell>
        </row>
        <row r="76">
          <cell r="A76" t="str">
            <v>ST061</v>
          </cell>
          <cell r="P76">
            <v>57</v>
          </cell>
          <cell r="Q76">
            <v>6.4220183486238538</v>
          </cell>
          <cell r="T76">
            <v>0.23749999999999999</v>
          </cell>
          <cell r="U76">
            <v>0.35</v>
          </cell>
          <cell r="V76">
            <v>58</v>
          </cell>
          <cell r="AD76">
            <v>53.2</v>
          </cell>
          <cell r="AE76">
            <v>11.9</v>
          </cell>
          <cell r="AG76">
            <v>50.1</v>
          </cell>
          <cell r="AS76">
            <v>96.605804702524836</v>
          </cell>
          <cell r="AT76">
            <v>99.9697147435283</v>
          </cell>
          <cell r="AV76" t="str">
            <v>R.Sookram</v>
          </cell>
          <cell r="AW76">
            <v>0.27361111111111108</v>
          </cell>
        </row>
        <row r="77">
          <cell r="A77" t="str">
            <v>ST062</v>
          </cell>
          <cell r="P77">
            <v>61</v>
          </cell>
          <cell r="Q77">
            <v>5.8608058608058657</v>
          </cell>
          <cell r="T77">
            <v>0.3347222222222222</v>
          </cell>
          <cell r="U77">
            <v>0.4513888888888889</v>
          </cell>
          <cell r="V77">
            <v>64</v>
          </cell>
          <cell r="AD77">
            <v>53.6</v>
          </cell>
          <cell r="AE77">
            <v>11.9</v>
          </cell>
          <cell r="AG77">
            <v>50.4</v>
          </cell>
          <cell r="AS77">
            <v>97.184282574995024</v>
          </cell>
          <cell r="AT77">
            <v>100.56833578989671</v>
          </cell>
          <cell r="AV77" t="str">
            <v>K. Benjamin</v>
          </cell>
          <cell r="AW77">
            <v>0.2673611111111111</v>
          </cell>
        </row>
        <row r="78">
          <cell r="A78" t="str">
            <v>ST063</v>
          </cell>
          <cell r="P78">
            <v>61</v>
          </cell>
          <cell r="Q78">
            <v>5.8076225045372105</v>
          </cell>
          <cell r="T78">
            <v>0.42291666666666666</v>
          </cell>
          <cell r="U78">
            <v>0.54097222222222219</v>
          </cell>
          <cell r="V78">
            <v>61</v>
          </cell>
          <cell r="AD78">
            <v>54.1</v>
          </cell>
          <cell r="AE78">
            <v>11.8</v>
          </cell>
          <cell r="AG78">
            <v>51.1</v>
          </cell>
          <cell r="AS78">
            <v>97.663482183408107</v>
          </cell>
          <cell r="AT78">
            <v>101.06422160447876</v>
          </cell>
          <cell r="AV78" t="str">
            <v>K. Benjamin</v>
          </cell>
          <cell r="AW78">
            <v>0.2631944444444444</v>
          </cell>
        </row>
        <row r="79">
          <cell r="A79" t="str">
            <v>ST064</v>
          </cell>
          <cell r="P79">
            <v>61</v>
          </cell>
          <cell r="Q79">
            <v>6.2157221206581328</v>
          </cell>
          <cell r="T79">
            <v>0.52430555555555558</v>
          </cell>
          <cell r="U79">
            <v>0.64166666666666672</v>
          </cell>
          <cell r="V79">
            <v>63</v>
          </cell>
          <cell r="AD79">
            <v>52.2</v>
          </cell>
          <cell r="AE79">
            <v>11.8</v>
          </cell>
          <cell r="AG79">
            <v>49.2</v>
          </cell>
          <cell r="AS79">
            <v>93.680020965087763</v>
          </cell>
          <cell r="AT79">
            <v>96.945199794027701</v>
          </cell>
          <cell r="AV79" t="str">
            <v>K. Benjamin</v>
          </cell>
          <cell r="AW79">
            <v>0.2597222222222223</v>
          </cell>
        </row>
        <row r="80">
          <cell r="A80" t="str">
            <v>ST065</v>
          </cell>
          <cell r="P80">
            <v>62</v>
          </cell>
          <cell r="Q80">
            <v>6.0218978102189737</v>
          </cell>
          <cell r="T80">
            <v>0.62916666666666665</v>
          </cell>
          <cell r="U80">
            <v>0.75277777777777777</v>
          </cell>
          <cell r="V80">
            <v>73</v>
          </cell>
          <cell r="AD80">
            <v>53.7</v>
          </cell>
          <cell r="AE80">
            <v>11.9</v>
          </cell>
          <cell r="AG80">
            <v>50.5</v>
          </cell>
          <cell r="AS80">
            <v>97.133695082094221</v>
          </cell>
          <cell r="AT80">
            <v>100.51816516605794</v>
          </cell>
          <cell r="AV80" t="str">
            <v xml:space="preserve">R.Regis </v>
          </cell>
          <cell r="AW80">
            <v>0.25972222222222219</v>
          </cell>
        </row>
        <row r="81">
          <cell r="A81" t="str">
            <v>ST066</v>
          </cell>
          <cell r="P81">
            <v>61</v>
          </cell>
          <cell r="Q81">
            <v>6.1930783242258629</v>
          </cell>
          <cell r="T81">
            <v>0.73124999999999996</v>
          </cell>
          <cell r="U81">
            <v>0.86527777777777781</v>
          </cell>
          <cell r="V81">
            <v>73</v>
          </cell>
          <cell r="AD81">
            <v>54.2</v>
          </cell>
          <cell r="AE81">
            <v>11.7</v>
          </cell>
          <cell r="AG81">
            <v>51.1</v>
          </cell>
          <cell r="AS81">
            <v>96.430423472800626</v>
          </cell>
          <cell r="AT81">
            <v>99.791466456623652</v>
          </cell>
          <cell r="AV81" t="str">
            <v xml:space="preserve">R.Regis </v>
          </cell>
          <cell r="AW81">
            <v>0.27152777777777781</v>
          </cell>
        </row>
        <row r="82">
          <cell r="A82" t="str">
            <v>ST067</v>
          </cell>
          <cell r="P82">
            <v>57</v>
          </cell>
          <cell r="Q82">
            <v>6.3461538461538405</v>
          </cell>
          <cell r="T82">
            <v>0.62222222222222223</v>
          </cell>
          <cell r="U82">
            <v>0.73263888888888884</v>
          </cell>
          <cell r="V82">
            <v>58</v>
          </cell>
          <cell r="AD82">
            <v>49.6</v>
          </cell>
          <cell r="AE82">
            <v>11.4</v>
          </cell>
          <cell r="AG82">
            <v>45.8</v>
          </cell>
          <cell r="AS82">
            <v>90.175237312660769</v>
          </cell>
          <cell r="AT82">
            <v>93.260034890635467</v>
          </cell>
          <cell r="AV82" t="str">
            <v>R.Sookram</v>
          </cell>
          <cell r="AW82">
            <v>0.25694444444444442</v>
          </cell>
        </row>
        <row r="83">
          <cell r="A83" t="str">
            <v>ST068</v>
          </cell>
          <cell r="P83">
            <v>60</v>
          </cell>
          <cell r="Q83">
            <v>5.1282051282051233</v>
          </cell>
          <cell r="T83">
            <v>0.71944444444444444</v>
          </cell>
          <cell r="U83">
            <v>0.83472222222222225</v>
          </cell>
          <cell r="V83">
            <v>62</v>
          </cell>
          <cell r="AD83">
            <v>54</v>
          </cell>
          <cell r="AE83">
            <v>11.9</v>
          </cell>
          <cell r="AG83">
            <v>50.9</v>
          </cell>
          <cell r="AS83">
            <v>98.394986562676721</v>
          </cell>
          <cell r="AT83">
            <v>101.81898003926706</v>
          </cell>
          <cell r="AV83" t="str">
            <v>K. Benjamin</v>
          </cell>
          <cell r="AW83">
            <v>0.27569444444444446</v>
          </cell>
        </row>
        <row r="84">
          <cell r="A84" t="str">
            <v>ST069</v>
          </cell>
          <cell r="P84">
            <v>61</v>
          </cell>
          <cell r="Q84">
            <v>2.6266416510318922</v>
          </cell>
          <cell r="T84">
            <v>0.82222222222222219</v>
          </cell>
          <cell r="U84">
            <v>0.93819444444444444</v>
          </cell>
          <cell r="V84">
            <v>61</v>
          </cell>
          <cell r="AD84">
            <v>53.7</v>
          </cell>
          <cell r="AE84">
            <v>11.9</v>
          </cell>
          <cell r="AG84">
            <v>50.5</v>
          </cell>
          <cell r="AS84">
            <v>97.621745017979862</v>
          </cell>
          <cell r="AT84">
            <v>101.01883088375219</v>
          </cell>
          <cell r="AV84" t="str">
            <v>K. Benjamin</v>
          </cell>
          <cell r="AW84">
            <v>0.25763888888888886</v>
          </cell>
        </row>
        <row r="85">
          <cell r="A85" t="str">
            <v>ST070</v>
          </cell>
          <cell r="P85">
            <v>61</v>
          </cell>
          <cell r="Q85">
            <v>4.9450549450549506</v>
          </cell>
          <cell r="T85">
            <v>0.92708333333333337</v>
          </cell>
          <cell r="U85">
            <v>1.0395833333333333</v>
          </cell>
          <cell r="V85">
            <v>60</v>
          </cell>
          <cell r="AD85">
            <v>53.2</v>
          </cell>
          <cell r="AE85">
            <v>11.8</v>
          </cell>
          <cell r="AG85">
            <v>50.1</v>
          </cell>
          <cell r="AS85">
            <v>95.99281388436242</v>
          </cell>
          <cell r="AT85">
            <v>99.333215463971797</v>
          </cell>
          <cell r="AV85" t="str">
            <v>R.Sookram</v>
          </cell>
          <cell r="AW85">
            <v>0.24791666666666667</v>
          </cell>
        </row>
        <row r="86">
          <cell r="A86" t="str">
            <v>ST071</v>
          </cell>
          <cell r="P86">
            <v>60</v>
          </cell>
          <cell r="Q86">
            <v>5.2631578947368398</v>
          </cell>
          <cell r="T86">
            <v>1.0340277777777778</v>
          </cell>
          <cell r="U86">
            <v>1.1444444444444444</v>
          </cell>
          <cell r="V86">
            <v>58</v>
          </cell>
          <cell r="AD86">
            <v>53.1</v>
          </cell>
          <cell r="AE86">
            <v>11.8</v>
          </cell>
          <cell r="AG86">
            <v>50</v>
          </cell>
          <cell r="AS86">
            <v>95.681023720581877</v>
          </cell>
          <cell r="AT86">
            <v>99.011655067913964</v>
          </cell>
          <cell r="AV86" t="str">
            <v xml:space="preserve">R.Regis </v>
          </cell>
          <cell r="AW86">
            <v>0.25208333333333321</v>
          </cell>
        </row>
        <row r="87">
          <cell r="A87" t="str">
            <v>ST072</v>
          </cell>
          <cell r="P87">
            <v>60</v>
          </cell>
          <cell r="Q87">
            <v>4.7706422018348649</v>
          </cell>
          <cell r="T87">
            <v>1.179861111111111</v>
          </cell>
          <cell r="U87">
            <v>1.2916666666666667</v>
          </cell>
          <cell r="V87">
            <v>62</v>
          </cell>
          <cell r="AD87">
            <v>53.2</v>
          </cell>
          <cell r="AE87">
            <v>11.9</v>
          </cell>
          <cell r="AG87">
            <v>49.8</v>
          </cell>
          <cell r="AS87">
            <v>95.907156934495333</v>
          </cell>
          <cell r="AT87">
            <v>99.247816135052688</v>
          </cell>
          <cell r="AV87" t="str">
            <v xml:space="preserve">R.Regis </v>
          </cell>
          <cell r="AW87">
            <v>0.26041666666666674</v>
          </cell>
        </row>
        <row r="88">
          <cell r="A88" t="str">
            <v>ST073</v>
          </cell>
          <cell r="P88">
            <v>60</v>
          </cell>
          <cell r="Q88">
            <v>4.5537340619307836</v>
          </cell>
          <cell r="T88">
            <v>0.28958333333333336</v>
          </cell>
          <cell r="U88">
            <v>0.39930555555555558</v>
          </cell>
          <cell r="V88">
            <v>62</v>
          </cell>
          <cell r="AD88">
            <v>53.3</v>
          </cell>
          <cell r="AE88">
            <v>11.96</v>
          </cell>
          <cell r="AG88">
            <v>49.1</v>
          </cell>
          <cell r="AS88">
            <v>95.275297184535674</v>
          </cell>
          <cell r="AT88">
            <v>98.595014330982991</v>
          </cell>
          <cell r="AV88" t="str">
            <v xml:space="preserve">R.Regis </v>
          </cell>
          <cell r="AW88">
            <v>0.25694444444444448</v>
          </cell>
        </row>
        <row r="89">
          <cell r="A89" t="str">
            <v>ST074</v>
          </cell>
          <cell r="P89">
            <v>59</v>
          </cell>
          <cell r="Q89">
            <v>4.5537340619307836</v>
          </cell>
          <cell r="T89">
            <v>0.40902777777777777</v>
          </cell>
          <cell r="U89">
            <v>0.52013888888888893</v>
          </cell>
          <cell r="V89">
            <v>63</v>
          </cell>
          <cell r="AD89">
            <v>53.7</v>
          </cell>
          <cell r="AE89">
            <v>11.8</v>
          </cell>
          <cell r="AG89">
            <v>49.8</v>
          </cell>
          <cell r="AS89">
            <v>95.059784463588144</v>
          </cell>
          <cell r="AT89">
            <v>98.370927799722907</v>
          </cell>
          <cell r="AV89" t="str">
            <v>R.Sookram</v>
          </cell>
          <cell r="AW89">
            <v>0.26666666666666672</v>
          </cell>
        </row>
        <row r="90">
          <cell r="A90" t="str">
            <v>ST075</v>
          </cell>
          <cell r="P90">
            <v>56</v>
          </cell>
          <cell r="Q90">
            <v>4.7445255474452459</v>
          </cell>
          <cell r="T90">
            <v>0.53611111111111109</v>
          </cell>
          <cell r="U90">
            <v>0.64097222222222228</v>
          </cell>
          <cell r="V90">
            <v>59</v>
          </cell>
          <cell r="AD90">
            <v>53.1</v>
          </cell>
          <cell r="AE90">
            <v>11.9</v>
          </cell>
          <cell r="AG90">
            <v>50.1</v>
          </cell>
          <cell r="AS90">
            <v>96.727001848613199</v>
          </cell>
          <cell r="AT90">
            <v>100.09404342031765</v>
          </cell>
          <cell r="AV90" t="str">
            <v>R.Sookram</v>
          </cell>
          <cell r="AW90">
            <v>0.29027777777777786</v>
          </cell>
        </row>
        <row r="91">
          <cell r="A91" t="str">
            <v>ST076</v>
          </cell>
          <cell r="P91">
            <v>75</v>
          </cell>
          <cell r="Q91">
            <v>4.2553191489361684</v>
          </cell>
          <cell r="T91">
            <v>0.74791666666666667</v>
          </cell>
          <cell r="U91">
            <v>0.875</v>
          </cell>
          <cell r="V91">
            <v>64</v>
          </cell>
          <cell r="AD91">
            <v>54.9</v>
          </cell>
          <cell r="AE91">
            <v>12</v>
          </cell>
          <cell r="AG91">
            <v>53.4</v>
          </cell>
          <cell r="AS91">
            <v>104.009149649091</v>
          </cell>
          <cell r="AT91">
            <v>107.62968087628877</v>
          </cell>
          <cell r="AV91" t="str">
            <v>K. Benjamin</v>
          </cell>
          <cell r="AW91">
            <v>0.26736111111111116</v>
          </cell>
        </row>
        <row r="92">
          <cell r="A92" t="str">
            <v>ST077</v>
          </cell>
          <cell r="P92">
            <v>59</v>
          </cell>
          <cell r="Q92">
            <v>6.2271062271062245</v>
          </cell>
          <cell r="T92">
            <v>0.79791666666666672</v>
          </cell>
          <cell r="U92">
            <v>0.8666666666666667</v>
          </cell>
          <cell r="V92">
            <v>58</v>
          </cell>
          <cell r="AD92">
            <v>52.1</v>
          </cell>
          <cell r="AE92">
            <v>11.8</v>
          </cell>
          <cell r="AG92">
            <v>48</v>
          </cell>
          <cell r="AS92">
            <v>92.550439614588157</v>
          </cell>
          <cell r="AT92">
            <v>95.765791331462665</v>
          </cell>
          <cell r="AV92" t="str">
            <v>R.Sookram</v>
          </cell>
          <cell r="AW92">
            <v>0.20694444444444449</v>
          </cell>
        </row>
        <row r="93">
          <cell r="A93" t="str">
            <v>ST078</v>
          </cell>
          <cell r="P93">
            <v>57</v>
          </cell>
          <cell r="Q93">
            <v>4.1431261770244872</v>
          </cell>
          <cell r="T93">
            <v>0.90694444444444444</v>
          </cell>
          <cell r="U93">
            <v>1.0125</v>
          </cell>
          <cell r="V93">
            <v>58</v>
          </cell>
          <cell r="AD93">
            <v>53.1</v>
          </cell>
          <cell r="AE93">
            <v>11.9</v>
          </cell>
          <cell r="AG93">
            <v>49.8</v>
          </cell>
          <cell r="AS93">
            <v>96.999636851732902</v>
          </cell>
          <cell r="AT93">
            <v>100.36844987444104</v>
          </cell>
          <cell r="AV93" t="str">
            <v>R.Sookram</v>
          </cell>
          <cell r="AW93">
            <v>0.26944444444444438</v>
          </cell>
        </row>
        <row r="94">
          <cell r="A94" t="str">
            <v>ST079</v>
          </cell>
          <cell r="P94">
            <v>60</v>
          </cell>
          <cell r="Q94">
            <v>4.2910447761193975</v>
          </cell>
          <cell r="T94">
            <v>1.023611111111111</v>
          </cell>
          <cell r="U94">
            <v>1.1291666666666667</v>
          </cell>
          <cell r="V94">
            <v>58</v>
          </cell>
          <cell r="AD94">
            <v>52.2</v>
          </cell>
          <cell r="AE94">
            <v>12</v>
          </cell>
          <cell r="AG94">
            <v>48.8</v>
          </cell>
          <cell r="AS94">
            <v>95.770454909660813</v>
          </cell>
          <cell r="AT94">
            <v>99.097675157365543</v>
          </cell>
          <cell r="AV94" t="str">
            <v>K. Benjamin</v>
          </cell>
          <cell r="AW94">
            <v>0.27500000000000002</v>
          </cell>
        </row>
        <row r="95">
          <cell r="A95" t="str">
            <v>ST080</v>
          </cell>
          <cell r="P95">
            <v>62</v>
          </cell>
          <cell r="Q95">
            <v>3.3271719038816956</v>
          </cell>
          <cell r="T95">
            <v>1.1291666666666667</v>
          </cell>
          <cell r="U95">
            <v>1.2868055555555555</v>
          </cell>
          <cell r="V95">
            <v>127</v>
          </cell>
          <cell r="AD95">
            <v>53.2</v>
          </cell>
          <cell r="AE95">
            <v>11.6</v>
          </cell>
          <cell r="AG95">
            <v>49.8</v>
          </cell>
          <cell r="AS95">
            <v>94.428562140000224</v>
          </cell>
          <cell r="AT95">
            <v>97.70808132355225</v>
          </cell>
          <cell r="AV95" t="str">
            <v>K. Benjamin</v>
          </cell>
          <cell r="AW95">
            <v>0.30069444444444438</v>
          </cell>
        </row>
        <row r="96">
          <cell r="A96" t="str">
            <v>ST081</v>
          </cell>
          <cell r="P96">
            <v>62</v>
          </cell>
          <cell r="Q96">
            <v>4.7531992687385758</v>
          </cell>
          <cell r="T96">
            <v>0.24305555555555555</v>
          </cell>
          <cell r="U96">
            <v>0.36666666666666664</v>
          </cell>
          <cell r="V96">
            <v>61</v>
          </cell>
          <cell r="AD96">
            <v>53</v>
          </cell>
          <cell r="AE96">
            <v>11.6</v>
          </cell>
          <cell r="AG96">
            <v>49.5</v>
          </cell>
          <cell r="AS96">
            <v>93.741070270083767</v>
          </cell>
          <cell r="AT96">
            <v>96.997786418486157</v>
          </cell>
          <cell r="AV96" t="str">
            <v>K. Benjamin</v>
          </cell>
          <cell r="AW96">
            <v>0.27638888888888885</v>
          </cell>
        </row>
        <row r="97">
          <cell r="A97" t="str">
            <v>ST082</v>
          </cell>
          <cell r="P97">
            <v>60</v>
          </cell>
          <cell r="Q97">
            <v>4.3875685557586808</v>
          </cell>
          <cell r="T97">
            <v>0.41666666666666669</v>
          </cell>
          <cell r="U97">
            <v>0.53055555555555556</v>
          </cell>
          <cell r="V97">
            <v>68</v>
          </cell>
          <cell r="AD97">
            <v>53.3</v>
          </cell>
          <cell r="AE97">
            <v>11.6</v>
          </cell>
          <cell r="AG97">
            <v>50</v>
          </cell>
          <cell r="AS97">
            <v>94.687949767761395</v>
          </cell>
          <cell r="AT97">
            <v>97.977562038874908</v>
          </cell>
          <cell r="AV97" t="str">
            <v>R. Regis</v>
          </cell>
          <cell r="AW97">
            <v>0.32569444444444445</v>
          </cell>
        </row>
        <row r="98">
          <cell r="A98" t="str">
            <v>ST083</v>
          </cell>
          <cell r="P98">
            <v>60</v>
          </cell>
          <cell r="Q98">
            <v>5.0909090909090855</v>
          </cell>
          <cell r="T98">
            <v>0.53333333333333333</v>
          </cell>
          <cell r="U98">
            <v>0.65625</v>
          </cell>
          <cell r="V98">
            <v>72</v>
          </cell>
          <cell r="AD98">
            <v>53.1</v>
          </cell>
          <cell r="AE98">
            <v>11.8</v>
          </cell>
          <cell r="AG98">
            <v>50</v>
          </cell>
          <cell r="AS98">
            <v>96.284997099590015</v>
          </cell>
          <cell r="AT98">
            <v>99.631193418928518</v>
          </cell>
          <cell r="AV98" t="str">
            <v>R. Regis</v>
          </cell>
          <cell r="AW98">
            <v>0.28125</v>
          </cell>
        </row>
        <row r="99">
          <cell r="A99" t="str">
            <v>ST084</v>
          </cell>
          <cell r="P99">
            <v>64</v>
          </cell>
          <cell r="Q99">
            <v>3.9783001808318188</v>
          </cell>
          <cell r="T99">
            <v>0.65902777777777777</v>
          </cell>
          <cell r="U99">
            <v>0.77222222222222225</v>
          </cell>
          <cell r="V99">
            <v>64</v>
          </cell>
          <cell r="AD99">
            <v>54</v>
          </cell>
          <cell r="AE99">
            <v>11.6</v>
          </cell>
          <cell r="AG99">
            <v>51</v>
          </cell>
          <cell r="AS99">
            <v>97.212508885391316</v>
          </cell>
          <cell r="AT99">
            <v>100.59204692405379</v>
          </cell>
          <cell r="AV99" t="str">
            <v>R. Regis</v>
          </cell>
          <cell r="AW99">
            <v>0.28263888888888894</v>
          </cell>
        </row>
        <row r="100">
          <cell r="A100" t="str">
            <v>ST085</v>
          </cell>
          <cell r="P100">
            <v>59</v>
          </cell>
          <cell r="Q100">
            <v>7.7338129496402823</v>
          </cell>
          <cell r="T100">
            <v>0.8305555555555556</v>
          </cell>
          <cell r="U100">
            <v>0.94305555555555554</v>
          </cell>
          <cell r="V100">
            <v>62</v>
          </cell>
          <cell r="AD100">
            <v>52.2</v>
          </cell>
          <cell r="AE100">
            <v>11.7</v>
          </cell>
          <cell r="AG100">
            <v>49</v>
          </cell>
          <cell r="AS100">
            <v>93.636382272815794</v>
          </cell>
          <cell r="AT100">
            <v>96.889461391149439</v>
          </cell>
          <cell r="AV100" t="str">
            <v>R.Sookram</v>
          </cell>
          <cell r="AW100">
            <v>0.25555555555555554</v>
          </cell>
        </row>
        <row r="101">
          <cell r="A101" t="str">
            <v>ST086</v>
          </cell>
          <cell r="P101">
            <v>61</v>
          </cell>
          <cell r="Q101">
            <v>6.355140186915885</v>
          </cell>
          <cell r="T101">
            <v>0.94861111111111107</v>
          </cell>
          <cell r="U101">
            <v>1.0631944444444446</v>
          </cell>
          <cell r="V101">
            <v>61</v>
          </cell>
          <cell r="AD101">
            <v>52.3</v>
          </cell>
          <cell r="AE101">
            <v>11.8</v>
          </cell>
          <cell r="AG101">
            <v>49.1</v>
          </cell>
          <cell r="AS101">
            <v>94.671387189089145</v>
          </cell>
          <cell r="AT101">
            <v>97.960424049475364</v>
          </cell>
          <cell r="AV101" t="str">
            <v>R.Sookram</v>
          </cell>
          <cell r="AW101">
            <v>0.27847222222222234</v>
          </cell>
        </row>
        <row r="102">
          <cell r="A102" t="str">
            <v>ST087</v>
          </cell>
          <cell r="P102">
            <v>61</v>
          </cell>
          <cell r="Q102">
            <v>6.1594202898550696</v>
          </cell>
          <cell r="T102">
            <v>1.0479166666666666</v>
          </cell>
          <cell r="U102">
            <v>1.1631944444444444</v>
          </cell>
          <cell r="V102">
            <v>57</v>
          </cell>
          <cell r="AD102">
            <v>52.7</v>
          </cell>
          <cell r="AE102">
            <v>11.6</v>
          </cell>
          <cell r="AG102">
            <v>49.3</v>
          </cell>
          <cell r="AS102">
            <v>93.244451097177674</v>
          </cell>
          <cell r="AT102">
            <v>96.484979200817648</v>
          </cell>
          <cell r="AV102" t="str">
            <v>K. Benjamin</v>
          </cell>
          <cell r="AW102">
            <v>0.27083333333333326</v>
          </cell>
        </row>
        <row r="103">
          <cell r="A103" t="str">
            <v>ST088</v>
          </cell>
          <cell r="P103">
            <v>60</v>
          </cell>
          <cell r="Q103">
            <v>5.9891107078039871</v>
          </cell>
          <cell r="T103">
            <v>1.15625</v>
          </cell>
          <cell r="U103">
            <v>1.2833333333333334</v>
          </cell>
          <cell r="V103">
            <v>61</v>
          </cell>
          <cell r="AD103">
            <v>52.7</v>
          </cell>
          <cell r="AE103">
            <v>11.8</v>
          </cell>
          <cell r="AG103">
            <v>49</v>
          </cell>
          <cell r="AS103">
            <v>94.598152318138133</v>
          </cell>
          <cell r="AT103">
            <v>97.883561395912224</v>
          </cell>
          <cell r="AV103" t="str">
            <v>K. Benjamin</v>
          </cell>
          <cell r="AW103">
            <v>0.27638888888888902</v>
          </cell>
        </row>
      </sheetData>
      <sheetData sheetId="7">
        <row r="4">
          <cell r="D4">
            <v>12.04</v>
          </cell>
        </row>
        <row r="29">
          <cell r="D29">
            <v>11.9</v>
          </cell>
        </row>
        <row r="30">
          <cell r="D30">
            <v>11.9</v>
          </cell>
        </row>
        <row r="31">
          <cell r="D31">
            <v>11.7</v>
          </cell>
        </row>
        <row r="32">
          <cell r="D32">
            <v>11.9</v>
          </cell>
        </row>
        <row r="33">
          <cell r="D33">
            <v>11.8</v>
          </cell>
        </row>
        <row r="34">
          <cell r="D34">
            <v>11.7</v>
          </cell>
        </row>
        <row r="35">
          <cell r="D35">
            <v>11.7</v>
          </cell>
        </row>
        <row r="36">
          <cell r="D36">
            <v>11.7</v>
          </cell>
        </row>
        <row r="37">
          <cell r="D37">
            <v>11.6</v>
          </cell>
        </row>
        <row r="38">
          <cell r="D38">
            <v>11.8</v>
          </cell>
        </row>
        <row r="39">
          <cell r="D39">
            <v>11.9</v>
          </cell>
        </row>
        <row r="40">
          <cell r="D40">
            <v>11.6</v>
          </cell>
        </row>
        <row r="41">
          <cell r="D41">
            <v>11.6</v>
          </cell>
        </row>
        <row r="42">
          <cell r="D42">
            <v>11.6</v>
          </cell>
        </row>
        <row r="45">
          <cell r="D45">
            <v>11.9</v>
          </cell>
        </row>
        <row r="46">
          <cell r="D46">
            <v>11.73</v>
          </cell>
        </row>
        <row r="47">
          <cell r="D47">
            <v>11.79</v>
          </cell>
        </row>
        <row r="48">
          <cell r="D48">
            <v>11.76</v>
          </cell>
        </row>
        <row r="49">
          <cell r="D49">
            <v>11.8</v>
          </cell>
        </row>
        <row r="50">
          <cell r="D50">
            <v>11.7</v>
          </cell>
        </row>
        <row r="51">
          <cell r="D51">
            <v>11.8</v>
          </cell>
        </row>
        <row r="52">
          <cell r="D52">
            <v>11.8</v>
          </cell>
        </row>
        <row r="53">
          <cell r="D53">
            <v>11.9</v>
          </cell>
        </row>
        <row r="54">
          <cell r="D54">
            <v>11.8</v>
          </cell>
        </row>
        <row r="55">
          <cell r="D55">
            <v>11.8</v>
          </cell>
        </row>
        <row r="56">
          <cell r="D56">
            <v>11.8</v>
          </cell>
        </row>
        <row r="57">
          <cell r="D57">
            <v>11.6</v>
          </cell>
        </row>
        <row r="58">
          <cell r="D58">
            <v>11.8</v>
          </cell>
        </row>
        <row r="59">
          <cell r="D59">
            <v>11.7</v>
          </cell>
        </row>
        <row r="60">
          <cell r="D60">
            <v>11.8</v>
          </cell>
        </row>
        <row r="61">
          <cell r="D61">
            <v>11.6</v>
          </cell>
        </row>
        <row r="62">
          <cell r="D62">
            <v>11.88</v>
          </cell>
        </row>
        <row r="63">
          <cell r="D63">
            <v>11.74</v>
          </cell>
        </row>
        <row r="64">
          <cell r="D64">
            <v>11.93</v>
          </cell>
        </row>
        <row r="66">
          <cell r="D66">
            <v>12.2</v>
          </cell>
        </row>
        <row r="67">
          <cell r="D67">
            <v>12</v>
          </cell>
        </row>
        <row r="68">
          <cell r="D68">
            <v>11.9</v>
          </cell>
        </row>
        <row r="69">
          <cell r="D69">
            <v>12</v>
          </cell>
        </row>
        <row r="70">
          <cell r="D70">
            <v>12</v>
          </cell>
        </row>
        <row r="71">
          <cell r="D71">
            <v>12</v>
          </cell>
        </row>
        <row r="72">
          <cell r="D72">
            <v>12</v>
          </cell>
        </row>
        <row r="73">
          <cell r="D73">
            <v>11.9</v>
          </cell>
        </row>
        <row r="74">
          <cell r="D74">
            <v>12.2</v>
          </cell>
        </row>
        <row r="75">
          <cell r="D75">
            <v>12</v>
          </cell>
        </row>
        <row r="76">
          <cell r="D76">
            <v>12</v>
          </cell>
        </row>
        <row r="77">
          <cell r="D77">
            <v>12</v>
          </cell>
        </row>
        <row r="78">
          <cell r="D78">
            <v>12</v>
          </cell>
        </row>
        <row r="79">
          <cell r="D79">
            <v>11.9</v>
          </cell>
        </row>
        <row r="80">
          <cell r="D80">
            <v>12</v>
          </cell>
        </row>
        <row r="81">
          <cell r="D81">
            <v>11.9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February '25"/>
      <sheetName val="Summary January '25"/>
      <sheetName val="Summary December '24 "/>
      <sheetName val="Summary November '24"/>
      <sheetName val="Summary October '24"/>
      <sheetName val="Summary May '24"/>
      <sheetName val="Summary April '24 "/>
      <sheetName val="Summary March '24 "/>
      <sheetName val="Summary February '24"/>
      <sheetName val="Summary January '24"/>
      <sheetName val="Summary December '23"/>
    </sheetNames>
    <sheetDataSet>
      <sheetData sheetId="0" refreshError="1"/>
      <sheetData sheetId="1"/>
      <sheetData sheetId="2"/>
      <sheetData sheetId="3">
        <row r="5">
          <cell r="A5" t="str">
            <v>VM001</v>
          </cell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97.357949497729479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97.892294431558113</v>
          </cell>
        </row>
        <row r="14">
          <cell r="AV14">
            <v>99.07369922209736</v>
          </cell>
        </row>
        <row r="16">
          <cell r="A16" t="str">
            <v>VM011</v>
          </cell>
          <cell r="R16">
            <v>59</v>
          </cell>
          <cell r="S16">
            <v>6.1509433962264248</v>
          </cell>
          <cell r="V16">
            <v>1.0638888888888889</v>
          </cell>
          <cell r="W16">
            <v>1.2034722222222223</v>
          </cell>
          <cell r="X16">
            <v>84</v>
          </cell>
          <cell r="AH16">
            <v>14.4</v>
          </cell>
          <cell r="AJ16">
            <v>47.5</v>
          </cell>
          <cell r="AV16">
            <v>96.495371141271974</v>
          </cell>
          <cell r="AW16">
            <v>97.343546259954309</v>
          </cell>
        </row>
        <row r="17">
          <cell r="A17" t="str">
            <v>VM012</v>
          </cell>
          <cell r="R17">
            <v>61</v>
          </cell>
          <cell r="S17">
            <v>7.3106060606060606</v>
          </cell>
          <cell r="V17">
            <v>1.1715277777777777</v>
          </cell>
          <cell r="W17">
            <v>1.3131944444444446</v>
          </cell>
          <cell r="X17">
            <v>87</v>
          </cell>
          <cell r="AB17">
            <v>0.27847222222222223</v>
          </cell>
          <cell r="AE17">
            <v>52.8</v>
          </cell>
          <cell r="AH17">
            <v>14.6</v>
          </cell>
          <cell r="AJ17">
            <v>48.6</v>
          </cell>
          <cell r="AV17">
            <v>100.26537727345534</v>
          </cell>
          <cell r="AW17">
            <v>101.14301565856934</v>
          </cell>
          <cell r="AZ17" t="str">
            <v>R.Regis</v>
          </cell>
        </row>
        <row r="18">
          <cell r="A18" t="str">
            <v>VM013</v>
          </cell>
          <cell r="R18">
            <v>60</v>
          </cell>
          <cell r="S18">
            <v>5.5212355212355204</v>
          </cell>
          <cell r="V18">
            <v>0.29583333333333334</v>
          </cell>
          <cell r="W18">
            <v>0.43194444444444446</v>
          </cell>
          <cell r="X18">
            <v>86</v>
          </cell>
          <cell r="AB18">
            <v>0.28958333333333336</v>
          </cell>
          <cell r="AE18">
            <v>51.8</v>
          </cell>
          <cell r="AH18">
            <v>14.6</v>
          </cell>
          <cell r="AJ18">
            <v>48.1</v>
          </cell>
          <cell r="AV18">
            <v>99.23384047023049</v>
          </cell>
          <cell r="AW18">
            <v>100.10244965385154</v>
          </cell>
          <cell r="AZ18" t="str">
            <v>R.Regis</v>
          </cell>
        </row>
        <row r="19">
          <cell r="A19" t="str">
            <v>VM014</v>
          </cell>
          <cell r="R19">
            <v>58</v>
          </cell>
          <cell r="S19">
            <v>3.7984496124031022</v>
          </cell>
          <cell r="V19">
            <v>0.40902777777777777</v>
          </cell>
          <cell r="W19">
            <v>0.5444444444444444</v>
          </cell>
          <cell r="X19">
            <v>88</v>
          </cell>
          <cell r="AB19">
            <v>0.27708333333333329</v>
          </cell>
          <cell r="AE19">
            <v>51.6</v>
          </cell>
          <cell r="AH19">
            <v>14.5</v>
          </cell>
          <cell r="AJ19">
            <v>49.2</v>
          </cell>
          <cell r="AV19">
            <v>100.78007672501261</v>
          </cell>
          <cell r="AW19">
            <v>101.66222035418761</v>
          </cell>
          <cell r="AZ19" t="str">
            <v>R.Sookram</v>
          </cell>
        </row>
        <row r="26">
          <cell r="AB26">
            <v>0</v>
          </cell>
        </row>
      </sheetData>
      <sheetData sheetId="4">
        <row r="5">
          <cell r="C5" t="str">
            <v>BBT</v>
          </cell>
        </row>
        <row r="16">
          <cell r="D16">
            <v>14.7</v>
          </cell>
        </row>
        <row r="17">
          <cell r="D17">
            <v>14.7</v>
          </cell>
        </row>
        <row r="18">
          <cell r="D18">
            <v>14.7</v>
          </cell>
        </row>
        <row r="19">
          <cell r="D19">
            <v>14.6</v>
          </cell>
        </row>
      </sheetData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February'25"/>
      <sheetName val="Summary January'25"/>
      <sheetName val="Summary March '24"/>
      <sheetName val="Summary January'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</sheetData>
      <sheetData sheetId="8">
        <row r="4">
          <cell r="C4" t="str">
            <v>DPV</v>
          </cell>
        </row>
      </sheetData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15" t="str">
            <v>SM009</v>
          </cell>
          <cell r="T15">
            <v>60</v>
          </cell>
          <cell r="U15">
            <v>4.6529080675422083</v>
          </cell>
          <cell r="X15">
            <v>0.39652777777777776</v>
          </cell>
          <cell r="Y15">
            <v>0.52916666666666667</v>
          </cell>
          <cell r="Z15">
            <v>63</v>
          </cell>
          <cell r="AD15">
            <v>0.29305555555555557</v>
          </cell>
          <cell r="AH15">
            <v>53.3</v>
          </cell>
          <cell r="AK15">
            <v>17.3</v>
          </cell>
          <cell r="AM15">
            <v>50.8</v>
          </cell>
          <cell r="AY15">
            <v>93.593045496219816</v>
          </cell>
          <cell r="AZ15">
            <v>95.524021078608115</v>
          </cell>
          <cell r="BC15" t="str">
            <v>R. Regis</v>
          </cell>
        </row>
        <row r="16">
          <cell r="A16" t="str">
            <v>SM010</v>
          </cell>
          <cell r="T16">
            <v>61</v>
          </cell>
          <cell r="U16">
            <v>4.0671641791044904</v>
          </cell>
          <cell r="X16">
            <v>0.49236111111111114</v>
          </cell>
          <cell r="Y16">
            <v>0.61458333333333337</v>
          </cell>
          <cell r="Z16">
            <v>64</v>
          </cell>
          <cell r="AD16">
            <v>0.28819444444444448</v>
          </cell>
          <cell r="AH16">
            <v>53.6</v>
          </cell>
          <cell r="AK16">
            <v>17.47</v>
          </cell>
          <cell r="AM16">
            <v>51.4</v>
          </cell>
          <cell r="AY16">
            <v>94.802596635458585</v>
          </cell>
          <cell r="AZ16">
            <v>96.758527209995464</v>
          </cell>
        </row>
        <row r="17">
          <cell r="A17" t="str">
            <v>SM011</v>
          </cell>
          <cell r="T17">
            <v>61</v>
          </cell>
          <cell r="U17">
            <v>4.0445269016697587</v>
          </cell>
          <cell r="X17">
            <v>0.59236111111111112</v>
          </cell>
          <cell r="Y17">
            <v>0.72638888888888886</v>
          </cell>
          <cell r="Z17">
            <v>71</v>
          </cell>
          <cell r="AD17">
            <v>0.28888888888888886</v>
          </cell>
          <cell r="AH17">
            <v>53.9</v>
          </cell>
          <cell r="AK17">
            <v>17.36</v>
          </cell>
          <cell r="AM17">
            <v>52.5</v>
          </cell>
          <cell r="AY17">
            <v>96.778271105563348</v>
          </cell>
          <cell r="AZ17">
            <v>98.774963033043647</v>
          </cell>
        </row>
        <row r="18">
          <cell r="A18" t="str">
            <v>SM012</v>
          </cell>
          <cell r="T18">
            <v>61</v>
          </cell>
          <cell r="U18">
            <v>4.0671641791044904</v>
          </cell>
          <cell r="X18">
            <v>0.7</v>
          </cell>
          <cell r="Y18">
            <v>0.83611111111111114</v>
          </cell>
          <cell r="Z18">
            <v>78</v>
          </cell>
          <cell r="AD18">
            <v>0.28749999999999998</v>
          </cell>
          <cell r="AH18">
            <v>53.6</v>
          </cell>
          <cell r="AK18">
            <v>17.37</v>
          </cell>
          <cell r="AM18">
            <v>52.2</v>
          </cell>
          <cell r="AY18">
            <v>96.30416399645047</v>
          </cell>
          <cell r="AZ18">
            <v>98.289279863733341</v>
          </cell>
        </row>
        <row r="19">
          <cell r="A19" t="str">
            <v>SM013</v>
          </cell>
          <cell r="T19">
            <v>61</v>
          </cell>
          <cell r="U19">
            <v>3.6940298507462761</v>
          </cell>
          <cell r="X19">
            <v>0.80555555555555558</v>
          </cell>
          <cell r="Y19">
            <v>0.94722222222222219</v>
          </cell>
          <cell r="Z19">
            <v>75</v>
          </cell>
          <cell r="AD19">
            <v>0.28749999999999998</v>
          </cell>
          <cell r="AH19">
            <v>53.6</v>
          </cell>
          <cell r="AK19">
            <v>17.28</v>
          </cell>
          <cell r="AM19">
            <v>52.4</v>
          </cell>
          <cell r="AY19">
            <v>96.620028354806905</v>
          </cell>
          <cell r="AZ19">
            <v>98.611655127991042</v>
          </cell>
        </row>
        <row r="20">
          <cell r="A20" t="str">
            <v>SM014</v>
          </cell>
          <cell r="T20">
            <v>61</v>
          </cell>
          <cell r="U20">
            <v>2.0262664165103161</v>
          </cell>
          <cell r="X20">
            <v>0.91597222222222219</v>
          </cell>
          <cell r="Y20">
            <v>1.0576388888888888</v>
          </cell>
          <cell r="Z20">
            <v>84</v>
          </cell>
          <cell r="AD20">
            <v>0.29027777777777763</v>
          </cell>
          <cell r="AH20">
            <v>53.3</v>
          </cell>
          <cell r="AK20">
            <v>17.41</v>
          </cell>
          <cell r="AM20">
            <v>52.7</v>
          </cell>
          <cell r="AY20">
            <v>97.146950233584548</v>
          </cell>
          <cell r="AZ20">
            <v>99.151248606502861</v>
          </cell>
        </row>
      </sheetData>
      <sheetData sheetId="4">
        <row r="14">
          <cell r="D14">
            <v>17.3</v>
          </cell>
        </row>
        <row r="15">
          <cell r="D15">
            <v>17.47</v>
          </cell>
        </row>
        <row r="16">
          <cell r="D16">
            <v>17.36</v>
          </cell>
        </row>
        <row r="17">
          <cell r="D17">
            <v>17.37</v>
          </cell>
        </row>
        <row r="18">
          <cell r="D18">
            <v>17.28</v>
          </cell>
        </row>
        <row r="19">
          <cell r="D19">
            <v>17.41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</sheetData>
      <sheetData sheetId="6">
        <row r="5">
          <cell r="D5">
            <v>11.7</v>
          </cell>
        </row>
        <row r="6">
          <cell r="D6">
            <v>11.7</v>
          </cell>
        </row>
        <row r="7">
          <cell r="D7">
            <v>11.2</v>
          </cell>
        </row>
        <row r="8">
          <cell r="D8">
            <v>11.2</v>
          </cell>
        </row>
      </sheetData>
      <sheetData sheetId="7"/>
      <sheetData sheetId="8" refreshError="1"/>
      <sheetData sheetId="9" refreshError="1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0">
          <cell r="M70">
            <v>6.5</v>
          </cell>
        </row>
      </sheetData>
      <sheetData sheetId="17" refreshError="1"/>
      <sheetData sheetId="18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  <sheetName val="February_2024"/>
      <sheetName val="March_2024"/>
      <sheetName val="April_2024"/>
      <sheetName val="May_2024"/>
      <sheetName val="June_2024"/>
      <sheetName val="July_2024"/>
      <sheetName val="August_2018  (2)"/>
      <sheetName val="August_2024"/>
      <sheetName val="September_2024"/>
      <sheetName val="October_2024"/>
      <sheetName val="November_2024"/>
      <sheetName val="December_2024"/>
      <sheetName val="Average"/>
    </sheetNames>
    <sheetDataSet>
      <sheetData sheetId="0">
        <row r="3">
          <cell r="E3">
            <v>409.5</v>
          </cell>
        </row>
      </sheetData>
      <sheetData sheetId="1">
        <row r="3">
          <cell r="F3">
            <v>401.2</v>
          </cell>
          <cell r="G3">
            <v>380.4</v>
          </cell>
          <cell r="H3">
            <v>324.7</v>
          </cell>
          <cell r="M3">
            <v>400.60000000000008</v>
          </cell>
          <cell r="N3">
            <v>414.79999999999995</v>
          </cell>
          <cell r="Q3">
            <v>193.3</v>
          </cell>
          <cell r="R3">
            <v>211.8</v>
          </cell>
          <cell r="T3">
            <v>198.1</v>
          </cell>
          <cell r="W3">
            <v>396.5</v>
          </cell>
          <cell r="AA3">
            <v>201.1</v>
          </cell>
          <cell r="AB3">
            <v>411.4</v>
          </cell>
          <cell r="AC3">
            <v>408.1</v>
          </cell>
          <cell r="AD3">
            <v>391.70000000000005</v>
          </cell>
          <cell r="AN3">
            <v>6.9771508208940123</v>
          </cell>
          <cell r="AQ3">
            <v>7.4550060558068161</v>
          </cell>
        </row>
        <row r="4">
          <cell r="AN4">
            <v>6.9089374894937619</v>
          </cell>
          <cell r="AQ4">
            <v>6.9224235081969541</v>
          </cell>
        </row>
        <row r="5">
          <cell r="AN5">
            <v>18.437919359340089</v>
          </cell>
          <cell r="AQ5">
            <v>15.508495449554314</v>
          </cell>
        </row>
        <row r="6">
          <cell r="AN6">
            <v>5.7667082440308048</v>
          </cell>
          <cell r="AQ6">
            <v>5.345661717473071</v>
          </cell>
        </row>
        <row r="7">
          <cell r="F7">
            <v>376</v>
          </cell>
          <cell r="G7">
            <v>361.29999999999995</v>
          </cell>
          <cell r="H7">
            <v>300</v>
          </cell>
          <cell r="M7">
            <v>378</v>
          </cell>
          <cell r="N7">
            <v>385.8</v>
          </cell>
          <cell r="Q7">
            <v>171.4</v>
          </cell>
          <cell r="R7">
            <v>201.5</v>
          </cell>
          <cell r="T7">
            <v>177.8</v>
          </cell>
          <cell r="W7">
            <v>378.4</v>
          </cell>
          <cell r="AA7">
            <v>186.8</v>
          </cell>
          <cell r="AB7">
            <v>389.4</v>
          </cell>
          <cell r="AC7">
            <v>386.2</v>
          </cell>
          <cell r="AD7">
            <v>365.7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10.607235567685406</v>
          </cell>
        </row>
        <row r="9">
          <cell r="AN9">
            <v>5.2583423035521699</v>
          </cell>
          <cell r="AQ9">
            <v>4.5833713915368151</v>
          </cell>
        </row>
        <row r="10">
          <cell r="AN10" t="e">
            <v>#DIV/0!</v>
          </cell>
          <cell r="AQ10" t="e">
            <v>#DIV/0!</v>
          </cell>
        </row>
        <row r="11">
          <cell r="F11">
            <v>5.6720982462846958</v>
          </cell>
          <cell r="G11">
            <v>5.7115076554056774</v>
          </cell>
          <cell r="H11">
            <v>8.5803676651530569</v>
          </cell>
          <cell r="M11">
            <v>6.7068751711143282</v>
          </cell>
          <cell r="N11">
            <v>8.1914331041776762</v>
          </cell>
          <cell r="Q11">
            <v>11.615573319092842</v>
          </cell>
          <cell r="R11">
            <v>6.0065509915014248</v>
          </cell>
          <cell r="T11">
            <v>11.038438887378819</v>
          </cell>
          <cell r="W11">
            <v>5.0278457114138293</v>
          </cell>
          <cell r="AA11">
            <v>7.7160308855043098</v>
          </cell>
          <cell r="AB11">
            <v>6.1968402962549245</v>
          </cell>
          <cell r="AC11">
            <v>6.3632829052846827</v>
          </cell>
          <cell r="AD11">
            <v>6.4125827972224299</v>
          </cell>
          <cell r="AN11">
            <v>6.2003723782925313</v>
          </cell>
          <cell r="AQ11">
            <v>6.2003723782925313</v>
          </cell>
        </row>
        <row r="12">
          <cell r="AN12">
            <v>8.2769282946210936</v>
          </cell>
          <cell r="AQ12">
            <v>7.9243967431061328</v>
          </cell>
        </row>
        <row r="13">
          <cell r="F13">
            <v>400.3</v>
          </cell>
          <cell r="I13">
            <v>301.8</v>
          </cell>
          <cell r="N13">
            <v>401.1</v>
          </cell>
          <cell r="O13">
            <v>323.8</v>
          </cell>
          <cell r="Q13">
            <v>198.59999999999997</v>
          </cell>
          <cell r="Z13">
            <v>101.4</v>
          </cell>
          <cell r="AA13">
            <v>298</v>
          </cell>
          <cell r="AE13">
            <v>399.70000000000005</v>
          </cell>
        </row>
        <row r="17">
          <cell r="F17">
            <v>379.4</v>
          </cell>
          <cell r="I17">
            <v>285</v>
          </cell>
          <cell r="M17">
            <v>176.9</v>
          </cell>
          <cell r="N17">
            <v>373.7</v>
          </cell>
          <cell r="O17">
            <v>291.89999999999998</v>
          </cell>
          <cell r="Q17">
            <v>184.4</v>
          </cell>
          <cell r="Z17">
            <v>93</v>
          </cell>
          <cell r="AA17">
            <v>280.39999999999998</v>
          </cell>
          <cell r="AE17">
            <v>369.1</v>
          </cell>
        </row>
        <row r="21">
          <cell r="F21">
            <v>5.6054269111629633</v>
          </cell>
          <cell r="I21">
            <v>5.5666003976143177</v>
          </cell>
          <cell r="M21">
            <v>4.5329825139359796</v>
          </cell>
          <cell r="N21">
            <v>5.6212299293825243</v>
          </cell>
          <cell r="O21">
            <v>10.217621708125128</v>
          </cell>
          <cell r="Q21">
            <v>7.6771790203769976</v>
          </cell>
          <cell r="Z21">
            <v>8.8682018618324303</v>
          </cell>
          <cell r="AA21">
            <v>6.4304492796990607</v>
          </cell>
          <cell r="AE21">
            <v>8.3909667919729607</v>
          </cell>
        </row>
        <row r="23">
          <cell r="H23">
            <v>211.4</v>
          </cell>
          <cell r="O23">
            <v>31.4</v>
          </cell>
          <cell r="AC23">
            <v>209.39999999999998</v>
          </cell>
        </row>
        <row r="28">
          <cell r="H28">
            <v>175.1</v>
          </cell>
          <cell r="O28">
            <v>26.8</v>
          </cell>
          <cell r="AC28">
            <v>189.1</v>
          </cell>
        </row>
        <row r="32">
          <cell r="H32">
            <v>22.634564468930474</v>
          </cell>
          <cell r="O32">
            <v>14.649681528662425</v>
          </cell>
          <cell r="P32">
            <v>29.070519453642383</v>
          </cell>
          <cell r="Q32">
            <v>13.929062495536185</v>
          </cell>
          <cell r="AC32">
            <v>14.306363462342325</v>
          </cell>
        </row>
        <row r="55">
          <cell r="O55">
            <v>311.99999999999994</v>
          </cell>
        </row>
        <row r="59">
          <cell r="O59">
            <v>301.60000000000002</v>
          </cell>
        </row>
        <row r="63">
          <cell r="O63">
            <v>5.2583423035521699</v>
          </cell>
        </row>
        <row r="65">
          <cell r="W65">
            <v>193.39999999999998</v>
          </cell>
        </row>
        <row r="70">
          <cell r="W70">
            <v>191.60000000000002</v>
          </cell>
        </row>
        <row r="74">
          <cell r="W74">
            <v>5.7667082440308048</v>
          </cell>
        </row>
        <row r="86">
          <cell r="I86">
            <v>202.89999999999998</v>
          </cell>
        </row>
        <row r="90">
          <cell r="I90">
            <v>193</v>
          </cell>
        </row>
        <row r="94">
          <cell r="I94">
            <v>6.2003723782925313</v>
          </cell>
        </row>
      </sheetData>
      <sheetData sheetId="2">
        <row r="3">
          <cell r="AN3" t="e">
            <v>#DIV/0!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BAD DOG"/>
      <sheetName val="Hurricane Reef"/>
      <sheetName val="APA"/>
      <sheetName val="CARIBE"/>
      <sheetName val="YTD 2024"/>
      <sheetName val="MTD"/>
    </sheetNames>
    <sheetDataSet>
      <sheetData sheetId="0">
        <row r="6">
          <cell r="J6">
            <v>47.6</v>
          </cell>
          <cell r="L6">
            <v>100</v>
          </cell>
        </row>
        <row r="7">
          <cell r="L7">
            <v>0</v>
          </cell>
        </row>
        <row r="8">
          <cell r="L8">
            <v>100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90</v>
          </cell>
        </row>
        <row r="13">
          <cell r="L13">
            <v>0</v>
          </cell>
        </row>
        <row r="14">
          <cell r="L14">
            <v>296.22000000000003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J20">
            <v>50</v>
          </cell>
        </row>
        <row r="21">
          <cell r="J21">
            <v>50</v>
          </cell>
        </row>
        <row r="22">
          <cell r="J22">
            <v>51.5</v>
          </cell>
        </row>
        <row r="23">
          <cell r="J23">
            <v>35.299999999999997</v>
          </cell>
        </row>
        <row r="24">
          <cell r="L24">
            <v>100</v>
          </cell>
        </row>
        <row r="25">
          <cell r="L25">
            <v>0</v>
          </cell>
        </row>
        <row r="26">
          <cell r="L26">
            <v>101.3</v>
          </cell>
        </row>
        <row r="27">
          <cell r="L27">
            <v>0</v>
          </cell>
        </row>
        <row r="28">
          <cell r="L28">
            <v>102.1</v>
          </cell>
        </row>
        <row r="29">
          <cell r="L29">
            <v>0</v>
          </cell>
        </row>
        <row r="30">
          <cell r="L30">
            <v>100</v>
          </cell>
        </row>
        <row r="31">
          <cell r="L31">
            <v>0</v>
          </cell>
        </row>
        <row r="32">
          <cell r="L32">
            <v>100</v>
          </cell>
        </row>
        <row r="33">
          <cell r="L33">
            <v>0</v>
          </cell>
        </row>
        <row r="34">
          <cell r="L34">
            <v>100</v>
          </cell>
        </row>
        <row r="35">
          <cell r="L35">
            <v>0</v>
          </cell>
        </row>
        <row r="36">
          <cell r="L36">
            <v>91.4</v>
          </cell>
        </row>
        <row r="37">
          <cell r="L37">
            <v>0</v>
          </cell>
        </row>
        <row r="38">
          <cell r="L38">
            <v>101.2</v>
          </cell>
        </row>
        <row r="39">
          <cell r="L39">
            <v>0</v>
          </cell>
        </row>
        <row r="40">
          <cell r="L40">
            <v>92.3</v>
          </cell>
        </row>
        <row r="41">
          <cell r="L41">
            <v>0</v>
          </cell>
        </row>
        <row r="43">
          <cell r="L43">
            <v>100</v>
          </cell>
        </row>
        <row r="44">
          <cell r="L44">
            <v>0</v>
          </cell>
        </row>
        <row r="45">
          <cell r="L45">
            <v>100</v>
          </cell>
        </row>
        <row r="46">
          <cell r="L46">
            <v>0</v>
          </cell>
        </row>
        <row r="47">
          <cell r="L47">
            <v>100</v>
          </cell>
        </row>
        <row r="48">
          <cell r="L48">
            <v>0</v>
          </cell>
        </row>
        <row r="49">
          <cell r="L49">
            <v>97.5</v>
          </cell>
        </row>
        <row r="50">
          <cell r="L50">
            <v>0</v>
          </cell>
        </row>
        <row r="51">
          <cell r="L51">
            <v>100</v>
          </cell>
        </row>
        <row r="52">
          <cell r="L52">
            <v>0</v>
          </cell>
        </row>
        <row r="53">
          <cell r="L53">
            <v>100</v>
          </cell>
        </row>
        <row r="54">
          <cell r="L54">
            <v>0</v>
          </cell>
        </row>
        <row r="55">
          <cell r="L55">
            <v>100</v>
          </cell>
        </row>
        <row r="56">
          <cell r="L56">
            <v>0</v>
          </cell>
        </row>
        <row r="57">
          <cell r="L57">
            <v>91</v>
          </cell>
        </row>
        <row r="58">
          <cell r="L58">
            <v>0</v>
          </cell>
        </row>
      </sheetData>
      <sheetData sheetId="1">
        <row r="21">
          <cell r="J21">
            <v>51.8</v>
          </cell>
        </row>
        <row r="26">
          <cell r="J26">
            <v>54</v>
          </cell>
          <cell r="R26">
            <v>93.8</v>
          </cell>
          <cell r="S26">
            <v>4.0999999999999996</v>
          </cell>
        </row>
        <row r="27">
          <cell r="J27">
            <v>53.3</v>
          </cell>
        </row>
        <row r="29">
          <cell r="J29">
            <v>74.7</v>
          </cell>
          <cell r="R29">
            <v>67.7</v>
          </cell>
          <cell r="S29">
            <v>1.5999999999999996</v>
          </cell>
        </row>
        <row r="30">
          <cell r="J30">
            <v>17.5</v>
          </cell>
        </row>
        <row r="31">
          <cell r="J31">
            <v>87.5</v>
          </cell>
          <cell r="R31">
            <v>79</v>
          </cell>
        </row>
        <row r="32">
          <cell r="L32">
            <v>100</v>
          </cell>
        </row>
        <row r="33">
          <cell r="L33">
            <v>0</v>
          </cell>
        </row>
        <row r="38">
          <cell r="L38">
            <v>100</v>
          </cell>
        </row>
        <row r="39">
          <cell r="L39">
            <v>0</v>
          </cell>
        </row>
      </sheetData>
      <sheetData sheetId="2">
        <row r="5">
          <cell r="E5" t="str">
            <v>Operator</v>
          </cell>
        </row>
        <row r="7">
          <cell r="L7">
            <v>394</v>
          </cell>
        </row>
        <row r="32">
          <cell r="L32">
            <v>387.2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61">
          <cell r="L61">
            <v>95.8</v>
          </cell>
        </row>
        <row r="62">
          <cell r="L62">
            <v>0</v>
          </cell>
        </row>
        <row r="63">
          <cell r="L63">
            <v>100</v>
          </cell>
        </row>
        <row r="64">
          <cell r="L64">
            <v>0</v>
          </cell>
        </row>
        <row r="65">
          <cell r="L65">
            <v>95.2</v>
          </cell>
        </row>
        <row r="66">
          <cell r="L66">
            <v>0</v>
          </cell>
        </row>
        <row r="67">
          <cell r="L67">
            <v>100</v>
          </cell>
        </row>
        <row r="68">
          <cell r="L68">
            <v>0</v>
          </cell>
        </row>
        <row r="69">
          <cell r="L69">
            <v>95.7</v>
          </cell>
        </row>
        <row r="70">
          <cell r="L70">
            <v>0</v>
          </cell>
        </row>
        <row r="71">
          <cell r="L71">
            <v>99.96</v>
          </cell>
        </row>
        <row r="72">
          <cell r="L72">
            <v>0</v>
          </cell>
        </row>
        <row r="73">
          <cell r="L73">
            <v>399.4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100</v>
          </cell>
        </row>
        <row r="82">
          <cell r="L82">
            <v>0</v>
          </cell>
        </row>
        <row r="83">
          <cell r="L83">
            <v>97.7</v>
          </cell>
        </row>
        <row r="84">
          <cell r="L84">
            <v>0</v>
          </cell>
        </row>
        <row r="85">
          <cell r="L85">
            <v>100</v>
          </cell>
        </row>
        <row r="86">
          <cell r="L86">
            <v>0</v>
          </cell>
        </row>
        <row r="87">
          <cell r="L87">
            <v>100</v>
          </cell>
        </row>
        <row r="88">
          <cell r="L88">
            <v>0</v>
          </cell>
        </row>
        <row r="89">
          <cell r="L89">
            <v>385.5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</sheetData>
      <sheetData sheetId="3">
        <row r="6">
          <cell r="I6">
            <v>47.5</v>
          </cell>
          <cell r="J6">
            <v>4.0999999999999996</v>
          </cell>
        </row>
        <row r="8">
          <cell r="J8">
            <v>4.0999999999999996</v>
          </cell>
        </row>
      </sheetData>
      <sheetData sheetId="4">
        <row r="6">
          <cell r="I6">
            <v>50.8</v>
          </cell>
        </row>
      </sheetData>
      <sheetData sheetId="5"/>
      <sheetData sheetId="6">
        <row r="6">
          <cell r="J6">
            <v>50.1</v>
          </cell>
          <cell r="L6">
            <v>100</v>
          </cell>
        </row>
        <row r="7">
          <cell r="L7">
            <v>0</v>
          </cell>
        </row>
        <row r="8">
          <cell r="L8">
            <v>101.4</v>
          </cell>
        </row>
        <row r="9">
          <cell r="L9">
            <v>0</v>
          </cell>
        </row>
      </sheetData>
      <sheetData sheetId="7"/>
      <sheetData sheetId="8"/>
      <sheetData sheetId="9"/>
      <sheetData sheetId="10"/>
      <sheetData sheetId="11">
        <row r="5">
          <cell r="E5">
            <v>7.0005630479663319</v>
          </cell>
        </row>
        <row r="6">
          <cell r="E6">
            <v>6.8089888231841726</v>
          </cell>
        </row>
        <row r="7">
          <cell r="E7">
            <v>13.702325581395328</v>
          </cell>
        </row>
        <row r="8">
          <cell r="E8">
            <v>3.9190537266638161</v>
          </cell>
        </row>
        <row r="9">
          <cell r="E9" t="e">
            <v>#DIV/0!</v>
          </cell>
        </row>
        <row r="10">
          <cell r="E10">
            <v>8.7664670658682695</v>
          </cell>
        </row>
        <row r="11">
          <cell r="E11">
            <v>2.2765363128491556</v>
          </cell>
        </row>
        <row r="12">
          <cell r="E12" t="e">
            <v>#DIV/0!</v>
          </cell>
        </row>
        <row r="13">
          <cell r="E13">
            <v>7.2637397423722039</v>
          </cell>
        </row>
        <row r="14">
          <cell r="E14">
            <v>7.1183526789715552</v>
          </cell>
        </row>
      </sheetData>
      <sheetData sheetId="12">
        <row r="5">
          <cell r="E5">
            <v>6.3548468975702361</v>
          </cell>
        </row>
        <row r="6">
          <cell r="E6">
            <v>6.8045184759716228</v>
          </cell>
        </row>
        <row r="7">
          <cell r="E7">
            <v>16.313278558176496</v>
          </cell>
        </row>
        <row r="8">
          <cell r="E8">
            <v>4.9603174603174329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3.3333333333333082</v>
          </cell>
        </row>
        <row r="12">
          <cell r="E12" t="e">
            <v>#DIV/0!</v>
          </cell>
        </row>
        <row r="13">
          <cell r="E13">
            <v>4.8792508624938291</v>
          </cell>
        </row>
        <row r="14">
          <cell r="E14">
            <v>7.2637397423722039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  <sheetName val="February_2024"/>
      <sheetName val="March_2024"/>
      <sheetName val="April_2024"/>
      <sheetName val="May_2024"/>
      <sheetName val="June_2024"/>
      <sheetName val="July_2024"/>
      <sheetName val="August_2024"/>
      <sheetName val="September_2024"/>
      <sheetName val="October_2024"/>
      <sheetName val="November_2024"/>
      <sheetName val="December_2024"/>
    </sheetNames>
    <sheetDataSet>
      <sheetData sheetId="0">
        <row r="13">
          <cell r="AN13">
            <v>0.98457735247208944</v>
          </cell>
        </row>
      </sheetData>
      <sheetData sheetId="1">
        <row r="13">
          <cell r="AN13">
            <v>0.71701465651190999</v>
          </cell>
          <cell r="AQ13">
            <v>0.8378930358185499</v>
          </cell>
        </row>
        <row r="14">
          <cell r="AN14">
            <v>0.59442638692356009</v>
          </cell>
          <cell r="AQ14">
            <v>0.70847053742306432</v>
          </cell>
        </row>
        <row r="15">
          <cell r="AN15">
            <v>0.40614427860696517</v>
          </cell>
          <cell r="AQ15">
            <v>0.51718974358974368</v>
          </cell>
        </row>
        <row r="16">
          <cell r="AN16">
            <v>0.67228070175438603</v>
          </cell>
          <cell r="AQ16">
            <v>0.78853801169590654</v>
          </cell>
        </row>
        <row r="17">
          <cell r="AN17" t="e">
            <v>#DIV/0!</v>
          </cell>
          <cell r="AQ17" t="e">
            <v>#DIV/0!</v>
          </cell>
        </row>
        <row r="18">
          <cell r="F18">
            <v>0.6596491228070176</v>
          </cell>
          <cell r="G18">
            <v>0.6338596491228069</v>
          </cell>
          <cell r="H18">
            <v>0.52631578947368418</v>
          </cell>
          <cell r="M18">
            <v>0.94499999999999995</v>
          </cell>
          <cell r="N18">
            <v>0.48225000000000001</v>
          </cell>
          <cell r="Q18">
            <v>0.62421052631578955</v>
          </cell>
          <cell r="R18">
            <v>0.35350877192982455</v>
          </cell>
          <cell r="T18">
            <v>0.623859649122807</v>
          </cell>
          <cell r="W18">
            <v>0.94599999999999995</v>
          </cell>
          <cell r="AA18">
            <v>0.98175438596491238</v>
          </cell>
          <cell r="AB18">
            <v>0.97349999999999992</v>
          </cell>
          <cell r="AC18">
            <v>0.96550000000000002</v>
          </cell>
          <cell r="AD18">
            <v>0.457125</v>
          </cell>
          <cell r="AN18" t="e">
            <v>#DIV/0!</v>
          </cell>
          <cell r="AQ18">
            <v>0.66824561403508764</v>
          </cell>
        </row>
        <row r="19">
          <cell r="AN19">
            <v>1.0053333333333334</v>
          </cell>
          <cell r="AQ19">
            <v>0.8042528735632184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0.33859649122807017</v>
          </cell>
          <cell r="AQ21">
            <v>0.33859649122807017</v>
          </cell>
        </row>
        <row r="22">
          <cell r="AN22">
            <v>0.63105672969966642</v>
          </cell>
          <cell r="AQ22">
            <v>0.75144495412844048</v>
          </cell>
        </row>
        <row r="25">
          <cell r="F25">
            <v>0.9484999999999999</v>
          </cell>
          <cell r="I25">
            <v>0.47499999999999998</v>
          </cell>
          <cell r="M25">
            <v>0.19655555555555557</v>
          </cell>
          <cell r="N25">
            <v>0.93425000000000002</v>
          </cell>
          <cell r="O25">
            <v>0.32433333333333331</v>
          </cell>
          <cell r="Q25">
            <v>0.62421052631578944</v>
          </cell>
          <cell r="Z25">
            <v>0.98175438596491227</v>
          </cell>
          <cell r="AA25">
            <v>0.49192982456140349</v>
          </cell>
          <cell r="AE25">
            <v>0.46137500000000004</v>
          </cell>
        </row>
        <row r="32">
          <cell r="H32">
            <v>0.37087719298245614</v>
          </cell>
          <cell r="O32">
            <v>3.1345029239766085E-2</v>
          </cell>
          <cell r="P32">
            <v>0.23754385964912281</v>
          </cell>
          <cell r="Q32">
            <v>0.60631578947368425</v>
          </cell>
          <cell r="AC32">
            <v>0.94550000000000001</v>
          </cell>
        </row>
        <row r="53">
          <cell r="O53">
            <v>1.0053333333333334</v>
          </cell>
        </row>
        <row r="60">
          <cell r="W60">
            <v>0.67228070175438603</v>
          </cell>
        </row>
        <row r="74">
          <cell r="I74">
            <v>0.33859649122807017</v>
          </cell>
        </row>
      </sheetData>
      <sheetData sheetId="2">
        <row r="13">
          <cell r="AN13" t="e">
            <v>#DIV/0!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45278</v>
      </c>
      <c r="D4" s="471"/>
      <c r="J4" s="472" t="s">
        <v>153</v>
      </c>
      <c r="K4" s="47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73"/>
      <c r="K5" s="473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80" t="s">
        <v>151</v>
      </c>
      <c r="K6" s="481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82"/>
      <c r="K7" s="48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152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/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00" t="s">
        <v>34</v>
      </c>
      <c r="J48" s="500"/>
      <c r="K48" s="500"/>
      <c r="L48" s="500"/>
      <c r="M48" s="500"/>
      <c r="N48" s="500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478" t="s">
        <v>35</v>
      </c>
      <c r="E49" s="479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01" t="s">
        <v>9</v>
      </c>
      <c r="C50" s="362">
        <v>11.8</v>
      </c>
      <c r="D50" s="504">
        <v>11.73</v>
      </c>
      <c r="E50" s="505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02"/>
      <c r="C51" s="349">
        <v>11.9</v>
      </c>
      <c r="D51" s="506"/>
      <c r="E51" s="507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502"/>
      <c r="C52" s="349"/>
      <c r="D52" s="504"/>
      <c r="E52" s="505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502"/>
      <c r="C53" s="349"/>
      <c r="D53" s="506"/>
      <c r="E53" s="507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502"/>
      <c r="C54" s="349"/>
      <c r="D54" s="504"/>
      <c r="E54" s="505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502"/>
      <c r="C55" s="349"/>
      <c r="D55" s="506"/>
      <c r="E55" s="507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502"/>
      <c r="C56" s="349"/>
      <c r="D56" s="504"/>
      <c r="E56" s="505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502"/>
      <c r="C57" s="349"/>
      <c r="D57" s="506"/>
      <c r="E57" s="507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02"/>
      <c r="C58" s="349"/>
      <c r="D58" s="508"/>
      <c r="E58" s="509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02"/>
      <c r="C59" s="349"/>
      <c r="D59" s="510"/>
      <c r="E59" s="511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02"/>
      <c r="C60" s="349"/>
      <c r="D60" s="508"/>
      <c r="E60" s="509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03"/>
      <c r="C61" s="350"/>
      <c r="D61" s="512"/>
      <c r="E61" s="513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514"/>
      <c r="C62" s="362"/>
      <c r="D62" s="517"/>
      <c r="E62" s="518"/>
      <c r="F62" s="43"/>
      <c r="G62" s="41"/>
      <c r="H62" s="41"/>
      <c r="I62" s="42"/>
      <c r="J62" s="520" t="s">
        <v>129</v>
      </c>
      <c r="K62" s="520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15"/>
      <c r="C63" s="349"/>
      <c r="D63" s="519"/>
      <c r="E63" s="507"/>
      <c r="F63" s="43"/>
      <c r="G63" s="41"/>
      <c r="H63" s="41"/>
      <c r="I63" s="42"/>
      <c r="J63" s="292" t="s">
        <v>17</v>
      </c>
      <c r="K63" s="293" t="s">
        <v>147</v>
      </c>
      <c r="L63" s="521" t="s">
        <v>136</v>
      </c>
      <c r="M63" s="521"/>
      <c r="N63" s="522"/>
      <c r="O63" s="294"/>
      <c r="P63" s="12"/>
      <c r="S63" s="23"/>
    </row>
    <row r="64" spans="1:27" ht="15" customHeight="1" thickBot="1">
      <c r="B64" s="515"/>
      <c r="C64" s="349"/>
      <c r="D64" s="523"/>
      <c r="E64" s="505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15"/>
      <c r="C65" s="349"/>
      <c r="D65" s="519"/>
      <c r="E65" s="507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15"/>
      <c r="C66" s="349"/>
      <c r="D66" s="523"/>
      <c r="E66" s="505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15"/>
      <c r="C67" s="349"/>
      <c r="D67" s="519"/>
      <c r="E67" s="507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515"/>
      <c r="C68" s="349"/>
      <c r="D68" s="523"/>
      <c r="E68" s="505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515"/>
      <c r="C69" s="349"/>
      <c r="D69" s="519"/>
      <c r="E69" s="507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515"/>
      <c r="C70" s="349"/>
      <c r="D70" s="524"/>
      <c r="E70" s="509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516"/>
      <c r="C71" s="350"/>
      <c r="D71" s="525"/>
      <c r="E71" s="526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527">
        <f>AVERAGE(D50:E71)</f>
        <v>11.73</v>
      </c>
      <c r="E72" s="528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29" t="s">
        <v>17</v>
      </c>
      <c r="C77" s="529" t="s">
        <v>44</v>
      </c>
      <c r="D77" s="531" t="s">
        <v>45</v>
      </c>
      <c r="E77" s="486" t="s">
        <v>46</v>
      </c>
      <c r="F77" s="546" t="s">
        <v>47</v>
      </c>
      <c r="G77" s="540" t="s">
        <v>48</v>
      </c>
      <c r="H77" s="529" t="s">
        <v>49</v>
      </c>
      <c r="I77" s="542" t="s">
        <v>50</v>
      </c>
      <c r="J77" s="534" t="s">
        <v>28</v>
      </c>
      <c r="K77" s="484" t="s">
        <v>51</v>
      </c>
      <c r="L77" s="496" t="s">
        <v>52</v>
      </c>
      <c r="M77" s="534" t="s">
        <v>53</v>
      </c>
      <c r="N77" s="77"/>
      <c r="O77" s="13"/>
      <c r="P77" s="50"/>
    </row>
    <row r="78" spans="2:58" ht="28.5" customHeight="1" thickTop="1" thickBot="1">
      <c r="B78" s="530"/>
      <c r="C78" s="530"/>
      <c r="D78" s="532"/>
      <c r="E78" s="533"/>
      <c r="F78" s="547"/>
      <c r="G78" s="541"/>
      <c r="H78" s="530"/>
      <c r="I78" s="543"/>
      <c r="J78" s="535"/>
      <c r="K78" s="544"/>
      <c r="L78" s="545"/>
      <c r="M78" s="535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536" t="s">
        <v>55</v>
      </c>
      <c r="C87" s="537"/>
      <c r="D87" s="537"/>
      <c r="E87" s="537"/>
      <c r="F87" s="538"/>
      <c r="G87" s="536" t="s">
        <v>56</v>
      </c>
      <c r="H87" s="537"/>
      <c r="I87" s="537"/>
      <c r="J87" s="538"/>
      <c r="K87" s="536" t="s">
        <v>51</v>
      </c>
      <c r="L87" s="537"/>
      <c r="M87" s="537"/>
      <c r="N87" s="539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530" priority="157" operator="notBetween">
      <formula>#REF!</formula>
      <formula>#REF!</formula>
    </cfRule>
  </conditionalFormatting>
  <conditionalFormatting sqref="C76">
    <cfRule type="cellIs" dxfId="3529" priority="190" stopIfTrue="1" operator="greaterThan">
      <formula>100</formula>
    </cfRule>
    <cfRule type="cellIs" dxfId="3528" priority="189" stopIfTrue="1" operator="lessThan">
      <formula>96</formula>
    </cfRule>
  </conditionalFormatting>
  <conditionalFormatting sqref="C90">
    <cfRule type="cellIs" dxfId="3527" priority="212" stopIfTrue="1" operator="greaterThan">
      <formula>$F89</formula>
    </cfRule>
    <cfRule type="cellIs" dxfId="3526" priority="106" stopIfTrue="1" operator="lessThanOrEqual">
      <formula>0</formula>
    </cfRule>
  </conditionalFormatting>
  <conditionalFormatting sqref="C91:C93">
    <cfRule type="cellIs" dxfId="3525" priority="105" stopIfTrue="1" operator="greaterThan">
      <formula>$F91</formula>
    </cfRule>
  </conditionalFormatting>
  <conditionalFormatting sqref="C91:C94">
    <cfRule type="cellIs" dxfId="3524" priority="129" stopIfTrue="1" operator="lessThanOrEqual">
      <formula>0</formula>
    </cfRule>
  </conditionalFormatting>
  <conditionalFormatting sqref="C94">
    <cfRule type="cellIs" dxfId="3523" priority="128" stopIfTrue="1" operator="greaterThan">
      <formula>$J94</formula>
    </cfRule>
  </conditionalFormatting>
  <conditionalFormatting sqref="C95:C97">
    <cfRule type="cellIs" dxfId="3522" priority="145" stopIfTrue="1" operator="greaterThan">
      <formula>$F95</formula>
    </cfRule>
    <cfRule type="cellIs" dxfId="3521" priority="146" stopIfTrue="1" operator="lessThanOrEqual">
      <formula>0</formula>
    </cfRule>
  </conditionalFormatting>
  <conditionalFormatting sqref="C100:C104">
    <cfRule type="cellIs" dxfId="3520" priority="181" stopIfTrue="1" operator="lessThanOrEqual">
      <formula>0</formula>
    </cfRule>
  </conditionalFormatting>
  <conditionalFormatting sqref="C101:C104">
    <cfRule type="cellIs" dxfId="3519" priority="180" stopIfTrue="1" operator="greaterThan">
      <formula>$F$100</formula>
    </cfRule>
  </conditionalFormatting>
  <conditionalFormatting sqref="C106">
    <cfRule type="cellIs" dxfId="3518" priority="183" stopIfTrue="1" operator="lessThanOrEqual">
      <formula>0</formula>
    </cfRule>
    <cfRule type="cellIs" dxfId="3517" priority="182" stopIfTrue="1" operator="greaterThan">
      <formula>$F$100</formula>
    </cfRule>
  </conditionalFormatting>
  <conditionalFormatting sqref="C100:D100 D102:D108">
    <cfRule type="cellIs" dxfId="3516" priority="175" stopIfTrue="1" operator="greaterThan">
      <formula>4.5</formula>
    </cfRule>
  </conditionalFormatting>
  <conditionalFormatting sqref="D72:D73">
    <cfRule type="cellIs" dxfId="3515" priority="158" operator="notBetween">
      <formula>#REF!</formula>
      <formula>#REF!</formula>
    </cfRule>
  </conditionalFormatting>
  <conditionalFormatting sqref="D89:D96">
    <cfRule type="cellIs" dxfId="3514" priority="144" stopIfTrue="1" operator="lessThanOrEqual">
      <formula>0</formula>
    </cfRule>
  </conditionalFormatting>
  <conditionalFormatting sqref="D97">
    <cfRule type="cellIs" dxfId="3513" priority="143" stopIfTrue="1" operator="lessThanOrEqual">
      <formula>0</formula>
    </cfRule>
  </conditionalFormatting>
  <conditionalFormatting sqref="D100 D102:D108">
    <cfRule type="cellIs" dxfId="3512" priority="176" stopIfTrue="1" operator="lessThanOrEqual">
      <formula>0</formula>
    </cfRule>
  </conditionalFormatting>
  <conditionalFormatting sqref="D101">
    <cfRule type="cellIs" dxfId="3511" priority="167" stopIfTrue="1" operator="greaterThan">
      <formula>$F$100</formula>
    </cfRule>
    <cfRule type="cellIs" dxfId="3510" priority="168" stopIfTrue="1" operator="lessThanOrEqual">
      <formula>0</formula>
    </cfRule>
  </conditionalFormatting>
  <conditionalFormatting sqref="D89:E97">
    <cfRule type="cellIs" dxfId="3509" priority="135" stopIfTrue="1" operator="greaterThan">
      <formula>$F89</formula>
    </cfRule>
  </conditionalFormatting>
  <conditionalFormatting sqref="E10:E14">
    <cfRule type="cellIs" dxfId="3508" priority="52" operator="lessThan">
      <formula>48</formula>
    </cfRule>
  </conditionalFormatting>
  <conditionalFormatting sqref="E33:E46">
    <cfRule type="cellIs" dxfId="3507" priority="25" operator="lessThan">
      <formula>48</formula>
    </cfRule>
  </conditionalFormatting>
  <conditionalFormatting sqref="E76">
    <cfRule type="cellIs" dxfId="3506" priority="169" stopIfTrue="1" operator="lessThan">
      <formula>96.8</formula>
    </cfRule>
    <cfRule type="cellIs" dxfId="3505" priority="170" stopIfTrue="1" operator="greaterThan">
      <formula>100</formula>
    </cfRule>
  </conditionalFormatting>
  <conditionalFormatting sqref="E89:E97">
    <cfRule type="cellIs" dxfId="3504" priority="136" stopIfTrue="1" operator="lessThanOrEqual">
      <formula>0</formula>
    </cfRule>
  </conditionalFormatting>
  <conditionalFormatting sqref="E100:E108">
    <cfRule type="cellIs" dxfId="3503" priority="162" stopIfTrue="1" operator="lessThanOrEqual">
      <formula>0</formula>
    </cfRule>
    <cfRule type="cellIs" dxfId="3502" priority="161" stopIfTrue="1" operator="greaterThan">
      <formula>4.5</formula>
    </cfRule>
  </conditionalFormatting>
  <conditionalFormatting sqref="E75:F76">
    <cfRule type="cellIs" dxfId="3501" priority="171" stopIfTrue="1" operator="lessThan">
      <formula>96.5</formula>
    </cfRule>
    <cfRule type="cellIs" dxfId="3500" priority="172" stopIfTrue="1" operator="greaterThan">
      <formula>100</formula>
    </cfRule>
  </conditionalFormatting>
  <conditionalFormatting sqref="F10:F12">
    <cfRule type="cellIs" dxfId="3499" priority="62" operator="greaterThan">
      <formula>#REF!</formula>
    </cfRule>
  </conditionalFormatting>
  <conditionalFormatting sqref="F10:F47">
    <cfRule type="cellIs" dxfId="3498" priority="15" operator="greaterThan">
      <formula>$AA10</formula>
    </cfRule>
  </conditionalFormatting>
  <conditionalFormatting sqref="F13">
    <cfRule type="cellIs" dxfId="3497" priority="53" operator="greaterThan">
      <formula>$AA47</formula>
    </cfRule>
  </conditionalFormatting>
  <conditionalFormatting sqref="F14">
    <cfRule type="cellIs" dxfId="3496" priority="196" operator="greaterThan">
      <formula>#REF!</formula>
    </cfRule>
  </conditionalFormatting>
  <conditionalFormatting sqref="F33:F46">
    <cfRule type="cellIs" dxfId="3495" priority="26" operator="greaterThan">
      <formula>$AA48</formula>
    </cfRule>
  </conditionalFormatting>
  <conditionalFormatting sqref="F76">
    <cfRule type="cellIs" dxfId="3494" priority="187" stopIfTrue="1" operator="lessThan">
      <formula>96.8</formula>
    </cfRule>
    <cfRule type="cellIs" dxfId="3493" priority="188" stopIfTrue="1" operator="greaterThan">
      <formula>100</formula>
    </cfRule>
  </conditionalFormatting>
  <conditionalFormatting sqref="F97">
    <cfRule type="cellIs" dxfId="3492" priority="137" stopIfTrue="1" operator="greaterThan">
      <formula>$F97</formula>
    </cfRule>
    <cfRule type="cellIs" dxfId="3491" priority="138" stopIfTrue="1" operator="lessThanOrEqual">
      <formula>0</formula>
    </cfRule>
  </conditionalFormatting>
  <conditionalFormatting sqref="G10:G14">
    <cfRule type="expression" dxfId="3490" priority="54">
      <formula>IF(+(IF(G10&lt;#REF!,0,IF(G10&gt;#REF!,0,1)))=0,1)</formula>
    </cfRule>
  </conditionalFormatting>
  <conditionalFormatting sqref="G33:G46">
    <cfRule type="expression" dxfId="3489" priority="27">
      <formula>IF(+(IF(G33&lt;#REF!,0,IF(G33&gt;#REF!,0,1)))=0,1)</formula>
    </cfRule>
  </conditionalFormatting>
  <conditionalFormatting sqref="G90">
    <cfRule type="cellIs" dxfId="3488" priority="71" stopIfTrue="1" operator="lessThanOrEqual">
      <formula>0</formula>
    </cfRule>
    <cfRule type="cellIs" dxfId="3487" priority="70" stopIfTrue="1" operator="greaterThan">
      <formula>$F89</formula>
    </cfRule>
  </conditionalFormatting>
  <conditionalFormatting sqref="G90:G91">
    <cfRule type="cellIs" dxfId="3486" priority="191" stopIfTrue="1" operator="greaterThan">
      <formula>$F89</formula>
    </cfRule>
    <cfRule type="cellIs" dxfId="3485" priority="192" stopIfTrue="1" operator="lessThanOrEqual">
      <formula>0</formula>
    </cfRule>
  </conditionalFormatting>
  <conditionalFormatting sqref="G92">
    <cfRule type="cellIs" dxfId="3484" priority="140" stopIfTrue="1" operator="lessThanOrEqual">
      <formula>0</formula>
    </cfRule>
    <cfRule type="cellIs" dxfId="3483" priority="139" stopIfTrue="1" operator="greaterThan">
      <formula>$F92</formula>
    </cfRule>
  </conditionalFormatting>
  <conditionalFormatting sqref="G93:G96">
    <cfRule type="cellIs" dxfId="3482" priority="149" stopIfTrue="1" operator="lessThanOrEqual">
      <formula>0</formula>
    </cfRule>
    <cfRule type="cellIs" dxfId="3481" priority="148" stopIfTrue="1" operator="greaterThan">
      <formula>$J93</formula>
    </cfRule>
  </conditionalFormatting>
  <conditionalFormatting sqref="G97">
    <cfRule type="cellIs" dxfId="3480" priority="147" operator="greaterThan">
      <formula>4.5</formula>
    </cfRule>
  </conditionalFormatting>
  <conditionalFormatting sqref="G102:G107 C105 C107">
    <cfRule type="cellIs" dxfId="3479" priority="185" stopIfTrue="1" operator="lessThanOrEqual">
      <formula>0</formula>
    </cfRule>
    <cfRule type="cellIs" dxfId="3478" priority="184" stopIfTrue="1" operator="greaterThan">
      <formula>4.5</formula>
    </cfRule>
  </conditionalFormatting>
  <conditionalFormatting sqref="G62:H62 G63:G73 H63:H74">
    <cfRule type="cellIs" dxfId="3477" priority="163" stopIfTrue="1" operator="greaterThan">
      <formula>0</formula>
    </cfRule>
  </conditionalFormatting>
  <conditionalFormatting sqref="G101:H101">
    <cfRule type="cellIs" dxfId="3476" priority="166" stopIfTrue="1" operator="lessThanOrEqual">
      <formula>0</formula>
    </cfRule>
    <cfRule type="cellIs" dxfId="3475" priority="165" stopIfTrue="1" operator="greaterThan">
      <formula>$F$100</formula>
    </cfRule>
  </conditionalFormatting>
  <conditionalFormatting sqref="H10">
    <cfRule type="expression" dxfId="3474" priority="63">
      <formula>IF(+(IF(H10&lt;T27,0,IF(H10&gt;U27,0,1)))=0,1)</formula>
    </cfRule>
  </conditionalFormatting>
  <conditionalFormatting sqref="H10:H12">
    <cfRule type="expression" dxfId="3473" priority="64">
      <formula>IF(+(IF(H10&lt;#REF!,0,IF(H10&gt;#REF!,0,1)))=0,1)</formula>
    </cfRule>
  </conditionalFormatting>
  <conditionalFormatting sqref="H11:H12">
    <cfRule type="expression" dxfId="3472" priority="207">
      <formula>IF(+(IF(H11&lt;T47,0,IF(H11&gt;U47,0,1)))=0,1)</formula>
    </cfRule>
  </conditionalFormatting>
  <conditionalFormatting sqref="H13">
    <cfRule type="expression" dxfId="3471" priority="56">
      <formula>IF(+(IF(H13&lt;T47,0,IF(H13&gt;U47,0,1)))=0,1)</formula>
    </cfRule>
    <cfRule type="expression" dxfId="3470" priority="55">
      <formula>IF(+(IF(H13&lt;T56,0,IF(H13&gt;U56,0,1)))=0,1)</formula>
    </cfRule>
  </conditionalFormatting>
  <conditionalFormatting sqref="H14">
    <cfRule type="expression" dxfId="3469" priority="197">
      <formula>IF(+(IF(H14&lt;T50,0,IF(H14&gt;U50,0,1)))=0,1)</formula>
    </cfRule>
    <cfRule type="expression" dxfId="3468" priority="198">
      <formula>IF(+(IF(H14&lt;#REF!,0,IF(H14&gt;#REF!,0,1)))=0,1)</formula>
    </cfRule>
  </conditionalFormatting>
  <conditionalFormatting sqref="H15:H32">
    <cfRule type="expression" dxfId="3467" priority="209">
      <formula>IF(+(IF(H15&lt;T66,0,IF(H15&gt;U66,0,1)))=0,1)</formula>
    </cfRule>
  </conditionalFormatting>
  <conditionalFormatting sqref="H33:H46">
    <cfRule type="expression" dxfId="3466" priority="29">
      <formula>IF(+(IF(H33&lt;T48,0,IF(H33&gt;U48,0,1)))=0,1)</formula>
    </cfRule>
    <cfRule type="expression" dxfId="3465" priority="28">
      <formula>IF(+(IF(H33&lt;T57,0,IF(H33&gt;U57,0,1)))=0,1)</formula>
    </cfRule>
  </conditionalFormatting>
  <conditionalFormatting sqref="H47">
    <cfRule type="expression" dxfId="3464" priority="193">
      <formula>IF(+(IF(H47&lt;#REF!,0,IF(H47&gt;#REF!,0,1)))=0,1)</formula>
    </cfRule>
  </conditionalFormatting>
  <conditionalFormatting sqref="H51:H61">
    <cfRule type="cellIs" dxfId="3463" priority="159" stopIfTrue="1" operator="greaterThan">
      <formula>0</formula>
    </cfRule>
  </conditionalFormatting>
  <conditionalFormatting sqref="H79">
    <cfRule type="cellIs" dxfId="3462" priority="2" stopIfTrue="1" operator="lessThanOrEqual">
      <formula>0</formula>
    </cfRule>
    <cfRule type="cellIs" dxfId="3461" priority="12" stopIfTrue="1" operator="lessThanOrEqual">
      <formula>0</formula>
    </cfRule>
    <cfRule type="cellIs" dxfId="3460" priority="11" stopIfTrue="1" operator="greaterThan">
      <formula>$F$56</formula>
    </cfRule>
    <cfRule type="cellIs" dxfId="3459" priority="14" stopIfTrue="1" operator="lessThanOrEqual">
      <formula>0</formula>
    </cfRule>
    <cfRule type="cellIs" dxfId="3458" priority="3" stopIfTrue="1" operator="greaterThan">
      <formula>$F$53</formula>
    </cfRule>
    <cfRule type="cellIs" dxfId="3457" priority="13" stopIfTrue="1" operator="greaterThan">
      <formula>$F$54</formula>
    </cfRule>
  </conditionalFormatting>
  <conditionalFormatting sqref="H80">
    <cfRule type="cellIs" dxfId="3456" priority="102" stopIfTrue="1" operator="lessThanOrEqual">
      <formula>0</formula>
    </cfRule>
    <cfRule type="cellIs" dxfId="3455" priority="93" stopIfTrue="1" operator="greaterThan">
      <formula>$F$88</formula>
    </cfRule>
    <cfRule type="cellIs" dxfId="3454" priority="92" stopIfTrue="1" operator="lessThanOrEqual">
      <formula>0</formula>
    </cfRule>
    <cfRule type="cellIs" dxfId="3453" priority="104" stopIfTrue="1" operator="lessThanOrEqual">
      <formula>0</formula>
    </cfRule>
    <cfRule type="cellIs" dxfId="3452" priority="103" stopIfTrue="1" operator="greaterThan">
      <formula>$F$89</formula>
    </cfRule>
    <cfRule type="cellIs" dxfId="3451" priority="101" stopIfTrue="1" operator="greaterThan">
      <formula>$F$91</formula>
    </cfRule>
  </conditionalFormatting>
  <conditionalFormatting sqref="H81">
    <cfRule type="cellIs" dxfId="3450" priority="35" stopIfTrue="1" operator="lessThanOrEqual">
      <formula>0</formula>
    </cfRule>
    <cfRule type="cellIs" dxfId="3449" priority="47" stopIfTrue="1" operator="lessThanOrEqual">
      <formula>0</formula>
    </cfRule>
    <cfRule type="cellIs" dxfId="3448" priority="46" stopIfTrue="1" operator="greaterThan">
      <formula>$F$73</formula>
    </cfRule>
    <cfRule type="cellIs" dxfId="3447" priority="45" stopIfTrue="1" operator="lessThanOrEqual">
      <formula>0</formula>
    </cfRule>
    <cfRule type="cellIs" dxfId="3446" priority="44" stopIfTrue="1" operator="greaterThan">
      <formula>$F$75</formula>
    </cfRule>
    <cfRule type="cellIs" dxfId="3445" priority="36" stopIfTrue="1" operator="greaterThan">
      <formula>$F$72</formula>
    </cfRule>
  </conditionalFormatting>
  <conditionalFormatting sqref="H82">
    <cfRule type="cellIs" dxfId="3444" priority="84" stopIfTrue="1" operator="greaterThan">
      <formula>#REF!</formula>
    </cfRule>
    <cfRule type="cellIs" dxfId="3443" priority="76" stopIfTrue="1" operator="greaterThan">
      <formula>#REF!</formula>
    </cfRule>
    <cfRule type="cellIs" dxfId="3442" priority="75" stopIfTrue="1" operator="lessThanOrEqual">
      <formula>0</formula>
    </cfRule>
  </conditionalFormatting>
  <conditionalFormatting sqref="H82:H84">
    <cfRule type="cellIs" dxfId="3441" priority="85" stopIfTrue="1" operator="lessThanOrEqual">
      <formula>0</formula>
    </cfRule>
  </conditionalFormatting>
  <conditionalFormatting sqref="H83:H84">
    <cfRule type="cellIs" dxfId="3440" priority="124" stopIfTrue="1" operator="greaterThan">
      <formula>$F$90</formula>
    </cfRule>
    <cfRule type="cellIs" dxfId="3439" priority="123" stopIfTrue="1" operator="lessThanOrEqual">
      <formula>0</formula>
    </cfRule>
    <cfRule type="cellIs" dxfId="3438" priority="122" stopIfTrue="1" operator="greaterThan">
      <formula>$F$92</formula>
    </cfRule>
    <cfRule type="cellIs" dxfId="3437" priority="114" stopIfTrue="1" operator="greaterThan">
      <formula>$F$89</formula>
    </cfRule>
    <cfRule type="cellIs" dxfId="3436" priority="125" stopIfTrue="1" operator="lessThanOrEqual">
      <formula>0</formula>
    </cfRule>
  </conditionalFormatting>
  <conditionalFormatting sqref="H85">
    <cfRule type="cellIs" dxfId="3435" priority="155" stopIfTrue="1" operator="greaterThan">
      <formula>$F$82</formula>
    </cfRule>
    <cfRule type="cellIs" dxfId="3434" priority="154" stopIfTrue="1" operator="lessThanOrEqual">
      <formula>0</formula>
    </cfRule>
    <cfRule type="cellIs" dxfId="3433" priority="153" stopIfTrue="1" operator="greaterThan">
      <formula>$F$86</formula>
    </cfRule>
    <cfRule type="cellIs" dxfId="3432" priority="156" stopIfTrue="1" operator="lessThanOrEqual">
      <formula>0</formula>
    </cfRule>
  </conditionalFormatting>
  <conditionalFormatting sqref="H89:H96">
    <cfRule type="cellIs" dxfId="3431" priority="127" stopIfTrue="1" operator="lessThanOrEqual">
      <formula>0</formula>
    </cfRule>
    <cfRule type="cellIs" dxfId="3430" priority="126" stopIfTrue="1" operator="greaterThan">
      <formula>$J89</formula>
    </cfRule>
  </conditionalFormatting>
  <conditionalFormatting sqref="H97">
    <cfRule type="cellIs" dxfId="3429" priority="132" operator="greaterThan">
      <formula>5.3</formula>
    </cfRule>
  </conditionalFormatting>
  <conditionalFormatting sqref="H100 H102:H108">
    <cfRule type="cellIs" dxfId="3428" priority="178" stopIfTrue="1" operator="lessThanOrEqual">
      <formula>0</formula>
    </cfRule>
    <cfRule type="cellIs" dxfId="3427" priority="177" stopIfTrue="1" operator="greaterThan">
      <formula>4.5</formula>
    </cfRule>
  </conditionalFormatting>
  <conditionalFormatting sqref="H79:I79">
    <cfRule type="cellIs" dxfId="3426" priority="4" stopIfTrue="1" operator="lessThanOrEqual">
      <formula>0</formula>
    </cfRule>
    <cfRule type="cellIs" dxfId="3425" priority="1" stopIfTrue="1" operator="greaterThan">
      <formula>$F$55</formula>
    </cfRule>
  </conditionalFormatting>
  <conditionalFormatting sqref="H80:I80">
    <cfRule type="cellIs" dxfId="3424" priority="91" stopIfTrue="1" operator="greaterThan">
      <formula>$F$90</formula>
    </cfRule>
    <cfRule type="cellIs" dxfId="3423" priority="94" stopIfTrue="1" operator="lessThanOrEqual">
      <formula>0</formula>
    </cfRule>
  </conditionalFormatting>
  <conditionalFormatting sqref="H81:I81">
    <cfRule type="cellIs" dxfId="3422" priority="37" stopIfTrue="1" operator="lessThanOrEqual">
      <formula>0</formula>
    </cfRule>
    <cfRule type="cellIs" dxfId="3421" priority="34" stopIfTrue="1" operator="greaterThan">
      <formula>$F$74</formula>
    </cfRule>
  </conditionalFormatting>
  <conditionalFormatting sqref="H82:I82">
    <cfRule type="cellIs" dxfId="3420" priority="74" stopIfTrue="1" operator="greaterThan">
      <formula>#REF!</formula>
    </cfRule>
    <cfRule type="cellIs" dxfId="3419" priority="77" stopIfTrue="1" operator="lessThanOrEqual">
      <formula>0</formula>
    </cfRule>
    <cfRule type="cellIs" dxfId="3418" priority="83" stopIfTrue="1" operator="lessThanOrEqual">
      <formula>0</formula>
    </cfRule>
    <cfRule type="cellIs" dxfId="3417" priority="82" stopIfTrue="1" operator="greaterThan">
      <formula>#REF!</formula>
    </cfRule>
  </conditionalFormatting>
  <conditionalFormatting sqref="H83:I83">
    <cfRule type="cellIs" dxfId="3416" priority="115" stopIfTrue="1" operator="lessThanOrEqual">
      <formula>0</formula>
    </cfRule>
  </conditionalFormatting>
  <conditionalFormatting sqref="H83:I84">
    <cfRule type="cellIs" dxfId="3415" priority="72" stopIfTrue="1" operator="greaterThan">
      <formula>$F$91</formula>
    </cfRule>
  </conditionalFormatting>
  <conditionalFormatting sqref="H84:I84">
    <cfRule type="cellIs" dxfId="3414" priority="73" stopIfTrue="1" operator="lessThanOrEqual">
      <formula>0</formula>
    </cfRule>
  </conditionalFormatting>
  <conditionalFormatting sqref="I10:I14">
    <cfRule type="cellIs" dxfId="3413" priority="49" operator="lessThan">
      <formula>97.8</formula>
    </cfRule>
  </conditionalFormatting>
  <conditionalFormatting sqref="I10:I47">
    <cfRule type="cellIs" dxfId="3412" priority="21" operator="lessThan">
      <formula>98</formula>
    </cfRule>
  </conditionalFormatting>
  <conditionalFormatting sqref="I33:I46">
    <cfRule type="cellIs" dxfId="3411" priority="22" operator="lessThan">
      <formula>97.8</formula>
    </cfRule>
  </conditionalFormatting>
  <conditionalFormatting sqref="I79">
    <cfRule type="cellIs" dxfId="3410" priority="10" stopIfTrue="1" operator="lessThanOrEqual">
      <formula>0</formula>
    </cfRule>
    <cfRule type="cellIs" dxfId="3409" priority="8" stopIfTrue="1" operator="lessThanOrEqual">
      <formula>0</formula>
    </cfRule>
    <cfRule type="cellIs" dxfId="3408" priority="7" stopIfTrue="1" operator="greaterThan">
      <formula>$F$55</formula>
    </cfRule>
    <cfRule type="cellIs" dxfId="3407" priority="6" stopIfTrue="1" operator="lessThanOrEqual">
      <formula>0</formula>
    </cfRule>
    <cfRule type="cellIs" dxfId="3406" priority="5" stopIfTrue="1" operator="greaterThan">
      <formula>$F$53</formula>
    </cfRule>
    <cfRule type="cellIs" dxfId="3405" priority="9" stopIfTrue="1" operator="greaterThan">
      <formula>$F$53</formula>
    </cfRule>
  </conditionalFormatting>
  <conditionalFormatting sqref="I80">
    <cfRule type="cellIs" dxfId="3404" priority="98" stopIfTrue="1" operator="lessThanOrEqual">
      <formula>0</formula>
    </cfRule>
    <cfRule type="cellIs" dxfId="3403" priority="97" stopIfTrue="1" operator="greaterThan">
      <formula>$F$90</formula>
    </cfRule>
    <cfRule type="cellIs" dxfId="3402" priority="100" stopIfTrue="1" operator="lessThanOrEqual">
      <formula>0</formula>
    </cfRule>
    <cfRule type="cellIs" dxfId="3401" priority="99" stopIfTrue="1" operator="greaterThan">
      <formula>$F$88</formula>
    </cfRule>
    <cfRule type="cellIs" dxfId="3400" priority="95" stopIfTrue="1" operator="greaterThan">
      <formula>$F$88</formula>
    </cfRule>
    <cfRule type="cellIs" dxfId="3399" priority="96" stopIfTrue="1" operator="lessThanOrEqual">
      <formula>0</formula>
    </cfRule>
  </conditionalFormatting>
  <conditionalFormatting sqref="I81">
    <cfRule type="cellIs" dxfId="3398" priority="42" stopIfTrue="1" operator="greaterThan">
      <formula>$F$72</formula>
    </cfRule>
    <cfRule type="cellIs" dxfId="3397" priority="41" stopIfTrue="1" operator="lessThanOrEqual">
      <formula>0</formula>
    </cfRule>
    <cfRule type="cellIs" dxfId="3396" priority="40" stopIfTrue="1" operator="greaterThan">
      <formula>$F$74</formula>
    </cfRule>
    <cfRule type="cellIs" dxfId="3395" priority="39" stopIfTrue="1" operator="lessThanOrEqual">
      <formula>0</formula>
    </cfRule>
    <cfRule type="cellIs" dxfId="3394" priority="38" stopIfTrue="1" operator="greaterThan">
      <formula>$F$72</formula>
    </cfRule>
    <cfRule type="cellIs" dxfId="3393" priority="43" stopIfTrue="1" operator="lessThanOrEqual">
      <formula>0</formula>
    </cfRule>
  </conditionalFormatting>
  <conditionalFormatting sqref="I82">
    <cfRule type="cellIs" dxfId="3392" priority="78" stopIfTrue="1" operator="greaterThan">
      <formula>#REF!</formula>
    </cfRule>
    <cfRule type="cellIs" dxfId="3391" priority="81" stopIfTrue="1" operator="lessThanOrEqual">
      <formula>0</formula>
    </cfRule>
    <cfRule type="cellIs" dxfId="3390" priority="80" stopIfTrue="1" operator="greaterThan">
      <formula>#REF!</formula>
    </cfRule>
    <cfRule type="cellIs" dxfId="3389" priority="79" stopIfTrue="1" operator="lessThanOrEqual">
      <formula>0</formula>
    </cfRule>
  </conditionalFormatting>
  <conditionalFormatting sqref="I83:I84">
    <cfRule type="cellIs" dxfId="3388" priority="116" stopIfTrue="1" operator="greaterThan">
      <formula>$F$89</formula>
    </cfRule>
    <cfRule type="cellIs" dxfId="3387" priority="118" stopIfTrue="1" operator="greaterThan">
      <formula>$F$91</formula>
    </cfRule>
    <cfRule type="cellIs" dxfId="3386" priority="119" stopIfTrue="1" operator="lessThanOrEqual">
      <formula>0</formula>
    </cfRule>
    <cfRule type="cellIs" dxfId="3385" priority="120" stopIfTrue="1" operator="greaterThan">
      <formula>$F$89</formula>
    </cfRule>
    <cfRule type="cellIs" dxfId="3384" priority="121" stopIfTrue="1" operator="lessThanOrEqual">
      <formula>0</formula>
    </cfRule>
    <cfRule type="cellIs" dxfId="3383" priority="117" stopIfTrue="1" operator="lessThanOrEqual">
      <formula>0</formula>
    </cfRule>
  </conditionalFormatting>
  <conditionalFormatting sqref="I89:I97">
    <cfRule type="cellIs" dxfId="3382" priority="133" stopIfTrue="1" operator="greaterThan">
      <formula>$J89</formula>
    </cfRule>
    <cfRule type="cellIs" dxfId="3381" priority="134" stopIfTrue="1" operator="lessThanOrEqual">
      <formula>0</formula>
    </cfRule>
  </conditionalFormatting>
  <conditionalFormatting sqref="I100:I108">
    <cfRule type="cellIs" dxfId="3380" priority="174" stopIfTrue="1" operator="lessThanOrEqual">
      <formula>0</formula>
    </cfRule>
    <cfRule type="cellIs" dxfId="3379" priority="173" stopIfTrue="1" operator="greaterThan">
      <formula>4.5</formula>
    </cfRule>
  </conditionalFormatting>
  <conditionalFormatting sqref="J10:J14">
    <cfRule type="cellIs" dxfId="3378" priority="51" operator="notBetween">
      <formula>98</formula>
      <formula>99.9</formula>
    </cfRule>
  </conditionalFormatting>
  <conditionalFormatting sqref="J10:J47">
    <cfRule type="cellIs" dxfId="3377" priority="20" operator="lessThan">
      <formula>97.4</formula>
    </cfRule>
  </conditionalFormatting>
  <conditionalFormatting sqref="J33:J46">
    <cfRule type="cellIs" dxfId="3376" priority="24" operator="notBetween">
      <formula>98</formula>
      <formula>99.9</formula>
    </cfRule>
  </conditionalFormatting>
  <conditionalFormatting sqref="J50:J52">
    <cfRule type="cellIs" dxfId="3375" priority="107" stopIfTrue="1" operator="lessThan">
      <formula>96.8</formula>
    </cfRule>
    <cfRule type="cellIs" dxfId="3374" priority="108" stopIfTrue="1" operator="greaterThan">
      <formula>100</formula>
    </cfRule>
    <cfRule type="cellIs" dxfId="3373" priority="109" operator="lessThan">
      <formula>98</formula>
    </cfRule>
  </conditionalFormatting>
  <conditionalFormatting sqref="J50:J54">
    <cfRule type="cellIs" dxfId="3372" priority="48" operator="lessThan">
      <formula>97.4</formula>
    </cfRule>
  </conditionalFormatting>
  <conditionalFormatting sqref="J55 L59:M59 L61:M61">
    <cfRule type="cellIs" dxfId="3371" priority="110" operator="lessThan">
      <formula>98</formula>
    </cfRule>
  </conditionalFormatting>
  <conditionalFormatting sqref="J56:J57">
    <cfRule type="cellIs" dxfId="3370" priority="111" stopIfTrue="1" operator="lessThan">
      <formula>96.8</formula>
    </cfRule>
    <cfRule type="cellIs" dxfId="3369" priority="112" stopIfTrue="1" operator="greaterThan">
      <formula>100</formula>
    </cfRule>
  </conditionalFormatting>
  <conditionalFormatting sqref="J56:J58">
    <cfRule type="cellIs" dxfId="3368" priority="113" operator="lessThan">
      <formula>98</formula>
    </cfRule>
  </conditionalFormatting>
  <conditionalFormatting sqref="K10:K14">
    <cfRule type="cellIs" dxfId="3367" priority="50" operator="greaterThan">
      <formula>6.4</formula>
    </cfRule>
  </conditionalFormatting>
  <conditionalFormatting sqref="K10:K47">
    <cfRule type="cellIs" dxfId="3366" priority="16" operator="greaterThan">
      <formula>6</formula>
    </cfRule>
    <cfRule type="cellIs" dxfId="3365" priority="17" operator="lessThan">
      <formula>4</formula>
    </cfRule>
  </conditionalFormatting>
  <conditionalFormatting sqref="K33:K46">
    <cfRule type="cellIs" dxfId="3364" priority="23" operator="greaterThan">
      <formula>6.4</formula>
    </cfRule>
  </conditionalFormatting>
  <conditionalFormatting sqref="K64:K73">
    <cfRule type="cellIs" dxfId="3363" priority="141" operator="notEqual">
      <formula>#REF!</formula>
    </cfRule>
  </conditionalFormatting>
  <conditionalFormatting sqref="K79:K84 J85:K85 L89:N89 K90:N97">
    <cfRule type="cellIs" dxfId="3362" priority="152" stopIfTrue="1" operator="lessThan">
      <formula>100%</formula>
    </cfRule>
  </conditionalFormatting>
  <conditionalFormatting sqref="K100:K105">
    <cfRule type="cellIs" dxfId="3361" priority="179" stopIfTrue="1" operator="lessThan">
      <formula>100%</formula>
    </cfRule>
  </conditionalFormatting>
  <conditionalFormatting sqref="K107:K108">
    <cfRule type="cellIs" dxfId="3360" priority="186" stopIfTrue="1" operator="lessThan">
      <formula>100%</formula>
    </cfRule>
  </conditionalFormatting>
  <conditionalFormatting sqref="L10:L47">
    <cfRule type="cellIs" dxfId="3359" priority="18" operator="between">
      <formula>61</formula>
      <formula>65</formula>
    </cfRule>
    <cfRule type="cellIs" dxfId="3358" priority="19" operator="greaterThan">
      <formula>65</formula>
    </cfRule>
  </conditionalFormatting>
  <conditionalFormatting sqref="L52:L58">
    <cfRule type="cellIs" dxfId="3357" priority="88" operator="lessThan">
      <formula>98</formula>
    </cfRule>
  </conditionalFormatting>
  <conditionalFormatting sqref="L65:N65">
    <cfRule type="cellIs" dxfId="3356" priority="87" operator="notEqual">
      <formula>#REF!</formula>
    </cfRule>
  </conditionalFormatting>
  <conditionalFormatting sqref="L100:N108">
    <cfRule type="cellIs" dxfId="3355" priority="164" stopIfTrue="1" operator="lessThan">
      <formula>100%</formula>
    </cfRule>
  </conditionalFormatting>
  <conditionalFormatting sqref="M10:M11">
    <cfRule type="expression" dxfId="3354" priority="65">
      <formula>IF(+(IF(M10&lt;V23,0,IF(M10&gt;W23,0,1)))=0,1)</formula>
    </cfRule>
  </conditionalFormatting>
  <conditionalFormatting sqref="M13">
    <cfRule type="expression" dxfId="3353" priority="57">
      <formula>IF(+(IF(M13&lt;V52,0,IF(M13&gt;W52,0,1)))=0,1)</formula>
    </cfRule>
    <cfRule type="expression" dxfId="3352" priority="58">
      <formula>IF(+(IF(M13&lt;V47,0,IF(M13&gt;W47,0,1)))=0,1)</formula>
    </cfRule>
  </conditionalFormatting>
  <conditionalFormatting sqref="M14">
    <cfRule type="expression" dxfId="3351" priority="199">
      <formula>IF(+(IF(M14&lt;V27,0,IF(M14&gt;W27,0,1)))=0,1)</formula>
    </cfRule>
  </conditionalFormatting>
  <conditionalFormatting sqref="M15:M32">
    <cfRule type="expression" dxfId="3350" priority="210">
      <formula>IF(+(IF(M15&lt;V62,0,IF(M15&gt;W62,0,1)))=0,1)</formula>
    </cfRule>
  </conditionalFormatting>
  <conditionalFormatting sqref="M33:M46">
    <cfRule type="expression" dxfId="3349" priority="31">
      <formula>IF(+(IF(M33&lt;V48,0,IF(M33&gt;W48,0,1)))=0,1)</formula>
    </cfRule>
    <cfRule type="expression" dxfId="3348" priority="30">
      <formula>IF(+(IF(M33&lt;V53,0,IF(M33&gt;W53,0,1)))=0,1)</formula>
    </cfRule>
  </conditionalFormatting>
  <conditionalFormatting sqref="M50:M58">
    <cfRule type="cellIs" dxfId="3347" priority="86" operator="lessThan">
      <formula>98</formula>
    </cfRule>
  </conditionalFormatting>
  <conditionalFormatting sqref="M6:N6">
    <cfRule type="cellIs" dxfId="3346" priority="89" operator="greaterThanOrEqual">
      <formula>15</formula>
    </cfRule>
    <cfRule type="cellIs" dxfId="3345" priority="90" operator="greaterThanOrEqual">
      <formula>19</formula>
    </cfRule>
  </conditionalFormatting>
  <conditionalFormatting sqref="M10:N12">
    <cfRule type="expression" dxfId="3344" priority="66">
      <formula>IF(+(IF(M10&lt;#REF!,0,IF(M10&gt;#REF!,0,1)))=0,1)</formula>
    </cfRule>
  </conditionalFormatting>
  <conditionalFormatting sqref="M14:N14">
    <cfRule type="expression" dxfId="3343" priority="200">
      <formula>IF(+(IF(M14&lt;#REF!,0,IF(M14&gt;#REF!,0,1)))=0,1)</formula>
    </cfRule>
  </conditionalFormatting>
  <conditionalFormatting sqref="M47:N47">
    <cfRule type="expression" dxfId="3342" priority="194">
      <formula>IF(+(IF(M47&lt;#REF!,0,IF(M47&gt;#REF!,0,1)))=0,1)</formula>
    </cfRule>
  </conditionalFormatting>
  <conditionalFormatting sqref="N10:N11">
    <cfRule type="expression" dxfId="3341" priority="67">
      <formula>IF(+(IF(N10&lt;X23,0,IF(N10&gt;Y23,0,1)))=0,1)</formula>
    </cfRule>
  </conditionalFormatting>
  <conditionalFormatting sqref="N13">
    <cfRule type="expression" dxfId="3340" priority="60">
      <formula>IF(+(IF(N13&lt;X47,0,IF(N13&gt;Y47,0,1)))=0,1)</formula>
    </cfRule>
    <cfRule type="expression" dxfId="3339" priority="59">
      <formula>IF(+(IF(N13&lt;X52,0,IF(N13&gt;Y52,0,1)))=0,1)</formula>
    </cfRule>
  </conditionalFormatting>
  <conditionalFormatting sqref="N14">
    <cfRule type="expression" dxfId="3338" priority="203">
      <formula>IF(+(IF(N14&lt;X27,0,IF(N14&gt;Y27,0,1)))=0,1)</formula>
    </cfRule>
  </conditionalFormatting>
  <conditionalFormatting sqref="N15:N32">
    <cfRule type="expression" dxfId="3337" priority="211">
      <formula>IF(+(IF(N15&lt;X62,0,IF(N15&gt;Y62,0,1)))=0,1)</formula>
    </cfRule>
  </conditionalFormatting>
  <conditionalFormatting sqref="N33:N46">
    <cfRule type="expression" dxfId="3336" priority="32">
      <formula>IF(+(IF(N33&lt;X53,0,IF(N33&gt;Y53,0,1)))=0,1)</formula>
    </cfRule>
    <cfRule type="expression" dxfId="3335" priority="33">
      <formula>IF(+(IF(N33&lt;X48,0,IF(N33&gt;Y48,0,1)))=0,1)</formula>
    </cfRule>
  </conditionalFormatting>
  <conditionalFormatting sqref="P6">
    <cfRule type="cellIs" dxfId="3334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7D5E-AEF0-42B5-917B-2E3224B59445}">
  <sheetPr>
    <pageSetUpPr fitToPage="1"/>
  </sheetPr>
  <dimension ref="A1:BF115"/>
  <sheetViews>
    <sheetView topLeftCell="E10" zoomScale="80" zoomScaleNormal="80" workbookViewId="0">
      <selection activeCell="M65" sqref="M65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45691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[22]Brewhouse!$A173</f>
        <v>CA071</v>
      </c>
      <c r="D10" s="279">
        <f>[22]Brewhouse!$AF173</f>
        <v>53.2</v>
      </c>
      <c r="E10" s="279">
        <f>[22]Brewhouse!$AI173</f>
        <v>49.3</v>
      </c>
      <c r="F10" s="278">
        <f>[22]Brewhouse!$V173</f>
        <v>77</v>
      </c>
      <c r="G10" s="279">
        <f>[22]Brewhouse!$AG173</f>
        <v>11.6</v>
      </c>
      <c r="H10" s="396">
        <v>11.6</v>
      </c>
      <c r="I10" s="368">
        <f>[22]Brewhouse!$AU173</f>
        <v>91.322447267719596</v>
      </c>
      <c r="J10" s="368">
        <f>[22]Brewhouse!$AV173</f>
        <v>95.159711974888367</v>
      </c>
      <c r="K10" s="281">
        <f>[22]Brewhouse!$Q173</f>
        <v>7.4426807760141074</v>
      </c>
      <c r="L10" s="276">
        <f>[22]Brewhouse!$P173</f>
        <v>63</v>
      </c>
      <c r="M10" s="397">
        <f>[22]Brewhouse!$U173-[22]Brewhouse!$T173</f>
        <v>0.1201388888888888</v>
      </c>
      <c r="N10" s="370">
        <f>[22]Brewhouse!$Z173</f>
        <v>0.26874999999999993</v>
      </c>
      <c r="O10" s="371" t="str">
        <f>[22]Brewhouse!$AX173</f>
        <v>K.Benjamin</v>
      </c>
      <c r="P10" s="375"/>
      <c r="Q10" s="347"/>
      <c r="S10" s="277" t="str">
        <f t="shared" ref="S10:S52" si="0">B10</f>
        <v>CARIB</v>
      </c>
      <c r="T10" s="296">
        <f t="shared" ref="T10:T52" si="1">VLOOKUP($B10,$S$3:$Y$9,2,FALSE)</f>
        <v>11.6</v>
      </c>
      <c r="U10" s="296">
        <f t="shared" ref="U10:U52" si="2">VLOOKUP($B10,$S$3:$Y$9,3,FALSE)</f>
        <v>12</v>
      </c>
      <c r="V10" s="297">
        <f t="shared" ref="V10:V52" si="3">VLOOKUP($B10,$S$3:$Y$9,4,FALSE)</f>
        <v>0</v>
      </c>
      <c r="W10" s="297">
        <f t="shared" ref="W10:W52" si="4">VLOOKUP($B10,$S$3:$Y$9,5,FALSE)</f>
        <v>0.118055555555556</v>
      </c>
      <c r="X10" s="297">
        <f t="shared" ref="X10:X52" si="5">VLOOKUP($B10,$S$3:$Y$9,6,FALSE)</f>
        <v>0.22569444444444445</v>
      </c>
      <c r="Y10" s="297">
        <f t="shared" ref="Y10:Y52" si="6">VLOOKUP($B10,$S$3:$Y$9,7,FALSE)</f>
        <v>0.2638888888888889</v>
      </c>
      <c r="Z10" s="297">
        <f t="shared" ref="Z10:Z52" si="7">VLOOKUP($B10,$S$3:$AA$9,8,FALSE)</f>
        <v>0</v>
      </c>
      <c r="AA10" s="296">
        <f t="shared" ref="AA10:AA52" si="8">VLOOKUP($B10,$S$3:$AA$9,9,FALSE)</f>
        <v>60</v>
      </c>
    </row>
    <row r="11" spans="2:30" ht="14.4">
      <c r="B11" s="29" t="s">
        <v>6</v>
      </c>
      <c r="C11" s="366" t="str">
        <f>[22]Brewhouse!$A174</f>
        <v>CA072</v>
      </c>
      <c r="D11" s="279">
        <f>[22]Brewhouse!$AF174</f>
        <v>53.1</v>
      </c>
      <c r="E11" s="279">
        <f>[22]Brewhouse!$AI174</f>
        <v>49.8</v>
      </c>
      <c r="F11" s="278">
        <f>[22]Brewhouse!$V174</f>
        <v>77</v>
      </c>
      <c r="G11" s="279">
        <f>[22]Brewhouse!$AG174</f>
        <v>11.9</v>
      </c>
      <c r="H11" s="396">
        <v>11.9</v>
      </c>
      <c r="I11" s="368">
        <f>[22]Brewhouse!$AU174</f>
        <v>94.643337024811686</v>
      </c>
      <c r="J11" s="368">
        <f>[22]Brewhouse!$AV174</f>
        <v>98.620357804666298</v>
      </c>
      <c r="K11" s="281">
        <f>[22]Brewhouse!$Q174</f>
        <v>7.2432432432432359</v>
      </c>
      <c r="L11" s="276">
        <f>[22]Brewhouse!$P174</f>
        <v>62</v>
      </c>
      <c r="M11" s="397">
        <f>[22]Brewhouse!$U174-[22]Brewhouse!$T174</f>
        <v>0.12569444444444455</v>
      </c>
      <c r="N11" s="370">
        <f>[22]Brewhouse!$Z174</f>
        <v>0.27291666666666681</v>
      </c>
      <c r="O11" s="371" t="str">
        <f>[22]Brewhouse!$AX174</f>
        <v>K.Benjamin</v>
      </c>
      <c r="P11" s="375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375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4.4">
      <c r="B13" s="34" t="s">
        <v>12</v>
      </c>
      <c r="C13" s="366" t="str">
        <f>[23]Brewhouse!$A9</f>
        <v>GU005</v>
      </c>
      <c r="D13" s="279">
        <f>[23]Brewhouse!$AF9</f>
        <v>60</v>
      </c>
      <c r="E13" s="279">
        <f>[23]Brewhouse!$AI9</f>
        <v>54</v>
      </c>
      <c r="F13" s="278">
        <f>[23]Brewhouse!$V9</f>
        <v>122</v>
      </c>
      <c r="G13" s="279">
        <f>[23]Brewhouse!$AG9</f>
        <v>17.2</v>
      </c>
      <c r="H13" s="396">
        <v>17.100000000000001</v>
      </c>
      <c r="I13" s="368">
        <f>[23]Brewhouse!$AU9</f>
        <v>96.878658921984908</v>
      </c>
      <c r="J13" s="368">
        <f>[23]Brewhouse!$AV9</f>
        <v>99.015919679115044</v>
      </c>
      <c r="K13" s="281">
        <f>[23]Brewhouse!$R9</f>
        <v>0.9914529914529886</v>
      </c>
      <c r="L13" s="276">
        <f>[23]Brewhouse!$O9</f>
        <v>60</v>
      </c>
      <c r="M13" s="397">
        <f>[23]Brewhouse!$U9-[23]Brewhouse!$T9</f>
        <v>0.13472222222222222</v>
      </c>
      <c r="N13" s="370">
        <f>[23]Brewhouse!$Z9</f>
        <v>0.27847222222222223</v>
      </c>
      <c r="O13" s="371" t="str">
        <f>[23]Brewhouse!$AW9</f>
        <v>K. Benjamin</v>
      </c>
      <c r="P13" s="375"/>
      <c r="Q13" s="347"/>
      <c r="S13" s="277" t="str">
        <f t="shared" si="0"/>
        <v>GUINNESS</v>
      </c>
      <c r="T13" s="296">
        <f t="shared" si="1"/>
        <v>17</v>
      </c>
      <c r="U13" s="296">
        <f t="shared" si="2"/>
        <v>17.5</v>
      </c>
      <c r="V13" s="297">
        <f t="shared" si="3"/>
        <v>0</v>
      </c>
      <c r="W13" s="297">
        <f t="shared" si="4"/>
        <v>0.1076388888888889</v>
      </c>
      <c r="X13" s="297">
        <f t="shared" si="5"/>
        <v>0.24652777777777779</v>
      </c>
      <c r="Y13" s="297">
        <f t="shared" si="6"/>
        <v>0.28472222222222221</v>
      </c>
      <c r="Z13" s="297">
        <f t="shared" si="7"/>
        <v>0</v>
      </c>
      <c r="AA13" s="296">
        <f t="shared" si="8"/>
        <v>60</v>
      </c>
    </row>
    <row r="14" spans="2:30" ht="14.4">
      <c r="B14" s="34" t="s">
        <v>12</v>
      </c>
      <c r="C14" s="366" t="str">
        <f>[23]Brewhouse!$A10</f>
        <v>GU006</v>
      </c>
      <c r="D14" s="279">
        <f>[23]Brewhouse!$AF10</f>
        <v>58.2</v>
      </c>
      <c r="E14" s="279">
        <f>[23]Brewhouse!$AI10</f>
        <v>53.3</v>
      </c>
      <c r="F14" s="278">
        <f>[23]Brewhouse!$V10</f>
        <v>82</v>
      </c>
      <c r="G14" s="279">
        <f>[23]Brewhouse!$AG10</f>
        <v>17.2</v>
      </c>
      <c r="H14" s="396">
        <v>17.100000000000001</v>
      </c>
      <c r="I14" s="368">
        <f>[23]Brewhouse!$AU10</f>
        <v>95.771550127068778</v>
      </c>
      <c r="J14" s="368">
        <f>[23]Brewhouse!$AV10</f>
        <v>97.883574119819343</v>
      </c>
      <c r="K14" s="281">
        <f>[23]Brewhouse!$R10</f>
        <v>0.83333333333332793</v>
      </c>
      <c r="L14" s="276">
        <f>[23]Brewhouse!$O10</f>
        <v>59</v>
      </c>
      <c r="M14" s="397">
        <f>[23]Brewhouse!$U10-[23]Brewhouse!$T10</f>
        <v>0.125</v>
      </c>
      <c r="N14" s="370">
        <f>[23]Brewhouse!$Z10</f>
        <v>0.27916666666666667</v>
      </c>
      <c r="O14" s="371" t="str">
        <f>[23]Brewhouse!$AW10</f>
        <v>R. Regis</v>
      </c>
      <c r="P14" s="375"/>
      <c r="Q14" s="347"/>
      <c r="S14" s="277" t="str">
        <f t="shared" si="0"/>
        <v>GUINNESS</v>
      </c>
      <c r="T14" s="296">
        <f t="shared" si="1"/>
        <v>17</v>
      </c>
      <c r="U14" s="296">
        <f t="shared" si="2"/>
        <v>17.5</v>
      </c>
      <c r="V14" s="297">
        <f t="shared" si="3"/>
        <v>0</v>
      </c>
      <c r="W14" s="297">
        <f t="shared" si="4"/>
        <v>0.1076388888888889</v>
      </c>
      <c r="X14" s="297">
        <f t="shared" si="5"/>
        <v>0.24652777777777779</v>
      </c>
      <c r="Y14" s="297">
        <f t="shared" si="6"/>
        <v>0.28472222222222221</v>
      </c>
      <c r="Z14" s="297">
        <f t="shared" si="7"/>
        <v>0</v>
      </c>
      <c r="AA14" s="296">
        <f t="shared" si="8"/>
        <v>60</v>
      </c>
    </row>
    <row r="15" spans="2:30" ht="14.4">
      <c r="B15" s="34" t="s">
        <v>12</v>
      </c>
      <c r="C15" s="366" t="str">
        <f>[23]Brewhouse!$A11</f>
        <v>GU007</v>
      </c>
      <c r="D15" s="279">
        <f>[23]Brewhouse!$AF11</f>
        <v>58.3</v>
      </c>
      <c r="E15" s="279">
        <f>[23]Brewhouse!$AI11</f>
        <v>53.4</v>
      </c>
      <c r="F15" s="278">
        <f>[23]Brewhouse!$V11</f>
        <v>84</v>
      </c>
      <c r="G15" s="279">
        <f>[23]Brewhouse!$AG11</f>
        <v>17.12</v>
      </c>
      <c r="H15" s="396">
        <v>17.100000000000001</v>
      </c>
      <c r="I15" s="368">
        <f>[23]Brewhouse!$AU11</f>
        <v>97.655042988145951</v>
      </c>
      <c r="J15" s="368">
        <f>[23]Brewhouse!$AV11</f>
        <v>99.863657300783032</v>
      </c>
      <c r="K15" s="281">
        <f>[23]Brewhouse!$R11</f>
        <v>1.0086956521739101</v>
      </c>
      <c r="L15" s="276">
        <f>[23]Brewhouse!$O11</f>
        <v>58</v>
      </c>
      <c r="M15" s="397">
        <f>[23]Brewhouse!$U11-[23]Brewhouse!$T11</f>
        <v>0.13263888888888886</v>
      </c>
      <c r="N15" s="370">
        <f>[23]Brewhouse!$Z11</f>
        <v>0.29652777777777772</v>
      </c>
      <c r="O15" s="371" t="str">
        <f>[23]Brewhouse!$AW11</f>
        <v>R. Regis</v>
      </c>
      <c r="P15" s="375"/>
      <c r="Q15" s="347"/>
      <c r="S15" s="277" t="str">
        <f t="shared" si="0"/>
        <v>GUINNESS</v>
      </c>
      <c r="T15" s="296">
        <f t="shared" si="1"/>
        <v>17</v>
      </c>
      <c r="U15" s="296">
        <f t="shared" si="2"/>
        <v>17.5</v>
      </c>
      <c r="V15" s="297">
        <f t="shared" si="3"/>
        <v>0</v>
      </c>
      <c r="W15" s="297">
        <f t="shared" si="4"/>
        <v>0.1076388888888889</v>
      </c>
      <c r="X15" s="297">
        <f t="shared" si="5"/>
        <v>0.24652777777777779</v>
      </c>
      <c r="Y15" s="297">
        <f t="shared" si="6"/>
        <v>0.28472222222222221</v>
      </c>
      <c r="Z15" s="297">
        <f t="shared" si="7"/>
        <v>0</v>
      </c>
      <c r="AA15" s="296">
        <f t="shared" si="8"/>
        <v>60</v>
      </c>
    </row>
    <row r="16" spans="2:30" ht="14.4">
      <c r="B16" s="34" t="s">
        <v>12</v>
      </c>
      <c r="C16" s="366" t="str">
        <f>[23]Brewhouse!$A12</f>
        <v>GU008</v>
      </c>
      <c r="D16" s="279">
        <f>[23]Brewhouse!$AF12</f>
        <v>57.7</v>
      </c>
      <c r="E16" s="279">
        <f>[23]Brewhouse!$AI12</f>
        <v>52.7</v>
      </c>
      <c r="F16" s="278">
        <f>[23]Brewhouse!$V12</f>
        <v>81</v>
      </c>
      <c r="G16" s="279">
        <f>[23]Brewhouse!$AG12</f>
        <v>17.3</v>
      </c>
      <c r="H16" s="396">
        <v>17.100000000000001</v>
      </c>
      <c r="I16" s="368">
        <f>[23]Brewhouse!$AU12</f>
        <v>97.588179145211456</v>
      </c>
      <c r="J16" s="368">
        <f>[23]Brewhouse!$AV12</f>
        <v>99.795281232406978</v>
      </c>
      <c r="K16" s="281">
        <f>[23]Brewhouse!$R12</f>
        <v>-1.5944540727902974</v>
      </c>
      <c r="L16" s="276">
        <f>[23]Brewhouse!$O12</f>
        <v>58</v>
      </c>
      <c r="M16" s="397">
        <f>[23]Brewhouse!$U12-[23]Brewhouse!$T12</f>
        <v>0.14375000000000004</v>
      </c>
      <c r="N16" s="370">
        <f>[23]Brewhouse!$Z12</f>
        <v>0.31736111111111109</v>
      </c>
      <c r="O16" s="371" t="str">
        <f>[23]Brewhouse!$AW12</f>
        <v>R.Sookram</v>
      </c>
      <c r="P16" s="375"/>
      <c r="Q16" s="347"/>
      <c r="S16" s="277" t="str">
        <f t="shared" si="0"/>
        <v>GUINNESS</v>
      </c>
      <c r="T16" s="296">
        <f t="shared" si="1"/>
        <v>17</v>
      </c>
      <c r="U16" s="296">
        <f t="shared" si="2"/>
        <v>17.5</v>
      </c>
      <c r="V16" s="297">
        <f t="shared" si="3"/>
        <v>0</v>
      </c>
      <c r="W16" s="297">
        <f t="shared" si="4"/>
        <v>0.1076388888888889</v>
      </c>
      <c r="X16" s="297">
        <f t="shared" si="5"/>
        <v>0.24652777777777779</v>
      </c>
      <c r="Y16" s="297">
        <f t="shared" si="6"/>
        <v>0.28472222222222221</v>
      </c>
      <c r="Z16" s="297">
        <f t="shared" si="7"/>
        <v>0</v>
      </c>
      <c r="AA16" s="296">
        <f t="shared" si="8"/>
        <v>60</v>
      </c>
    </row>
    <row r="17" spans="2:27" ht="14.4">
      <c r="B17" s="34" t="s">
        <v>12</v>
      </c>
      <c r="C17" s="366" t="str">
        <f>[23]Brewhouse!$A13</f>
        <v>GU009</v>
      </c>
      <c r="D17" s="279">
        <f>[23]Brewhouse!$AF13</f>
        <v>57.3</v>
      </c>
      <c r="E17" s="279">
        <f>[23]Brewhouse!$AI13</f>
        <v>52.5</v>
      </c>
      <c r="F17" s="278">
        <f>[23]Brewhouse!$V13</f>
        <v>82</v>
      </c>
      <c r="G17" s="279">
        <f>[23]Brewhouse!$AG13</f>
        <v>17.399999999999999</v>
      </c>
      <c r="H17" s="396">
        <v>17.100000000000001</v>
      </c>
      <c r="I17" s="368">
        <f>[23]Brewhouse!$AU13</f>
        <v>95.48497302787608</v>
      </c>
      <c r="J17" s="368">
        <f>[23]Brewhouse!$AV13</f>
        <v>97.590271188133642</v>
      </c>
      <c r="K17" s="281">
        <f>[23]Brewhouse!$R13</f>
        <v>-3.5523978685618345E-2</v>
      </c>
      <c r="L17" s="276">
        <f>[23]Brewhouse!$O13</f>
        <v>55</v>
      </c>
      <c r="M17" s="397">
        <f>[23]Brewhouse!$U13-[23]Brewhouse!$T13</f>
        <v>0.12361111111111112</v>
      </c>
      <c r="N17" s="370">
        <f>[23]Brewhouse!$Z13</f>
        <v>0.29305555555555562</v>
      </c>
      <c r="O17" s="371" t="str">
        <f>[23]Brewhouse!$AW13</f>
        <v>R.Sookram</v>
      </c>
      <c r="P17" s="375"/>
      <c r="Q17" s="347"/>
      <c r="S17" s="277" t="str">
        <f t="shared" si="0"/>
        <v>GUINNESS</v>
      </c>
      <c r="T17" s="296">
        <f t="shared" si="1"/>
        <v>17</v>
      </c>
      <c r="U17" s="296">
        <f t="shared" si="2"/>
        <v>17.5</v>
      </c>
      <c r="V17" s="297">
        <f t="shared" si="3"/>
        <v>0</v>
      </c>
      <c r="W17" s="297">
        <f t="shared" si="4"/>
        <v>0.1076388888888889</v>
      </c>
      <c r="X17" s="297">
        <f t="shared" si="5"/>
        <v>0.24652777777777779</v>
      </c>
      <c r="Y17" s="297">
        <f t="shared" si="6"/>
        <v>0.28472222222222221</v>
      </c>
      <c r="Z17" s="297">
        <f t="shared" si="7"/>
        <v>0</v>
      </c>
      <c r="AA17" s="296">
        <f t="shared" si="8"/>
        <v>60</v>
      </c>
    </row>
    <row r="18" spans="2:27" ht="14.4">
      <c r="B18" s="34" t="s">
        <v>12</v>
      </c>
      <c r="C18" s="366" t="str">
        <f>[23]Brewhouse!$A14</f>
        <v>GU010</v>
      </c>
      <c r="D18" s="279">
        <f>[23]Brewhouse!$AF14</f>
        <v>57.3</v>
      </c>
      <c r="E18" s="279">
        <f>[23]Brewhouse!$AI14</f>
        <v>52.5</v>
      </c>
      <c r="F18" s="278">
        <f>[23]Brewhouse!$V14</f>
        <v>85</v>
      </c>
      <c r="G18" s="279">
        <f>[23]Brewhouse!$AG14</f>
        <v>17.100000000000001</v>
      </c>
      <c r="H18" s="396">
        <v>17.100000000000001</v>
      </c>
      <c r="I18" s="368">
        <f>[23]Brewhouse!$AU14</f>
        <v>96.085762312216758</v>
      </c>
      <c r="J18" s="368">
        <f>[23]Brewhouse!$AV14</f>
        <v>98.258508976361824</v>
      </c>
      <c r="K18" s="281">
        <f>[23]Brewhouse!$R14</f>
        <v>-3.5587188612092563E-2</v>
      </c>
      <c r="L18" s="276">
        <f>[23]Brewhouse!$O14</f>
        <v>56</v>
      </c>
      <c r="M18" s="397">
        <f>[23]Brewhouse!$U14-[23]Brewhouse!$T14</f>
        <v>0.14652777777777781</v>
      </c>
      <c r="N18" s="370">
        <f>[23]Brewhouse!$Z14</f>
        <v>0.3354166666666667</v>
      </c>
      <c r="O18" s="371" t="str">
        <f>[23]Brewhouse!$AW14</f>
        <v>R.Sookram</v>
      </c>
      <c r="P18" s="369"/>
      <c r="Q18" s="347"/>
      <c r="S18" s="277" t="str">
        <f t="shared" si="0"/>
        <v>GUINNESS</v>
      </c>
      <c r="T18" s="296">
        <f t="shared" si="1"/>
        <v>17</v>
      </c>
      <c r="U18" s="296">
        <f t="shared" si="2"/>
        <v>17.5</v>
      </c>
      <c r="V18" s="297">
        <f t="shared" si="3"/>
        <v>0</v>
      </c>
      <c r="W18" s="297">
        <f t="shared" si="4"/>
        <v>0.1076388888888889</v>
      </c>
      <c r="X18" s="297">
        <f t="shared" si="5"/>
        <v>0.24652777777777779</v>
      </c>
      <c r="Y18" s="297">
        <f t="shared" si="6"/>
        <v>0.28472222222222221</v>
      </c>
      <c r="Z18" s="297">
        <f t="shared" si="7"/>
        <v>0</v>
      </c>
      <c r="AA18" s="296">
        <f t="shared" si="8"/>
        <v>60</v>
      </c>
    </row>
    <row r="19" spans="2:27" ht="14.4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4.4" hidden="1">
      <c r="B20" s="22"/>
      <c r="C20" s="366"/>
      <c r="D20" s="279"/>
      <c r="E20" s="279"/>
      <c r="F20" s="278"/>
      <c r="G20" s="279"/>
      <c r="H20" s="403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4.4" hidden="1">
      <c r="B21" s="22"/>
      <c r="C21" s="366"/>
      <c r="D21" s="279"/>
      <c r="E21" s="279"/>
      <c r="F21" s="278"/>
      <c r="G21" s="279"/>
      <c r="H21" s="403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3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3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4.4" hidden="1">
      <c r="B24" s="22"/>
      <c r="C24" s="366"/>
      <c r="D24" s="279"/>
      <c r="E24" s="279"/>
      <c r="F24" s="278"/>
      <c r="G24" s="279"/>
      <c r="H24" s="403"/>
      <c r="I24" s="368"/>
      <c r="J24" s="368"/>
      <c r="K24" s="281"/>
      <c r="L24" s="276"/>
      <c r="M24" s="374"/>
      <c r="N24" s="370"/>
      <c r="O24" s="371"/>
      <c r="P24" s="369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4.4" hidden="1">
      <c r="B25" s="22"/>
      <c r="C25" s="366"/>
      <c r="D25" s="279"/>
      <c r="E25" s="279"/>
      <c r="F25" s="278"/>
      <c r="G25" s="279"/>
      <c r="H25" s="403"/>
      <c r="I25" s="368"/>
      <c r="J25" s="368"/>
      <c r="K25" s="281"/>
      <c r="L25" s="276"/>
      <c r="M25" s="374"/>
      <c r="N25" s="370"/>
      <c r="O25" s="371"/>
      <c r="P25" s="369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4.4" hidden="1">
      <c r="B26" s="22"/>
      <c r="C26" s="366"/>
      <c r="D26" s="279"/>
      <c r="E26" s="279"/>
      <c r="F26" s="278"/>
      <c r="G26" s="279"/>
      <c r="H26" s="403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22"/>
      <c r="C27" s="366"/>
      <c r="D27" s="279"/>
      <c r="E27" s="279"/>
      <c r="F27" s="278"/>
      <c r="G27" s="279"/>
      <c r="H27" s="403"/>
      <c r="I27" s="368"/>
      <c r="J27" s="368"/>
      <c r="K27" s="281"/>
      <c r="L27" s="276"/>
      <c r="M27" s="374"/>
      <c r="N27" s="370"/>
      <c r="O27" s="371"/>
      <c r="P27" s="375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4"/>
      <c r="C28" s="366"/>
      <c r="D28" s="279"/>
      <c r="E28" s="279"/>
      <c r="F28" s="278"/>
      <c r="G28" s="279"/>
      <c r="H28" s="396"/>
      <c r="I28" s="368"/>
      <c r="J28" s="368"/>
      <c r="K28" s="398"/>
      <c r="L28" s="276"/>
      <c r="M28" s="399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4"/>
      <c r="C29" s="366"/>
      <c r="D29" s="279"/>
      <c r="E29" s="279"/>
      <c r="F29" s="278"/>
      <c r="G29" s="279"/>
      <c r="H29" s="396"/>
      <c r="I29" s="368"/>
      <c r="J29" s="368"/>
      <c r="K29" s="398"/>
      <c r="L29" s="276"/>
      <c r="M29" s="399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4"/>
      <c r="C30" s="366"/>
      <c r="D30" s="279"/>
      <c r="E30" s="279"/>
      <c r="F30" s="278"/>
      <c r="G30" s="279"/>
      <c r="H30" s="396"/>
      <c r="I30" s="368"/>
      <c r="J30" s="368"/>
      <c r="K30" s="398"/>
      <c r="L30" s="276"/>
      <c r="M30" s="399"/>
      <c r="N30" s="370"/>
      <c r="O30" s="371"/>
      <c r="P30" s="375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.75" hidden="1" customHeight="1">
      <c r="B31" s="34"/>
      <c r="C31" s="366"/>
      <c r="D31" s="279"/>
      <c r="E31" s="279"/>
      <c r="F31" s="278"/>
      <c r="G31" s="279"/>
      <c r="H31" s="396"/>
      <c r="I31" s="368"/>
      <c r="J31" s="368"/>
      <c r="K31" s="398"/>
      <c r="L31" s="276"/>
      <c r="M31" s="399"/>
      <c r="N31" s="370"/>
      <c r="O31" s="371"/>
      <c r="P31" s="375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375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375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375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375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375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74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.75" hidden="1" customHeight="1">
      <c r="B39" s="33"/>
      <c r="C39" s="366"/>
      <c r="D39" s="279"/>
      <c r="E39" s="279"/>
      <c r="F39" s="278"/>
      <c r="G39" s="279"/>
      <c r="H39" s="396"/>
      <c r="I39" s="417"/>
      <c r="J39" s="417"/>
      <c r="K39" s="398"/>
      <c r="L39" s="276"/>
      <c r="M39" s="374"/>
      <c r="N39" s="370"/>
      <c r="O39" s="418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.75" hidden="1" customHeight="1">
      <c r="B40" s="33"/>
      <c r="C40" s="366"/>
      <c r="D40" s="279"/>
      <c r="E40" s="279"/>
      <c r="F40" s="278"/>
      <c r="G40" s="279"/>
      <c r="H40" s="396"/>
      <c r="I40" s="417"/>
      <c r="J40" s="417"/>
      <c r="K40" s="398"/>
      <c r="L40" s="276"/>
      <c r="M40" s="374"/>
      <c r="N40" s="370"/>
      <c r="O40" s="418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7"/>
      <c r="J41" s="417"/>
      <c r="K41" s="398"/>
      <c r="L41" s="276"/>
      <c r="M41" s="374"/>
      <c r="N41" s="370"/>
      <c r="O41" s="418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7"/>
      <c r="J42" s="417"/>
      <c r="K42" s="398"/>
      <c r="L42" s="276"/>
      <c r="M42" s="374"/>
      <c r="N42" s="370"/>
      <c r="O42" s="418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.75" hidden="1" customHeight="1">
      <c r="B43" s="33"/>
      <c r="C43" s="366"/>
      <c r="D43" s="279"/>
      <c r="E43" s="279"/>
      <c r="F43" s="278"/>
      <c r="G43" s="279"/>
      <c r="H43" s="396"/>
      <c r="I43" s="417"/>
      <c r="J43" s="417"/>
      <c r="K43" s="398"/>
      <c r="L43" s="276"/>
      <c r="M43" s="374"/>
      <c r="N43" s="370"/>
      <c r="O43" s="418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.75" hidden="1" customHeight="1">
      <c r="B44" s="33"/>
      <c r="C44" s="366"/>
      <c r="D44" s="279"/>
      <c r="E44" s="279"/>
      <c r="F44" s="278"/>
      <c r="G44" s="279"/>
      <c r="H44" s="396"/>
      <c r="I44" s="417"/>
      <c r="J44" s="417"/>
      <c r="K44" s="398"/>
      <c r="L44" s="276"/>
      <c r="M44" s="374"/>
      <c r="N44" s="370"/>
      <c r="O44" s="418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.75" hidden="1" customHeight="1">
      <c r="B45" s="33"/>
      <c r="C45" s="366"/>
      <c r="D45" s="279"/>
      <c r="E45" s="279"/>
      <c r="F45" s="278"/>
      <c r="G45" s="279"/>
      <c r="H45" s="396"/>
      <c r="I45" s="417"/>
      <c r="J45" s="417"/>
      <c r="K45" s="398"/>
      <c r="L45" s="276"/>
      <c r="M45" s="374"/>
      <c r="N45" s="370"/>
      <c r="O45" s="418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.75" hidden="1" customHeight="1">
      <c r="B46" s="33"/>
      <c r="C46" s="366"/>
      <c r="D46" s="279"/>
      <c r="E46" s="279"/>
      <c r="F46" s="278"/>
      <c r="G46" s="279"/>
      <c r="H46" s="396"/>
      <c r="I46" s="417"/>
      <c r="J46" s="417"/>
      <c r="K46" s="398"/>
      <c r="L46" s="276"/>
      <c r="M46" s="374"/>
      <c r="N46" s="370"/>
      <c r="O46" s="418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276"/>
      <c r="M47" s="397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hidden="1" customHeight="1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276"/>
      <c r="M48" s="397"/>
      <c r="N48" s="370"/>
      <c r="O48" s="371"/>
      <c r="P48" s="369"/>
      <c r="Q48" s="347"/>
      <c r="S48" s="277">
        <f t="shared" si="0"/>
        <v>0</v>
      </c>
      <c r="T48" s="296" t="e">
        <f t="shared" si="1"/>
        <v>#N/A</v>
      </c>
      <c r="U48" s="296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7" t="e">
        <f t="shared" si="7"/>
        <v>#N/A</v>
      </c>
      <c r="AA48" s="296" t="e">
        <f t="shared" si="8"/>
        <v>#N/A</v>
      </c>
    </row>
    <row r="49" spans="1:27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276"/>
      <c r="M49" s="397"/>
      <c r="N49" s="370"/>
      <c r="O49" s="371"/>
      <c r="P49" s="369"/>
      <c r="Q49" s="347"/>
      <c r="S49" s="277">
        <f t="shared" si="0"/>
        <v>0</v>
      </c>
      <c r="T49" s="296" t="e">
        <f t="shared" si="1"/>
        <v>#N/A</v>
      </c>
      <c r="U49" s="296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7" t="e">
        <f t="shared" si="7"/>
        <v>#N/A</v>
      </c>
      <c r="AA49" s="296" t="e">
        <f t="shared" si="8"/>
        <v>#N/A</v>
      </c>
    </row>
    <row r="50" spans="1:27" ht="15.75" hidden="1" customHeight="1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276"/>
      <c r="M50" s="397"/>
      <c r="N50" s="370"/>
      <c r="O50" s="371"/>
      <c r="P50" s="369"/>
      <c r="Q50" s="347"/>
      <c r="S50" s="277">
        <f t="shared" si="0"/>
        <v>0</v>
      </c>
      <c r="T50" s="296" t="e">
        <f t="shared" si="1"/>
        <v>#N/A</v>
      </c>
      <c r="U50" s="296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7" t="e">
        <f t="shared" si="7"/>
        <v>#N/A</v>
      </c>
      <c r="AA50" s="296" t="e">
        <f t="shared" si="8"/>
        <v>#N/A</v>
      </c>
    </row>
    <row r="51" spans="1:27" ht="15.75" hidden="1" customHeight="1">
      <c r="B51" s="29"/>
      <c r="C51" s="366"/>
      <c r="D51" s="279"/>
      <c r="E51" s="279"/>
      <c r="F51" s="278"/>
      <c r="G51" s="279"/>
      <c r="H51" s="396"/>
      <c r="I51" s="368"/>
      <c r="J51" s="368"/>
      <c r="K51" s="281"/>
      <c r="L51" s="276"/>
      <c r="M51" s="397"/>
      <c r="N51" s="370"/>
      <c r="O51" s="371"/>
      <c r="P51" s="369"/>
      <c r="Q51" s="347"/>
      <c r="S51" s="277">
        <f t="shared" si="0"/>
        <v>0</v>
      </c>
      <c r="T51" s="296" t="e">
        <f t="shared" si="1"/>
        <v>#N/A</v>
      </c>
      <c r="U51" s="296" t="e">
        <f t="shared" si="2"/>
        <v>#N/A</v>
      </c>
      <c r="V51" s="297" t="e">
        <f t="shared" si="3"/>
        <v>#N/A</v>
      </c>
      <c r="W51" s="297" t="e">
        <f t="shared" si="4"/>
        <v>#N/A</v>
      </c>
      <c r="X51" s="297" t="e">
        <f t="shared" si="5"/>
        <v>#N/A</v>
      </c>
      <c r="Y51" s="297" t="e">
        <f t="shared" si="6"/>
        <v>#N/A</v>
      </c>
      <c r="Z51" s="297" t="e">
        <f t="shared" si="7"/>
        <v>#N/A</v>
      </c>
      <c r="AA51" s="296" t="e">
        <f t="shared" si="8"/>
        <v>#N/A</v>
      </c>
    </row>
    <row r="52" spans="1:27" ht="14.4" hidden="1">
      <c r="B52" s="29"/>
      <c r="C52" s="366"/>
      <c r="D52" s="279"/>
      <c r="E52" s="279"/>
      <c r="F52" s="278"/>
      <c r="G52" s="279"/>
      <c r="H52" s="396"/>
      <c r="I52" s="368"/>
      <c r="J52" s="368"/>
      <c r="K52" s="281"/>
      <c r="L52" s="276"/>
      <c r="M52" s="374"/>
      <c r="N52" s="370"/>
      <c r="O52" s="371"/>
      <c r="P52" s="369"/>
      <c r="Q52" s="347"/>
      <c r="S52" s="277">
        <f t="shared" si="0"/>
        <v>0</v>
      </c>
      <c r="T52" s="296" t="e">
        <f t="shared" si="1"/>
        <v>#N/A</v>
      </c>
      <c r="U52" s="296" t="e">
        <f t="shared" si="2"/>
        <v>#N/A</v>
      </c>
      <c r="V52" s="297" t="e">
        <f t="shared" si="3"/>
        <v>#N/A</v>
      </c>
      <c r="W52" s="297" t="e">
        <f t="shared" si="4"/>
        <v>#N/A</v>
      </c>
      <c r="X52" s="297" t="e">
        <f t="shared" si="5"/>
        <v>#N/A</v>
      </c>
      <c r="Y52" s="297" t="e">
        <f t="shared" si="6"/>
        <v>#N/A</v>
      </c>
      <c r="Z52" s="297" t="e">
        <f t="shared" si="7"/>
        <v>#N/A</v>
      </c>
      <c r="AA52" s="296" t="e">
        <f t="shared" si="8"/>
        <v>#N/A</v>
      </c>
    </row>
    <row r="53" spans="1:27" ht="15.75" customHeight="1" thickBot="1">
      <c r="B53" s="358"/>
      <c r="C53" s="358"/>
      <c r="D53" s="358"/>
      <c r="E53" s="358"/>
      <c r="F53" s="294"/>
      <c r="G53" s="294"/>
      <c r="H53" s="348"/>
      <c r="I53" s="500" t="s">
        <v>34</v>
      </c>
      <c r="J53" s="500"/>
      <c r="K53" s="500"/>
      <c r="L53" s="500"/>
      <c r="M53" s="500"/>
      <c r="N53" s="500"/>
      <c r="O53" s="1"/>
      <c r="P53" s="12"/>
      <c r="S53" s="277"/>
      <c r="T53" s="296"/>
      <c r="U53" s="296"/>
      <c r="V53" s="297"/>
      <c r="W53" s="297"/>
      <c r="X53" s="297"/>
      <c r="Y53" s="297"/>
      <c r="Z53" s="297"/>
      <c r="AA53" s="296"/>
    </row>
    <row r="54" spans="1:27" ht="15" thickBot="1">
      <c r="B54" s="388" t="s">
        <v>145</v>
      </c>
      <c r="C54" s="388"/>
      <c r="D54" s="478" t="s">
        <v>35</v>
      </c>
      <c r="E54" s="479"/>
      <c r="F54" s="294"/>
      <c r="G54" s="294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4"/>
      <c r="P54" s="12"/>
      <c r="S54" s="277"/>
      <c r="T54" s="296"/>
      <c r="U54" s="296"/>
      <c r="V54" s="297"/>
      <c r="W54" s="297"/>
      <c r="X54" s="297"/>
      <c r="Y54" s="297"/>
      <c r="Z54" s="297"/>
      <c r="AA54" s="296"/>
    </row>
    <row r="55" spans="1:27" ht="15" customHeight="1">
      <c r="A55" s="28"/>
      <c r="B55" s="548" t="s">
        <v>6</v>
      </c>
      <c r="C55" s="362" cm="1">
        <f t="array" ref="C55:C62">[22]Process!$D$119:$D$126</f>
        <v>11.58</v>
      </c>
      <c r="D55" s="504">
        <v>11.7</v>
      </c>
      <c r="E55" s="505"/>
      <c r="F55" s="294"/>
      <c r="G55" s="294"/>
      <c r="H55" s="294"/>
      <c r="I55" s="29" t="s">
        <v>6</v>
      </c>
      <c r="J55" s="323">
        <f>AVERAGE(I10:I11)</f>
        <v>92.982892146265641</v>
      </c>
      <c r="K55" s="284">
        <f>COUNTA([22]Brewhouse!$A$173:$A$174)</f>
        <v>2</v>
      </c>
      <c r="L55" s="302">
        <f>AVERAGE([22]Brewhouse!$AU$173:$AU$174)</f>
        <v>92.982892146265641</v>
      </c>
      <c r="M55" s="302">
        <f>AVERAGE([22]Brewhouse!$AU$102:$AU$171,[22]Brewhouse!$AU$173:$AU$174)</f>
        <v>94.531789834323291</v>
      </c>
      <c r="N55" s="30">
        <v>98</v>
      </c>
      <c r="O55" s="11"/>
      <c r="P55" s="31"/>
      <c r="S55" s="277"/>
      <c r="T55" s="296"/>
      <c r="U55" s="296"/>
      <c r="V55" s="297"/>
      <c r="W55" s="297"/>
      <c r="X55" s="297"/>
      <c r="Y55" s="297"/>
      <c r="Z55" s="297"/>
      <c r="AA55" s="296"/>
    </row>
    <row r="56" spans="1:27" ht="15" customHeight="1">
      <c r="A56" s="28"/>
      <c r="B56" s="549"/>
      <c r="C56" s="349">
        <v>11.81</v>
      </c>
      <c r="D56" s="506"/>
      <c r="E56" s="507"/>
      <c r="F56" s="294"/>
      <c r="G56" s="294"/>
      <c r="H56" s="32"/>
      <c r="I56" s="33" t="s">
        <v>9</v>
      </c>
      <c r="J56" s="323"/>
      <c r="K56" s="284"/>
      <c r="L56" s="302"/>
      <c r="M56" s="302">
        <f>AVERAGE([24]Brewhouse!$AS$15:$AS$64)</f>
        <v>96.07733212061747</v>
      </c>
      <c r="N56" s="30">
        <v>98</v>
      </c>
      <c r="O56" s="11"/>
      <c r="P56" s="31"/>
      <c r="S56" s="277"/>
      <c r="T56" s="296"/>
      <c r="U56" s="296"/>
      <c r="V56" s="297"/>
      <c r="W56" s="297"/>
      <c r="X56" s="297"/>
      <c r="Y56" s="297"/>
      <c r="Z56" s="297"/>
      <c r="AA56" s="296"/>
    </row>
    <row r="57" spans="1:27" ht="14.7" customHeight="1">
      <c r="A57" s="28"/>
      <c r="B57" s="549"/>
      <c r="C57" s="349">
        <v>11.83</v>
      </c>
      <c r="D57" s="504">
        <v>11.7</v>
      </c>
      <c r="E57" s="505"/>
      <c r="F57" s="294"/>
      <c r="G57" s="294"/>
      <c r="H57" s="32"/>
      <c r="I57" s="34" t="s">
        <v>12</v>
      </c>
      <c r="J57" s="280">
        <f>AVERAGE(I13:I18)</f>
        <v>96.577361087083986</v>
      </c>
      <c r="K57" s="284">
        <f>COUNTA([23]Brewhouse!$A$9:$A$14)</f>
        <v>6</v>
      </c>
      <c r="L57" s="302">
        <f>AVERAGE([23]Brewhouse!$AU$9:$AU$14)</f>
        <v>96.577361087083986</v>
      </c>
      <c r="M57" s="302">
        <f>AVERAGE([23]Brewhouse!$AU$4:$AU$7,[23]Brewhouse!$AU$9:$AU$14)</f>
        <v>96.787191796473266</v>
      </c>
      <c r="N57" s="30">
        <v>98</v>
      </c>
      <c r="O57" s="11"/>
      <c r="P57" s="31"/>
      <c r="S57" s="23"/>
      <c r="T57" s="1"/>
      <c r="U57" s="1"/>
      <c r="AA57" s="285"/>
    </row>
    <row r="58" spans="1:27" ht="14.7" customHeight="1">
      <c r="A58" s="28"/>
      <c r="B58" s="549"/>
      <c r="C58" s="349">
        <v>11.8</v>
      </c>
      <c r="D58" s="506"/>
      <c r="E58" s="507"/>
      <c r="F58" s="294"/>
      <c r="G58" s="294"/>
      <c r="H58" s="32"/>
      <c r="I58" s="22" t="s">
        <v>33</v>
      </c>
      <c r="J58" s="280"/>
      <c r="K58" s="284"/>
      <c r="L58" s="302"/>
      <c r="M58" s="302">
        <f>AVERAGE([25]Brewhouse!$AV$5:$AV$14)</f>
        <v>97.717673301363135</v>
      </c>
      <c r="N58" s="30">
        <v>98</v>
      </c>
      <c r="O58" s="11"/>
      <c r="P58" s="31"/>
      <c r="S58" s="23"/>
      <c r="T58" s="1"/>
      <c r="U58" s="1"/>
      <c r="AA58" s="285"/>
    </row>
    <row r="59" spans="1:27" ht="14.7" customHeight="1">
      <c r="A59" s="28"/>
      <c r="B59" s="549"/>
      <c r="C59" s="349">
        <v>11.8</v>
      </c>
      <c r="D59" s="504">
        <v>11.8</v>
      </c>
      <c r="E59" s="505"/>
      <c r="F59" s="294"/>
      <c r="G59" s="294"/>
      <c r="H59" s="32"/>
      <c r="I59" s="35" t="s">
        <v>29</v>
      </c>
      <c r="J59" s="280"/>
      <c r="K59" s="284"/>
      <c r="L59" s="302"/>
      <c r="M59" s="302"/>
      <c r="N59" s="30">
        <v>98</v>
      </c>
      <c r="O59" s="11"/>
      <c r="P59" s="31"/>
      <c r="S59" s="23"/>
    </row>
    <row r="60" spans="1:27" ht="14.7" customHeight="1">
      <c r="A60" s="28"/>
      <c r="B60" s="549"/>
      <c r="C60" s="349">
        <v>11.9</v>
      </c>
      <c r="D60" s="506"/>
      <c r="E60" s="507"/>
      <c r="F60" s="294"/>
      <c r="G60" s="294"/>
      <c r="H60" s="32"/>
      <c r="I60" s="36" t="s">
        <v>15</v>
      </c>
      <c r="J60" s="323"/>
      <c r="K60" s="284"/>
      <c r="L60" s="302"/>
      <c r="M60" s="302">
        <f>AVERAGE([26]Brewhouse!$AT$4:$AT$11)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549"/>
      <c r="C61" s="349">
        <v>11.7</v>
      </c>
      <c r="D61" s="504">
        <v>11.8</v>
      </c>
      <c r="E61" s="505"/>
      <c r="F61" s="294"/>
      <c r="G61" s="294"/>
      <c r="H61" s="32"/>
      <c r="I61" s="37" t="s">
        <v>16</v>
      </c>
      <c r="J61" s="323"/>
      <c r="K61" s="284"/>
      <c r="L61" s="302"/>
      <c r="M61" s="302">
        <f>AVERAGE([27]Brewhouse!$AY$6:$AY$13)</f>
        <v>93.094805585685208</v>
      </c>
      <c r="N61" s="30">
        <v>98</v>
      </c>
      <c r="O61" s="11"/>
      <c r="P61" s="31" t="s">
        <v>41</v>
      </c>
      <c r="S61" s="23"/>
      <c r="X61" s="275" t="s">
        <v>41</v>
      </c>
    </row>
    <row r="62" spans="1:27" ht="14.7" customHeight="1">
      <c r="A62" s="28"/>
      <c r="B62" s="549"/>
      <c r="C62" s="349">
        <v>11.8</v>
      </c>
      <c r="D62" s="506"/>
      <c r="E62" s="507"/>
      <c r="F62" s="294"/>
      <c r="G62" s="294"/>
      <c r="H62" s="32"/>
      <c r="I62" s="416" t="s">
        <v>158</v>
      </c>
      <c r="J62" s="326"/>
      <c r="K62" s="284"/>
      <c r="L62" s="305"/>
      <c r="M62" s="305">
        <f>AVERAGE([28]Brewhouse!$AU$5:$AU$8)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549"/>
      <c r="C63" s="349"/>
      <c r="D63" s="504"/>
      <c r="E63" s="505"/>
      <c r="F63" s="294"/>
      <c r="G63" s="294"/>
      <c r="H63" s="32"/>
      <c r="I63" s="415" t="s">
        <v>157</v>
      </c>
      <c r="J63" s="326"/>
      <c r="K63" s="284"/>
      <c r="L63" s="305"/>
      <c r="M63" s="305"/>
      <c r="N63" s="30"/>
      <c r="O63" s="11"/>
      <c r="P63" s="31"/>
      <c r="S63" s="23"/>
    </row>
    <row r="64" spans="1:27" ht="15" customHeight="1" thickBot="1">
      <c r="A64" s="28"/>
      <c r="B64" s="549"/>
      <c r="C64" s="349"/>
      <c r="D64" s="506"/>
      <c r="E64" s="507"/>
      <c r="F64" s="294"/>
      <c r="G64" s="294"/>
      <c r="H64" s="32"/>
      <c r="I64" s="411" t="s">
        <v>156</v>
      </c>
      <c r="J64" s="327"/>
      <c r="K64" s="412"/>
      <c r="L64" s="413"/>
      <c r="M64" s="413"/>
      <c r="N64" s="414">
        <v>98</v>
      </c>
      <c r="O64" s="11"/>
      <c r="P64" s="31"/>
      <c r="S64" s="23"/>
    </row>
    <row r="65" spans="1:57" ht="15" customHeight="1" thickBot="1">
      <c r="A65" s="28"/>
      <c r="B65" s="549"/>
      <c r="C65" s="349"/>
      <c r="D65" s="504"/>
      <c r="E65" s="505"/>
      <c r="F65" s="294"/>
      <c r="G65" s="294"/>
      <c r="H65" s="32"/>
      <c r="I65" s="1"/>
      <c r="J65" s="39"/>
      <c r="K65" s="409">
        <f>SUM(K55:K64)</f>
        <v>8</v>
      </c>
      <c r="L65" s="410">
        <f>((L55*K55)+(L56*K56)+(L57*K57)+(L58*K58)+(L59*K59)+(K62*L62)+(L60*K60)+(L61*K61)+(L64*K64))/(K65)</f>
        <v>95.678743851879403</v>
      </c>
      <c r="M65" s="410">
        <f>L65</f>
        <v>95.678743851879403</v>
      </c>
      <c r="N65" s="40">
        <v>98</v>
      </c>
      <c r="O65" s="11"/>
      <c r="P65" s="31"/>
      <c r="S65" s="23"/>
    </row>
    <row r="66" spans="1:57" ht="15" thickBot="1">
      <c r="B66" s="550"/>
      <c r="C66" s="350"/>
      <c r="D66" s="506"/>
      <c r="E66" s="507"/>
      <c r="F66" s="294"/>
      <c r="G66" s="42"/>
      <c r="H66" s="41"/>
      <c r="I66" s="42"/>
      <c r="J66" s="42"/>
      <c r="K66" s="351"/>
      <c r="L66" s="348"/>
      <c r="M66" s="348"/>
      <c r="N66" s="11"/>
      <c r="O66" s="294"/>
      <c r="P66" s="12"/>
      <c r="S66" s="23"/>
    </row>
    <row r="67" spans="1:57" ht="15" thickBot="1">
      <c r="B67" s="551" t="s">
        <v>9</v>
      </c>
      <c r="C67" s="362" cm="1">
        <f t="array" ref="C67:C74">[24]Process!$D$29:$D$36</f>
        <v>11.9</v>
      </c>
      <c r="D67" s="517">
        <v>11.8</v>
      </c>
      <c r="E67" s="518"/>
      <c r="F67" s="43"/>
      <c r="G67" s="41"/>
      <c r="H67" s="41"/>
      <c r="I67" s="42"/>
      <c r="J67" s="520" t="s">
        <v>129</v>
      </c>
      <c r="K67" s="520"/>
      <c r="L67" s="294"/>
      <c r="M67" s="294"/>
      <c r="N67" s="294"/>
      <c r="O67" s="294"/>
      <c r="P67" s="12"/>
      <c r="S67" s="23" t="s">
        <v>41</v>
      </c>
    </row>
    <row r="68" spans="1:57" ht="13.5" customHeight="1" thickBot="1">
      <c r="B68" s="552"/>
      <c r="C68" s="349">
        <v>11.9</v>
      </c>
      <c r="D68" s="519"/>
      <c r="E68" s="507"/>
      <c r="F68" s="43"/>
      <c r="G68" s="41"/>
      <c r="H68" s="41"/>
      <c r="I68" s="42"/>
      <c r="J68" s="419" t="s">
        <v>17</v>
      </c>
      <c r="K68" s="293" t="s">
        <v>147</v>
      </c>
      <c r="L68" s="521" t="s">
        <v>136</v>
      </c>
      <c r="M68" s="521"/>
      <c r="N68" s="522"/>
      <c r="O68" s="294"/>
      <c r="P68" s="12"/>
      <c r="S68" s="23"/>
    </row>
    <row r="69" spans="1:57" ht="15" customHeight="1" thickBot="1">
      <c r="B69" s="552"/>
      <c r="C69" s="349">
        <v>11.7</v>
      </c>
      <c r="D69" s="523">
        <v>11.9</v>
      </c>
      <c r="E69" s="505"/>
      <c r="F69" s="43"/>
      <c r="G69" s="41"/>
      <c r="H69" s="41"/>
      <c r="I69" s="42"/>
      <c r="J69" s="420" t="s">
        <v>6</v>
      </c>
      <c r="K69" s="324">
        <f>COUNTA(C10:C11)</f>
        <v>2</v>
      </c>
      <c r="L69" s="343" t="s">
        <v>37</v>
      </c>
      <c r="M69" s="307" t="s">
        <v>38</v>
      </c>
      <c r="N69" s="307" t="s">
        <v>84</v>
      </c>
      <c r="O69" s="294"/>
      <c r="P69" s="12"/>
      <c r="S69" s="23"/>
    </row>
    <row r="70" spans="1:57" ht="15.75" customHeight="1" thickBot="1">
      <c r="B70" s="552"/>
      <c r="C70" s="349">
        <v>11.9</v>
      </c>
      <c r="D70" s="519"/>
      <c r="E70" s="507"/>
      <c r="F70" s="43"/>
      <c r="G70" s="41"/>
      <c r="H70" s="41"/>
      <c r="I70" s="42"/>
      <c r="J70" s="421" t="s">
        <v>9</v>
      </c>
      <c r="K70" s="324"/>
      <c r="L70" s="344">
        <f>SUM(K69,K71)</f>
        <v>8</v>
      </c>
      <c r="M70" s="325">
        <f>AVERAGE('[29]Jan 29th '!$M$70,L70)</f>
        <v>7.25</v>
      </c>
      <c r="N70" s="401"/>
      <c r="O70" s="294"/>
      <c r="P70" s="12"/>
      <c r="S70" s="23"/>
    </row>
    <row r="71" spans="1:57" ht="15" customHeight="1">
      <c r="B71" s="552"/>
      <c r="C71" s="349">
        <v>11.8</v>
      </c>
      <c r="D71" s="523">
        <v>11.8</v>
      </c>
      <c r="E71" s="505"/>
      <c r="F71" s="43"/>
      <c r="G71" s="41"/>
      <c r="H71" s="41"/>
      <c r="I71" s="42"/>
      <c r="J71" s="422" t="s">
        <v>40</v>
      </c>
      <c r="K71" s="324">
        <f>COUNTA(C13:C18)</f>
        <v>6</v>
      </c>
      <c r="L71" s="294"/>
      <c r="M71" s="294"/>
      <c r="N71" s="294"/>
      <c r="O71" s="294"/>
      <c r="P71" s="12"/>
      <c r="S71" s="23"/>
    </row>
    <row r="72" spans="1:57" ht="15" customHeight="1">
      <c r="B72" s="552"/>
      <c r="C72" s="349">
        <v>11.7</v>
      </c>
      <c r="D72" s="519"/>
      <c r="E72" s="507"/>
      <c r="F72" s="43"/>
      <c r="G72" s="41"/>
      <c r="H72" s="41"/>
      <c r="I72" s="42"/>
      <c r="J72" s="423" t="s">
        <v>33</v>
      </c>
      <c r="K72" s="324"/>
      <c r="L72" s="294"/>
      <c r="M72" s="294"/>
      <c r="N72" s="294"/>
      <c r="O72" s="294"/>
      <c r="P72" s="12"/>
      <c r="S72" s="23"/>
    </row>
    <row r="73" spans="1:57" ht="14.4">
      <c r="B73" s="552"/>
      <c r="C73" s="349">
        <v>11.7</v>
      </c>
      <c r="D73" s="523">
        <v>11.9</v>
      </c>
      <c r="E73" s="505"/>
      <c r="F73" s="43"/>
      <c r="G73" s="41"/>
      <c r="H73" s="41"/>
      <c r="I73" s="42"/>
      <c r="J73" s="424" t="s">
        <v>16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1:57" ht="14.4">
      <c r="B74" s="552"/>
      <c r="C74" s="349">
        <v>11.7</v>
      </c>
      <c r="D74" s="519"/>
      <c r="E74" s="507"/>
      <c r="F74" s="43"/>
      <c r="G74" s="41"/>
      <c r="H74" s="41"/>
      <c r="I74" s="42"/>
      <c r="J74" s="425" t="s">
        <v>15</v>
      </c>
      <c r="K74" s="324"/>
      <c r="L74" s="294"/>
      <c r="M74" s="294"/>
      <c r="N74" s="294"/>
      <c r="O74" s="294"/>
      <c r="P74" s="12"/>
      <c r="S74" s="23"/>
      <c r="BD74" s="44"/>
      <c r="BE74" s="44"/>
    </row>
    <row r="75" spans="1:57" ht="14.4">
      <c r="B75" s="552"/>
      <c r="C75" s="349"/>
      <c r="D75" s="524"/>
      <c r="E75" s="509"/>
      <c r="F75" s="43"/>
      <c r="G75" s="41"/>
      <c r="H75" s="41"/>
      <c r="I75" s="42"/>
      <c r="J75" s="425" t="s">
        <v>149</v>
      </c>
      <c r="K75" s="324"/>
      <c r="L75" s="294"/>
      <c r="M75" s="294"/>
      <c r="N75" s="294"/>
      <c r="O75" s="294"/>
      <c r="P75" s="12"/>
      <c r="S75" s="23"/>
      <c r="BD75" s="44"/>
      <c r="BE75" s="44"/>
    </row>
    <row r="76" spans="1:57" ht="15" thickBot="1">
      <c r="B76" s="553"/>
      <c r="C76" s="350"/>
      <c r="D76" s="525"/>
      <c r="E76" s="526"/>
      <c r="F76" s="43"/>
      <c r="G76" s="41"/>
      <c r="H76" s="41"/>
      <c r="I76" s="42"/>
      <c r="J76" s="425" t="s">
        <v>148</v>
      </c>
      <c r="K76" s="324"/>
      <c r="L76" s="294"/>
      <c r="M76" s="294"/>
      <c r="N76" s="294"/>
      <c r="O76" s="294"/>
      <c r="P76" s="12"/>
      <c r="S76" s="23"/>
      <c r="BD76" s="44"/>
      <c r="BE76" s="44"/>
    </row>
    <row r="77" spans="1:57" ht="17.7" customHeight="1" thickBot="1">
      <c r="B77" s="312" t="s">
        <v>139</v>
      </c>
      <c r="C77" s="313"/>
      <c r="D77" s="527">
        <f>AVERAGE(D55:E76)</f>
        <v>11.8</v>
      </c>
      <c r="E77" s="528"/>
      <c r="F77" s="43"/>
      <c r="G77" s="41"/>
      <c r="H77" s="41"/>
      <c r="I77" s="42"/>
      <c r="J77" s="426" t="s">
        <v>134</v>
      </c>
      <c r="K77" s="324"/>
      <c r="L77" s="294"/>
      <c r="M77" s="294"/>
      <c r="N77" s="294"/>
      <c r="O77" s="294"/>
      <c r="P77" s="12"/>
      <c r="S77" s="23"/>
      <c r="BD77" s="44"/>
      <c r="BE77" s="44"/>
    </row>
    <row r="78" spans="1:57" ht="17.7" customHeight="1">
      <c r="B78" s="363"/>
      <c r="C78" s="364"/>
      <c r="D78" s="365"/>
      <c r="E78" s="365"/>
      <c r="F78" s="43"/>
      <c r="G78" s="41"/>
      <c r="H78" s="41"/>
      <c r="I78" s="42"/>
      <c r="J78" s="426" t="s">
        <v>131</v>
      </c>
      <c r="K78" s="324"/>
      <c r="L78" s="294"/>
      <c r="M78" s="294"/>
      <c r="N78" s="294"/>
      <c r="O78" s="294"/>
      <c r="P78" s="12"/>
      <c r="S78" s="23"/>
      <c r="BD78" s="44"/>
      <c r="BE78" s="44"/>
    </row>
    <row r="79" spans="1:57" ht="15.75" customHeight="1">
      <c r="B79" s="45"/>
      <c r="C79" s="11"/>
      <c r="D79" s="11"/>
      <c r="E79" s="46"/>
      <c r="F79" s="23"/>
      <c r="G79" s="11"/>
      <c r="H79" s="41"/>
      <c r="I79" s="42"/>
      <c r="J79" s="427" t="s">
        <v>130</v>
      </c>
      <c r="K79" s="324">
        <f>SUM(K69:K78)</f>
        <v>8</v>
      </c>
      <c r="L79" s="294"/>
      <c r="M79" s="294"/>
      <c r="N79" s="294"/>
      <c r="O79" s="294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4"/>
      <c r="P80" s="334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5" t="s">
        <v>41</v>
      </c>
    </row>
    <row r="82" spans="2:58" ht="15" customHeight="1" thickBot="1">
      <c r="B82" s="529" t="s">
        <v>17</v>
      </c>
      <c r="C82" s="529" t="s">
        <v>44</v>
      </c>
      <c r="D82" s="531" t="s">
        <v>45</v>
      </c>
      <c r="E82" s="486" t="s">
        <v>46</v>
      </c>
      <c r="F82" s="546" t="s">
        <v>47</v>
      </c>
      <c r="G82" s="540" t="s">
        <v>48</v>
      </c>
      <c r="H82" s="529" t="s">
        <v>49</v>
      </c>
      <c r="I82" s="529" t="s">
        <v>50</v>
      </c>
      <c r="J82" s="534" t="s">
        <v>28</v>
      </c>
      <c r="K82" s="484" t="s">
        <v>51</v>
      </c>
      <c r="L82" s="496" t="s">
        <v>52</v>
      </c>
      <c r="M82" s="534" t="s">
        <v>53</v>
      </c>
      <c r="N82" s="77"/>
      <c r="O82" s="13"/>
      <c r="P82" s="50"/>
    </row>
    <row r="83" spans="2:58" ht="28.5" customHeight="1" thickTop="1" thickBot="1">
      <c r="B83" s="530"/>
      <c r="C83" s="530"/>
      <c r="D83" s="532"/>
      <c r="E83" s="533"/>
      <c r="F83" s="547"/>
      <c r="G83" s="541"/>
      <c r="H83" s="530"/>
      <c r="I83" s="530"/>
      <c r="J83" s="535"/>
      <c r="K83" s="544"/>
      <c r="L83" s="545"/>
      <c r="M83" s="535"/>
      <c r="N83" s="77"/>
      <c r="O83" s="13"/>
      <c r="P83" s="50"/>
      <c r="Q83" s="355"/>
      <c r="R83" s="355"/>
      <c r="S83" s="355"/>
      <c r="T83" s="355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56.4" customHeight="1" thickBot="1">
      <c r="B84" s="428" t="str">
        <f>J69</f>
        <v>CARIB</v>
      </c>
      <c r="C84" s="283">
        <v>45691</v>
      </c>
      <c r="D84" s="377">
        <f>[30]February_2025!$F$3</f>
        <v>401.2</v>
      </c>
      <c r="E84" s="378"/>
      <c r="F84" s="379">
        <f>SUM([31]CARIB!$L$7)</f>
        <v>394</v>
      </c>
      <c r="G84" s="303">
        <f>[30]February_2025!$F$7</f>
        <v>376</v>
      </c>
      <c r="H84" s="400">
        <f>(D84-F84)/D84*100</f>
        <v>1.7946161515453611</v>
      </c>
      <c r="I84" s="400">
        <f>((F84+E84)-G84)/(F84+E84)*100</f>
        <v>4.5685279187817258</v>
      </c>
      <c r="J84" s="390" t="s">
        <v>163</v>
      </c>
      <c r="K84" s="380">
        <f>[32]February_2025!$F$18</f>
        <v>0.6596491228070176</v>
      </c>
      <c r="L84" s="314">
        <f>(((D84+E84)-G84)/(D84+E84))*100</f>
        <v>6.2811565304087713</v>
      </c>
      <c r="M84" s="357" t="s">
        <v>164</v>
      </c>
      <c r="N84" s="13"/>
      <c r="O84" s="13"/>
      <c r="P84" s="50"/>
      <c r="T84" s="272" t="s">
        <v>54</v>
      </c>
      <c r="U84" s="279"/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/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</row>
    <row r="85" spans="2:58" s="54" customFormat="1" ht="18.75" customHeight="1" thickBot="1">
      <c r="B85" s="387"/>
      <c r="C85" s="283"/>
      <c r="D85" s="279"/>
      <c r="E85" s="279"/>
      <c r="F85" s="279"/>
      <c r="G85" s="279"/>
      <c r="H85" s="320"/>
      <c r="I85" s="321"/>
      <c r="J85" s="389" t="s">
        <v>41</v>
      </c>
      <c r="K85" s="376"/>
      <c r="L85" s="314"/>
      <c r="M85" s="384"/>
      <c r="N85" s="13"/>
      <c r="O85" s="13"/>
      <c r="P85" s="50"/>
      <c r="T85" s="272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7" t="e">
        <f>[20]January_2019!AH8</f>
        <v>#DIV/0!</v>
      </c>
      <c r="AZ85" s="277"/>
      <c r="BA85" s="277"/>
      <c r="BB85" s="277"/>
      <c r="BC85" s="277"/>
      <c r="BD85" s="277"/>
      <c r="BE85" s="277"/>
      <c r="BF85" s="277"/>
    </row>
    <row r="86" spans="2:58" s="54" customFormat="1" ht="42" customHeight="1" thickBot="1">
      <c r="B86" s="430" t="str">
        <f>I56</f>
        <v>STAG</v>
      </c>
      <c r="C86" s="283">
        <v>45691</v>
      </c>
      <c r="D86" s="279">
        <f>[30]February_2025!$F$13</f>
        <v>400.3</v>
      </c>
      <c r="E86" s="279"/>
      <c r="F86" s="279">
        <f>SUM([31]STAG!$L$6:$L$13)</f>
        <v>390</v>
      </c>
      <c r="G86" s="279">
        <f>[30]February_2025!$F$17</f>
        <v>379.4</v>
      </c>
      <c r="H86" s="400">
        <f>(D86-F86)/D86*100</f>
        <v>2.5730701973519889</v>
      </c>
      <c r="I86" s="400">
        <f>((F86+E86)-G86)/(F86+E86)*100</f>
        <v>2.7179487179487238</v>
      </c>
      <c r="J86" s="390" t="s">
        <v>162</v>
      </c>
      <c r="K86" s="372">
        <f>[32]February_2025!$F$25</f>
        <v>0.9484999999999999</v>
      </c>
      <c r="L86" s="314">
        <f>(((D86+E86)-G86)/(D86+E86))*100</f>
        <v>5.221084186859863</v>
      </c>
      <c r="M86" s="357" t="s">
        <v>165</v>
      </c>
      <c r="N86" s="13"/>
      <c r="O86" s="13"/>
      <c r="P86" s="50"/>
      <c r="T86" s="272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7"/>
      <c r="AZ86" s="277"/>
      <c r="BA86" s="277"/>
      <c r="BB86" s="277"/>
      <c r="BC86" s="277"/>
      <c r="BD86" s="277"/>
      <c r="BE86" s="277"/>
      <c r="BF86" s="277"/>
    </row>
    <row r="87" spans="2:58" s="54" customFormat="1" ht="14.4" hidden="1" thickBot="1">
      <c r="B87" s="361"/>
      <c r="C87" s="283"/>
      <c r="D87" s="304"/>
      <c r="E87" s="279"/>
      <c r="F87" s="279"/>
      <c r="G87" s="279"/>
      <c r="H87" s="381"/>
      <c r="I87" s="382"/>
      <c r="J87" s="389"/>
      <c r="K87" s="376"/>
      <c r="L87" s="314"/>
      <c r="M87" s="354"/>
      <c r="N87" s="13"/>
      <c r="O87" s="13"/>
      <c r="P87" s="50"/>
      <c r="T87" s="272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7"/>
      <c r="AZ87" s="277"/>
      <c r="BA87" s="277"/>
      <c r="BB87" s="277"/>
      <c r="BC87" s="277"/>
      <c r="BD87" s="277"/>
      <c r="BE87" s="277"/>
      <c r="BF87" s="277"/>
    </row>
    <row r="88" spans="2:58" s="54" customFormat="1" ht="45.75" hidden="1" customHeight="1" thickBot="1">
      <c r="B88" s="429"/>
      <c r="C88" s="283"/>
      <c r="D88" s="279"/>
      <c r="E88" s="279"/>
      <c r="F88" s="279"/>
      <c r="G88" s="279"/>
      <c r="H88" s="320"/>
      <c r="I88" s="322"/>
      <c r="J88" s="390" t="s">
        <v>162</v>
      </c>
      <c r="K88" s="286"/>
      <c r="L88" s="314"/>
      <c r="M88" s="384"/>
      <c r="N88" s="13"/>
      <c r="O88" s="13"/>
      <c r="P88" s="50"/>
      <c r="T88" s="272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7"/>
      <c r="AZ88" s="277"/>
      <c r="BA88" s="277"/>
      <c r="BB88" s="277"/>
      <c r="BC88" s="277"/>
      <c r="BD88" s="277"/>
      <c r="BE88" s="277"/>
      <c r="BF88" s="277"/>
    </row>
    <row r="89" spans="2:58" s="54" customFormat="1" ht="45.75" hidden="1" customHeight="1">
      <c r="B89" s="387"/>
      <c r="C89" s="283"/>
      <c r="D89" s="279"/>
      <c r="E89" s="279"/>
      <c r="F89" s="279"/>
      <c r="G89" s="279"/>
      <c r="H89" s="320"/>
      <c r="I89" s="322"/>
      <c r="J89" s="281"/>
      <c r="K89" s="286"/>
      <c r="L89" s="314"/>
      <c r="M89" s="339"/>
      <c r="N89" s="13"/>
      <c r="O89" s="13"/>
      <c r="P89" s="50"/>
      <c r="T89" s="272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7"/>
      <c r="AZ89" s="277"/>
      <c r="BA89" s="277"/>
      <c r="BB89" s="277"/>
      <c r="BC89" s="277"/>
      <c r="BD89" s="277"/>
      <c r="BE89" s="277"/>
      <c r="BF89" s="277"/>
    </row>
    <row r="90" spans="2:58" ht="11.4" customHeight="1" thickBot="1">
      <c r="B90" s="33"/>
      <c r="C90" s="310"/>
      <c r="D90" s="279"/>
      <c r="E90" s="279"/>
      <c r="F90" s="279"/>
      <c r="G90" s="279"/>
      <c r="H90" s="352"/>
      <c r="I90" s="353"/>
      <c r="J90" s="281"/>
      <c r="K90" s="52"/>
      <c r="L90" s="53"/>
      <c r="M90" s="55"/>
      <c r="N90" s="77"/>
      <c r="O90" s="13"/>
      <c r="P90" s="56"/>
    </row>
    <row r="91" spans="2:58" ht="14.4" thickBot="1">
      <c r="B91" s="58"/>
      <c r="C91" s="309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536" t="s">
        <v>55</v>
      </c>
      <c r="C92" s="537"/>
      <c r="D92" s="537"/>
      <c r="E92" s="537"/>
      <c r="F92" s="538"/>
      <c r="G92" s="536" t="s">
        <v>56</v>
      </c>
      <c r="H92" s="537"/>
      <c r="I92" s="537"/>
      <c r="J92" s="538"/>
      <c r="K92" s="536" t="s">
        <v>51</v>
      </c>
      <c r="L92" s="537"/>
      <c r="M92" s="537"/>
      <c r="N92" s="539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>
        <f>L84</f>
        <v>6.2811565304087713</v>
      </c>
      <c r="D94" s="76">
        <v>6.2811565304087713</v>
      </c>
      <c r="E94" s="76">
        <v>7.106083959082091</v>
      </c>
      <c r="F94" s="66">
        <v>4.8</v>
      </c>
      <c r="G94" s="65">
        <f>[30]February_2025!$F$11</f>
        <v>5.6720982462846958</v>
      </c>
      <c r="H94" s="76">
        <v>5.6720982462846958</v>
      </c>
      <c r="I94" s="76">
        <v>9.2783449314619784</v>
      </c>
      <c r="J94" s="66">
        <v>4.8</v>
      </c>
      <c r="K94" s="67">
        <f>K84</f>
        <v>0.6596491228070176</v>
      </c>
      <c r="L94" s="194">
        <v>0.6596491228070176</v>
      </c>
      <c r="M94" s="194">
        <v>0.98457735247208944</v>
      </c>
      <c r="N94" s="68">
        <v>1</v>
      </c>
      <c r="O94" s="56"/>
      <c r="P94" s="69"/>
    </row>
    <row r="95" spans="2:58">
      <c r="B95" s="33" t="s">
        <v>9</v>
      </c>
      <c r="C95" s="65">
        <f>L86</f>
        <v>5.221084186859863</v>
      </c>
      <c r="D95" s="76">
        <v>5.221084186859863</v>
      </c>
      <c r="E95" s="76">
        <v>7.004993363475684</v>
      </c>
      <c r="F95" s="66">
        <v>4.8</v>
      </c>
      <c r="G95" s="65">
        <f>[30]February_2025!$F$21</f>
        <v>5.6054269111629633</v>
      </c>
      <c r="H95" s="76">
        <v>5.6054269111629633</v>
      </c>
      <c r="I95" s="76">
        <v>10.863101163921975</v>
      </c>
      <c r="J95" s="66">
        <v>4.8</v>
      </c>
      <c r="K95" s="67">
        <f>K86</f>
        <v>0.9484999999999999</v>
      </c>
      <c r="L95" s="194">
        <v>1.3312280701754384</v>
      </c>
      <c r="M95" s="194">
        <v>0.97131578947368413</v>
      </c>
      <c r="N95" s="68">
        <v>1</v>
      </c>
      <c r="P95" s="69"/>
    </row>
    <row r="96" spans="2:58">
      <c r="B96" s="34" t="s">
        <v>40</v>
      </c>
      <c r="C96" s="65"/>
      <c r="D96" s="76"/>
      <c r="E96" s="76">
        <v>9.8890462479248846</v>
      </c>
      <c r="F96" s="66">
        <v>5.5</v>
      </c>
      <c r="G96" s="65"/>
      <c r="H96" s="76"/>
      <c r="I96" s="76">
        <v>2.6473552031086438</v>
      </c>
      <c r="J96" s="66">
        <v>5.5</v>
      </c>
      <c r="K96" s="67"/>
      <c r="L96" s="194"/>
      <c r="M96" s="194">
        <v>1.0392982456140349</v>
      </c>
      <c r="N96" s="68">
        <v>1</v>
      </c>
      <c r="P96" s="69"/>
    </row>
    <row r="97" spans="2:16">
      <c r="B97" s="22" t="s">
        <v>33</v>
      </c>
      <c r="C97" s="65"/>
      <c r="D97" s="76"/>
      <c r="E97" s="76">
        <v>3.4056869935468166</v>
      </c>
      <c r="F97" s="66">
        <v>3.3</v>
      </c>
      <c r="G97" s="65"/>
      <c r="H97" s="76"/>
      <c r="I97" s="76">
        <v>6.6434583413343296</v>
      </c>
      <c r="J97" s="66">
        <v>3.3</v>
      </c>
      <c r="K97" s="67"/>
      <c r="L97" s="194"/>
      <c r="M97" s="194">
        <v>0.83350877192982453</v>
      </c>
      <c r="N97" s="68">
        <v>1</v>
      </c>
      <c r="P97" s="69"/>
    </row>
    <row r="98" spans="2:16">
      <c r="B98" s="35" t="s">
        <v>29</v>
      </c>
      <c r="C98" s="65"/>
      <c r="D98" s="76"/>
      <c r="E98" s="76">
        <v>8.8295687885010352</v>
      </c>
      <c r="F98" s="66">
        <v>3.3</v>
      </c>
      <c r="G98" s="282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2"/>
      <c r="D99" s="76"/>
      <c r="E99" s="76">
        <v>9.9698850155137997</v>
      </c>
      <c r="F99" s="70">
        <f>[21]May_2022!$M$43</f>
        <v>3.4878406700073312</v>
      </c>
      <c r="G99" s="282"/>
      <c r="H99" s="76"/>
      <c r="I99" s="76">
        <v>10.607235567685406</v>
      </c>
      <c r="J99" s="70">
        <v>5.5</v>
      </c>
      <c r="K99" s="67"/>
      <c r="L99" s="194"/>
      <c r="M99" s="194">
        <v>0.66824561403508764</v>
      </c>
      <c r="N99" s="68">
        <v>1</v>
      </c>
      <c r="P99" s="69"/>
    </row>
    <row r="100" spans="2:16">
      <c r="B100" s="37" t="s">
        <v>16</v>
      </c>
      <c r="C100" s="65"/>
      <c r="D100" s="76"/>
      <c r="E100" s="76">
        <v>4.8517239584237002</v>
      </c>
      <c r="F100" s="70">
        <v>3.3</v>
      </c>
      <c r="G100" s="282"/>
      <c r="H100" s="76"/>
      <c r="I100" s="76">
        <v>4.0624079285034069</v>
      </c>
      <c r="J100" s="70">
        <v>3.3</v>
      </c>
      <c r="K100" s="67"/>
      <c r="L100" s="194"/>
      <c r="M100" s="194">
        <v>0.69842105263157894</v>
      </c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>
        <v>14.011127971674247</v>
      </c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5.7517155333749255</v>
      </c>
      <c r="E102" s="76">
        <v>6.9805898992531867</v>
      </c>
      <c r="F102" s="341">
        <v>4.5</v>
      </c>
      <c r="G102" s="74"/>
      <c r="H102" s="76">
        <v>6.8893190833996476</v>
      </c>
      <c r="I102" s="76">
        <v>8.4621419756075049</v>
      </c>
      <c r="J102" s="342">
        <v>4.5</v>
      </c>
      <c r="K102" s="67"/>
      <c r="L102" s="194">
        <v>0.83702868281815634</v>
      </c>
      <c r="M102" s="194">
        <v>0.91614832535885182</v>
      </c>
      <c r="N102" s="386">
        <v>1</v>
      </c>
      <c r="O102" s="74"/>
      <c r="P102" s="75"/>
    </row>
    <row r="107" spans="2:16">
      <c r="F107" s="315"/>
    </row>
    <row r="115" spans="30:30">
      <c r="AD115" s="275" t="s">
        <v>57</v>
      </c>
    </row>
  </sheetData>
  <mergeCells count="52"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  <mergeCell ref="D77:E77"/>
    <mergeCell ref="B82:B83"/>
    <mergeCell ref="C82:C83"/>
    <mergeCell ref="D82:D83"/>
    <mergeCell ref="E82:E83"/>
    <mergeCell ref="B67:B76"/>
    <mergeCell ref="D67:E68"/>
    <mergeCell ref="J67:K67"/>
    <mergeCell ref="L68:N68"/>
    <mergeCell ref="D69:E70"/>
    <mergeCell ref="D71:E72"/>
    <mergeCell ref="D73:E74"/>
    <mergeCell ref="D75:E76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7:B78">
    <cfRule type="cellIs" dxfId="3333" priority="167" operator="notBetween">
      <formula>#REF!</formula>
      <formula>#REF!</formula>
    </cfRule>
  </conditionalFormatting>
  <conditionalFormatting sqref="C81">
    <cfRule type="cellIs" dxfId="3332" priority="199" stopIfTrue="1" operator="greaterThan">
      <formula>100</formula>
    </cfRule>
    <cfRule type="cellIs" dxfId="3331" priority="198" stopIfTrue="1" operator="lessThan">
      <formula>96</formula>
    </cfRule>
  </conditionalFormatting>
  <conditionalFormatting sqref="C94">
    <cfRule type="cellIs" dxfId="3330" priority="87" stopIfTrue="1" operator="greaterThan">
      <formula>$F94</formula>
    </cfRule>
  </conditionalFormatting>
  <conditionalFormatting sqref="C94:C95">
    <cfRule type="cellIs" dxfId="3329" priority="88" stopIfTrue="1" operator="lessThanOrEqual">
      <formula>0</formula>
    </cfRule>
  </conditionalFormatting>
  <conditionalFormatting sqref="C95">
    <cfRule type="cellIs" dxfId="3328" priority="202" stopIfTrue="1" operator="greaterThan">
      <formula>$F94</formula>
    </cfRule>
  </conditionalFormatting>
  <conditionalFormatting sqref="C96:C98">
    <cfRule type="cellIs" dxfId="3327" priority="117" stopIfTrue="1" operator="greaterThan">
      <formula>$F96</formula>
    </cfRule>
  </conditionalFormatting>
  <conditionalFormatting sqref="C96:C99">
    <cfRule type="cellIs" dxfId="3326" priority="140" stopIfTrue="1" operator="lessThanOrEqual">
      <formula>0</formula>
    </cfRule>
  </conditionalFormatting>
  <conditionalFormatting sqref="C99">
    <cfRule type="cellIs" dxfId="3325" priority="139" stopIfTrue="1" operator="greaterThan">
      <formula>$J99</formula>
    </cfRule>
  </conditionalFormatting>
  <conditionalFormatting sqref="C105:C109">
    <cfRule type="cellIs" dxfId="3324" priority="190" stopIfTrue="1" operator="lessThanOrEqual">
      <formula>0</formula>
    </cfRule>
  </conditionalFormatting>
  <conditionalFormatting sqref="C106:C109">
    <cfRule type="cellIs" dxfId="3323" priority="189" stopIfTrue="1" operator="greaterThan">
      <formula>$F$105</formula>
    </cfRule>
  </conditionalFormatting>
  <conditionalFormatting sqref="C111">
    <cfRule type="cellIs" dxfId="3322" priority="191" stopIfTrue="1" operator="greaterThan">
      <formula>$F$105</formula>
    </cfRule>
    <cfRule type="cellIs" dxfId="3321" priority="192" stopIfTrue="1" operator="lessThanOrEqual">
      <formula>0</formula>
    </cfRule>
  </conditionalFormatting>
  <conditionalFormatting sqref="C105:D105 D107:D113">
    <cfRule type="cellIs" dxfId="3320" priority="184" stopIfTrue="1" operator="greaterThan">
      <formula>4.5</formula>
    </cfRule>
  </conditionalFormatting>
  <conditionalFormatting sqref="D77:D78">
    <cfRule type="cellIs" dxfId="3319" priority="168" operator="notBetween">
      <formula>#REF!</formula>
      <formula>#REF!</formula>
    </cfRule>
  </conditionalFormatting>
  <conditionalFormatting sqref="D94:D101">
    <cfRule type="cellIs" dxfId="3318" priority="154" stopIfTrue="1" operator="lessThanOrEqual">
      <formula>0</formula>
    </cfRule>
  </conditionalFormatting>
  <conditionalFormatting sqref="D102">
    <cfRule type="cellIs" dxfId="3317" priority="153" stopIfTrue="1" operator="lessThanOrEqual">
      <formula>0</formula>
    </cfRule>
  </conditionalFormatting>
  <conditionalFormatting sqref="D105 D107:D113">
    <cfRule type="cellIs" dxfId="3316" priority="185" stopIfTrue="1" operator="lessThanOrEqual">
      <formula>0</formula>
    </cfRule>
  </conditionalFormatting>
  <conditionalFormatting sqref="D106">
    <cfRule type="cellIs" dxfId="3315" priority="176" stopIfTrue="1" operator="greaterThan">
      <formula>$F$105</formula>
    </cfRule>
    <cfRule type="cellIs" dxfId="3314" priority="177" stopIfTrue="1" operator="lessThanOrEqual">
      <formula>0</formula>
    </cfRule>
  </conditionalFormatting>
  <conditionalFormatting sqref="D94:E102">
    <cfRule type="cellIs" dxfId="3313" priority="146" stopIfTrue="1" operator="greaterThan">
      <formula>$F94</formula>
    </cfRule>
  </conditionalFormatting>
  <conditionalFormatting sqref="E10:E52">
    <cfRule type="cellIs" dxfId="3312" priority="23" operator="lessThan">
      <formula>48</formula>
    </cfRule>
  </conditionalFormatting>
  <conditionalFormatting sqref="E81">
    <cfRule type="cellIs" dxfId="3311" priority="179" stopIfTrue="1" operator="greaterThan">
      <formula>100</formula>
    </cfRule>
    <cfRule type="cellIs" dxfId="3310" priority="178" stopIfTrue="1" operator="lessThan">
      <formula>96.8</formula>
    </cfRule>
  </conditionalFormatting>
  <conditionalFormatting sqref="E94:E102">
    <cfRule type="cellIs" dxfId="3309" priority="147" stopIfTrue="1" operator="lessThanOrEqual">
      <formula>0</formula>
    </cfRule>
  </conditionalFormatting>
  <conditionalFormatting sqref="E105:E113">
    <cfRule type="cellIs" dxfId="3308" priority="170" stopIfTrue="1" operator="greaterThan">
      <formula>4.5</formula>
    </cfRule>
    <cfRule type="cellIs" dxfId="3307" priority="171" stopIfTrue="1" operator="lessThanOrEqual">
      <formula>0</formula>
    </cfRule>
  </conditionalFormatting>
  <conditionalFormatting sqref="E80:F81">
    <cfRule type="cellIs" dxfId="3306" priority="181" stopIfTrue="1" operator="greaterThan">
      <formula>100</formula>
    </cfRule>
    <cfRule type="cellIs" dxfId="3305" priority="180" stopIfTrue="1" operator="lessThan">
      <formula>96.5</formula>
    </cfRule>
  </conditionalFormatting>
  <conditionalFormatting sqref="F10:F37">
    <cfRule type="cellIs" dxfId="3304" priority="25" operator="greaterThan">
      <formula>60</formula>
    </cfRule>
  </conditionalFormatting>
  <conditionalFormatting sqref="F38">
    <cfRule type="cellIs" dxfId="3303" priority="209" operator="greaterThan">
      <formula>$AA89</formula>
    </cfRule>
    <cfRule type="cellIs" dxfId="3302" priority="208" operator="greaterThan">
      <formula>$AA38</formula>
    </cfRule>
  </conditionalFormatting>
  <conditionalFormatting sqref="F39:F51">
    <cfRule type="cellIs" dxfId="3301" priority="70" operator="greaterThan">
      <formula>60</formula>
    </cfRule>
  </conditionalFormatting>
  <conditionalFormatting sqref="F52">
    <cfRule type="cellIs" dxfId="3300" priority="203" operator="greaterThan">
      <formula>$AA91</formula>
    </cfRule>
    <cfRule type="cellIs" dxfId="3299" priority="86" operator="greaterThan">
      <formula>$AA52</formula>
    </cfRule>
  </conditionalFormatting>
  <conditionalFormatting sqref="F81">
    <cfRule type="cellIs" dxfId="3298" priority="197" stopIfTrue="1" operator="greaterThan">
      <formula>100</formula>
    </cfRule>
    <cfRule type="cellIs" dxfId="3297" priority="196" stopIfTrue="1" operator="lessThan">
      <formula>96.8</formula>
    </cfRule>
  </conditionalFormatting>
  <conditionalFormatting sqref="F102">
    <cfRule type="cellIs" dxfId="3296" priority="149" stopIfTrue="1" operator="lessThanOrEqual">
      <formula>0</formula>
    </cfRule>
    <cfRule type="cellIs" dxfId="3295" priority="148" stopIfTrue="1" operator="greaterThan">
      <formula>$F102</formula>
    </cfRule>
  </conditionalFormatting>
  <conditionalFormatting sqref="G94:G95 C100:C102">
    <cfRule type="cellIs" dxfId="3294" priority="156" stopIfTrue="1" operator="lessThanOrEqual">
      <formula>0</formula>
    </cfRule>
    <cfRule type="cellIs" dxfId="3293" priority="155" stopIfTrue="1" operator="greaterThan">
      <formula>$F94</formula>
    </cfRule>
  </conditionalFormatting>
  <conditionalFormatting sqref="G94:G95">
    <cfRule type="cellIs" dxfId="3292" priority="96" stopIfTrue="1" operator="lessThanOrEqual">
      <formula>0</formula>
    </cfRule>
    <cfRule type="cellIs" dxfId="3291" priority="95" stopIfTrue="1" operator="greaterThan">
      <formula>$F94</formula>
    </cfRule>
  </conditionalFormatting>
  <conditionalFormatting sqref="G96">
    <cfRule type="cellIs" dxfId="3290" priority="200" stopIfTrue="1" operator="greaterThan">
      <formula>$F95</formula>
    </cfRule>
    <cfRule type="cellIs" dxfId="3289" priority="201" stopIfTrue="1" operator="lessThanOrEqual">
      <formula>0</formula>
    </cfRule>
  </conditionalFormatting>
  <conditionalFormatting sqref="G97">
    <cfRule type="cellIs" dxfId="3288" priority="151" stopIfTrue="1" operator="lessThanOrEqual">
      <formula>0</formula>
    </cfRule>
    <cfRule type="cellIs" dxfId="3287" priority="150" stopIfTrue="1" operator="greaterThan">
      <formula>$F97</formula>
    </cfRule>
  </conditionalFormatting>
  <conditionalFormatting sqref="G98:G101">
    <cfRule type="cellIs" dxfId="3286" priority="159" stopIfTrue="1" operator="lessThanOrEqual">
      <formula>0</formula>
    </cfRule>
    <cfRule type="cellIs" dxfId="3285" priority="158" stopIfTrue="1" operator="greaterThan">
      <formula>$J98</formula>
    </cfRule>
  </conditionalFormatting>
  <conditionalFormatting sqref="G102">
    <cfRule type="cellIs" dxfId="3284" priority="157" operator="greaterThan">
      <formula>4.5</formula>
    </cfRule>
  </conditionalFormatting>
  <conditionalFormatting sqref="G107:G112 C110 C112">
    <cfRule type="cellIs" dxfId="3283" priority="194" stopIfTrue="1" operator="lessThanOrEqual">
      <formula>0</formula>
    </cfRule>
    <cfRule type="cellIs" dxfId="3282" priority="193" stopIfTrue="1" operator="greaterThan">
      <formula>4.5</formula>
    </cfRule>
  </conditionalFormatting>
  <conditionalFormatting sqref="G10:H52">
    <cfRule type="expression" dxfId="3281" priority="15">
      <formula>IF(+(IF(G10&lt;#REF!,0,IF(G10&gt;#REF!,0,1)))=0,1)</formula>
    </cfRule>
  </conditionalFormatting>
  <conditionalFormatting sqref="G106:H106">
    <cfRule type="cellIs" dxfId="3280" priority="175" stopIfTrue="1" operator="lessThanOrEqual">
      <formula>0</formula>
    </cfRule>
    <cfRule type="cellIs" dxfId="3279" priority="174" stopIfTrue="1" operator="greaterThan">
      <formula>$F$105</formula>
    </cfRule>
  </conditionalFormatting>
  <conditionalFormatting sqref="H56:H79 G67:G78">
    <cfRule type="cellIs" dxfId="3278" priority="172" stopIfTrue="1" operator="greaterThan">
      <formula>0</formula>
    </cfRule>
  </conditionalFormatting>
  <conditionalFormatting sqref="H84">
    <cfRule type="cellIs" dxfId="3277" priority="2" stopIfTrue="1" operator="lessThanOrEqual">
      <formula>0</formula>
    </cfRule>
    <cfRule type="cellIs" dxfId="3276" priority="3" stopIfTrue="1" operator="greaterThan">
      <formula>$F$69</formula>
    </cfRule>
    <cfRule type="cellIs" dxfId="3275" priority="11" stopIfTrue="1" operator="greaterThan">
      <formula>$F$72</formula>
    </cfRule>
    <cfRule type="cellIs" dxfId="3274" priority="14" stopIfTrue="1" operator="lessThanOrEqual">
      <formula>0</formula>
    </cfRule>
    <cfRule type="cellIs" dxfId="3273" priority="13" stopIfTrue="1" operator="greaterThan">
      <formula>$F$70</formula>
    </cfRule>
    <cfRule type="cellIs" dxfId="3272" priority="12" stopIfTrue="1" operator="lessThanOrEqual">
      <formula>0</formula>
    </cfRule>
  </conditionalFormatting>
  <conditionalFormatting sqref="H85">
    <cfRule type="cellIs" dxfId="3271" priority="113" stopIfTrue="1" operator="greaterThan">
      <formula>$F$96</formula>
    </cfRule>
    <cfRule type="cellIs" dxfId="3270" priority="116" stopIfTrue="1" operator="lessThanOrEqual">
      <formula>0</formula>
    </cfRule>
    <cfRule type="cellIs" dxfId="3269" priority="115" stopIfTrue="1" operator="greaterThan">
      <formula>$F$94</formula>
    </cfRule>
    <cfRule type="cellIs" dxfId="3268" priority="104" stopIfTrue="1" operator="lessThanOrEqual">
      <formula>0</formula>
    </cfRule>
    <cfRule type="cellIs" dxfId="3267" priority="105" stopIfTrue="1" operator="greaterThan">
      <formula>$F$93</formula>
    </cfRule>
    <cfRule type="cellIs" dxfId="3266" priority="114" stopIfTrue="1" operator="lessThanOrEqual">
      <formula>0</formula>
    </cfRule>
  </conditionalFormatting>
  <conditionalFormatting sqref="H86">
    <cfRule type="cellIs" dxfId="3265" priority="49" stopIfTrue="1" operator="lessThanOrEqual">
      <formula>0</formula>
    </cfRule>
    <cfRule type="cellIs" dxfId="3264" priority="48" stopIfTrue="1" operator="greaterThan">
      <formula>$F$72</formula>
    </cfRule>
    <cfRule type="cellIs" dxfId="3263" priority="39" stopIfTrue="1" operator="lessThanOrEqual">
      <formula>0</formula>
    </cfRule>
    <cfRule type="cellIs" dxfId="3262" priority="51" stopIfTrue="1" operator="lessThanOrEqual">
      <formula>0</formula>
    </cfRule>
    <cfRule type="cellIs" dxfId="3261" priority="40" stopIfTrue="1" operator="greaterThan">
      <formula>$F$69</formula>
    </cfRule>
    <cfRule type="cellIs" dxfId="3260" priority="50" stopIfTrue="1" operator="greaterThan">
      <formula>$F$70</formula>
    </cfRule>
  </conditionalFormatting>
  <conditionalFormatting sqref="H87">
    <cfRule type="cellIs" dxfId="3259" priority="75" stopIfTrue="1" operator="lessThanOrEqual">
      <formula>0</formula>
    </cfRule>
    <cfRule type="cellIs" dxfId="3258" priority="76" stopIfTrue="1" operator="greaterThan">
      <formula>#REF!</formula>
    </cfRule>
    <cfRule type="cellIs" dxfId="3257" priority="85" stopIfTrue="1" operator="lessThanOrEqual">
      <formula>0</formula>
    </cfRule>
    <cfRule type="cellIs" dxfId="3256" priority="84" stopIfTrue="1" operator="greaterThan">
      <formula>#REF!</formula>
    </cfRule>
  </conditionalFormatting>
  <conditionalFormatting sqref="H88:H89">
    <cfRule type="cellIs" dxfId="3255" priority="99" stopIfTrue="1" operator="lessThanOrEqual">
      <formula>0</formula>
    </cfRule>
    <cfRule type="cellIs" dxfId="3254" priority="136" stopIfTrue="1" operator="lessThanOrEqual">
      <formula>0</formula>
    </cfRule>
    <cfRule type="cellIs" dxfId="3253" priority="135" stopIfTrue="1" operator="greaterThan">
      <formula>$F$95</formula>
    </cfRule>
    <cfRule type="cellIs" dxfId="3252" priority="134" stopIfTrue="1" operator="lessThanOrEqual">
      <formula>0</formula>
    </cfRule>
    <cfRule type="cellIs" dxfId="3251" priority="133" stopIfTrue="1" operator="greaterThan">
      <formula>$F$97</formula>
    </cfRule>
    <cfRule type="cellIs" dxfId="3250" priority="125" stopIfTrue="1" operator="greaterThan">
      <formula>$F$94</formula>
    </cfRule>
  </conditionalFormatting>
  <conditionalFormatting sqref="H90">
    <cfRule type="cellIs" dxfId="3249" priority="165" stopIfTrue="1" operator="greaterThan">
      <formula>$F$87</formula>
    </cfRule>
    <cfRule type="cellIs" dxfId="3248" priority="163" stopIfTrue="1" operator="greaterThan">
      <formula>$F$91</formula>
    </cfRule>
    <cfRule type="cellIs" dxfId="3247" priority="164" stopIfTrue="1" operator="lessThanOrEqual">
      <formula>0</formula>
    </cfRule>
    <cfRule type="cellIs" dxfId="3246" priority="166" stopIfTrue="1" operator="lessThanOrEqual">
      <formula>0</formula>
    </cfRule>
  </conditionalFormatting>
  <conditionalFormatting sqref="H94:H101">
    <cfRule type="cellIs" dxfId="3245" priority="137" stopIfTrue="1" operator="greaterThan">
      <formula>$J94</formula>
    </cfRule>
    <cfRule type="cellIs" dxfId="3244" priority="138" stopIfTrue="1" operator="lessThanOrEqual">
      <formula>0</formula>
    </cfRule>
  </conditionalFormatting>
  <conditionalFormatting sqref="H102">
    <cfRule type="cellIs" dxfId="3243" priority="143" operator="greaterThan">
      <formula>5.3</formula>
    </cfRule>
  </conditionalFormatting>
  <conditionalFormatting sqref="H105 H107:H113">
    <cfRule type="cellIs" dxfId="3242" priority="187" stopIfTrue="1" operator="lessThanOrEqual">
      <formula>0</formula>
    </cfRule>
    <cfRule type="cellIs" dxfId="3241" priority="186" stopIfTrue="1" operator="greaterThan">
      <formula>4.5</formula>
    </cfRule>
  </conditionalFormatting>
  <conditionalFormatting sqref="H84:I84">
    <cfRule type="cellIs" dxfId="3240" priority="1" stopIfTrue="1" operator="greaterThan">
      <formula>$F$71</formula>
    </cfRule>
    <cfRule type="cellIs" dxfId="3239" priority="4" stopIfTrue="1" operator="lessThanOrEqual">
      <formula>0</formula>
    </cfRule>
  </conditionalFormatting>
  <conditionalFormatting sqref="H85:I85">
    <cfRule type="cellIs" dxfId="3238" priority="106" stopIfTrue="1" operator="lessThanOrEqual">
      <formula>0</formula>
    </cfRule>
    <cfRule type="cellIs" dxfId="3237" priority="103" stopIfTrue="1" operator="greaterThan">
      <formula>$F$95</formula>
    </cfRule>
  </conditionalFormatting>
  <conditionalFormatting sqref="H86:I86">
    <cfRule type="cellIs" dxfId="3236" priority="38" stopIfTrue="1" operator="greaterThan">
      <formula>$F$71</formula>
    </cfRule>
    <cfRule type="cellIs" dxfId="3235" priority="41" stopIfTrue="1" operator="lessThanOrEqual">
      <formula>0</formula>
    </cfRule>
  </conditionalFormatting>
  <conditionalFormatting sqref="H87:I87">
    <cfRule type="cellIs" dxfId="3234" priority="83" stopIfTrue="1" operator="lessThanOrEqual">
      <formula>0</formula>
    </cfRule>
    <cfRule type="cellIs" dxfId="3233" priority="80" stopIfTrue="1" operator="greaterThan">
      <formula>#REF!</formula>
    </cfRule>
    <cfRule type="cellIs" dxfId="3232" priority="74" stopIfTrue="1" operator="greaterThan">
      <formula>#REF!</formula>
    </cfRule>
    <cfRule type="cellIs" dxfId="3231" priority="77" stopIfTrue="1" operator="lessThanOrEqual">
      <formula>0</formula>
    </cfRule>
  </conditionalFormatting>
  <conditionalFormatting sqref="H88:I88">
    <cfRule type="cellIs" dxfId="3230" priority="126" stopIfTrue="1" operator="lessThanOrEqual">
      <formula>0</formula>
    </cfRule>
  </conditionalFormatting>
  <conditionalFormatting sqref="H88:I89">
    <cfRule type="cellIs" dxfId="3229" priority="97" stopIfTrue="1" operator="greaterThan">
      <formula>$F$96</formula>
    </cfRule>
  </conditionalFormatting>
  <conditionalFormatting sqref="H89:I89">
    <cfRule type="cellIs" dxfId="3228" priority="98" stopIfTrue="1" operator="lessThanOrEqual">
      <formula>0</formula>
    </cfRule>
  </conditionalFormatting>
  <conditionalFormatting sqref="I38 I52">
    <cfRule type="cellIs" dxfId="3227" priority="89" operator="lessThan">
      <formula>97.8</formula>
    </cfRule>
    <cfRule type="cellIs" dxfId="3226" priority="92" operator="lessThan">
      <formula>98</formula>
    </cfRule>
  </conditionalFormatting>
  <conditionalFormatting sqref="I84">
    <cfRule type="cellIs" dxfId="3225" priority="5" stopIfTrue="1" operator="greaterThan">
      <formula>$F$69</formula>
    </cfRule>
    <cfRule type="cellIs" dxfId="3224" priority="6" stopIfTrue="1" operator="lessThanOrEqual">
      <formula>0</formula>
    </cfRule>
    <cfRule type="cellIs" dxfId="3223" priority="9" stopIfTrue="1" operator="greaterThan">
      <formula>$F$69</formula>
    </cfRule>
    <cfRule type="cellIs" dxfId="3222" priority="10" stopIfTrue="1" operator="lessThanOrEqual">
      <formula>0</formula>
    </cfRule>
    <cfRule type="cellIs" dxfId="3221" priority="7" stopIfTrue="1" operator="greaterThan">
      <formula>$F$71</formula>
    </cfRule>
    <cfRule type="cellIs" dxfId="3220" priority="8" stopIfTrue="1" operator="lessThanOrEqual">
      <formula>0</formula>
    </cfRule>
  </conditionalFormatting>
  <conditionalFormatting sqref="I85">
    <cfRule type="cellIs" dxfId="3219" priority="112" stopIfTrue="1" operator="lessThanOrEqual">
      <formula>0</formula>
    </cfRule>
    <cfRule type="cellIs" dxfId="3218" priority="107" stopIfTrue="1" operator="greaterThan">
      <formula>$F$93</formula>
    </cfRule>
    <cfRule type="cellIs" dxfId="3217" priority="111" stopIfTrue="1" operator="greaterThan">
      <formula>$F$93</formula>
    </cfRule>
    <cfRule type="cellIs" dxfId="3216" priority="110" stopIfTrue="1" operator="lessThanOrEqual">
      <formula>0</formula>
    </cfRule>
    <cfRule type="cellIs" dxfId="3215" priority="109" stopIfTrue="1" operator="greaterThan">
      <formula>$F$95</formula>
    </cfRule>
    <cfRule type="cellIs" dxfId="3214" priority="108" stopIfTrue="1" operator="lessThanOrEqual">
      <formula>0</formula>
    </cfRule>
  </conditionalFormatting>
  <conditionalFormatting sqref="I86">
    <cfRule type="cellIs" dxfId="3213" priority="43" stopIfTrue="1" operator="lessThanOrEqual">
      <formula>0</formula>
    </cfRule>
    <cfRule type="cellIs" dxfId="3212" priority="47" stopIfTrue="1" operator="lessThanOrEqual">
      <formula>0</formula>
    </cfRule>
    <cfRule type="cellIs" dxfId="3211" priority="44" stopIfTrue="1" operator="greaterThan">
      <formula>$F$71</formula>
    </cfRule>
    <cfRule type="cellIs" dxfId="3210" priority="42" stopIfTrue="1" operator="greaterThan">
      <formula>$F$69</formula>
    </cfRule>
    <cfRule type="cellIs" dxfId="3209" priority="45" stopIfTrue="1" operator="lessThanOrEqual">
      <formula>0</formula>
    </cfRule>
    <cfRule type="cellIs" dxfId="3208" priority="46" stopIfTrue="1" operator="greaterThan">
      <formula>$F$69</formula>
    </cfRule>
  </conditionalFormatting>
  <conditionalFormatting sqref="I87">
    <cfRule type="cellIs" dxfId="3207" priority="78" stopIfTrue="1" operator="greaterThan">
      <formula>#REF!</formula>
    </cfRule>
    <cfRule type="cellIs" dxfId="3206" priority="82" stopIfTrue="1" operator="greaterThan">
      <formula>#REF!</formula>
    </cfRule>
    <cfRule type="cellIs" dxfId="3205" priority="81" stopIfTrue="1" operator="lessThanOrEqual">
      <formula>0</formula>
    </cfRule>
    <cfRule type="cellIs" dxfId="3204" priority="79" stopIfTrue="1" operator="lessThanOrEqual">
      <formula>0</formula>
    </cfRule>
  </conditionalFormatting>
  <conditionalFormatting sqref="I88:I89">
    <cfRule type="cellIs" dxfId="3203" priority="129" stopIfTrue="1" operator="greaterThan">
      <formula>$F$96</formula>
    </cfRule>
    <cfRule type="cellIs" dxfId="3202" priority="128" stopIfTrue="1" operator="lessThanOrEqual">
      <formula>0</formula>
    </cfRule>
    <cfRule type="cellIs" dxfId="3201" priority="131" stopIfTrue="1" operator="greaterThan">
      <formula>$F$94</formula>
    </cfRule>
    <cfRule type="cellIs" dxfId="3200" priority="132" stopIfTrue="1" operator="lessThanOrEqual">
      <formula>0</formula>
    </cfRule>
    <cfRule type="cellIs" dxfId="3199" priority="127" stopIfTrue="1" operator="greaterThan">
      <formula>$F$94</formula>
    </cfRule>
    <cfRule type="cellIs" dxfId="3198" priority="130" stopIfTrue="1" operator="lessThanOrEqual">
      <formula>0</formula>
    </cfRule>
  </conditionalFormatting>
  <conditionalFormatting sqref="I94:I102">
    <cfRule type="cellIs" dxfId="3197" priority="144" stopIfTrue="1" operator="greaterThan">
      <formula>$J94</formula>
    </cfRule>
    <cfRule type="cellIs" dxfId="3196" priority="145" stopIfTrue="1" operator="lessThanOrEqual">
      <formula>0</formula>
    </cfRule>
  </conditionalFormatting>
  <conditionalFormatting sqref="I105:I113">
    <cfRule type="cellIs" dxfId="3195" priority="183" stopIfTrue="1" operator="lessThanOrEqual">
      <formula>0</formula>
    </cfRule>
    <cfRule type="cellIs" dxfId="3194" priority="182" stopIfTrue="1" operator="greaterThan">
      <formula>4.5</formula>
    </cfRule>
  </conditionalFormatting>
  <conditionalFormatting sqref="I10:J37">
    <cfRule type="cellIs" dxfId="3193" priority="26" operator="lessThan">
      <formula>97.9</formula>
    </cfRule>
  </conditionalFormatting>
  <conditionalFormatting sqref="I39:J51">
    <cfRule type="cellIs" dxfId="3192" priority="71" operator="lessThan">
      <formula>97.9</formula>
    </cfRule>
  </conditionalFormatting>
  <conditionalFormatting sqref="J38 J52">
    <cfRule type="cellIs" dxfId="3191" priority="90" operator="notBetween">
      <formula>98</formula>
      <formula>99.9</formula>
    </cfRule>
    <cfRule type="cellIs" dxfId="3190" priority="91" operator="lessThan">
      <formula>97.4</formula>
    </cfRule>
  </conditionalFormatting>
  <conditionalFormatting sqref="J55:J57">
    <cfRule type="cellIs" dxfId="3189" priority="119" stopIfTrue="1" operator="greaterThan">
      <formula>100</formula>
    </cfRule>
    <cfRule type="cellIs" dxfId="3188" priority="118" stopIfTrue="1" operator="lessThan">
      <formula>96.8</formula>
    </cfRule>
    <cfRule type="cellIs" dxfId="3187" priority="120" operator="lessThan">
      <formula>98</formula>
    </cfRule>
  </conditionalFormatting>
  <conditionalFormatting sqref="J55:J59">
    <cfRule type="cellIs" dxfId="3186" priority="94" operator="lessThan">
      <formula>97.4</formula>
    </cfRule>
  </conditionalFormatting>
  <conditionalFormatting sqref="J60">
    <cfRule type="cellIs" dxfId="3185" priority="121" operator="lessThan">
      <formula>98</formula>
    </cfRule>
  </conditionalFormatting>
  <conditionalFormatting sqref="J61:J63">
    <cfRule type="cellIs" dxfId="3184" priority="122" stopIfTrue="1" operator="lessThan">
      <formula>96.8</formula>
    </cfRule>
    <cfRule type="cellIs" dxfId="3183" priority="123" stopIfTrue="1" operator="greaterThan">
      <formula>100</formula>
    </cfRule>
  </conditionalFormatting>
  <conditionalFormatting sqref="J61:J64">
    <cfRule type="cellIs" dxfId="3182" priority="124" operator="lessThan">
      <formula>98</formula>
    </cfRule>
  </conditionalFormatting>
  <conditionalFormatting sqref="K10:K52">
    <cfRule type="cellIs" dxfId="3181" priority="24" operator="greaterThan">
      <formula>6.4</formula>
    </cfRule>
    <cfRule type="cellIs" dxfId="3180" priority="20" operator="lessThan">
      <formula>4</formula>
    </cfRule>
    <cfRule type="cellIs" dxfId="3179" priority="19" operator="greaterThan">
      <formula>6</formula>
    </cfRule>
  </conditionalFormatting>
  <conditionalFormatting sqref="K69:K78">
    <cfRule type="cellIs" dxfId="3178" priority="152" operator="notEqual">
      <formula>#REF!</formula>
    </cfRule>
  </conditionalFormatting>
  <conditionalFormatting sqref="K84:K90 K94:N102">
    <cfRule type="cellIs" dxfId="3177" priority="162" stopIfTrue="1" operator="lessThan">
      <formula>100%</formula>
    </cfRule>
  </conditionalFormatting>
  <conditionalFormatting sqref="K105:K110">
    <cfRule type="cellIs" dxfId="3176" priority="188" stopIfTrue="1" operator="lessThan">
      <formula>100%</formula>
    </cfRule>
  </conditionalFormatting>
  <conditionalFormatting sqref="K112:K113">
    <cfRule type="cellIs" dxfId="3175" priority="195" stopIfTrue="1" operator="lessThan">
      <formula>100%</formula>
    </cfRule>
  </conditionalFormatting>
  <conditionalFormatting sqref="L10:L52">
    <cfRule type="cellIs" dxfId="3174" priority="22" operator="greaterThan">
      <formula>65</formula>
    </cfRule>
    <cfRule type="cellIs" dxfId="3173" priority="21" operator="between">
      <formula>61</formula>
      <formula>65</formula>
    </cfRule>
  </conditionalFormatting>
  <conditionalFormatting sqref="L55:M66">
    <cfRule type="cellIs" dxfId="3172" priority="73" operator="lessThan">
      <formula>98</formula>
    </cfRule>
  </conditionalFormatting>
  <conditionalFormatting sqref="L70:N70">
    <cfRule type="cellIs" dxfId="3171" priority="100" operator="notEqual">
      <formula>#REF!</formula>
    </cfRule>
  </conditionalFormatting>
  <conditionalFormatting sqref="L105:N113">
    <cfRule type="cellIs" dxfId="3170" priority="173" stopIfTrue="1" operator="lessThan">
      <formula>100%</formula>
    </cfRule>
  </conditionalFormatting>
  <conditionalFormatting sqref="M10:M19">
    <cfRule type="expression" dxfId="3169" priority="17">
      <formula>IF(+(IF(M10&lt;V10,0,IF(M10&gt;W10,0,1)))=0,1)</formula>
    </cfRule>
  </conditionalFormatting>
  <conditionalFormatting sqref="M20:M31">
    <cfRule type="expression" dxfId="3168" priority="35">
      <formula>IF(+(IF(M20&lt;U20,0,IF(M20&gt;V20,0,1)))=0,1)</formula>
    </cfRule>
  </conditionalFormatting>
  <conditionalFormatting sqref="M32:M52">
    <cfRule type="expression" dxfId="3167" priority="31">
      <formula>IF(+(IF(M32&lt;V32,0,IF(M32&gt;W32,0,1)))=0,1)</formula>
    </cfRule>
  </conditionalFormatting>
  <conditionalFormatting sqref="M6:N6">
    <cfRule type="cellIs" dxfId="3166" priority="101" operator="greaterThanOrEqual">
      <formula>15</formula>
    </cfRule>
    <cfRule type="cellIs" dxfId="3165" priority="102" operator="greaterThanOrEqual">
      <formula>19</formula>
    </cfRule>
  </conditionalFormatting>
  <conditionalFormatting sqref="N10:N19">
    <cfRule type="expression" dxfId="3164" priority="18">
      <formula>IF(+(IF(N10&lt;X10,0,IF(N10&gt;Y10,0,1)))=0,1)</formula>
    </cfRule>
  </conditionalFormatting>
  <conditionalFormatting sqref="N20:N31">
    <cfRule type="expression" dxfId="3163" priority="36">
      <formula>IF(+(IF(N20&lt;W20,0,IF(N20&gt;X20,0,1)))=0,1)</formula>
    </cfRule>
  </conditionalFormatting>
  <conditionalFormatting sqref="N32:N52">
    <cfRule type="expression" dxfId="3162" priority="32">
      <formula>IF(+(IF(N32&lt;X32,0,IF(N32&gt;Y32,0,1)))=0,1)</formula>
    </cfRule>
  </conditionalFormatting>
  <conditionalFormatting sqref="N38">
    <cfRule type="expression" dxfId="3161" priority="205">
      <formula>IF(+(IF(N38&lt;X89,0,IF(N38&gt;Y89,0,1)))=0,1)</formula>
    </cfRule>
    <cfRule type="expression" dxfId="3160" priority="204">
      <formula>IF(+(IF(N38&lt;X94,0,IF(N38&gt;Y94,0,1)))=0,1)</formula>
    </cfRule>
  </conditionalFormatting>
  <conditionalFormatting sqref="N52">
    <cfRule type="expression" dxfId="3159" priority="206">
      <formula>IF(+(IF(N52&lt;X96,0,IF(N52&gt;Y96,0,1)))=0,1)</formula>
    </cfRule>
    <cfRule type="expression" dxfId="3158" priority="207">
      <formula>IF(+(IF(N52&lt;X91,0,IF(N52&gt;Y91,0,1)))=0,1)</formula>
    </cfRule>
  </conditionalFormatting>
  <conditionalFormatting sqref="P6">
    <cfRule type="cellIs" dxfId="3157" priority="169" operator="greaterThanOrEqual">
      <formula>19</formula>
    </cfRule>
  </conditionalFormatting>
  <dataValidations disablePrompts="1" count="1">
    <dataValidation type="list" allowBlank="1" showInputMessage="1" showErrorMessage="1" sqref="S8 B52" xr:uid="{9819A4D4-2A39-434E-B082-B3CC990AFF9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9020-56B4-41BC-A1B4-973F4FA51DE4}">
  <sheetPr>
    <pageSetUpPr fitToPage="1"/>
  </sheetPr>
  <dimension ref="A1:BF113"/>
  <sheetViews>
    <sheetView topLeftCell="B12" zoomScale="70" zoomScaleNormal="70" workbookViewId="0">
      <selection activeCell="L55" sqref="L55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45692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[22]Brewhouse!$A175</f>
        <v>CA073</v>
      </c>
      <c r="D10" s="279">
        <f>[22]Brewhouse!$AF175</f>
        <v>53.3</v>
      </c>
      <c r="E10" s="279">
        <f>[22]Brewhouse!$AI175</f>
        <v>49.4</v>
      </c>
      <c r="F10" s="278">
        <f>[22]Brewhouse!$V175</f>
        <v>57</v>
      </c>
      <c r="G10" s="279">
        <f>[22]Brewhouse!$AG175</f>
        <v>11.6</v>
      </c>
      <c r="H10" s="396">
        <v>11.6</v>
      </c>
      <c r="I10" s="368">
        <f>[22]Brewhouse!$AU175</f>
        <v>90.625657788599028</v>
      </c>
      <c r="J10" s="368">
        <f>[22]Brewhouse!$AV175</f>
        <v>94.279175982290141</v>
      </c>
      <c r="K10" s="281">
        <f>[22]Brewhouse!$Q175</f>
        <v>7.7543859649122835</v>
      </c>
      <c r="L10" s="276">
        <f>[22]Brewhouse!$P175</f>
        <v>57</v>
      </c>
      <c r="M10" s="397">
        <f>[22]Brewhouse!$U175-[22]Brewhouse!$T175</f>
        <v>0.10763888888888895</v>
      </c>
      <c r="N10" s="370">
        <f>[22]Brewhouse!$Z175</f>
        <v>0.27777777777777779</v>
      </c>
      <c r="O10" s="371" t="str">
        <f>[22]Brewhouse!$AX175</f>
        <v>R.Sookram</v>
      </c>
      <c r="P10" s="375"/>
      <c r="Q10" s="347"/>
      <c r="S10" s="277" t="str">
        <f t="shared" ref="S10:S50" si="0">B10</f>
        <v>CARIB</v>
      </c>
      <c r="T10" s="296">
        <f t="shared" ref="T10:T50" si="1">VLOOKUP($B10,$S$3:$Y$9,2,FALSE)</f>
        <v>11.6</v>
      </c>
      <c r="U10" s="296">
        <f t="shared" ref="U10:U50" si="2">VLOOKUP($B10,$S$3:$Y$9,3,FALSE)</f>
        <v>12</v>
      </c>
      <c r="V10" s="297">
        <f t="shared" ref="V10:V50" si="3">VLOOKUP($B10,$S$3:$Y$9,4,FALSE)</f>
        <v>0</v>
      </c>
      <c r="W10" s="297">
        <f t="shared" ref="W10:W50" si="4">VLOOKUP($B10,$S$3:$Y$9,5,FALSE)</f>
        <v>0.118055555555556</v>
      </c>
      <c r="X10" s="297">
        <f t="shared" ref="X10:X50" si="5">VLOOKUP($B10,$S$3:$Y$9,6,FALSE)</f>
        <v>0.22569444444444445</v>
      </c>
      <c r="Y10" s="297">
        <f t="shared" ref="Y10:Y50" si="6">VLOOKUP($B10,$S$3:$Y$9,7,FALSE)</f>
        <v>0.2638888888888889</v>
      </c>
      <c r="Z10" s="297">
        <f t="shared" ref="Z10:Z50" si="7">VLOOKUP($B10,$S$3:$AA$9,8,FALSE)</f>
        <v>0</v>
      </c>
      <c r="AA10" s="296">
        <f t="shared" ref="AA10:AA50" si="8">VLOOKUP($B10,$S$3:$AA$9,9,FALSE)</f>
        <v>60</v>
      </c>
    </row>
    <row r="11" spans="2:30" ht="14.4">
      <c r="B11" s="29" t="s">
        <v>6</v>
      </c>
      <c r="C11" s="366" t="str">
        <f>[22]Brewhouse!$A176</f>
        <v>CA074</v>
      </c>
      <c r="D11" s="279">
        <f>[22]Brewhouse!$AF176</f>
        <v>54.1</v>
      </c>
      <c r="E11" s="279">
        <f>[22]Brewhouse!$AI176</f>
        <v>50.4</v>
      </c>
      <c r="F11" s="278">
        <f>[22]Brewhouse!$V176</f>
        <v>60</v>
      </c>
      <c r="G11" s="279">
        <f>[22]Brewhouse!$AG176</f>
        <v>12.1</v>
      </c>
      <c r="H11" s="396">
        <v>12</v>
      </c>
      <c r="I11" s="368">
        <f>[22]Brewhouse!$AU176</f>
        <v>96.877995805558157</v>
      </c>
      <c r="J11" s="368">
        <f>[22]Brewhouse!$AV176</f>
        <v>100.95001730306134</v>
      </c>
      <c r="K11" s="281">
        <f>[22]Brewhouse!$Q176</f>
        <v>6.642201834862381</v>
      </c>
      <c r="L11" s="276">
        <f>[22]Brewhouse!$P176</f>
        <v>57</v>
      </c>
      <c r="M11" s="397">
        <f>[22]Brewhouse!$U176-[22]Brewhouse!$T176</f>
        <v>0.10972222222222228</v>
      </c>
      <c r="N11" s="370">
        <f>[22]Brewhouse!$Z176</f>
        <v>0.28402777777777777</v>
      </c>
      <c r="O11" s="371" t="str">
        <f>[22]Brewhouse!$AX176</f>
        <v>R.Sookram</v>
      </c>
      <c r="P11" s="375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[22]Brewhouse!$A177</f>
        <v>CA075</v>
      </c>
      <c r="D12" s="279">
        <f>[22]Brewhouse!$AF177</f>
        <v>52.3</v>
      </c>
      <c r="E12" s="279">
        <f>[22]Brewhouse!$AI177</f>
        <v>48.6</v>
      </c>
      <c r="F12" s="278">
        <f>[22]Brewhouse!$V177</f>
        <v>57</v>
      </c>
      <c r="G12" s="279">
        <f>[22]Brewhouse!$AG177</f>
        <v>11.9</v>
      </c>
      <c r="H12" s="367"/>
      <c r="I12" s="368">
        <f>[22]Brewhouse!$AU177</f>
        <v>92.135214898662127</v>
      </c>
      <c r="J12" s="368">
        <f>[22]Brewhouse!$AV177</f>
        <v>96.007260698439694</v>
      </c>
      <c r="K12" s="281">
        <f>[22]Brewhouse!$Q177</f>
        <v>8.9323843416370163</v>
      </c>
      <c r="L12" s="276">
        <f>[22]Brewhouse!$P177</f>
        <v>60</v>
      </c>
      <c r="M12" s="397">
        <f>[22]Brewhouse!$U177-[22]Brewhouse!$T177</f>
        <v>0.10763888888888895</v>
      </c>
      <c r="N12" s="370">
        <f>[22]Brewhouse!$Z177</f>
        <v>0.27083333333333337</v>
      </c>
      <c r="O12" s="371" t="str">
        <f>[22]Brewhouse!$AX177</f>
        <v>R.Sookram</v>
      </c>
      <c r="P12" s="375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[22]Brewhouse!$A178</f>
        <v>CA076</v>
      </c>
      <c r="D13" s="279">
        <f>[22]Brewhouse!$AF178</f>
        <v>53.4</v>
      </c>
      <c r="E13" s="279">
        <f>[22]Brewhouse!$AI178</f>
        <v>49.9</v>
      </c>
      <c r="F13" s="278">
        <f>[22]Brewhouse!$V178</f>
        <v>57</v>
      </c>
      <c r="G13" s="279">
        <f>[22]Brewhouse!$AG178</f>
        <v>11.8</v>
      </c>
      <c r="H13" s="396">
        <v>11.8</v>
      </c>
      <c r="I13" s="368">
        <f>[22]Brewhouse!$AU178</f>
        <v>93.533472030969435</v>
      </c>
      <c r="J13" s="368">
        <f>[22]Brewhouse!$AV178</f>
        <v>97.464703989523088</v>
      </c>
      <c r="K13" s="281">
        <f>[22]Brewhouse!$Q178</f>
        <v>7.3049645390070879</v>
      </c>
      <c r="L13" s="276">
        <f>[22]Brewhouse!$P178</f>
        <v>60</v>
      </c>
      <c r="M13" s="397">
        <f>[22]Brewhouse!$U178-[22]Brewhouse!$T178</f>
        <v>0.10416666666666663</v>
      </c>
      <c r="N13" s="370">
        <f>[22]Brewhouse!$Z178</f>
        <v>0.2631944444444444</v>
      </c>
      <c r="O13" s="371" t="str">
        <f>[22]Brewhouse!$AX178</f>
        <v>K.Benjamin</v>
      </c>
      <c r="P13" s="375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4.4">
      <c r="B14" s="29" t="s">
        <v>6</v>
      </c>
      <c r="C14" s="366" t="str">
        <f>[22]Brewhouse!$A179</f>
        <v>CA077</v>
      </c>
      <c r="D14" s="279">
        <f>[22]Brewhouse!$AF179</f>
        <v>53.5</v>
      </c>
      <c r="E14" s="279">
        <f>[22]Brewhouse!$AI179</f>
        <v>50.1</v>
      </c>
      <c r="F14" s="278">
        <f>[22]Brewhouse!$V179</f>
        <v>61</v>
      </c>
      <c r="G14" s="279">
        <f>[22]Brewhouse!$AG179</f>
        <v>11.8</v>
      </c>
      <c r="H14" s="396">
        <v>11.8</v>
      </c>
      <c r="I14" s="368">
        <f>[22]Brewhouse!$AU179</f>
        <v>94.139723416562532</v>
      </c>
      <c r="J14" s="368">
        <f>[22]Brewhouse!$AV179</f>
        <v>98.096010066007523</v>
      </c>
      <c r="K14" s="281">
        <f>[22]Brewhouse!$Q179</f>
        <v>6.7971530249110321</v>
      </c>
      <c r="L14" s="276">
        <f>[22]Brewhouse!$P179</f>
        <v>62</v>
      </c>
      <c r="M14" s="397">
        <f>[22]Brewhouse!$U179-[22]Brewhouse!$T179</f>
        <v>0.11388888888888893</v>
      </c>
      <c r="N14" s="370">
        <f>[22]Brewhouse!$Z179</f>
        <v>0.26805555555555549</v>
      </c>
      <c r="O14" s="371" t="str">
        <f>[22]Brewhouse!$AX179</f>
        <v>K.Benjamin</v>
      </c>
      <c r="P14" s="375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4.4">
      <c r="B16" s="34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4.4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36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4.4" hidden="1">
      <c r="B18" s="22"/>
      <c r="C18" s="366"/>
      <c r="D18" s="279"/>
      <c r="E18" s="279"/>
      <c r="F18" s="278"/>
      <c r="G18" s="279"/>
      <c r="H18" s="403"/>
      <c r="I18" s="368"/>
      <c r="J18" s="368"/>
      <c r="K18" s="281"/>
      <c r="L18" s="276"/>
      <c r="M18" s="374"/>
      <c r="N18" s="370"/>
      <c r="O18" s="371"/>
      <c r="P18" s="36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4.4" hidden="1">
      <c r="B19" s="22"/>
      <c r="C19" s="366"/>
      <c r="D19" s="279"/>
      <c r="E19" s="279"/>
      <c r="F19" s="278"/>
      <c r="G19" s="279"/>
      <c r="H19" s="403"/>
      <c r="I19" s="368"/>
      <c r="J19" s="368"/>
      <c r="K19" s="281"/>
      <c r="L19" s="276"/>
      <c r="M19" s="374"/>
      <c r="N19" s="370"/>
      <c r="O19" s="371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4.4" hidden="1">
      <c r="B20" s="22"/>
      <c r="C20" s="366"/>
      <c r="D20" s="279"/>
      <c r="E20" s="279"/>
      <c r="F20" s="278"/>
      <c r="G20" s="279"/>
      <c r="H20" s="403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4.4" hidden="1">
      <c r="B21" s="22"/>
      <c r="C21" s="366"/>
      <c r="D21" s="279"/>
      <c r="E21" s="279"/>
      <c r="F21" s="278"/>
      <c r="G21" s="279"/>
      <c r="H21" s="403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3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3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4.4" hidden="1">
      <c r="B24" s="22"/>
      <c r="C24" s="366"/>
      <c r="D24" s="279"/>
      <c r="E24" s="279"/>
      <c r="F24" s="278"/>
      <c r="G24" s="279"/>
      <c r="H24" s="403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4.4" hidden="1">
      <c r="B25" s="22"/>
      <c r="C25" s="366"/>
      <c r="D25" s="279"/>
      <c r="E25" s="279"/>
      <c r="F25" s="278"/>
      <c r="G25" s="279"/>
      <c r="H25" s="403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4.4" hidden="1">
      <c r="B26" s="34"/>
      <c r="C26" s="366"/>
      <c r="D26" s="279"/>
      <c r="E26" s="279"/>
      <c r="F26" s="278"/>
      <c r="G26" s="279"/>
      <c r="H26" s="396"/>
      <c r="I26" s="368"/>
      <c r="J26" s="368"/>
      <c r="K26" s="398"/>
      <c r="L26" s="276"/>
      <c r="M26" s="399"/>
      <c r="N26" s="370"/>
      <c r="O26" s="371"/>
      <c r="P26" s="369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4"/>
      <c r="C27" s="366"/>
      <c r="D27" s="279"/>
      <c r="E27" s="279"/>
      <c r="F27" s="278"/>
      <c r="G27" s="279"/>
      <c r="H27" s="396"/>
      <c r="I27" s="368"/>
      <c r="J27" s="368"/>
      <c r="K27" s="398"/>
      <c r="L27" s="276"/>
      <c r="M27" s="399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4"/>
      <c r="C28" s="366"/>
      <c r="D28" s="279"/>
      <c r="E28" s="279"/>
      <c r="F28" s="278"/>
      <c r="G28" s="279"/>
      <c r="H28" s="396"/>
      <c r="I28" s="368"/>
      <c r="J28" s="368"/>
      <c r="K28" s="398"/>
      <c r="L28" s="276"/>
      <c r="M28" s="399"/>
      <c r="N28" s="370"/>
      <c r="O28" s="371"/>
      <c r="P28" s="375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.75" hidden="1" customHeight="1">
      <c r="B29" s="34"/>
      <c r="C29" s="366"/>
      <c r="D29" s="279"/>
      <c r="E29" s="279"/>
      <c r="F29" s="278"/>
      <c r="G29" s="279"/>
      <c r="H29" s="396"/>
      <c r="I29" s="368"/>
      <c r="J29" s="368"/>
      <c r="K29" s="398"/>
      <c r="L29" s="276"/>
      <c r="M29" s="399"/>
      <c r="N29" s="370"/>
      <c r="O29" s="371"/>
      <c r="P29" s="375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375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375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375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375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375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74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.75" hidden="1" customHeight="1">
      <c r="B37" s="33"/>
      <c r="C37" s="366"/>
      <c r="D37" s="279"/>
      <c r="E37" s="279"/>
      <c r="F37" s="278"/>
      <c r="G37" s="279"/>
      <c r="H37" s="396"/>
      <c r="I37" s="417"/>
      <c r="J37" s="417"/>
      <c r="K37" s="398"/>
      <c r="L37" s="276"/>
      <c r="M37" s="374"/>
      <c r="N37" s="370"/>
      <c r="O37" s="418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.75" hidden="1" customHeight="1">
      <c r="B38" s="33"/>
      <c r="C38" s="366"/>
      <c r="D38" s="279"/>
      <c r="E38" s="279"/>
      <c r="F38" s="278"/>
      <c r="G38" s="279"/>
      <c r="H38" s="396"/>
      <c r="I38" s="417"/>
      <c r="J38" s="417"/>
      <c r="K38" s="398"/>
      <c r="L38" s="276"/>
      <c r="M38" s="374"/>
      <c r="N38" s="370"/>
      <c r="O38" s="418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.75" hidden="1" customHeight="1">
      <c r="B39" s="33"/>
      <c r="C39" s="366"/>
      <c r="D39" s="279"/>
      <c r="E39" s="279"/>
      <c r="F39" s="278"/>
      <c r="G39" s="279"/>
      <c r="H39" s="396"/>
      <c r="I39" s="417"/>
      <c r="J39" s="417"/>
      <c r="K39" s="398"/>
      <c r="L39" s="276"/>
      <c r="M39" s="374"/>
      <c r="N39" s="370"/>
      <c r="O39" s="418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.75" hidden="1" customHeight="1">
      <c r="B40" s="33"/>
      <c r="C40" s="366"/>
      <c r="D40" s="279"/>
      <c r="E40" s="279"/>
      <c r="F40" s="278"/>
      <c r="G40" s="279"/>
      <c r="H40" s="396"/>
      <c r="I40" s="417"/>
      <c r="J40" s="417"/>
      <c r="K40" s="398"/>
      <c r="L40" s="276"/>
      <c r="M40" s="374"/>
      <c r="N40" s="370"/>
      <c r="O40" s="418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7"/>
      <c r="J41" s="417"/>
      <c r="K41" s="398"/>
      <c r="L41" s="276"/>
      <c r="M41" s="374"/>
      <c r="N41" s="370"/>
      <c r="O41" s="418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7"/>
      <c r="J42" s="417"/>
      <c r="K42" s="398"/>
      <c r="L42" s="276"/>
      <c r="M42" s="374"/>
      <c r="N42" s="370"/>
      <c r="O42" s="418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.75" hidden="1" customHeight="1">
      <c r="B43" s="33"/>
      <c r="C43" s="366"/>
      <c r="D43" s="279"/>
      <c r="E43" s="279"/>
      <c r="F43" s="278"/>
      <c r="G43" s="279"/>
      <c r="H43" s="396"/>
      <c r="I43" s="417"/>
      <c r="J43" s="417"/>
      <c r="K43" s="398"/>
      <c r="L43" s="276"/>
      <c r="M43" s="374"/>
      <c r="N43" s="370"/>
      <c r="O43" s="418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.75" hidden="1" customHeight="1">
      <c r="B44" s="33"/>
      <c r="C44" s="366"/>
      <c r="D44" s="279"/>
      <c r="E44" s="279"/>
      <c r="F44" s="278"/>
      <c r="G44" s="279"/>
      <c r="H44" s="396"/>
      <c r="I44" s="417"/>
      <c r="J44" s="417"/>
      <c r="K44" s="398"/>
      <c r="L44" s="276"/>
      <c r="M44" s="374"/>
      <c r="N44" s="370"/>
      <c r="O44" s="418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.75" hidden="1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276"/>
      <c r="M45" s="397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.7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276"/>
      <c r="M47" s="397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hidden="1" customHeight="1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276"/>
      <c r="M48" s="397"/>
      <c r="N48" s="370"/>
      <c r="O48" s="371"/>
      <c r="P48" s="369"/>
      <c r="Q48" s="347"/>
      <c r="S48" s="277">
        <f t="shared" si="0"/>
        <v>0</v>
      </c>
      <c r="T48" s="296" t="e">
        <f t="shared" si="1"/>
        <v>#N/A</v>
      </c>
      <c r="U48" s="296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7" t="e">
        <f t="shared" si="7"/>
        <v>#N/A</v>
      </c>
      <c r="AA48" s="296" t="e">
        <f t="shared" si="8"/>
        <v>#N/A</v>
      </c>
    </row>
    <row r="49" spans="1:27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276"/>
      <c r="M49" s="397"/>
      <c r="N49" s="370"/>
      <c r="O49" s="371"/>
      <c r="P49" s="369"/>
      <c r="Q49" s="347"/>
      <c r="S49" s="277">
        <f t="shared" si="0"/>
        <v>0</v>
      </c>
      <c r="T49" s="296" t="e">
        <f t="shared" si="1"/>
        <v>#N/A</v>
      </c>
      <c r="U49" s="296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7" t="e">
        <f t="shared" si="7"/>
        <v>#N/A</v>
      </c>
      <c r="AA49" s="296" t="e">
        <f t="shared" si="8"/>
        <v>#N/A</v>
      </c>
    </row>
    <row r="50" spans="1:27" ht="14.4" hidden="1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276"/>
      <c r="M50" s="374"/>
      <c r="N50" s="370"/>
      <c r="O50" s="371"/>
      <c r="P50" s="369"/>
      <c r="Q50" s="347"/>
      <c r="S50" s="277">
        <f t="shared" si="0"/>
        <v>0</v>
      </c>
      <c r="T50" s="296" t="e">
        <f t="shared" si="1"/>
        <v>#N/A</v>
      </c>
      <c r="U50" s="296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7" t="e">
        <f t="shared" si="7"/>
        <v>#N/A</v>
      </c>
      <c r="AA50" s="296" t="e">
        <f t="shared" si="8"/>
        <v>#N/A</v>
      </c>
    </row>
    <row r="51" spans="1:27" ht="15.75" customHeight="1" thickBot="1">
      <c r="B51" s="358"/>
      <c r="C51" s="358"/>
      <c r="D51" s="358"/>
      <c r="E51" s="358"/>
      <c r="F51" s="294"/>
      <c r="G51" s="294"/>
      <c r="H51" s="348"/>
      <c r="I51" s="500" t="s">
        <v>34</v>
      </c>
      <c r="J51" s="500"/>
      <c r="K51" s="500"/>
      <c r="L51" s="500"/>
      <c r="M51" s="500"/>
      <c r="N51" s="500"/>
      <c r="O51" s="1"/>
      <c r="P51" s="12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5" thickBot="1">
      <c r="B52" s="388" t="s">
        <v>145</v>
      </c>
      <c r="C52" s="388"/>
      <c r="D52" s="478" t="s">
        <v>35</v>
      </c>
      <c r="E52" s="479"/>
      <c r="F52" s="294"/>
      <c r="G52" s="294"/>
      <c r="H52" s="23"/>
      <c r="I52" s="24" t="s">
        <v>17</v>
      </c>
      <c r="J52" s="25" t="s">
        <v>146</v>
      </c>
      <c r="K52" s="26" t="s">
        <v>138</v>
      </c>
      <c r="L52" s="25" t="s">
        <v>37</v>
      </c>
      <c r="M52" s="25" t="s">
        <v>38</v>
      </c>
      <c r="N52" s="27" t="s">
        <v>39</v>
      </c>
      <c r="O52" s="294"/>
      <c r="P52" s="12"/>
      <c r="S52" s="277"/>
      <c r="T52" s="296"/>
      <c r="U52" s="296"/>
      <c r="V52" s="297"/>
      <c r="W52" s="297"/>
      <c r="X52" s="297"/>
      <c r="Y52" s="297"/>
      <c r="Z52" s="297"/>
      <c r="AA52" s="296"/>
    </row>
    <row r="53" spans="1:27" ht="15" customHeight="1">
      <c r="A53" s="28"/>
      <c r="B53" s="548" t="s">
        <v>6</v>
      </c>
      <c r="C53" s="362" cm="1">
        <f t="array" ref="C53:C56">[22]Process!$D$132:$D$135</f>
        <v>11.6</v>
      </c>
      <c r="D53" s="504">
        <v>11.76</v>
      </c>
      <c r="E53" s="505"/>
      <c r="F53" s="294"/>
      <c r="G53" s="294"/>
      <c r="H53" s="294"/>
      <c r="I53" s="29" t="s">
        <v>6</v>
      </c>
      <c r="J53" s="323">
        <f>AVERAGE(I10:I14)</f>
        <v>93.462412788070267</v>
      </c>
      <c r="K53" s="284">
        <f>COUNTA([22]Brewhouse!$A$173:$A$174)</f>
        <v>2</v>
      </c>
      <c r="L53" s="302">
        <f>AVERAGE([22]Brewhouse!$AU$173:$AU$179)</f>
        <v>93.325406890411799</v>
      </c>
      <c r="M53" s="302">
        <f>AVERAGE([22]Brewhouse!$AU$102:$AU$171,[22]Brewhouse!$AU$173:$AU$179)</f>
        <v>94.462349766384776</v>
      </c>
      <c r="N53" s="30">
        <v>98</v>
      </c>
      <c r="O53" s="11"/>
      <c r="P53" s="31"/>
      <c r="S53" s="277"/>
      <c r="T53" s="296"/>
      <c r="U53" s="296"/>
      <c r="V53" s="297"/>
      <c r="W53" s="297"/>
      <c r="X53" s="297"/>
      <c r="Y53" s="297"/>
      <c r="Z53" s="297"/>
      <c r="AA53" s="296"/>
    </row>
    <row r="54" spans="1:27" ht="15" customHeight="1">
      <c r="A54" s="28"/>
      <c r="B54" s="549"/>
      <c r="C54" s="349">
        <v>11.9</v>
      </c>
      <c r="D54" s="506"/>
      <c r="E54" s="507"/>
      <c r="F54" s="294"/>
      <c r="G54" s="294"/>
      <c r="H54" s="32"/>
      <c r="I54" s="33" t="s">
        <v>9</v>
      </c>
      <c r="J54" s="323"/>
      <c r="K54" s="284"/>
      <c r="L54" s="302"/>
      <c r="M54" s="302">
        <f>AVERAGE([24]Brewhouse!$AS$15:$AS$64)</f>
        <v>96.07733212061747</v>
      </c>
      <c r="N54" s="30">
        <v>98</v>
      </c>
      <c r="O54" s="11"/>
      <c r="P54" s="31"/>
      <c r="S54" s="277"/>
      <c r="T54" s="296"/>
      <c r="U54" s="296"/>
      <c r="V54" s="297"/>
      <c r="W54" s="297"/>
      <c r="X54" s="297"/>
      <c r="Y54" s="297"/>
      <c r="Z54" s="297"/>
      <c r="AA54" s="296"/>
    </row>
    <row r="55" spans="1:27" ht="14.7" customHeight="1">
      <c r="A55" s="28"/>
      <c r="B55" s="549"/>
      <c r="C55" s="349">
        <v>12</v>
      </c>
      <c r="D55" s="504">
        <v>11.73</v>
      </c>
      <c r="E55" s="505"/>
      <c r="F55" s="294"/>
      <c r="G55" s="294"/>
      <c r="H55" s="32"/>
      <c r="I55" s="34" t="s">
        <v>12</v>
      </c>
      <c r="J55" s="280"/>
      <c r="K55" s="284">
        <f>COUNTA([23]Brewhouse!$A$9:$A$14)</f>
        <v>6</v>
      </c>
      <c r="L55" s="302">
        <f>AVERAGE([23]Brewhouse!$AU$9:$AU$14)</f>
        <v>96.577361087083986</v>
      </c>
      <c r="M55" s="302">
        <f>AVERAGE([23]Brewhouse!$AU$4:$AU$7,[23]Brewhouse!$AU$9:$AU$14)</f>
        <v>96.787191796473266</v>
      </c>
      <c r="N55" s="30">
        <v>98</v>
      </c>
      <c r="O55" s="11"/>
      <c r="P55" s="31"/>
      <c r="S55" s="23"/>
      <c r="T55" s="1"/>
      <c r="U55" s="1"/>
      <c r="AA55" s="285"/>
    </row>
    <row r="56" spans="1:27" ht="14.7" customHeight="1">
      <c r="A56" s="28"/>
      <c r="B56" s="549"/>
      <c r="C56" s="349">
        <v>11.8</v>
      </c>
      <c r="D56" s="506"/>
      <c r="E56" s="507"/>
      <c r="F56" s="294"/>
      <c r="G56" s="294"/>
      <c r="H56" s="32"/>
      <c r="I56" s="22" t="s">
        <v>33</v>
      </c>
      <c r="J56" s="280"/>
      <c r="K56" s="284"/>
      <c r="L56" s="302"/>
      <c r="M56" s="302">
        <f>AVERAGE([25]Brewhouse!$AV$5:$AV$14)</f>
        <v>97.717673301363135</v>
      </c>
      <c r="N56" s="30">
        <v>98</v>
      </c>
      <c r="O56" s="11"/>
      <c r="P56" s="31"/>
      <c r="S56" s="23"/>
      <c r="T56" s="1"/>
      <c r="U56" s="1"/>
      <c r="AA56" s="285"/>
    </row>
    <row r="57" spans="1:27" ht="14.7" customHeight="1">
      <c r="A57" s="28"/>
      <c r="B57" s="549"/>
      <c r="C57" s="349" cm="1">
        <f t="array" ref="C57:C60">[22]Process!$D$140:$D$143</f>
        <v>12</v>
      </c>
      <c r="D57" s="504">
        <v>11.69</v>
      </c>
      <c r="E57" s="505"/>
      <c r="F57" s="294"/>
      <c r="G57" s="294"/>
      <c r="H57" s="32"/>
      <c r="I57" s="35" t="s">
        <v>29</v>
      </c>
      <c r="J57" s="280"/>
      <c r="K57" s="284"/>
      <c r="L57" s="302"/>
      <c r="M57" s="302"/>
      <c r="N57" s="30">
        <v>98</v>
      </c>
      <c r="O57" s="11"/>
      <c r="P57" s="31"/>
      <c r="S57" s="23"/>
    </row>
    <row r="58" spans="1:27" ht="14.7" customHeight="1">
      <c r="A58" s="28"/>
      <c r="B58" s="549"/>
      <c r="C58" s="349">
        <v>11.9</v>
      </c>
      <c r="D58" s="506"/>
      <c r="E58" s="507"/>
      <c r="F58" s="294"/>
      <c r="G58" s="294"/>
      <c r="H58" s="32"/>
      <c r="I58" s="36" t="s">
        <v>15</v>
      </c>
      <c r="J58" s="323"/>
      <c r="K58" s="284"/>
      <c r="L58" s="302"/>
      <c r="M58" s="302">
        <f>AVERAGE([26]Brewhouse!$AT$4:$AT$11)</f>
        <v>94.812616598822359</v>
      </c>
      <c r="N58" s="30">
        <v>98</v>
      </c>
      <c r="O58" s="11"/>
      <c r="P58" s="31"/>
      <c r="S58" s="23"/>
    </row>
    <row r="59" spans="1:27" ht="14.7" customHeight="1">
      <c r="A59" s="28"/>
      <c r="B59" s="549"/>
      <c r="C59" s="349">
        <v>11.6</v>
      </c>
      <c r="D59" s="504">
        <v>11.86</v>
      </c>
      <c r="E59" s="505"/>
      <c r="F59" s="294"/>
      <c r="G59" s="294"/>
      <c r="H59" s="32"/>
      <c r="I59" s="37" t="s">
        <v>16</v>
      </c>
      <c r="J59" s="323"/>
      <c r="K59" s="284"/>
      <c r="L59" s="302"/>
      <c r="M59" s="302">
        <f>AVERAGE([27]Brewhouse!$AY$6:$AY$13)</f>
        <v>93.094805585685208</v>
      </c>
      <c r="N59" s="30">
        <v>98</v>
      </c>
      <c r="O59" s="11"/>
      <c r="P59" s="31" t="s">
        <v>41</v>
      </c>
      <c r="S59" s="23"/>
      <c r="X59" s="275" t="s">
        <v>41</v>
      </c>
    </row>
    <row r="60" spans="1:27" ht="14.7" customHeight="1">
      <c r="A60" s="28"/>
      <c r="B60" s="549"/>
      <c r="C60" s="349">
        <v>11.9</v>
      </c>
      <c r="D60" s="506"/>
      <c r="E60" s="507"/>
      <c r="F60" s="294"/>
      <c r="G60" s="294"/>
      <c r="H60" s="32"/>
      <c r="I60" s="416" t="s">
        <v>158</v>
      </c>
      <c r="J60" s="326"/>
      <c r="K60" s="284"/>
      <c r="L60" s="305"/>
      <c r="M60" s="305">
        <f>AVERAGE([28]Brewhouse!$AU$5:$AU$8)</f>
        <v>91.006888337619571</v>
      </c>
      <c r="N60" s="30">
        <v>98</v>
      </c>
      <c r="O60" s="11"/>
      <c r="P60" s="31"/>
      <c r="S60" s="23"/>
    </row>
    <row r="61" spans="1:27" ht="14.7" customHeight="1">
      <c r="A61" s="28"/>
      <c r="B61" s="549"/>
      <c r="C61" s="349"/>
      <c r="D61" s="504"/>
      <c r="E61" s="505"/>
      <c r="F61" s="294"/>
      <c r="G61" s="294"/>
      <c r="H61" s="32"/>
      <c r="I61" s="415" t="s">
        <v>157</v>
      </c>
      <c r="J61" s="326"/>
      <c r="K61" s="284"/>
      <c r="L61" s="305"/>
      <c r="M61" s="305"/>
      <c r="N61" s="30"/>
      <c r="O61" s="11"/>
      <c r="P61" s="31"/>
      <c r="S61" s="23"/>
    </row>
    <row r="62" spans="1:27" ht="15" customHeight="1" thickBot="1">
      <c r="A62" s="28"/>
      <c r="B62" s="549"/>
      <c r="C62" s="349"/>
      <c r="D62" s="506"/>
      <c r="E62" s="507"/>
      <c r="F62" s="294"/>
      <c r="G62" s="294"/>
      <c r="H62" s="32"/>
      <c r="I62" s="411" t="s">
        <v>156</v>
      </c>
      <c r="J62" s="327"/>
      <c r="K62" s="412"/>
      <c r="L62" s="413"/>
      <c r="M62" s="413"/>
      <c r="N62" s="414">
        <v>98</v>
      </c>
      <c r="O62" s="11"/>
      <c r="P62" s="31"/>
      <c r="S62" s="23"/>
    </row>
    <row r="63" spans="1:27" ht="15" customHeight="1" thickBot="1">
      <c r="A63" s="28"/>
      <c r="B63" s="549"/>
      <c r="C63" s="349"/>
      <c r="D63" s="504"/>
      <c r="E63" s="505"/>
      <c r="F63" s="294"/>
      <c r="G63" s="294"/>
      <c r="H63" s="32"/>
      <c r="I63" s="1"/>
      <c r="J63" s="39"/>
      <c r="K63" s="409">
        <f>SUM(K53:K62)</f>
        <v>8</v>
      </c>
      <c r="L63" s="410">
        <f>((L53*K53)+(L54*K54)+(L55*K55)+(L56*K56)+(L57*K57)+(K60*L60)+(L58*K58)+(L59*K59)+(L62*K62))/(K63)</f>
        <v>95.764372537915932</v>
      </c>
      <c r="M63" s="410">
        <f>L63</f>
        <v>95.764372537915932</v>
      </c>
      <c r="N63" s="40">
        <v>98</v>
      </c>
      <c r="O63" s="11"/>
      <c r="P63" s="31"/>
      <c r="S63" s="23"/>
    </row>
    <row r="64" spans="1:27" ht="15" thickBot="1">
      <c r="B64" s="550"/>
      <c r="C64" s="350"/>
      <c r="D64" s="506"/>
      <c r="E64" s="507"/>
      <c r="F64" s="294"/>
      <c r="G64" s="42"/>
      <c r="H64" s="41"/>
      <c r="I64" s="42"/>
      <c r="J64" s="42"/>
      <c r="K64" s="351"/>
      <c r="L64" s="348"/>
      <c r="M64" s="348"/>
      <c r="N64" s="11"/>
      <c r="O64" s="294"/>
      <c r="P64" s="12"/>
      <c r="S64" s="23"/>
    </row>
    <row r="65" spans="2:57" ht="15" thickBot="1">
      <c r="B65" s="551"/>
      <c r="C65" s="362"/>
      <c r="D65" s="517"/>
      <c r="E65" s="518"/>
      <c r="F65" s="43"/>
      <c r="G65" s="41"/>
      <c r="H65" s="41"/>
      <c r="I65" s="42"/>
      <c r="J65" s="520" t="s">
        <v>129</v>
      </c>
      <c r="K65" s="520"/>
      <c r="L65" s="294"/>
      <c r="M65" s="294"/>
      <c r="N65" s="294"/>
      <c r="O65" s="294"/>
      <c r="P65" s="12"/>
      <c r="S65" s="23" t="s">
        <v>41</v>
      </c>
    </row>
    <row r="66" spans="2:57" ht="13.5" customHeight="1" thickBot="1">
      <c r="B66" s="552"/>
      <c r="C66" s="349"/>
      <c r="D66" s="519"/>
      <c r="E66" s="507"/>
      <c r="F66" s="43"/>
      <c r="G66" s="41"/>
      <c r="H66" s="41"/>
      <c r="I66" s="42"/>
      <c r="J66" s="419" t="s">
        <v>17</v>
      </c>
      <c r="K66" s="293" t="s">
        <v>147</v>
      </c>
      <c r="L66" s="521" t="s">
        <v>136</v>
      </c>
      <c r="M66" s="521"/>
      <c r="N66" s="522"/>
      <c r="O66" s="294"/>
      <c r="P66" s="12"/>
      <c r="S66" s="23"/>
    </row>
    <row r="67" spans="2:57" ht="15" customHeight="1" thickBot="1">
      <c r="B67" s="552"/>
      <c r="C67" s="349"/>
      <c r="D67" s="523"/>
      <c r="E67" s="505"/>
      <c r="F67" s="43"/>
      <c r="G67" s="41"/>
      <c r="H67" s="41"/>
      <c r="I67" s="42"/>
      <c r="J67" s="420" t="s">
        <v>6</v>
      </c>
      <c r="K67" s="324">
        <f>COUNTA(C10:C14)</f>
        <v>5</v>
      </c>
      <c r="L67" s="343" t="s">
        <v>37</v>
      </c>
      <c r="M67" s="307" t="s">
        <v>38</v>
      </c>
      <c r="N67" s="307" t="s">
        <v>84</v>
      </c>
      <c r="O67" s="294"/>
      <c r="P67" s="12"/>
      <c r="S67" s="23"/>
    </row>
    <row r="68" spans="2:57" ht="15.75" customHeight="1" thickBot="1">
      <c r="B68" s="552"/>
      <c r="C68" s="349"/>
      <c r="D68" s="519"/>
      <c r="E68" s="507"/>
      <c r="F68" s="43"/>
      <c r="G68" s="41"/>
      <c r="H68" s="41"/>
      <c r="I68" s="42"/>
      <c r="J68" s="421" t="s">
        <v>9</v>
      </c>
      <c r="K68" s="324"/>
      <c r="L68" s="344">
        <f>AVERAGE('Feb 3rd'!K79,'Feb 4th'!K77)</f>
        <v>6.5</v>
      </c>
      <c r="M68" s="325">
        <f>AVERAGE('[29]Jan 29th '!$M$70,L68)</f>
        <v>6.5</v>
      </c>
      <c r="N68" s="401"/>
      <c r="O68" s="294"/>
      <c r="P68" s="12"/>
      <c r="S68" s="23"/>
    </row>
    <row r="69" spans="2:57" ht="15" customHeight="1">
      <c r="B69" s="552"/>
      <c r="C69" s="349"/>
      <c r="D69" s="523"/>
      <c r="E69" s="505"/>
      <c r="F69" s="43"/>
      <c r="G69" s="41"/>
      <c r="H69" s="41"/>
      <c r="I69" s="42"/>
      <c r="J69" s="422" t="s">
        <v>40</v>
      </c>
      <c r="K69" s="324"/>
      <c r="L69" s="294"/>
      <c r="M69" s="294"/>
      <c r="N69" s="294"/>
      <c r="O69" s="294"/>
      <c r="P69" s="12"/>
      <c r="S69" s="23"/>
    </row>
    <row r="70" spans="2:57" ht="15" customHeight="1">
      <c r="B70" s="552"/>
      <c r="C70" s="349"/>
      <c r="D70" s="519"/>
      <c r="E70" s="507"/>
      <c r="F70" s="43"/>
      <c r="G70" s="41"/>
      <c r="H70" s="41"/>
      <c r="I70" s="42"/>
      <c r="J70" s="423" t="s">
        <v>33</v>
      </c>
      <c r="K70" s="324"/>
      <c r="L70" s="294"/>
      <c r="M70" s="294"/>
      <c r="N70" s="294"/>
      <c r="O70" s="294"/>
      <c r="P70" s="12"/>
      <c r="S70" s="23"/>
    </row>
    <row r="71" spans="2:57" ht="14.4">
      <c r="B71" s="552"/>
      <c r="C71" s="349"/>
      <c r="D71" s="523"/>
      <c r="E71" s="505"/>
      <c r="F71" s="43"/>
      <c r="G71" s="41"/>
      <c r="H71" s="41"/>
      <c r="I71" s="42"/>
      <c r="J71" s="424" t="s">
        <v>16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7" ht="14.4">
      <c r="B72" s="552"/>
      <c r="C72" s="349"/>
      <c r="D72" s="519"/>
      <c r="E72" s="507"/>
      <c r="F72" s="43"/>
      <c r="G72" s="41"/>
      <c r="H72" s="41"/>
      <c r="I72" s="42"/>
      <c r="J72" s="425" t="s">
        <v>15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7" ht="14.4">
      <c r="B73" s="552"/>
      <c r="C73" s="349"/>
      <c r="D73" s="524"/>
      <c r="E73" s="509"/>
      <c r="F73" s="43"/>
      <c r="G73" s="41"/>
      <c r="H73" s="41"/>
      <c r="I73" s="42"/>
      <c r="J73" s="425" t="s">
        <v>149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7" ht="15" thickBot="1">
      <c r="B74" s="553"/>
      <c r="C74" s="350"/>
      <c r="D74" s="525"/>
      <c r="E74" s="526"/>
      <c r="F74" s="43"/>
      <c r="G74" s="41"/>
      <c r="H74" s="41"/>
      <c r="I74" s="42"/>
      <c r="J74" s="425" t="s">
        <v>148</v>
      </c>
      <c r="K74" s="324"/>
      <c r="L74" s="294"/>
      <c r="M74" s="294"/>
      <c r="N74" s="294"/>
      <c r="O74" s="294"/>
      <c r="P74" s="12"/>
      <c r="S74" s="23"/>
      <c r="BD74" s="44"/>
      <c r="BE74" s="44"/>
    </row>
    <row r="75" spans="2:57" ht="17.7" customHeight="1" thickBot="1">
      <c r="B75" s="312" t="s">
        <v>139</v>
      </c>
      <c r="C75" s="313"/>
      <c r="D75" s="527">
        <f>AVERAGE(D53:E74)</f>
        <v>11.76</v>
      </c>
      <c r="E75" s="528"/>
      <c r="F75" s="43"/>
      <c r="G75" s="41"/>
      <c r="H75" s="41"/>
      <c r="I75" s="42"/>
      <c r="J75" s="426" t="s">
        <v>134</v>
      </c>
      <c r="K75" s="324"/>
      <c r="L75" s="294"/>
      <c r="M75" s="294"/>
      <c r="N75" s="294"/>
      <c r="O75" s="294"/>
      <c r="P75" s="12"/>
      <c r="S75" s="23"/>
      <c r="BD75" s="44"/>
      <c r="BE75" s="44"/>
    </row>
    <row r="76" spans="2:57" ht="17.7" customHeight="1">
      <c r="B76" s="363"/>
      <c r="C76" s="364"/>
      <c r="D76" s="365"/>
      <c r="E76" s="365"/>
      <c r="F76" s="43"/>
      <c r="G76" s="41"/>
      <c r="H76" s="41"/>
      <c r="I76" s="42"/>
      <c r="J76" s="426" t="s">
        <v>131</v>
      </c>
      <c r="K76" s="324"/>
      <c r="L76" s="294"/>
      <c r="M76" s="294"/>
      <c r="N76" s="294"/>
      <c r="O76" s="294"/>
      <c r="P76" s="12"/>
      <c r="S76" s="23"/>
      <c r="BD76" s="44"/>
      <c r="BE76" s="44"/>
    </row>
    <row r="77" spans="2:57" ht="15.75" customHeight="1">
      <c r="B77" s="45"/>
      <c r="C77" s="11"/>
      <c r="D77" s="11"/>
      <c r="E77" s="46"/>
      <c r="F77" s="23"/>
      <c r="G77" s="11"/>
      <c r="H77" s="41"/>
      <c r="I77" s="42"/>
      <c r="J77" s="427" t="s">
        <v>130</v>
      </c>
      <c r="K77" s="324">
        <f>SUM(K67:K76)</f>
        <v>5</v>
      </c>
      <c r="L77" s="294"/>
      <c r="M77" s="294"/>
      <c r="N77" s="294"/>
      <c r="O77" s="294"/>
      <c r="P77" s="12"/>
    </row>
    <row r="78" spans="2:57" ht="20.25" customHeight="1">
      <c r="B78" s="15" t="s">
        <v>42</v>
      </c>
      <c r="C78" s="1" t="s">
        <v>43</v>
      </c>
      <c r="D78" s="1"/>
      <c r="E78" s="1"/>
      <c r="I78" s="42"/>
      <c r="L78" s="294"/>
      <c r="P78" s="334"/>
    </row>
    <row r="79" spans="2:57" ht="15" customHeight="1" thickBot="1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8"/>
      <c r="O79" s="48"/>
      <c r="P79" s="49"/>
      <c r="X79" s="275" t="s">
        <v>41</v>
      </c>
    </row>
    <row r="80" spans="2:57" ht="15" customHeight="1" thickBot="1">
      <c r="B80" s="529" t="s">
        <v>17</v>
      </c>
      <c r="C80" s="529" t="s">
        <v>44</v>
      </c>
      <c r="D80" s="531" t="s">
        <v>45</v>
      </c>
      <c r="E80" s="486" t="s">
        <v>46</v>
      </c>
      <c r="F80" s="546" t="s">
        <v>47</v>
      </c>
      <c r="G80" s="540" t="s">
        <v>48</v>
      </c>
      <c r="H80" s="529" t="s">
        <v>49</v>
      </c>
      <c r="I80" s="529" t="s">
        <v>50</v>
      </c>
      <c r="J80" s="534" t="s">
        <v>28</v>
      </c>
      <c r="K80" s="484" t="s">
        <v>51</v>
      </c>
      <c r="L80" s="496" t="s">
        <v>52</v>
      </c>
      <c r="M80" s="534" t="s">
        <v>53</v>
      </c>
      <c r="N80" s="77"/>
      <c r="O80" s="13"/>
      <c r="P80" s="50"/>
    </row>
    <row r="81" spans="2:58" ht="28.5" customHeight="1" thickTop="1" thickBot="1">
      <c r="B81" s="530"/>
      <c r="C81" s="530"/>
      <c r="D81" s="532"/>
      <c r="E81" s="533"/>
      <c r="F81" s="547"/>
      <c r="G81" s="541"/>
      <c r="H81" s="530"/>
      <c r="I81" s="530"/>
      <c r="J81" s="535"/>
      <c r="K81" s="544"/>
      <c r="L81" s="545"/>
      <c r="M81" s="535"/>
      <c r="N81" s="77"/>
      <c r="O81" s="13"/>
      <c r="P81" s="50"/>
      <c r="Q81" s="355"/>
      <c r="R81" s="355"/>
      <c r="S81" s="355"/>
      <c r="T81" s="355"/>
      <c r="U81" s="51">
        <v>43466</v>
      </c>
      <c r="V81" s="51">
        <v>43467</v>
      </c>
      <c r="W81" s="51">
        <v>43468</v>
      </c>
      <c r="X81" s="51">
        <v>43469</v>
      </c>
      <c r="Y81" s="51">
        <v>43470</v>
      </c>
      <c r="Z81" s="51">
        <v>43471</v>
      </c>
      <c r="AA81" s="51">
        <v>43472</v>
      </c>
      <c r="AB81" s="51">
        <v>43473</v>
      </c>
      <c r="AC81" s="51">
        <v>43474</v>
      </c>
      <c r="AD81" s="51">
        <v>43475</v>
      </c>
      <c r="AE81" s="51">
        <v>43476</v>
      </c>
      <c r="AF81" s="51">
        <v>43477</v>
      </c>
      <c r="AG81" s="51">
        <v>43478</v>
      </c>
      <c r="AH81" s="51">
        <v>43479</v>
      </c>
      <c r="AI81" s="51">
        <v>43480</v>
      </c>
      <c r="AJ81" s="51">
        <v>43481</v>
      </c>
      <c r="AK81" s="51">
        <v>43482</v>
      </c>
      <c r="AL81" s="51">
        <v>43483</v>
      </c>
      <c r="AM81" s="51">
        <v>43484</v>
      </c>
      <c r="AN81" s="51">
        <v>43485</v>
      </c>
      <c r="AO81" s="51">
        <v>43486</v>
      </c>
      <c r="AP81" s="51">
        <v>43487</v>
      </c>
      <c r="AQ81" s="51">
        <v>43488</v>
      </c>
      <c r="AR81" s="51">
        <v>43489</v>
      </c>
      <c r="AS81" s="51">
        <v>43490</v>
      </c>
      <c r="AT81" s="51">
        <v>43491</v>
      </c>
      <c r="AU81" s="51">
        <v>43492</v>
      </c>
      <c r="AV81" s="51">
        <v>43493</v>
      </c>
      <c r="AW81" s="51">
        <v>43494</v>
      </c>
      <c r="AX81" s="51">
        <v>43495</v>
      </c>
      <c r="AY81" s="51">
        <v>43496</v>
      </c>
    </row>
    <row r="82" spans="2:58" s="54" customFormat="1" ht="56.4" customHeight="1" thickBot="1">
      <c r="B82" s="428" t="str">
        <f>J67</f>
        <v>CARIB</v>
      </c>
      <c r="C82" s="283">
        <v>45692</v>
      </c>
      <c r="D82" s="377">
        <f>[30]February_2025!$G$3</f>
        <v>380.4</v>
      </c>
      <c r="E82" s="378"/>
      <c r="F82" s="379"/>
      <c r="G82" s="303">
        <f>[30]February_2025!$G$7</f>
        <v>361.29999999999995</v>
      </c>
      <c r="H82" s="400"/>
      <c r="I82" s="400"/>
      <c r="J82" s="390" t="s">
        <v>163</v>
      </c>
      <c r="K82" s="380">
        <f>[32]February_2025!$G$18</f>
        <v>0.6338596491228069</v>
      </c>
      <c r="L82" s="314">
        <f>(((D82+E82)-G82)/(D82+E82))*100</f>
        <v>5.0210304942166202</v>
      </c>
      <c r="M82" s="357" t="s">
        <v>164</v>
      </c>
      <c r="N82" s="13"/>
      <c r="O82" s="13"/>
      <c r="P82" s="50"/>
      <c r="T82" s="272" t="s">
        <v>54</v>
      </c>
      <c r="U82" s="279"/>
      <c r="V82" s="279"/>
      <c r="W82" s="279"/>
      <c r="X82" s="279"/>
      <c r="Y82" s="279"/>
      <c r="Z82" s="279"/>
      <c r="AA82" s="279"/>
      <c r="AB82" s="279"/>
      <c r="AC82" s="279"/>
      <c r="AD82" s="279"/>
      <c r="AE82" s="279"/>
      <c r="AF82" s="279"/>
      <c r="AG82" s="279"/>
      <c r="AH82" s="279"/>
      <c r="AI82" s="279"/>
      <c r="AJ82" s="279"/>
      <c r="AK82" s="279"/>
      <c r="AL82" s="279"/>
      <c r="AM82" s="279"/>
      <c r="AN82" s="279"/>
      <c r="AO82" s="279"/>
      <c r="AP82" s="279"/>
      <c r="AQ82" s="279"/>
      <c r="AR82" s="279"/>
      <c r="AS82" s="279"/>
      <c r="AT82" s="279"/>
      <c r="AU82" s="279"/>
      <c r="AV82" s="279"/>
      <c r="AW82" s="279"/>
      <c r="AX82" s="279"/>
    </row>
    <row r="83" spans="2:58" s="54" customFormat="1" ht="18.75" customHeight="1">
      <c r="B83" s="387"/>
      <c r="C83" s="283"/>
      <c r="D83" s="279"/>
      <c r="E83" s="279"/>
      <c r="F83" s="279"/>
      <c r="G83" s="279"/>
      <c r="H83" s="320"/>
      <c r="I83" s="321"/>
      <c r="J83" s="389"/>
      <c r="K83" s="376"/>
      <c r="L83" s="314"/>
      <c r="M83" s="384"/>
      <c r="N83" s="13"/>
      <c r="O83" s="13"/>
      <c r="P83" s="50"/>
      <c r="T83" s="272" t="s">
        <v>51</v>
      </c>
      <c r="U83" s="57" t="e">
        <f>[20]January_2019!D8</f>
        <v>#DIV/0!</v>
      </c>
      <c r="V83" s="57">
        <f>[20]January_2019!E8</f>
        <v>1.0319298245614037</v>
      </c>
      <c r="W83" s="57">
        <f>[20]January_2019!F8</f>
        <v>1.7789473684210526</v>
      </c>
      <c r="X83" s="57">
        <f>[20]January_2019!G8</f>
        <v>0.51929824561403504</v>
      </c>
      <c r="Y83" s="57" t="e">
        <f>[20]January_2019!H8</f>
        <v>#DIV/0!</v>
      </c>
      <c r="Z83" s="57" t="e">
        <f>[20]January_2019!I8</f>
        <v>#DIV/0!</v>
      </c>
      <c r="AA83" s="57">
        <f>[20]January_2019!J8</f>
        <v>1.365263157894737</v>
      </c>
      <c r="AB83" s="57" t="e">
        <f>[20]January_2019!K8</f>
        <v>#DIV/0!</v>
      </c>
      <c r="AC83" s="57">
        <f>[20]January_2019!L8</f>
        <v>1.0028070175438597</v>
      </c>
      <c r="AD83" s="57">
        <f>[20]January_2019!M8</f>
        <v>1.7828070175438597</v>
      </c>
      <c r="AE83" s="57" t="e">
        <f>[20]January_2019!N8</f>
        <v>#DIV/0!</v>
      </c>
      <c r="AF83" s="57" t="e">
        <f>[20]January_2019!O8</f>
        <v>#DIV/0!</v>
      </c>
      <c r="AG83" s="57">
        <f>[20]January_2019!P8</f>
        <v>0.19222222222222221</v>
      </c>
      <c r="AH83" s="57">
        <f>[20]January_2019!Q8</f>
        <v>0.52219298245614032</v>
      </c>
      <c r="AI83" s="57">
        <f>[20]January_2019!R8</f>
        <v>0.42912280701754385</v>
      </c>
      <c r="AJ83" s="57" t="e">
        <f>[20]January_2019!S8</f>
        <v>#DIV/0!</v>
      </c>
      <c r="AK83" s="57">
        <f>[20]January_2019!T8</f>
        <v>1.0340350877192983</v>
      </c>
      <c r="AL83" s="57">
        <f>[20]January_2019!U8</f>
        <v>0.98421052631578942</v>
      </c>
      <c r="AM83" s="57" t="e">
        <f>[20]January_2019!V8</f>
        <v>#DIV/0!</v>
      </c>
      <c r="AN83" s="57" t="e">
        <f>[20]January_2019!W8</f>
        <v>#DIV/0!</v>
      </c>
      <c r="AO83" s="57">
        <f>[20]January_2019!X8</f>
        <v>0.66052631578947374</v>
      </c>
      <c r="AP83" s="57">
        <f>[20]January_2019!Y8</f>
        <v>1.0375438596491227</v>
      </c>
      <c r="AQ83" s="57">
        <f>[20]January_2019!Z8</f>
        <v>0.90456140350877201</v>
      </c>
      <c r="AR83" s="57">
        <f>[20]January_2019!AA8</f>
        <v>1.0217543859649123</v>
      </c>
      <c r="AS83" s="57">
        <f>[20]January_2019!AB8</f>
        <v>0.65614035087719302</v>
      </c>
      <c r="AT83" s="57" t="e">
        <f>[20]January_2019!AC8</f>
        <v>#DIV/0!</v>
      </c>
      <c r="AU83" s="57" t="e">
        <f>[20]January_2019!AD8</f>
        <v>#DIV/0!</v>
      </c>
      <c r="AV83" s="57">
        <f>[20]January_2019!AE8</f>
        <v>1.7021052631578948</v>
      </c>
      <c r="AW83" s="57">
        <f>[20]January_2019!AF8</f>
        <v>0.60192982456140354</v>
      </c>
      <c r="AX83" s="57">
        <f>[20]January_2019!AG8</f>
        <v>1.4870175438596491</v>
      </c>
      <c r="AY83" s="277" t="e">
        <f>[20]January_2019!AH8</f>
        <v>#DIV/0!</v>
      </c>
      <c r="AZ83" s="277"/>
      <c r="BA83" s="277"/>
      <c r="BB83" s="277"/>
      <c r="BC83" s="277"/>
      <c r="BD83" s="277"/>
      <c r="BE83" s="277"/>
      <c r="BF83" s="277"/>
    </row>
    <row r="84" spans="2:58" s="54" customFormat="1" ht="42" hidden="1" customHeight="1">
      <c r="B84" s="387"/>
      <c r="C84" s="283"/>
      <c r="D84" s="279"/>
      <c r="E84" s="279"/>
      <c r="F84" s="279"/>
      <c r="G84" s="279"/>
      <c r="H84" s="320"/>
      <c r="I84" s="321"/>
      <c r="J84" s="389"/>
      <c r="K84" s="376"/>
      <c r="L84" s="314"/>
      <c r="M84" s="384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s="54" customFormat="1" hidden="1">
      <c r="B85" s="361"/>
      <c r="C85" s="283"/>
      <c r="D85" s="304"/>
      <c r="E85" s="279"/>
      <c r="F85" s="279"/>
      <c r="G85" s="279"/>
      <c r="H85" s="381"/>
      <c r="I85" s="382"/>
      <c r="J85" s="389"/>
      <c r="K85" s="376"/>
      <c r="L85" s="314"/>
      <c r="M85" s="354"/>
      <c r="N85" s="13"/>
      <c r="O85" s="13"/>
      <c r="P85" s="50"/>
      <c r="T85" s="272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277"/>
      <c r="AZ85" s="277"/>
      <c r="BA85" s="277"/>
      <c r="BB85" s="277"/>
      <c r="BC85" s="277"/>
      <c r="BD85" s="277"/>
      <c r="BE85" s="277"/>
      <c r="BF85" s="277"/>
    </row>
    <row r="86" spans="2:58" s="54" customFormat="1" ht="45.75" hidden="1" customHeight="1" thickBot="1">
      <c r="B86" s="429"/>
      <c r="C86" s="283"/>
      <c r="D86" s="279"/>
      <c r="E86" s="279"/>
      <c r="F86" s="279"/>
      <c r="G86" s="279"/>
      <c r="H86" s="320"/>
      <c r="I86" s="322"/>
      <c r="J86" s="390" t="s">
        <v>162</v>
      </c>
      <c r="K86" s="286"/>
      <c r="L86" s="314"/>
      <c r="M86" s="384"/>
      <c r="N86" s="13"/>
      <c r="O86" s="13"/>
      <c r="P86" s="50"/>
      <c r="T86" s="272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7"/>
      <c r="AZ86" s="277"/>
      <c r="BA86" s="277"/>
      <c r="BB86" s="277"/>
      <c r="BC86" s="277"/>
      <c r="BD86" s="277"/>
      <c r="BE86" s="277"/>
      <c r="BF86" s="277"/>
    </row>
    <row r="87" spans="2:58" s="54" customFormat="1" ht="45.75" hidden="1" customHeight="1">
      <c r="B87" s="387"/>
      <c r="C87" s="283"/>
      <c r="D87" s="279"/>
      <c r="E87" s="279"/>
      <c r="F87" s="279"/>
      <c r="G87" s="279"/>
      <c r="H87" s="320"/>
      <c r="I87" s="322"/>
      <c r="J87" s="281"/>
      <c r="K87" s="286"/>
      <c r="L87" s="314"/>
      <c r="M87" s="339"/>
      <c r="N87" s="13"/>
      <c r="O87" s="13"/>
      <c r="P87" s="50"/>
      <c r="T87" s="272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7"/>
      <c r="AZ87" s="277"/>
      <c r="BA87" s="277"/>
      <c r="BB87" s="277"/>
      <c r="BC87" s="277"/>
      <c r="BD87" s="277"/>
      <c r="BE87" s="277"/>
      <c r="BF87" s="277"/>
    </row>
    <row r="88" spans="2:58" ht="11.4" customHeight="1" thickBot="1">
      <c r="B88" s="33"/>
      <c r="C88" s="310"/>
      <c r="D88" s="279"/>
      <c r="E88" s="279"/>
      <c r="F88" s="279"/>
      <c r="G88" s="279"/>
      <c r="H88" s="352"/>
      <c r="I88" s="353"/>
      <c r="J88" s="281"/>
      <c r="K88" s="52"/>
      <c r="L88" s="53"/>
      <c r="M88" s="55"/>
      <c r="N88" s="77"/>
      <c r="O88" s="13"/>
      <c r="P88" s="56"/>
    </row>
    <row r="89" spans="2:58" ht="14.4" thickBot="1">
      <c r="B89" s="58"/>
      <c r="C89" s="309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9"/>
      <c r="O89" s="56"/>
      <c r="P89" s="60"/>
    </row>
    <row r="90" spans="2:58" ht="14.4" thickBot="1">
      <c r="B90" s="536" t="s">
        <v>55</v>
      </c>
      <c r="C90" s="537"/>
      <c r="D90" s="537"/>
      <c r="E90" s="537"/>
      <c r="F90" s="538"/>
      <c r="G90" s="536" t="s">
        <v>56</v>
      </c>
      <c r="H90" s="537"/>
      <c r="I90" s="537"/>
      <c r="J90" s="538"/>
      <c r="K90" s="536" t="s">
        <v>51</v>
      </c>
      <c r="L90" s="537"/>
      <c r="M90" s="537"/>
      <c r="N90" s="539"/>
      <c r="O90" s="56"/>
      <c r="P90" s="50"/>
    </row>
    <row r="91" spans="2:58">
      <c r="B91" s="61" t="s">
        <v>17</v>
      </c>
      <c r="C91" s="62" t="s">
        <v>36</v>
      </c>
      <c r="D91" s="62" t="s">
        <v>37</v>
      </c>
      <c r="E91" s="62" t="s">
        <v>38</v>
      </c>
      <c r="F91" s="63" t="s">
        <v>39</v>
      </c>
      <c r="G91" s="62" t="s">
        <v>36</v>
      </c>
      <c r="H91" s="62" t="s">
        <v>37</v>
      </c>
      <c r="I91" s="62" t="s">
        <v>38</v>
      </c>
      <c r="J91" s="63" t="s">
        <v>39</v>
      </c>
      <c r="K91" s="62" t="s">
        <v>36</v>
      </c>
      <c r="L91" s="62" t="s">
        <v>37</v>
      </c>
      <c r="M91" s="62" t="s">
        <v>38</v>
      </c>
      <c r="N91" s="63" t="s">
        <v>39</v>
      </c>
      <c r="O91" s="56"/>
      <c r="P91" s="64"/>
    </row>
    <row r="92" spans="2:58">
      <c r="B92" s="29" t="s">
        <v>6</v>
      </c>
      <c r="C92" s="65">
        <f>L82</f>
        <v>5.0210304942166202</v>
      </c>
      <c r="D92" s="76">
        <v>5.6678607983623408</v>
      </c>
      <c r="E92" s="76">
        <v>7.106083959082091</v>
      </c>
      <c r="F92" s="66">
        <v>4.8</v>
      </c>
      <c r="G92" s="65">
        <f>[30]February_2025!$G$11</f>
        <v>5.7115076554056774</v>
      </c>
      <c r="H92" s="76">
        <v>5.6913343982726587</v>
      </c>
      <c r="I92" s="76">
        <v>9.2783449314619784</v>
      </c>
      <c r="J92" s="66">
        <v>4.8</v>
      </c>
      <c r="K92" s="67">
        <f>K82</f>
        <v>0.6338596491228069</v>
      </c>
      <c r="L92" s="194">
        <v>0.64675438596491219</v>
      </c>
      <c r="M92" s="194">
        <v>0.98457735247208944</v>
      </c>
      <c r="N92" s="68">
        <v>1</v>
      </c>
      <c r="O92" s="56"/>
      <c r="P92" s="69"/>
    </row>
    <row r="93" spans="2:58">
      <c r="B93" s="33" t="s">
        <v>9</v>
      </c>
      <c r="C93" s="65"/>
      <c r="D93" s="76">
        <v>5.221084186859863</v>
      </c>
      <c r="E93" s="76">
        <v>7.004993363475684</v>
      </c>
      <c r="F93" s="66">
        <v>4.8</v>
      </c>
      <c r="G93" s="65"/>
      <c r="H93" s="76">
        <v>5.6054269111629633</v>
      </c>
      <c r="I93" s="76">
        <v>10.863101163921975</v>
      </c>
      <c r="J93" s="66">
        <v>4.8</v>
      </c>
      <c r="K93" s="67"/>
      <c r="L93" s="194">
        <v>1.3312280701754384</v>
      </c>
      <c r="M93" s="194">
        <v>0.97131578947368413</v>
      </c>
      <c r="N93" s="68">
        <v>1</v>
      </c>
      <c r="P93" s="69"/>
    </row>
    <row r="94" spans="2:58">
      <c r="B94" s="34" t="s">
        <v>40</v>
      </c>
      <c r="C94" s="65"/>
      <c r="D94" s="76"/>
      <c r="E94" s="76">
        <v>9.8890462479248846</v>
      </c>
      <c r="F94" s="66">
        <v>5.5</v>
      </c>
      <c r="G94" s="65"/>
      <c r="H94" s="76"/>
      <c r="I94" s="76">
        <v>2.6473552031086438</v>
      </c>
      <c r="J94" s="66">
        <v>5.5</v>
      </c>
      <c r="K94" s="67"/>
      <c r="L94" s="194"/>
      <c r="M94" s="194">
        <v>1.0392982456140349</v>
      </c>
      <c r="N94" s="68">
        <v>1</v>
      </c>
      <c r="P94" s="69"/>
    </row>
    <row r="95" spans="2:58">
      <c r="B95" s="22" t="s">
        <v>33</v>
      </c>
      <c r="C95" s="65"/>
      <c r="D95" s="76"/>
      <c r="E95" s="76">
        <v>3.4056869935468166</v>
      </c>
      <c r="F95" s="66">
        <v>3.3</v>
      </c>
      <c r="G95" s="65"/>
      <c r="H95" s="76"/>
      <c r="I95" s="76">
        <v>6.6434583413343296</v>
      </c>
      <c r="J95" s="66">
        <v>3.3</v>
      </c>
      <c r="K95" s="67"/>
      <c r="L95" s="194"/>
      <c r="M95" s="194">
        <v>0.83350877192982453</v>
      </c>
      <c r="N95" s="68">
        <v>1</v>
      </c>
      <c r="P95" s="69"/>
    </row>
    <row r="96" spans="2:58">
      <c r="B96" s="35" t="s">
        <v>29</v>
      </c>
      <c r="C96" s="65"/>
      <c r="D96" s="76"/>
      <c r="E96" s="76">
        <v>8.8295687885010352</v>
      </c>
      <c r="F96" s="66">
        <v>3.3</v>
      </c>
      <c r="G96" s="282"/>
      <c r="H96" s="76"/>
      <c r="I96" s="76"/>
      <c r="J96" s="66">
        <v>3</v>
      </c>
      <c r="K96" s="67"/>
      <c r="L96" s="194"/>
      <c r="M96" s="194"/>
      <c r="N96" s="68">
        <v>1</v>
      </c>
      <c r="P96" s="69"/>
    </row>
    <row r="97" spans="2:16">
      <c r="B97" s="36" t="s">
        <v>15</v>
      </c>
      <c r="C97" s="282"/>
      <c r="D97" s="76"/>
      <c r="E97" s="76">
        <v>9.9698850155137997</v>
      </c>
      <c r="F97" s="70">
        <f>[21]May_2022!$M$43</f>
        <v>3.4878406700073312</v>
      </c>
      <c r="G97" s="282"/>
      <c r="H97" s="76"/>
      <c r="I97" s="76">
        <v>10.607235567685406</v>
      </c>
      <c r="J97" s="70">
        <v>5.5</v>
      </c>
      <c r="K97" s="67"/>
      <c r="L97" s="194"/>
      <c r="M97" s="194">
        <v>0.66824561403508764</v>
      </c>
      <c r="N97" s="68">
        <v>1</v>
      </c>
      <c r="P97" s="69"/>
    </row>
    <row r="98" spans="2:16">
      <c r="B98" s="37" t="s">
        <v>16</v>
      </c>
      <c r="C98" s="65"/>
      <c r="D98" s="76"/>
      <c r="E98" s="76">
        <v>4.8517239584237002</v>
      </c>
      <c r="F98" s="70">
        <v>3.3</v>
      </c>
      <c r="G98" s="282"/>
      <c r="H98" s="76"/>
      <c r="I98" s="76">
        <v>4.0624079285034069</v>
      </c>
      <c r="J98" s="70">
        <v>3.3</v>
      </c>
      <c r="K98" s="67"/>
      <c r="L98" s="194"/>
      <c r="M98" s="194">
        <v>0.69842105263157894</v>
      </c>
      <c r="N98" s="71">
        <v>1</v>
      </c>
      <c r="P98" s="69"/>
    </row>
    <row r="99" spans="2:16" ht="14.4" thickBot="1">
      <c r="B99" s="38" t="s">
        <v>127</v>
      </c>
      <c r="C99" s="65"/>
      <c r="D99" s="76"/>
      <c r="E99" s="76">
        <v>14.011127971674247</v>
      </c>
      <c r="F99" s="72">
        <v>7.5</v>
      </c>
      <c r="G99" s="73"/>
      <c r="H99" s="76"/>
      <c r="I99" s="76"/>
      <c r="J99" s="72">
        <v>7.5</v>
      </c>
      <c r="K99" s="67"/>
      <c r="L99" s="194"/>
      <c r="M99" s="194"/>
      <c r="N99" s="71">
        <v>1</v>
      </c>
      <c r="P99" s="69"/>
    </row>
    <row r="100" spans="2:16">
      <c r="C100" s="65"/>
      <c r="D100" s="76">
        <v>5.5165411625349048</v>
      </c>
      <c r="E100" s="76">
        <v>6.9805898992531867</v>
      </c>
      <c r="F100" s="341">
        <v>4.5</v>
      </c>
      <c r="G100" s="74"/>
      <c r="H100" s="76">
        <v>6.8893190833996476</v>
      </c>
      <c r="I100" s="76">
        <v>8.4621419756075049</v>
      </c>
      <c r="J100" s="342">
        <v>4.5</v>
      </c>
      <c r="K100" s="67"/>
      <c r="L100" s="194">
        <v>0.83702868281815634</v>
      </c>
      <c r="M100" s="194">
        <v>0.91614832535885182</v>
      </c>
      <c r="N100" s="386">
        <v>1</v>
      </c>
      <c r="O100" s="74"/>
      <c r="P100" s="75"/>
    </row>
    <row r="105" spans="2:16">
      <c r="F105" s="315"/>
    </row>
    <row r="113" spans="30:30">
      <c r="AD113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51:N51"/>
    <mergeCell ref="D52:E52"/>
    <mergeCell ref="B53:B64"/>
    <mergeCell ref="D53:E54"/>
    <mergeCell ref="D55:E56"/>
    <mergeCell ref="D57:E58"/>
    <mergeCell ref="D59:E60"/>
    <mergeCell ref="D61:E62"/>
    <mergeCell ref="D63:E64"/>
    <mergeCell ref="B65:B74"/>
    <mergeCell ref="D65:E66"/>
    <mergeCell ref="J65:K65"/>
    <mergeCell ref="L66:N66"/>
    <mergeCell ref="D67:E68"/>
    <mergeCell ref="D69:E70"/>
    <mergeCell ref="D71:E72"/>
    <mergeCell ref="D73:E74"/>
    <mergeCell ref="D75:E75"/>
    <mergeCell ref="B80:B81"/>
    <mergeCell ref="C80:C81"/>
    <mergeCell ref="D80:D81"/>
    <mergeCell ref="E80:E81"/>
    <mergeCell ref="M80:M81"/>
    <mergeCell ref="B90:F90"/>
    <mergeCell ref="G90:J90"/>
    <mergeCell ref="K90:N90"/>
    <mergeCell ref="G80:G81"/>
    <mergeCell ref="H80:H81"/>
    <mergeCell ref="I80:I81"/>
    <mergeCell ref="J80:J81"/>
    <mergeCell ref="K80:K81"/>
    <mergeCell ref="L80:L81"/>
    <mergeCell ref="F80:F81"/>
  </mergeCells>
  <conditionalFormatting sqref="B75:B76">
    <cfRule type="cellIs" dxfId="3156" priority="146" operator="notBetween">
      <formula>#REF!</formula>
      <formula>#REF!</formula>
    </cfRule>
  </conditionalFormatting>
  <conditionalFormatting sqref="C79">
    <cfRule type="cellIs" dxfId="3155" priority="177" stopIfTrue="1" operator="lessThan">
      <formula>96</formula>
    </cfRule>
    <cfRule type="cellIs" dxfId="3154" priority="178" stopIfTrue="1" operator="greaterThan">
      <formula>100</formula>
    </cfRule>
  </conditionalFormatting>
  <conditionalFormatting sqref="C92">
    <cfRule type="cellIs" dxfId="3153" priority="67" stopIfTrue="1" operator="greaterThan">
      <formula>$F92</formula>
    </cfRule>
  </conditionalFormatting>
  <conditionalFormatting sqref="C92:C93">
    <cfRule type="cellIs" dxfId="3152" priority="68" stopIfTrue="1" operator="lessThanOrEqual">
      <formula>0</formula>
    </cfRule>
  </conditionalFormatting>
  <conditionalFormatting sqref="C93">
    <cfRule type="cellIs" dxfId="3151" priority="181" stopIfTrue="1" operator="greaterThan">
      <formula>$F92</formula>
    </cfRule>
  </conditionalFormatting>
  <conditionalFormatting sqref="C94:C96">
    <cfRule type="cellIs" dxfId="3150" priority="96" stopIfTrue="1" operator="greaterThan">
      <formula>$F94</formula>
    </cfRule>
  </conditionalFormatting>
  <conditionalFormatting sqref="C94:C97">
    <cfRule type="cellIs" dxfId="3149" priority="119" stopIfTrue="1" operator="lessThanOrEqual">
      <formula>0</formula>
    </cfRule>
  </conditionalFormatting>
  <conditionalFormatting sqref="C97">
    <cfRule type="cellIs" dxfId="3148" priority="118" stopIfTrue="1" operator="greaterThan">
      <formula>$J97</formula>
    </cfRule>
  </conditionalFormatting>
  <conditionalFormatting sqref="C103:C107">
    <cfRule type="cellIs" dxfId="3147" priority="169" stopIfTrue="1" operator="lessThanOrEqual">
      <formula>0</formula>
    </cfRule>
  </conditionalFormatting>
  <conditionalFormatting sqref="C104:C107">
    <cfRule type="cellIs" dxfId="3146" priority="168" stopIfTrue="1" operator="greaterThan">
      <formula>$F$103</formula>
    </cfRule>
  </conditionalFormatting>
  <conditionalFormatting sqref="C109">
    <cfRule type="cellIs" dxfId="3145" priority="170" stopIfTrue="1" operator="greaterThan">
      <formula>$F$103</formula>
    </cfRule>
    <cfRule type="cellIs" dxfId="3144" priority="171" stopIfTrue="1" operator="lessThanOrEqual">
      <formula>0</formula>
    </cfRule>
  </conditionalFormatting>
  <conditionalFormatting sqref="C103:D103 D105:D111">
    <cfRule type="cellIs" dxfId="3143" priority="163" stopIfTrue="1" operator="greaterThan">
      <formula>4.5</formula>
    </cfRule>
  </conditionalFormatting>
  <conditionalFormatting sqref="D75:D76">
    <cfRule type="cellIs" dxfId="3142" priority="147" operator="notBetween">
      <formula>#REF!</formula>
      <formula>#REF!</formula>
    </cfRule>
  </conditionalFormatting>
  <conditionalFormatting sqref="D92:D99">
    <cfRule type="cellIs" dxfId="3141" priority="133" stopIfTrue="1" operator="lessThanOrEqual">
      <formula>0</formula>
    </cfRule>
  </conditionalFormatting>
  <conditionalFormatting sqref="D100">
    <cfRule type="cellIs" dxfId="3140" priority="132" stopIfTrue="1" operator="lessThanOrEqual">
      <formula>0</formula>
    </cfRule>
  </conditionalFormatting>
  <conditionalFormatting sqref="D103 D105:D111">
    <cfRule type="cellIs" dxfId="3139" priority="164" stopIfTrue="1" operator="lessThanOrEqual">
      <formula>0</formula>
    </cfRule>
  </conditionalFormatting>
  <conditionalFormatting sqref="D104">
    <cfRule type="cellIs" dxfId="3138" priority="155" stopIfTrue="1" operator="greaterThan">
      <formula>$F$103</formula>
    </cfRule>
    <cfRule type="cellIs" dxfId="3137" priority="156" stopIfTrue="1" operator="lessThanOrEqual">
      <formula>0</formula>
    </cfRule>
  </conditionalFormatting>
  <conditionalFormatting sqref="D92:E100">
    <cfRule type="cellIs" dxfId="3136" priority="125" stopIfTrue="1" operator="greaterThan">
      <formula>$F92</formula>
    </cfRule>
  </conditionalFormatting>
  <conditionalFormatting sqref="E10:E50">
    <cfRule type="cellIs" dxfId="3135" priority="23" operator="lessThan">
      <formula>48</formula>
    </cfRule>
  </conditionalFormatting>
  <conditionalFormatting sqref="E79">
    <cfRule type="cellIs" dxfId="3134" priority="158" stopIfTrue="1" operator="greaterThan">
      <formula>100</formula>
    </cfRule>
    <cfRule type="cellIs" dxfId="3133" priority="157" stopIfTrue="1" operator="lessThan">
      <formula>96.8</formula>
    </cfRule>
  </conditionalFormatting>
  <conditionalFormatting sqref="E92:E100">
    <cfRule type="cellIs" dxfId="3132" priority="126" stopIfTrue="1" operator="lessThanOrEqual">
      <formula>0</formula>
    </cfRule>
  </conditionalFormatting>
  <conditionalFormatting sqref="E103:E111">
    <cfRule type="cellIs" dxfId="3131" priority="150" stopIfTrue="1" operator="lessThanOrEqual">
      <formula>0</formula>
    </cfRule>
    <cfRule type="cellIs" dxfId="3130" priority="149" stopIfTrue="1" operator="greaterThan">
      <formula>4.5</formula>
    </cfRule>
  </conditionalFormatting>
  <conditionalFormatting sqref="E78:F79">
    <cfRule type="cellIs" dxfId="3129" priority="160" stopIfTrue="1" operator="greaterThan">
      <formula>100</formula>
    </cfRule>
    <cfRule type="cellIs" dxfId="3128" priority="159" stopIfTrue="1" operator="lessThan">
      <formula>96.5</formula>
    </cfRule>
  </conditionalFormatting>
  <conditionalFormatting sqref="F10:F35">
    <cfRule type="cellIs" dxfId="3127" priority="25" operator="greaterThan">
      <formula>60</formula>
    </cfRule>
  </conditionalFormatting>
  <conditionalFormatting sqref="F36">
    <cfRule type="cellIs" dxfId="3126" priority="187" operator="greaterThan">
      <formula>$AA36</formula>
    </cfRule>
    <cfRule type="cellIs" dxfId="3125" priority="188" operator="greaterThan">
      <formula>$AA87</formula>
    </cfRule>
  </conditionalFormatting>
  <conditionalFormatting sqref="F37:F49">
    <cfRule type="cellIs" dxfId="3124" priority="50" operator="greaterThan">
      <formula>60</formula>
    </cfRule>
  </conditionalFormatting>
  <conditionalFormatting sqref="F50">
    <cfRule type="cellIs" dxfId="3123" priority="66" operator="greaterThan">
      <formula>$AA50</formula>
    </cfRule>
    <cfRule type="cellIs" dxfId="3122" priority="182" operator="greaterThan">
      <formula>$AA89</formula>
    </cfRule>
  </conditionalFormatting>
  <conditionalFormatting sqref="F79">
    <cfRule type="cellIs" dxfId="3121" priority="176" stopIfTrue="1" operator="greaterThan">
      <formula>100</formula>
    </cfRule>
    <cfRule type="cellIs" dxfId="3120" priority="175" stopIfTrue="1" operator="lessThan">
      <formula>96.8</formula>
    </cfRule>
  </conditionalFormatting>
  <conditionalFormatting sqref="F100">
    <cfRule type="cellIs" dxfId="3119" priority="127" stopIfTrue="1" operator="greaterThan">
      <formula>$F100</formula>
    </cfRule>
    <cfRule type="cellIs" dxfId="3118" priority="128" stopIfTrue="1" operator="lessThanOrEqual">
      <formula>0</formula>
    </cfRule>
  </conditionalFormatting>
  <conditionalFormatting sqref="G92:G93 C98:C100">
    <cfRule type="cellIs" dxfId="3117" priority="135" stopIfTrue="1" operator="lessThanOrEqual">
      <formula>0</formula>
    </cfRule>
    <cfRule type="cellIs" dxfId="3116" priority="134" stopIfTrue="1" operator="greaterThan">
      <formula>$F92</formula>
    </cfRule>
  </conditionalFormatting>
  <conditionalFormatting sqref="G92:G93">
    <cfRule type="cellIs" dxfId="3115" priority="74" stopIfTrue="1" operator="greaterThan">
      <formula>$F92</formula>
    </cfRule>
    <cfRule type="cellIs" dxfId="3114" priority="75" stopIfTrue="1" operator="lessThanOrEqual">
      <formula>0</formula>
    </cfRule>
  </conditionalFormatting>
  <conditionalFormatting sqref="G94">
    <cfRule type="cellIs" dxfId="3113" priority="179" stopIfTrue="1" operator="greaterThan">
      <formula>$F93</formula>
    </cfRule>
    <cfRule type="cellIs" dxfId="3112" priority="180" stopIfTrue="1" operator="lessThanOrEqual">
      <formula>0</formula>
    </cfRule>
  </conditionalFormatting>
  <conditionalFormatting sqref="G95">
    <cfRule type="cellIs" dxfId="3111" priority="129" stopIfTrue="1" operator="greaterThan">
      <formula>$F95</formula>
    </cfRule>
    <cfRule type="cellIs" dxfId="3110" priority="130" stopIfTrue="1" operator="lessThanOrEqual">
      <formula>0</formula>
    </cfRule>
  </conditionalFormatting>
  <conditionalFormatting sqref="G96:G99">
    <cfRule type="cellIs" dxfId="3109" priority="137" stopIfTrue="1" operator="greaterThan">
      <formula>$J96</formula>
    </cfRule>
    <cfRule type="cellIs" dxfId="3108" priority="138" stopIfTrue="1" operator="lessThanOrEqual">
      <formula>0</formula>
    </cfRule>
  </conditionalFormatting>
  <conditionalFormatting sqref="G100">
    <cfRule type="cellIs" dxfId="3107" priority="136" operator="greaterThan">
      <formula>4.5</formula>
    </cfRule>
  </conditionalFormatting>
  <conditionalFormatting sqref="G105:G110 C108 C110">
    <cfRule type="cellIs" dxfId="3106" priority="173" stopIfTrue="1" operator="lessThanOrEqual">
      <formula>0</formula>
    </cfRule>
    <cfRule type="cellIs" dxfId="3105" priority="172" stopIfTrue="1" operator="greaterThan">
      <formula>4.5</formula>
    </cfRule>
  </conditionalFormatting>
  <conditionalFormatting sqref="G10:H50">
    <cfRule type="expression" dxfId="3104" priority="16">
      <formula>IF(+(IF(G10&lt;#REF!,0,IF(G10&gt;#REF!,0,1)))=0,1)</formula>
    </cfRule>
  </conditionalFormatting>
  <conditionalFormatting sqref="G104:H104">
    <cfRule type="cellIs" dxfId="3103" priority="154" stopIfTrue="1" operator="lessThanOrEqual">
      <formula>0</formula>
    </cfRule>
    <cfRule type="cellIs" dxfId="3102" priority="153" stopIfTrue="1" operator="greaterThan">
      <formula>$F$103</formula>
    </cfRule>
  </conditionalFormatting>
  <conditionalFormatting sqref="H54:H77 G65:G76">
    <cfRule type="cellIs" dxfId="3101" priority="151" stopIfTrue="1" operator="greaterThan">
      <formula>0</formula>
    </cfRule>
  </conditionalFormatting>
  <conditionalFormatting sqref="H82">
    <cfRule type="cellIs" dxfId="3100" priority="12" stopIfTrue="1" operator="lessThanOrEqual">
      <formula>0</formula>
    </cfRule>
    <cfRule type="cellIs" dxfId="3099" priority="11" stopIfTrue="1" operator="greaterThan">
      <formula>$F$70</formula>
    </cfRule>
    <cfRule type="cellIs" dxfId="3098" priority="14" stopIfTrue="1" operator="lessThanOrEqual">
      <formula>0</formula>
    </cfRule>
    <cfRule type="cellIs" dxfId="3097" priority="13" stopIfTrue="1" operator="greaterThan">
      <formula>$F$68</formula>
    </cfRule>
    <cfRule type="cellIs" dxfId="3096" priority="3" stopIfTrue="1" operator="greaterThan">
      <formula>$F$67</formula>
    </cfRule>
    <cfRule type="cellIs" dxfId="3095" priority="2" stopIfTrue="1" operator="lessThanOrEqual">
      <formula>0</formula>
    </cfRule>
  </conditionalFormatting>
  <conditionalFormatting sqref="H83:H84">
    <cfRule type="cellIs" dxfId="3094" priority="95" stopIfTrue="1" operator="lessThanOrEqual">
      <formula>0</formula>
    </cfRule>
    <cfRule type="cellIs" dxfId="3093" priority="83" stopIfTrue="1" operator="lessThanOrEqual">
      <formula>0</formula>
    </cfRule>
    <cfRule type="cellIs" dxfId="3092" priority="84" stopIfTrue="1" operator="greaterThan">
      <formula>$F$91</formula>
    </cfRule>
    <cfRule type="cellIs" dxfId="3091" priority="92" stopIfTrue="1" operator="greaterThan">
      <formula>$F$94</formula>
    </cfRule>
    <cfRule type="cellIs" dxfId="3090" priority="93" stopIfTrue="1" operator="lessThanOrEqual">
      <formula>0</formula>
    </cfRule>
    <cfRule type="cellIs" dxfId="3089" priority="94" stopIfTrue="1" operator="greaterThan">
      <formula>$F$92</formula>
    </cfRule>
  </conditionalFormatting>
  <conditionalFormatting sqref="H85">
    <cfRule type="cellIs" dxfId="3088" priority="56" stopIfTrue="1" operator="greaterThan">
      <formula>#REF!</formula>
    </cfRule>
    <cfRule type="cellIs" dxfId="3087" priority="64" stopIfTrue="1" operator="greaterThan">
      <formula>#REF!</formula>
    </cfRule>
    <cfRule type="cellIs" dxfId="3086" priority="65" stopIfTrue="1" operator="lessThanOrEqual">
      <formula>0</formula>
    </cfRule>
    <cfRule type="cellIs" dxfId="3085" priority="55" stopIfTrue="1" operator="lessThanOrEqual">
      <formula>0</formula>
    </cfRule>
  </conditionalFormatting>
  <conditionalFormatting sqref="H86:H87">
    <cfRule type="cellIs" dxfId="3084" priority="112" stopIfTrue="1" operator="greaterThan">
      <formula>$F$95</formula>
    </cfRule>
    <cfRule type="cellIs" dxfId="3083" priority="104" stopIfTrue="1" operator="greaterThan">
      <formula>$F$92</formula>
    </cfRule>
    <cfRule type="cellIs" dxfId="3082" priority="115" stopIfTrue="1" operator="lessThanOrEqual">
      <formula>0</formula>
    </cfRule>
    <cfRule type="cellIs" dxfId="3081" priority="114" stopIfTrue="1" operator="greaterThan">
      <formula>$F$93</formula>
    </cfRule>
    <cfRule type="cellIs" dxfId="3080" priority="113" stopIfTrue="1" operator="lessThanOrEqual">
      <formula>0</formula>
    </cfRule>
    <cfRule type="cellIs" dxfId="3079" priority="78" stopIfTrue="1" operator="lessThanOrEqual">
      <formula>0</formula>
    </cfRule>
  </conditionalFormatting>
  <conditionalFormatting sqref="H88">
    <cfRule type="cellIs" dxfId="3078" priority="144" stopIfTrue="1" operator="greaterThan">
      <formula>$F$85</formula>
    </cfRule>
    <cfRule type="cellIs" dxfId="3077" priority="143" stopIfTrue="1" operator="lessThanOrEqual">
      <formula>0</formula>
    </cfRule>
    <cfRule type="cellIs" dxfId="3076" priority="142" stopIfTrue="1" operator="greaterThan">
      <formula>$F$89</formula>
    </cfRule>
    <cfRule type="cellIs" dxfId="3075" priority="145" stopIfTrue="1" operator="lessThanOrEqual">
      <formula>0</formula>
    </cfRule>
  </conditionalFormatting>
  <conditionalFormatting sqref="H92:H99">
    <cfRule type="cellIs" dxfId="3074" priority="117" stopIfTrue="1" operator="lessThanOrEqual">
      <formula>0</formula>
    </cfRule>
    <cfRule type="cellIs" dxfId="3073" priority="116" stopIfTrue="1" operator="greaterThan">
      <formula>$J92</formula>
    </cfRule>
  </conditionalFormatting>
  <conditionalFormatting sqref="H100">
    <cfRule type="cellIs" dxfId="3072" priority="122" operator="greaterThan">
      <formula>5.3</formula>
    </cfRule>
  </conditionalFormatting>
  <conditionalFormatting sqref="H103 H105:H111">
    <cfRule type="cellIs" dxfId="3071" priority="165" stopIfTrue="1" operator="greaterThan">
      <formula>4.5</formula>
    </cfRule>
    <cfRule type="cellIs" dxfId="3070" priority="166" stopIfTrue="1" operator="lessThanOrEqual">
      <formula>0</formula>
    </cfRule>
  </conditionalFormatting>
  <conditionalFormatting sqref="H82:I82">
    <cfRule type="cellIs" dxfId="3069" priority="4" stopIfTrue="1" operator="lessThanOrEqual">
      <formula>0</formula>
    </cfRule>
    <cfRule type="cellIs" dxfId="3068" priority="1" stopIfTrue="1" operator="greaterThan">
      <formula>$F$69</formula>
    </cfRule>
  </conditionalFormatting>
  <conditionalFormatting sqref="H83:I84">
    <cfRule type="cellIs" dxfId="3067" priority="85" stopIfTrue="1" operator="lessThanOrEqual">
      <formula>0</formula>
    </cfRule>
    <cfRule type="cellIs" dxfId="3066" priority="82" stopIfTrue="1" operator="greaterThan">
      <formula>$F$93</formula>
    </cfRule>
  </conditionalFormatting>
  <conditionalFormatting sqref="H85:I85">
    <cfRule type="cellIs" dxfId="3065" priority="54" stopIfTrue="1" operator="greaterThan">
      <formula>#REF!</formula>
    </cfRule>
    <cfRule type="cellIs" dxfId="3064" priority="60" stopIfTrue="1" operator="greaterThan">
      <formula>#REF!</formula>
    </cfRule>
    <cfRule type="cellIs" dxfId="3063" priority="57" stopIfTrue="1" operator="lessThanOrEqual">
      <formula>0</formula>
    </cfRule>
    <cfRule type="cellIs" dxfId="3062" priority="63" stopIfTrue="1" operator="lessThanOrEqual">
      <formula>0</formula>
    </cfRule>
  </conditionalFormatting>
  <conditionalFormatting sqref="H86:I86">
    <cfRule type="cellIs" dxfId="3061" priority="105" stopIfTrue="1" operator="lessThanOrEqual">
      <formula>0</formula>
    </cfRule>
  </conditionalFormatting>
  <conditionalFormatting sqref="H86:I87">
    <cfRule type="cellIs" dxfId="3060" priority="76" stopIfTrue="1" operator="greaterThan">
      <formula>$F$94</formula>
    </cfRule>
  </conditionalFormatting>
  <conditionalFormatting sqref="H87:I87">
    <cfRule type="cellIs" dxfId="3059" priority="77" stopIfTrue="1" operator="lessThanOrEqual">
      <formula>0</formula>
    </cfRule>
  </conditionalFormatting>
  <conditionalFormatting sqref="I36 I50">
    <cfRule type="cellIs" dxfId="3058" priority="69" operator="lessThan">
      <formula>97.8</formula>
    </cfRule>
    <cfRule type="cellIs" dxfId="3057" priority="72" operator="lessThan">
      <formula>98</formula>
    </cfRule>
  </conditionalFormatting>
  <conditionalFormatting sqref="I82">
    <cfRule type="cellIs" dxfId="3056" priority="8" stopIfTrue="1" operator="lessThanOrEqual">
      <formula>0</formula>
    </cfRule>
    <cfRule type="cellIs" dxfId="3055" priority="10" stopIfTrue="1" operator="lessThanOrEqual">
      <formula>0</formula>
    </cfRule>
    <cfRule type="cellIs" dxfId="3054" priority="9" stopIfTrue="1" operator="greaterThan">
      <formula>$F$67</formula>
    </cfRule>
    <cfRule type="cellIs" dxfId="3053" priority="7" stopIfTrue="1" operator="greaterThan">
      <formula>$F$69</formula>
    </cfRule>
    <cfRule type="cellIs" dxfId="3052" priority="6" stopIfTrue="1" operator="lessThanOrEqual">
      <formula>0</formula>
    </cfRule>
    <cfRule type="cellIs" dxfId="3051" priority="5" stopIfTrue="1" operator="greaterThan">
      <formula>$F$67</formula>
    </cfRule>
  </conditionalFormatting>
  <conditionalFormatting sqref="I83:I84">
    <cfRule type="cellIs" dxfId="3050" priority="86" stopIfTrue="1" operator="greaterThan">
      <formula>$F$91</formula>
    </cfRule>
    <cfRule type="cellIs" dxfId="3049" priority="87" stopIfTrue="1" operator="lessThanOrEqual">
      <formula>0</formula>
    </cfRule>
    <cfRule type="cellIs" dxfId="3048" priority="89" stopIfTrue="1" operator="lessThanOrEqual">
      <formula>0</formula>
    </cfRule>
    <cfRule type="cellIs" dxfId="3047" priority="90" stopIfTrue="1" operator="greaterThan">
      <formula>$F$91</formula>
    </cfRule>
    <cfRule type="cellIs" dxfId="3046" priority="91" stopIfTrue="1" operator="lessThanOrEqual">
      <formula>0</formula>
    </cfRule>
    <cfRule type="cellIs" dxfId="3045" priority="88" stopIfTrue="1" operator="greaterThan">
      <formula>$F$93</formula>
    </cfRule>
  </conditionalFormatting>
  <conditionalFormatting sqref="I85">
    <cfRule type="cellIs" dxfId="3044" priority="61" stopIfTrue="1" operator="lessThanOrEqual">
      <formula>0</formula>
    </cfRule>
    <cfRule type="cellIs" dxfId="3043" priority="62" stopIfTrue="1" operator="greaterThan">
      <formula>#REF!</formula>
    </cfRule>
    <cfRule type="cellIs" dxfId="3042" priority="59" stopIfTrue="1" operator="lessThanOrEqual">
      <formula>0</formula>
    </cfRule>
    <cfRule type="cellIs" dxfId="3041" priority="58" stopIfTrue="1" operator="greaterThan">
      <formula>#REF!</formula>
    </cfRule>
  </conditionalFormatting>
  <conditionalFormatting sqref="I86:I87">
    <cfRule type="cellIs" dxfId="3040" priority="111" stopIfTrue="1" operator="lessThanOrEqual">
      <formula>0</formula>
    </cfRule>
    <cfRule type="cellIs" dxfId="3039" priority="110" stopIfTrue="1" operator="greaterThan">
      <formula>$F$92</formula>
    </cfRule>
    <cfRule type="cellIs" dxfId="3038" priority="109" stopIfTrue="1" operator="lessThanOrEqual">
      <formula>0</formula>
    </cfRule>
    <cfRule type="cellIs" dxfId="3037" priority="108" stopIfTrue="1" operator="greaterThan">
      <formula>$F$94</formula>
    </cfRule>
    <cfRule type="cellIs" dxfId="3036" priority="107" stopIfTrue="1" operator="lessThanOrEqual">
      <formula>0</formula>
    </cfRule>
    <cfRule type="cellIs" dxfId="3035" priority="106" stopIfTrue="1" operator="greaterThan">
      <formula>$F$92</formula>
    </cfRule>
  </conditionalFormatting>
  <conditionalFormatting sqref="I92:I100">
    <cfRule type="cellIs" dxfId="3034" priority="124" stopIfTrue="1" operator="lessThanOrEqual">
      <formula>0</formula>
    </cfRule>
    <cfRule type="cellIs" dxfId="3033" priority="123" stopIfTrue="1" operator="greaterThan">
      <formula>$J92</formula>
    </cfRule>
  </conditionalFormatting>
  <conditionalFormatting sqref="I103:I111">
    <cfRule type="cellIs" dxfId="3032" priority="161" stopIfTrue="1" operator="greaterThan">
      <formula>4.5</formula>
    </cfRule>
    <cfRule type="cellIs" dxfId="3031" priority="162" stopIfTrue="1" operator="lessThanOrEqual">
      <formula>0</formula>
    </cfRule>
  </conditionalFormatting>
  <conditionalFormatting sqref="I10:J35">
    <cfRule type="cellIs" dxfId="3030" priority="26" operator="lessThan">
      <formula>97.9</formula>
    </cfRule>
  </conditionalFormatting>
  <conditionalFormatting sqref="I37:J49">
    <cfRule type="cellIs" dxfId="3029" priority="51" operator="lessThan">
      <formula>97.9</formula>
    </cfRule>
  </conditionalFormatting>
  <conditionalFormatting sqref="J36 J50">
    <cfRule type="cellIs" dxfId="3028" priority="71" operator="lessThan">
      <formula>97.4</formula>
    </cfRule>
    <cfRule type="cellIs" dxfId="3027" priority="70" operator="notBetween">
      <formula>98</formula>
      <formula>99.9</formula>
    </cfRule>
  </conditionalFormatting>
  <conditionalFormatting sqref="J53:J55">
    <cfRule type="cellIs" dxfId="3026" priority="98" stopIfTrue="1" operator="greaterThan">
      <formula>100</formula>
    </cfRule>
    <cfRule type="cellIs" dxfId="3025" priority="99" operator="lessThan">
      <formula>98</formula>
    </cfRule>
    <cfRule type="cellIs" dxfId="3024" priority="97" stopIfTrue="1" operator="lessThan">
      <formula>96.8</formula>
    </cfRule>
  </conditionalFormatting>
  <conditionalFormatting sqref="J53:J57">
    <cfRule type="cellIs" dxfId="3023" priority="73" operator="lessThan">
      <formula>97.4</formula>
    </cfRule>
  </conditionalFormatting>
  <conditionalFormatting sqref="J58">
    <cfRule type="cellIs" dxfId="3022" priority="100" operator="lessThan">
      <formula>98</formula>
    </cfRule>
  </conditionalFormatting>
  <conditionalFormatting sqref="J59:J61">
    <cfRule type="cellIs" dxfId="3021" priority="101" stopIfTrue="1" operator="lessThan">
      <formula>96.8</formula>
    </cfRule>
    <cfRule type="cellIs" dxfId="3020" priority="102" stopIfTrue="1" operator="greaterThan">
      <formula>100</formula>
    </cfRule>
  </conditionalFormatting>
  <conditionalFormatting sqref="J59:J62">
    <cfRule type="cellIs" dxfId="3019" priority="103" operator="lessThan">
      <formula>98</formula>
    </cfRule>
  </conditionalFormatting>
  <conditionalFormatting sqref="K10:K50">
    <cfRule type="cellIs" dxfId="3018" priority="24" operator="greaterThan">
      <formula>6.4</formula>
    </cfRule>
    <cfRule type="cellIs" dxfId="3017" priority="19" operator="greaterThan">
      <formula>6</formula>
    </cfRule>
    <cfRule type="cellIs" dxfId="3016" priority="20" operator="lessThan">
      <formula>4</formula>
    </cfRule>
  </conditionalFormatting>
  <conditionalFormatting sqref="K67:K76">
    <cfRule type="cellIs" dxfId="3015" priority="131" operator="notEqual">
      <formula>#REF!</formula>
    </cfRule>
  </conditionalFormatting>
  <conditionalFormatting sqref="K82:K88 K92:N100">
    <cfRule type="cellIs" dxfId="3014" priority="141" stopIfTrue="1" operator="lessThan">
      <formula>100%</formula>
    </cfRule>
  </conditionalFormatting>
  <conditionalFormatting sqref="K103:K108">
    <cfRule type="cellIs" dxfId="3013" priority="167" stopIfTrue="1" operator="lessThan">
      <formula>100%</formula>
    </cfRule>
  </conditionalFormatting>
  <conditionalFormatting sqref="K110:K111">
    <cfRule type="cellIs" dxfId="3012" priority="174" stopIfTrue="1" operator="lessThan">
      <formula>100%</formula>
    </cfRule>
  </conditionalFormatting>
  <conditionalFormatting sqref="L10:L50">
    <cfRule type="cellIs" dxfId="3011" priority="22" operator="greaterThan">
      <formula>65</formula>
    </cfRule>
    <cfRule type="cellIs" dxfId="3010" priority="21" operator="between">
      <formula>61</formula>
      <formula>65</formula>
    </cfRule>
  </conditionalFormatting>
  <conditionalFormatting sqref="L53:M64">
    <cfRule type="cellIs" dxfId="3009" priority="53" operator="lessThan">
      <formula>98</formula>
    </cfRule>
  </conditionalFormatting>
  <conditionalFormatting sqref="L68:N68">
    <cfRule type="cellIs" dxfId="3008" priority="79" operator="notEqual">
      <formula>#REF!</formula>
    </cfRule>
  </conditionalFormatting>
  <conditionalFormatting sqref="L103:N111">
    <cfRule type="cellIs" dxfId="3007" priority="152" stopIfTrue="1" operator="lessThan">
      <formula>100%</formula>
    </cfRule>
  </conditionalFormatting>
  <conditionalFormatting sqref="M10:M17">
    <cfRule type="expression" dxfId="3006" priority="17">
      <formula>IF(+(IF(M10&lt;V10,0,IF(M10&gt;W10,0,1)))=0,1)</formula>
    </cfRule>
  </conditionalFormatting>
  <conditionalFormatting sqref="M18:M29">
    <cfRule type="expression" dxfId="3005" priority="31">
      <formula>IF(+(IF(M18&lt;U18,0,IF(M18&gt;V18,0,1)))=0,1)</formula>
    </cfRule>
  </conditionalFormatting>
  <conditionalFormatting sqref="M30:M50">
    <cfRule type="expression" dxfId="3004" priority="28">
      <formula>IF(+(IF(M30&lt;V30,0,IF(M30&gt;W30,0,1)))=0,1)</formula>
    </cfRule>
  </conditionalFormatting>
  <conditionalFormatting sqref="M6:N6">
    <cfRule type="cellIs" dxfId="3003" priority="81" operator="greaterThanOrEqual">
      <formula>19</formula>
    </cfRule>
    <cfRule type="cellIs" dxfId="3002" priority="80" operator="greaterThanOrEqual">
      <formula>15</formula>
    </cfRule>
  </conditionalFormatting>
  <conditionalFormatting sqref="N10:N17">
    <cfRule type="expression" dxfId="3001" priority="18">
      <formula>IF(+(IF(N10&lt;X10,0,IF(N10&gt;Y10,0,1)))=0,1)</formula>
    </cfRule>
  </conditionalFormatting>
  <conditionalFormatting sqref="N18:N29">
    <cfRule type="expression" dxfId="3000" priority="32">
      <formula>IF(+(IF(N18&lt;W18,0,IF(N18&gt;X18,0,1)))=0,1)</formula>
    </cfRule>
  </conditionalFormatting>
  <conditionalFormatting sqref="N30:N50">
    <cfRule type="expression" dxfId="2999" priority="29">
      <formula>IF(+(IF(N30&lt;X30,0,IF(N30&gt;Y30,0,1)))=0,1)</formula>
    </cfRule>
  </conditionalFormatting>
  <conditionalFormatting sqref="N36">
    <cfRule type="expression" dxfId="2998" priority="183">
      <formula>IF(+(IF(N36&lt;X92,0,IF(N36&gt;Y92,0,1)))=0,1)</formula>
    </cfRule>
    <cfRule type="expression" dxfId="2997" priority="184">
      <formula>IF(+(IF(N36&lt;X87,0,IF(N36&gt;Y87,0,1)))=0,1)</formula>
    </cfRule>
  </conditionalFormatting>
  <conditionalFormatting sqref="N50">
    <cfRule type="expression" dxfId="2996" priority="185">
      <formula>IF(+(IF(N50&lt;X94,0,IF(N50&gt;Y94,0,1)))=0,1)</formula>
    </cfRule>
    <cfRule type="expression" dxfId="2995" priority="186">
      <formula>IF(+(IF(N50&lt;X89,0,IF(N50&gt;Y89,0,1)))=0,1)</formula>
    </cfRule>
  </conditionalFormatting>
  <conditionalFormatting sqref="P6">
    <cfRule type="cellIs" dxfId="2994" priority="148" operator="greaterThanOrEqual">
      <formula>19</formula>
    </cfRule>
  </conditionalFormatting>
  <dataValidations count="1">
    <dataValidation type="list" allowBlank="1" showInputMessage="1" showErrorMessage="1" sqref="S8 B50" xr:uid="{031AB206-323D-4EE2-B1F7-0688A3040166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5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1883-33A0-4A46-8683-990FCEBFA688}">
  <sheetPr>
    <pageSetUpPr fitToPage="1"/>
  </sheetPr>
  <dimension ref="A1:BF113"/>
  <sheetViews>
    <sheetView topLeftCell="P6" zoomScale="95" zoomScaleNormal="70" workbookViewId="0">
      <selection activeCell="M55" sqref="M55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45693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15</v>
      </c>
      <c r="N6" s="340">
        <v>15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[22]Brewhouse!$A180</f>
        <v>CA078</v>
      </c>
      <c r="D10" s="279">
        <f>[22]Brewhouse!$AF180</f>
        <v>53.1</v>
      </c>
      <c r="E10" s="279">
        <f>[22]Brewhouse!$AI180</f>
        <v>50</v>
      </c>
      <c r="F10" s="278">
        <f>[22]Brewhouse!$V180</f>
        <v>65</v>
      </c>
      <c r="G10" s="279">
        <f>[22]Brewhouse!$AG180</f>
        <v>11.9</v>
      </c>
      <c r="H10" s="396">
        <v>11.7</v>
      </c>
      <c r="I10" s="368">
        <f>[22]Brewhouse!$AU180</f>
        <v>95.023430747802905</v>
      </c>
      <c r="J10" s="368">
        <f>[22]Brewhouse!$AV180</f>
        <v>99.016423498660956</v>
      </c>
      <c r="K10" s="281">
        <f>[22]Brewhouse!$Q180</f>
        <v>6.5107913669064699</v>
      </c>
      <c r="L10" s="276">
        <f>[22]Brewhouse!$P180</f>
        <v>60</v>
      </c>
      <c r="M10" s="397">
        <f>[22]Brewhouse!$U180-[22]Brewhouse!$T180</f>
        <v>0.21527777777777776</v>
      </c>
      <c r="N10" s="370">
        <f>[22]Brewhouse!$Z180</f>
        <v>0.29236111111111113</v>
      </c>
      <c r="O10" s="371" t="str">
        <f>[22]Brewhouse!$AX180</f>
        <v>K.Benjamin</v>
      </c>
      <c r="P10" s="375"/>
      <c r="Q10" s="347"/>
      <c r="S10" s="277" t="str">
        <f t="shared" ref="S10:S50" si="0">B10</f>
        <v>CARIB</v>
      </c>
      <c r="T10" s="296">
        <f t="shared" ref="T10:T50" si="1">VLOOKUP($B10,$S$3:$Y$9,2,FALSE)</f>
        <v>11.6</v>
      </c>
      <c r="U10" s="296">
        <f t="shared" ref="U10:U50" si="2">VLOOKUP($B10,$S$3:$Y$9,3,FALSE)</f>
        <v>12</v>
      </c>
      <c r="V10" s="297">
        <f t="shared" ref="V10:V50" si="3">VLOOKUP($B10,$S$3:$Y$9,4,FALSE)</f>
        <v>0</v>
      </c>
      <c r="W10" s="297">
        <f t="shared" ref="W10:W50" si="4">VLOOKUP($B10,$S$3:$Y$9,5,FALSE)</f>
        <v>0.118055555555556</v>
      </c>
      <c r="X10" s="297">
        <f t="shared" ref="X10:X50" si="5">VLOOKUP($B10,$S$3:$Y$9,6,FALSE)</f>
        <v>0.22569444444444445</v>
      </c>
      <c r="Y10" s="297">
        <f t="shared" ref="Y10:Y50" si="6">VLOOKUP($B10,$S$3:$Y$9,7,FALSE)</f>
        <v>0.2638888888888889</v>
      </c>
      <c r="Z10" s="297">
        <f t="shared" ref="Z10:Z50" si="7">VLOOKUP($B10,$S$3:$AA$9,8,FALSE)</f>
        <v>0</v>
      </c>
      <c r="AA10" s="296">
        <f t="shared" ref="AA10:AA50" si="8">VLOOKUP($B10,$S$3:$AA$9,9,FALSE)</f>
        <v>60</v>
      </c>
    </row>
    <row r="11" spans="2:30" ht="14.4">
      <c r="B11" s="29" t="s">
        <v>6</v>
      </c>
      <c r="C11" s="366" t="str">
        <f>[22]Brewhouse!$A181</f>
        <v>CA079</v>
      </c>
      <c r="D11" s="279">
        <f>[22]Brewhouse!$AF181</f>
        <v>50</v>
      </c>
      <c r="E11" s="279">
        <f>[22]Brewhouse!$AI181</f>
        <v>47</v>
      </c>
      <c r="F11" s="278">
        <f>[22]Brewhouse!$V181</f>
        <v>63</v>
      </c>
      <c r="G11" s="279">
        <f>[22]Brewhouse!$AG181</f>
        <v>11.8</v>
      </c>
      <c r="H11" s="396">
        <v>11.6</v>
      </c>
      <c r="I11" s="368">
        <f>[22]Brewhouse!$AU181</f>
        <v>88.206051282479294</v>
      </c>
      <c r="J11" s="368">
        <f>[22]Brewhouse!$AV181</f>
        <v>91.913171184371706</v>
      </c>
      <c r="K11" s="281">
        <f>[22]Brewhouse!$Q181</f>
        <v>6.9512195121951255</v>
      </c>
      <c r="L11" s="276">
        <f>[22]Brewhouse!$P181</f>
        <v>60</v>
      </c>
      <c r="M11" s="397">
        <f>[22]Brewhouse!$U181-[22]Brewhouse!$T181</f>
        <v>0.21041666666666667</v>
      </c>
      <c r="N11" s="370">
        <f>[22]Brewhouse!$Z181</f>
        <v>0.28333333333333333</v>
      </c>
      <c r="O11" s="371" t="str">
        <f>[22]Brewhouse!$AX181</f>
        <v>R. Regis</v>
      </c>
      <c r="P11" s="375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[22]Brewhouse!$A182</f>
        <v>CA080</v>
      </c>
      <c r="D12" s="279">
        <f>[22]Brewhouse!$AF182</f>
        <v>55.4</v>
      </c>
      <c r="E12" s="279">
        <f>[22]Brewhouse!$AI182</f>
        <v>52.1</v>
      </c>
      <c r="F12" s="278">
        <f>[22]Brewhouse!$V182</f>
        <v>73</v>
      </c>
      <c r="G12" s="279">
        <f>[22]Brewhouse!$AG182</f>
        <v>11.9</v>
      </c>
      <c r="H12" s="396">
        <v>11.7</v>
      </c>
      <c r="I12" s="368">
        <f>[22]Brewhouse!$AU182</f>
        <v>98.770467000417625</v>
      </c>
      <c r="J12" s="368">
        <f>[22]Brewhouse!$AV182</f>
        <v>102.9213638351586</v>
      </c>
      <c r="K12" s="281">
        <f>[22]Brewhouse!$Q182</f>
        <v>5.3641207815275243</v>
      </c>
      <c r="L12" s="276">
        <f>[22]Brewhouse!$P182</f>
        <v>60</v>
      </c>
      <c r="M12" s="397">
        <f>[22]Brewhouse!$U182-[22]Brewhouse!$T182</f>
        <v>0.19791666666666669</v>
      </c>
      <c r="N12" s="370">
        <f>[22]Brewhouse!$Z182</f>
        <v>0.27638888888888891</v>
      </c>
      <c r="O12" s="371" t="str">
        <f>[22]Brewhouse!$AX182</f>
        <v>R. Regis</v>
      </c>
      <c r="P12" s="375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4.4">
      <c r="B14" s="33" t="s">
        <v>9</v>
      </c>
      <c r="C14" s="366" t="str">
        <f>[24]Brewhouse!$A66</f>
        <v>ST051</v>
      </c>
      <c r="D14" s="279">
        <f>[24]Brewhouse!$AD66</f>
        <v>52.1</v>
      </c>
      <c r="E14" s="279">
        <f>[24]Brewhouse!$AG66</f>
        <v>48.5</v>
      </c>
      <c r="F14" s="278">
        <f>[24]Brewhouse!$V66</f>
        <v>61</v>
      </c>
      <c r="G14" s="279">
        <f>[24]Brewhouse!$AE66</f>
        <v>11.8</v>
      </c>
      <c r="H14" s="396">
        <v>11.8</v>
      </c>
      <c r="I14" s="417">
        <f>[24]Brewhouse!$AS66</f>
        <v>92.002637422262225</v>
      </c>
      <c r="J14" s="417">
        <f>[24]Brewhouse!$AT66</f>
        <v>95.212419992390508</v>
      </c>
      <c r="K14" s="398">
        <f>[24]Brewhouse!$Q66</f>
        <v>7.3126142595978063</v>
      </c>
      <c r="L14" s="276">
        <f>[24]Brewhouse!$P66</f>
        <v>60</v>
      </c>
      <c r="M14" s="374">
        <f>[24]Brewhouse!$U66-[24]Brewhouse!$T66</f>
        <v>0.18819444444444444</v>
      </c>
      <c r="N14" s="370">
        <f>[24]Brewhouse!$AW66</f>
        <v>0.25763888888888892</v>
      </c>
      <c r="O14" s="418" t="str">
        <f>[24]Brewhouse!$AV66</f>
        <v>R. Regis</v>
      </c>
      <c r="P14" s="375"/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33" t="s">
        <v>9</v>
      </c>
      <c r="C15" s="366" t="str">
        <f>[24]Brewhouse!$A67</f>
        <v>ST052</v>
      </c>
      <c r="D15" s="279">
        <f>[24]Brewhouse!$AD67</f>
        <v>53</v>
      </c>
      <c r="E15" s="279">
        <f>[24]Brewhouse!$AG67</f>
        <v>49.6</v>
      </c>
      <c r="F15" s="278">
        <f>[24]Brewhouse!$V67</f>
        <v>61</v>
      </c>
      <c r="G15" s="279">
        <f>[24]Brewhouse!$AE67</f>
        <v>12</v>
      </c>
      <c r="H15" s="396">
        <v>11.8</v>
      </c>
      <c r="I15" s="417">
        <f>[24]Brewhouse!$AS67</f>
        <v>95.885984924603306</v>
      </c>
      <c r="J15" s="417">
        <f>[24]Brewhouse!$AT67</f>
        <v>99.230186201866232</v>
      </c>
      <c r="K15" s="398">
        <f>[24]Brewhouse!$Q67</f>
        <v>6.6666666666666696</v>
      </c>
      <c r="L15" s="276">
        <f>[24]Brewhouse!$P67</f>
        <v>57</v>
      </c>
      <c r="M15" s="374">
        <f>[24]Brewhouse!$U67-[24]Brewhouse!$T67</f>
        <v>0.1791666666666667</v>
      </c>
      <c r="N15" s="370">
        <f>[24]Brewhouse!$AW67</f>
        <v>0.25486111111111109</v>
      </c>
      <c r="O15" s="418" t="str">
        <f>[24]Brewhouse!$AV67</f>
        <v>R.Sookram</v>
      </c>
      <c r="P15" s="375"/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4.4">
      <c r="B16" s="33" t="s">
        <v>9</v>
      </c>
      <c r="C16" s="366" t="str">
        <f>[24]Brewhouse!$A68</f>
        <v>ST053</v>
      </c>
      <c r="D16" s="279">
        <f>[24]Brewhouse!$AD68</f>
        <v>53.2</v>
      </c>
      <c r="E16" s="279">
        <f>[24]Brewhouse!$AG68</f>
        <v>49.9</v>
      </c>
      <c r="F16" s="278">
        <f>[24]Brewhouse!$V68</f>
        <v>60</v>
      </c>
      <c r="G16" s="279">
        <f>[24]Brewhouse!$AE68</f>
        <v>11.8</v>
      </c>
      <c r="H16" s="396">
        <v>11.8</v>
      </c>
      <c r="I16" s="417">
        <f>[24]Brewhouse!$AS68</f>
        <v>95.012866791826809</v>
      </c>
      <c r="J16" s="417">
        <f>[24]Brewhouse!$AT68</f>
        <v>98.324501417113453</v>
      </c>
      <c r="K16" s="398">
        <f>[24]Brewhouse!$Q68</f>
        <v>5.7301293900184866</v>
      </c>
      <c r="L16" s="276">
        <f>[24]Brewhouse!$P68</f>
        <v>57</v>
      </c>
      <c r="M16" s="374">
        <f>[24]Brewhouse!$U68-[24]Brewhouse!$T68</f>
        <v>0.18125000000000002</v>
      </c>
      <c r="N16" s="370">
        <f>[24]Brewhouse!$AW68</f>
        <v>0.26249999999999996</v>
      </c>
      <c r="O16" s="418" t="str">
        <f>[24]Brewhouse!$AV68</f>
        <v>R.Sookram</v>
      </c>
      <c r="P16" s="369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2:27" ht="14.4">
      <c r="B17" s="33" t="s">
        <v>9</v>
      </c>
      <c r="C17" s="366" t="str">
        <f>[24]Brewhouse!$A69</f>
        <v>ST054</v>
      </c>
      <c r="D17" s="279">
        <f>[24]Brewhouse!$AD69</f>
        <v>53.1</v>
      </c>
      <c r="E17" s="279">
        <f>[24]Brewhouse!$AG69</f>
        <v>49.7</v>
      </c>
      <c r="F17" s="278">
        <f>[24]Brewhouse!$V69</f>
        <v>62</v>
      </c>
      <c r="G17" s="279">
        <f>[24]Brewhouse!$AE69</f>
        <v>11.9</v>
      </c>
      <c r="H17" s="396">
        <v>11.8</v>
      </c>
      <c r="I17" s="417">
        <f>[24]Brewhouse!$AS69</f>
        <v>95.834500872564547</v>
      </c>
      <c r="J17" s="417">
        <f>[24]Brewhouse!$AT69</f>
        <v>99.171553348370381</v>
      </c>
      <c r="K17" s="398">
        <f>[24]Brewhouse!$Q69</f>
        <v>3.4155597722960227</v>
      </c>
      <c r="L17" s="276">
        <f>[24]Brewhouse!$P69</f>
        <v>59</v>
      </c>
      <c r="M17" s="374">
        <f>[24]Brewhouse!$U69-[24]Brewhouse!$T69</f>
        <v>0.1777777777777777</v>
      </c>
      <c r="N17" s="370">
        <f>[24]Brewhouse!$AW69</f>
        <v>0.26527777777777772</v>
      </c>
      <c r="O17" s="418" t="str">
        <f>[24]Brewhouse!$AV69</f>
        <v>R.Sookram</v>
      </c>
      <c r="P17" s="369"/>
      <c r="Q17" s="347"/>
      <c r="S17" s="277" t="str">
        <f t="shared" si="0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2:27" ht="14.4">
      <c r="B18" s="33" t="s">
        <v>9</v>
      </c>
      <c r="C18" s="366" t="str">
        <f>[24]Brewhouse!$A70</f>
        <v>ST055</v>
      </c>
      <c r="D18" s="279">
        <f>[24]Brewhouse!$AD70</f>
        <v>53.2</v>
      </c>
      <c r="E18" s="279">
        <f>[24]Brewhouse!$AG70</f>
        <v>50.2</v>
      </c>
      <c r="F18" s="278">
        <f>[24]Brewhouse!$V70</f>
        <v>79</v>
      </c>
      <c r="G18" s="279">
        <f>[24]Brewhouse!$AE70</f>
        <v>11.8</v>
      </c>
      <c r="H18" s="396">
        <v>11.8</v>
      </c>
      <c r="I18" s="417">
        <f>[24]Brewhouse!$AS70</f>
        <v>95.943381714424419</v>
      </c>
      <c r="J18" s="417">
        <f>[24]Brewhouse!$AT70</f>
        <v>99.284225529253135</v>
      </c>
      <c r="K18" s="398">
        <f>[24]Brewhouse!$Q70</f>
        <v>6.0773480662983372</v>
      </c>
      <c r="L18" s="276">
        <f>[24]Brewhouse!$P70</f>
        <v>60</v>
      </c>
      <c r="M18" s="374">
        <f>[24]Brewhouse!$U70-[24]Brewhouse!$T70</f>
        <v>0.21041666666666659</v>
      </c>
      <c r="N18" s="370">
        <f>[24]Brewhouse!$AW70</f>
        <v>0.28749999999999998</v>
      </c>
      <c r="O18" s="418" t="str">
        <f>[24]Brewhouse!$AV70</f>
        <v>K. Benjamin</v>
      </c>
      <c r="P18" s="369"/>
      <c r="Q18" s="347"/>
      <c r="S18" s="277" t="str">
        <f t="shared" si="0"/>
        <v>STAG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2:27" ht="14.4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4.4">
      <c r="B20" s="33"/>
      <c r="C20" s="366"/>
      <c r="D20" s="279"/>
      <c r="E20" s="279"/>
      <c r="F20" s="278"/>
      <c r="G20" s="279"/>
      <c r="H20" s="396"/>
      <c r="I20" s="417"/>
      <c r="J20" s="417"/>
      <c r="K20" s="398"/>
      <c r="L20" s="276"/>
      <c r="M20" s="374"/>
      <c r="N20" s="370"/>
      <c r="O20" s="418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4.4">
      <c r="B21" s="22"/>
      <c r="C21" s="366"/>
      <c r="D21" s="279"/>
      <c r="E21" s="279"/>
      <c r="F21" s="278"/>
      <c r="G21" s="279"/>
      <c r="H21" s="403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3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3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4.4" hidden="1">
      <c r="B24" s="22"/>
      <c r="C24" s="366"/>
      <c r="D24" s="279"/>
      <c r="E24" s="279"/>
      <c r="F24" s="278"/>
      <c r="G24" s="279"/>
      <c r="H24" s="403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4.4" hidden="1">
      <c r="B25" s="22"/>
      <c r="C25" s="366"/>
      <c r="D25" s="279"/>
      <c r="E25" s="279"/>
      <c r="F25" s="278"/>
      <c r="G25" s="279"/>
      <c r="H25" s="403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4.4" hidden="1">
      <c r="B26" s="34"/>
      <c r="C26" s="366"/>
      <c r="D26" s="279"/>
      <c r="E26" s="279"/>
      <c r="F26" s="278"/>
      <c r="G26" s="279"/>
      <c r="H26" s="396"/>
      <c r="I26" s="368"/>
      <c r="J26" s="368"/>
      <c r="K26" s="398"/>
      <c r="L26" s="276"/>
      <c r="M26" s="399"/>
      <c r="N26" s="370"/>
      <c r="O26" s="371"/>
      <c r="P26" s="369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4"/>
      <c r="C27" s="366"/>
      <c r="D27" s="279"/>
      <c r="E27" s="279"/>
      <c r="F27" s="278"/>
      <c r="G27" s="279"/>
      <c r="H27" s="396"/>
      <c r="I27" s="368"/>
      <c r="J27" s="368"/>
      <c r="K27" s="398"/>
      <c r="L27" s="276"/>
      <c r="M27" s="399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4"/>
      <c r="C28" s="366"/>
      <c r="D28" s="279"/>
      <c r="E28" s="279"/>
      <c r="F28" s="278"/>
      <c r="G28" s="279"/>
      <c r="H28" s="396"/>
      <c r="I28" s="368"/>
      <c r="J28" s="368"/>
      <c r="K28" s="398"/>
      <c r="L28" s="276"/>
      <c r="M28" s="399"/>
      <c r="N28" s="370"/>
      <c r="O28" s="371"/>
      <c r="P28" s="375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.75" hidden="1" customHeight="1">
      <c r="B29" s="34"/>
      <c r="C29" s="366"/>
      <c r="D29" s="279"/>
      <c r="E29" s="279"/>
      <c r="F29" s="278"/>
      <c r="G29" s="279"/>
      <c r="H29" s="396"/>
      <c r="I29" s="368"/>
      <c r="J29" s="368"/>
      <c r="K29" s="398"/>
      <c r="L29" s="276"/>
      <c r="M29" s="399"/>
      <c r="N29" s="370"/>
      <c r="O29" s="371"/>
      <c r="P29" s="375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375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375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375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375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375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74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.75" hidden="1" customHeight="1">
      <c r="B37" s="33"/>
      <c r="C37" s="366"/>
      <c r="D37" s="279"/>
      <c r="E37" s="279"/>
      <c r="F37" s="278"/>
      <c r="G37" s="279"/>
      <c r="H37" s="396"/>
      <c r="I37" s="417"/>
      <c r="J37" s="417"/>
      <c r="K37" s="398"/>
      <c r="L37" s="276"/>
      <c r="M37" s="374"/>
      <c r="N37" s="370"/>
      <c r="O37" s="418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.75" hidden="1" customHeight="1">
      <c r="B38" s="33"/>
      <c r="C38" s="366"/>
      <c r="D38" s="279"/>
      <c r="E38" s="279"/>
      <c r="F38" s="278"/>
      <c r="G38" s="279"/>
      <c r="H38" s="396"/>
      <c r="I38" s="417"/>
      <c r="J38" s="417"/>
      <c r="K38" s="398"/>
      <c r="L38" s="276"/>
      <c r="M38" s="374"/>
      <c r="N38" s="370"/>
      <c r="O38" s="418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.75" hidden="1" customHeight="1">
      <c r="B39" s="33"/>
      <c r="C39" s="366"/>
      <c r="D39" s="279"/>
      <c r="E39" s="279"/>
      <c r="F39" s="278"/>
      <c r="G39" s="279"/>
      <c r="H39" s="396"/>
      <c r="I39" s="417"/>
      <c r="J39" s="417"/>
      <c r="K39" s="398"/>
      <c r="L39" s="276"/>
      <c r="M39" s="374"/>
      <c r="N39" s="370"/>
      <c r="O39" s="418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.75" hidden="1" customHeight="1">
      <c r="B40" s="33"/>
      <c r="C40" s="366"/>
      <c r="D40" s="279"/>
      <c r="E40" s="279"/>
      <c r="F40" s="278"/>
      <c r="G40" s="279"/>
      <c r="H40" s="396"/>
      <c r="I40" s="417"/>
      <c r="J40" s="417"/>
      <c r="K40" s="398"/>
      <c r="L40" s="276"/>
      <c r="M40" s="374"/>
      <c r="N40" s="370"/>
      <c r="O40" s="418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7"/>
      <c r="J41" s="417"/>
      <c r="K41" s="398"/>
      <c r="L41" s="276"/>
      <c r="M41" s="374"/>
      <c r="N41" s="370"/>
      <c r="O41" s="418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7"/>
      <c r="J42" s="417"/>
      <c r="K42" s="398"/>
      <c r="L42" s="276"/>
      <c r="M42" s="374"/>
      <c r="N42" s="370"/>
      <c r="O42" s="418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.75" hidden="1" customHeight="1">
      <c r="B43" s="33"/>
      <c r="C43" s="366"/>
      <c r="D43" s="279"/>
      <c r="E43" s="279"/>
      <c r="F43" s="278"/>
      <c r="G43" s="279"/>
      <c r="H43" s="396"/>
      <c r="I43" s="417"/>
      <c r="J43" s="417"/>
      <c r="K43" s="398"/>
      <c r="L43" s="276"/>
      <c r="M43" s="374"/>
      <c r="N43" s="370"/>
      <c r="O43" s="418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.75" hidden="1" customHeight="1">
      <c r="B44" s="33"/>
      <c r="C44" s="366"/>
      <c r="D44" s="279"/>
      <c r="E44" s="279"/>
      <c r="F44" s="278"/>
      <c r="G44" s="279"/>
      <c r="H44" s="396"/>
      <c r="I44" s="417"/>
      <c r="J44" s="417"/>
      <c r="K44" s="398"/>
      <c r="L44" s="276"/>
      <c r="M44" s="374"/>
      <c r="N44" s="370"/>
      <c r="O44" s="418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.75" hidden="1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276"/>
      <c r="M45" s="397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.7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276"/>
      <c r="M47" s="397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hidden="1" customHeight="1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276"/>
      <c r="M48" s="397"/>
      <c r="N48" s="370"/>
      <c r="O48" s="371"/>
      <c r="P48" s="369"/>
      <c r="Q48" s="347"/>
      <c r="S48" s="277">
        <f t="shared" si="0"/>
        <v>0</v>
      </c>
      <c r="T48" s="296" t="e">
        <f t="shared" si="1"/>
        <v>#N/A</v>
      </c>
      <c r="U48" s="296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7" t="e">
        <f t="shared" si="7"/>
        <v>#N/A</v>
      </c>
      <c r="AA48" s="296" t="e">
        <f t="shared" si="8"/>
        <v>#N/A</v>
      </c>
    </row>
    <row r="49" spans="1:27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276"/>
      <c r="M49" s="397"/>
      <c r="N49" s="370"/>
      <c r="O49" s="371"/>
      <c r="P49" s="369"/>
      <c r="Q49" s="347"/>
      <c r="S49" s="277">
        <f t="shared" si="0"/>
        <v>0</v>
      </c>
      <c r="T49" s="296" t="e">
        <f t="shared" si="1"/>
        <v>#N/A</v>
      </c>
      <c r="U49" s="296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7" t="e">
        <f t="shared" si="7"/>
        <v>#N/A</v>
      </c>
      <c r="AA49" s="296" t="e">
        <f t="shared" si="8"/>
        <v>#N/A</v>
      </c>
    </row>
    <row r="50" spans="1:27" ht="14.4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276"/>
      <c r="M50" s="374"/>
      <c r="N50" s="370"/>
      <c r="O50" s="371"/>
      <c r="P50" s="369"/>
      <c r="Q50" s="347"/>
      <c r="S50" s="277">
        <f t="shared" si="0"/>
        <v>0</v>
      </c>
      <c r="T50" s="296" t="e">
        <f t="shared" si="1"/>
        <v>#N/A</v>
      </c>
      <c r="U50" s="296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7" t="e">
        <f t="shared" si="7"/>
        <v>#N/A</v>
      </c>
      <c r="AA50" s="296" t="e">
        <f t="shared" si="8"/>
        <v>#N/A</v>
      </c>
    </row>
    <row r="51" spans="1:27" ht="15.75" customHeight="1" thickBot="1">
      <c r="B51" s="358"/>
      <c r="C51" s="358"/>
      <c r="D51" s="358"/>
      <c r="E51" s="358"/>
      <c r="F51" s="294"/>
      <c r="G51" s="294"/>
      <c r="H51" s="348"/>
      <c r="I51" s="500" t="s">
        <v>34</v>
      </c>
      <c r="J51" s="500"/>
      <c r="K51" s="500"/>
      <c r="L51" s="500"/>
      <c r="M51" s="500"/>
      <c r="N51" s="500"/>
      <c r="O51" s="1"/>
      <c r="P51" s="12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5" thickBot="1">
      <c r="B52" s="388" t="s">
        <v>145</v>
      </c>
      <c r="C52" s="388"/>
      <c r="D52" s="478" t="s">
        <v>35</v>
      </c>
      <c r="E52" s="479"/>
      <c r="F52" s="294"/>
      <c r="G52" s="294"/>
      <c r="H52" s="23"/>
      <c r="I52" s="24" t="s">
        <v>17</v>
      </c>
      <c r="J52" s="25" t="s">
        <v>146</v>
      </c>
      <c r="K52" s="26" t="s">
        <v>138</v>
      </c>
      <c r="L52" s="25" t="s">
        <v>37</v>
      </c>
      <c r="M52" s="25" t="s">
        <v>38</v>
      </c>
      <c r="N52" s="27" t="s">
        <v>39</v>
      </c>
      <c r="O52" s="294"/>
      <c r="P52" s="12"/>
      <c r="S52" s="277"/>
      <c r="T52" s="296"/>
      <c r="U52" s="296"/>
      <c r="V52" s="297"/>
      <c r="W52" s="297"/>
      <c r="X52" s="297"/>
      <c r="Y52" s="297"/>
      <c r="Z52" s="297"/>
      <c r="AA52" s="296"/>
    </row>
    <row r="53" spans="1:27" ht="15" customHeight="1">
      <c r="A53" s="28"/>
      <c r="B53" s="548"/>
      <c r="C53" s="362"/>
      <c r="D53" s="504"/>
      <c r="E53" s="505"/>
      <c r="F53" s="294"/>
      <c r="G53" s="294"/>
      <c r="H53" s="294"/>
      <c r="I53" s="29" t="s">
        <v>6</v>
      </c>
      <c r="J53" s="323">
        <f>AVERAGE(I10:I12)</f>
        <v>93.999983010233279</v>
      </c>
      <c r="K53" s="284">
        <f>COUNTA([22]Brewhouse!$A$173:$A$182)</f>
        <v>10</v>
      </c>
      <c r="L53" s="302">
        <f>AVERAGE([22]Brewhouse!$AU$173:$AU$182)</f>
        <v>93.527779726358233</v>
      </c>
      <c r="M53" s="302">
        <f>AVERAGE([22]Brewhouse!$AU$102:$AU$171,[22]Brewhouse!$AU$173:$AU$182)</f>
        <v>94.445011013029102</v>
      </c>
      <c r="N53" s="30">
        <v>98</v>
      </c>
      <c r="O53" s="11"/>
      <c r="P53" s="31"/>
      <c r="S53" s="277"/>
      <c r="T53" s="296"/>
      <c r="U53" s="296"/>
      <c r="V53" s="297"/>
      <c r="W53" s="297"/>
      <c r="X53" s="297"/>
      <c r="Y53" s="297"/>
      <c r="Z53" s="297"/>
      <c r="AA53" s="296"/>
    </row>
    <row r="54" spans="1:27" ht="15" customHeight="1">
      <c r="A54" s="28"/>
      <c r="B54" s="549"/>
      <c r="C54" s="349"/>
      <c r="D54" s="506"/>
      <c r="E54" s="507"/>
      <c r="F54" s="294"/>
      <c r="G54" s="294"/>
      <c r="H54" s="32"/>
      <c r="I54" s="33" t="s">
        <v>9</v>
      </c>
      <c r="J54" s="323">
        <f>AVERAGE(I14:I18)</f>
        <v>94.93587434513627</v>
      </c>
      <c r="K54" s="284">
        <f>COUNTA([24]Brewhouse!$A$66:$A$70)</f>
        <v>5</v>
      </c>
      <c r="L54" s="302">
        <f>AVERAGE([24]Brewhouse!$AS$66:$AS$70)</f>
        <v>94.93587434513627</v>
      </c>
      <c r="M54" s="302">
        <f>AVERAGE([24]Brewhouse!$AS$15:$AS$64,[24]Brewhouse!$AS$66:$AS$70)</f>
        <v>95.973563231937376</v>
      </c>
      <c r="N54" s="30">
        <v>98</v>
      </c>
      <c r="O54" s="11"/>
      <c r="P54" s="31"/>
      <c r="S54" s="277"/>
      <c r="T54" s="296"/>
      <c r="U54" s="296"/>
      <c r="V54" s="297"/>
      <c r="W54" s="297"/>
      <c r="X54" s="297"/>
      <c r="Y54" s="297"/>
      <c r="Z54" s="297"/>
      <c r="AA54" s="296"/>
    </row>
    <row r="55" spans="1:27" ht="14.7" customHeight="1">
      <c r="A55" s="28"/>
      <c r="B55" s="549"/>
      <c r="C55" s="349"/>
      <c r="D55" s="555"/>
      <c r="E55" s="556"/>
      <c r="F55" s="294"/>
      <c r="G55" s="294"/>
      <c r="H55" s="32"/>
      <c r="I55" s="34" t="s">
        <v>12</v>
      </c>
      <c r="J55" s="280"/>
      <c r="K55" s="284">
        <f>COUNTA([23]Brewhouse!$A$9:$A$14)</f>
        <v>6</v>
      </c>
      <c r="L55" s="302">
        <f>AVERAGE([23]Brewhouse!$AU$9:$AU$14)</f>
        <v>96.577361087083986</v>
      </c>
      <c r="M55" s="302">
        <f>AVERAGE([23]Brewhouse!$AU$4:$AU$7,[23]Brewhouse!$AU$9:$AU$14)</f>
        <v>96.787191796473266</v>
      </c>
      <c r="N55" s="30">
        <v>98</v>
      </c>
      <c r="O55" s="11"/>
      <c r="P55" s="31"/>
      <c r="S55" s="23"/>
      <c r="T55" s="1"/>
      <c r="U55" s="1"/>
      <c r="AA55" s="285"/>
    </row>
    <row r="56" spans="1:27" ht="14.7" customHeight="1" thickBot="1">
      <c r="A56" s="28"/>
      <c r="B56" s="554"/>
      <c r="C56" s="350"/>
      <c r="D56" s="557"/>
      <c r="E56" s="558"/>
      <c r="F56" s="294"/>
      <c r="G56" s="294"/>
      <c r="H56" s="32"/>
      <c r="I56" s="22" t="s">
        <v>33</v>
      </c>
      <c r="J56" s="280"/>
      <c r="K56" s="284"/>
      <c r="L56" s="302"/>
      <c r="M56" s="302">
        <f>AVERAGE([25]Brewhouse!$AV$5:$AV$14)</f>
        <v>97.717673301363135</v>
      </c>
      <c r="N56" s="30">
        <v>98</v>
      </c>
      <c r="O56" s="11"/>
      <c r="P56" s="31"/>
      <c r="S56" s="23"/>
      <c r="T56" s="1"/>
      <c r="U56" s="1"/>
      <c r="AA56" s="285"/>
    </row>
    <row r="57" spans="1:27" ht="14.7" customHeight="1">
      <c r="A57" s="28"/>
      <c r="B57" s="549" t="str">
        <f>I55</f>
        <v>GUINNESS</v>
      </c>
      <c r="C57" s="362" cm="1">
        <f t="array" ref="C57:C60">[23]Process!$D$16:$D$19</f>
        <v>17.7</v>
      </c>
      <c r="D57" s="504">
        <v>16.77</v>
      </c>
      <c r="E57" s="505"/>
      <c r="F57" s="294"/>
      <c r="G57" s="294"/>
      <c r="H57" s="32"/>
      <c r="I57" s="35" t="s">
        <v>29</v>
      </c>
      <c r="J57" s="280"/>
      <c r="K57" s="284"/>
      <c r="L57" s="302"/>
      <c r="M57" s="302"/>
      <c r="N57" s="30">
        <v>98</v>
      </c>
      <c r="O57" s="11"/>
      <c r="P57" s="31"/>
      <c r="S57" s="23"/>
    </row>
    <row r="58" spans="1:27" ht="14.7" customHeight="1">
      <c r="A58" s="28"/>
      <c r="B58" s="549"/>
      <c r="C58" s="349">
        <v>17.5</v>
      </c>
      <c r="D58" s="506"/>
      <c r="E58" s="507"/>
      <c r="F58" s="294"/>
      <c r="G58" s="294"/>
      <c r="H58" s="32"/>
      <c r="I58" s="36" t="s">
        <v>15</v>
      </c>
      <c r="J58" s="323"/>
      <c r="K58" s="284"/>
      <c r="L58" s="302"/>
      <c r="M58" s="302">
        <f>AVERAGE([26]Brewhouse!$AT$4:$AT$11)</f>
        <v>94.812616598822359</v>
      </c>
      <c r="N58" s="30">
        <v>98</v>
      </c>
      <c r="O58" s="11"/>
      <c r="P58" s="31"/>
      <c r="S58" s="23"/>
    </row>
    <row r="59" spans="1:27" ht="14.7" customHeight="1">
      <c r="A59" s="28"/>
      <c r="B59" s="549"/>
      <c r="C59" s="349">
        <v>17.600000000000001</v>
      </c>
      <c r="D59" s="504">
        <v>17.3</v>
      </c>
      <c r="E59" s="505"/>
      <c r="F59" s="294"/>
      <c r="G59" s="294"/>
      <c r="H59" s="32"/>
      <c r="I59" s="37" t="s">
        <v>16</v>
      </c>
      <c r="J59" s="323"/>
      <c r="K59" s="284"/>
      <c r="L59" s="302"/>
      <c r="M59" s="302">
        <f>AVERAGE([27]Brewhouse!$AY$6:$AY$13)</f>
        <v>93.094805585685208</v>
      </c>
      <c r="N59" s="30">
        <v>98</v>
      </c>
      <c r="O59" s="11"/>
      <c r="P59" s="31" t="s">
        <v>41</v>
      </c>
      <c r="S59" s="23"/>
      <c r="X59" s="275" t="s">
        <v>41</v>
      </c>
    </row>
    <row r="60" spans="1:27" ht="14.7" customHeight="1">
      <c r="A60" s="28"/>
      <c r="B60" s="549"/>
      <c r="C60" s="349">
        <v>17.3</v>
      </c>
      <c r="D60" s="506"/>
      <c r="E60" s="507"/>
      <c r="F60" s="294"/>
      <c r="G60" s="294"/>
      <c r="H60" s="32"/>
      <c r="I60" s="416" t="s">
        <v>158</v>
      </c>
      <c r="J60" s="326"/>
      <c r="K60" s="284"/>
      <c r="L60" s="305"/>
      <c r="M60" s="305">
        <f>AVERAGE([28]Brewhouse!$AU$5:$AU$8)</f>
        <v>91.006888337619571</v>
      </c>
      <c r="N60" s="30">
        <v>98</v>
      </c>
      <c r="O60" s="11"/>
      <c r="P60" s="31"/>
      <c r="S60" s="23"/>
    </row>
    <row r="61" spans="1:27" ht="14.7" customHeight="1">
      <c r="A61" s="28"/>
      <c r="B61" s="549"/>
      <c r="C61" s="349"/>
      <c r="D61" s="504"/>
      <c r="E61" s="505"/>
      <c r="F61" s="294"/>
      <c r="G61" s="294"/>
      <c r="H61" s="32"/>
      <c r="I61" s="415" t="s">
        <v>157</v>
      </c>
      <c r="J61" s="326"/>
      <c r="K61" s="284"/>
      <c r="L61" s="305"/>
      <c r="M61" s="305"/>
      <c r="N61" s="30"/>
      <c r="O61" s="11"/>
      <c r="P61" s="31"/>
      <c r="S61" s="23"/>
    </row>
    <row r="62" spans="1:27" ht="15" customHeight="1" thickBot="1">
      <c r="A62" s="28"/>
      <c r="B62" s="549"/>
      <c r="C62" s="349"/>
      <c r="D62" s="506"/>
      <c r="E62" s="507"/>
      <c r="F62" s="294"/>
      <c r="G62" s="294"/>
      <c r="H62" s="32"/>
      <c r="I62" s="411" t="s">
        <v>156</v>
      </c>
      <c r="J62" s="327"/>
      <c r="K62" s="412"/>
      <c r="L62" s="413"/>
      <c r="M62" s="413"/>
      <c r="N62" s="414">
        <v>98</v>
      </c>
      <c r="O62" s="11"/>
      <c r="P62" s="31"/>
      <c r="S62" s="23"/>
    </row>
    <row r="63" spans="1:27" ht="15" customHeight="1" thickBot="1">
      <c r="A63" s="28"/>
      <c r="B63" s="549"/>
      <c r="C63" s="349"/>
      <c r="D63" s="504"/>
      <c r="E63" s="505"/>
      <c r="F63" s="294"/>
      <c r="G63" s="294"/>
      <c r="H63" s="32"/>
      <c r="I63" s="1"/>
      <c r="J63" s="39"/>
      <c r="K63" s="409">
        <f>SUM(K53:K62)</f>
        <v>21</v>
      </c>
      <c r="L63" s="410">
        <f>((L53*K53)+(L54*K54)+(L55*K55)+(L56*K56)+(L57*K57)+(K60*L60)+(L58*K58)+(L59*K59)+(L62*K62))/(K63)</f>
        <v>94.73434931008417</v>
      </c>
      <c r="M63" s="410">
        <f>L63</f>
        <v>94.73434931008417</v>
      </c>
      <c r="N63" s="40">
        <v>98</v>
      </c>
      <c r="O63" s="11"/>
      <c r="P63" s="31"/>
      <c r="S63" s="23"/>
    </row>
    <row r="64" spans="1:27" ht="15" thickBot="1">
      <c r="B64" s="550"/>
      <c r="C64" s="350"/>
      <c r="D64" s="506"/>
      <c r="E64" s="507"/>
      <c r="F64" s="294"/>
      <c r="G64" s="42"/>
      <c r="H64" s="41"/>
      <c r="I64" s="42"/>
      <c r="J64" s="42"/>
      <c r="K64" s="351"/>
      <c r="L64" s="348"/>
      <c r="M64" s="348"/>
      <c r="N64" s="11"/>
      <c r="O64" s="294"/>
      <c r="P64" s="12"/>
      <c r="S64" s="23"/>
    </row>
    <row r="65" spans="2:57" ht="15" thickBot="1">
      <c r="B65" s="551" t="str">
        <f>I53</f>
        <v>CARIB</v>
      </c>
      <c r="C65" s="362">
        <f>[22]Process!$D$118</f>
        <v>11.7</v>
      </c>
      <c r="D65" s="517">
        <v>11.73</v>
      </c>
      <c r="E65" s="518"/>
      <c r="F65" s="43"/>
      <c r="G65" s="41"/>
      <c r="H65" s="41"/>
      <c r="I65" s="42"/>
      <c r="J65" s="520" t="s">
        <v>129</v>
      </c>
      <c r="K65" s="520"/>
      <c r="L65" s="294"/>
      <c r="M65" s="294"/>
      <c r="N65" s="294"/>
      <c r="O65" s="294"/>
      <c r="P65" s="12"/>
      <c r="S65" s="23" t="s">
        <v>41</v>
      </c>
    </row>
    <row r="66" spans="2:57" ht="13.5" customHeight="1" thickBot="1">
      <c r="B66" s="552"/>
      <c r="C66" s="349">
        <f>[22]Process!$D$127</f>
        <v>11.9</v>
      </c>
      <c r="D66" s="519"/>
      <c r="E66" s="507"/>
      <c r="F66" s="43"/>
      <c r="G66" s="41"/>
      <c r="H66" s="41"/>
      <c r="I66" s="42"/>
      <c r="J66" s="419" t="s">
        <v>17</v>
      </c>
      <c r="K66" s="293" t="s">
        <v>147</v>
      </c>
      <c r="L66" s="521" t="s">
        <v>136</v>
      </c>
      <c r="M66" s="521"/>
      <c r="N66" s="522"/>
      <c r="O66" s="294"/>
      <c r="P66" s="12"/>
      <c r="S66" s="23"/>
    </row>
    <row r="67" spans="2:57" ht="15" customHeight="1" thickBot="1">
      <c r="B67" s="552"/>
      <c r="C67" s="349" cm="1">
        <f t="array" ref="C67:C70">[22]Process!$D$136:$D$139</f>
        <v>11.8</v>
      </c>
      <c r="D67" s="523">
        <v>11.71</v>
      </c>
      <c r="E67" s="505"/>
      <c r="F67" s="43"/>
      <c r="G67" s="41"/>
      <c r="H67" s="41"/>
      <c r="I67" s="42"/>
      <c r="J67" s="420" t="s">
        <v>6</v>
      </c>
      <c r="K67" s="324">
        <f>COUNTA(C10:C12)</f>
        <v>3</v>
      </c>
      <c r="L67" s="343" t="s">
        <v>37</v>
      </c>
      <c r="M67" s="307" t="s">
        <v>38</v>
      </c>
      <c r="N67" s="307" t="s">
        <v>84</v>
      </c>
      <c r="O67" s="294"/>
      <c r="P67" s="12"/>
      <c r="S67" s="23"/>
    </row>
    <row r="68" spans="2:57" ht="15.75" customHeight="1" thickBot="1">
      <c r="B68" s="552"/>
      <c r="C68" s="349">
        <v>11.7</v>
      </c>
      <c r="D68" s="519"/>
      <c r="E68" s="507"/>
      <c r="F68" s="43"/>
      <c r="G68" s="41"/>
      <c r="H68" s="41"/>
      <c r="I68" s="42"/>
      <c r="J68" s="421" t="s">
        <v>9</v>
      </c>
      <c r="K68" s="324">
        <f>COUNTA(B14:B19)</f>
        <v>5</v>
      </c>
      <c r="L68" s="344">
        <f>AVERAGE('Feb 3rd'!K79,'Feb 4th'!K77,'Feb 5th'!K77)</f>
        <v>7</v>
      </c>
      <c r="M68" s="325">
        <f>AVERAGE('[29]Jan 29th '!$M$70,L68)</f>
        <v>6.75</v>
      </c>
      <c r="N68" s="401"/>
      <c r="O68" s="294"/>
      <c r="P68" s="12"/>
      <c r="S68" s="23"/>
    </row>
    <row r="69" spans="2:57" ht="15" customHeight="1">
      <c r="B69" s="552"/>
      <c r="C69" s="349">
        <v>11.9</v>
      </c>
      <c r="D69" s="523">
        <v>11.6</v>
      </c>
      <c r="E69" s="505"/>
      <c r="F69" s="43"/>
      <c r="G69" s="41"/>
      <c r="H69" s="41"/>
      <c r="I69" s="42"/>
      <c r="J69" s="422" t="s">
        <v>40</v>
      </c>
      <c r="K69" s="324"/>
      <c r="L69" s="294"/>
      <c r="M69" s="294"/>
      <c r="N69" s="294"/>
      <c r="O69" s="294"/>
      <c r="P69" s="12"/>
      <c r="S69" s="23"/>
    </row>
    <row r="70" spans="2:57" ht="15" customHeight="1">
      <c r="B70" s="552"/>
      <c r="C70" s="349">
        <v>11.8</v>
      </c>
      <c r="D70" s="519"/>
      <c r="E70" s="507"/>
      <c r="F70" s="43"/>
      <c r="G70" s="41"/>
      <c r="H70" s="41"/>
      <c r="I70" s="42"/>
      <c r="J70" s="423" t="s">
        <v>33</v>
      </c>
      <c r="K70" s="324"/>
      <c r="L70" s="294"/>
      <c r="M70" s="294"/>
      <c r="N70" s="294"/>
      <c r="O70" s="294"/>
      <c r="P70" s="12"/>
      <c r="S70" s="23"/>
    </row>
    <row r="71" spans="2:57" ht="14.4">
      <c r="B71" s="552"/>
      <c r="C71" s="349"/>
      <c r="D71" s="523"/>
      <c r="E71" s="505"/>
      <c r="F71" s="43"/>
      <c r="G71" s="41"/>
      <c r="H71" s="41"/>
      <c r="I71" s="42"/>
      <c r="J71" s="424" t="s">
        <v>16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7" ht="14.4">
      <c r="B72" s="552"/>
      <c r="C72" s="349"/>
      <c r="D72" s="519"/>
      <c r="E72" s="507"/>
      <c r="F72" s="43"/>
      <c r="G72" s="41"/>
      <c r="H72" s="41"/>
      <c r="I72" s="42"/>
      <c r="J72" s="425" t="s">
        <v>15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7" ht="14.4">
      <c r="B73" s="552"/>
      <c r="C73" s="349"/>
      <c r="D73" s="524"/>
      <c r="E73" s="509"/>
      <c r="F73" s="43"/>
      <c r="G73" s="41"/>
      <c r="H73" s="41"/>
      <c r="I73" s="42"/>
      <c r="J73" s="425" t="s">
        <v>149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7" ht="15" thickBot="1">
      <c r="B74" s="553"/>
      <c r="C74" s="350"/>
      <c r="D74" s="525"/>
      <c r="E74" s="526"/>
      <c r="F74" s="43"/>
      <c r="G74" s="41"/>
      <c r="H74" s="41"/>
      <c r="I74" s="42"/>
      <c r="J74" s="425" t="s">
        <v>148</v>
      </c>
      <c r="K74" s="324"/>
      <c r="L74" s="294"/>
      <c r="M74" s="294"/>
      <c r="N74" s="294"/>
      <c r="O74" s="294"/>
      <c r="P74" s="12"/>
      <c r="S74" s="23"/>
      <c r="BD74" s="44"/>
      <c r="BE74" s="44"/>
    </row>
    <row r="75" spans="2:57" ht="17.7" customHeight="1" thickBot="1">
      <c r="B75" s="312" t="s">
        <v>139</v>
      </c>
      <c r="C75" s="313"/>
      <c r="D75" s="527">
        <f>AVERAGE(D53:E74)</f>
        <v>13.821999999999999</v>
      </c>
      <c r="E75" s="528"/>
      <c r="F75" s="43"/>
      <c r="G75" s="41"/>
      <c r="H75" s="41"/>
      <c r="I75" s="42"/>
      <c r="J75" s="426" t="s">
        <v>134</v>
      </c>
      <c r="K75" s="324"/>
      <c r="L75" s="294"/>
      <c r="M75" s="294"/>
      <c r="N75" s="294"/>
      <c r="O75" s="294"/>
      <c r="P75" s="12"/>
      <c r="S75" s="23"/>
      <c r="BD75" s="44"/>
      <c r="BE75" s="44"/>
    </row>
    <row r="76" spans="2:57" ht="17.7" customHeight="1">
      <c r="B76" s="363"/>
      <c r="C76" s="364"/>
      <c r="D76" s="365"/>
      <c r="E76" s="365"/>
      <c r="F76" s="43"/>
      <c r="G76" s="41"/>
      <c r="H76" s="41"/>
      <c r="I76" s="42"/>
      <c r="J76" s="426" t="s">
        <v>131</v>
      </c>
      <c r="K76" s="324"/>
      <c r="L76" s="294"/>
      <c r="M76" s="294"/>
      <c r="N76" s="294"/>
      <c r="O76" s="294"/>
      <c r="P76" s="12"/>
      <c r="S76" s="23"/>
      <c r="BD76" s="44"/>
      <c r="BE76" s="44"/>
    </row>
    <row r="77" spans="2:57" ht="15.75" customHeight="1">
      <c r="B77" s="45"/>
      <c r="C77" s="11"/>
      <c r="D77" s="11"/>
      <c r="E77" s="46"/>
      <c r="F77" s="23"/>
      <c r="G77" s="11"/>
      <c r="H77" s="41"/>
      <c r="I77" s="42"/>
      <c r="J77" s="427" t="s">
        <v>130</v>
      </c>
      <c r="K77" s="324">
        <f>SUM(K67:K76)</f>
        <v>8</v>
      </c>
      <c r="L77" s="294"/>
      <c r="M77" s="294"/>
      <c r="N77" s="294"/>
      <c r="O77" s="294"/>
      <c r="P77" s="12"/>
    </row>
    <row r="78" spans="2:57" ht="20.25" customHeight="1">
      <c r="B78" s="15" t="s">
        <v>42</v>
      </c>
      <c r="C78" s="1" t="s">
        <v>43</v>
      </c>
      <c r="D78" s="1"/>
      <c r="E78" s="1"/>
      <c r="I78" s="42"/>
      <c r="L78" s="294"/>
      <c r="P78" s="334"/>
    </row>
    <row r="79" spans="2:57" ht="15" customHeight="1" thickBot="1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8"/>
      <c r="O79" s="48"/>
      <c r="P79" s="49"/>
      <c r="X79" s="275" t="s">
        <v>41</v>
      </c>
    </row>
    <row r="80" spans="2:57" ht="15" customHeight="1" thickBot="1">
      <c r="B80" s="529" t="s">
        <v>17</v>
      </c>
      <c r="C80" s="529" t="s">
        <v>44</v>
      </c>
      <c r="D80" s="531" t="s">
        <v>45</v>
      </c>
      <c r="E80" s="486" t="s">
        <v>46</v>
      </c>
      <c r="F80" s="546" t="s">
        <v>47</v>
      </c>
      <c r="G80" s="540" t="s">
        <v>48</v>
      </c>
      <c r="H80" s="529" t="s">
        <v>49</v>
      </c>
      <c r="I80" s="529" t="s">
        <v>50</v>
      </c>
      <c r="J80" s="534" t="s">
        <v>28</v>
      </c>
      <c r="K80" s="484" t="s">
        <v>51</v>
      </c>
      <c r="L80" s="496" t="s">
        <v>52</v>
      </c>
      <c r="M80" s="534" t="s">
        <v>53</v>
      </c>
      <c r="N80" s="77"/>
      <c r="O80" s="13"/>
      <c r="P80" s="50"/>
    </row>
    <row r="81" spans="2:58" ht="28.5" customHeight="1" thickTop="1" thickBot="1">
      <c r="B81" s="530"/>
      <c r="C81" s="530"/>
      <c r="D81" s="532"/>
      <c r="E81" s="533"/>
      <c r="F81" s="547"/>
      <c r="G81" s="541"/>
      <c r="H81" s="530"/>
      <c r="I81" s="530"/>
      <c r="J81" s="535"/>
      <c r="K81" s="544"/>
      <c r="L81" s="545"/>
      <c r="M81" s="535"/>
      <c r="N81" s="77"/>
      <c r="O81" s="13"/>
      <c r="P81" s="50"/>
      <c r="Q81" s="355"/>
      <c r="R81" s="355"/>
      <c r="S81" s="355"/>
      <c r="T81" s="355"/>
      <c r="U81" s="51">
        <v>43466</v>
      </c>
      <c r="V81" s="51">
        <v>43467</v>
      </c>
      <c r="W81" s="51">
        <v>43468</v>
      </c>
      <c r="X81" s="51">
        <v>43469</v>
      </c>
      <c r="Y81" s="51">
        <v>43470</v>
      </c>
      <c r="Z81" s="51">
        <v>43471</v>
      </c>
      <c r="AA81" s="51">
        <v>43472</v>
      </c>
      <c r="AB81" s="51">
        <v>43473</v>
      </c>
      <c r="AC81" s="51">
        <v>43474</v>
      </c>
      <c r="AD81" s="51">
        <v>43475</v>
      </c>
      <c r="AE81" s="51">
        <v>43476</v>
      </c>
      <c r="AF81" s="51">
        <v>43477</v>
      </c>
      <c r="AG81" s="51">
        <v>43478</v>
      </c>
      <c r="AH81" s="51">
        <v>43479</v>
      </c>
      <c r="AI81" s="51">
        <v>43480</v>
      </c>
      <c r="AJ81" s="51">
        <v>43481</v>
      </c>
      <c r="AK81" s="51">
        <v>43482</v>
      </c>
      <c r="AL81" s="51">
        <v>43483</v>
      </c>
      <c r="AM81" s="51">
        <v>43484</v>
      </c>
      <c r="AN81" s="51">
        <v>43485</v>
      </c>
      <c r="AO81" s="51">
        <v>43486</v>
      </c>
      <c r="AP81" s="51">
        <v>43487</v>
      </c>
      <c r="AQ81" s="51">
        <v>43488</v>
      </c>
      <c r="AR81" s="51">
        <v>43489</v>
      </c>
      <c r="AS81" s="51">
        <v>43490</v>
      </c>
      <c r="AT81" s="51">
        <v>43491</v>
      </c>
      <c r="AU81" s="51">
        <v>43492</v>
      </c>
      <c r="AV81" s="51">
        <v>43493</v>
      </c>
      <c r="AW81" s="51">
        <v>43494</v>
      </c>
      <c r="AX81" s="51">
        <v>43495</v>
      </c>
      <c r="AY81" s="51">
        <v>43496</v>
      </c>
    </row>
    <row r="82" spans="2:58" s="54" customFormat="1" ht="18.75" customHeight="1" thickBot="1">
      <c r="B82" s="387"/>
      <c r="C82" s="283"/>
      <c r="D82" s="279"/>
      <c r="E82" s="279"/>
      <c r="F82" s="279"/>
      <c r="G82" s="279"/>
      <c r="H82" s="320"/>
      <c r="I82" s="321"/>
      <c r="J82" s="389"/>
      <c r="K82" s="376"/>
      <c r="L82" s="314"/>
      <c r="M82" s="384"/>
      <c r="N82" s="13"/>
      <c r="O82" s="13"/>
      <c r="P82" s="50"/>
      <c r="T82" s="272" t="s">
        <v>51</v>
      </c>
      <c r="U82" s="57" t="e">
        <f>[20]January_2019!D8</f>
        <v>#DIV/0!</v>
      </c>
      <c r="V82" s="57">
        <f>[20]January_2019!E8</f>
        <v>1.0319298245614037</v>
      </c>
      <c r="W82" s="57">
        <f>[20]January_2019!F8</f>
        <v>1.7789473684210526</v>
      </c>
      <c r="X82" s="57">
        <f>[20]January_2019!G8</f>
        <v>0.51929824561403504</v>
      </c>
      <c r="Y82" s="57" t="e">
        <f>[20]January_2019!H8</f>
        <v>#DIV/0!</v>
      </c>
      <c r="Z82" s="57" t="e">
        <f>[20]January_2019!I8</f>
        <v>#DIV/0!</v>
      </c>
      <c r="AA82" s="57">
        <f>[20]January_2019!J8</f>
        <v>1.365263157894737</v>
      </c>
      <c r="AB82" s="57" t="e">
        <f>[20]January_2019!K8</f>
        <v>#DIV/0!</v>
      </c>
      <c r="AC82" s="57">
        <f>[20]January_2019!L8</f>
        <v>1.0028070175438597</v>
      </c>
      <c r="AD82" s="57">
        <f>[20]January_2019!M8</f>
        <v>1.7828070175438597</v>
      </c>
      <c r="AE82" s="57" t="e">
        <f>[20]January_2019!N8</f>
        <v>#DIV/0!</v>
      </c>
      <c r="AF82" s="57" t="e">
        <f>[20]January_2019!O8</f>
        <v>#DIV/0!</v>
      </c>
      <c r="AG82" s="57">
        <f>[20]January_2019!P8</f>
        <v>0.19222222222222221</v>
      </c>
      <c r="AH82" s="57">
        <f>[20]January_2019!Q8</f>
        <v>0.52219298245614032</v>
      </c>
      <c r="AI82" s="57">
        <f>[20]January_2019!R8</f>
        <v>0.42912280701754385</v>
      </c>
      <c r="AJ82" s="57" t="e">
        <f>[20]January_2019!S8</f>
        <v>#DIV/0!</v>
      </c>
      <c r="AK82" s="57">
        <f>[20]January_2019!T8</f>
        <v>1.0340350877192983</v>
      </c>
      <c r="AL82" s="57">
        <f>[20]January_2019!U8</f>
        <v>0.98421052631578942</v>
      </c>
      <c r="AM82" s="57" t="e">
        <f>[20]January_2019!V8</f>
        <v>#DIV/0!</v>
      </c>
      <c r="AN82" s="57" t="e">
        <f>[20]January_2019!W8</f>
        <v>#DIV/0!</v>
      </c>
      <c r="AO82" s="57">
        <f>[20]January_2019!X8</f>
        <v>0.66052631578947374</v>
      </c>
      <c r="AP82" s="57">
        <f>[20]January_2019!Y8</f>
        <v>1.0375438596491227</v>
      </c>
      <c r="AQ82" s="57">
        <f>[20]January_2019!Z8</f>
        <v>0.90456140350877201</v>
      </c>
      <c r="AR82" s="57">
        <f>[20]January_2019!AA8</f>
        <v>1.0217543859649123</v>
      </c>
      <c r="AS82" s="57">
        <f>[20]January_2019!AB8</f>
        <v>0.65614035087719302</v>
      </c>
      <c r="AT82" s="57" t="e">
        <f>[20]January_2019!AC8</f>
        <v>#DIV/0!</v>
      </c>
      <c r="AU82" s="57" t="e">
        <f>[20]January_2019!AD8</f>
        <v>#DIV/0!</v>
      </c>
      <c r="AV82" s="57">
        <f>[20]January_2019!AE8</f>
        <v>1.7021052631578948</v>
      </c>
      <c r="AW82" s="57">
        <f>[20]January_2019!AF8</f>
        <v>0.60192982456140354</v>
      </c>
      <c r="AX82" s="57">
        <f>[20]January_2019!AG8</f>
        <v>1.4870175438596491</v>
      </c>
      <c r="AY82" s="277" t="e">
        <f>[20]January_2019!AH8</f>
        <v>#DIV/0!</v>
      </c>
      <c r="AZ82" s="277"/>
      <c r="BA82" s="277"/>
      <c r="BB82" s="277"/>
      <c r="BC82" s="277"/>
      <c r="BD82" s="277"/>
      <c r="BE82" s="277"/>
      <c r="BF82" s="277"/>
    </row>
    <row r="83" spans="2:58" s="54" customFormat="1" ht="42" customHeight="1" thickBot="1">
      <c r="B83" s="387" t="str">
        <f>J67</f>
        <v>CARIB</v>
      </c>
      <c r="C83" s="283">
        <v>45693</v>
      </c>
      <c r="D83" s="279">
        <f>[30]February_2025!$H$3</f>
        <v>324.7</v>
      </c>
      <c r="E83" s="279"/>
      <c r="F83" s="279"/>
      <c r="G83" s="279">
        <f>[30]February_2025!$H$7</f>
        <v>300</v>
      </c>
      <c r="H83" s="320"/>
      <c r="I83" s="321"/>
      <c r="J83" s="390" t="s">
        <v>167</v>
      </c>
      <c r="K83" s="376">
        <f>[32]February_2025!$H$18</f>
        <v>0.52631578947368418</v>
      </c>
      <c r="L83" s="314">
        <f>(((D83+E83)-G83)/(D83+E83))*100</f>
        <v>7.6070218663381555</v>
      </c>
      <c r="M83" s="281" t="s">
        <v>169</v>
      </c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14.4" thickBot="1">
      <c r="B84" s="361"/>
      <c r="C84" s="283"/>
      <c r="D84" s="304"/>
      <c r="E84" s="279"/>
      <c r="F84" s="279"/>
      <c r="G84" s="279"/>
      <c r="H84" s="381"/>
      <c r="I84" s="382"/>
      <c r="J84" s="389"/>
      <c r="K84" s="37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s="54" customFormat="1" ht="45.75" customHeight="1" thickBot="1">
      <c r="B85" s="431" t="str">
        <f>J69</f>
        <v>GUINN</v>
      </c>
      <c r="C85" s="283">
        <v>45693</v>
      </c>
      <c r="D85" s="279">
        <f>[30]February_2025!$H$23</f>
        <v>211.4</v>
      </c>
      <c r="E85" s="279">
        <f>6.9-2.2</f>
        <v>4.7</v>
      </c>
      <c r="F85" s="279"/>
      <c r="G85" s="279">
        <f>[30]February_2025!$H$28</f>
        <v>175.1</v>
      </c>
      <c r="H85" s="320"/>
      <c r="I85" s="322"/>
      <c r="J85" s="390" t="s">
        <v>163</v>
      </c>
      <c r="K85" s="286">
        <f>[32]February_2025!$H$32</f>
        <v>0.37087719298245614</v>
      </c>
      <c r="L85" s="314">
        <f>(((D85+E85)-G85)/(D85+E85))*100</f>
        <v>18.972697825080981</v>
      </c>
      <c r="M85" s="281" t="s">
        <v>168</v>
      </c>
      <c r="N85" s="13"/>
      <c r="O85" s="13"/>
      <c r="P85" s="50"/>
      <c r="T85" s="272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277"/>
      <c r="AZ85" s="277"/>
      <c r="BA85" s="277"/>
      <c r="BB85" s="277"/>
      <c r="BC85" s="277"/>
      <c r="BD85" s="277"/>
      <c r="BE85" s="277"/>
      <c r="BF85" s="277"/>
    </row>
    <row r="86" spans="2:58" s="54" customFormat="1" ht="9" hidden="1" customHeight="1">
      <c r="B86" s="387"/>
      <c r="C86" s="283"/>
      <c r="D86" s="279"/>
      <c r="E86" s="279"/>
      <c r="F86" s="279"/>
      <c r="G86" s="279"/>
      <c r="H86" s="320"/>
      <c r="I86" s="322"/>
      <c r="J86" s="281"/>
      <c r="K86" s="286"/>
      <c r="L86" s="314"/>
      <c r="M86" s="339"/>
      <c r="N86" s="13"/>
      <c r="O86" s="13"/>
      <c r="P86" s="50"/>
      <c r="T86" s="272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7"/>
      <c r="AZ86" s="277"/>
      <c r="BA86" s="277"/>
      <c r="BB86" s="277"/>
      <c r="BC86" s="277"/>
      <c r="BD86" s="277"/>
      <c r="BE86" s="277"/>
      <c r="BF86" s="277"/>
    </row>
    <row r="87" spans="2:58" ht="11.4" customHeight="1" thickBot="1">
      <c r="B87" s="33"/>
      <c r="C87" s="310"/>
      <c r="D87" s="279"/>
      <c r="E87" s="279"/>
      <c r="F87" s="279"/>
      <c r="G87" s="279"/>
      <c r="H87" s="352"/>
      <c r="I87" s="353"/>
      <c r="J87" s="281"/>
      <c r="K87" s="52"/>
      <c r="L87" s="53"/>
      <c r="M87" s="55"/>
      <c r="N87" s="77"/>
      <c r="O87" s="13"/>
      <c r="P87" s="56"/>
    </row>
    <row r="88" spans="2:58" ht="14.4" thickBot="1">
      <c r="B88" s="58"/>
      <c r="C88" s="309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9"/>
      <c r="O88" s="56"/>
      <c r="P88" s="60"/>
    </row>
    <row r="89" spans="2:58" ht="14.4" thickBot="1">
      <c r="B89" s="536" t="s">
        <v>55</v>
      </c>
      <c r="C89" s="537"/>
      <c r="D89" s="537"/>
      <c r="E89" s="537"/>
      <c r="F89" s="538"/>
      <c r="G89" s="536" t="s">
        <v>56</v>
      </c>
      <c r="H89" s="537"/>
      <c r="I89" s="537"/>
      <c r="J89" s="538"/>
      <c r="K89" s="536" t="s">
        <v>51</v>
      </c>
      <c r="L89" s="537"/>
      <c r="M89" s="537"/>
      <c r="N89" s="539"/>
      <c r="O89" s="56"/>
      <c r="P89" s="50"/>
    </row>
    <row r="90" spans="2:58">
      <c r="B90" s="61" t="s">
        <v>17</v>
      </c>
      <c r="C90" s="62" t="s">
        <v>36</v>
      </c>
      <c r="D90" s="62" t="s">
        <v>37</v>
      </c>
      <c r="E90" s="62" t="s">
        <v>38</v>
      </c>
      <c r="F90" s="63" t="s">
        <v>39</v>
      </c>
      <c r="G90" s="62" t="s">
        <v>36</v>
      </c>
      <c r="H90" s="62" t="s">
        <v>37</v>
      </c>
      <c r="I90" s="62" t="s">
        <v>38</v>
      </c>
      <c r="J90" s="63" t="s">
        <v>39</v>
      </c>
      <c r="K90" s="62" t="s">
        <v>36</v>
      </c>
      <c r="L90" s="62" t="s">
        <v>37</v>
      </c>
      <c r="M90" s="62" t="s">
        <v>38</v>
      </c>
      <c r="N90" s="63" t="s">
        <v>39</v>
      </c>
      <c r="O90" s="56"/>
      <c r="P90" s="64"/>
    </row>
    <row r="91" spans="2:58">
      <c r="B91" s="29" t="s">
        <v>6</v>
      </c>
      <c r="C91" s="65">
        <f>L83</f>
        <v>7.6070218663381555</v>
      </c>
      <c r="D91" s="76">
        <v>5.1221073813226008</v>
      </c>
      <c r="E91" s="76">
        <v>7.0563598705709385</v>
      </c>
      <c r="F91" s="66">
        <v>4.8</v>
      </c>
      <c r="G91" s="65">
        <f>[30]February_2025!$H$11</f>
        <v>8.5803676651530569</v>
      </c>
      <c r="H91" s="76">
        <v>5.4280254284300415</v>
      </c>
      <c r="I91" s="76">
        <v>8.2771438280992733</v>
      </c>
      <c r="J91" s="66">
        <v>4.8</v>
      </c>
      <c r="K91" s="67">
        <f>K83</f>
        <v>0.52631578947368418</v>
      </c>
      <c r="L91" s="194">
        <v>0.60660818713450293</v>
      </c>
      <c r="M91" s="194">
        <v>0.90358395989974949</v>
      </c>
      <c r="N91" s="68">
        <v>1</v>
      </c>
      <c r="O91" s="56"/>
      <c r="P91" s="69"/>
    </row>
    <row r="92" spans="2:58">
      <c r="B92" s="33" t="s">
        <v>9</v>
      </c>
      <c r="C92" s="65"/>
      <c r="D92" s="76">
        <v>5.221084186859863</v>
      </c>
      <c r="E92" s="76">
        <v>6.9738673938267342</v>
      </c>
      <c r="F92" s="66">
        <v>4.8</v>
      </c>
      <c r="G92" s="65"/>
      <c r="H92" s="76">
        <v>5.6054269111629633</v>
      </c>
      <c r="I92" s="76">
        <v>9.5824954426997433</v>
      </c>
      <c r="J92" s="66">
        <v>4.8</v>
      </c>
      <c r="K92" s="67"/>
      <c r="L92" s="194">
        <v>0.9484999999999999</v>
      </c>
      <c r="M92" s="194">
        <v>0.96538961038961024</v>
      </c>
      <c r="N92" s="68">
        <v>1</v>
      </c>
      <c r="P92" s="69"/>
    </row>
    <row r="93" spans="2:58">
      <c r="B93" s="34" t="s">
        <v>40</v>
      </c>
      <c r="C93" s="65">
        <f>L85</f>
        <v>18.972697825080981</v>
      </c>
      <c r="D93" s="76">
        <v>18.972697825080981</v>
      </c>
      <c r="E93" s="76">
        <v>10.24291753422928</v>
      </c>
      <c r="F93" s="66">
        <v>5.5</v>
      </c>
      <c r="G93" s="65">
        <f>[30]February_2025!$H$32</f>
        <v>22.634564468930474</v>
      </c>
      <c r="H93" s="76">
        <v>22.634564468930474</v>
      </c>
      <c r="I93" s="76">
        <v>11.093375079119694</v>
      </c>
      <c r="J93" s="66">
        <v>5.5</v>
      </c>
      <c r="K93" s="67">
        <f>K85</f>
        <v>0.37087719298245614</v>
      </c>
      <c r="L93" s="194">
        <v>0.37087719298245614</v>
      </c>
      <c r="M93" s="194">
        <v>0.70508771929824554</v>
      </c>
      <c r="N93" s="68">
        <v>1</v>
      </c>
      <c r="P93" s="69"/>
    </row>
    <row r="94" spans="2:58">
      <c r="B94" s="22" t="s">
        <v>33</v>
      </c>
      <c r="C94" s="65"/>
      <c r="D94" s="76"/>
      <c r="E94" s="76">
        <v>3.4056869935468166</v>
      </c>
      <c r="F94" s="66">
        <v>3.3</v>
      </c>
      <c r="G94" s="65"/>
      <c r="H94" s="76"/>
      <c r="I94" s="76">
        <v>6.6434583413343296</v>
      </c>
      <c r="J94" s="66">
        <v>3.3</v>
      </c>
      <c r="K94" s="67"/>
      <c r="L94" s="194"/>
      <c r="M94" s="194">
        <v>0.83350877192982453</v>
      </c>
      <c r="N94" s="68">
        <v>1</v>
      </c>
      <c r="P94" s="69"/>
    </row>
    <row r="95" spans="2:58">
      <c r="B95" s="35" t="s">
        <v>29</v>
      </c>
      <c r="C95" s="65"/>
      <c r="D95" s="76"/>
      <c r="E95" s="76">
        <v>8.8295687885010352</v>
      </c>
      <c r="F95" s="66">
        <v>3.3</v>
      </c>
      <c r="G95" s="282"/>
      <c r="H95" s="76"/>
      <c r="I95" s="76"/>
      <c r="J95" s="66">
        <v>3</v>
      </c>
      <c r="K95" s="67"/>
      <c r="L95" s="194"/>
      <c r="M95" s="194"/>
      <c r="N95" s="68">
        <v>1</v>
      </c>
      <c r="P95" s="69"/>
    </row>
    <row r="96" spans="2:58">
      <c r="B96" s="36" t="s">
        <v>15</v>
      </c>
      <c r="C96" s="282"/>
      <c r="D96" s="76"/>
      <c r="E96" s="76">
        <v>9.9698850155137997</v>
      </c>
      <c r="F96" s="70">
        <f>[21]May_2022!$M$43</f>
        <v>3.4878406700073312</v>
      </c>
      <c r="G96" s="282"/>
      <c r="H96" s="76"/>
      <c r="I96" s="76">
        <v>10.607235567685406</v>
      </c>
      <c r="J96" s="70">
        <v>5.5</v>
      </c>
      <c r="K96" s="67"/>
      <c r="L96" s="194"/>
      <c r="M96" s="194">
        <v>0.66824561403508764</v>
      </c>
      <c r="N96" s="68">
        <v>1</v>
      </c>
      <c r="P96" s="69"/>
    </row>
    <row r="97" spans="2:16">
      <c r="B97" s="37" t="s">
        <v>16</v>
      </c>
      <c r="C97" s="65"/>
      <c r="D97" s="76"/>
      <c r="E97" s="76">
        <v>4.8517239584237002</v>
      </c>
      <c r="F97" s="70">
        <v>3.3</v>
      </c>
      <c r="G97" s="282"/>
      <c r="H97" s="76"/>
      <c r="I97" s="76">
        <v>4.0624079285034069</v>
      </c>
      <c r="J97" s="70">
        <v>3.3</v>
      </c>
      <c r="K97" s="67"/>
      <c r="L97" s="194"/>
      <c r="M97" s="194">
        <v>0.69842105263157894</v>
      </c>
      <c r="N97" s="71">
        <v>1</v>
      </c>
      <c r="P97" s="69"/>
    </row>
    <row r="98" spans="2:16" ht="14.4" thickBot="1">
      <c r="B98" s="38" t="s">
        <v>127</v>
      </c>
      <c r="C98" s="65"/>
      <c r="D98" s="76"/>
      <c r="E98" s="76">
        <v>14.011127971674247</v>
      </c>
      <c r="F98" s="72">
        <v>7.5</v>
      </c>
      <c r="G98" s="73"/>
      <c r="H98" s="76"/>
      <c r="I98" s="76"/>
      <c r="J98" s="72">
        <v>7.5</v>
      </c>
      <c r="K98" s="67"/>
      <c r="L98" s="194"/>
      <c r="M98" s="194"/>
      <c r="N98" s="71">
        <v>1</v>
      </c>
      <c r="P98" s="69"/>
    </row>
    <row r="99" spans="2:16" ht="14.4" thickBot="1">
      <c r="B99" s="435" t="s">
        <v>134</v>
      </c>
      <c r="C99" s="434"/>
      <c r="D99" s="76"/>
      <c r="E99" s="76"/>
      <c r="F99" s="72">
        <v>5.5</v>
      </c>
      <c r="G99" s="73">
        <f>[30]February_2025!$H$94</f>
        <v>0</v>
      </c>
      <c r="H99" s="76"/>
      <c r="I99" s="76"/>
      <c r="J99" s="433">
        <v>5.5</v>
      </c>
      <c r="K99" s="67"/>
      <c r="L99" s="194"/>
      <c r="M99" s="194"/>
      <c r="N99" s="71">
        <v>1</v>
      </c>
      <c r="P99" s="69"/>
    </row>
    <row r="100" spans="2:16">
      <c r="C100" s="65"/>
      <c r="D100" s="76">
        <v>6.8959466573082908</v>
      </c>
      <c r="E100" s="76">
        <v>6.9788910787552183</v>
      </c>
      <c r="F100" s="341">
        <v>4.5</v>
      </c>
      <c r="G100" s="74"/>
      <c r="H100" s="76">
        <v>13.35</v>
      </c>
      <c r="I100" s="76">
        <v>8.9499999999999993</v>
      </c>
      <c r="J100" s="342">
        <v>4.5</v>
      </c>
      <c r="K100" s="67"/>
      <c r="L100" s="194">
        <v>0.70799999999999996</v>
      </c>
      <c r="M100" s="194">
        <v>0.70799999999999996</v>
      </c>
      <c r="N100" s="386">
        <v>1</v>
      </c>
      <c r="O100" s="74"/>
      <c r="P100" s="75"/>
    </row>
    <row r="105" spans="2:16">
      <c r="F105" s="315"/>
    </row>
    <row r="113" spans="30:30">
      <c r="AD113" s="275" t="s">
        <v>57</v>
      </c>
    </row>
  </sheetData>
  <mergeCells count="53">
    <mergeCell ref="X1:Y1"/>
    <mergeCell ref="Z1:AA1"/>
    <mergeCell ref="B2:O2"/>
    <mergeCell ref="L8:L9"/>
    <mergeCell ref="O8:O9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  <mergeCell ref="V1:W1"/>
    <mergeCell ref="D59:E60"/>
    <mergeCell ref="D61:E62"/>
    <mergeCell ref="D63:E64"/>
    <mergeCell ref="J8:J9"/>
    <mergeCell ref="K8:K9"/>
    <mergeCell ref="I51:N51"/>
    <mergeCell ref="D52:E52"/>
    <mergeCell ref="D53:E54"/>
    <mergeCell ref="D55:E56"/>
    <mergeCell ref="D57:E58"/>
    <mergeCell ref="L66:N66"/>
    <mergeCell ref="D67:E68"/>
    <mergeCell ref="D69:E70"/>
    <mergeCell ref="D71:E72"/>
    <mergeCell ref="D73:E74"/>
    <mergeCell ref="E80:E81"/>
    <mergeCell ref="F80:F81"/>
    <mergeCell ref="B65:B74"/>
    <mergeCell ref="D65:E66"/>
    <mergeCell ref="J65:K65"/>
    <mergeCell ref="M80:M81"/>
    <mergeCell ref="B89:F89"/>
    <mergeCell ref="G89:J89"/>
    <mergeCell ref="K89:N89"/>
    <mergeCell ref="B53:B56"/>
    <mergeCell ref="B57:B64"/>
    <mergeCell ref="G80:G81"/>
    <mergeCell ref="H80:H81"/>
    <mergeCell ref="I80:I81"/>
    <mergeCell ref="J80:J81"/>
    <mergeCell ref="K80:K81"/>
    <mergeCell ref="L80:L81"/>
    <mergeCell ref="D75:E75"/>
    <mergeCell ref="B80:B81"/>
    <mergeCell ref="C80:C81"/>
    <mergeCell ref="D80:D81"/>
  </mergeCells>
  <conditionalFormatting sqref="B75:B76">
    <cfRule type="cellIs" dxfId="2993" priority="158" operator="notBetween">
      <formula>#REF!</formula>
      <formula>#REF!</formula>
    </cfRule>
  </conditionalFormatting>
  <conditionalFormatting sqref="C79">
    <cfRule type="cellIs" dxfId="2992" priority="189" stopIfTrue="1" operator="lessThan">
      <formula>96</formula>
    </cfRule>
    <cfRule type="cellIs" dxfId="2991" priority="190" stopIfTrue="1" operator="greaterThan">
      <formula>100</formula>
    </cfRule>
  </conditionalFormatting>
  <conditionalFormatting sqref="C91">
    <cfRule type="cellIs" dxfId="2990" priority="79" stopIfTrue="1" operator="greaterThan">
      <formula>$F91</formula>
    </cfRule>
  </conditionalFormatting>
  <conditionalFormatting sqref="C91:C92">
    <cfRule type="cellIs" dxfId="2989" priority="80" stopIfTrue="1" operator="lessThanOrEqual">
      <formula>0</formula>
    </cfRule>
  </conditionalFormatting>
  <conditionalFormatting sqref="C92">
    <cfRule type="cellIs" dxfId="2988" priority="193" stopIfTrue="1" operator="greaterThan">
      <formula>$F91</formula>
    </cfRule>
  </conditionalFormatting>
  <conditionalFormatting sqref="C93:C95">
    <cfRule type="cellIs" dxfId="2987" priority="108" stopIfTrue="1" operator="greaterThan">
      <formula>$F93</formula>
    </cfRule>
  </conditionalFormatting>
  <conditionalFormatting sqref="C93:C96">
    <cfRule type="cellIs" dxfId="2986" priority="131" stopIfTrue="1" operator="lessThanOrEqual">
      <formula>0</formula>
    </cfRule>
  </conditionalFormatting>
  <conditionalFormatting sqref="C96">
    <cfRule type="cellIs" dxfId="2985" priority="130" stopIfTrue="1" operator="greaterThan">
      <formula>$J96</formula>
    </cfRule>
  </conditionalFormatting>
  <conditionalFormatting sqref="C103:C107">
    <cfRule type="cellIs" dxfId="2984" priority="181" stopIfTrue="1" operator="lessThanOrEqual">
      <formula>0</formula>
    </cfRule>
  </conditionalFormatting>
  <conditionalFormatting sqref="C104:C107">
    <cfRule type="cellIs" dxfId="2983" priority="180" stopIfTrue="1" operator="greaterThan">
      <formula>$F$103</formula>
    </cfRule>
  </conditionalFormatting>
  <conditionalFormatting sqref="C109">
    <cfRule type="cellIs" dxfId="2982" priority="183" stopIfTrue="1" operator="lessThanOrEqual">
      <formula>0</formula>
    </cfRule>
    <cfRule type="cellIs" dxfId="2981" priority="182" stopIfTrue="1" operator="greaterThan">
      <formula>$F$103</formula>
    </cfRule>
  </conditionalFormatting>
  <conditionalFormatting sqref="C103:D103 D105:D111">
    <cfRule type="cellIs" dxfId="2980" priority="175" stopIfTrue="1" operator="greaterThan">
      <formula>4.5</formula>
    </cfRule>
  </conditionalFormatting>
  <conditionalFormatting sqref="D75:D76">
    <cfRule type="cellIs" dxfId="2979" priority="159" operator="notBetween">
      <formula>#REF!</formula>
      <formula>#REF!</formula>
    </cfRule>
  </conditionalFormatting>
  <conditionalFormatting sqref="D91:D99">
    <cfRule type="cellIs" dxfId="2978" priority="145" stopIfTrue="1" operator="lessThanOrEqual">
      <formula>0</formula>
    </cfRule>
  </conditionalFormatting>
  <conditionalFormatting sqref="D100">
    <cfRule type="cellIs" dxfId="2977" priority="144" stopIfTrue="1" operator="lessThanOrEqual">
      <formula>0</formula>
    </cfRule>
  </conditionalFormatting>
  <conditionalFormatting sqref="D103 D105:D111">
    <cfRule type="cellIs" dxfId="2976" priority="176" stopIfTrue="1" operator="lessThanOrEqual">
      <formula>0</formula>
    </cfRule>
  </conditionalFormatting>
  <conditionalFormatting sqref="D104">
    <cfRule type="cellIs" dxfId="2975" priority="168" stopIfTrue="1" operator="lessThanOrEqual">
      <formula>0</formula>
    </cfRule>
    <cfRule type="cellIs" dxfId="2974" priority="167" stopIfTrue="1" operator="greaterThan">
      <formula>$F$103</formula>
    </cfRule>
  </conditionalFormatting>
  <conditionalFormatting sqref="D91:E100">
    <cfRule type="cellIs" dxfId="2973" priority="137" stopIfTrue="1" operator="greaterThan">
      <formula>$F91</formula>
    </cfRule>
  </conditionalFormatting>
  <conditionalFormatting sqref="E10:E50">
    <cfRule type="cellIs" dxfId="2972" priority="22" operator="lessThan">
      <formula>48</formula>
    </cfRule>
  </conditionalFormatting>
  <conditionalFormatting sqref="E79">
    <cfRule type="cellIs" dxfId="2971" priority="170" stopIfTrue="1" operator="greaterThan">
      <formula>100</formula>
    </cfRule>
    <cfRule type="cellIs" dxfId="2970" priority="169" stopIfTrue="1" operator="lessThan">
      <formula>96.8</formula>
    </cfRule>
  </conditionalFormatting>
  <conditionalFormatting sqref="E91:E100">
    <cfRule type="cellIs" dxfId="2969" priority="138" stopIfTrue="1" operator="lessThanOrEqual">
      <formula>0</formula>
    </cfRule>
  </conditionalFormatting>
  <conditionalFormatting sqref="E103:E111">
    <cfRule type="cellIs" dxfId="2968" priority="161" stopIfTrue="1" operator="greaterThan">
      <formula>4.5</formula>
    </cfRule>
    <cfRule type="cellIs" dxfId="2967" priority="162" stopIfTrue="1" operator="lessThanOrEqual">
      <formula>0</formula>
    </cfRule>
  </conditionalFormatting>
  <conditionalFormatting sqref="E78:F79">
    <cfRule type="cellIs" dxfId="2966" priority="172" stopIfTrue="1" operator="greaterThan">
      <formula>100</formula>
    </cfRule>
    <cfRule type="cellIs" dxfId="2965" priority="171" stopIfTrue="1" operator="lessThan">
      <formula>96.5</formula>
    </cfRule>
  </conditionalFormatting>
  <conditionalFormatting sqref="F10:F35">
    <cfRule type="cellIs" dxfId="2964" priority="24" operator="greaterThan">
      <formula>60</formula>
    </cfRule>
  </conditionalFormatting>
  <conditionalFormatting sqref="F36">
    <cfRule type="cellIs" dxfId="2963" priority="214" operator="greaterThan">
      <formula>$AA36</formula>
    </cfRule>
    <cfRule type="cellIs" dxfId="2962" priority="215" operator="greaterThan">
      <formula>$AA86</formula>
    </cfRule>
  </conditionalFormatting>
  <conditionalFormatting sqref="F37:F49">
    <cfRule type="cellIs" dxfId="2961" priority="62" operator="greaterThan">
      <formula>60</formula>
    </cfRule>
  </conditionalFormatting>
  <conditionalFormatting sqref="F50">
    <cfRule type="cellIs" dxfId="2960" priority="216" operator="greaterThan">
      <formula>$AA50</formula>
    </cfRule>
    <cfRule type="cellIs" dxfId="2959" priority="217" operator="greaterThan">
      <formula>$AA88</formula>
    </cfRule>
  </conditionalFormatting>
  <conditionalFormatting sqref="F79">
    <cfRule type="cellIs" dxfId="2958" priority="187" stopIfTrue="1" operator="lessThan">
      <formula>96.8</formula>
    </cfRule>
    <cfRule type="cellIs" dxfId="2957" priority="188" stopIfTrue="1" operator="greaterThan">
      <formula>100</formula>
    </cfRule>
  </conditionalFormatting>
  <conditionalFormatting sqref="F100">
    <cfRule type="cellIs" dxfId="2956" priority="139" stopIfTrue="1" operator="greaterThan">
      <formula>$F100</formula>
    </cfRule>
    <cfRule type="cellIs" dxfId="2955" priority="140" stopIfTrue="1" operator="lessThanOrEqual">
      <formula>0</formula>
    </cfRule>
  </conditionalFormatting>
  <conditionalFormatting sqref="G91:G92 C97:C100">
    <cfRule type="cellIs" dxfId="2954" priority="146" stopIfTrue="1" operator="greaterThan">
      <formula>$F91</formula>
    </cfRule>
    <cfRule type="cellIs" dxfId="2953" priority="147" stopIfTrue="1" operator="lessThanOrEqual">
      <formula>0</formula>
    </cfRule>
  </conditionalFormatting>
  <conditionalFormatting sqref="G91:G92">
    <cfRule type="cellIs" dxfId="2952" priority="87" stopIfTrue="1" operator="lessThanOrEqual">
      <formula>0</formula>
    </cfRule>
    <cfRule type="cellIs" dxfId="2951" priority="86" stopIfTrue="1" operator="greaterThan">
      <formula>$F91</formula>
    </cfRule>
  </conditionalFormatting>
  <conditionalFormatting sqref="G93">
    <cfRule type="cellIs" dxfId="2950" priority="192" stopIfTrue="1" operator="lessThanOrEqual">
      <formula>0</formula>
    </cfRule>
    <cfRule type="cellIs" dxfId="2949" priority="191" stopIfTrue="1" operator="greaterThan">
      <formula>$F92</formula>
    </cfRule>
  </conditionalFormatting>
  <conditionalFormatting sqref="G94">
    <cfRule type="cellIs" dxfId="2948" priority="142" stopIfTrue="1" operator="lessThanOrEqual">
      <formula>0</formula>
    </cfRule>
    <cfRule type="cellIs" dxfId="2947" priority="141" stopIfTrue="1" operator="greaterThan">
      <formula>$F94</formula>
    </cfRule>
  </conditionalFormatting>
  <conditionalFormatting sqref="G95:G99">
    <cfRule type="cellIs" dxfId="2946" priority="149" stopIfTrue="1" operator="greaterThan">
      <formula>$J95</formula>
    </cfRule>
    <cfRule type="cellIs" dxfId="2945" priority="150" stopIfTrue="1" operator="lessThanOrEqual">
      <formula>0</formula>
    </cfRule>
  </conditionalFormatting>
  <conditionalFormatting sqref="G100">
    <cfRule type="cellIs" dxfId="2944" priority="148" operator="greaterThan">
      <formula>4.5</formula>
    </cfRule>
  </conditionalFormatting>
  <conditionalFormatting sqref="G105:G110 C108 C110">
    <cfRule type="cellIs" dxfId="2943" priority="185" stopIfTrue="1" operator="lessThanOrEqual">
      <formula>0</formula>
    </cfRule>
    <cfRule type="cellIs" dxfId="2942" priority="184" stopIfTrue="1" operator="greaterThan">
      <formula>4.5</formula>
    </cfRule>
  </conditionalFormatting>
  <conditionalFormatting sqref="G10:H50">
    <cfRule type="expression" dxfId="2941" priority="26">
      <formula>IF(+(IF(G10&lt;#REF!,0,IF(G10&gt;#REF!,0,1)))=0,1)</formula>
    </cfRule>
  </conditionalFormatting>
  <conditionalFormatting sqref="G104:H104">
    <cfRule type="cellIs" dxfId="2940" priority="165" stopIfTrue="1" operator="greaterThan">
      <formula>$F$103</formula>
    </cfRule>
    <cfRule type="cellIs" dxfId="2939" priority="166" stopIfTrue="1" operator="lessThanOrEqual">
      <formula>0</formula>
    </cfRule>
  </conditionalFormatting>
  <conditionalFormatting sqref="H54:H77 G65:G76">
    <cfRule type="cellIs" dxfId="2938" priority="163" stopIfTrue="1" operator="greaterThan">
      <formula>0</formula>
    </cfRule>
  </conditionalFormatting>
  <conditionalFormatting sqref="H82:H83">
    <cfRule type="cellIs" dxfId="2937" priority="105" stopIfTrue="1" operator="lessThanOrEqual">
      <formula>0</formula>
    </cfRule>
    <cfRule type="cellIs" dxfId="2936" priority="95" stopIfTrue="1" operator="lessThanOrEqual">
      <formula>0</formula>
    </cfRule>
    <cfRule type="cellIs" dxfId="2935" priority="96" stopIfTrue="1" operator="greaterThan">
      <formula>$F$90</formula>
    </cfRule>
    <cfRule type="cellIs" dxfId="2934" priority="106" stopIfTrue="1" operator="greaterThan">
      <formula>$F$91</formula>
    </cfRule>
    <cfRule type="cellIs" dxfId="2933" priority="107" stopIfTrue="1" operator="lessThanOrEqual">
      <formula>0</formula>
    </cfRule>
    <cfRule type="cellIs" dxfId="2932" priority="104" stopIfTrue="1" operator="greaterThan">
      <formula>$F$93</formula>
    </cfRule>
  </conditionalFormatting>
  <conditionalFormatting sqref="H84">
    <cfRule type="cellIs" dxfId="2931" priority="68" stopIfTrue="1" operator="greaterThan">
      <formula>#REF!</formula>
    </cfRule>
    <cfRule type="cellIs" dxfId="2930" priority="77" stopIfTrue="1" operator="lessThanOrEqual">
      <formula>0</formula>
    </cfRule>
    <cfRule type="cellIs" dxfId="2929" priority="67" stopIfTrue="1" operator="lessThanOrEqual">
      <formula>0</formula>
    </cfRule>
    <cfRule type="cellIs" dxfId="2928" priority="76" stopIfTrue="1" operator="greaterThan">
      <formula>#REF!</formula>
    </cfRule>
  </conditionalFormatting>
  <conditionalFormatting sqref="H85:H86">
    <cfRule type="cellIs" dxfId="2927" priority="126" stopIfTrue="1" operator="greaterThan">
      <formula>$F$92</formula>
    </cfRule>
    <cfRule type="cellIs" dxfId="2926" priority="127" stopIfTrue="1" operator="lessThanOrEqual">
      <formula>0</formula>
    </cfRule>
    <cfRule type="cellIs" dxfId="2925" priority="125" stopIfTrue="1" operator="lessThanOrEqual">
      <formula>0</formula>
    </cfRule>
    <cfRule type="cellIs" dxfId="2924" priority="124" stopIfTrue="1" operator="greaterThan">
      <formula>$F$94</formula>
    </cfRule>
    <cfRule type="cellIs" dxfId="2923" priority="116" stopIfTrue="1" operator="greaterThan">
      <formula>$F$91</formula>
    </cfRule>
    <cfRule type="cellIs" dxfId="2922" priority="90" stopIfTrue="1" operator="lessThanOrEqual">
      <formula>0</formula>
    </cfRule>
  </conditionalFormatting>
  <conditionalFormatting sqref="H87">
    <cfRule type="cellIs" dxfId="2921" priority="155" stopIfTrue="1" operator="lessThanOrEqual">
      <formula>0</formula>
    </cfRule>
    <cfRule type="cellIs" dxfId="2920" priority="154" stopIfTrue="1" operator="greaterThan">
      <formula>$F$88</formula>
    </cfRule>
    <cfRule type="cellIs" dxfId="2919" priority="157" stopIfTrue="1" operator="lessThanOrEqual">
      <formula>0</formula>
    </cfRule>
    <cfRule type="cellIs" dxfId="2918" priority="156" stopIfTrue="1" operator="greaterThan">
      <formula>$F$84</formula>
    </cfRule>
  </conditionalFormatting>
  <conditionalFormatting sqref="H91:H99">
    <cfRule type="cellIs" dxfId="2917" priority="129" stopIfTrue="1" operator="lessThanOrEqual">
      <formula>0</formula>
    </cfRule>
    <cfRule type="cellIs" dxfId="2916" priority="128" stopIfTrue="1" operator="greaterThan">
      <formula>$J91</formula>
    </cfRule>
  </conditionalFormatting>
  <conditionalFormatting sqref="H100">
    <cfRule type="cellIs" dxfId="2915" priority="134" operator="greaterThan">
      <formula>5.3</formula>
    </cfRule>
  </conditionalFormatting>
  <conditionalFormatting sqref="H103 H105:H111">
    <cfRule type="cellIs" dxfId="2914" priority="178" stopIfTrue="1" operator="lessThanOrEqual">
      <formula>0</formula>
    </cfRule>
    <cfRule type="cellIs" dxfId="2913" priority="177" stopIfTrue="1" operator="greaterThan">
      <formula>4.5</formula>
    </cfRule>
  </conditionalFormatting>
  <conditionalFormatting sqref="H82:I83">
    <cfRule type="cellIs" dxfId="2912" priority="94" stopIfTrue="1" operator="greaterThan">
      <formula>$F$92</formula>
    </cfRule>
    <cfRule type="cellIs" dxfId="2911" priority="97" stopIfTrue="1" operator="lessThanOrEqual">
      <formula>0</formula>
    </cfRule>
  </conditionalFormatting>
  <conditionalFormatting sqref="H84:I84">
    <cfRule type="cellIs" dxfId="2910" priority="66" stopIfTrue="1" operator="greaterThan">
      <formula>#REF!</formula>
    </cfRule>
    <cfRule type="cellIs" dxfId="2909" priority="69" stopIfTrue="1" operator="lessThanOrEqual">
      <formula>0</formula>
    </cfRule>
    <cfRule type="cellIs" dxfId="2908" priority="72" stopIfTrue="1" operator="greaterThan">
      <formula>#REF!</formula>
    </cfRule>
    <cfRule type="cellIs" dxfId="2907" priority="75" stopIfTrue="1" operator="lessThanOrEqual">
      <formula>0</formula>
    </cfRule>
  </conditionalFormatting>
  <conditionalFormatting sqref="H85:I85">
    <cfRule type="cellIs" dxfId="2906" priority="117" stopIfTrue="1" operator="lessThanOrEqual">
      <formula>0</formula>
    </cfRule>
  </conditionalFormatting>
  <conditionalFormatting sqref="H85:I86">
    <cfRule type="cellIs" dxfId="2905" priority="88" stopIfTrue="1" operator="greaterThan">
      <formula>$F$93</formula>
    </cfRule>
  </conditionalFormatting>
  <conditionalFormatting sqref="H86:I86">
    <cfRule type="cellIs" dxfId="2904" priority="89" stopIfTrue="1" operator="lessThanOrEqual">
      <formula>0</formula>
    </cfRule>
  </conditionalFormatting>
  <conditionalFormatting sqref="I36 I50">
    <cfRule type="cellIs" dxfId="2903" priority="81" operator="lessThan">
      <formula>97.8</formula>
    </cfRule>
    <cfRule type="cellIs" dxfId="2902" priority="84" operator="lessThan">
      <formula>98</formula>
    </cfRule>
  </conditionalFormatting>
  <conditionalFormatting sqref="I82:I83">
    <cfRule type="cellIs" dxfId="2901" priority="100" stopIfTrue="1" operator="greaterThan">
      <formula>$F$92</formula>
    </cfRule>
    <cfRule type="cellIs" dxfId="2900" priority="101" stopIfTrue="1" operator="lessThanOrEqual">
      <formula>0</formula>
    </cfRule>
    <cfRule type="cellIs" dxfId="2899" priority="102" stopIfTrue="1" operator="greaterThan">
      <formula>$F$90</formula>
    </cfRule>
    <cfRule type="cellIs" dxfId="2898" priority="103" stopIfTrue="1" operator="lessThanOrEqual">
      <formula>0</formula>
    </cfRule>
    <cfRule type="cellIs" dxfId="2897" priority="99" stopIfTrue="1" operator="lessThanOrEqual">
      <formula>0</formula>
    </cfRule>
    <cfRule type="cellIs" dxfId="2896" priority="98" stopIfTrue="1" operator="greaterThan">
      <formula>$F$90</formula>
    </cfRule>
  </conditionalFormatting>
  <conditionalFormatting sqref="I84">
    <cfRule type="cellIs" dxfId="2895" priority="74" stopIfTrue="1" operator="greaterThan">
      <formula>#REF!</formula>
    </cfRule>
    <cfRule type="cellIs" dxfId="2894" priority="73" stopIfTrue="1" operator="lessThanOrEqual">
      <formula>0</formula>
    </cfRule>
    <cfRule type="cellIs" dxfId="2893" priority="71" stopIfTrue="1" operator="lessThanOrEqual">
      <formula>0</formula>
    </cfRule>
    <cfRule type="cellIs" dxfId="2892" priority="70" stopIfTrue="1" operator="greaterThan">
      <formula>#REF!</formula>
    </cfRule>
  </conditionalFormatting>
  <conditionalFormatting sqref="I85:I86">
    <cfRule type="cellIs" dxfId="2891" priority="121" stopIfTrue="1" operator="lessThanOrEqual">
      <formula>0</formula>
    </cfRule>
    <cfRule type="cellIs" dxfId="2890" priority="122" stopIfTrue="1" operator="greaterThan">
      <formula>$F$91</formula>
    </cfRule>
    <cfRule type="cellIs" dxfId="2889" priority="123" stopIfTrue="1" operator="lessThanOrEqual">
      <formula>0</formula>
    </cfRule>
    <cfRule type="cellIs" dxfId="2888" priority="118" stopIfTrue="1" operator="greaterThan">
      <formula>$F$91</formula>
    </cfRule>
    <cfRule type="cellIs" dxfId="2887" priority="119" stopIfTrue="1" operator="lessThanOrEqual">
      <formula>0</formula>
    </cfRule>
    <cfRule type="cellIs" dxfId="2886" priority="120" stopIfTrue="1" operator="greaterThan">
      <formula>$F$93</formula>
    </cfRule>
  </conditionalFormatting>
  <conditionalFormatting sqref="I91:I100">
    <cfRule type="cellIs" dxfId="2885" priority="135" stopIfTrue="1" operator="greaterThan">
      <formula>$J91</formula>
    </cfRule>
    <cfRule type="cellIs" dxfId="2884" priority="136" stopIfTrue="1" operator="lessThanOrEqual">
      <formula>0</formula>
    </cfRule>
  </conditionalFormatting>
  <conditionalFormatting sqref="I103:I111">
    <cfRule type="cellIs" dxfId="2883" priority="173" stopIfTrue="1" operator="greaterThan">
      <formula>4.5</formula>
    </cfRule>
    <cfRule type="cellIs" dxfId="2882" priority="174" stopIfTrue="1" operator="lessThanOrEqual">
      <formula>0</formula>
    </cfRule>
  </conditionalFormatting>
  <conditionalFormatting sqref="I10:J35">
    <cfRule type="cellIs" dxfId="2881" priority="25" operator="lessThan">
      <formula>97.9</formula>
    </cfRule>
  </conditionalFormatting>
  <conditionalFormatting sqref="I37:J49">
    <cfRule type="cellIs" dxfId="2880" priority="63" operator="lessThan">
      <formula>97.9</formula>
    </cfRule>
  </conditionalFormatting>
  <conditionalFormatting sqref="J36 J50">
    <cfRule type="cellIs" dxfId="2879" priority="83" operator="lessThan">
      <formula>97.4</formula>
    </cfRule>
    <cfRule type="cellIs" dxfId="2878" priority="82" operator="notBetween">
      <formula>98</formula>
      <formula>99.9</formula>
    </cfRule>
  </conditionalFormatting>
  <conditionalFormatting sqref="J53:J55">
    <cfRule type="cellIs" dxfId="2877" priority="111" operator="lessThan">
      <formula>98</formula>
    </cfRule>
    <cfRule type="cellIs" dxfId="2876" priority="110" stopIfTrue="1" operator="greaterThan">
      <formula>100</formula>
    </cfRule>
    <cfRule type="cellIs" dxfId="2875" priority="109" stopIfTrue="1" operator="lessThan">
      <formula>96.8</formula>
    </cfRule>
  </conditionalFormatting>
  <conditionalFormatting sqref="J53:J57">
    <cfRule type="cellIs" dxfId="2874" priority="85" operator="lessThan">
      <formula>97.4</formula>
    </cfRule>
  </conditionalFormatting>
  <conditionalFormatting sqref="J58">
    <cfRule type="cellIs" dxfId="2873" priority="112" operator="lessThan">
      <formula>98</formula>
    </cfRule>
  </conditionalFormatting>
  <conditionalFormatting sqref="J59:J61">
    <cfRule type="cellIs" dxfId="2872" priority="113" stopIfTrue="1" operator="lessThan">
      <formula>96.8</formula>
    </cfRule>
    <cfRule type="cellIs" dxfId="2871" priority="114" stopIfTrue="1" operator="greaterThan">
      <formula>100</formula>
    </cfRule>
  </conditionalFormatting>
  <conditionalFormatting sqref="J59:J62">
    <cfRule type="cellIs" dxfId="2870" priority="115" operator="lessThan">
      <formula>98</formula>
    </cfRule>
  </conditionalFormatting>
  <conditionalFormatting sqref="K10:K50">
    <cfRule type="cellIs" dxfId="2869" priority="23" operator="greaterThan">
      <formula>6.4</formula>
    </cfRule>
    <cfRule type="cellIs" dxfId="2868" priority="19" operator="lessThan">
      <formula>4</formula>
    </cfRule>
    <cfRule type="cellIs" dxfId="2867" priority="18" operator="greaterThan">
      <formula>6</formula>
    </cfRule>
  </conditionalFormatting>
  <conditionalFormatting sqref="K67:K76">
    <cfRule type="cellIs" dxfId="2866" priority="143" operator="notEqual">
      <formula>#REF!</formula>
    </cfRule>
  </conditionalFormatting>
  <conditionalFormatting sqref="K82:K87 K91:N100">
    <cfRule type="cellIs" dxfId="2865" priority="153" stopIfTrue="1" operator="lessThan">
      <formula>100%</formula>
    </cfRule>
  </conditionalFormatting>
  <conditionalFormatting sqref="K103:K108">
    <cfRule type="cellIs" dxfId="2864" priority="179" stopIfTrue="1" operator="lessThan">
      <formula>100%</formula>
    </cfRule>
  </conditionalFormatting>
  <conditionalFormatting sqref="K110:K111">
    <cfRule type="cellIs" dxfId="2863" priority="186" stopIfTrue="1" operator="lessThan">
      <formula>100%</formula>
    </cfRule>
  </conditionalFormatting>
  <conditionalFormatting sqref="L10:L50">
    <cfRule type="cellIs" dxfId="2862" priority="21" operator="greaterThan">
      <formula>65</formula>
    </cfRule>
    <cfRule type="cellIs" dxfId="2861" priority="20" operator="between">
      <formula>61</formula>
      <formula>65</formula>
    </cfRule>
  </conditionalFormatting>
  <conditionalFormatting sqref="L53:M64">
    <cfRule type="cellIs" dxfId="2860" priority="1" operator="lessThan">
      <formula>98</formula>
    </cfRule>
  </conditionalFormatting>
  <conditionalFormatting sqref="L68:N68">
    <cfRule type="cellIs" dxfId="2859" priority="91" operator="notEqual">
      <formula>#REF!</formula>
    </cfRule>
  </conditionalFormatting>
  <conditionalFormatting sqref="L103:N111">
    <cfRule type="cellIs" dxfId="2858" priority="164" stopIfTrue="1" operator="lessThan">
      <formula>100%</formula>
    </cfRule>
  </conditionalFormatting>
  <conditionalFormatting sqref="M10:M20">
    <cfRule type="expression" dxfId="2857" priority="16">
      <formula>IF(+(IF(M10&lt;V10,0,IF(M10&gt;W10,0,1)))=0,1)</formula>
    </cfRule>
  </conditionalFormatting>
  <conditionalFormatting sqref="M21:M29">
    <cfRule type="expression" dxfId="2856" priority="57">
      <formula>IF(+(IF(M21&lt;U21,0,IF(M21&gt;V21,0,1)))=0,1)</formula>
    </cfRule>
  </conditionalFormatting>
  <conditionalFormatting sqref="M30:M50">
    <cfRule type="expression" dxfId="2855" priority="54">
      <formula>IF(+(IF(M30&lt;V30,0,IF(M30&gt;W30,0,1)))=0,1)</formula>
    </cfRule>
  </conditionalFormatting>
  <conditionalFormatting sqref="M6:N6">
    <cfRule type="cellIs" dxfId="2854" priority="93" operator="greaterThanOrEqual">
      <formula>19</formula>
    </cfRule>
    <cfRule type="cellIs" dxfId="2853" priority="92" operator="greaterThanOrEqual">
      <formula>15</formula>
    </cfRule>
  </conditionalFormatting>
  <conditionalFormatting sqref="N10:N20">
    <cfRule type="expression" dxfId="2852" priority="17">
      <formula>IF(+(IF(N10&lt;X10,0,IF(N10&gt;Y10,0,1)))=0,1)</formula>
    </cfRule>
  </conditionalFormatting>
  <conditionalFormatting sqref="N21:N29">
    <cfRule type="expression" dxfId="2851" priority="58">
      <formula>IF(+(IF(N21&lt;W21,0,IF(N21&gt;X21,0,1)))=0,1)</formula>
    </cfRule>
  </conditionalFormatting>
  <conditionalFormatting sqref="N30:N50">
    <cfRule type="expression" dxfId="2850" priority="55">
      <formula>IF(+(IF(N30&lt;X30,0,IF(N30&gt;Y30,0,1)))=0,1)</formula>
    </cfRule>
  </conditionalFormatting>
  <conditionalFormatting sqref="N36">
    <cfRule type="expression" dxfId="2849" priority="195">
      <formula>IF(+(IF(N36&lt;X91,0,IF(N36&gt;Y91,0,1)))=0,1)</formula>
    </cfRule>
    <cfRule type="expression" dxfId="2848" priority="196">
      <formula>IF(+(IF(N36&lt;X86,0,IF(N36&gt;Y86,0,1)))=0,1)</formula>
    </cfRule>
  </conditionalFormatting>
  <conditionalFormatting sqref="N50">
    <cfRule type="expression" dxfId="2847" priority="197">
      <formula>IF(+(IF(N50&lt;X93,0,IF(N50&gt;Y93,0,1)))=0,1)</formula>
    </cfRule>
    <cfRule type="expression" dxfId="2846" priority="198">
      <formula>IF(+(IF(N50&lt;X88,0,IF(N50&gt;Y88,0,1)))=0,1)</formula>
    </cfRule>
  </conditionalFormatting>
  <conditionalFormatting sqref="P6">
    <cfRule type="cellIs" dxfId="2845" priority="160" operator="greaterThanOrEqual">
      <formula>19</formula>
    </cfRule>
  </conditionalFormatting>
  <dataValidations count="1">
    <dataValidation type="list" allowBlank="1" showInputMessage="1" showErrorMessage="1" sqref="S8 B50" xr:uid="{FFCFF808-CA0F-4AA8-8FC9-B355485A61E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2C48-6364-4657-A4DF-EE7861D91323}">
  <sheetPr>
    <pageSetUpPr fitToPage="1"/>
  </sheetPr>
  <dimension ref="A1:BF112"/>
  <sheetViews>
    <sheetView topLeftCell="A9" zoomScale="83" zoomScaleNormal="70" workbookViewId="0">
      <selection activeCell="S19" sqref="S11:AA19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45694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15</v>
      </c>
      <c r="N6" s="340">
        <v>15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3" t="s">
        <v>9</v>
      </c>
      <c r="C10" s="366" t="str">
        <f>[24]Brewhouse!$A71</f>
        <v>ST056</v>
      </c>
      <c r="D10" s="279">
        <f>[24]Brewhouse!$AD71</f>
        <v>54.2</v>
      </c>
      <c r="E10" s="279">
        <f>[24]Brewhouse!$AG71</f>
        <v>51.2</v>
      </c>
      <c r="F10" s="278">
        <f>[24]Brewhouse!$V71</f>
        <v>68</v>
      </c>
      <c r="G10" s="279">
        <f>[24]Brewhouse!$AE71</f>
        <v>11.7</v>
      </c>
      <c r="H10" s="396">
        <v>11.5</v>
      </c>
      <c r="I10" s="417">
        <f>[24]Brewhouse!$AS71</f>
        <v>96.860953695286469</v>
      </c>
      <c r="J10" s="417">
        <f>[24]Brewhouse!$AT71</f>
        <v>100.23483575455681</v>
      </c>
      <c r="K10" s="398">
        <f>[24]Brewhouse!$Q71</f>
        <v>4.7272727272727302</v>
      </c>
      <c r="L10" s="276">
        <f>[24]Brewhouse!$P71</f>
        <v>61</v>
      </c>
      <c r="M10" s="374">
        <f>[24]Brewhouse!$U71-[24]Brewhouse!$T71</f>
        <v>0.19027777777777777</v>
      </c>
      <c r="N10" s="370">
        <f>[24]Brewhouse!$AW71</f>
        <v>0.25694444444444464</v>
      </c>
      <c r="O10" s="418" t="str">
        <f>[24]Brewhouse!$AV71</f>
        <v>K. Benjamin</v>
      </c>
      <c r="P10" s="439"/>
      <c r="Q10" s="440"/>
      <c r="R10" s="48"/>
      <c r="S10" s="441"/>
      <c r="T10" s="442"/>
      <c r="U10" s="442"/>
      <c r="V10" s="443"/>
      <c r="W10" s="443"/>
      <c r="X10" s="444"/>
      <c r="Y10" s="444"/>
      <c r="Z10" s="445"/>
      <c r="AA10" s="442"/>
      <c r="AB10" s="19"/>
    </row>
    <row r="11" spans="2:30" ht="14.4">
      <c r="B11" s="33" t="s">
        <v>9</v>
      </c>
      <c r="C11" s="366" t="str">
        <f>[24]Brewhouse!$A72</f>
        <v>ST057</v>
      </c>
      <c r="D11" s="279">
        <f>[24]Brewhouse!$AD72</f>
        <v>53.2</v>
      </c>
      <c r="E11" s="279">
        <f>[24]Brewhouse!$AG72</f>
        <v>50</v>
      </c>
      <c r="F11" s="278">
        <f>[24]Brewhouse!$V72</f>
        <v>66</v>
      </c>
      <c r="G11" s="279">
        <f>[24]Brewhouse!$AE72</f>
        <v>11.9</v>
      </c>
      <c r="H11" s="396">
        <v>11.9</v>
      </c>
      <c r="I11" s="417">
        <f>[24]Brewhouse!$AS72</f>
        <v>96.412978745034764</v>
      </c>
      <c r="J11" s="417">
        <f>[24]Brewhouse!$AT72</f>
        <v>99.770174394738817</v>
      </c>
      <c r="K11" s="398">
        <f>[24]Brewhouse!$Q72</f>
        <v>5.5454545454545405</v>
      </c>
      <c r="L11" s="276">
        <f>[24]Brewhouse!$P72</f>
        <v>59</v>
      </c>
      <c r="M11" s="374">
        <f>[24]Brewhouse!$U72-[24]Brewhouse!$T72</f>
        <v>0.12083333333333329</v>
      </c>
      <c r="N11" s="370">
        <f>[24]Brewhouse!$AW72</f>
        <v>0.26597222222222222</v>
      </c>
      <c r="O11" s="418" t="str">
        <f>[24]Brewhouse!$AV72</f>
        <v>K. Benjamin</v>
      </c>
      <c r="P11" s="369"/>
      <c r="Q11" s="347"/>
      <c r="S11" s="277" t="str">
        <f t="shared" ref="S11:S18" si="0">B11</f>
        <v>STAG</v>
      </c>
      <c r="T11" s="296">
        <f t="shared" ref="T11:T18" si="1">VLOOKUP($B11,$S$3:$Y$9,2,FALSE)</f>
        <v>11.6</v>
      </c>
      <c r="U11" s="296">
        <f t="shared" ref="U11:U18" si="2">VLOOKUP($B11,$S$3:$Y$9,3,FALSE)</f>
        <v>12</v>
      </c>
      <c r="V11" s="297">
        <f t="shared" ref="V11:V18" si="3">VLOOKUP($B11,$S$3:$Y$9,4,FALSE)</f>
        <v>0</v>
      </c>
      <c r="W11" s="297">
        <f t="shared" ref="W11:W18" si="4">VLOOKUP($B11,$S$3:$Y$9,5,FALSE)</f>
        <v>0.118055555555556</v>
      </c>
      <c r="X11" s="297">
        <f t="shared" ref="X11:X18" si="5">VLOOKUP($B11,$S$3:$Y$9,6,FALSE)</f>
        <v>0.22569444444444445</v>
      </c>
      <c r="Y11" s="297">
        <f t="shared" ref="Y11:Y18" si="6">VLOOKUP($B11,$S$3:$Y$9,7,FALSE)</f>
        <v>0.2638888888888889</v>
      </c>
      <c r="Z11" s="297">
        <f t="shared" ref="Z11:Z18" si="7">VLOOKUP($B11,$S$3:$AA$9,8,FALSE)</f>
        <v>0</v>
      </c>
      <c r="AA11" s="296">
        <f t="shared" ref="AA11:AA18" si="8">VLOOKUP($B11,$S$3:$AA$9,9,FALSE)</f>
        <v>60</v>
      </c>
    </row>
    <row r="12" spans="2:30" ht="14.4">
      <c r="B12" s="33" t="s">
        <v>9</v>
      </c>
      <c r="C12" s="366" t="str">
        <f>[24]Brewhouse!$A73</f>
        <v>ST058</v>
      </c>
      <c r="D12" s="279">
        <f>[24]Brewhouse!$AD73</f>
        <v>53.4</v>
      </c>
      <c r="E12" s="279">
        <f>[24]Brewhouse!$AG73</f>
        <v>50.3</v>
      </c>
      <c r="F12" s="278">
        <f>[24]Brewhouse!$V73</f>
        <v>60</v>
      </c>
      <c r="G12" s="279">
        <f>[24]Brewhouse!$AE73</f>
        <v>11.8</v>
      </c>
      <c r="H12" s="396">
        <v>11.9</v>
      </c>
      <c r="I12" s="417">
        <f>[24]Brewhouse!$AS73</f>
        <v>96.134503988755924</v>
      </c>
      <c r="J12" s="417">
        <f>[24]Brewhouse!$AT73</f>
        <v>99.482002870944854</v>
      </c>
      <c r="K12" s="398">
        <f>[24]Brewhouse!$Q73</f>
        <v>4.7186932849364815</v>
      </c>
      <c r="L12" s="276">
        <f>[24]Brewhouse!$P73</f>
        <v>60</v>
      </c>
      <c r="M12" s="374">
        <f>[24]Brewhouse!$U73-[24]Brewhouse!$T73</f>
        <v>0.12361111111111112</v>
      </c>
      <c r="N12" s="370">
        <f>[24]Brewhouse!$AW73</f>
        <v>0.2590277777777778</v>
      </c>
      <c r="O12" s="418" t="str">
        <f>[24]Brewhouse!$AV73</f>
        <v xml:space="preserve">R.Regis </v>
      </c>
      <c r="P12" s="369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33"/>
      <c r="C13" s="366"/>
      <c r="D13" s="279"/>
      <c r="E13" s="279"/>
      <c r="F13" s="278"/>
      <c r="G13" s="279"/>
      <c r="H13" s="396"/>
      <c r="I13" s="417"/>
      <c r="J13" s="417"/>
      <c r="K13" s="398"/>
      <c r="L13" s="276"/>
      <c r="M13" s="374"/>
      <c r="N13" s="370"/>
      <c r="O13" s="418"/>
      <c r="P13" s="36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4.4">
      <c r="B14" s="29" t="s">
        <v>6</v>
      </c>
      <c r="C14" s="366" t="str">
        <f>[22]Brewhouse!$A183</f>
        <v>CA081</v>
      </c>
      <c r="D14" s="279">
        <f>[22]Brewhouse!$AF183</f>
        <v>53.8</v>
      </c>
      <c r="E14" s="279">
        <f>[22]Brewhouse!$AI183</f>
        <v>50.1</v>
      </c>
      <c r="F14" s="278">
        <f>[22]Brewhouse!$V183</f>
        <v>72</v>
      </c>
      <c r="G14" s="279">
        <f>[22]Brewhouse!$AG183</f>
        <v>11.6</v>
      </c>
      <c r="H14" s="396">
        <v>11.7</v>
      </c>
      <c r="I14" s="368">
        <f>[22]Brewhouse!$AU183</f>
        <v>92.689746877485774</v>
      </c>
      <c r="J14" s="368">
        <f>[22]Brewhouse!$AV183</f>
        <v>96.584675575050468</v>
      </c>
      <c r="K14" s="281">
        <f>[22]Brewhouse!$Q183</f>
        <v>5.3832442067736244</v>
      </c>
      <c r="L14" s="276">
        <f>[22]Brewhouse!$P183</f>
        <v>60</v>
      </c>
      <c r="M14" s="397">
        <f>[22]Brewhouse!$U183-[22]Brewhouse!$T183</f>
        <v>0.12569444444444444</v>
      </c>
      <c r="N14" s="370">
        <f>[22]Brewhouse!$Z183</f>
        <v>0.2673611111111111</v>
      </c>
      <c r="O14" s="371" t="str">
        <f>[22]Brewhouse!$AX183</f>
        <v>R. Regis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29" t="s">
        <v>6</v>
      </c>
      <c r="C15" s="366" t="str">
        <f>[22]Brewhouse!$A184</f>
        <v>CA082</v>
      </c>
      <c r="D15" s="279">
        <f>[22]Brewhouse!$AF184</f>
        <v>53.9</v>
      </c>
      <c r="E15" s="279">
        <f>[22]Brewhouse!$AI184</f>
        <v>50.9</v>
      </c>
      <c r="F15" s="278">
        <f>[22]Brewhouse!$V184</f>
        <v>95</v>
      </c>
      <c r="G15" s="279">
        <f>[22]Brewhouse!$AG184</f>
        <v>11.7</v>
      </c>
      <c r="H15" s="396">
        <v>11.7</v>
      </c>
      <c r="I15" s="368">
        <f>[22]Brewhouse!$AU184</f>
        <v>94.673754897931531</v>
      </c>
      <c r="J15" s="368">
        <f>[22]Brewhouse!$AV184</f>
        <v>98.652699152504695</v>
      </c>
      <c r="K15" s="281">
        <f>[22]Brewhouse!$Q184</f>
        <v>5.7092198581560263</v>
      </c>
      <c r="L15" s="276">
        <f>[22]Brewhouse!$P184</f>
        <v>58</v>
      </c>
      <c r="M15" s="397">
        <f>[22]Brewhouse!$U184-[22]Brewhouse!$T184</f>
        <v>0.13124999999999998</v>
      </c>
      <c r="N15" s="370">
        <f>[22]Brewhouse!$Z184</f>
        <v>0.27430555555555558</v>
      </c>
      <c r="O15" s="371" t="str">
        <f>[22]Brewhouse!$AX184</f>
        <v>R. Sookram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4.4">
      <c r="B16" s="33"/>
      <c r="C16" s="366"/>
      <c r="D16" s="279"/>
      <c r="E16" s="279"/>
      <c r="F16" s="278"/>
      <c r="G16" s="279"/>
      <c r="H16" s="396"/>
      <c r="I16" s="417"/>
      <c r="J16" s="417"/>
      <c r="K16" s="398"/>
      <c r="L16" s="276"/>
      <c r="M16" s="374"/>
      <c r="N16" s="370"/>
      <c r="O16" s="418"/>
      <c r="P16" s="36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4.4">
      <c r="B17" s="33"/>
      <c r="C17" s="366"/>
      <c r="D17" s="279"/>
      <c r="E17" s="279"/>
      <c r="F17" s="278"/>
      <c r="G17" s="279"/>
      <c r="H17" s="396"/>
      <c r="I17" s="417"/>
      <c r="J17" s="417"/>
      <c r="K17" s="398"/>
      <c r="L17" s="276"/>
      <c r="M17" s="374"/>
      <c r="N17" s="370"/>
      <c r="O17" s="418"/>
      <c r="P17" s="36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4.4">
      <c r="B18" s="33"/>
      <c r="C18" s="366"/>
      <c r="D18" s="279"/>
      <c r="E18" s="279"/>
      <c r="F18" s="278"/>
      <c r="G18" s="279"/>
      <c r="H18" s="396"/>
      <c r="I18" s="417"/>
      <c r="J18" s="417"/>
      <c r="K18" s="398"/>
      <c r="L18" s="276"/>
      <c r="M18" s="374"/>
      <c r="N18" s="370"/>
      <c r="O18" s="418"/>
      <c r="P18" s="36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4.4">
      <c r="B19" s="22"/>
      <c r="C19" s="366"/>
      <c r="D19" s="279"/>
      <c r="E19" s="279"/>
      <c r="F19" s="278"/>
      <c r="G19" s="279"/>
      <c r="H19" s="403"/>
      <c r="I19" s="368"/>
      <c r="J19" s="368"/>
      <c r="K19" s="281"/>
      <c r="L19" s="276"/>
      <c r="M19" s="374"/>
      <c r="N19" s="370"/>
      <c r="O19" s="371"/>
      <c r="P19" s="369"/>
      <c r="Q19" s="347"/>
      <c r="S19" s="277">
        <f t="shared" ref="S19:S48" si="9">B19</f>
        <v>0</v>
      </c>
      <c r="T19" s="296" t="e">
        <f t="shared" ref="T19:T48" si="10">VLOOKUP($B19,$S$3:$Y$9,2,FALSE)</f>
        <v>#N/A</v>
      </c>
      <c r="U19" s="296" t="e">
        <f t="shared" ref="U19:U48" si="11">VLOOKUP($B19,$S$3:$Y$9,3,FALSE)</f>
        <v>#N/A</v>
      </c>
      <c r="V19" s="297" t="e">
        <f t="shared" ref="V19:V48" si="12">VLOOKUP($B19,$S$3:$Y$9,4,FALSE)</f>
        <v>#N/A</v>
      </c>
      <c r="W19" s="297" t="e">
        <f t="shared" ref="W19:W48" si="13">VLOOKUP($B19,$S$3:$Y$9,5,FALSE)</f>
        <v>#N/A</v>
      </c>
      <c r="X19" s="297" t="e">
        <f t="shared" ref="X19:X48" si="14">VLOOKUP($B19,$S$3:$Y$9,6,FALSE)</f>
        <v>#N/A</v>
      </c>
      <c r="Y19" s="297" t="e">
        <f t="shared" ref="Y19:Y48" si="15">VLOOKUP($B19,$S$3:$Y$9,7,FALSE)</f>
        <v>#N/A</v>
      </c>
      <c r="Z19" s="297" t="e">
        <f t="shared" ref="Z19:Z48" si="16">VLOOKUP($B19,$S$3:$AA$9,8,FALSE)</f>
        <v>#N/A</v>
      </c>
      <c r="AA19" s="296" t="e">
        <f t="shared" ref="AA19:AA48" si="17">VLOOKUP($B19,$S$3:$AA$9,9,FALSE)</f>
        <v>#N/A</v>
      </c>
    </row>
    <row r="20" spans="2:27" ht="14.4" hidden="1">
      <c r="B20" s="22"/>
      <c r="C20" s="366"/>
      <c r="D20" s="279"/>
      <c r="E20" s="279"/>
      <c r="F20" s="278"/>
      <c r="G20" s="279"/>
      <c r="H20" s="403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2:27" ht="14.4" hidden="1">
      <c r="B21" s="22"/>
      <c r="C21" s="366"/>
      <c r="D21" s="279"/>
      <c r="E21" s="279"/>
      <c r="F21" s="278"/>
      <c r="G21" s="279"/>
      <c r="H21" s="403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3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3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7" ht="14.4" hidden="1">
      <c r="B24" s="34"/>
      <c r="C24" s="366"/>
      <c r="D24" s="279"/>
      <c r="E24" s="279"/>
      <c r="F24" s="278"/>
      <c r="G24" s="279"/>
      <c r="H24" s="396"/>
      <c r="I24" s="368"/>
      <c r="J24" s="368"/>
      <c r="K24" s="398"/>
      <c r="L24" s="276"/>
      <c r="M24" s="399"/>
      <c r="N24" s="370"/>
      <c r="O24" s="371"/>
      <c r="P24" s="369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7" ht="14.4" hidden="1">
      <c r="B25" s="34"/>
      <c r="C25" s="366"/>
      <c r="D25" s="279"/>
      <c r="E25" s="279"/>
      <c r="F25" s="278"/>
      <c r="G25" s="279"/>
      <c r="H25" s="396"/>
      <c r="I25" s="368"/>
      <c r="J25" s="368"/>
      <c r="K25" s="398"/>
      <c r="L25" s="276"/>
      <c r="M25" s="399"/>
      <c r="N25" s="370"/>
      <c r="O25" s="371"/>
      <c r="P25" s="369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7" ht="14.4" hidden="1">
      <c r="B26" s="34"/>
      <c r="C26" s="366"/>
      <c r="D26" s="279"/>
      <c r="E26" s="279"/>
      <c r="F26" s="278"/>
      <c r="G26" s="279"/>
      <c r="H26" s="396"/>
      <c r="I26" s="368"/>
      <c r="J26" s="368"/>
      <c r="K26" s="398"/>
      <c r="L26" s="276"/>
      <c r="M26" s="399"/>
      <c r="N26" s="370"/>
      <c r="O26" s="371"/>
      <c r="P26" s="375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7" ht="15.75" hidden="1" customHeight="1">
      <c r="B27" s="34"/>
      <c r="C27" s="366"/>
      <c r="D27" s="279"/>
      <c r="E27" s="279"/>
      <c r="F27" s="278"/>
      <c r="G27" s="279"/>
      <c r="H27" s="396"/>
      <c r="I27" s="368"/>
      <c r="J27" s="368"/>
      <c r="K27" s="398"/>
      <c r="L27" s="276"/>
      <c r="M27" s="399"/>
      <c r="N27" s="370"/>
      <c r="O27" s="371"/>
      <c r="P27" s="375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7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375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7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375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7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375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7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375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7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375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2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369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74"/>
      <c r="N34" s="370"/>
      <c r="O34" s="371"/>
      <c r="P34" s="369"/>
      <c r="Q34" s="347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2:27" ht="15.75" hidden="1" customHeight="1">
      <c r="B35" s="33"/>
      <c r="C35" s="366"/>
      <c r="D35" s="279"/>
      <c r="E35" s="279"/>
      <c r="F35" s="278"/>
      <c r="G35" s="279"/>
      <c r="H35" s="396"/>
      <c r="I35" s="417"/>
      <c r="J35" s="417"/>
      <c r="K35" s="398"/>
      <c r="L35" s="276"/>
      <c r="M35" s="374"/>
      <c r="N35" s="370"/>
      <c r="O35" s="418"/>
      <c r="P35" s="369"/>
      <c r="Q35" s="347"/>
      <c r="S35" s="277">
        <f t="shared" si="9"/>
        <v>0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2:27" ht="15.75" hidden="1" customHeight="1">
      <c r="B36" s="33"/>
      <c r="C36" s="366"/>
      <c r="D36" s="279"/>
      <c r="E36" s="279"/>
      <c r="F36" s="278"/>
      <c r="G36" s="279"/>
      <c r="H36" s="396"/>
      <c r="I36" s="417"/>
      <c r="J36" s="417"/>
      <c r="K36" s="398"/>
      <c r="L36" s="276"/>
      <c r="M36" s="374"/>
      <c r="N36" s="370"/>
      <c r="O36" s="418"/>
      <c r="P36" s="369"/>
      <c r="Q36" s="347"/>
      <c r="S36" s="277">
        <f t="shared" si="9"/>
        <v>0</v>
      </c>
      <c r="T36" s="296" t="e">
        <f t="shared" si="10"/>
        <v>#N/A</v>
      </c>
      <c r="U36" s="296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7" t="e">
        <f t="shared" si="16"/>
        <v>#N/A</v>
      </c>
      <c r="AA36" s="296" t="e">
        <f t="shared" si="17"/>
        <v>#N/A</v>
      </c>
    </row>
    <row r="37" spans="2:27" ht="15.75" hidden="1" customHeight="1">
      <c r="B37" s="33"/>
      <c r="C37" s="366"/>
      <c r="D37" s="279"/>
      <c r="E37" s="279"/>
      <c r="F37" s="278"/>
      <c r="G37" s="279"/>
      <c r="H37" s="396"/>
      <c r="I37" s="417"/>
      <c r="J37" s="417"/>
      <c r="K37" s="398"/>
      <c r="L37" s="276"/>
      <c r="M37" s="374"/>
      <c r="N37" s="370"/>
      <c r="O37" s="418"/>
      <c r="P37" s="369"/>
      <c r="Q37" s="347"/>
      <c r="S37" s="277">
        <f t="shared" si="9"/>
        <v>0</v>
      </c>
      <c r="T37" s="296" t="e">
        <f t="shared" si="10"/>
        <v>#N/A</v>
      </c>
      <c r="U37" s="296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7" t="e">
        <f t="shared" si="16"/>
        <v>#N/A</v>
      </c>
      <c r="AA37" s="296" t="e">
        <f t="shared" si="17"/>
        <v>#N/A</v>
      </c>
    </row>
    <row r="38" spans="2:27" ht="15.75" hidden="1" customHeight="1">
      <c r="B38" s="33"/>
      <c r="C38" s="366"/>
      <c r="D38" s="279"/>
      <c r="E38" s="279"/>
      <c r="F38" s="278"/>
      <c r="G38" s="279"/>
      <c r="H38" s="396"/>
      <c r="I38" s="417"/>
      <c r="J38" s="417"/>
      <c r="K38" s="398"/>
      <c r="L38" s="276"/>
      <c r="M38" s="374"/>
      <c r="N38" s="370"/>
      <c r="O38" s="418"/>
      <c r="P38" s="369"/>
      <c r="Q38" s="347"/>
      <c r="S38" s="277">
        <f t="shared" si="9"/>
        <v>0</v>
      </c>
      <c r="T38" s="296" t="e">
        <f t="shared" si="10"/>
        <v>#N/A</v>
      </c>
      <c r="U38" s="296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7" t="e">
        <f t="shared" si="16"/>
        <v>#N/A</v>
      </c>
      <c r="AA38" s="296" t="e">
        <f t="shared" si="17"/>
        <v>#N/A</v>
      </c>
    </row>
    <row r="39" spans="2:27" ht="15.75" hidden="1" customHeight="1">
      <c r="B39" s="33"/>
      <c r="C39" s="366"/>
      <c r="D39" s="279"/>
      <c r="E39" s="279"/>
      <c r="F39" s="278"/>
      <c r="G39" s="279"/>
      <c r="H39" s="396"/>
      <c r="I39" s="417"/>
      <c r="J39" s="417"/>
      <c r="K39" s="398"/>
      <c r="L39" s="276"/>
      <c r="M39" s="374"/>
      <c r="N39" s="370"/>
      <c r="O39" s="418"/>
      <c r="P39" s="369"/>
      <c r="Q39" s="347"/>
      <c r="S39" s="277">
        <f t="shared" si="9"/>
        <v>0</v>
      </c>
      <c r="T39" s="296" t="e">
        <f t="shared" si="10"/>
        <v>#N/A</v>
      </c>
      <c r="U39" s="296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7" t="e">
        <f t="shared" si="16"/>
        <v>#N/A</v>
      </c>
      <c r="AA39" s="296" t="e">
        <f t="shared" si="17"/>
        <v>#N/A</v>
      </c>
    </row>
    <row r="40" spans="2:27" ht="15.75" hidden="1" customHeight="1">
      <c r="B40" s="33"/>
      <c r="C40" s="366"/>
      <c r="D40" s="279"/>
      <c r="E40" s="279"/>
      <c r="F40" s="278"/>
      <c r="G40" s="279"/>
      <c r="H40" s="396"/>
      <c r="I40" s="417"/>
      <c r="J40" s="417"/>
      <c r="K40" s="398"/>
      <c r="L40" s="276"/>
      <c r="M40" s="374"/>
      <c r="N40" s="370"/>
      <c r="O40" s="418"/>
      <c r="P40" s="369"/>
      <c r="Q40" s="347"/>
      <c r="S40" s="277">
        <f t="shared" si="9"/>
        <v>0</v>
      </c>
      <c r="T40" s="296" t="e">
        <f t="shared" si="10"/>
        <v>#N/A</v>
      </c>
      <c r="U40" s="296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7" t="e">
        <f t="shared" si="16"/>
        <v>#N/A</v>
      </c>
      <c r="AA40" s="296" t="e">
        <f t="shared" si="17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7"/>
      <c r="J41" s="417"/>
      <c r="K41" s="398"/>
      <c r="L41" s="276"/>
      <c r="M41" s="374"/>
      <c r="N41" s="370"/>
      <c r="O41" s="418"/>
      <c r="P41" s="369"/>
      <c r="Q41" s="347"/>
      <c r="S41" s="277">
        <f t="shared" si="9"/>
        <v>0</v>
      </c>
      <c r="T41" s="296" t="e">
        <f t="shared" si="10"/>
        <v>#N/A</v>
      </c>
      <c r="U41" s="296" t="e">
        <f t="shared" si="11"/>
        <v>#N/A</v>
      </c>
      <c r="V41" s="297" t="e">
        <f t="shared" si="12"/>
        <v>#N/A</v>
      </c>
      <c r="W41" s="297" t="e">
        <f t="shared" si="13"/>
        <v>#N/A</v>
      </c>
      <c r="X41" s="297" t="e">
        <f t="shared" si="14"/>
        <v>#N/A</v>
      </c>
      <c r="Y41" s="297" t="e">
        <f t="shared" si="15"/>
        <v>#N/A</v>
      </c>
      <c r="Z41" s="297" t="e">
        <f t="shared" si="16"/>
        <v>#N/A</v>
      </c>
      <c r="AA41" s="296" t="e">
        <f t="shared" si="17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7"/>
      <c r="J42" s="417"/>
      <c r="K42" s="398"/>
      <c r="L42" s="276"/>
      <c r="M42" s="374"/>
      <c r="N42" s="370"/>
      <c r="O42" s="418"/>
      <c r="P42" s="369"/>
      <c r="Q42" s="347"/>
      <c r="S42" s="277">
        <f t="shared" si="9"/>
        <v>0</v>
      </c>
      <c r="T42" s="296" t="e">
        <f t="shared" si="10"/>
        <v>#N/A</v>
      </c>
      <c r="U42" s="296" t="e">
        <f t="shared" si="11"/>
        <v>#N/A</v>
      </c>
      <c r="V42" s="297" t="e">
        <f t="shared" si="12"/>
        <v>#N/A</v>
      </c>
      <c r="W42" s="297" t="e">
        <f t="shared" si="13"/>
        <v>#N/A</v>
      </c>
      <c r="X42" s="297" t="e">
        <f t="shared" si="14"/>
        <v>#N/A</v>
      </c>
      <c r="Y42" s="297" t="e">
        <f t="shared" si="15"/>
        <v>#N/A</v>
      </c>
      <c r="Z42" s="297" t="e">
        <f t="shared" si="16"/>
        <v>#N/A</v>
      </c>
      <c r="AA42" s="296" t="e">
        <f t="shared" si="17"/>
        <v>#N/A</v>
      </c>
    </row>
    <row r="43" spans="2:27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369"/>
      <c r="Q43" s="347"/>
      <c r="S43" s="277">
        <f t="shared" si="9"/>
        <v>0</v>
      </c>
      <c r="T43" s="296" t="e">
        <f t="shared" si="10"/>
        <v>#N/A</v>
      </c>
      <c r="U43" s="296" t="e">
        <f t="shared" si="11"/>
        <v>#N/A</v>
      </c>
      <c r="V43" s="297" t="e">
        <f t="shared" si="12"/>
        <v>#N/A</v>
      </c>
      <c r="W43" s="297" t="e">
        <f t="shared" si="13"/>
        <v>#N/A</v>
      </c>
      <c r="X43" s="297" t="e">
        <f t="shared" si="14"/>
        <v>#N/A</v>
      </c>
      <c r="Y43" s="297" t="e">
        <f t="shared" si="15"/>
        <v>#N/A</v>
      </c>
      <c r="Z43" s="297" t="e">
        <f t="shared" si="16"/>
        <v>#N/A</v>
      </c>
      <c r="AA43" s="296" t="e">
        <f t="shared" si="17"/>
        <v>#N/A</v>
      </c>
    </row>
    <row r="44" spans="2:27" ht="15.75" hidden="1" customHeight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276"/>
      <c r="M44" s="397"/>
      <c r="N44" s="370"/>
      <c r="O44" s="371"/>
      <c r="P44" s="369"/>
      <c r="Q44" s="347"/>
      <c r="S44" s="277">
        <f t="shared" si="9"/>
        <v>0</v>
      </c>
      <c r="T44" s="296" t="e">
        <f t="shared" si="10"/>
        <v>#N/A</v>
      </c>
      <c r="U44" s="296" t="e">
        <f t="shared" si="11"/>
        <v>#N/A</v>
      </c>
      <c r="V44" s="297" t="e">
        <f t="shared" si="12"/>
        <v>#N/A</v>
      </c>
      <c r="W44" s="297" t="e">
        <f t="shared" si="13"/>
        <v>#N/A</v>
      </c>
      <c r="X44" s="297" t="e">
        <f t="shared" si="14"/>
        <v>#N/A</v>
      </c>
      <c r="Y44" s="297" t="e">
        <f t="shared" si="15"/>
        <v>#N/A</v>
      </c>
      <c r="Z44" s="297" t="e">
        <f t="shared" si="16"/>
        <v>#N/A</v>
      </c>
      <c r="AA44" s="296" t="e">
        <f t="shared" si="17"/>
        <v>#N/A</v>
      </c>
    </row>
    <row r="45" spans="2:27" ht="15.75" hidden="1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276"/>
      <c r="M45" s="397"/>
      <c r="N45" s="370"/>
      <c r="O45" s="371"/>
      <c r="P45" s="369"/>
      <c r="Q45" s="347"/>
      <c r="S45" s="277">
        <f t="shared" si="9"/>
        <v>0</v>
      </c>
      <c r="T45" s="296" t="e">
        <f t="shared" si="10"/>
        <v>#N/A</v>
      </c>
      <c r="U45" s="296" t="e">
        <f t="shared" si="11"/>
        <v>#N/A</v>
      </c>
      <c r="V45" s="297" t="e">
        <f t="shared" si="12"/>
        <v>#N/A</v>
      </c>
      <c r="W45" s="297" t="e">
        <f t="shared" si="13"/>
        <v>#N/A</v>
      </c>
      <c r="X45" s="297" t="e">
        <f t="shared" si="14"/>
        <v>#N/A</v>
      </c>
      <c r="Y45" s="297" t="e">
        <f t="shared" si="15"/>
        <v>#N/A</v>
      </c>
      <c r="Z45" s="297" t="e">
        <f t="shared" si="16"/>
        <v>#N/A</v>
      </c>
      <c r="AA45" s="296" t="e">
        <f t="shared" si="17"/>
        <v>#N/A</v>
      </c>
    </row>
    <row r="46" spans="2:27" ht="15.7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369"/>
      <c r="Q46" s="347"/>
      <c r="S46" s="277">
        <f t="shared" si="9"/>
        <v>0</v>
      </c>
      <c r="T46" s="296" t="e">
        <f t="shared" si="10"/>
        <v>#N/A</v>
      </c>
      <c r="U46" s="296" t="e">
        <f t="shared" si="11"/>
        <v>#N/A</v>
      </c>
      <c r="V46" s="297" t="e">
        <f t="shared" si="12"/>
        <v>#N/A</v>
      </c>
      <c r="W46" s="297" t="e">
        <f t="shared" si="13"/>
        <v>#N/A</v>
      </c>
      <c r="X46" s="297" t="e">
        <f t="shared" si="14"/>
        <v>#N/A</v>
      </c>
      <c r="Y46" s="297" t="e">
        <f t="shared" si="15"/>
        <v>#N/A</v>
      </c>
      <c r="Z46" s="297" t="e">
        <f t="shared" si="16"/>
        <v>#N/A</v>
      </c>
      <c r="AA46" s="296" t="e">
        <f t="shared" si="17"/>
        <v>#N/A</v>
      </c>
    </row>
    <row r="47" spans="2:27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276"/>
      <c r="M47" s="397"/>
      <c r="N47" s="370"/>
      <c r="O47" s="371"/>
      <c r="P47" s="369"/>
      <c r="Q47" s="347"/>
      <c r="S47" s="277">
        <f t="shared" si="9"/>
        <v>0</v>
      </c>
      <c r="T47" s="296" t="e">
        <f t="shared" si="10"/>
        <v>#N/A</v>
      </c>
      <c r="U47" s="296" t="e">
        <f t="shared" si="11"/>
        <v>#N/A</v>
      </c>
      <c r="V47" s="297" t="e">
        <f t="shared" si="12"/>
        <v>#N/A</v>
      </c>
      <c r="W47" s="297" t="e">
        <f t="shared" si="13"/>
        <v>#N/A</v>
      </c>
      <c r="X47" s="297" t="e">
        <f t="shared" si="14"/>
        <v>#N/A</v>
      </c>
      <c r="Y47" s="297" t="e">
        <f t="shared" si="15"/>
        <v>#N/A</v>
      </c>
      <c r="Z47" s="297" t="e">
        <f t="shared" si="16"/>
        <v>#N/A</v>
      </c>
      <c r="AA47" s="296" t="e">
        <f t="shared" si="17"/>
        <v>#N/A</v>
      </c>
    </row>
    <row r="48" spans="2:27" ht="14.4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276"/>
      <c r="M48" s="374"/>
      <c r="N48" s="370"/>
      <c r="O48" s="371"/>
      <c r="P48" s="369"/>
      <c r="Q48" s="347"/>
      <c r="S48" s="277">
        <f t="shared" si="9"/>
        <v>0</v>
      </c>
      <c r="T48" s="296" t="e">
        <f t="shared" si="10"/>
        <v>#N/A</v>
      </c>
      <c r="U48" s="296" t="e">
        <f t="shared" si="11"/>
        <v>#N/A</v>
      </c>
      <c r="V48" s="297" t="e">
        <f t="shared" si="12"/>
        <v>#N/A</v>
      </c>
      <c r="W48" s="297" t="e">
        <f t="shared" si="13"/>
        <v>#N/A</v>
      </c>
      <c r="X48" s="297" t="e">
        <f t="shared" si="14"/>
        <v>#N/A</v>
      </c>
      <c r="Y48" s="297" t="e">
        <f t="shared" si="15"/>
        <v>#N/A</v>
      </c>
      <c r="Z48" s="297" t="e">
        <f t="shared" si="16"/>
        <v>#N/A</v>
      </c>
      <c r="AA48" s="296" t="e">
        <f t="shared" si="17"/>
        <v>#N/A</v>
      </c>
    </row>
    <row r="49" spans="1:27" ht="15.75" customHeight="1" thickBot="1">
      <c r="B49" s="358"/>
      <c r="C49" s="358"/>
      <c r="D49" s="358"/>
      <c r="E49" s="358"/>
      <c r="F49" s="294"/>
      <c r="G49" s="294"/>
      <c r="H49" s="348"/>
      <c r="I49" s="500" t="s">
        <v>34</v>
      </c>
      <c r="J49" s="500"/>
      <c r="K49" s="500"/>
      <c r="L49" s="500"/>
      <c r="M49" s="500"/>
      <c r="N49" s="500"/>
      <c r="O49" s="1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thickBot="1">
      <c r="B50" s="388" t="s">
        <v>145</v>
      </c>
      <c r="C50" s="388"/>
      <c r="D50" s="478" t="s">
        <v>35</v>
      </c>
      <c r="E50" s="479"/>
      <c r="F50" s="294"/>
      <c r="G50" s="294"/>
      <c r="H50" s="23"/>
      <c r="I50" s="24" t="s">
        <v>17</v>
      </c>
      <c r="J50" s="25" t="s">
        <v>146</v>
      </c>
      <c r="K50" s="26" t="s">
        <v>138</v>
      </c>
      <c r="L50" s="25" t="s">
        <v>37</v>
      </c>
      <c r="M50" s="25" t="s">
        <v>38</v>
      </c>
      <c r="N50" s="27" t="s">
        <v>39</v>
      </c>
      <c r="O50" s="294"/>
      <c r="P50" s="12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59" t="s">
        <v>166</v>
      </c>
      <c r="C51" s="362" cm="1">
        <f t="array" ref="C51:C54">[28]Process!$D$5:$D$8</f>
        <v>11.7</v>
      </c>
      <c r="D51" s="504">
        <v>11.35</v>
      </c>
      <c r="E51" s="505"/>
      <c r="F51" s="294"/>
      <c r="G51" s="294"/>
      <c r="H51" s="294"/>
      <c r="I51" s="29" t="s">
        <v>6</v>
      </c>
      <c r="J51" s="323">
        <f>AVERAGE(I14:I15)</f>
        <v>93.68175088770866</v>
      </c>
      <c r="K51" s="284">
        <f>COUNTA([22]Brewhouse!$A$173:$A$184)</f>
        <v>12</v>
      </c>
      <c r="L51" s="302">
        <f>AVERAGE([22]Brewhouse!$AU$173:$AU$184)</f>
        <v>93.553441586583304</v>
      </c>
      <c r="M51" s="302">
        <f>AVERAGE([22]Brewhouse!$AU$102:$AU$171,[22]Brewhouse!$AU$173:$AU$184)</f>
        <v>94.426394912411538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5" customHeight="1">
      <c r="A52" s="28"/>
      <c r="B52" s="560"/>
      <c r="C52" s="349">
        <v>11.7</v>
      </c>
      <c r="D52" s="506"/>
      <c r="E52" s="507"/>
      <c r="F52" s="294"/>
      <c r="G52" s="294"/>
      <c r="H52" s="32"/>
      <c r="I52" s="33" t="s">
        <v>9</v>
      </c>
      <c r="J52" s="323">
        <f>AVERAGE(I10:I12)</f>
        <v>96.469478809692376</v>
      </c>
      <c r="K52" s="284">
        <f>COUNTA([24]Brewhouse!$A$66:$A$73)</f>
        <v>8</v>
      </c>
      <c r="L52" s="302">
        <f>AVERAGE([24]Brewhouse!$AS$66:$AS$73)</f>
        <v>95.510976019344795</v>
      </c>
      <c r="M52" s="302">
        <f>AVERAGE([24]Brewhouse!$AS$15:$AS$64,[24]Brewhouse!$AS$66:$AS$73)</f>
        <v>95.999214037683316</v>
      </c>
      <c r="N52" s="30">
        <v>98</v>
      </c>
      <c r="O52" s="11"/>
      <c r="P52" s="31"/>
      <c r="S52" s="277"/>
      <c r="T52" s="296"/>
      <c r="U52" s="296"/>
      <c r="V52" s="297"/>
      <c r="W52" s="297"/>
      <c r="X52" s="297"/>
      <c r="Y52" s="297"/>
      <c r="Z52" s="297"/>
      <c r="AA52" s="296"/>
    </row>
    <row r="53" spans="1:27" ht="14.7" customHeight="1">
      <c r="A53" s="28"/>
      <c r="B53" s="561"/>
      <c r="C53" s="362">
        <v>11.2</v>
      </c>
      <c r="D53" s="504">
        <v>11.23</v>
      </c>
      <c r="E53" s="505"/>
      <c r="F53" s="294"/>
      <c r="G53" s="294"/>
      <c r="H53" s="32"/>
      <c r="I53" s="34" t="s">
        <v>12</v>
      </c>
      <c r="J53" s="280"/>
      <c r="K53" s="284">
        <f>COUNTA([23]Brewhouse!$A$9:$A$14)</f>
        <v>6</v>
      </c>
      <c r="L53" s="302">
        <f>AVERAGE([23]Brewhouse!$AU$9:$AU$14)</f>
        <v>96.577361087083986</v>
      </c>
      <c r="M53" s="302">
        <f>AVERAGE([23]Brewhouse!$AU$4:$AU$7,[23]Brewhouse!$AU$9:$AU$14)</f>
        <v>96.787191796473266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561"/>
      <c r="C54" s="362">
        <v>11.2</v>
      </c>
      <c r="D54" s="506"/>
      <c r="E54" s="507"/>
      <c r="F54" s="294"/>
      <c r="G54" s="294"/>
      <c r="H54" s="32"/>
      <c r="I54" s="22" t="s">
        <v>33</v>
      </c>
      <c r="J54" s="280"/>
      <c r="K54" s="284"/>
      <c r="L54" s="302"/>
      <c r="M54" s="302">
        <f>AVERAGE([25]Brewhouse!$AV$5:$AV$14)</f>
        <v>97.717673301363135</v>
      </c>
      <c r="N54" s="30">
        <v>98</v>
      </c>
      <c r="O54" s="11"/>
      <c r="P54" s="31"/>
      <c r="S54" s="23"/>
      <c r="T54" s="1"/>
      <c r="U54" s="1"/>
      <c r="AA54" s="285"/>
    </row>
    <row r="55" spans="1:27" ht="14.7" customHeight="1">
      <c r="A55" s="28"/>
      <c r="B55" s="560"/>
      <c r="C55" s="362"/>
      <c r="D55" s="504"/>
      <c r="E55" s="505"/>
      <c r="F55" s="294"/>
      <c r="G55" s="294"/>
      <c r="H55" s="32"/>
      <c r="I55" s="35" t="s">
        <v>29</v>
      </c>
      <c r="J55" s="280"/>
      <c r="K55" s="284"/>
      <c r="L55" s="302"/>
      <c r="M55" s="302"/>
      <c r="N55" s="30">
        <v>98</v>
      </c>
      <c r="O55" s="11"/>
      <c r="P55" s="31"/>
      <c r="S55" s="23"/>
    </row>
    <row r="56" spans="1:27" ht="14.7" customHeight="1">
      <c r="A56" s="28"/>
      <c r="B56" s="560"/>
      <c r="C56" s="349"/>
      <c r="D56" s="506"/>
      <c r="E56" s="507"/>
      <c r="F56" s="294"/>
      <c r="G56" s="294"/>
      <c r="H56" s="32"/>
      <c r="I56" s="36" t="s">
        <v>15</v>
      </c>
      <c r="J56" s="323"/>
      <c r="K56" s="284"/>
      <c r="L56" s="302"/>
      <c r="M56" s="302">
        <f>AVERAGE([26]Brewhouse!$AT$4:$AT$11)</f>
        <v>94.812616598822359</v>
      </c>
      <c r="N56" s="30">
        <v>98</v>
      </c>
      <c r="O56" s="11"/>
      <c r="P56" s="31"/>
      <c r="S56" s="23"/>
    </row>
    <row r="57" spans="1:27" ht="14.7" customHeight="1">
      <c r="A57" s="28"/>
      <c r="B57" s="560"/>
      <c r="C57" s="349"/>
      <c r="D57" s="504"/>
      <c r="E57" s="505"/>
      <c r="F57" s="294"/>
      <c r="G57" s="294"/>
      <c r="H57" s="32"/>
      <c r="I57" s="37" t="s">
        <v>16</v>
      </c>
      <c r="J57" s="323"/>
      <c r="K57" s="284"/>
      <c r="L57" s="302"/>
      <c r="M57" s="302">
        <f>AVERAGE([27]Brewhouse!$AY$6:$AY$13)</f>
        <v>93.094805585685208</v>
      </c>
      <c r="N57" s="30">
        <v>98</v>
      </c>
      <c r="O57" s="11"/>
      <c r="P57" s="31" t="s">
        <v>41</v>
      </c>
      <c r="S57" s="23"/>
      <c r="X57" s="275" t="s">
        <v>41</v>
      </c>
    </row>
    <row r="58" spans="1:27" ht="14.7" customHeight="1">
      <c r="A58" s="28"/>
      <c r="B58" s="560"/>
      <c r="C58" s="349"/>
      <c r="D58" s="506"/>
      <c r="E58" s="507"/>
      <c r="F58" s="294"/>
      <c r="G58" s="294"/>
      <c r="H58" s="32"/>
      <c r="I58" s="416" t="s">
        <v>158</v>
      </c>
      <c r="J58" s="326"/>
      <c r="K58" s="284"/>
      <c r="L58" s="305"/>
      <c r="M58" s="305">
        <f>AVERAGE([28]Brewhouse!$AU$5:$AU$8)</f>
        <v>91.006888337619571</v>
      </c>
      <c r="N58" s="30">
        <v>98</v>
      </c>
      <c r="O58" s="11"/>
      <c r="P58" s="31"/>
      <c r="S58" s="23"/>
    </row>
    <row r="59" spans="1:27" ht="14.7" customHeight="1">
      <c r="A59" s="28"/>
      <c r="B59" s="560"/>
      <c r="C59" s="349"/>
      <c r="D59" s="504"/>
      <c r="E59" s="505"/>
      <c r="F59" s="294"/>
      <c r="G59" s="294"/>
      <c r="H59" s="32"/>
      <c r="I59" s="415" t="s">
        <v>157</v>
      </c>
      <c r="J59" s="326"/>
      <c r="K59" s="284"/>
      <c r="L59" s="305"/>
      <c r="M59" s="305"/>
      <c r="N59" s="30"/>
      <c r="O59" s="11"/>
      <c r="P59" s="31"/>
      <c r="S59" s="23"/>
    </row>
    <row r="60" spans="1:27" ht="15" customHeight="1" thickBot="1">
      <c r="A60" s="28"/>
      <c r="B60" s="560"/>
      <c r="C60" s="349"/>
      <c r="D60" s="506"/>
      <c r="E60" s="507"/>
      <c r="F60" s="294"/>
      <c r="G60" s="294"/>
      <c r="H60" s="32"/>
      <c r="I60" s="411" t="s">
        <v>156</v>
      </c>
      <c r="J60" s="327"/>
      <c r="K60" s="412"/>
      <c r="L60" s="413"/>
      <c r="M60" s="413"/>
      <c r="N60" s="414">
        <v>98</v>
      </c>
      <c r="O60" s="11"/>
      <c r="P60" s="31"/>
      <c r="S60" s="23"/>
    </row>
    <row r="61" spans="1:27" ht="15" customHeight="1" thickBot="1">
      <c r="A61" s="28"/>
      <c r="B61" s="560"/>
      <c r="C61" s="349"/>
      <c r="D61" s="504"/>
      <c r="E61" s="505"/>
      <c r="F61" s="294"/>
      <c r="G61" s="294"/>
      <c r="H61" s="32"/>
      <c r="I61" s="1"/>
      <c r="J61" s="39"/>
      <c r="K61" s="409">
        <f>SUM(K51:K60)</f>
        <v>26</v>
      </c>
      <c r="L61" s="410">
        <f>((L51*K51)+(L52*K52)+(L53*K53)+(L54*K54)+(L55*K55)+(K58*L58)+(L56*K56)+(L57*K57)+(L60*K60))/(K61)</f>
        <v>94.853587450625454</v>
      </c>
      <c r="M61" s="410">
        <f>L61</f>
        <v>94.853587450625454</v>
      </c>
      <c r="N61" s="40">
        <v>98</v>
      </c>
      <c r="O61" s="11"/>
      <c r="P61" s="31"/>
      <c r="S61" s="23"/>
    </row>
    <row r="62" spans="1:27" ht="15" thickBot="1">
      <c r="B62" s="562"/>
      <c r="C62" s="350"/>
      <c r="D62" s="506"/>
      <c r="E62" s="507"/>
      <c r="F62" s="294"/>
      <c r="G62" s="42"/>
      <c r="H62" s="41"/>
      <c r="I62" s="42"/>
      <c r="J62" s="42"/>
      <c r="K62" s="351"/>
      <c r="L62" s="348"/>
      <c r="M62" s="348"/>
      <c r="N62" s="11"/>
      <c r="O62" s="294"/>
      <c r="P62" s="12"/>
      <c r="S62" s="23"/>
    </row>
    <row r="63" spans="1:27" ht="15" thickBot="1">
      <c r="B63" s="563" t="str">
        <f>I52</f>
        <v>STAG</v>
      </c>
      <c r="C63" s="362" cm="1">
        <f t="array" ref="C63:C68">[24]Process!$D$37:$D$42</f>
        <v>11.6</v>
      </c>
      <c r="D63" s="517"/>
      <c r="E63" s="518"/>
      <c r="F63" s="43"/>
      <c r="G63" s="41"/>
      <c r="H63" s="41"/>
      <c r="I63" s="42"/>
      <c r="J63" s="520" t="s">
        <v>129</v>
      </c>
      <c r="K63" s="520"/>
      <c r="L63" s="294"/>
      <c r="M63" s="294"/>
      <c r="N63" s="294"/>
      <c r="O63" s="294"/>
      <c r="P63" s="12"/>
      <c r="S63" s="23" t="s">
        <v>41</v>
      </c>
    </row>
    <row r="64" spans="1:27" ht="13.5" customHeight="1" thickBot="1">
      <c r="B64" s="564"/>
      <c r="C64" s="349">
        <v>11.8</v>
      </c>
      <c r="D64" s="519"/>
      <c r="E64" s="507"/>
      <c r="F64" s="43"/>
      <c r="G64" s="41"/>
      <c r="H64" s="41"/>
      <c r="I64" s="42"/>
      <c r="J64" s="419" t="s">
        <v>17</v>
      </c>
      <c r="K64" s="293" t="s">
        <v>147</v>
      </c>
      <c r="L64" s="521" t="s">
        <v>136</v>
      </c>
      <c r="M64" s="521"/>
      <c r="N64" s="522"/>
      <c r="O64" s="294"/>
      <c r="P64" s="12"/>
      <c r="S64" s="23"/>
    </row>
    <row r="65" spans="2:57" ht="15" customHeight="1" thickBot="1">
      <c r="B65" s="564"/>
      <c r="C65" s="349">
        <v>11.9</v>
      </c>
      <c r="D65" s="523"/>
      <c r="E65" s="505"/>
      <c r="F65" s="43"/>
      <c r="G65" s="41"/>
      <c r="H65" s="41"/>
      <c r="I65" s="42"/>
      <c r="J65" s="420" t="s">
        <v>6</v>
      </c>
      <c r="K65" s="324">
        <f>COUNTA(B14:B15)</f>
        <v>2</v>
      </c>
      <c r="L65" s="343" t="s">
        <v>37</v>
      </c>
      <c r="M65" s="307" t="s">
        <v>38</v>
      </c>
      <c r="N65" s="307" t="s">
        <v>84</v>
      </c>
      <c r="O65" s="294"/>
      <c r="P65" s="12"/>
      <c r="S65" s="23"/>
    </row>
    <row r="66" spans="2:57" ht="15.75" customHeight="1" thickBot="1">
      <c r="B66" s="564"/>
      <c r="C66" s="349">
        <v>11.6</v>
      </c>
      <c r="D66" s="519"/>
      <c r="E66" s="507"/>
      <c r="F66" s="43"/>
      <c r="G66" s="41"/>
      <c r="H66" s="41"/>
      <c r="I66" s="42"/>
      <c r="J66" s="421" t="s">
        <v>9</v>
      </c>
      <c r="K66" s="324">
        <f>COUNTA(B10:B12)</f>
        <v>3</v>
      </c>
      <c r="L66" s="344">
        <f>AVERAGE('Feb 3rd'!K79,'Feb 4th'!K77,'Feb 5th'!L68,'Feb 6th'!K75)</f>
        <v>6.25</v>
      </c>
      <c r="M66" s="325">
        <f>AVERAGE('[29]Jan 29th '!$M$70,L66)</f>
        <v>6.375</v>
      </c>
      <c r="N66" s="401"/>
      <c r="O66" s="294"/>
      <c r="P66" s="12"/>
      <c r="S66" s="23"/>
    </row>
    <row r="67" spans="2:57" ht="15" customHeight="1">
      <c r="B67" s="564"/>
      <c r="C67" s="349">
        <v>11.6</v>
      </c>
      <c r="D67" s="523"/>
      <c r="E67" s="505"/>
      <c r="F67" s="43"/>
      <c r="G67" s="41"/>
      <c r="H67" s="41"/>
      <c r="I67" s="42"/>
      <c r="J67" s="422" t="s">
        <v>40</v>
      </c>
      <c r="K67" s="324"/>
      <c r="L67" s="294"/>
      <c r="M67" s="294"/>
      <c r="N67" s="294"/>
      <c r="O67" s="294"/>
      <c r="P67" s="12"/>
      <c r="S67" s="23"/>
    </row>
    <row r="68" spans="2:57" ht="15" customHeight="1">
      <c r="B68" s="564"/>
      <c r="C68" s="349">
        <v>11.6</v>
      </c>
      <c r="D68" s="519"/>
      <c r="E68" s="507"/>
      <c r="F68" s="43"/>
      <c r="G68" s="41"/>
      <c r="H68" s="41"/>
      <c r="I68" s="42"/>
      <c r="J68" s="423" t="s">
        <v>33</v>
      </c>
      <c r="K68" s="324"/>
      <c r="L68" s="294"/>
      <c r="M68" s="294"/>
      <c r="N68" s="294"/>
      <c r="O68" s="294"/>
      <c r="P68" s="12"/>
      <c r="S68" s="23"/>
    </row>
    <row r="69" spans="2:57" ht="14.4">
      <c r="B69" s="564"/>
      <c r="C69" s="349"/>
      <c r="D69" s="523"/>
      <c r="E69" s="505"/>
      <c r="F69" s="43"/>
      <c r="G69" s="41"/>
      <c r="H69" s="41"/>
      <c r="I69" s="42"/>
      <c r="J69" s="424" t="s">
        <v>16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7" ht="14.4">
      <c r="B70" s="564"/>
      <c r="C70" s="349"/>
      <c r="D70" s="519"/>
      <c r="E70" s="507"/>
      <c r="F70" s="43"/>
      <c r="G70" s="41"/>
      <c r="H70" s="41"/>
      <c r="I70" s="42"/>
      <c r="J70" s="425" t="s">
        <v>15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7" ht="14.4">
      <c r="B71" s="564"/>
      <c r="C71" s="349"/>
      <c r="D71" s="524"/>
      <c r="E71" s="509"/>
      <c r="F71" s="43"/>
      <c r="G71" s="41"/>
      <c r="H71" s="41"/>
      <c r="I71" s="42"/>
      <c r="J71" s="425" t="s">
        <v>149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7" ht="15" thickBot="1">
      <c r="B72" s="565"/>
      <c r="C72" s="350"/>
      <c r="D72" s="525"/>
      <c r="E72" s="526"/>
      <c r="F72" s="43"/>
      <c r="G72" s="41"/>
      <c r="H72" s="41"/>
      <c r="I72" s="42"/>
      <c r="J72" s="425" t="s">
        <v>148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7" ht="17.7" customHeight="1" thickBot="1">
      <c r="B73" s="312" t="s">
        <v>139</v>
      </c>
      <c r="C73" s="313"/>
      <c r="D73" s="527">
        <f>AVERAGE(D51:E72)</f>
        <v>11.29</v>
      </c>
      <c r="E73" s="528"/>
      <c r="F73" s="43"/>
      <c r="G73" s="41"/>
      <c r="H73" s="41"/>
      <c r="I73" s="42"/>
      <c r="J73" s="426" t="s">
        <v>134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7" ht="17.7" customHeight="1">
      <c r="B74" s="363"/>
      <c r="C74" s="364"/>
      <c r="D74" s="365"/>
      <c r="E74" s="365"/>
      <c r="F74" s="43"/>
      <c r="G74" s="41"/>
      <c r="H74" s="41"/>
      <c r="I74" s="42"/>
      <c r="J74" s="426" t="s">
        <v>131</v>
      </c>
      <c r="K74" s="324"/>
      <c r="L74" s="294"/>
      <c r="M74" s="294"/>
      <c r="N74" s="294"/>
      <c r="O74" s="294"/>
      <c r="P74" s="12"/>
      <c r="S74" s="23"/>
      <c r="BD74" s="44"/>
      <c r="BE74" s="44"/>
    </row>
    <row r="75" spans="2:57" ht="15.75" customHeight="1">
      <c r="B75" s="45"/>
      <c r="C75" s="11"/>
      <c r="D75" s="11"/>
      <c r="E75" s="46"/>
      <c r="F75" s="23"/>
      <c r="G75" s="11"/>
      <c r="H75" s="41"/>
      <c r="I75" s="42"/>
      <c r="J75" s="427" t="s">
        <v>130</v>
      </c>
      <c r="K75" s="324">
        <f>SUM(K65:K74)</f>
        <v>5</v>
      </c>
      <c r="L75" s="294"/>
      <c r="M75" s="294"/>
      <c r="N75" s="294"/>
      <c r="O75" s="294"/>
      <c r="P75" s="12"/>
    </row>
    <row r="76" spans="2:57" ht="20.25" customHeight="1">
      <c r="B76" s="15" t="s">
        <v>42</v>
      </c>
      <c r="C76" s="1" t="s">
        <v>43</v>
      </c>
      <c r="D76" s="1"/>
      <c r="E76" s="1"/>
      <c r="I76" s="42"/>
      <c r="L76" s="294"/>
      <c r="P76" s="334"/>
    </row>
    <row r="77" spans="2:57" ht="15" customHeight="1" thickBot="1"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8"/>
      <c r="O77" s="48"/>
      <c r="P77" s="49"/>
      <c r="X77" s="275" t="s">
        <v>41</v>
      </c>
    </row>
    <row r="78" spans="2:57" ht="15" customHeight="1" thickBot="1">
      <c r="B78" s="529" t="s">
        <v>17</v>
      </c>
      <c r="C78" s="529" t="s">
        <v>44</v>
      </c>
      <c r="D78" s="531" t="s">
        <v>45</v>
      </c>
      <c r="E78" s="486" t="s">
        <v>46</v>
      </c>
      <c r="F78" s="546" t="s">
        <v>47</v>
      </c>
      <c r="G78" s="540" t="s">
        <v>48</v>
      </c>
      <c r="H78" s="529" t="s">
        <v>49</v>
      </c>
      <c r="I78" s="529" t="s">
        <v>50</v>
      </c>
      <c r="J78" s="534" t="s">
        <v>28</v>
      </c>
      <c r="K78" s="484" t="s">
        <v>51</v>
      </c>
      <c r="L78" s="496" t="s">
        <v>52</v>
      </c>
      <c r="M78" s="534" t="s">
        <v>53</v>
      </c>
      <c r="N78" s="77"/>
      <c r="O78" s="13"/>
      <c r="P78" s="50"/>
    </row>
    <row r="79" spans="2:57" ht="28.5" customHeight="1" thickTop="1" thickBot="1">
      <c r="B79" s="530"/>
      <c r="C79" s="530"/>
      <c r="D79" s="532"/>
      <c r="E79" s="533"/>
      <c r="F79" s="547"/>
      <c r="G79" s="541"/>
      <c r="H79" s="530"/>
      <c r="I79" s="530"/>
      <c r="J79" s="535"/>
      <c r="K79" s="544"/>
      <c r="L79" s="545"/>
      <c r="M79" s="535"/>
      <c r="N79" s="77"/>
      <c r="O79" s="13"/>
      <c r="P79" s="50"/>
      <c r="Q79" s="355"/>
      <c r="R79" s="355"/>
      <c r="S79" s="355"/>
      <c r="T79" s="355"/>
      <c r="U79" s="51">
        <v>43466</v>
      </c>
      <c r="V79" s="51">
        <v>43467</v>
      </c>
      <c r="W79" s="51">
        <v>43468</v>
      </c>
      <c r="X79" s="51">
        <v>43469</v>
      </c>
      <c r="Y79" s="51">
        <v>43470</v>
      </c>
      <c r="Z79" s="51">
        <v>43471</v>
      </c>
      <c r="AA79" s="51">
        <v>43472</v>
      </c>
      <c r="AB79" s="51">
        <v>43473</v>
      </c>
      <c r="AC79" s="51">
        <v>43474</v>
      </c>
      <c r="AD79" s="51">
        <v>43475</v>
      </c>
      <c r="AE79" s="51">
        <v>43476</v>
      </c>
      <c r="AF79" s="51">
        <v>43477</v>
      </c>
      <c r="AG79" s="51">
        <v>43478</v>
      </c>
      <c r="AH79" s="51">
        <v>43479</v>
      </c>
      <c r="AI79" s="51">
        <v>43480</v>
      </c>
      <c r="AJ79" s="51">
        <v>43481</v>
      </c>
      <c r="AK79" s="51">
        <v>43482</v>
      </c>
      <c r="AL79" s="51">
        <v>43483</v>
      </c>
      <c r="AM79" s="51">
        <v>43484</v>
      </c>
      <c r="AN79" s="51">
        <v>43485</v>
      </c>
      <c r="AO79" s="51">
        <v>43486</v>
      </c>
      <c r="AP79" s="51">
        <v>43487</v>
      </c>
      <c r="AQ79" s="51">
        <v>43488</v>
      </c>
      <c r="AR79" s="51">
        <v>43489</v>
      </c>
      <c r="AS79" s="51">
        <v>43490</v>
      </c>
      <c r="AT79" s="51">
        <v>43491</v>
      </c>
      <c r="AU79" s="51">
        <v>43492</v>
      </c>
      <c r="AV79" s="51">
        <v>43493</v>
      </c>
      <c r="AW79" s="51">
        <v>43494</v>
      </c>
      <c r="AX79" s="51">
        <v>43495</v>
      </c>
      <c r="AY79" s="51">
        <v>43496</v>
      </c>
    </row>
    <row r="80" spans="2:57" s="54" customFormat="1" ht="56.4" customHeight="1" thickBot="1">
      <c r="B80" s="428" t="str">
        <f>I58</f>
        <v>HR- Pils</v>
      </c>
      <c r="C80" s="283">
        <v>45694</v>
      </c>
      <c r="D80" s="377">
        <f>[30]February_2025!$I$86</f>
        <v>202.89999999999998</v>
      </c>
      <c r="E80" s="378"/>
      <c r="F80" s="379">
        <f>SUM('[31]HR Pilsener'!$L$6:$L$9)</f>
        <v>201.4</v>
      </c>
      <c r="G80" s="303">
        <f>[30]February_2025!$I$90</f>
        <v>193</v>
      </c>
      <c r="H80" s="400">
        <f>(D80-F80)/D80*100</f>
        <v>0.73928043371117391</v>
      </c>
      <c r="I80" s="400">
        <f>((F80+E80)-G80)/(F80+E80)*100</f>
        <v>4.1708043694141033</v>
      </c>
      <c r="J80" s="390" t="s">
        <v>162</v>
      </c>
      <c r="K80" s="380">
        <f>[32]February_2025!$I$74</f>
        <v>0.33859649122807017</v>
      </c>
      <c r="L80" s="314">
        <f>(((D80+E80)-G80)/(D80+E80))*100</f>
        <v>4.8792508624938291</v>
      </c>
      <c r="M80" s="357" t="s">
        <v>164</v>
      </c>
      <c r="N80" s="13"/>
      <c r="O80" s="13"/>
      <c r="P80" s="50"/>
      <c r="T80" s="272" t="s">
        <v>54</v>
      </c>
      <c r="U80" s="279"/>
      <c r="V80" s="279"/>
      <c r="W80" s="279"/>
      <c r="X80" s="279"/>
      <c r="Y80" s="279"/>
      <c r="Z80" s="279"/>
      <c r="AA80" s="279"/>
      <c r="AB80" s="279"/>
      <c r="AC80" s="279"/>
      <c r="AD80" s="279"/>
      <c r="AE80" s="279"/>
      <c r="AF80" s="279"/>
      <c r="AG80" s="279"/>
      <c r="AH80" s="279"/>
      <c r="AI80" s="279"/>
      <c r="AJ80" s="279"/>
      <c r="AK80" s="279"/>
      <c r="AL80" s="279"/>
      <c r="AM80" s="279"/>
      <c r="AN80" s="279"/>
      <c r="AO80" s="279"/>
      <c r="AP80" s="279"/>
      <c r="AQ80" s="279"/>
      <c r="AR80" s="279"/>
      <c r="AS80" s="279"/>
      <c r="AT80" s="279"/>
      <c r="AU80" s="279"/>
      <c r="AV80" s="279"/>
      <c r="AW80" s="279"/>
      <c r="AX80" s="279"/>
    </row>
    <row r="81" spans="2:58" s="54" customFormat="1" ht="18.75" customHeight="1" thickBot="1">
      <c r="B81" s="387"/>
      <c r="C81" s="283"/>
      <c r="D81" s="279"/>
      <c r="E81" s="279"/>
      <c r="F81" s="279"/>
      <c r="G81" s="279"/>
      <c r="H81" s="320"/>
      <c r="I81" s="322"/>
      <c r="J81" s="389"/>
      <c r="K81" s="437"/>
      <c r="L81" s="314"/>
      <c r="M81" s="384"/>
      <c r="N81" s="13"/>
      <c r="O81" s="13"/>
      <c r="P81" s="50"/>
      <c r="T81" s="272" t="s">
        <v>51</v>
      </c>
      <c r="U81" s="57" t="e">
        <f>[20]January_2019!D8</f>
        <v>#DIV/0!</v>
      </c>
      <c r="V81" s="57">
        <f>[20]January_2019!E8</f>
        <v>1.0319298245614037</v>
      </c>
      <c r="W81" s="57">
        <f>[20]January_2019!F8</f>
        <v>1.7789473684210526</v>
      </c>
      <c r="X81" s="57">
        <f>[20]January_2019!G8</f>
        <v>0.51929824561403504</v>
      </c>
      <c r="Y81" s="57" t="e">
        <f>[20]January_2019!H8</f>
        <v>#DIV/0!</v>
      </c>
      <c r="Z81" s="57" t="e">
        <f>[20]January_2019!I8</f>
        <v>#DIV/0!</v>
      </c>
      <c r="AA81" s="57">
        <f>[20]January_2019!J8</f>
        <v>1.365263157894737</v>
      </c>
      <c r="AB81" s="57" t="e">
        <f>[20]January_2019!K8</f>
        <v>#DIV/0!</v>
      </c>
      <c r="AC81" s="57">
        <f>[20]January_2019!L8</f>
        <v>1.0028070175438597</v>
      </c>
      <c r="AD81" s="57">
        <f>[20]January_2019!M8</f>
        <v>1.7828070175438597</v>
      </c>
      <c r="AE81" s="57" t="e">
        <f>[20]January_2019!N8</f>
        <v>#DIV/0!</v>
      </c>
      <c r="AF81" s="57" t="e">
        <f>[20]January_2019!O8</f>
        <v>#DIV/0!</v>
      </c>
      <c r="AG81" s="57">
        <f>[20]January_2019!P8</f>
        <v>0.19222222222222221</v>
      </c>
      <c r="AH81" s="57">
        <f>[20]January_2019!Q8</f>
        <v>0.52219298245614032</v>
      </c>
      <c r="AI81" s="57">
        <f>[20]January_2019!R8</f>
        <v>0.42912280701754385</v>
      </c>
      <c r="AJ81" s="57" t="e">
        <f>[20]January_2019!S8</f>
        <v>#DIV/0!</v>
      </c>
      <c r="AK81" s="57">
        <f>[20]January_2019!T8</f>
        <v>1.0340350877192983</v>
      </c>
      <c r="AL81" s="57">
        <f>[20]January_2019!U8</f>
        <v>0.98421052631578942</v>
      </c>
      <c r="AM81" s="57" t="e">
        <f>[20]January_2019!V8</f>
        <v>#DIV/0!</v>
      </c>
      <c r="AN81" s="57" t="e">
        <f>[20]January_2019!W8</f>
        <v>#DIV/0!</v>
      </c>
      <c r="AO81" s="57">
        <f>[20]January_2019!X8</f>
        <v>0.66052631578947374</v>
      </c>
      <c r="AP81" s="57">
        <f>[20]January_2019!Y8</f>
        <v>1.0375438596491227</v>
      </c>
      <c r="AQ81" s="57">
        <f>[20]January_2019!Z8</f>
        <v>0.90456140350877201</v>
      </c>
      <c r="AR81" s="57">
        <f>[20]January_2019!AA8</f>
        <v>1.0217543859649123</v>
      </c>
      <c r="AS81" s="57">
        <f>[20]January_2019!AB8</f>
        <v>0.65614035087719302</v>
      </c>
      <c r="AT81" s="57" t="e">
        <f>[20]January_2019!AC8</f>
        <v>#DIV/0!</v>
      </c>
      <c r="AU81" s="57" t="e">
        <f>[20]January_2019!AD8</f>
        <v>#DIV/0!</v>
      </c>
      <c r="AV81" s="57">
        <f>[20]January_2019!AE8</f>
        <v>1.7021052631578948</v>
      </c>
      <c r="AW81" s="57">
        <f>[20]January_2019!AF8</f>
        <v>0.60192982456140354</v>
      </c>
      <c r="AX81" s="57">
        <f>[20]January_2019!AG8</f>
        <v>1.4870175438596491</v>
      </c>
      <c r="AY81" s="277" t="e">
        <f>[20]January_2019!AH8</f>
        <v>#DIV/0!</v>
      </c>
      <c r="AZ81" s="277"/>
      <c r="BA81" s="277"/>
      <c r="BB81" s="277"/>
      <c r="BC81" s="277"/>
      <c r="BD81" s="277"/>
      <c r="BE81" s="277"/>
      <c r="BF81" s="277"/>
    </row>
    <row r="82" spans="2:58" s="54" customFormat="1" ht="42" customHeight="1" thickBot="1">
      <c r="B82" s="430" t="str">
        <f>J66</f>
        <v>STAG</v>
      </c>
      <c r="C82" s="283">
        <v>45694</v>
      </c>
      <c r="D82" s="279">
        <f>[30]February_2025!$I$13</f>
        <v>301.8</v>
      </c>
      <c r="E82" s="279"/>
      <c r="F82" s="279">
        <f>SUM([31]STAG!$L$14:$L$19)</f>
        <v>296.22000000000003</v>
      </c>
      <c r="G82" s="279">
        <f>[30]February_2025!$I$17</f>
        <v>285</v>
      </c>
      <c r="H82" s="400">
        <f>(D82-F82)/D82*100</f>
        <v>1.8489065606361776</v>
      </c>
      <c r="I82" s="400">
        <f>((F82+E82)-G82)/(F82+E82)*100</f>
        <v>3.7877253392748722</v>
      </c>
      <c r="J82" s="390" t="s">
        <v>163</v>
      </c>
      <c r="K82" s="437">
        <f>[32]February_2025!$I$25</f>
        <v>0.47499999999999998</v>
      </c>
      <c r="L82" s="314">
        <f>(((D82+E82)-G82)/(D82+E82))*100</f>
        <v>5.5666003976143177</v>
      </c>
      <c r="M82" s="281" t="s">
        <v>168</v>
      </c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14.4" hidden="1" thickBot="1">
      <c r="B83" s="361"/>
      <c r="C83" s="283"/>
      <c r="D83" s="304"/>
      <c r="E83" s="279"/>
      <c r="F83" s="279"/>
      <c r="G83" s="279"/>
      <c r="H83" s="381"/>
      <c r="I83" s="381"/>
      <c r="J83" s="389"/>
      <c r="K83" s="437"/>
      <c r="L83" s="314"/>
      <c r="M83" s="339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 thickBot="1">
      <c r="B84" s="431"/>
      <c r="C84" s="283"/>
      <c r="D84" s="279"/>
      <c r="E84" s="279"/>
      <c r="F84" s="279"/>
      <c r="G84" s="279"/>
      <c r="H84" s="320"/>
      <c r="I84" s="322"/>
      <c r="J84" s="438"/>
      <c r="K84" s="286"/>
      <c r="L84" s="314"/>
      <c r="M84" s="281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s="54" customFormat="1" ht="9" hidden="1" customHeight="1">
      <c r="B85" s="387"/>
      <c r="C85" s="283"/>
      <c r="D85" s="279"/>
      <c r="E85" s="279"/>
      <c r="F85" s="279"/>
      <c r="G85" s="279"/>
      <c r="H85" s="320"/>
      <c r="I85" s="322"/>
      <c r="J85" s="281"/>
      <c r="K85" s="286"/>
      <c r="L85" s="314"/>
      <c r="M85" s="339"/>
      <c r="N85" s="13"/>
      <c r="O85" s="13"/>
      <c r="P85" s="50"/>
      <c r="T85" s="272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277"/>
      <c r="AZ85" s="277"/>
      <c r="BA85" s="277"/>
      <c r="BB85" s="277"/>
      <c r="BC85" s="277"/>
      <c r="BD85" s="277"/>
      <c r="BE85" s="277"/>
      <c r="BF85" s="277"/>
    </row>
    <row r="86" spans="2:58" ht="11.4" customHeight="1" thickBot="1">
      <c r="B86" s="33"/>
      <c r="C86" s="310"/>
      <c r="D86" s="279"/>
      <c r="E86" s="279"/>
      <c r="F86" s="279"/>
      <c r="G86" s="279"/>
      <c r="H86" s="352"/>
      <c r="I86" s="353"/>
      <c r="J86" s="281"/>
      <c r="K86" s="52"/>
      <c r="L86" s="53"/>
      <c r="M86" s="55"/>
      <c r="N86" s="77"/>
      <c r="O86" s="13"/>
      <c r="P86" s="56"/>
    </row>
    <row r="87" spans="2:58" ht="14.4" thickBot="1">
      <c r="B87" s="58"/>
      <c r="C87" s="309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9"/>
      <c r="O87" s="56"/>
      <c r="P87" s="60"/>
    </row>
    <row r="88" spans="2:58" ht="14.4" thickBot="1">
      <c r="B88" s="536" t="s">
        <v>55</v>
      </c>
      <c r="C88" s="537"/>
      <c r="D88" s="537"/>
      <c r="E88" s="537"/>
      <c r="F88" s="538"/>
      <c r="G88" s="536" t="s">
        <v>56</v>
      </c>
      <c r="H88" s="537"/>
      <c r="I88" s="537"/>
      <c r="J88" s="538"/>
      <c r="K88" s="536" t="s">
        <v>51</v>
      </c>
      <c r="L88" s="537"/>
      <c r="M88" s="537"/>
      <c r="N88" s="539"/>
      <c r="O88" s="56"/>
      <c r="P88" s="50"/>
    </row>
    <row r="89" spans="2:58">
      <c r="B89" s="61" t="s">
        <v>17</v>
      </c>
      <c r="C89" s="62" t="s">
        <v>36</v>
      </c>
      <c r="D89" s="62" t="s">
        <v>37</v>
      </c>
      <c r="E89" s="62" t="s">
        <v>38</v>
      </c>
      <c r="F89" s="63" t="s">
        <v>39</v>
      </c>
      <c r="G89" s="62" t="s">
        <v>36</v>
      </c>
      <c r="H89" s="62" t="s">
        <v>37</v>
      </c>
      <c r="I89" s="62" t="s">
        <v>38</v>
      </c>
      <c r="J89" s="63" t="s">
        <v>39</v>
      </c>
      <c r="K89" s="62" t="s">
        <v>36</v>
      </c>
      <c r="L89" s="62" t="s">
        <v>37</v>
      </c>
      <c r="M89" s="62" t="s">
        <v>38</v>
      </c>
      <c r="N89" s="63" t="s">
        <v>39</v>
      </c>
      <c r="O89" s="56"/>
      <c r="P89" s="64"/>
    </row>
    <row r="90" spans="2:58">
      <c r="B90" s="29" t="s">
        <v>6</v>
      </c>
      <c r="C90" s="65"/>
      <c r="D90" s="76">
        <v>5.9820538384845454</v>
      </c>
      <c r="E90" s="76">
        <v>7.077661414065485</v>
      </c>
      <c r="F90" s="66">
        <v>4.8</v>
      </c>
      <c r="G90" s="65"/>
      <c r="H90" s="76">
        <v>6.2849989668012016</v>
      </c>
      <c r="I90" s="76">
        <v>8.4947288321091907</v>
      </c>
      <c r="J90" s="66">
        <v>4.8</v>
      </c>
      <c r="K90" s="67"/>
      <c r="L90" s="194">
        <v>0.60660818713450293</v>
      </c>
      <c r="M90" s="194">
        <v>0.90358395989974949</v>
      </c>
      <c r="N90" s="68">
        <v>1</v>
      </c>
      <c r="O90" s="56"/>
      <c r="P90" s="69"/>
    </row>
    <row r="91" spans="2:58">
      <c r="B91" s="33" t="s">
        <v>9</v>
      </c>
      <c r="C91" s="65">
        <f>L82</f>
        <v>5.5666003976143177</v>
      </c>
      <c r="D91" s="76">
        <v>5.3696054693063564</v>
      </c>
      <c r="E91" s="76">
        <v>6.9555954606819084</v>
      </c>
      <c r="F91" s="66">
        <v>4.8</v>
      </c>
      <c r="G91" s="65">
        <f>[30]February_2025!$I$21</f>
        <v>5.5666003976143177</v>
      </c>
      <c r="H91" s="76">
        <v>5.5888302044027611</v>
      </c>
      <c r="I91" s="76">
        <v>8.9645803447155412</v>
      </c>
      <c r="J91" s="66">
        <v>4.8</v>
      </c>
      <c r="K91" s="67">
        <f>K82</f>
        <v>0.47499999999999998</v>
      </c>
      <c r="L91" s="194">
        <v>0.74557142857142855</v>
      </c>
      <c r="M91" s="194">
        <v>0.88543478260869557</v>
      </c>
      <c r="N91" s="68">
        <v>1</v>
      </c>
      <c r="P91" s="69"/>
    </row>
    <row r="92" spans="2:58">
      <c r="B92" s="34" t="s">
        <v>40</v>
      </c>
      <c r="C92" s="65"/>
      <c r="D92" s="76">
        <v>18.972697825080981</v>
      </c>
      <c r="E92" s="76">
        <v>10.24291753422928</v>
      </c>
      <c r="F92" s="66">
        <v>5.5</v>
      </c>
      <c r="G92" s="65"/>
      <c r="H92" s="76">
        <v>22.634564468930474</v>
      </c>
      <c r="I92" s="76">
        <v>11.093375079119694</v>
      </c>
      <c r="J92" s="66">
        <v>5.5</v>
      </c>
      <c r="K92" s="67"/>
      <c r="L92" s="194">
        <v>0.37087719298245614</v>
      </c>
      <c r="M92" s="194">
        <v>0.70508771929824554</v>
      </c>
      <c r="N92" s="68">
        <v>1</v>
      </c>
      <c r="P92" s="69"/>
    </row>
    <row r="93" spans="2:58">
      <c r="B93" s="22" t="s">
        <v>33</v>
      </c>
      <c r="C93" s="65"/>
      <c r="D93" s="76"/>
      <c r="E93" s="76">
        <v>3.4056869935468166</v>
      </c>
      <c r="F93" s="66">
        <v>3.3</v>
      </c>
      <c r="G93" s="65"/>
      <c r="H93" s="76"/>
      <c r="I93" s="76">
        <v>6.6434583413343296</v>
      </c>
      <c r="J93" s="66">
        <v>3.3</v>
      </c>
      <c r="K93" s="67"/>
      <c r="L93" s="194"/>
      <c r="M93" s="194">
        <v>0.83350877192982453</v>
      </c>
      <c r="N93" s="68">
        <v>1</v>
      </c>
      <c r="P93" s="69"/>
    </row>
    <row r="94" spans="2:58">
      <c r="B94" s="35" t="s">
        <v>29</v>
      </c>
      <c r="C94" s="65"/>
      <c r="D94" s="76"/>
      <c r="E94" s="76">
        <v>8.8295687885010352</v>
      </c>
      <c r="F94" s="66">
        <v>3.3</v>
      </c>
      <c r="G94" s="282"/>
      <c r="H94" s="76"/>
      <c r="I94" s="76"/>
      <c r="J94" s="66">
        <v>3</v>
      </c>
      <c r="K94" s="67"/>
      <c r="L94" s="194"/>
      <c r="M94" s="194"/>
      <c r="N94" s="68">
        <v>1</v>
      </c>
      <c r="P94" s="69"/>
    </row>
    <row r="95" spans="2:58">
      <c r="B95" s="36" t="s">
        <v>15</v>
      </c>
      <c r="C95" s="282"/>
      <c r="D95" s="76"/>
      <c r="E95" s="76">
        <v>9.9698850155137997</v>
      </c>
      <c r="F95" s="70">
        <f>[21]May_2022!$M$43</f>
        <v>3.4878406700073312</v>
      </c>
      <c r="G95" s="282"/>
      <c r="H95" s="76"/>
      <c r="I95" s="76">
        <v>10.607235567685406</v>
      </c>
      <c r="J95" s="70">
        <v>5.5</v>
      </c>
      <c r="K95" s="67"/>
      <c r="L95" s="194"/>
      <c r="M95" s="194">
        <v>0.66824561403508764</v>
      </c>
      <c r="N95" s="68">
        <v>1</v>
      </c>
      <c r="P95" s="69"/>
    </row>
    <row r="96" spans="2:58">
      <c r="B96" s="37" t="s">
        <v>16</v>
      </c>
      <c r="C96" s="65"/>
      <c r="D96" s="76"/>
      <c r="E96" s="76">
        <v>4.8517239584237002</v>
      </c>
      <c r="F96" s="66">
        <v>3.3</v>
      </c>
      <c r="G96" s="282"/>
      <c r="H96" s="76"/>
      <c r="I96" s="76">
        <v>4.0624079285034069</v>
      </c>
      <c r="J96" s="70">
        <v>3.3</v>
      </c>
      <c r="K96" s="67"/>
      <c r="L96" s="194"/>
      <c r="M96" s="194">
        <v>0.69842105263157894</v>
      </c>
      <c r="N96" s="71">
        <v>1</v>
      </c>
      <c r="P96" s="69"/>
    </row>
    <row r="97" spans="2:30" ht="14.4" thickBot="1">
      <c r="B97" s="38" t="s">
        <v>127</v>
      </c>
      <c r="C97" s="65"/>
      <c r="D97" s="76"/>
      <c r="E97" s="76">
        <v>14.011127971674247</v>
      </c>
      <c r="F97" s="70">
        <v>7.5</v>
      </c>
      <c r="G97" s="282"/>
      <c r="H97" s="76"/>
      <c r="I97" s="76"/>
      <c r="J97" s="72">
        <v>7.5</v>
      </c>
      <c r="K97" s="67"/>
      <c r="L97" s="194"/>
      <c r="M97" s="194"/>
      <c r="N97" s="71">
        <v>1</v>
      </c>
      <c r="P97" s="69"/>
    </row>
    <row r="98" spans="2:30" ht="14.4" thickBot="1">
      <c r="B98" s="435" t="s">
        <v>134</v>
      </c>
      <c r="C98" s="434">
        <f>L80</f>
        <v>4.8792508624938291</v>
      </c>
      <c r="D98" s="76">
        <v>4.8792508624938291</v>
      </c>
      <c r="E98" s="76">
        <v>7.1580509522631619</v>
      </c>
      <c r="F98" s="66">
        <v>5.5</v>
      </c>
      <c r="G98" s="282">
        <f>[30]February_2025!$I$94</f>
        <v>6.2003723782925313</v>
      </c>
      <c r="H98" s="76">
        <v>6.3108340434930872</v>
      </c>
      <c r="I98" s="76">
        <v>6.3108340434930872</v>
      </c>
      <c r="J98" s="433">
        <v>5.5</v>
      </c>
      <c r="K98" s="67">
        <f>K80</f>
        <v>0.33859649122807017</v>
      </c>
      <c r="L98" s="194">
        <v>1</v>
      </c>
      <c r="M98" s="194">
        <v>0.67719298245614035</v>
      </c>
      <c r="N98" s="71">
        <v>1</v>
      </c>
      <c r="P98" s="69"/>
    </row>
    <row r="99" spans="2:30">
      <c r="C99" s="282"/>
      <c r="D99" s="76">
        <v>7.1580509522631619</v>
      </c>
      <c r="E99" s="76">
        <v>6.9847858015317481</v>
      </c>
      <c r="F99" s="341">
        <v>4.5</v>
      </c>
      <c r="G99" s="282"/>
      <c r="H99" s="76">
        <v>10.333913360193804</v>
      </c>
      <c r="I99" s="76">
        <v>8.7540282756179959</v>
      </c>
      <c r="J99" s="342">
        <v>4.5</v>
      </c>
      <c r="K99" s="67"/>
      <c r="L99" s="194">
        <v>0.64614173228346461</v>
      </c>
      <c r="M99" s="194">
        <v>0.64614173228346461</v>
      </c>
      <c r="N99" s="386">
        <v>1</v>
      </c>
      <c r="O99" s="74"/>
      <c r="P99" s="75"/>
    </row>
    <row r="104" spans="2:30">
      <c r="F104" s="315"/>
    </row>
    <row r="112" spans="2:30">
      <c r="AD112" s="275" t="s">
        <v>57</v>
      </c>
    </row>
  </sheetData>
  <mergeCells count="52">
    <mergeCell ref="M78:M79"/>
    <mergeCell ref="B88:F88"/>
    <mergeCell ref="G88:J88"/>
    <mergeCell ref="K88:N88"/>
    <mergeCell ref="G78:G79"/>
    <mergeCell ref="H78:H79"/>
    <mergeCell ref="I78:I79"/>
    <mergeCell ref="J78:J79"/>
    <mergeCell ref="K78:K79"/>
    <mergeCell ref="L78:L79"/>
    <mergeCell ref="F78:F79"/>
    <mergeCell ref="D73:E73"/>
    <mergeCell ref="B78:B79"/>
    <mergeCell ref="C78:C79"/>
    <mergeCell ref="D78:D79"/>
    <mergeCell ref="E78:E79"/>
    <mergeCell ref="B63:B72"/>
    <mergeCell ref="D63:E64"/>
    <mergeCell ref="J63:K63"/>
    <mergeCell ref="L64:N64"/>
    <mergeCell ref="D65:E66"/>
    <mergeCell ref="D67:E68"/>
    <mergeCell ref="D69:E70"/>
    <mergeCell ref="D71:E72"/>
    <mergeCell ref="D53:E54"/>
    <mergeCell ref="B51:B62"/>
    <mergeCell ref="D55:E56"/>
    <mergeCell ref="D57:E58"/>
    <mergeCell ref="D59:E60"/>
    <mergeCell ref="D61:E62"/>
    <mergeCell ref="C4:D4"/>
    <mergeCell ref="M4:N4"/>
    <mergeCell ref="I49:N49"/>
    <mergeCell ref="D50:E50"/>
    <mergeCell ref="D51:E5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3:B74">
    <cfRule type="cellIs" dxfId="2844" priority="160" operator="notBetween">
      <formula>#REF!</formula>
      <formula>#REF!</formula>
    </cfRule>
  </conditionalFormatting>
  <conditionalFormatting sqref="C77">
    <cfRule type="cellIs" dxfId="2843" priority="192" stopIfTrue="1" operator="greaterThan">
      <formula>100</formula>
    </cfRule>
    <cfRule type="cellIs" dxfId="2842" priority="191" stopIfTrue="1" operator="lessThan">
      <formula>96</formula>
    </cfRule>
  </conditionalFormatting>
  <conditionalFormatting sqref="C90">
    <cfRule type="cellIs" dxfId="2841" priority="81" stopIfTrue="1" operator="greaterThan">
      <formula>$F90</formula>
    </cfRule>
  </conditionalFormatting>
  <conditionalFormatting sqref="C90:C91">
    <cfRule type="cellIs" dxfId="2840" priority="82" stopIfTrue="1" operator="lessThanOrEqual">
      <formula>0</formula>
    </cfRule>
  </conditionalFormatting>
  <conditionalFormatting sqref="C91">
    <cfRule type="cellIs" dxfId="2839" priority="195" stopIfTrue="1" operator="greaterThan">
      <formula>$F90</formula>
    </cfRule>
  </conditionalFormatting>
  <conditionalFormatting sqref="C92:C94">
    <cfRule type="cellIs" dxfId="2838" priority="110" stopIfTrue="1" operator="greaterThan">
      <formula>$F92</formula>
    </cfRule>
  </conditionalFormatting>
  <conditionalFormatting sqref="C92:C95">
    <cfRule type="cellIs" dxfId="2837" priority="133" stopIfTrue="1" operator="lessThanOrEqual">
      <formula>0</formula>
    </cfRule>
  </conditionalFormatting>
  <conditionalFormatting sqref="C95">
    <cfRule type="cellIs" dxfId="2836" priority="132" stopIfTrue="1" operator="greaterThan">
      <formula>$J95</formula>
    </cfRule>
  </conditionalFormatting>
  <conditionalFormatting sqref="C99">
    <cfRule type="cellIs" dxfId="2835" priority="27" stopIfTrue="1" operator="greaterThan">
      <formula>$J99</formula>
    </cfRule>
    <cfRule type="cellIs" dxfId="2834" priority="28" stopIfTrue="1" operator="lessThanOrEqual">
      <formula>0</formula>
    </cfRule>
  </conditionalFormatting>
  <conditionalFormatting sqref="C102:C106">
    <cfRule type="cellIs" dxfId="2833" priority="183" stopIfTrue="1" operator="lessThanOrEqual">
      <formula>0</formula>
    </cfRule>
  </conditionalFormatting>
  <conditionalFormatting sqref="C103:C106">
    <cfRule type="cellIs" dxfId="2832" priority="182" stopIfTrue="1" operator="greaterThan">
      <formula>$F$102</formula>
    </cfRule>
  </conditionalFormatting>
  <conditionalFormatting sqref="C108">
    <cfRule type="cellIs" dxfId="2831" priority="185" stopIfTrue="1" operator="lessThanOrEqual">
      <formula>0</formula>
    </cfRule>
    <cfRule type="cellIs" dxfId="2830" priority="184" stopIfTrue="1" operator="greaterThan">
      <formula>$F$102</formula>
    </cfRule>
  </conditionalFormatting>
  <conditionalFormatting sqref="C102:D102 D104:D110">
    <cfRule type="cellIs" dxfId="2829" priority="177" stopIfTrue="1" operator="greaterThan">
      <formula>4.5</formula>
    </cfRule>
  </conditionalFormatting>
  <conditionalFormatting sqref="D73:D74">
    <cfRule type="cellIs" dxfId="2828" priority="161" operator="notBetween">
      <formula>#REF!</formula>
      <formula>#REF!</formula>
    </cfRule>
  </conditionalFormatting>
  <conditionalFormatting sqref="D90:D98">
    <cfRule type="cellIs" dxfId="2827" priority="147" stopIfTrue="1" operator="lessThanOrEqual">
      <formula>0</formula>
    </cfRule>
  </conditionalFormatting>
  <conditionalFormatting sqref="D99">
    <cfRule type="cellIs" dxfId="2826" priority="146" stopIfTrue="1" operator="lessThanOrEqual">
      <formula>0</formula>
    </cfRule>
  </conditionalFormatting>
  <conditionalFormatting sqref="D102 D104:D110">
    <cfRule type="cellIs" dxfId="2825" priority="178" stopIfTrue="1" operator="lessThanOrEqual">
      <formula>0</formula>
    </cfRule>
  </conditionalFormatting>
  <conditionalFormatting sqref="D103">
    <cfRule type="cellIs" dxfId="2824" priority="169" stopIfTrue="1" operator="greaterThan">
      <formula>$F$102</formula>
    </cfRule>
    <cfRule type="cellIs" dxfId="2823" priority="170" stopIfTrue="1" operator="lessThanOrEqual">
      <formula>0</formula>
    </cfRule>
  </conditionalFormatting>
  <conditionalFormatting sqref="D90:E99">
    <cfRule type="cellIs" dxfId="2822" priority="139" stopIfTrue="1" operator="greaterThan">
      <formula>$F90</formula>
    </cfRule>
  </conditionalFormatting>
  <conditionalFormatting sqref="E10:E48">
    <cfRule type="cellIs" dxfId="2821" priority="22" operator="lessThan">
      <formula>48</formula>
    </cfRule>
  </conditionalFormatting>
  <conditionalFormatting sqref="E77">
    <cfRule type="cellIs" dxfId="2820" priority="171" stopIfTrue="1" operator="lessThan">
      <formula>96.8</formula>
    </cfRule>
    <cfRule type="cellIs" dxfId="2819" priority="172" stopIfTrue="1" operator="greaterThan">
      <formula>100</formula>
    </cfRule>
  </conditionalFormatting>
  <conditionalFormatting sqref="E90:E99">
    <cfRule type="cellIs" dxfId="2818" priority="140" stopIfTrue="1" operator="lessThanOrEqual">
      <formula>0</formula>
    </cfRule>
  </conditionalFormatting>
  <conditionalFormatting sqref="E102:E110">
    <cfRule type="cellIs" dxfId="2817" priority="164" stopIfTrue="1" operator="lessThanOrEqual">
      <formula>0</formula>
    </cfRule>
    <cfRule type="cellIs" dxfId="2816" priority="163" stopIfTrue="1" operator="greaterThan">
      <formula>4.5</formula>
    </cfRule>
  </conditionalFormatting>
  <conditionalFormatting sqref="E76:F77">
    <cfRule type="cellIs" dxfId="2815" priority="174" stopIfTrue="1" operator="greaterThan">
      <formula>100</formula>
    </cfRule>
    <cfRule type="cellIs" dxfId="2814" priority="173" stopIfTrue="1" operator="lessThan">
      <formula>96.5</formula>
    </cfRule>
  </conditionalFormatting>
  <conditionalFormatting sqref="F10:F33">
    <cfRule type="cellIs" dxfId="2813" priority="24" operator="greaterThan">
      <formula>60</formula>
    </cfRule>
  </conditionalFormatting>
  <conditionalFormatting sqref="F34">
    <cfRule type="cellIs" dxfId="2812" priority="201" operator="greaterThan">
      <formula>$AA34</formula>
    </cfRule>
    <cfRule type="cellIs" dxfId="2811" priority="202" operator="greaterThan">
      <formula>$AA85</formula>
    </cfRule>
  </conditionalFormatting>
  <conditionalFormatting sqref="F35:F47">
    <cfRule type="cellIs" dxfId="2810" priority="64" operator="greaterThan">
      <formula>60</formula>
    </cfRule>
  </conditionalFormatting>
  <conditionalFormatting sqref="F48">
    <cfRule type="cellIs" dxfId="2809" priority="196" operator="greaterThan">
      <formula>$AA87</formula>
    </cfRule>
    <cfRule type="cellIs" dxfId="2808" priority="80" operator="greaterThan">
      <formula>$AA48</formula>
    </cfRule>
  </conditionalFormatting>
  <conditionalFormatting sqref="F77">
    <cfRule type="cellIs" dxfId="2807" priority="189" stopIfTrue="1" operator="lessThan">
      <formula>96.8</formula>
    </cfRule>
    <cfRule type="cellIs" dxfId="2806" priority="190" stopIfTrue="1" operator="greaterThan">
      <formula>100</formula>
    </cfRule>
  </conditionalFormatting>
  <conditionalFormatting sqref="F99">
    <cfRule type="cellIs" dxfId="2805" priority="142" stopIfTrue="1" operator="lessThanOrEqual">
      <formula>0</formula>
    </cfRule>
    <cfRule type="cellIs" dxfId="2804" priority="141" stopIfTrue="1" operator="greaterThan">
      <formula>$F99</formula>
    </cfRule>
  </conditionalFormatting>
  <conditionalFormatting sqref="G90:G91 C96:C98">
    <cfRule type="cellIs" dxfId="2803" priority="149" stopIfTrue="1" operator="lessThanOrEqual">
      <formula>0</formula>
    </cfRule>
    <cfRule type="cellIs" dxfId="2802" priority="148" stopIfTrue="1" operator="greaterThan">
      <formula>$F90</formula>
    </cfRule>
  </conditionalFormatting>
  <conditionalFormatting sqref="G90:G91">
    <cfRule type="cellIs" dxfId="2801" priority="88" stopIfTrue="1" operator="greaterThan">
      <formula>$F90</formula>
    </cfRule>
    <cfRule type="cellIs" dxfId="2800" priority="89" stopIfTrue="1" operator="lessThanOrEqual">
      <formula>0</formula>
    </cfRule>
  </conditionalFormatting>
  <conditionalFormatting sqref="G92">
    <cfRule type="cellIs" dxfId="2799" priority="193" stopIfTrue="1" operator="greaterThan">
      <formula>$F91</formula>
    </cfRule>
    <cfRule type="cellIs" dxfId="2798" priority="194" stopIfTrue="1" operator="lessThanOrEqual">
      <formula>0</formula>
    </cfRule>
  </conditionalFormatting>
  <conditionalFormatting sqref="G93">
    <cfRule type="cellIs" dxfId="2797" priority="144" stopIfTrue="1" operator="lessThanOrEqual">
      <formula>0</formula>
    </cfRule>
    <cfRule type="cellIs" dxfId="2796" priority="143" stopIfTrue="1" operator="greaterThan">
      <formula>$F93</formula>
    </cfRule>
  </conditionalFormatting>
  <conditionalFormatting sqref="G94:G99">
    <cfRule type="cellIs" dxfId="2795" priority="152" stopIfTrue="1" operator="lessThanOrEqual">
      <formula>0</formula>
    </cfRule>
    <cfRule type="cellIs" dxfId="2794" priority="151" stopIfTrue="1" operator="greaterThan">
      <formula>$J94</formula>
    </cfRule>
  </conditionalFormatting>
  <conditionalFormatting sqref="G104:G109 C107 C109">
    <cfRule type="cellIs" dxfId="2793" priority="186" stopIfTrue="1" operator="greaterThan">
      <formula>4.5</formula>
    </cfRule>
    <cfRule type="cellIs" dxfId="2792" priority="187" stopIfTrue="1" operator="lessThanOrEqual">
      <formula>0</formula>
    </cfRule>
  </conditionalFormatting>
  <conditionalFormatting sqref="G10:H48">
    <cfRule type="expression" dxfId="2791" priority="26">
      <formula>IF(+(IF(G10&lt;#REF!,0,IF(G10&gt;#REF!,0,1)))=0,1)</formula>
    </cfRule>
  </conditionalFormatting>
  <conditionalFormatting sqref="G103:H103">
    <cfRule type="cellIs" dxfId="2790" priority="168" stopIfTrue="1" operator="lessThanOrEqual">
      <formula>0</formula>
    </cfRule>
    <cfRule type="cellIs" dxfId="2789" priority="167" stopIfTrue="1" operator="greaterThan">
      <formula>$F$102</formula>
    </cfRule>
  </conditionalFormatting>
  <conditionalFormatting sqref="H52:H75 G63:G74">
    <cfRule type="cellIs" dxfId="2788" priority="165" stopIfTrue="1" operator="greaterThan">
      <formula>0</formula>
    </cfRule>
  </conditionalFormatting>
  <conditionalFormatting sqref="H80">
    <cfRule type="cellIs" dxfId="2787" priority="31" stopIfTrue="1" operator="greaterThan">
      <formula>$F$67</formula>
    </cfRule>
    <cfRule type="cellIs" dxfId="2786" priority="30" stopIfTrue="1" operator="lessThanOrEqual">
      <formula>0</formula>
    </cfRule>
    <cfRule type="cellIs" dxfId="2785" priority="39" stopIfTrue="1" operator="greaterThan">
      <formula>$F$70</formula>
    </cfRule>
    <cfRule type="cellIs" dxfId="2784" priority="40" stopIfTrue="1" operator="lessThanOrEqual">
      <formula>0</formula>
    </cfRule>
    <cfRule type="cellIs" dxfId="2783" priority="41" stopIfTrue="1" operator="greaterThan">
      <formula>$F$68</formula>
    </cfRule>
    <cfRule type="cellIs" dxfId="2782" priority="42" stopIfTrue="1" operator="lessThanOrEqual">
      <formula>0</formula>
    </cfRule>
  </conditionalFormatting>
  <conditionalFormatting sqref="H81">
    <cfRule type="cellIs" dxfId="2781" priority="98" stopIfTrue="1" operator="greaterThan">
      <formula>$F$89</formula>
    </cfRule>
    <cfRule type="cellIs" dxfId="2780" priority="97" stopIfTrue="1" operator="lessThanOrEqual">
      <formula>0</formula>
    </cfRule>
    <cfRule type="cellIs" dxfId="2779" priority="109" stopIfTrue="1" operator="lessThanOrEqual">
      <formula>0</formula>
    </cfRule>
    <cfRule type="cellIs" dxfId="2778" priority="106" stopIfTrue="1" operator="greaterThan">
      <formula>$F$92</formula>
    </cfRule>
    <cfRule type="cellIs" dxfId="2777" priority="107" stopIfTrue="1" operator="lessThanOrEqual">
      <formula>0</formula>
    </cfRule>
    <cfRule type="cellIs" dxfId="2776" priority="108" stopIfTrue="1" operator="greaterThan">
      <formula>$F$90</formula>
    </cfRule>
  </conditionalFormatting>
  <conditionalFormatting sqref="H82">
    <cfRule type="cellIs" dxfId="2775" priority="15" stopIfTrue="1" operator="lessThanOrEqual">
      <formula>0</formula>
    </cfRule>
    <cfRule type="cellIs" dxfId="2774" priority="14" stopIfTrue="1" operator="greaterThan">
      <formula>$F$68</formula>
    </cfRule>
    <cfRule type="cellIs" dxfId="2773" priority="13" stopIfTrue="1" operator="lessThanOrEqual">
      <formula>0</formula>
    </cfRule>
    <cfRule type="cellIs" dxfId="2772" priority="12" stopIfTrue="1" operator="greaterThan">
      <formula>$F$70</formula>
    </cfRule>
    <cfRule type="cellIs" dxfId="2771" priority="4" stopIfTrue="1" operator="greaterThan">
      <formula>$F$67</formula>
    </cfRule>
    <cfRule type="cellIs" dxfId="2770" priority="3" stopIfTrue="1" operator="lessThanOrEqual">
      <formula>0</formula>
    </cfRule>
  </conditionalFormatting>
  <conditionalFormatting sqref="H83">
    <cfRule type="cellIs" dxfId="2769" priority="78" stopIfTrue="1" operator="greaterThan">
      <formula>#REF!</formula>
    </cfRule>
    <cfRule type="cellIs" dxfId="2768" priority="79" stopIfTrue="1" operator="lessThanOrEqual">
      <formula>0</formula>
    </cfRule>
    <cfRule type="cellIs" dxfId="2767" priority="69" stopIfTrue="1" operator="lessThanOrEqual">
      <formula>0</formula>
    </cfRule>
    <cfRule type="cellIs" dxfId="2766" priority="70" stopIfTrue="1" operator="greaterThan">
      <formula>#REF!</formula>
    </cfRule>
  </conditionalFormatting>
  <conditionalFormatting sqref="H84:H85">
    <cfRule type="cellIs" dxfId="2765" priority="92" stopIfTrue="1" operator="lessThanOrEqual">
      <formula>0</formula>
    </cfRule>
    <cfRule type="cellIs" dxfId="2764" priority="129" stopIfTrue="1" operator="lessThanOrEqual">
      <formula>0</formula>
    </cfRule>
    <cfRule type="cellIs" dxfId="2763" priority="128" stopIfTrue="1" operator="greaterThan">
      <formula>$F$91</formula>
    </cfRule>
    <cfRule type="cellIs" dxfId="2762" priority="127" stopIfTrue="1" operator="lessThanOrEqual">
      <formula>0</formula>
    </cfRule>
    <cfRule type="cellIs" dxfId="2761" priority="126" stopIfTrue="1" operator="greaterThan">
      <formula>$F$93</formula>
    </cfRule>
    <cfRule type="cellIs" dxfId="2760" priority="118" stopIfTrue="1" operator="greaterThan">
      <formula>$F$90</formula>
    </cfRule>
  </conditionalFormatting>
  <conditionalFormatting sqref="H86">
    <cfRule type="cellIs" dxfId="2759" priority="158" stopIfTrue="1" operator="greaterThan">
      <formula>$F$83</formula>
    </cfRule>
    <cfRule type="cellIs" dxfId="2758" priority="159" stopIfTrue="1" operator="lessThanOrEqual">
      <formula>0</formula>
    </cfRule>
    <cfRule type="cellIs" dxfId="2757" priority="157" stopIfTrue="1" operator="lessThanOrEqual">
      <formula>0</formula>
    </cfRule>
    <cfRule type="cellIs" dxfId="2756" priority="156" stopIfTrue="1" operator="greaterThan">
      <formula>$F$87</formula>
    </cfRule>
  </conditionalFormatting>
  <conditionalFormatting sqref="H90:H98">
    <cfRule type="cellIs" dxfId="2755" priority="131" stopIfTrue="1" operator="lessThanOrEqual">
      <formula>0</formula>
    </cfRule>
    <cfRule type="cellIs" dxfId="2754" priority="130" stopIfTrue="1" operator="greaterThan">
      <formula>$J90</formula>
    </cfRule>
  </conditionalFormatting>
  <conditionalFormatting sqref="H99">
    <cfRule type="cellIs" dxfId="2753" priority="136" operator="greaterThan">
      <formula>5.3</formula>
    </cfRule>
  </conditionalFormatting>
  <conditionalFormatting sqref="H102 H104:H110">
    <cfRule type="cellIs" dxfId="2752" priority="180" stopIfTrue="1" operator="lessThanOrEqual">
      <formula>0</formula>
    </cfRule>
    <cfRule type="cellIs" dxfId="2751" priority="179" stopIfTrue="1" operator="greaterThan">
      <formula>4.5</formula>
    </cfRule>
  </conditionalFormatting>
  <conditionalFormatting sqref="H80:I80">
    <cfRule type="cellIs" dxfId="2750" priority="32" stopIfTrue="1" operator="lessThanOrEqual">
      <formula>0</formula>
    </cfRule>
    <cfRule type="cellIs" dxfId="2749" priority="29" stopIfTrue="1" operator="greaterThan">
      <formula>$F$69</formula>
    </cfRule>
  </conditionalFormatting>
  <conditionalFormatting sqref="H81:I81">
    <cfRule type="cellIs" dxfId="2748" priority="99" stopIfTrue="1" operator="lessThanOrEqual">
      <formula>0</formula>
    </cfRule>
    <cfRule type="cellIs" dxfId="2747" priority="96" stopIfTrue="1" operator="greaterThan">
      <formula>$F$91</formula>
    </cfRule>
  </conditionalFormatting>
  <conditionalFormatting sqref="H82:I82">
    <cfRule type="cellIs" dxfId="2746" priority="2" stopIfTrue="1" operator="greaterThan">
      <formula>$F$69</formula>
    </cfRule>
    <cfRule type="cellIs" dxfId="2745" priority="5" stopIfTrue="1" operator="lessThanOrEqual">
      <formula>0</formula>
    </cfRule>
  </conditionalFormatting>
  <conditionalFormatting sqref="H83:I83">
    <cfRule type="cellIs" dxfId="2744" priority="71" stopIfTrue="1" operator="lessThanOrEqual">
      <formula>0</formula>
    </cfRule>
    <cfRule type="cellIs" dxfId="2743" priority="77" stopIfTrue="1" operator="lessThanOrEqual">
      <formula>0</formula>
    </cfRule>
    <cfRule type="cellIs" dxfId="2742" priority="74" stopIfTrue="1" operator="greaterThan">
      <formula>#REF!</formula>
    </cfRule>
    <cfRule type="cellIs" dxfId="2741" priority="68" stopIfTrue="1" operator="greaterThan">
      <formula>#REF!</formula>
    </cfRule>
  </conditionalFormatting>
  <conditionalFormatting sqref="H84:I84">
    <cfRule type="cellIs" dxfId="2740" priority="119" stopIfTrue="1" operator="lessThanOrEqual">
      <formula>0</formula>
    </cfRule>
  </conditionalFormatting>
  <conditionalFormatting sqref="H84:I85">
    <cfRule type="cellIs" dxfId="2739" priority="90" stopIfTrue="1" operator="greaterThan">
      <formula>$F$92</formula>
    </cfRule>
  </conditionalFormatting>
  <conditionalFormatting sqref="H85:I85">
    <cfRule type="cellIs" dxfId="2738" priority="91" stopIfTrue="1" operator="lessThanOrEqual">
      <formula>0</formula>
    </cfRule>
  </conditionalFormatting>
  <conditionalFormatting sqref="I34 I48">
    <cfRule type="cellIs" dxfId="2737" priority="86" operator="lessThan">
      <formula>98</formula>
    </cfRule>
    <cfRule type="cellIs" dxfId="2736" priority="83" operator="lessThan">
      <formula>97.8</formula>
    </cfRule>
  </conditionalFormatting>
  <conditionalFormatting sqref="I80">
    <cfRule type="cellIs" dxfId="2735" priority="33" stopIfTrue="1" operator="greaterThan">
      <formula>$F$67</formula>
    </cfRule>
    <cfRule type="cellIs" dxfId="2734" priority="34" stopIfTrue="1" operator="lessThanOrEqual">
      <formula>0</formula>
    </cfRule>
    <cfRule type="cellIs" dxfId="2733" priority="37" stopIfTrue="1" operator="greaterThan">
      <formula>$F$67</formula>
    </cfRule>
    <cfRule type="cellIs" dxfId="2732" priority="35" stopIfTrue="1" operator="greaterThan">
      <formula>$F$69</formula>
    </cfRule>
    <cfRule type="cellIs" dxfId="2731" priority="36" stopIfTrue="1" operator="lessThanOrEqual">
      <formula>0</formula>
    </cfRule>
    <cfRule type="cellIs" dxfId="2730" priority="38" stopIfTrue="1" operator="lessThanOrEqual">
      <formula>0</formula>
    </cfRule>
  </conditionalFormatting>
  <conditionalFormatting sqref="I81">
    <cfRule type="cellIs" dxfId="2729" priority="104" stopIfTrue="1" operator="greaterThan">
      <formula>$F$89</formula>
    </cfRule>
    <cfRule type="cellIs" dxfId="2728" priority="103" stopIfTrue="1" operator="lessThanOrEqual">
      <formula>0</formula>
    </cfRule>
    <cfRule type="cellIs" dxfId="2727" priority="102" stopIfTrue="1" operator="greaterThan">
      <formula>$F$91</formula>
    </cfRule>
    <cfRule type="cellIs" dxfId="2726" priority="101" stopIfTrue="1" operator="lessThanOrEqual">
      <formula>0</formula>
    </cfRule>
    <cfRule type="cellIs" dxfId="2725" priority="100" stopIfTrue="1" operator="greaterThan">
      <formula>$F$89</formula>
    </cfRule>
    <cfRule type="cellIs" dxfId="2724" priority="105" stopIfTrue="1" operator="lessThanOrEqual">
      <formula>0</formula>
    </cfRule>
  </conditionalFormatting>
  <conditionalFormatting sqref="I82">
    <cfRule type="cellIs" dxfId="2723" priority="6" stopIfTrue="1" operator="greaterThan">
      <formula>$F$67</formula>
    </cfRule>
    <cfRule type="cellIs" dxfId="2722" priority="8" stopIfTrue="1" operator="greaterThan">
      <formula>$F$69</formula>
    </cfRule>
    <cfRule type="cellIs" dxfId="2721" priority="11" stopIfTrue="1" operator="lessThanOrEqual">
      <formula>0</formula>
    </cfRule>
    <cfRule type="cellIs" dxfId="2720" priority="10" stopIfTrue="1" operator="greaterThan">
      <formula>$F$67</formula>
    </cfRule>
    <cfRule type="cellIs" dxfId="2719" priority="9" stopIfTrue="1" operator="lessThanOrEqual">
      <formula>0</formula>
    </cfRule>
    <cfRule type="cellIs" dxfId="2718" priority="7" stopIfTrue="1" operator="lessThanOrEqual">
      <formula>0</formula>
    </cfRule>
  </conditionalFormatting>
  <conditionalFormatting sqref="I83">
    <cfRule type="cellIs" dxfId="2717" priority="73" stopIfTrue="1" operator="lessThanOrEqual">
      <formula>0</formula>
    </cfRule>
    <cfRule type="cellIs" dxfId="2716" priority="72" stopIfTrue="1" operator="greaterThan">
      <formula>#REF!</formula>
    </cfRule>
    <cfRule type="cellIs" dxfId="2715" priority="75" stopIfTrue="1" operator="lessThanOrEqual">
      <formula>0</formula>
    </cfRule>
    <cfRule type="cellIs" dxfId="2714" priority="76" stopIfTrue="1" operator="greaterThan">
      <formula>#REF!</formula>
    </cfRule>
  </conditionalFormatting>
  <conditionalFormatting sqref="I84:I85">
    <cfRule type="cellIs" dxfId="2713" priority="121" stopIfTrue="1" operator="lessThanOrEqual">
      <formula>0</formula>
    </cfRule>
    <cfRule type="cellIs" dxfId="2712" priority="120" stopIfTrue="1" operator="greaterThan">
      <formula>$F$90</formula>
    </cfRule>
    <cfRule type="cellIs" dxfId="2711" priority="122" stopIfTrue="1" operator="greaterThan">
      <formula>$F$92</formula>
    </cfRule>
    <cfRule type="cellIs" dxfId="2710" priority="123" stopIfTrue="1" operator="lessThanOrEqual">
      <formula>0</formula>
    </cfRule>
    <cfRule type="cellIs" dxfId="2709" priority="124" stopIfTrue="1" operator="greaterThan">
      <formula>$F$90</formula>
    </cfRule>
    <cfRule type="cellIs" dxfId="2708" priority="125" stopIfTrue="1" operator="lessThanOrEqual">
      <formula>0</formula>
    </cfRule>
  </conditionalFormatting>
  <conditionalFormatting sqref="I90:I99">
    <cfRule type="cellIs" dxfId="2707" priority="138" stopIfTrue="1" operator="lessThanOrEqual">
      <formula>0</formula>
    </cfRule>
    <cfRule type="cellIs" dxfId="2706" priority="137" stopIfTrue="1" operator="greaterThan">
      <formula>$J90</formula>
    </cfRule>
  </conditionalFormatting>
  <conditionalFormatting sqref="I102:I110">
    <cfRule type="cellIs" dxfId="2705" priority="175" stopIfTrue="1" operator="greaterThan">
      <formula>4.5</formula>
    </cfRule>
    <cfRule type="cellIs" dxfId="2704" priority="176" stopIfTrue="1" operator="lessThanOrEqual">
      <formula>0</formula>
    </cfRule>
  </conditionalFormatting>
  <conditionalFormatting sqref="I10:J33">
    <cfRule type="cellIs" dxfId="2703" priority="25" operator="lessThan">
      <formula>97.9</formula>
    </cfRule>
  </conditionalFormatting>
  <conditionalFormatting sqref="I35:J47">
    <cfRule type="cellIs" dxfId="2702" priority="65" operator="lessThan">
      <formula>97.9</formula>
    </cfRule>
  </conditionalFormatting>
  <conditionalFormatting sqref="J34 J48">
    <cfRule type="cellIs" dxfId="2701" priority="84" operator="notBetween">
      <formula>98</formula>
      <formula>99.9</formula>
    </cfRule>
    <cfRule type="cellIs" dxfId="2700" priority="85" operator="lessThan">
      <formula>97.4</formula>
    </cfRule>
  </conditionalFormatting>
  <conditionalFormatting sqref="J51:J53">
    <cfRule type="cellIs" dxfId="2699" priority="112" stopIfTrue="1" operator="greaterThan">
      <formula>100</formula>
    </cfRule>
    <cfRule type="cellIs" dxfId="2698" priority="113" operator="lessThan">
      <formula>98</formula>
    </cfRule>
    <cfRule type="cellIs" dxfId="2697" priority="111" stopIfTrue="1" operator="lessThan">
      <formula>96.8</formula>
    </cfRule>
  </conditionalFormatting>
  <conditionalFormatting sqref="J51:J55">
    <cfRule type="cellIs" dxfId="2696" priority="87" operator="lessThan">
      <formula>97.4</formula>
    </cfRule>
  </conditionalFormatting>
  <conditionalFormatting sqref="J56">
    <cfRule type="cellIs" dxfId="2695" priority="114" operator="lessThan">
      <formula>98</formula>
    </cfRule>
  </conditionalFormatting>
  <conditionalFormatting sqref="J57:J59">
    <cfRule type="cellIs" dxfId="2694" priority="115" stopIfTrue="1" operator="lessThan">
      <formula>96.8</formula>
    </cfRule>
    <cfRule type="cellIs" dxfId="2693" priority="116" stopIfTrue="1" operator="greaterThan">
      <formula>100</formula>
    </cfRule>
  </conditionalFormatting>
  <conditionalFormatting sqref="J57:J60">
    <cfRule type="cellIs" dxfId="2692" priority="117" operator="lessThan">
      <formula>98</formula>
    </cfRule>
  </conditionalFormatting>
  <conditionalFormatting sqref="K10:K48">
    <cfRule type="cellIs" dxfId="2691" priority="19" operator="lessThan">
      <formula>4</formula>
    </cfRule>
    <cfRule type="cellIs" dxfId="2690" priority="18" operator="greaterThan">
      <formula>6</formula>
    </cfRule>
    <cfRule type="cellIs" dxfId="2689" priority="23" operator="greaterThan">
      <formula>6.4</formula>
    </cfRule>
  </conditionalFormatting>
  <conditionalFormatting sqref="K65:K74">
    <cfRule type="cellIs" dxfId="2688" priority="145" operator="notEqual">
      <formula>#REF!</formula>
    </cfRule>
  </conditionalFormatting>
  <conditionalFormatting sqref="K80:K86 K90:N99">
    <cfRule type="cellIs" dxfId="2687" priority="155" stopIfTrue="1" operator="lessThan">
      <formula>100%</formula>
    </cfRule>
  </conditionalFormatting>
  <conditionalFormatting sqref="K102:K107">
    <cfRule type="cellIs" dxfId="2686" priority="181" stopIfTrue="1" operator="lessThan">
      <formula>100%</formula>
    </cfRule>
  </conditionalFormatting>
  <conditionalFormatting sqref="K109:K110">
    <cfRule type="cellIs" dxfId="2685" priority="188" stopIfTrue="1" operator="lessThan">
      <formula>100%</formula>
    </cfRule>
  </conditionalFormatting>
  <conditionalFormatting sqref="L10:L48">
    <cfRule type="cellIs" dxfId="2684" priority="20" operator="between">
      <formula>61</formula>
      <formula>65</formula>
    </cfRule>
    <cfRule type="cellIs" dxfId="2683" priority="21" operator="greaterThan">
      <formula>65</formula>
    </cfRule>
  </conditionalFormatting>
  <conditionalFormatting sqref="L51:M62">
    <cfRule type="cellIs" dxfId="2682" priority="1" operator="lessThan">
      <formula>98</formula>
    </cfRule>
  </conditionalFormatting>
  <conditionalFormatting sqref="L66:N66">
    <cfRule type="cellIs" dxfId="2681" priority="93" operator="notEqual">
      <formula>#REF!</formula>
    </cfRule>
  </conditionalFormatting>
  <conditionalFormatting sqref="L102:N110">
    <cfRule type="cellIs" dxfId="2680" priority="166" stopIfTrue="1" operator="lessThan">
      <formula>100%</formula>
    </cfRule>
  </conditionalFormatting>
  <conditionalFormatting sqref="M10:M18">
    <cfRule type="expression" dxfId="2679" priority="16">
      <formula>IF(+(IF(M10&lt;V10,0,IF(M10&gt;W10,0,1)))=0,1)</formula>
    </cfRule>
  </conditionalFormatting>
  <conditionalFormatting sqref="M19:M27">
    <cfRule type="expression" dxfId="2678" priority="59">
      <formula>IF(+(IF(M19&lt;U19,0,IF(M19&gt;V19,0,1)))=0,1)</formula>
    </cfRule>
  </conditionalFormatting>
  <conditionalFormatting sqref="M28:M48">
    <cfRule type="expression" dxfId="2677" priority="56">
      <formula>IF(+(IF(M28&lt;V28,0,IF(M28&gt;W28,0,1)))=0,1)</formula>
    </cfRule>
  </conditionalFormatting>
  <conditionalFormatting sqref="M6:N6">
    <cfRule type="cellIs" dxfId="2676" priority="94" operator="greaterThanOrEqual">
      <formula>15</formula>
    </cfRule>
    <cfRule type="cellIs" dxfId="2675" priority="95" operator="greaterThanOrEqual">
      <formula>19</formula>
    </cfRule>
  </conditionalFormatting>
  <conditionalFormatting sqref="N10:N18">
    <cfRule type="expression" dxfId="2674" priority="17">
      <formula>IF(+(IF(N10&lt;X10,0,IF(N10&gt;Y10,0,1)))=0,1)</formula>
    </cfRule>
  </conditionalFormatting>
  <conditionalFormatting sqref="N19:N27">
    <cfRule type="expression" dxfId="2673" priority="60">
      <formula>IF(+(IF(N19&lt;W19,0,IF(N19&gt;X19,0,1)))=0,1)</formula>
    </cfRule>
  </conditionalFormatting>
  <conditionalFormatting sqref="N28:N48">
    <cfRule type="expression" dxfId="2672" priority="57">
      <formula>IF(+(IF(N28&lt;X28,0,IF(N28&gt;Y28,0,1)))=0,1)</formula>
    </cfRule>
  </conditionalFormatting>
  <conditionalFormatting sqref="N34">
    <cfRule type="expression" dxfId="2671" priority="197">
      <formula>IF(+(IF(N34&lt;X90,0,IF(N34&gt;Y90,0,1)))=0,1)</formula>
    </cfRule>
    <cfRule type="expression" dxfId="2670" priority="198">
      <formula>IF(+(IF(N34&lt;X85,0,IF(N34&gt;Y85,0,1)))=0,1)</formula>
    </cfRule>
  </conditionalFormatting>
  <conditionalFormatting sqref="N48">
    <cfRule type="expression" dxfId="2669" priority="199">
      <formula>IF(+(IF(N48&lt;X92,0,IF(N48&gt;Y92,0,1)))=0,1)</formula>
    </cfRule>
    <cfRule type="expression" dxfId="2668" priority="200">
      <formula>IF(+(IF(N48&lt;X87,0,IF(N48&gt;Y87,0,1)))=0,1)</formula>
    </cfRule>
  </conditionalFormatting>
  <conditionalFormatting sqref="P6">
    <cfRule type="cellIs" dxfId="2667" priority="162" operator="greaterThanOrEqual">
      <formula>19</formula>
    </cfRule>
  </conditionalFormatting>
  <dataValidations count="1">
    <dataValidation type="list" allowBlank="1" showInputMessage="1" showErrorMessage="1" sqref="S8 B48" xr:uid="{E593BA86-7445-4443-B054-9AE19DCD28E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4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1119-9B65-431A-AC2E-0C7D951D5C3E}">
  <sheetPr>
    <pageSetUpPr fitToPage="1"/>
  </sheetPr>
  <dimension ref="A1:BF106"/>
  <sheetViews>
    <sheetView topLeftCell="A7" zoomScale="83" zoomScaleNormal="70" workbookViewId="0">
      <selection activeCell="AA13" sqref="S10:AA13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45698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[22]Brewhouse!$A185</f>
        <v>CA083</v>
      </c>
      <c r="D10" s="279">
        <f>[22]Brewhouse!$AF185</f>
        <v>56.6</v>
      </c>
      <c r="E10" s="279">
        <f>[22]Brewhouse!$AI185</f>
        <v>52</v>
      </c>
      <c r="F10" s="278">
        <f>[22]Brewhouse!$V185</f>
        <v>61</v>
      </c>
      <c r="G10" s="279">
        <f>[22]Brewhouse!$AG185</f>
        <v>12</v>
      </c>
      <c r="H10" s="396">
        <v>12.1</v>
      </c>
      <c r="I10" s="368">
        <f>[22]Brewhouse!$AU185</f>
        <v>98.858629653014077</v>
      </c>
      <c r="J10" s="368">
        <f>[22]Brewhouse!$AV185</f>
        <v>102.84405509271879</v>
      </c>
      <c r="K10" s="281">
        <f>[22]Brewhouse!$Q185</f>
        <v>4.1428571428571432</v>
      </c>
      <c r="L10" s="276">
        <f>[22]Brewhouse!$P185</f>
        <v>57</v>
      </c>
      <c r="M10" s="397">
        <f>[22]Brewhouse!$U185-[22]Brewhouse!$T185</f>
        <v>0.12430555555555559</v>
      </c>
      <c r="N10" s="370">
        <f>[22]Brewhouse!$Z185</f>
        <v>0.28541666666666671</v>
      </c>
      <c r="O10" s="371" t="str">
        <f>[22]Brewhouse!$AX185</f>
        <v>R. Sookram</v>
      </c>
      <c r="P10" s="369" t="s">
        <v>171</v>
      </c>
      <c r="Q10" s="347"/>
      <c r="S10" s="277" t="str">
        <f t="shared" ref="S10:S12" si="0">B10</f>
        <v>CARIB</v>
      </c>
      <c r="T10" s="296">
        <f t="shared" ref="T10:T12" si="1">VLOOKUP($B10,$S$3:$Y$9,2,FALSE)</f>
        <v>11.6</v>
      </c>
      <c r="U10" s="296">
        <f t="shared" ref="U10:U12" si="2">VLOOKUP($B10,$S$3:$Y$9,3,FALSE)</f>
        <v>12</v>
      </c>
      <c r="V10" s="297">
        <f t="shared" ref="V10:V12" si="3">VLOOKUP($B10,$S$3:$Y$9,4,FALSE)</f>
        <v>0</v>
      </c>
      <c r="W10" s="297">
        <f t="shared" ref="W10:W12" si="4">VLOOKUP($B10,$S$3:$Y$9,5,FALSE)</f>
        <v>0.118055555555556</v>
      </c>
      <c r="X10" s="297">
        <f t="shared" ref="X10:X12" si="5">VLOOKUP($B10,$S$3:$Y$9,6,FALSE)</f>
        <v>0.22569444444444445</v>
      </c>
      <c r="Y10" s="297">
        <f t="shared" ref="Y10:Y12" si="6">VLOOKUP($B10,$S$3:$Y$9,7,FALSE)</f>
        <v>0.2638888888888889</v>
      </c>
      <c r="Z10" s="297">
        <f t="shared" ref="Z10:Z12" si="7">VLOOKUP($B10,$S$3:$AA$9,8,FALSE)</f>
        <v>0</v>
      </c>
      <c r="AA10" s="296">
        <f t="shared" ref="AA10:AA12" si="8">VLOOKUP($B10,$S$3:$AA$9,9,FALSE)</f>
        <v>60</v>
      </c>
    </row>
    <row r="11" spans="2:30" ht="14.4">
      <c r="B11" s="29" t="s">
        <v>6</v>
      </c>
      <c r="C11" s="366" t="str">
        <f>[22]Brewhouse!$A186</f>
        <v>CA084</v>
      </c>
      <c r="D11" s="279">
        <f>[22]Brewhouse!$AF186</f>
        <v>53.9</v>
      </c>
      <c r="E11" s="279">
        <f>[22]Brewhouse!$AI186</f>
        <v>51</v>
      </c>
      <c r="F11" s="278">
        <f>[22]Brewhouse!$V186</f>
        <v>61</v>
      </c>
      <c r="G11" s="279">
        <f>[22]Brewhouse!$AG186</f>
        <v>11.6</v>
      </c>
      <c r="H11" s="396">
        <v>11.8</v>
      </c>
      <c r="I11" s="368">
        <f>[22]Brewhouse!$AU186</f>
        <v>93.560901765557716</v>
      </c>
      <c r="J11" s="368">
        <f>[22]Brewhouse!$AV186</f>
        <v>97.332752532323838</v>
      </c>
      <c r="K11" s="281">
        <f>[22]Brewhouse!$Q186</f>
        <v>6.3732394366197136</v>
      </c>
      <c r="L11" s="276">
        <f>[22]Brewhouse!$P186</f>
        <v>61</v>
      </c>
      <c r="M11" s="397">
        <f>[22]Brewhouse!$U186-[22]Brewhouse!$T186</f>
        <v>0.11388888888888887</v>
      </c>
      <c r="N11" s="370">
        <f>[22]Brewhouse!$Z186</f>
        <v>0.27708333333333335</v>
      </c>
      <c r="O11" s="371" t="str">
        <f>[22]Brewhouse!$AX186</f>
        <v>R. Sookram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[22]Brewhouse!$A187</f>
        <v>CA085</v>
      </c>
      <c r="D12" s="279">
        <f>[22]Brewhouse!$AF187</f>
        <v>53.9</v>
      </c>
      <c r="E12" s="279">
        <f>[22]Brewhouse!$AI187</f>
        <v>51.4</v>
      </c>
      <c r="F12" s="278">
        <f>[22]Brewhouse!$V187</f>
        <v>61</v>
      </c>
      <c r="G12" s="279">
        <f>[22]Brewhouse!$AG187</f>
        <v>11.6</v>
      </c>
      <c r="H12" s="396">
        <v>11.7</v>
      </c>
      <c r="I12" s="368">
        <f>[22]Brewhouse!$AU187</f>
        <v>94.294712759797378</v>
      </c>
      <c r="J12" s="368">
        <f>[22]Brewhouse!$AV187</f>
        <v>98.096146669832251</v>
      </c>
      <c r="K12" s="281">
        <f>[22]Brewhouse!$Q187</f>
        <v>6.0424028268551266</v>
      </c>
      <c r="L12" s="276">
        <f>[22]Brewhouse!$P187</f>
        <v>60</v>
      </c>
      <c r="M12" s="397">
        <f>[22]Brewhouse!$U187-[22]Brewhouse!$T187</f>
        <v>0.11388888888888887</v>
      </c>
      <c r="N12" s="370">
        <f>[22]Brewhouse!$Z187</f>
        <v>0.28194444444444439</v>
      </c>
      <c r="O12" s="371" t="str">
        <f>[22]Brewhouse!$AX187</f>
        <v>R. Regis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[22]Brewhouse!$A188</f>
        <v>CA086</v>
      </c>
      <c r="D13" s="279">
        <f>[22]Brewhouse!$AF188</f>
        <v>54.3</v>
      </c>
      <c r="E13" s="279">
        <f>[22]Brewhouse!$AI188</f>
        <v>50.9</v>
      </c>
      <c r="F13" s="278">
        <f>[22]Brewhouse!$V188</f>
        <v>65</v>
      </c>
      <c r="G13" s="279">
        <f>[22]Brewhouse!$AG188</f>
        <v>11.65</v>
      </c>
      <c r="H13" s="396">
        <v>11.8</v>
      </c>
      <c r="I13" s="368">
        <f>[22]Brewhouse!$AU188</f>
        <v>94.907296083516144</v>
      </c>
      <c r="J13" s="368">
        <f>[22]Brewhouse!$AV188</f>
        <v>98.895624878792646</v>
      </c>
      <c r="K13" s="281">
        <f>[22]Brewhouse!$Q188</f>
        <v>4.6619217081850612</v>
      </c>
      <c r="L13" s="276">
        <f>[22]Brewhouse!$P188</f>
        <v>60</v>
      </c>
      <c r="M13" s="397">
        <f>[22]Brewhouse!$U188-[22]Brewhouse!$T188</f>
        <v>0.10833333333333339</v>
      </c>
      <c r="N13" s="370">
        <f>[22]Brewhouse!$Z188</f>
        <v>0.26111111111111113</v>
      </c>
      <c r="O13" s="371" t="str">
        <f>[22]Brewhouse!$AX188</f>
        <v>R. Regis</v>
      </c>
      <c r="P13" s="369"/>
      <c r="Q13" s="347"/>
      <c r="S13" s="277" t="str">
        <f t="shared" ref="S13:S42" si="9">B13</f>
        <v>CARIB</v>
      </c>
      <c r="T13" s="296">
        <f t="shared" ref="T13:T42" si="10">VLOOKUP($B13,$S$3:$Y$9,2,FALSE)</f>
        <v>11.6</v>
      </c>
      <c r="U13" s="296">
        <f t="shared" ref="U13:U42" si="11">VLOOKUP($B13,$S$3:$Y$9,3,FALSE)</f>
        <v>12</v>
      </c>
      <c r="V13" s="297">
        <f t="shared" ref="V13:V42" si="12">VLOOKUP($B13,$S$3:$Y$9,4,FALSE)</f>
        <v>0</v>
      </c>
      <c r="W13" s="297">
        <f t="shared" ref="W13:W42" si="13">VLOOKUP($B13,$S$3:$Y$9,5,FALSE)</f>
        <v>0.118055555555556</v>
      </c>
      <c r="X13" s="297">
        <f t="shared" ref="X13:X42" si="14">VLOOKUP($B13,$S$3:$Y$9,6,FALSE)</f>
        <v>0.22569444444444445</v>
      </c>
      <c r="Y13" s="297">
        <f t="shared" ref="Y13:Y42" si="15">VLOOKUP($B13,$S$3:$Y$9,7,FALSE)</f>
        <v>0.2638888888888889</v>
      </c>
      <c r="Z13" s="297">
        <f t="shared" ref="Z13:Z42" si="16">VLOOKUP($B13,$S$3:$AA$9,8,FALSE)</f>
        <v>0</v>
      </c>
      <c r="AA13" s="296">
        <f t="shared" ref="AA13:AA42" si="17">VLOOKUP($B13,$S$3:$AA$9,9,FALSE)</f>
        <v>60</v>
      </c>
    </row>
    <row r="14" spans="2:30" ht="14.4">
      <c r="B14" s="29" t="s">
        <v>6</v>
      </c>
      <c r="C14" s="366" t="str">
        <f>[22]Brewhouse!$A189</f>
        <v>CA087</v>
      </c>
      <c r="D14" s="279">
        <f>[22]Brewhouse!$AF189</f>
        <v>55.3</v>
      </c>
      <c r="E14" s="279">
        <f>[22]Brewhouse!$AI189</f>
        <v>51.9</v>
      </c>
      <c r="F14" s="278">
        <f>[22]Brewhouse!$V189</f>
        <v>64</v>
      </c>
      <c r="G14" s="279">
        <f>[22]Brewhouse!$AG189</f>
        <v>11.9</v>
      </c>
      <c r="H14" s="396">
        <v>11.9</v>
      </c>
      <c r="I14" s="368">
        <f>[22]Brewhouse!$AU189</f>
        <v>98.512665561743688</v>
      </c>
      <c r="J14" s="368">
        <f>[22]Brewhouse!$AV189</f>
        <v>102.65250429883721</v>
      </c>
      <c r="K14" s="281">
        <f>[22]Brewhouse!$Q189</f>
        <v>3.7992831541218597</v>
      </c>
      <c r="L14" s="276">
        <f>[22]Brewhouse!$P189</f>
        <v>61</v>
      </c>
      <c r="M14" s="397">
        <f>[22]Brewhouse!$U189-[22]Brewhouse!$T189</f>
        <v>0.13055555555555554</v>
      </c>
      <c r="N14" s="370">
        <f>[22]Brewhouse!$Z189</f>
        <v>0.27500000000000002</v>
      </c>
      <c r="O14" s="371" t="str">
        <f>[22]Brewhouse!$AX189</f>
        <v>R. Regis</v>
      </c>
      <c r="P14" s="369"/>
      <c r="Q14" s="347"/>
      <c r="S14" s="277" t="str">
        <f t="shared" si="9"/>
        <v>CARIB</v>
      </c>
      <c r="T14" s="296">
        <f t="shared" si="10"/>
        <v>11.6</v>
      </c>
      <c r="U14" s="296">
        <f t="shared" si="11"/>
        <v>12</v>
      </c>
      <c r="V14" s="297">
        <f t="shared" si="12"/>
        <v>0</v>
      </c>
      <c r="W14" s="297">
        <f t="shared" si="13"/>
        <v>0.118055555555556</v>
      </c>
      <c r="X14" s="297">
        <f t="shared" si="14"/>
        <v>0.22569444444444445</v>
      </c>
      <c r="Y14" s="297">
        <f t="shared" si="15"/>
        <v>0.2638888888888889</v>
      </c>
      <c r="Z14" s="297">
        <f t="shared" si="16"/>
        <v>0</v>
      </c>
      <c r="AA14" s="296">
        <f t="shared" si="17"/>
        <v>60</v>
      </c>
    </row>
    <row r="15" spans="2:30" ht="14.4">
      <c r="B15" s="29" t="s">
        <v>6</v>
      </c>
      <c r="C15" s="366" t="str">
        <f>[22]Brewhouse!$A190</f>
        <v>CA088</v>
      </c>
      <c r="D15" s="279">
        <f>[22]Brewhouse!$AF190</f>
        <v>54.2</v>
      </c>
      <c r="E15" s="279">
        <f>[22]Brewhouse!$AI190</f>
        <v>50.8</v>
      </c>
      <c r="F15" s="278">
        <f>[22]Brewhouse!$V190</f>
        <v>61</v>
      </c>
      <c r="G15" s="279">
        <f>[22]Brewhouse!$AG190</f>
        <v>11.7</v>
      </c>
      <c r="H15" s="396">
        <v>11.7</v>
      </c>
      <c r="I15" s="368">
        <f>[22]Brewhouse!$AU190</f>
        <v>94.487755379468013</v>
      </c>
      <c r="J15" s="368">
        <f>[22]Brewhouse!$AV190</f>
        <v>98.45888245475912</v>
      </c>
      <c r="K15" s="281">
        <f>[22]Brewhouse!$Q190</f>
        <v>4.1577060931899519</v>
      </c>
      <c r="L15" s="276">
        <f>[22]Brewhouse!$P190</f>
        <v>60</v>
      </c>
      <c r="M15" s="397">
        <f>[22]Brewhouse!$U190-[22]Brewhouse!$T190</f>
        <v>0.11041666666666661</v>
      </c>
      <c r="N15" s="370">
        <f>[22]Brewhouse!$Z190</f>
        <v>0.26944444444444449</v>
      </c>
      <c r="O15" s="371" t="str">
        <f>[22]Brewhouse!$AX190</f>
        <v>R. Regis</v>
      </c>
      <c r="P15" s="369"/>
      <c r="Q15" s="347"/>
      <c r="S15" s="277" t="str">
        <f t="shared" si="9"/>
        <v>CARIB</v>
      </c>
      <c r="T15" s="296">
        <f t="shared" si="10"/>
        <v>11.6</v>
      </c>
      <c r="U15" s="296">
        <f t="shared" si="11"/>
        <v>12</v>
      </c>
      <c r="V15" s="297">
        <f t="shared" si="12"/>
        <v>0</v>
      </c>
      <c r="W15" s="297">
        <f t="shared" si="13"/>
        <v>0.118055555555556</v>
      </c>
      <c r="X15" s="297">
        <f t="shared" si="14"/>
        <v>0.22569444444444445</v>
      </c>
      <c r="Y15" s="297">
        <f t="shared" si="15"/>
        <v>0.2638888888888889</v>
      </c>
      <c r="Z15" s="297">
        <f t="shared" si="16"/>
        <v>0</v>
      </c>
      <c r="AA15" s="296">
        <f t="shared" si="17"/>
        <v>60</v>
      </c>
    </row>
    <row r="16" spans="2:30" ht="14.4">
      <c r="B16" s="29" t="s">
        <v>6</v>
      </c>
      <c r="C16" s="366" t="str">
        <f>[22]Brewhouse!$A191</f>
        <v>CA089</v>
      </c>
      <c r="D16" s="279">
        <f>[22]Brewhouse!$AF191</f>
        <v>54.5</v>
      </c>
      <c r="E16" s="279">
        <f>[22]Brewhouse!$AI191</f>
        <v>50.9</v>
      </c>
      <c r="F16" s="278">
        <f>[22]Brewhouse!$V191</f>
        <v>64</v>
      </c>
      <c r="G16" s="279">
        <f>[22]Brewhouse!$AG191</f>
        <v>11.82</v>
      </c>
      <c r="H16" s="367"/>
      <c r="I16" s="368">
        <f>[22]Brewhouse!$AU191</f>
        <v>95.057455440135968</v>
      </c>
      <c r="J16" s="368">
        <f>[22]Brewhouse!$AV191</f>
        <v>99.053382314723549</v>
      </c>
      <c r="K16" s="281">
        <f>[22]Brewhouse!$Q191</f>
        <v>3.9642857142857126</v>
      </c>
      <c r="L16" s="276">
        <f>[22]Brewhouse!$P191</f>
        <v>60</v>
      </c>
      <c r="M16" s="397">
        <f>[22]Brewhouse!$U191-[22]Brewhouse!$T191</f>
        <v>0.11736111111111114</v>
      </c>
      <c r="N16" s="370">
        <f>[22]Brewhouse!$Z191</f>
        <v>0.27083333333333337</v>
      </c>
      <c r="O16" s="371" t="str">
        <f>[22]Brewhouse!$AX191</f>
        <v>R. Regis</v>
      </c>
      <c r="P16" s="369"/>
      <c r="Q16" s="347"/>
      <c r="S16" s="277" t="str">
        <f t="shared" si="9"/>
        <v>CARIB</v>
      </c>
      <c r="T16" s="296">
        <f t="shared" si="10"/>
        <v>11.6</v>
      </c>
      <c r="U16" s="296">
        <f t="shared" si="11"/>
        <v>12</v>
      </c>
      <c r="V16" s="297">
        <f t="shared" si="12"/>
        <v>0</v>
      </c>
      <c r="W16" s="297">
        <f t="shared" si="13"/>
        <v>0.118055555555556</v>
      </c>
      <c r="X16" s="297">
        <f t="shared" si="14"/>
        <v>0.22569444444444445</v>
      </c>
      <c r="Y16" s="297">
        <f t="shared" si="15"/>
        <v>0.2638888888888889</v>
      </c>
      <c r="Z16" s="297">
        <f t="shared" si="16"/>
        <v>0</v>
      </c>
      <c r="AA16" s="296">
        <f t="shared" si="17"/>
        <v>60</v>
      </c>
    </row>
    <row r="17" spans="2:27" ht="14.4">
      <c r="B17" s="29" t="s">
        <v>6</v>
      </c>
      <c r="C17" s="366" t="str">
        <f>[22]Brewhouse!$A192</f>
        <v>CA090</v>
      </c>
      <c r="D17" s="279">
        <f>[22]Brewhouse!$AF192</f>
        <v>55.9</v>
      </c>
      <c r="E17" s="279">
        <f>[22]Brewhouse!$AI192</f>
        <v>52.5</v>
      </c>
      <c r="F17" s="278">
        <f>[22]Brewhouse!$V192</f>
        <v>65</v>
      </c>
      <c r="G17" s="279">
        <f>[22]Brewhouse!$AG192</f>
        <v>11.6</v>
      </c>
      <c r="H17" s="367"/>
      <c r="I17" s="368">
        <f>[22]Brewhouse!$AU192</f>
        <v>96.4155793854151</v>
      </c>
      <c r="J17" s="368">
        <f>[22]Brewhouse!$AV192</f>
        <v>100.4683812883038</v>
      </c>
      <c r="K17" s="281">
        <f>[22]Brewhouse!$Q192</f>
        <v>3.5438596491227998</v>
      </c>
      <c r="L17" s="276">
        <f>[22]Brewhouse!$P192</f>
        <v>57</v>
      </c>
      <c r="M17" s="397">
        <f>[22]Brewhouse!$U192-[22]Brewhouse!$T192</f>
        <v>0.10555555555555562</v>
      </c>
      <c r="N17" s="370">
        <f>[22]Brewhouse!$Z192</f>
        <v>0.25</v>
      </c>
      <c r="O17" s="371" t="str">
        <f>[22]Brewhouse!$AX192</f>
        <v>R. Sookram</v>
      </c>
      <c r="P17" s="369"/>
      <c r="Q17" s="347"/>
      <c r="S17" s="277" t="str">
        <f t="shared" si="9"/>
        <v>CARIB</v>
      </c>
      <c r="T17" s="296">
        <f t="shared" si="10"/>
        <v>11.6</v>
      </c>
      <c r="U17" s="296">
        <f t="shared" si="11"/>
        <v>12</v>
      </c>
      <c r="V17" s="297">
        <f t="shared" si="12"/>
        <v>0</v>
      </c>
      <c r="W17" s="297">
        <f t="shared" si="13"/>
        <v>0.118055555555556</v>
      </c>
      <c r="X17" s="297">
        <f t="shared" si="14"/>
        <v>0.22569444444444445</v>
      </c>
      <c r="Y17" s="297">
        <f t="shared" si="15"/>
        <v>0.2638888888888889</v>
      </c>
      <c r="Z17" s="297">
        <f t="shared" si="16"/>
        <v>0</v>
      </c>
      <c r="AA17" s="296">
        <f t="shared" si="17"/>
        <v>60</v>
      </c>
    </row>
    <row r="18" spans="2:27" ht="14.4">
      <c r="B18" s="34"/>
      <c r="C18" s="366"/>
      <c r="D18" s="279"/>
      <c r="E18" s="279"/>
      <c r="F18" s="278"/>
      <c r="G18" s="279"/>
      <c r="H18" s="396"/>
      <c r="I18" s="368"/>
      <c r="J18" s="368"/>
      <c r="K18" s="398"/>
      <c r="L18" s="276"/>
      <c r="M18" s="399"/>
      <c r="N18" s="370"/>
      <c r="O18" s="371"/>
      <c r="P18" s="369"/>
      <c r="Q18" s="347"/>
      <c r="S18" s="277">
        <f t="shared" si="9"/>
        <v>0</v>
      </c>
      <c r="T18" s="296" t="e">
        <f t="shared" si="10"/>
        <v>#N/A</v>
      </c>
      <c r="U18" s="296" t="e">
        <f t="shared" si="11"/>
        <v>#N/A</v>
      </c>
      <c r="V18" s="297" t="e">
        <f t="shared" si="12"/>
        <v>#N/A</v>
      </c>
      <c r="W18" s="297" t="e">
        <f t="shared" si="13"/>
        <v>#N/A</v>
      </c>
      <c r="X18" s="297" t="e">
        <f t="shared" si="14"/>
        <v>#N/A</v>
      </c>
      <c r="Y18" s="297" t="e">
        <f t="shared" si="15"/>
        <v>#N/A</v>
      </c>
      <c r="Z18" s="297" t="e">
        <f t="shared" si="16"/>
        <v>#N/A</v>
      </c>
      <c r="AA18" s="296" t="e">
        <f t="shared" si="17"/>
        <v>#N/A</v>
      </c>
    </row>
    <row r="19" spans="2:27" ht="14.4">
      <c r="B19" s="34"/>
      <c r="C19" s="366"/>
      <c r="D19" s="279"/>
      <c r="E19" s="279"/>
      <c r="F19" s="278"/>
      <c r="G19" s="279"/>
      <c r="H19" s="396"/>
      <c r="I19" s="368"/>
      <c r="J19" s="368"/>
      <c r="K19" s="398"/>
      <c r="L19" s="276"/>
      <c r="M19" s="399"/>
      <c r="N19" s="370"/>
      <c r="O19" s="371"/>
      <c r="P19" s="369"/>
      <c r="Q19" s="347"/>
      <c r="S19" s="277">
        <f t="shared" si="9"/>
        <v>0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2:27" ht="14.4">
      <c r="B20" s="34"/>
      <c r="C20" s="366"/>
      <c r="D20" s="279"/>
      <c r="E20" s="279"/>
      <c r="F20" s="278"/>
      <c r="G20" s="279"/>
      <c r="H20" s="396"/>
      <c r="I20" s="368"/>
      <c r="J20" s="368"/>
      <c r="K20" s="398"/>
      <c r="L20" s="276"/>
      <c r="M20" s="399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2:27" ht="15.75" customHeight="1">
      <c r="B21" s="34"/>
      <c r="C21" s="366"/>
      <c r="D21" s="279"/>
      <c r="E21" s="279"/>
      <c r="F21" s="278"/>
      <c r="G21" s="279"/>
      <c r="H21" s="396"/>
      <c r="I21" s="368"/>
      <c r="J21" s="368"/>
      <c r="K21" s="398"/>
      <c r="L21" s="276"/>
      <c r="M21" s="399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2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369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369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7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369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7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369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7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369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7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7" ht="15.75" hidden="1" customHeight="1">
      <c r="B29" s="33"/>
      <c r="C29" s="366"/>
      <c r="D29" s="279"/>
      <c r="E29" s="279"/>
      <c r="F29" s="278"/>
      <c r="G29" s="279"/>
      <c r="H29" s="396"/>
      <c r="I29" s="417"/>
      <c r="J29" s="417"/>
      <c r="K29" s="398"/>
      <c r="L29" s="276"/>
      <c r="M29" s="374"/>
      <c r="N29" s="370"/>
      <c r="O29" s="418"/>
      <c r="P29" s="369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7" ht="15.75" hidden="1" customHeight="1">
      <c r="B30" s="33"/>
      <c r="C30" s="366"/>
      <c r="D30" s="279"/>
      <c r="E30" s="279"/>
      <c r="F30" s="278"/>
      <c r="G30" s="279"/>
      <c r="H30" s="396"/>
      <c r="I30" s="417"/>
      <c r="J30" s="417"/>
      <c r="K30" s="398"/>
      <c r="L30" s="276"/>
      <c r="M30" s="374"/>
      <c r="N30" s="370"/>
      <c r="O30" s="418"/>
      <c r="P30" s="369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7" ht="15.75" hidden="1" customHeight="1">
      <c r="B31" s="33"/>
      <c r="C31" s="366"/>
      <c r="D31" s="279"/>
      <c r="E31" s="279"/>
      <c r="F31" s="278"/>
      <c r="G31" s="279"/>
      <c r="H31" s="396"/>
      <c r="I31" s="417"/>
      <c r="J31" s="417"/>
      <c r="K31" s="398"/>
      <c r="L31" s="276"/>
      <c r="M31" s="374"/>
      <c r="N31" s="370"/>
      <c r="O31" s="418"/>
      <c r="P31" s="369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7" ht="15.75" hidden="1" customHeight="1">
      <c r="B32" s="33"/>
      <c r="C32" s="366"/>
      <c r="D32" s="279"/>
      <c r="E32" s="279"/>
      <c r="F32" s="278"/>
      <c r="G32" s="279"/>
      <c r="H32" s="396"/>
      <c r="I32" s="417"/>
      <c r="J32" s="417"/>
      <c r="K32" s="398"/>
      <c r="L32" s="276"/>
      <c r="M32" s="374"/>
      <c r="N32" s="370"/>
      <c r="O32" s="418"/>
      <c r="P32" s="369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17"/>
      <c r="J33" s="417"/>
      <c r="K33" s="398"/>
      <c r="L33" s="276"/>
      <c r="M33" s="374"/>
      <c r="N33" s="370"/>
      <c r="O33" s="418"/>
      <c r="P33" s="369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1:27" ht="15.75" hidden="1" customHeight="1">
      <c r="B34" s="33"/>
      <c r="C34" s="366"/>
      <c r="D34" s="279"/>
      <c r="E34" s="279"/>
      <c r="F34" s="278"/>
      <c r="G34" s="279"/>
      <c r="H34" s="396"/>
      <c r="I34" s="417"/>
      <c r="J34" s="417"/>
      <c r="K34" s="398"/>
      <c r="L34" s="276"/>
      <c r="M34" s="374"/>
      <c r="N34" s="370"/>
      <c r="O34" s="418"/>
      <c r="P34" s="369"/>
      <c r="Q34" s="347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1:27" ht="15.75" hidden="1" customHeight="1">
      <c r="B35" s="33"/>
      <c r="C35" s="366"/>
      <c r="D35" s="279"/>
      <c r="E35" s="279"/>
      <c r="F35" s="278"/>
      <c r="G35" s="279"/>
      <c r="H35" s="396"/>
      <c r="I35" s="417"/>
      <c r="J35" s="417"/>
      <c r="K35" s="398"/>
      <c r="L35" s="276"/>
      <c r="M35" s="374"/>
      <c r="N35" s="370"/>
      <c r="O35" s="418"/>
      <c r="P35" s="369"/>
      <c r="Q35" s="347"/>
      <c r="S35" s="277">
        <f t="shared" si="9"/>
        <v>0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1:27" ht="15.75" hidden="1" customHeight="1">
      <c r="B36" s="33"/>
      <c r="C36" s="366"/>
      <c r="D36" s="279"/>
      <c r="E36" s="279"/>
      <c r="F36" s="278"/>
      <c r="G36" s="279"/>
      <c r="H36" s="396"/>
      <c r="I36" s="417"/>
      <c r="J36" s="417"/>
      <c r="K36" s="398"/>
      <c r="L36" s="276"/>
      <c r="M36" s="374"/>
      <c r="N36" s="370"/>
      <c r="O36" s="418"/>
      <c r="P36" s="369"/>
      <c r="Q36" s="347"/>
      <c r="S36" s="277">
        <f t="shared" si="9"/>
        <v>0</v>
      </c>
      <c r="T36" s="296" t="e">
        <f t="shared" si="10"/>
        <v>#N/A</v>
      </c>
      <c r="U36" s="296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7" t="e">
        <f t="shared" si="16"/>
        <v>#N/A</v>
      </c>
      <c r="AA36" s="296" t="e">
        <f t="shared" si="17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69"/>
      <c r="Q37" s="347"/>
      <c r="S37" s="277">
        <f t="shared" si="9"/>
        <v>0</v>
      </c>
      <c r="T37" s="296" t="e">
        <f t="shared" si="10"/>
        <v>#N/A</v>
      </c>
      <c r="U37" s="296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7" t="e">
        <f t="shared" si="16"/>
        <v>#N/A</v>
      </c>
      <c r="AA37" s="296" t="e">
        <f t="shared" si="17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69"/>
      <c r="Q38" s="347"/>
      <c r="S38" s="277">
        <f t="shared" si="9"/>
        <v>0</v>
      </c>
      <c r="T38" s="296" t="e">
        <f t="shared" si="10"/>
        <v>#N/A</v>
      </c>
      <c r="U38" s="296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7" t="e">
        <f t="shared" si="16"/>
        <v>#N/A</v>
      </c>
      <c r="AA38" s="296" t="e">
        <f t="shared" si="17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369"/>
      <c r="Q39" s="347"/>
      <c r="S39" s="277">
        <f t="shared" si="9"/>
        <v>0</v>
      </c>
      <c r="T39" s="296" t="e">
        <f t="shared" si="10"/>
        <v>#N/A</v>
      </c>
      <c r="U39" s="296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7" t="e">
        <f t="shared" si="16"/>
        <v>#N/A</v>
      </c>
      <c r="AA39" s="296" t="e">
        <f t="shared" si="17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369"/>
      <c r="Q40" s="347"/>
      <c r="S40" s="277">
        <f t="shared" si="9"/>
        <v>0</v>
      </c>
      <c r="T40" s="296" t="e">
        <f t="shared" si="10"/>
        <v>#N/A</v>
      </c>
      <c r="U40" s="296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7" t="e">
        <f t="shared" si="16"/>
        <v>#N/A</v>
      </c>
      <c r="AA40" s="296" t="e">
        <f t="shared" si="17"/>
        <v>#N/A</v>
      </c>
    </row>
    <row r="41" spans="1:27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369"/>
      <c r="Q41" s="347"/>
      <c r="S41" s="277">
        <f t="shared" si="9"/>
        <v>0</v>
      </c>
      <c r="T41" s="296" t="e">
        <f t="shared" si="10"/>
        <v>#N/A</v>
      </c>
      <c r="U41" s="296" t="e">
        <f t="shared" si="11"/>
        <v>#N/A</v>
      </c>
      <c r="V41" s="297" t="e">
        <f t="shared" si="12"/>
        <v>#N/A</v>
      </c>
      <c r="W41" s="297" t="e">
        <f t="shared" si="13"/>
        <v>#N/A</v>
      </c>
      <c r="X41" s="297" t="e">
        <f t="shared" si="14"/>
        <v>#N/A</v>
      </c>
      <c r="Y41" s="297" t="e">
        <f t="shared" si="15"/>
        <v>#N/A</v>
      </c>
      <c r="Z41" s="297" t="e">
        <f t="shared" si="16"/>
        <v>#N/A</v>
      </c>
      <c r="AA41" s="296" t="e">
        <f t="shared" si="17"/>
        <v>#N/A</v>
      </c>
    </row>
    <row r="42" spans="1:27" ht="14.4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74"/>
      <c r="N42" s="370"/>
      <c r="O42" s="371"/>
      <c r="P42" s="369"/>
      <c r="Q42" s="347"/>
      <c r="S42" s="277">
        <f t="shared" si="9"/>
        <v>0</v>
      </c>
      <c r="T42" s="296" t="e">
        <f t="shared" si="10"/>
        <v>#N/A</v>
      </c>
      <c r="U42" s="296" t="e">
        <f t="shared" si="11"/>
        <v>#N/A</v>
      </c>
      <c r="V42" s="297" t="e">
        <f t="shared" si="12"/>
        <v>#N/A</v>
      </c>
      <c r="W42" s="297" t="e">
        <f t="shared" si="13"/>
        <v>#N/A</v>
      </c>
      <c r="X42" s="297" t="e">
        <f t="shared" si="14"/>
        <v>#N/A</v>
      </c>
      <c r="Y42" s="297" t="e">
        <f t="shared" si="15"/>
        <v>#N/A</v>
      </c>
      <c r="Z42" s="297" t="e">
        <f t="shared" si="16"/>
        <v>#N/A</v>
      </c>
      <c r="AA42" s="296" t="e">
        <f t="shared" si="17"/>
        <v>#N/A</v>
      </c>
    </row>
    <row r="43" spans="1:27" ht="15.75" customHeight="1" thickBot="1">
      <c r="B43" s="358"/>
      <c r="C43" s="358"/>
      <c r="D43" s="358"/>
      <c r="E43" s="358"/>
      <c r="F43" s="294"/>
      <c r="G43" s="294"/>
      <c r="H43" s="348"/>
      <c r="I43" s="500" t="s">
        <v>34</v>
      </c>
      <c r="J43" s="500"/>
      <c r="K43" s="500"/>
      <c r="L43" s="500"/>
      <c r="M43" s="500"/>
      <c r="N43" s="500"/>
      <c r="O43" s="1"/>
      <c r="P43" s="12"/>
      <c r="S43" s="277"/>
      <c r="T43" s="296"/>
      <c r="U43" s="296"/>
      <c r="V43" s="297"/>
      <c r="W43" s="297"/>
      <c r="X43" s="297"/>
      <c r="Y43" s="297"/>
      <c r="Z43" s="297"/>
      <c r="AA43" s="296"/>
    </row>
    <row r="44" spans="1:27" ht="15" thickBot="1">
      <c r="B44" s="388" t="s">
        <v>145</v>
      </c>
      <c r="C44" s="388"/>
      <c r="D44" s="478" t="s">
        <v>35</v>
      </c>
      <c r="E44" s="479"/>
      <c r="F44" s="294"/>
      <c r="G44" s="294"/>
      <c r="H44" s="23"/>
      <c r="I44" s="24" t="s">
        <v>17</v>
      </c>
      <c r="J44" s="25" t="s">
        <v>146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S44" s="277"/>
      <c r="T44" s="296"/>
      <c r="U44" s="296"/>
      <c r="V44" s="297"/>
      <c r="W44" s="297"/>
      <c r="X44" s="297"/>
      <c r="Y44" s="297"/>
      <c r="Z44" s="297"/>
      <c r="AA44" s="296"/>
    </row>
    <row r="45" spans="1:27" ht="15" customHeight="1">
      <c r="A45" s="28"/>
      <c r="B45" s="566" t="str">
        <f>I45</f>
        <v>CARIB</v>
      </c>
      <c r="C45" s="362" cm="1">
        <f t="array" ref="C45:C52">[22]Process!$D$144:$D$151</f>
        <v>11.9</v>
      </c>
      <c r="D45" s="504">
        <v>11.77</v>
      </c>
      <c r="E45" s="505"/>
      <c r="F45" s="294"/>
      <c r="G45" s="294"/>
      <c r="H45" s="294"/>
      <c r="I45" s="29" t="s">
        <v>6</v>
      </c>
      <c r="J45" s="323">
        <f>AVERAGE(I10:I17)</f>
        <v>95.761874503581012</v>
      </c>
      <c r="K45" s="284">
        <f>COUNTA([22]Brewhouse!$A$173:$A$192)</f>
        <v>20</v>
      </c>
      <c r="L45" s="302">
        <f>AVERAGE([22]Brewhouse!$AU$173:$AU$192)</f>
        <v>94.436814753382393</v>
      </c>
      <c r="M45" s="302">
        <f>AVERAGE([22]Brewhouse!$AU$102:$AU$171,[22]Brewhouse!$AU$173:$AU$192)</f>
        <v>94.545104209404371</v>
      </c>
      <c r="N45" s="30">
        <v>98</v>
      </c>
      <c r="O45" s="11"/>
      <c r="P45" s="31"/>
      <c r="S45" s="277"/>
      <c r="T45" s="296"/>
      <c r="U45" s="296"/>
      <c r="V45" s="297"/>
      <c r="W45" s="297"/>
      <c r="X45" s="297"/>
      <c r="Y45" s="297"/>
      <c r="Z45" s="297"/>
      <c r="AA45" s="296"/>
    </row>
    <row r="46" spans="1:27" ht="15" customHeight="1">
      <c r="A46" s="28"/>
      <c r="B46" s="567"/>
      <c r="C46" s="349">
        <v>11.9</v>
      </c>
      <c r="D46" s="506"/>
      <c r="E46" s="507"/>
      <c r="F46" s="294"/>
      <c r="G46" s="294"/>
      <c r="H46" s="32"/>
      <c r="I46" s="33" t="s">
        <v>9</v>
      </c>
      <c r="J46" s="323"/>
      <c r="K46" s="284">
        <f>COUNTA([24]Brewhouse!$A$66:$A$73)</f>
        <v>8</v>
      </c>
      <c r="L46" s="302">
        <f>AVERAGE([24]Brewhouse!$AS$66:$AS$73)</f>
        <v>95.510976019344795</v>
      </c>
      <c r="M46" s="302">
        <f>AVERAGE([24]Brewhouse!$AS$15:$AS$64,[24]Brewhouse!$AS$66:$AS$73)</f>
        <v>95.999214037683316</v>
      </c>
      <c r="N46" s="30">
        <v>98</v>
      </c>
      <c r="O46" s="11"/>
      <c r="P46" s="31"/>
      <c r="S46" s="277"/>
      <c r="T46" s="296"/>
      <c r="U46" s="296"/>
      <c r="V46" s="297"/>
      <c r="W46" s="297"/>
      <c r="X46" s="297"/>
      <c r="Y46" s="297"/>
      <c r="Z46" s="297"/>
      <c r="AA46" s="296"/>
    </row>
    <row r="47" spans="1:27" ht="14.7" customHeight="1">
      <c r="A47" s="28"/>
      <c r="B47" s="568"/>
      <c r="C47" s="362">
        <v>11.9</v>
      </c>
      <c r="D47" s="504">
        <v>11.79</v>
      </c>
      <c r="E47" s="505"/>
      <c r="F47" s="294"/>
      <c r="G47" s="294"/>
      <c r="H47" s="32"/>
      <c r="I47" s="34" t="s">
        <v>12</v>
      </c>
      <c r="J47" s="280"/>
      <c r="K47" s="284">
        <f>COUNTA([23]Brewhouse!$A$9:$A$14)</f>
        <v>6</v>
      </c>
      <c r="L47" s="302">
        <f>AVERAGE([23]Brewhouse!$AU$9:$AU$14)</f>
        <v>96.577361087083986</v>
      </c>
      <c r="M47" s="302">
        <f>AVERAGE([23]Brewhouse!$AU$4:$AU$7,[23]Brewhouse!$AU$9:$AU$14)</f>
        <v>96.787191796473266</v>
      </c>
      <c r="N47" s="30">
        <v>98</v>
      </c>
      <c r="O47" s="11"/>
      <c r="P47" s="31"/>
      <c r="S47" s="23"/>
      <c r="T47" s="1"/>
      <c r="U47" s="1"/>
      <c r="AA47" s="285"/>
    </row>
    <row r="48" spans="1:27" ht="14.7" customHeight="1">
      <c r="A48" s="28"/>
      <c r="B48" s="568"/>
      <c r="C48" s="362">
        <v>11.9</v>
      </c>
      <c r="D48" s="506"/>
      <c r="E48" s="507"/>
      <c r="F48" s="294"/>
      <c r="G48" s="294"/>
      <c r="H48" s="32"/>
      <c r="I48" s="22" t="s">
        <v>33</v>
      </c>
      <c r="J48" s="280"/>
      <c r="K48" s="284"/>
      <c r="L48" s="302"/>
      <c r="M48" s="302">
        <f>AVERAGE([25]Brewhouse!$AV$5:$AV$14)</f>
        <v>97.717673301363135</v>
      </c>
      <c r="N48" s="30">
        <v>98</v>
      </c>
      <c r="O48" s="11"/>
      <c r="P48" s="31"/>
      <c r="S48" s="23"/>
      <c r="T48" s="1"/>
      <c r="U48" s="1"/>
      <c r="AA48" s="285"/>
    </row>
    <row r="49" spans="1:57" ht="14.7" customHeight="1">
      <c r="A49" s="28"/>
      <c r="B49" s="567"/>
      <c r="C49" s="362">
        <v>11.9</v>
      </c>
      <c r="D49" s="504">
        <v>11.64</v>
      </c>
      <c r="E49" s="505"/>
      <c r="F49" s="294"/>
      <c r="G49" s="294"/>
      <c r="H49" s="32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S49" s="23"/>
    </row>
    <row r="50" spans="1:57" ht="14.7" customHeight="1">
      <c r="A50" s="28"/>
      <c r="B50" s="567"/>
      <c r="C50" s="349">
        <v>11.9</v>
      </c>
      <c r="D50" s="506"/>
      <c r="E50" s="507"/>
      <c r="F50" s="294"/>
      <c r="G50" s="294"/>
      <c r="H50" s="32"/>
      <c r="I50" s="36" t="s">
        <v>15</v>
      </c>
      <c r="J50" s="323"/>
      <c r="K50" s="284"/>
      <c r="L50" s="302"/>
      <c r="M50" s="302">
        <f>AVERAGE([26]Brewhouse!$AT$4:$AT$11)</f>
        <v>94.812616598822359</v>
      </c>
      <c r="N50" s="30">
        <v>98</v>
      </c>
      <c r="O50" s="11"/>
      <c r="P50" s="31"/>
      <c r="S50" s="23"/>
    </row>
    <row r="51" spans="1:57" ht="14.7" customHeight="1">
      <c r="A51" s="28"/>
      <c r="B51" s="567"/>
      <c r="C51" s="349">
        <v>11.7</v>
      </c>
      <c r="D51" s="504">
        <v>11.72</v>
      </c>
      <c r="E51" s="505"/>
      <c r="F51" s="294"/>
      <c r="G51" s="294"/>
      <c r="H51" s="32"/>
      <c r="I51" s="37" t="s">
        <v>16</v>
      </c>
      <c r="J51" s="323"/>
      <c r="K51" s="284"/>
      <c r="L51" s="302"/>
      <c r="M51" s="302">
        <f>AVERAGE([27]Brewhouse!$AY$6:$AY$13)</f>
        <v>93.094805585685208</v>
      </c>
      <c r="N51" s="30">
        <v>98</v>
      </c>
      <c r="O51" s="11"/>
      <c r="P51" s="31" t="s">
        <v>41</v>
      </c>
      <c r="S51" s="23"/>
      <c r="X51" s="275" t="s">
        <v>41</v>
      </c>
    </row>
    <row r="52" spans="1:57" ht="14.7" customHeight="1">
      <c r="A52" s="28"/>
      <c r="B52" s="567"/>
      <c r="C52" s="349">
        <v>11.8</v>
      </c>
      <c r="D52" s="506"/>
      <c r="E52" s="507"/>
      <c r="F52" s="294"/>
      <c r="G52" s="294"/>
      <c r="H52" s="32"/>
      <c r="I52" s="416" t="s">
        <v>158</v>
      </c>
      <c r="J52" s="326"/>
      <c r="K52" s="284"/>
      <c r="L52" s="305"/>
      <c r="M52" s="305">
        <f>AVERAGE([28]Brewhouse!$AU$5:$AU$8)</f>
        <v>91.006888337619571</v>
      </c>
      <c r="N52" s="30">
        <v>98</v>
      </c>
      <c r="O52" s="11"/>
      <c r="P52" s="31"/>
      <c r="S52" s="23"/>
    </row>
    <row r="53" spans="1:57" ht="14.7" customHeight="1">
      <c r="A53" s="28"/>
      <c r="B53" s="567"/>
      <c r="C53" s="349"/>
      <c r="D53" s="504"/>
      <c r="E53" s="505"/>
      <c r="F53" s="294"/>
      <c r="G53" s="294"/>
      <c r="H53" s="32"/>
      <c r="I53" s="415" t="s">
        <v>157</v>
      </c>
      <c r="J53" s="326"/>
      <c r="K53" s="284"/>
      <c r="L53" s="305"/>
      <c r="M53" s="305"/>
      <c r="N53" s="30"/>
      <c r="O53" s="11"/>
      <c r="P53" s="31"/>
      <c r="S53" s="23"/>
    </row>
    <row r="54" spans="1:57" ht="15" customHeight="1" thickBot="1">
      <c r="A54" s="28"/>
      <c r="B54" s="567"/>
      <c r="C54" s="349"/>
      <c r="D54" s="506"/>
      <c r="E54" s="507"/>
      <c r="F54" s="294"/>
      <c r="G54" s="294"/>
      <c r="H54" s="32"/>
      <c r="I54" s="411" t="s">
        <v>156</v>
      </c>
      <c r="J54" s="327"/>
      <c r="K54" s="412"/>
      <c r="L54" s="413"/>
      <c r="M54" s="413"/>
      <c r="N54" s="414">
        <v>98</v>
      </c>
      <c r="O54" s="11"/>
      <c r="P54" s="31"/>
      <c r="S54" s="23"/>
    </row>
    <row r="55" spans="1:57" ht="15" customHeight="1" thickBot="1">
      <c r="A55" s="28"/>
      <c r="B55" s="567"/>
      <c r="C55" s="349"/>
      <c r="D55" s="504"/>
      <c r="E55" s="505"/>
      <c r="F55" s="294"/>
      <c r="G55" s="294"/>
      <c r="H55" s="32"/>
      <c r="I55" s="1"/>
      <c r="J55" s="39"/>
      <c r="K55" s="409">
        <f>SUM(K45:K54)</f>
        <v>34</v>
      </c>
      <c r="L55" s="410">
        <f>((L45*K45)+(L46*K46)+(L47*K47)+(L48*K48)+(L49*K49)+(K52*L52)+(L50*K50)+(L51*K51)+(L54*K54))/(K55)</f>
        <v>95.067302051320894</v>
      </c>
      <c r="M55" s="410">
        <f>L55</f>
        <v>95.067302051320894</v>
      </c>
      <c r="N55" s="40">
        <v>98</v>
      </c>
      <c r="O55" s="11"/>
      <c r="P55" s="31"/>
      <c r="S55" s="23"/>
    </row>
    <row r="56" spans="1:57" ht="15" thickBot="1">
      <c r="B56" s="569"/>
      <c r="C56" s="350"/>
      <c r="D56" s="506"/>
      <c r="E56" s="507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S56" s="23"/>
    </row>
    <row r="57" spans="1:57" ht="15" thickBot="1">
      <c r="B57" s="563" t="str">
        <f>I46</f>
        <v>STAG</v>
      </c>
      <c r="C57" s="362" cm="1">
        <f t="array" ref="C57:C64">[24]Process!$D$53:$D$60</f>
        <v>11.9</v>
      </c>
      <c r="D57" s="517">
        <v>11.94</v>
      </c>
      <c r="E57" s="518"/>
      <c r="F57" s="43"/>
      <c r="G57" s="41"/>
      <c r="H57" s="41"/>
      <c r="I57" s="42"/>
      <c r="J57" s="520" t="s">
        <v>129</v>
      </c>
      <c r="K57" s="520"/>
      <c r="L57" s="294"/>
      <c r="M57" s="294"/>
      <c r="N57" s="294"/>
      <c r="O57" s="294"/>
      <c r="P57" s="12"/>
      <c r="S57" s="23" t="s">
        <v>41</v>
      </c>
    </row>
    <row r="58" spans="1:57" ht="13.5" customHeight="1" thickBot="1">
      <c r="B58" s="564"/>
      <c r="C58" s="349">
        <v>11.8</v>
      </c>
      <c r="D58" s="519"/>
      <c r="E58" s="507"/>
      <c r="F58" s="43"/>
      <c r="G58" s="41"/>
      <c r="H58" s="41"/>
      <c r="I58" s="42"/>
      <c r="J58" s="419" t="s">
        <v>17</v>
      </c>
      <c r="K58" s="293" t="s">
        <v>147</v>
      </c>
      <c r="L58" s="521" t="s">
        <v>136</v>
      </c>
      <c r="M58" s="521"/>
      <c r="N58" s="522"/>
      <c r="O58" s="294"/>
      <c r="P58" s="12"/>
      <c r="S58" s="23"/>
    </row>
    <row r="59" spans="1:57" ht="15" customHeight="1" thickBot="1">
      <c r="B59" s="564"/>
      <c r="C59" s="349">
        <v>11.8</v>
      </c>
      <c r="D59" s="523">
        <v>11.96</v>
      </c>
      <c r="E59" s="505"/>
      <c r="F59" s="43"/>
      <c r="G59" s="41"/>
      <c r="H59" s="41"/>
      <c r="I59" s="42"/>
      <c r="J59" s="420" t="s">
        <v>6</v>
      </c>
      <c r="K59" s="324">
        <f>COUNTA(B10:B17)</f>
        <v>8</v>
      </c>
      <c r="L59" s="343" t="s">
        <v>37</v>
      </c>
      <c r="M59" s="307" t="s">
        <v>38</v>
      </c>
      <c r="N59" s="307" t="s">
        <v>84</v>
      </c>
      <c r="O59" s="294"/>
      <c r="P59" s="12"/>
      <c r="S59" s="23"/>
    </row>
    <row r="60" spans="1:57" ht="15.75" customHeight="1" thickBot="1">
      <c r="B60" s="564"/>
      <c r="C60" s="349">
        <v>11.8</v>
      </c>
      <c r="D60" s="519"/>
      <c r="E60" s="507"/>
      <c r="F60" s="43"/>
      <c r="G60" s="41"/>
      <c r="H60" s="41"/>
      <c r="I60" s="42"/>
      <c r="J60" s="421" t="s">
        <v>9</v>
      </c>
      <c r="K60" s="324"/>
      <c r="L60" s="344">
        <f>AVERAGE('Feb 3rd'!K79,'Feb 4th'!K77,'Feb 5th'!L68,'Feb 6th'!K75,'Feb 10th'!K69)</f>
        <v>6.6</v>
      </c>
      <c r="M60" s="325">
        <f>AVERAGE('[29]Jan 29th '!$M$70,L60)</f>
        <v>6.55</v>
      </c>
      <c r="N60" s="401"/>
      <c r="O60" s="294"/>
      <c r="P60" s="12"/>
      <c r="S60" s="23"/>
    </row>
    <row r="61" spans="1:57" ht="15" customHeight="1">
      <c r="B61" s="564"/>
      <c r="C61" s="349">
        <v>11.6</v>
      </c>
      <c r="D61" s="523">
        <v>11.94</v>
      </c>
      <c r="E61" s="505"/>
      <c r="F61" s="43"/>
      <c r="G61" s="41"/>
      <c r="H61" s="41"/>
      <c r="I61" s="42"/>
      <c r="J61" s="422" t="s">
        <v>40</v>
      </c>
      <c r="K61" s="324"/>
      <c r="L61" s="294"/>
      <c r="M61" s="294"/>
      <c r="N61" s="294"/>
      <c r="O61" s="294"/>
      <c r="P61" s="12"/>
      <c r="S61" s="23"/>
    </row>
    <row r="62" spans="1:57" ht="15" customHeight="1">
      <c r="B62" s="564"/>
      <c r="C62" s="349">
        <v>11.8</v>
      </c>
      <c r="D62" s="519"/>
      <c r="E62" s="507"/>
      <c r="F62" s="43"/>
      <c r="G62" s="41"/>
      <c r="H62" s="41"/>
      <c r="I62" s="42"/>
      <c r="J62" s="423" t="s">
        <v>33</v>
      </c>
      <c r="K62" s="324"/>
      <c r="L62" s="294"/>
      <c r="M62" s="294"/>
      <c r="N62" s="294"/>
      <c r="O62" s="294"/>
      <c r="P62" s="12"/>
      <c r="S62" s="23"/>
    </row>
    <row r="63" spans="1:57" ht="14.4">
      <c r="B63" s="564"/>
      <c r="C63" s="349">
        <v>11.7</v>
      </c>
      <c r="D63" s="523">
        <v>11.89</v>
      </c>
      <c r="E63" s="505"/>
      <c r="F63" s="43"/>
      <c r="G63" s="41"/>
      <c r="H63" s="41"/>
      <c r="I63" s="42"/>
      <c r="J63" s="424" t="s">
        <v>16</v>
      </c>
      <c r="K63" s="324"/>
      <c r="L63" s="294"/>
      <c r="M63" s="294"/>
      <c r="N63" s="294"/>
      <c r="O63" s="294"/>
      <c r="P63" s="12"/>
      <c r="S63" s="23"/>
      <c r="BD63" s="44"/>
      <c r="BE63" s="44"/>
    </row>
    <row r="64" spans="1:57" ht="14.4">
      <c r="B64" s="564"/>
      <c r="C64" s="349">
        <v>11.8</v>
      </c>
      <c r="D64" s="519"/>
      <c r="E64" s="507"/>
      <c r="F64" s="43"/>
      <c r="G64" s="41"/>
      <c r="H64" s="41"/>
      <c r="I64" s="42"/>
      <c r="J64" s="425" t="s">
        <v>15</v>
      </c>
      <c r="K64" s="324"/>
      <c r="L64" s="294"/>
      <c r="M64" s="294"/>
      <c r="N64" s="294"/>
      <c r="O64" s="294"/>
      <c r="P64" s="12"/>
      <c r="S64" s="23"/>
      <c r="BD64" s="44"/>
      <c r="BE64" s="44"/>
    </row>
    <row r="65" spans="2:58" ht="14.4">
      <c r="B65" s="564"/>
      <c r="C65" s="349"/>
      <c r="D65" s="524"/>
      <c r="E65" s="509"/>
      <c r="F65" s="43"/>
      <c r="G65" s="41"/>
      <c r="H65" s="41"/>
      <c r="I65" s="42"/>
      <c r="J65" s="425" t="s">
        <v>149</v>
      </c>
      <c r="K65" s="324"/>
      <c r="L65" s="294"/>
      <c r="M65" s="294"/>
      <c r="N65" s="294"/>
      <c r="O65" s="294"/>
      <c r="P65" s="12"/>
      <c r="S65" s="23"/>
      <c r="BD65" s="44"/>
      <c r="BE65" s="44"/>
    </row>
    <row r="66" spans="2:58" ht="15" thickBot="1">
      <c r="B66" s="565"/>
      <c r="C66" s="350"/>
      <c r="D66" s="525"/>
      <c r="E66" s="526"/>
      <c r="F66" s="43"/>
      <c r="G66" s="41"/>
      <c r="H66" s="41"/>
      <c r="I66" s="42"/>
      <c r="J66" s="425" t="s">
        <v>148</v>
      </c>
      <c r="K66" s="324"/>
      <c r="L66" s="294"/>
      <c r="M66" s="294"/>
      <c r="N66" s="294"/>
      <c r="O66" s="294"/>
      <c r="P66" s="12"/>
      <c r="S66" s="23"/>
      <c r="BD66" s="44"/>
      <c r="BE66" s="44"/>
    </row>
    <row r="67" spans="2:58" ht="17.7" customHeight="1" thickBot="1">
      <c r="B67" s="312" t="s">
        <v>139</v>
      </c>
      <c r="C67" s="313"/>
      <c r="D67" s="527">
        <f>AVERAGE(D45:E66)</f>
        <v>11.831249999999999</v>
      </c>
      <c r="E67" s="528"/>
      <c r="F67" s="43"/>
      <c r="G67" s="41"/>
      <c r="H67" s="41"/>
      <c r="I67" s="42"/>
      <c r="J67" s="426" t="s">
        <v>134</v>
      </c>
      <c r="K67" s="324"/>
      <c r="L67" s="294"/>
      <c r="M67" s="294"/>
      <c r="N67" s="294"/>
      <c r="O67" s="294"/>
      <c r="P67" s="12"/>
      <c r="S67" s="23"/>
      <c r="BD67" s="44"/>
      <c r="BE67" s="44"/>
    </row>
    <row r="68" spans="2:58" ht="17.7" customHeight="1">
      <c r="B68" s="363"/>
      <c r="C68" s="364"/>
      <c r="D68" s="365"/>
      <c r="E68" s="365"/>
      <c r="F68" s="43"/>
      <c r="G68" s="41"/>
      <c r="H68" s="4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.75" customHeight="1">
      <c r="B69" s="45"/>
      <c r="C69" s="11"/>
      <c r="D69" s="11"/>
      <c r="E69" s="46"/>
      <c r="F69" s="23"/>
      <c r="G69" s="11"/>
      <c r="H69" s="41"/>
      <c r="I69" s="42"/>
      <c r="J69" s="427" t="s">
        <v>130</v>
      </c>
      <c r="K69" s="324">
        <f>SUM(K59:K68)</f>
        <v>8</v>
      </c>
      <c r="L69" s="294"/>
      <c r="M69" s="294"/>
      <c r="N69" s="294"/>
      <c r="O69" s="294"/>
      <c r="P69" s="12"/>
    </row>
    <row r="70" spans="2:58" ht="20.25" customHeight="1">
      <c r="B70" s="15" t="s">
        <v>42</v>
      </c>
      <c r="C70" s="1" t="s">
        <v>43</v>
      </c>
      <c r="D70" s="1"/>
      <c r="E70" s="1"/>
      <c r="I70" s="42"/>
      <c r="L70" s="294"/>
      <c r="P70" s="334"/>
    </row>
    <row r="71" spans="2:58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  <c r="X71" s="275" t="s">
        <v>41</v>
      </c>
    </row>
    <row r="72" spans="2:58" ht="15" customHeight="1" thickBot="1">
      <c r="B72" s="529" t="s">
        <v>17</v>
      </c>
      <c r="C72" s="529" t="s">
        <v>44</v>
      </c>
      <c r="D72" s="531" t="s">
        <v>45</v>
      </c>
      <c r="E72" s="486" t="s">
        <v>46</v>
      </c>
      <c r="F72" s="546" t="s">
        <v>47</v>
      </c>
      <c r="G72" s="540" t="s">
        <v>48</v>
      </c>
      <c r="H72" s="529" t="s">
        <v>49</v>
      </c>
      <c r="I72" s="529" t="s">
        <v>50</v>
      </c>
      <c r="J72" s="534" t="s">
        <v>28</v>
      </c>
      <c r="K72" s="484" t="s">
        <v>51</v>
      </c>
      <c r="L72" s="496" t="s">
        <v>52</v>
      </c>
      <c r="M72" s="534" t="s">
        <v>53</v>
      </c>
      <c r="N72" s="77"/>
      <c r="O72" s="13"/>
      <c r="P72" s="50"/>
    </row>
    <row r="73" spans="2:58" ht="28.5" customHeight="1" thickTop="1" thickBot="1">
      <c r="B73" s="530"/>
      <c r="C73" s="530"/>
      <c r="D73" s="532"/>
      <c r="E73" s="533"/>
      <c r="F73" s="547"/>
      <c r="G73" s="541"/>
      <c r="H73" s="530"/>
      <c r="I73" s="530"/>
      <c r="J73" s="535"/>
      <c r="K73" s="544"/>
      <c r="L73" s="545"/>
      <c r="M73" s="535"/>
      <c r="N73" s="77"/>
      <c r="O73" s="13"/>
      <c r="P73" s="50"/>
      <c r="Q73" s="355"/>
      <c r="R73" s="355"/>
      <c r="S73" s="355"/>
      <c r="T73" s="355"/>
      <c r="U73" s="51">
        <v>43466</v>
      </c>
      <c r="V73" s="51">
        <v>43467</v>
      </c>
      <c r="W73" s="51">
        <v>43468</v>
      </c>
      <c r="X73" s="51">
        <v>43469</v>
      </c>
      <c r="Y73" s="51">
        <v>43470</v>
      </c>
      <c r="Z73" s="51">
        <v>43471</v>
      </c>
      <c r="AA73" s="51">
        <v>43472</v>
      </c>
      <c r="AB73" s="51">
        <v>43473</v>
      </c>
      <c r="AC73" s="51">
        <v>43474</v>
      </c>
      <c r="AD73" s="51">
        <v>43475</v>
      </c>
      <c r="AE73" s="51">
        <v>43476</v>
      </c>
      <c r="AF73" s="51">
        <v>43477</v>
      </c>
      <c r="AG73" s="51">
        <v>43478</v>
      </c>
      <c r="AH73" s="51">
        <v>43479</v>
      </c>
      <c r="AI73" s="51">
        <v>43480</v>
      </c>
      <c r="AJ73" s="51">
        <v>43481</v>
      </c>
      <c r="AK73" s="51">
        <v>43482</v>
      </c>
      <c r="AL73" s="51">
        <v>43483</v>
      </c>
      <c r="AM73" s="51">
        <v>43484</v>
      </c>
      <c r="AN73" s="51">
        <v>43485</v>
      </c>
      <c r="AO73" s="51">
        <v>43486</v>
      </c>
      <c r="AP73" s="51">
        <v>43487</v>
      </c>
      <c r="AQ73" s="51">
        <v>43488</v>
      </c>
      <c r="AR73" s="51">
        <v>43489</v>
      </c>
      <c r="AS73" s="51">
        <v>43490</v>
      </c>
      <c r="AT73" s="51">
        <v>43491</v>
      </c>
      <c r="AU73" s="51">
        <v>43492</v>
      </c>
      <c r="AV73" s="51">
        <v>43493</v>
      </c>
      <c r="AW73" s="51">
        <v>43494</v>
      </c>
      <c r="AX73" s="51">
        <v>43495</v>
      </c>
      <c r="AY73" s="51">
        <v>43496</v>
      </c>
    </row>
    <row r="74" spans="2:58" s="54" customFormat="1" ht="56.4" customHeight="1" thickBot="1">
      <c r="B74" s="428" t="str">
        <f>I45</f>
        <v>CARIB</v>
      </c>
      <c r="C74" s="283">
        <v>45698</v>
      </c>
      <c r="D74" s="377">
        <f>[30]February_2025!$M$3</f>
        <v>400.60000000000008</v>
      </c>
      <c r="E74" s="378"/>
      <c r="F74" s="379">
        <f>SUM([31]CARIB!$L$32:$L$39)</f>
        <v>387.2</v>
      </c>
      <c r="G74" s="303">
        <f>[30]February_2025!$M$7</f>
        <v>378</v>
      </c>
      <c r="H74" s="400">
        <f>(D74-F74)/D74*100</f>
        <v>3.344982526210706</v>
      </c>
      <c r="I74" s="400">
        <f>((F74+E74)-G74)/(F74+E74)*100</f>
        <v>2.3760330578512368</v>
      </c>
      <c r="J74" s="390" t="s">
        <v>162</v>
      </c>
      <c r="K74" s="380">
        <f>[32]February_2025!$M$18</f>
        <v>0.94499999999999995</v>
      </c>
      <c r="L74" s="314">
        <f>(((D74+E74)-G74)/(D74+E74))*100</f>
        <v>5.6415376934598287</v>
      </c>
      <c r="M74" s="357" t="s">
        <v>172</v>
      </c>
      <c r="N74" s="13"/>
      <c r="O74" s="13"/>
      <c r="P74" s="50"/>
      <c r="T74" s="272" t="s">
        <v>54</v>
      </c>
      <c r="U74" s="279"/>
      <c r="V74" s="279"/>
      <c r="W74" s="279"/>
      <c r="X74" s="279"/>
      <c r="Y74" s="279"/>
      <c r="Z74" s="279"/>
      <c r="AA74" s="279"/>
      <c r="AB74" s="279"/>
      <c r="AC74" s="279"/>
      <c r="AD74" s="279"/>
      <c r="AE74" s="279"/>
      <c r="AF74" s="279"/>
      <c r="AG74" s="279"/>
      <c r="AH74" s="279"/>
      <c r="AI74" s="279"/>
      <c r="AJ74" s="279"/>
      <c r="AK74" s="279"/>
      <c r="AL74" s="279"/>
      <c r="AM74" s="279"/>
      <c r="AN74" s="279"/>
      <c r="AO74" s="279"/>
      <c r="AP74" s="279"/>
      <c r="AQ74" s="279"/>
      <c r="AR74" s="279"/>
      <c r="AS74" s="279"/>
      <c r="AT74" s="279"/>
      <c r="AU74" s="279"/>
      <c r="AV74" s="279"/>
      <c r="AW74" s="279"/>
      <c r="AX74" s="279"/>
    </row>
    <row r="75" spans="2:58" s="54" customFormat="1" ht="18.75" customHeight="1" thickBot="1">
      <c r="B75" s="387"/>
      <c r="C75" s="283"/>
      <c r="D75" s="279"/>
      <c r="E75" s="279"/>
      <c r="F75" s="279"/>
      <c r="G75" s="279"/>
      <c r="H75" s="320"/>
      <c r="I75" s="322"/>
      <c r="J75" s="389"/>
      <c r="K75" s="437"/>
      <c r="L75" s="314"/>
      <c r="M75" s="384"/>
      <c r="N75" s="13"/>
      <c r="O75" s="13"/>
      <c r="P75" s="50"/>
      <c r="T75" s="272" t="s">
        <v>51</v>
      </c>
      <c r="U75" s="57" t="e">
        <f>[20]January_2019!D8</f>
        <v>#DIV/0!</v>
      </c>
      <c r="V75" s="57">
        <f>[20]January_2019!E8</f>
        <v>1.0319298245614037</v>
      </c>
      <c r="W75" s="57">
        <f>[20]January_2019!F8</f>
        <v>1.7789473684210526</v>
      </c>
      <c r="X75" s="57">
        <f>[20]January_2019!G8</f>
        <v>0.51929824561403504</v>
      </c>
      <c r="Y75" s="57" t="e">
        <f>[20]January_2019!H8</f>
        <v>#DIV/0!</v>
      </c>
      <c r="Z75" s="57" t="e">
        <f>[20]January_2019!I8</f>
        <v>#DIV/0!</v>
      </c>
      <c r="AA75" s="57">
        <f>[20]January_2019!J8</f>
        <v>1.365263157894737</v>
      </c>
      <c r="AB75" s="57" t="e">
        <f>[20]January_2019!K8</f>
        <v>#DIV/0!</v>
      </c>
      <c r="AC75" s="57">
        <f>[20]January_2019!L8</f>
        <v>1.0028070175438597</v>
      </c>
      <c r="AD75" s="57">
        <f>[20]January_2019!M8</f>
        <v>1.7828070175438597</v>
      </c>
      <c r="AE75" s="57" t="e">
        <f>[20]January_2019!N8</f>
        <v>#DIV/0!</v>
      </c>
      <c r="AF75" s="57" t="e">
        <f>[20]January_2019!O8</f>
        <v>#DIV/0!</v>
      </c>
      <c r="AG75" s="57">
        <f>[20]January_2019!P8</f>
        <v>0.19222222222222221</v>
      </c>
      <c r="AH75" s="57">
        <f>[20]January_2019!Q8</f>
        <v>0.52219298245614032</v>
      </c>
      <c r="AI75" s="57">
        <f>[20]January_2019!R8</f>
        <v>0.42912280701754385</v>
      </c>
      <c r="AJ75" s="57" t="e">
        <f>[20]January_2019!S8</f>
        <v>#DIV/0!</v>
      </c>
      <c r="AK75" s="57">
        <f>[20]January_2019!T8</f>
        <v>1.0340350877192983</v>
      </c>
      <c r="AL75" s="57">
        <f>[20]January_2019!U8</f>
        <v>0.98421052631578942</v>
      </c>
      <c r="AM75" s="57" t="e">
        <f>[20]January_2019!V8</f>
        <v>#DIV/0!</v>
      </c>
      <c r="AN75" s="57" t="e">
        <f>[20]January_2019!W8</f>
        <v>#DIV/0!</v>
      </c>
      <c r="AO75" s="57">
        <f>[20]January_2019!X8</f>
        <v>0.66052631578947374</v>
      </c>
      <c r="AP75" s="57">
        <f>[20]January_2019!Y8</f>
        <v>1.0375438596491227</v>
      </c>
      <c r="AQ75" s="57">
        <f>[20]January_2019!Z8</f>
        <v>0.90456140350877201</v>
      </c>
      <c r="AR75" s="57">
        <f>[20]January_2019!AA8</f>
        <v>1.0217543859649123</v>
      </c>
      <c r="AS75" s="57">
        <f>[20]January_2019!AB8</f>
        <v>0.65614035087719302</v>
      </c>
      <c r="AT75" s="57" t="e">
        <f>[20]January_2019!AC8</f>
        <v>#DIV/0!</v>
      </c>
      <c r="AU75" s="57" t="e">
        <f>[20]January_2019!AD8</f>
        <v>#DIV/0!</v>
      </c>
      <c r="AV75" s="57">
        <f>[20]January_2019!AE8</f>
        <v>1.7021052631578948</v>
      </c>
      <c r="AW75" s="57">
        <f>[20]January_2019!AF8</f>
        <v>0.60192982456140354</v>
      </c>
      <c r="AX75" s="57">
        <f>[20]January_2019!AG8</f>
        <v>1.4870175438596491</v>
      </c>
      <c r="AY75" s="277" t="e">
        <f>[20]January_2019!AH8</f>
        <v>#DIV/0!</v>
      </c>
      <c r="AZ75" s="277"/>
      <c r="BA75" s="277"/>
      <c r="BB75" s="277"/>
      <c r="BC75" s="277"/>
      <c r="BD75" s="277"/>
      <c r="BE75" s="277"/>
      <c r="BF75" s="277"/>
    </row>
    <row r="76" spans="2:58" s="54" customFormat="1" ht="42" customHeight="1" thickBot="1">
      <c r="B76" s="430" t="str">
        <f>I46</f>
        <v>STAG</v>
      </c>
      <c r="C76" s="283">
        <v>45699</v>
      </c>
      <c r="D76" s="279">
        <f>[30]February_2025!$N$13</f>
        <v>401.1</v>
      </c>
      <c r="E76" s="279"/>
      <c r="F76" s="279">
        <f>SUM([31]STAG!$L$30:$L$37)</f>
        <v>391.4</v>
      </c>
      <c r="G76" s="279">
        <f>[30]February_2025!$N$17</f>
        <v>373.7</v>
      </c>
      <c r="H76" s="400">
        <f>(D76-F76)/D76*100</f>
        <v>2.418349538768398</v>
      </c>
      <c r="I76" s="400">
        <f>((F76+E76)-G76)/(F76+E76)*100</f>
        <v>4.5222278998467011</v>
      </c>
      <c r="J76" s="390" t="s">
        <v>162</v>
      </c>
      <c r="K76" s="437">
        <f>[32]February_2025!$N$25</f>
        <v>0.93425000000000002</v>
      </c>
      <c r="L76" s="314">
        <f>(((D76+E76)-G76)/(D76+E76))*100</f>
        <v>6.831214161057102</v>
      </c>
      <c r="M76" s="281" t="s">
        <v>173</v>
      </c>
      <c r="N76" s="13"/>
      <c r="O76" s="13"/>
      <c r="P76" s="50"/>
      <c r="T76" s="272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277"/>
      <c r="AZ76" s="277"/>
      <c r="BA76" s="277"/>
      <c r="BB76" s="277"/>
      <c r="BC76" s="277"/>
      <c r="BD76" s="277"/>
      <c r="BE76" s="277"/>
      <c r="BF76" s="277"/>
    </row>
    <row r="77" spans="2:58" s="54" customFormat="1" hidden="1">
      <c r="B77" s="361"/>
      <c r="C77" s="283"/>
      <c r="D77" s="304"/>
      <c r="E77" s="279"/>
      <c r="F77" s="279"/>
      <c r="G77" s="279"/>
      <c r="H77" s="381"/>
      <c r="I77" s="381"/>
      <c r="J77" s="389"/>
      <c r="K77" s="437"/>
      <c r="L77" s="314"/>
      <c r="M77" s="339"/>
      <c r="N77" s="13"/>
      <c r="O77" s="13"/>
      <c r="P77" s="50"/>
      <c r="T77" s="272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277"/>
      <c r="AZ77" s="277"/>
      <c r="BA77" s="277"/>
      <c r="BB77" s="277"/>
      <c r="BC77" s="277"/>
      <c r="BD77" s="277"/>
      <c r="BE77" s="277"/>
      <c r="BF77" s="277"/>
    </row>
    <row r="78" spans="2:58" s="54" customFormat="1" ht="45.75" hidden="1" customHeight="1" thickBot="1">
      <c r="B78" s="431"/>
      <c r="C78" s="283"/>
      <c r="D78" s="279"/>
      <c r="E78" s="279"/>
      <c r="F78" s="279"/>
      <c r="G78" s="279"/>
      <c r="H78" s="320"/>
      <c r="I78" s="322"/>
      <c r="J78" s="438"/>
      <c r="K78" s="286"/>
      <c r="L78" s="314"/>
      <c r="M78" s="281"/>
      <c r="N78" s="13"/>
      <c r="O78" s="13"/>
      <c r="P78" s="50"/>
      <c r="T78" s="272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277"/>
      <c r="AZ78" s="277"/>
      <c r="BA78" s="277"/>
      <c r="BB78" s="277"/>
      <c r="BC78" s="277"/>
      <c r="BD78" s="277"/>
      <c r="BE78" s="277"/>
      <c r="BF78" s="277"/>
    </row>
    <row r="79" spans="2:58" s="54" customFormat="1" ht="9" hidden="1" customHeight="1">
      <c r="B79" s="387"/>
      <c r="C79" s="283"/>
      <c r="D79" s="279"/>
      <c r="E79" s="279"/>
      <c r="F79" s="279"/>
      <c r="G79" s="279"/>
      <c r="H79" s="320"/>
      <c r="I79" s="322"/>
      <c r="J79" s="281"/>
      <c r="K79" s="286"/>
      <c r="L79" s="314"/>
      <c r="M79" s="339"/>
      <c r="N79" s="13"/>
      <c r="O79" s="13"/>
      <c r="P79" s="50"/>
      <c r="T79" s="272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277"/>
      <c r="AZ79" s="277"/>
      <c r="BA79" s="277"/>
      <c r="BB79" s="277"/>
      <c r="BC79" s="277"/>
      <c r="BD79" s="277"/>
      <c r="BE79" s="277"/>
      <c r="BF79" s="277"/>
    </row>
    <row r="80" spans="2:58" ht="11.4" customHeight="1" thickBot="1">
      <c r="B80" s="33"/>
      <c r="C80" s="310"/>
      <c r="D80" s="279"/>
      <c r="E80" s="279"/>
      <c r="F80" s="279"/>
      <c r="G80" s="279"/>
      <c r="H80" s="352"/>
      <c r="I80" s="353"/>
      <c r="J80" s="281"/>
      <c r="K80" s="52"/>
      <c r="L80" s="53"/>
      <c r="M80" s="55"/>
      <c r="N80" s="77"/>
      <c r="O80" s="13"/>
      <c r="P80" s="56"/>
    </row>
    <row r="81" spans="2:16" ht="14.4" thickBot="1">
      <c r="B81" s="58"/>
      <c r="C81" s="309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9"/>
      <c r="O81" s="56"/>
      <c r="P81" s="60"/>
    </row>
    <row r="82" spans="2:16" ht="14.4" thickBot="1">
      <c r="B82" s="536" t="s">
        <v>55</v>
      </c>
      <c r="C82" s="537"/>
      <c r="D82" s="537"/>
      <c r="E82" s="537"/>
      <c r="F82" s="538"/>
      <c r="G82" s="536" t="s">
        <v>56</v>
      </c>
      <c r="H82" s="537"/>
      <c r="I82" s="537"/>
      <c r="J82" s="538"/>
      <c r="K82" s="536" t="s">
        <v>51</v>
      </c>
      <c r="L82" s="537"/>
      <c r="M82" s="537"/>
      <c r="N82" s="539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>
        <f>L74</f>
        <v>5.6415376934598287</v>
      </c>
      <c r="D84" s="76">
        <v>5.8913491588536404</v>
      </c>
      <c r="E84" s="76">
        <v>7.0645959446278299</v>
      </c>
      <c r="F84" s="66">
        <v>4.8</v>
      </c>
      <c r="G84" s="65">
        <f>[30]February_2025!$M$11</f>
        <v>6.7068751711143282</v>
      </c>
      <c r="H84" s="76">
        <v>6.39775689895834</v>
      </c>
      <c r="I84" s="76">
        <v>7.5595545250745966</v>
      </c>
      <c r="J84" s="66">
        <v>4.8</v>
      </c>
      <c r="K84" s="67">
        <f>K74</f>
        <v>0.94499999999999995</v>
      </c>
      <c r="L84" s="194">
        <v>0.71446215139442226</v>
      </c>
      <c r="M84" s="194">
        <v>0.91694760820045573</v>
      </c>
      <c r="N84" s="68">
        <v>1</v>
      </c>
      <c r="O84" s="56"/>
      <c r="P84" s="69"/>
    </row>
    <row r="85" spans="2:16">
      <c r="B85" s="33" t="s">
        <v>9</v>
      </c>
      <c r="C85" s="65">
        <f>L76</f>
        <v>6.831214161057102</v>
      </c>
      <c r="D85" s="76">
        <v>6.1646931212148637</v>
      </c>
      <c r="E85" s="76">
        <v>6.9656828294053357</v>
      </c>
      <c r="F85" s="66">
        <v>4.8</v>
      </c>
      <c r="G85" s="65">
        <f>[30]February_2025!$N$21</f>
        <v>5.6212299293825243</v>
      </c>
      <c r="H85" s="76">
        <v>5.8654736612235787</v>
      </c>
      <c r="I85" s="76">
        <v>6.4296185598786932</v>
      </c>
      <c r="J85" s="66">
        <v>4.8</v>
      </c>
      <c r="K85" s="67">
        <f>K76</f>
        <v>0.93425000000000002</v>
      </c>
      <c r="L85" s="194">
        <v>0.81418181818181812</v>
      </c>
      <c r="M85" s="194">
        <v>0.89415178571428566</v>
      </c>
      <c r="N85" s="68">
        <v>1</v>
      </c>
      <c r="P85" s="69"/>
    </row>
    <row r="86" spans="2:16">
      <c r="B86" s="34" t="s">
        <v>40</v>
      </c>
      <c r="C86" s="65"/>
      <c r="D86" s="76">
        <v>18.972697825080981</v>
      </c>
      <c r="E86" s="76">
        <v>10.24291753422928</v>
      </c>
      <c r="F86" s="66">
        <v>5.5</v>
      </c>
      <c r="G86" s="65"/>
      <c r="H86" s="76">
        <v>22.634564468930474</v>
      </c>
      <c r="I86" s="76">
        <v>14.250281148403415</v>
      </c>
      <c r="J86" s="66">
        <v>5.5</v>
      </c>
      <c r="K86" s="67"/>
      <c r="L86" s="194">
        <v>0.37087719298245614</v>
      </c>
      <c r="M86" s="194">
        <v>0.70508771929824554</v>
      </c>
      <c r="N86" s="68">
        <v>1</v>
      </c>
      <c r="P86" s="69"/>
    </row>
    <row r="87" spans="2:16">
      <c r="B87" s="22" t="s">
        <v>33</v>
      </c>
      <c r="C87" s="65"/>
      <c r="D87" s="76"/>
      <c r="E87" s="76">
        <v>3.4056869935468166</v>
      </c>
      <c r="F87" s="66">
        <v>3.3</v>
      </c>
      <c r="G87" s="65"/>
      <c r="H87" s="76"/>
      <c r="I87" s="76">
        <v>5.1745103450267944</v>
      </c>
      <c r="J87" s="66">
        <v>3.3</v>
      </c>
      <c r="K87" s="67"/>
      <c r="L87" s="194"/>
      <c r="M87" s="194">
        <v>0.84666666666666657</v>
      </c>
      <c r="N87" s="68">
        <v>1</v>
      </c>
      <c r="P87" s="69"/>
    </row>
    <row r="88" spans="2:16">
      <c r="B88" s="35" t="s">
        <v>29</v>
      </c>
      <c r="C88" s="65"/>
      <c r="D88" s="76"/>
      <c r="E88" s="76">
        <v>8.8295687885010352</v>
      </c>
      <c r="F88" s="66">
        <v>3.3</v>
      </c>
      <c r="G88" s="282"/>
      <c r="H88" s="76"/>
      <c r="I88" s="76"/>
      <c r="J88" s="66">
        <v>3</v>
      </c>
      <c r="K88" s="67"/>
      <c r="L88" s="194"/>
      <c r="M88" s="194"/>
      <c r="N88" s="68">
        <v>1</v>
      </c>
      <c r="P88" s="69"/>
    </row>
    <row r="89" spans="2:16">
      <c r="B89" s="36" t="s">
        <v>15</v>
      </c>
      <c r="C89" s="282"/>
      <c r="D89" s="76"/>
      <c r="E89" s="76">
        <v>9.9698850155137997</v>
      </c>
      <c r="F89" s="70">
        <f>[21]May_2022!$M$43</f>
        <v>3.4878406700073312</v>
      </c>
      <c r="G89" s="282"/>
      <c r="H89" s="76"/>
      <c r="I89" s="76">
        <v>10.607235567685406</v>
      </c>
      <c r="J89" s="70">
        <v>5.5</v>
      </c>
      <c r="K89" s="67"/>
      <c r="L89" s="194"/>
      <c r="M89" s="194">
        <v>0.66824561403508764</v>
      </c>
      <c r="N89" s="68">
        <v>1</v>
      </c>
      <c r="P89" s="69"/>
    </row>
    <row r="90" spans="2:16">
      <c r="B90" s="37" t="s">
        <v>16</v>
      </c>
      <c r="C90" s="65"/>
      <c r="D90" s="76"/>
      <c r="E90" s="76">
        <v>4.8517239584237002</v>
      </c>
      <c r="F90" s="66">
        <v>3.3</v>
      </c>
      <c r="G90" s="282"/>
      <c r="H90" s="76"/>
      <c r="I90" s="76">
        <v>4.0612557688822815</v>
      </c>
      <c r="J90" s="70">
        <v>3.3</v>
      </c>
      <c r="K90" s="67"/>
      <c r="L90" s="194"/>
      <c r="M90" s="194">
        <v>0.69842105263157894</v>
      </c>
      <c r="N90" s="71">
        <v>1</v>
      </c>
      <c r="P90" s="69"/>
    </row>
    <row r="91" spans="2:16" ht="14.4" thickBot="1">
      <c r="B91" s="38" t="s">
        <v>127</v>
      </c>
      <c r="C91" s="65"/>
      <c r="D91" s="76"/>
      <c r="E91" s="76">
        <v>14.011127971674247</v>
      </c>
      <c r="F91" s="70">
        <v>7.5</v>
      </c>
      <c r="G91" s="282"/>
      <c r="H91" s="76"/>
      <c r="I91" s="76"/>
      <c r="J91" s="72">
        <v>7.5</v>
      </c>
      <c r="K91" s="67"/>
      <c r="L91" s="194"/>
      <c r="M91" s="194"/>
      <c r="N91" s="71">
        <v>1</v>
      </c>
      <c r="P91" s="69"/>
    </row>
    <row r="92" spans="2:16" ht="14.4" thickBot="1">
      <c r="B92" s="435" t="s">
        <v>134</v>
      </c>
      <c r="C92" s="434"/>
      <c r="D92" s="76">
        <v>4.8792508624938291</v>
      </c>
      <c r="E92" s="76">
        <v>6.9985493401266572</v>
      </c>
      <c r="F92" s="66">
        <v>5.5</v>
      </c>
      <c r="G92" s="282"/>
      <c r="H92" s="76">
        <v>6.2003723782925313</v>
      </c>
      <c r="I92" s="76">
        <v>6.2003723782925313</v>
      </c>
      <c r="J92" s="433">
        <v>5.5</v>
      </c>
      <c r="K92" s="67"/>
      <c r="L92" s="194">
        <v>1</v>
      </c>
      <c r="M92" s="194">
        <v>0.67719298245614035</v>
      </c>
      <c r="N92" s="71">
        <v>1</v>
      </c>
      <c r="P92" s="69"/>
    </row>
    <row r="93" spans="2:16">
      <c r="C93" s="282"/>
      <c r="D93" s="76">
        <v>6.9985493401266572</v>
      </c>
      <c r="E93" s="76">
        <v>6.9811780527221075</v>
      </c>
      <c r="F93" s="341">
        <v>4.5</v>
      </c>
      <c r="G93" s="282"/>
      <c r="H93" s="76">
        <v>9.3032351675478129</v>
      </c>
      <c r="I93" s="76">
        <v>7.8114690378576546</v>
      </c>
      <c r="J93" s="342">
        <v>5</v>
      </c>
      <c r="K93" s="67"/>
      <c r="L93" s="194">
        <v>0.71514970059880234</v>
      </c>
      <c r="M93" s="194">
        <v>0.71514970059880234</v>
      </c>
      <c r="N93" s="386">
        <v>1</v>
      </c>
      <c r="O93" s="74"/>
      <c r="P93" s="75"/>
    </row>
    <row r="98" spans="6:30">
      <c r="F98" s="315"/>
    </row>
    <row r="106" spans="6:30">
      <c r="AD106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B57:B66"/>
    <mergeCell ref="D57:E58"/>
    <mergeCell ref="J57:K57"/>
    <mergeCell ref="L58:N58"/>
    <mergeCell ref="D59:E60"/>
    <mergeCell ref="D61:E62"/>
    <mergeCell ref="D63:E64"/>
    <mergeCell ref="D65:E66"/>
    <mergeCell ref="D67:E67"/>
    <mergeCell ref="B72:B73"/>
    <mergeCell ref="C72:C73"/>
    <mergeCell ref="D72:D73"/>
    <mergeCell ref="E72:E73"/>
    <mergeCell ref="M72:M73"/>
    <mergeCell ref="B82:F82"/>
    <mergeCell ref="G82:J82"/>
    <mergeCell ref="K82:N82"/>
    <mergeCell ref="G72:G73"/>
    <mergeCell ref="H72:H73"/>
    <mergeCell ref="I72:I73"/>
    <mergeCell ref="J72:J73"/>
    <mergeCell ref="K72:K73"/>
    <mergeCell ref="L72:L73"/>
    <mergeCell ref="F72:F73"/>
  </mergeCells>
  <conditionalFormatting sqref="B67:B68">
    <cfRule type="cellIs" dxfId="2666" priority="151" operator="notBetween">
      <formula>#REF!</formula>
      <formula>#REF!</formula>
    </cfRule>
  </conditionalFormatting>
  <conditionalFormatting sqref="C71">
    <cfRule type="cellIs" dxfId="2665" priority="183" stopIfTrue="1" operator="greaterThan">
      <formula>100</formula>
    </cfRule>
    <cfRule type="cellIs" dxfId="2664" priority="182" stopIfTrue="1" operator="lessThan">
      <formula>96</formula>
    </cfRule>
  </conditionalFormatting>
  <conditionalFormatting sqref="C84">
    <cfRule type="cellIs" dxfId="2663" priority="77" stopIfTrue="1" operator="greaterThan">
      <formula>$F84</formula>
    </cfRule>
  </conditionalFormatting>
  <conditionalFormatting sqref="C84:C85">
    <cfRule type="cellIs" dxfId="2662" priority="78" stopIfTrue="1" operator="lessThanOrEqual">
      <formula>0</formula>
    </cfRule>
  </conditionalFormatting>
  <conditionalFormatting sqref="C85">
    <cfRule type="cellIs" dxfId="2661" priority="186" stopIfTrue="1" operator="greaterThan">
      <formula>$F84</formula>
    </cfRule>
  </conditionalFormatting>
  <conditionalFormatting sqref="C86:C88">
    <cfRule type="cellIs" dxfId="2660" priority="106" stopIfTrue="1" operator="greaterThan">
      <formula>$F86</formula>
    </cfRule>
  </conditionalFormatting>
  <conditionalFormatting sqref="C86:C89">
    <cfRule type="cellIs" dxfId="2659" priority="129" stopIfTrue="1" operator="lessThanOrEqual">
      <formula>0</formula>
    </cfRule>
  </conditionalFormatting>
  <conditionalFormatting sqref="C89">
    <cfRule type="cellIs" dxfId="2658" priority="128" stopIfTrue="1" operator="greaterThan">
      <formula>$J89</formula>
    </cfRule>
  </conditionalFormatting>
  <conditionalFormatting sqref="C93">
    <cfRule type="cellIs" dxfId="2657" priority="41" stopIfTrue="1" operator="greaterThan">
      <formula>$J93</formula>
    </cfRule>
    <cfRule type="cellIs" dxfId="2656" priority="42" stopIfTrue="1" operator="lessThanOrEqual">
      <formula>0</formula>
    </cfRule>
  </conditionalFormatting>
  <conditionalFormatting sqref="C96:C100">
    <cfRule type="cellIs" dxfId="2655" priority="174" stopIfTrue="1" operator="lessThanOrEqual">
      <formula>0</formula>
    </cfRule>
  </conditionalFormatting>
  <conditionalFormatting sqref="C97:C100">
    <cfRule type="cellIs" dxfId="2654" priority="173" stopIfTrue="1" operator="greaterThan">
      <formula>$F$96</formula>
    </cfRule>
  </conditionalFormatting>
  <conditionalFormatting sqref="C102">
    <cfRule type="cellIs" dxfId="2653" priority="176" stopIfTrue="1" operator="lessThanOrEqual">
      <formula>0</formula>
    </cfRule>
    <cfRule type="cellIs" dxfId="2652" priority="175" stopIfTrue="1" operator="greaterThan">
      <formula>$F$96</formula>
    </cfRule>
  </conditionalFormatting>
  <conditionalFormatting sqref="C96:D96 D98:D104">
    <cfRule type="cellIs" dxfId="2651" priority="168" stopIfTrue="1" operator="greaterThan">
      <formula>4.5</formula>
    </cfRule>
  </conditionalFormatting>
  <conditionalFormatting sqref="D67:D68">
    <cfRule type="cellIs" dxfId="2650" priority="152" operator="notBetween">
      <formula>#REF!</formula>
      <formula>#REF!</formula>
    </cfRule>
  </conditionalFormatting>
  <conditionalFormatting sqref="D84:D92">
    <cfRule type="cellIs" dxfId="2649" priority="141" stopIfTrue="1" operator="lessThanOrEqual">
      <formula>0</formula>
    </cfRule>
  </conditionalFormatting>
  <conditionalFormatting sqref="D93">
    <cfRule type="cellIs" dxfId="2648" priority="140" stopIfTrue="1" operator="lessThanOrEqual">
      <formula>0</formula>
    </cfRule>
  </conditionalFormatting>
  <conditionalFormatting sqref="D96 D98:D104">
    <cfRule type="cellIs" dxfId="2647" priority="169" stopIfTrue="1" operator="lessThanOrEqual">
      <formula>0</formula>
    </cfRule>
  </conditionalFormatting>
  <conditionalFormatting sqref="D97">
    <cfRule type="cellIs" dxfId="2646" priority="160" stopIfTrue="1" operator="greaterThan">
      <formula>$F$96</formula>
    </cfRule>
    <cfRule type="cellIs" dxfId="2645" priority="161" stopIfTrue="1" operator="lessThanOrEqual">
      <formula>0</formula>
    </cfRule>
  </conditionalFormatting>
  <conditionalFormatting sqref="D84:E93">
    <cfRule type="cellIs" dxfId="2644" priority="133" stopIfTrue="1" operator="greaterThan">
      <formula>$F84</formula>
    </cfRule>
  </conditionalFormatting>
  <conditionalFormatting sqref="E10:E42">
    <cfRule type="cellIs" dxfId="2643" priority="36" operator="lessThan">
      <formula>48</formula>
    </cfRule>
  </conditionalFormatting>
  <conditionalFormatting sqref="E71">
    <cfRule type="cellIs" dxfId="2642" priority="162" stopIfTrue="1" operator="lessThan">
      <formula>96.8</formula>
    </cfRule>
    <cfRule type="cellIs" dxfId="2641" priority="163" stopIfTrue="1" operator="greaterThan">
      <formula>100</formula>
    </cfRule>
  </conditionalFormatting>
  <conditionalFormatting sqref="E84:E93">
    <cfRule type="cellIs" dxfId="2640" priority="134" stopIfTrue="1" operator="lessThanOrEqual">
      <formula>0</formula>
    </cfRule>
  </conditionalFormatting>
  <conditionalFormatting sqref="E96:E104">
    <cfRule type="cellIs" dxfId="2639" priority="155" stopIfTrue="1" operator="lessThanOrEqual">
      <formula>0</formula>
    </cfRule>
    <cfRule type="cellIs" dxfId="2638" priority="154" stopIfTrue="1" operator="greaterThan">
      <formula>4.5</formula>
    </cfRule>
  </conditionalFormatting>
  <conditionalFormatting sqref="E70:F71">
    <cfRule type="cellIs" dxfId="2637" priority="165" stopIfTrue="1" operator="greaterThan">
      <formula>100</formula>
    </cfRule>
    <cfRule type="cellIs" dxfId="2636" priority="164" stopIfTrue="1" operator="lessThan">
      <formula>96.5</formula>
    </cfRule>
  </conditionalFormatting>
  <conditionalFormatting sqref="F10:F27">
    <cfRule type="cellIs" dxfId="2635" priority="38" operator="greaterThan">
      <formula>60</formula>
    </cfRule>
  </conditionalFormatting>
  <conditionalFormatting sqref="F28">
    <cfRule type="cellIs" dxfId="2634" priority="192" operator="greaterThan">
      <formula>$AA28</formula>
    </cfRule>
    <cfRule type="cellIs" dxfId="2633" priority="193" operator="greaterThan">
      <formula>$AA79</formula>
    </cfRule>
  </conditionalFormatting>
  <conditionalFormatting sqref="F29:F41">
    <cfRule type="cellIs" dxfId="2632" priority="61" operator="greaterThan">
      <formula>60</formula>
    </cfRule>
  </conditionalFormatting>
  <conditionalFormatting sqref="F42">
    <cfRule type="cellIs" dxfId="2631" priority="187" operator="greaterThan">
      <formula>$AA81</formula>
    </cfRule>
    <cfRule type="cellIs" dxfId="2630" priority="76" operator="greaterThan">
      <formula>$AA42</formula>
    </cfRule>
  </conditionalFormatting>
  <conditionalFormatting sqref="F71">
    <cfRule type="cellIs" dxfId="2629" priority="180" stopIfTrue="1" operator="lessThan">
      <formula>96.8</formula>
    </cfRule>
    <cfRule type="cellIs" dxfId="2628" priority="181" stopIfTrue="1" operator="greaterThan">
      <formula>100</formula>
    </cfRule>
  </conditionalFormatting>
  <conditionalFormatting sqref="F93">
    <cfRule type="cellIs" dxfId="2627" priority="136" stopIfTrue="1" operator="lessThanOrEqual">
      <formula>0</formula>
    </cfRule>
    <cfRule type="cellIs" dxfId="2626" priority="135" stopIfTrue="1" operator="greaterThan">
      <formula>$F93</formula>
    </cfRule>
  </conditionalFormatting>
  <conditionalFormatting sqref="G84:G85 C90:C92">
    <cfRule type="cellIs" dxfId="2625" priority="143" stopIfTrue="1" operator="lessThanOrEqual">
      <formula>0</formula>
    </cfRule>
    <cfRule type="cellIs" dxfId="2624" priority="142" stopIfTrue="1" operator="greaterThan">
      <formula>$F84</formula>
    </cfRule>
  </conditionalFormatting>
  <conditionalFormatting sqref="G84:G85">
    <cfRule type="cellIs" dxfId="2623" priority="84" stopIfTrue="1" operator="greaterThan">
      <formula>$F84</formula>
    </cfRule>
    <cfRule type="cellIs" dxfId="2622" priority="85" stopIfTrue="1" operator="lessThanOrEqual">
      <formula>0</formula>
    </cfRule>
  </conditionalFormatting>
  <conditionalFormatting sqref="G86">
    <cfRule type="cellIs" dxfId="2621" priority="184" stopIfTrue="1" operator="greaterThan">
      <formula>$F85</formula>
    </cfRule>
    <cfRule type="cellIs" dxfId="2620" priority="185" stopIfTrue="1" operator="lessThanOrEqual">
      <formula>0</formula>
    </cfRule>
  </conditionalFormatting>
  <conditionalFormatting sqref="G87">
    <cfRule type="cellIs" dxfId="2619" priority="138" stopIfTrue="1" operator="lessThanOrEqual">
      <formula>0</formula>
    </cfRule>
    <cfRule type="cellIs" dxfId="2618" priority="137" stopIfTrue="1" operator="greaterThan">
      <formula>$F87</formula>
    </cfRule>
  </conditionalFormatting>
  <conditionalFormatting sqref="G88:G93">
    <cfRule type="cellIs" dxfId="2617" priority="145" stopIfTrue="1" operator="lessThanOrEqual">
      <formula>0</formula>
    </cfRule>
    <cfRule type="cellIs" dxfId="2616" priority="144" stopIfTrue="1" operator="greaterThan">
      <formula>$J88</formula>
    </cfRule>
  </conditionalFormatting>
  <conditionalFormatting sqref="G98:G103 C101 C103">
    <cfRule type="cellIs" dxfId="2615" priority="177" stopIfTrue="1" operator="greaterThan">
      <formula>4.5</formula>
    </cfRule>
    <cfRule type="cellIs" dxfId="2614" priority="178" stopIfTrue="1" operator="lessThanOrEqual">
      <formula>0</formula>
    </cfRule>
  </conditionalFormatting>
  <conditionalFormatting sqref="G10:H42">
    <cfRule type="expression" dxfId="2613" priority="40">
      <formula>IF(+(IF(G10&lt;#REF!,0,IF(G10&gt;#REF!,0,1)))=0,1)</formula>
    </cfRule>
  </conditionalFormatting>
  <conditionalFormatting sqref="G97:H97">
    <cfRule type="cellIs" dxfId="2612" priority="159" stopIfTrue="1" operator="lessThanOrEqual">
      <formula>0</formula>
    </cfRule>
    <cfRule type="cellIs" dxfId="2611" priority="158" stopIfTrue="1" operator="greaterThan">
      <formula>$F$96</formula>
    </cfRule>
  </conditionalFormatting>
  <conditionalFormatting sqref="H46:H69 G57:G68">
    <cfRule type="cellIs" dxfId="2610" priority="156" stopIfTrue="1" operator="greaterThan">
      <formula>0</formula>
    </cfRule>
  </conditionalFormatting>
  <conditionalFormatting sqref="H74">
    <cfRule type="cellIs" dxfId="2609" priority="45" stopIfTrue="1" operator="greaterThan">
      <formula>$F$61</formula>
    </cfRule>
    <cfRule type="cellIs" dxfId="2608" priority="44" stopIfTrue="1" operator="lessThanOrEqual">
      <formula>0</formula>
    </cfRule>
    <cfRule type="cellIs" dxfId="2607" priority="53" stopIfTrue="1" operator="greaterThan">
      <formula>$F$64</formula>
    </cfRule>
    <cfRule type="cellIs" dxfId="2606" priority="54" stopIfTrue="1" operator="lessThanOrEqual">
      <formula>0</formula>
    </cfRule>
    <cfRule type="cellIs" dxfId="2605" priority="55" stopIfTrue="1" operator="greaterThan">
      <formula>$F$62</formula>
    </cfRule>
    <cfRule type="cellIs" dxfId="2604" priority="56" stopIfTrue="1" operator="lessThanOrEqual">
      <formula>0</formula>
    </cfRule>
  </conditionalFormatting>
  <conditionalFormatting sqref="H75">
    <cfRule type="cellIs" dxfId="2603" priority="94" stopIfTrue="1" operator="greaterThan">
      <formula>$F$83</formula>
    </cfRule>
    <cfRule type="cellIs" dxfId="2602" priority="93" stopIfTrue="1" operator="lessThanOrEqual">
      <formula>0</formula>
    </cfRule>
    <cfRule type="cellIs" dxfId="2601" priority="105" stopIfTrue="1" operator="lessThanOrEqual">
      <formula>0</formula>
    </cfRule>
    <cfRule type="cellIs" dxfId="2600" priority="102" stopIfTrue="1" operator="greaterThan">
      <formula>$F$86</formula>
    </cfRule>
    <cfRule type="cellIs" dxfId="2599" priority="103" stopIfTrue="1" operator="lessThanOrEqual">
      <formula>0</formula>
    </cfRule>
    <cfRule type="cellIs" dxfId="2598" priority="104" stopIfTrue="1" operator="greaterThan">
      <formula>$F$84</formula>
    </cfRule>
  </conditionalFormatting>
  <conditionalFormatting sqref="H76">
    <cfRule type="cellIs" dxfId="2597" priority="15" stopIfTrue="1" operator="lessThanOrEqual">
      <formula>0</formula>
    </cfRule>
    <cfRule type="cellIs" dxfId="2596" priority="14" stopIfTrue="1" operator="greaterThan">
      <formula>$F$62</formula>
    </cfRule>
    <cfRule type="cellIs" dxfId="2595" priority="13" stopIfTrue="1" operator="lessThanOrEqual">
      <formula>0</formula>
    </cfRule>
    <cfRule type="cellIs" dxfId="2594" priority="12" stopIfTrue="1" operator="greaterThan">
      <formula>$F$64</formula>
    </cfRule>
    <cfRule type="cellIs" dxfId="2593" priority="4" stopIfTrue="1" operator="greaterThan">
      <formula>$F$61</formula>
    </cfRule>
    <cfRule type="cellIs" dxfId="2592" priority="3" stopIfTrue="1" operator="lessThanOrEqual">
      <formula>0</formula>
    </cfRule>
  </conditionalFormatting>
  <conditionalFormatting sqref="H77">
    <cfRule type="cellIs" dxfId="2591" priority="74" stopIfTrue="1" operator="greaterThan">
      <formula>#REF!</formula>
    </cfRule>
    <cfRule type="cellIs" dxfId="2590" priority="75" stopIfTrue="1" operator="lessThanOrEqual">
      <formula>0</formula>
    </cfRule>
    <cfRule type="cellIs" dxfId="2589" priority="65" stopIfTrue="1" operator="lessThanOrEqual">
      <formula>0</formula>
    </cfRule>
    <cfRule type="cellIs" dxfId="2588" priority="66" stopIfTrue="1" operator="greaterThan">
      <formula>#REF!</formula>
    </cfRule>
  </conditionalFormatting>
  <conditionalFormatting sqref="H78:H79">
    <cfRule type="cellIs" dxfId="2587" priority="88" stopIfTrue="1" operator="lessThanOrEqual">
      <formula>0</formula>
    </cfRule>
    <cfRule type="cellIs" dxfId="2586" priority="125" stopIfTrue="1" operator="lessThanOrEqual">
      <formula>0</formula>
    </cfRule>
    <cfRule type="cellIs" dxfId="2585" priority="124" stopIfTrue="1" operator="greaterThan">
      <formula>$F$85</formula>
    </cfRule>
    <cfRule type="cellIs" dxfId="2584" priority="123" stopIfTrue="1" operator="lessThanOrEqual">
      <formula>0</formula>
    </cfRule>
    <cfRule type="cellIs" dxfId="2583" priority="122" stopIfTrue="1" operator="greaterThan">
      <formula>$F$87</formula>
    </cfRule>
    <cfRule type="cellIs" dxfId="2582" priority="114" stopIfTrue="1" operator="greaterThan">
      <formula>$F$84</formula>
    </cfRule>
  </conditionalFormatting>
  <conditionalFormatting sqref="H80">
    <cfRule type="cellIs" dxfId="2581" priority="149" stopIfTrue="1" operator="greaterThan">
      <formula>$F$77</formula>
    </cfRule>
    <cfRule type="cellIs" dxfId="2580" priority="150" stopIfTrue="1" operator="lessThanOrEqual">
      <formula>0</formula>
    </cfRule>
    <cfRule type="cellIs" dxfId="2579" priority="148" stopIfTrue="1" operator="lessThanOrEqual">
      <formula>0</formula>
    </cfRule>
    <cfRule type="cellIs" dxfId="2578" priority="147" stopIfTrue="1" operator="greaterThan">
      <formula>$F$81</formula>
    </cfRule>
  </conditionalFormatting>
  <conditionalFormatting sqref="H84:H92">
    <cfRule type="cellIs" dxfId="2577" priority="127" stopIfTrue="1" operator="lessThanOrEqual">
      <formula>0</formula>
    </cfRule>
    <cfRule type="cellIs" dxfId="2576" priority="126" stopIfTrue="1" operator="greaterThan">
      <formula>$J84</formula>
    </cfRule>
  </conditionalFormatting>
  <conditionalFormatting sqref="H93">
    <cfRule type="cellIs" dxfId="2575" priority="130" operator="greaterThan">
      <formula>5.3</formula>
    </cfRule>
  </conditionalFormatting>
  <conditionalFormatting sqref="H96 H98:H104">
    <cfRule type="cellIs" dxfId="2574" priority="171" stopIfTrue="1" operator="lessThanOrEqual">
      <formula>0</formula>
    </cfRule>
    <cfRule type="cellIs" dxfId="2573" priority="170" stopIfTrue="1" operator="greaterThan">
      <formula>4.5</formula>
    </cfRule>
  </conditionalFormatting>
  <conditionalFormatting sqref="H74:I74">
    <cfRule type="cellIs" dxfId="2572" priority="46" stopIfTrue="1" operator="lessThanOrEqual">
      <formula>0</formula>
    </cfRule>
    <cfRule type="cellIs" dxfId="2571" priority="43" stopIfTrue="1" operator="greaterThan">
      <formula>$F$63</formula>
    </cfRule>
  </conditionalFormatting>
  <conditionalFormatting sqref="H75:I75">
    <cfRule type="cellIs" dxfId="2570" priority="95" stopIfTrue="1" operator="lessThanOrEqual">
      <formula>0</formula>
    </cfRule>
    <cfRule type="cellIs" dxfId="2569" priority="92" stopIfTrue="1" operator="greaterThan">
      <formula>$F$85</formula>
    </cfRule>
  </conditionalFormatting>
  <conditionalFormatting sqref="H76:I76">
    <cfRule type="cellIs" dxfId="2568" priority="2" stopIfTrue="1" operator="greaterThan">
      <formula>$F$63</formula>
    </cfRule>
    <cfRule type="cellIs" dxfId="2567" priority="5" stopIfTrue="1" operator="lessThanOrEqual">
      <formula>0</formula>
    </cfRule>
  </conditionalFormatting>
  <conditionalFormatting sqref="H77:I77">
    <cfRule type="cellIs" dxfId="2566" priority="67" stopIfTrue="1" operator="lessThanOrEqual">
      <formula>0</formula>
    </cfRule>
    <cfRule type="cellIs" dxfId="2565" priority="73" stopIfTrue="1" operator="lessThanOrEqual">
      <formula>0</formula>
    </cfRule>
    <cfRule type="cellIs" dxfId="2564" priority="70" stopIfTrue="1" operator="greaterThan">
      <formula>#REF!</formula>
    </cfRule>
    <cfRule type="cellIs" dxfId="2563" priority="64" stopIfTrue="1" operator="greaterThan">
      <formula>#REF!</formula>
    </cfRule>
  </conditionalFormatting>
  <conditionalFormatting sqref="H78:I78">
    <cfRule type="cellIs" dxfId="2562" priority="115" stopIfTrue="1" operator="lessThanOrEqual">
      <formula>0</formula>
    </cfRule>
  </conditionalFormatting>
  <conditionalFormatting sqref="H78:I79">
    <cfRule type="cellIs" dxfId="2561" priority="86" stopIfTrue="1" operator="greaterThan">
      <formula>$F$86</formula>
    </cfRule>
  </conditionalFormatting>
  <conditionalFormatting sqref="H79:I79">
    <cfRule type="cellIs" dxfId="2560" priority="87" stopIfTrue="1" operator="lessThanOrEqual">
      <formula>0</formula>
    </cfRule>
  </conditionalFormatting>
  <conditionalFormatting sqref="I28 I42">
    <cfRule type="cellIs" dxfId="2559" priority="82" operator="lessThan">
      <formula>98</formula>
    </cfRule>
    <cfRule type="cellIs" dxfId="2558" priority="79" operator="lessThan">
      <formula>97.8</formula>
    </cfRule>
  </conditionalFormatting>
  <conditionalFormatting sqref="I74">
    <cfRule type="cellIs" dxfId="2557" priority="47" stopIfTrue="1" operator="greaterThan">
      <formula>$F$61</formula>
    </cfRule>
    <cfRule type="cellIs" dxfId="2556" priority="48" stopIfTrue="1" operator="lessThanOrEqual">
      <formula>0</formula>
    </cfRule>
    <cfRule type="cellIs" dxfId="2555" priority="51" stopIfTrue="1" operator="greaterThan">
      <formula>$F$61</formula>
    </cfRule>
    <cfRule type="cellIs" dxfId="2554" priority="49" stopIfTrue="1" operator="greaterThan">
      <formula>$F$63</formula>
    </cfRule>
    <cfRule type="cellIs" dxfId="2553" priority="50" stopIfTrue="1" operator="lessThanOrEqual">
      <formula>0</formula>
    </cfRule>
    <cfRule type="cellIs" dxfId="2552" priority="52" stopIfTrue="1" operator="lessThanOrEqual">
      <formula>0</formula>
    </cfRule>
  </conditionalFormatting>
  <conditionalFormatting sqref="I75">
    <cfRule type="cellIs" dxfId="2551" priority="100" stopIfTrue="1" operator="greaterThan">
      <formula>$F$83</formula>
    </cfRule>
    <cfRule type="cellIs" dxfId="2550" priority="99" stopIfTrue="1" operator="lessThanOrEqual">
      <formula>0</formula>
    </cfRule>
    <cfRule type="cellIs" dxfId="2549" priority="98" stopIfTrue="1" operator="greaterThan">
      <formula>$F$85</formula>
    </cfRule>
    <cfRule type="cellIs" dxfId="2548" priority="97" stopIfTrue="1" operator="lessThanOrEqual">
      <formula>0</formula>
    </cfRule>
    <cfRule type="cellIs" dxfId="2547" priority="96" stopIfTrue="1" operator="greaterThan">
      <formula>$F$83</formula>
    </cfRule>
    <cfRule type="cellIs" dxfId="2546" priority="101" stopIfTrue="1" operator="lessThanOrEqual">
      <formula>0</formula>
    </cfRule>
  </conditionalFormatting>
  <conditionalFormatting sqref="I76">
    <cfRule type="cellIs" dxfId="2545" priority="6" stopIfTrue="1" operator="greaterThan">
      <formula>$F$61</formula>
    </cfRule>
    <cfRule type="cellIs" dxfId="2544" priority="8" stopIfTrue="1" operator="greaterThan">
      <formula>$F$63</formula>
    </cfRule>
    <cfRule type="cellIs" dxfId="2543" priority="11" stopIfTrue="1" operator="lessThanOrEqual">
      <formula>0</formula>
    </cfRule>
    <cfRule type="cellIs" dxfId="2542" priority="10" stopIfTrue="1" operator="greaterThan">
      <formula>$F$61</formula>
    </cfRule>
    <cfRule type="cellIs" dxfId="2541" priority="9" stopIfTrue="1" operator="lessThanOrEqual">
      <formula>0</formula>
    </cfRule>
    <cfRule type="cellIs" dxfId="2540" priority="7" stopIfTrue="1" operator="lessThanOrEqual">
      <formula>0</formula>
    </cfRule>
  </conditionalFormatting>
  <conditionalFormatting sqref="I77">
    <cfRule type="cellIs" dxfId="2539" priority="69" stopIfTrue="1" operator="lessThanOrEqual">
      <formula>0</formula>
    </cfRule>
    <cfRule type="cellIs" dxfId="2538" priority="68" stopIfTrue="1" operator="greaterThan">
      <formula>#REF!</formula>
    </cfRule>
    <cfRule type="cellIs" dxfId="2537" priority="71" stopIfTrue="1" operator="lessThanOrEqual">
      <formula>0</formula>
    </cfRule>
    <cfRule type="cellIs" dxfId="2536" priority="72" stopIfTrue="1" operator="greaterThan">
      <formula>#REF!</formula>
    </cfRule>
  </conditionalFormatting>
  <conditionalFormatting sqref="I78:I79">
    <cfRule type="cellIs" dxfId="2535" priority="117" stopIfTrue="1" operator="lessThanOrEqual">
      <formula>0</formula>
    </cfRule>
    <cfRule type="cellIs" dxfId="2534" priority="116" stopIfTrue="1" operator="greaterThan">
      <formula>$F$84</formula>
    </cfRule>
    <cfRule type="cellIs" dxfId="2533" priority="118" stopIfTrue="1" operator="greaterThan">
      <formula>$F$86</formula>
    </cfRule>
    <cfRule type="cellIs" dxfId="2532" priority="119" stopIfTrue="1" operator="lessThanOrEqual">
      <formula>0</formula>
    </cfRule>
    <cfRule type="cellIs" dxfId="2531" priority="120" stopIfTrue="1" operator="greaterThan">
      <formula>$F$84</formula>
    </cfRule>
    <cfRule type="cellIs" dxfId="2530" priority="121" stopIfTrue="1" operator="lessThanOrEqual">
      <formula>0</formula>
    </cfRule>
  </conditionalFormatting>
  <conditionalFormatting sqref="I84:I93">
    <cfRule type="cellIs" dxfId="2529" priority="132" stopIfTrue="1" operator="lessThanOrEqual">
      <formula>0</formula>
    </cfRule>
    <cfRule type="cellIs" dxfId="2528" priority="131" stopIfTrue="1" operator="greaterThan">
      <formula>$J84</formula>
    </cfRule>
  </conditionalFormatting>
  <conditionalFormatting sqref="I96:I104">
    <cfRule type="cellIs" dxfId="2527" priority="166" stopIfTrue="1" operator="greaterThan">
      <formula>4.5</formula>
    </cfRule>
    <cfRule type="cellIs" dxfId="2526" priority="167" stopIfTrue="1" operator="lessThanOrEqual">
      <formula>0</formula>
    </cfRule>
  </conditionalFormatting>
  <conditionalFormatting sqref="I10:J27">
    <cfRule type="cellIs" dxfId="2525" priority="39" operator="lessThan">
      <formula>97.9</formula>
    </cfRule>
  </conditionalFormatting>
  <conditionalFormatting sqref="I29:J41">
    <cfRule type="cellIs" dxfId="2524" priority="62" operator="lessThan">
      <formula>97.9</formula>
    </cfRule>
  </conditionalFormatting>
  <conditionalFormatting sqref="J28 J42">
    <cfRule type="cellIs" dxfId="2523" priority="80" operator="notBetween">
      <formula>98</formula>
      <formula>99.9</formula>
    </cfRule>
    <cfRule type="cellIs" dxfId="2522" priority="81" operator="lessThan">
      <formula>97.4</formula>
    </cfRule>
  </conditionalFormatting>
  <conditionalFormatting sqref="J45:J47">
    <cfRule type="cellIs" dxfId="2521" priority="108" stopIfTrue="1" operator="greaterThan">
      <formula>100</formula>
    </cfRule>
    <cfRule type="cellIs" dxfId="2520" priority="109" operator="lessThan">
      <formula>98</formula>
    </cfRule>
    <cfRule type="cellIs" dxfId="2519" priority="107" stopIfTrue="1" operator="lessThan">
      <formula>96.8</formula>
    </cfRule>
  </conditionalFormatting>
  <conditionalFormatting sqref="J45:J49">
    <cfRule type="cellIs" dxfId="2518" priority="83" operator="lessThan">
      <formula>97.4</formula>
    </cfRule>
  </conditionalFormatting>
  <conditionalFormatting sqref="J50">
    <cfRule type="cellIs" dxfId="2517" priority="110" operator="lessThan">
      <formula>98</formula>
    </cfRule>
  </conditionalFormatting>
  <conditionalFormatting sqref="J51:J53">
    <cfRule type="cellIs" dxfId="2516" priority="111" stopIfTrue="1" operator="lessThan">
      <formula>96.8</formula>
    </cfRule>
    <cfRule type="cellIs" dxfId="2515" priority="112" stopIfTrue="1" operator="greaterThan">
      <formula>100</formula>
    </cfRule>
  </conditionalFormatting>
  <conditionalFormatting sqref="J51:J54">
    <cfRule type="cellIs" dxfId="2514" priority="113" operator="lessThan">
      <formula>98</formula>
    </cfRule>
  </conditionalFormatting>
  <conditionalFormatting sqref="K10:K42">
    <cfRule type="cellIs" dxfId="2513" priority="33" operator="lessThan">
      <formula>4</formula>
    </cfRule>
    <cfRule type="cellIs" dxfId="2512" priority="32" operator="greaterThan">
      <formula>6</formula>
    </cfRule>
    <cfRule type="cellIs" dxfId="2511" priority="37" operator="greaterThan">
      <formula>6.4</formula>
    </cfRule>
  </conditionalFormatting>
  <conditionalFormatting sqref="K59:K68">
    <cfRule type="cellIs" dxfId="2510" priority="139" operator="notEqual">
      <formula>#REF!</formula>
    </cfRule>
  </conditionalFormatting>
  <conditionalFormatting sqref="K74:K80 K84:N93">
    <cfRule type="cellIs" dxfId="2509" priority="146" stopIfTrue="1" operator="lessThan">
      <formula>100%</formula>
    </cfRule>
  </conditionalFormatting>
  <conditionalFormatting sqref="K96:K101">
    <cfRule type="cellIs" dxfId="2508" priority="172" stopIfTrue="1" operator="lessThan">
      <formula>100%</formula>
    </cfRule>
  </conditionalFormatting>
  <conditionalFormatting sqref="K103:K104">
    <cfRule type="cellIs" dxfId="2507" priority="179" stopIfTrue="1" operator="lessThan">
      <formula>100%</formula>
    </cfRule>
  </conditionalFormatting>
  <conditionalFormatting sqref="L10:L42">
    <cfRule type="cellIs" dxfId="2506" priority="34" operator="between">
      <formula>61</formula>
      <formula>65</formula>
    </cfRule>
    <cfRule type="cellIs" dxfId="2505" priority="35" operator="greaterThan">
      <formula>65</formula>
    </cfRule>
  </conditionalFormatting>
  <conditionalFormatting sqref="L45:M56">
    <cfRule type="cellIs" dxfId="2504" priority="1" operator="lessThan">
      <formula>98</formula>
    </cfRule>
  </conditionalFormatting>
  <conditionalFormatting sqref="L60:N60">
    <cfRule type="cellIs" dxfId="2503" priority="89" operator="notEqual">
      <formula>#REF!</formula>
    </cfRule>
  </conditionalFormatting>
  <conditionalFormatting sqref="L96:N104">
    <cfRule type="cellIs" dxfId="2502" priority="157" stopIfTrue="1" operator="lessThan">
      <formula>100%</formula>
    </cfRule>
  </conditionalFormatting>
  <conditionalFormatting sqref="M10:M17">
    <cfRule type="expression" dxfId="2501" priority="30">
      <formula>IF(+(IF(M10&lt;V10,0,IF(M10&gt;W10,0,1)))=0,1)</formula>
    </cfRule>
  </conditionalFormatting>
  <conditionalFormatting sqref="M18:M21">
    <cfRule type="expression" dxfId="2500" priority="59">
      <formula>IF(+(IF(M18&lt;U18,0,IF(M18&gt;V18,0,1)))=0,1)</formula>
    </cfRule>
  </conditionalFormatting>
  <conditionalFormatting sqref="M22:M42">
    <cfRule type="expression" dxfId="2499" priority="57">
      <formula>IF(+(IF(M22&lt;V22,0,IF(M22&gt;W22,0,1)))=0,1)</formula>
    </cfRule>
  </conditionalFormatting>
  <conditionalFormatting sqref="M6:N6">
    <cfRule type="cellIs" dxfId="2498" priority="90" operator="greaterThanOrEqual">
      <formula>15</formula>
    </cfRule>
    <cfRule type="cellIs" dxfId="2497" priority="91" operator="greaterThanOrEqual">
      <formula>19</formula>
    </cfRule>
  </conditionalFormatting>
  <conditionalFormatting sqref="N10:N17">
    <cfRule type="expression" dxfId="2496" priority="31">
      <formula>IF(+(IF(N10&lt;X10,0,IF(N10&gt;Y10,0,1)))=0,1)</formula>
    </cfRule>
  </conditionalFormatting>
  <conditionalFormatting sqref="N18:N21">
    <cfRule type="expression" dxfId="2495" priority="60">
      <formula>IF(+(IF(N18&lt;W18,0,IF(N18&gt;X18,0,1)))=0,1)</formula>
    </cfRule>
  </conditionalFormatting>
  <conditionalFormatting sqref="N22:N42">
    <cfRule type="expression" dxfId="2494" priority="58">
      <formula>IF(+(IF(N22&lt;X22,0,IF(N22&gt;Y22,0,1)))=0,1)</formula>
    </cfRule>
  </conditionalFormatting>
  <conditionalFormatting sqref="N28">
    <cfRule type="expression" dxfId="2493" priority="188">
      <formula>IF(+(IF(N28&lt;X84,0,IF(N28&gt;Y84,0,1)))=0,1)</formula>
    </cfRule>
    <cfRule type="expression" dxfId="2492" priority="189">
      <formula>IF(+(IF(N28&lt;X79,0,IF(N28&gt;Y79,0,1)))=0,1)</formula>
    </cfRule>
  </conditionalFormatting>
  <conditionalFormatting sqref="N42">
    <cfRule type="expression" dxfId="2491" priority="190">
      <formula>IF(+(IF(N42&lt;X86,0,IF(N42&gt;Y86,0,1)))=0,1)</formula>
    </cfRule>
    <cfRule type="expression" dxfId="2490" priority="191">
      <formula>IF(+(IF(N42&lt;X81,0,IF(N42&gt;Y81,0,1)))=0,1)</formula>
    </cfRule>
  </conditionalFormatting>
  <conditionalFormatting sqref="P6">
    <cfRule type="cellIs" dxfId="2489" priority="153" operator="greaterThanOrEqual">
      <formula>19</formula>
    </cfRule>
  </conditionalFormatting>
  <dataValidations count="1">
    <dataValidation type="list" allowBlank="1" showInputMessage="1" showErrorMessage="1" sqref="S8 B42" xr:uid="{80AD82DD-C3DD-45DB-B17D-41001935DAE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8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D06-48EB-4F26-99A7-E1998F024A4F}">
  <sheetPr>
    <pageSetUpPr fitToPage="1"/>
  </sheetPr>
  <dimension ref="A1:BF105"/>
  <sheetViews>
    <sheetView topLeftCell="B8" zoomScale="83" zoomScaleNormal="70" workbookViewId="0">
      <selection activeCell="L54" sqref="L54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45699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7" t="s">
        <v>16</v>
      </c>
      <c r="C10" s="366" t="str">
        <f>[27]Brewhouse!$A15</f>
        <v>SM009</v>
      </c>
      <c r="D10" s="279">
        <f>[27]Brewhouse!$AH15</f>
        <v>53.3</v>
      </c>
      <c r="E10" s="279">
        <f>[27]Brewhouse!$AM15</f>
        <v>50.8</v>
      </c>
      <c r="F10" s="276">
        <f>[27]Brewhouse!$Z15</f>
        <v>63</v>
      </c>
      <c r="G10" s="279">
        <f>[27]Brewhouse!$AK15</f>
        <v>17.3</v>
      </c>
      <c r="H10" s="396">
        <v>17.3</v>
      </c>
      <c r="I10" s="368">
        <f>[27]Brewhouse!$AY15</f>
        <v>93.593045496219816</v>
      </c>
      <c r="J10" s="368">
        <f>[27]Brewhouse!$AZ15</f>
        <v>95.524021078608115</v>
      </c>
      <c r="K10" s="281">
        <f>[27]Brewhouse!$U15</f>
        <v>4.6529080675422083</v>
      </c>
      <c r="L10" s="276">
        <f>[27]Brewhouse!$T15</f>
        <v>60</v>
      </c>
      <c r="M10" s="397">
        <f>[27]Brewhouse!$Y15-[27]Brewhouse!$X15</f>
        <v>0.13263888888888892</v>
      </c>
      <c r="N10" s="370">
        <f>[27]Brewhouse!$AD15</f>
        <v>0.29305555555555557</v>
      </c>
      <c r="O10" s="371" t="str">
        <f>[27]Brewhouse!$BC15</f>
        <v>R. Regis</v>
      </c>
      <c r="P10" s="369" t="s">
        <v>171</v>
      </c>
      <c r="Q10" s="347"/>
      <c r="S10" s="277" t="str">
        <f t="shared" ref="S10:S12" si="0">B10</f>
        <v>STARMALT</v>
      </c>
      <c r="T10" s="296">
        <f t="shared" ref="T10:T12" si="1">VLOOKUP($B10,$S$3:$Y$9,2,FALSE)</f>
        <v>17.100000000000001</v>
      </c>
      <c r="U10" s="296">
        <f t="shared" ref="U10:U12" si="2">VLOOKUP($B10,$S$3:$Y$9,3,FALSE)</f>
        <v>17.5</v>
      </c>
      <c r="V10" s="297">
        <f t="shared" ref="V10:V12" si="3">VLOOKUP($B10,$S$3:$Y$9,4,FALSE)</f>
        <v>0</v>
      </c>
      <c r="W10" s="297">
        <f t="shared" ref="W10:W12" si="4">VLOOKUP($B10,$S$3:$Y$9,5,FALSE)</f>
        <v>0.13605324074074074</v>
      </c>
      <c r="X10" s="297">
        <f t="shared" ref="X10:X12" si="5">VLOOKUP($B10,$S$3:$Y$9,6,FALSE)</f>
        <v>0.27430555555555552</v>
      </c>
      <c r="Y10" s="297">
        <f t="shared" ref="Y10:Y12" si="6">VLOOKUP($B10,$S$3:$Y$9,7,FALSE)</f>
        <v>0.30902777777777779</v>
      </c>
      <c r="Z10" s="297">
        <f t="shared" ref="Z10:Z12" si="7">VLOOKUP($B10,$S$3:$AA$9,8,FALSE)</f>
        <v>0</v>
      </c>
      <c r="AA10" s="296">
        <f t="shared" ref="AA10:AA12" si="8">VLOOKUP($B10,$S$3:$AA$9,9,FALSE)</f>
        <v>60</v>
      </c>
    </row>
    <row r="11" spans="2:30" ht="14.4">
      <c r="B11" s="37" t="s">
        <v>16</v>
      </c>
      <c r="C11" s="366" t="str">
        <f>[27]Brewhouse!$A16</f>
        <v>SM010</v>
      </c>
      <c r="D11" s="279">
        <f>[27]Brewhouse!$AH16</f>
        <v>53.6</v>
      </c>
      <c r="E11" s="279">
        <f>[27]Brewhouse!$AM16</f>
        <v>51.4</v>
      </c>
      <c r="F11" s="276">
        <f>[27]Brewhouse!$Z16</f>
        <v>64</v>
      </c>
      <c r="G11" s="279">
        <f>[27]Brewhouse!$AK16</f>
        <v>17.47</v>
      </c>
      <c r="H11" s="396">
        <v>17.3</v>
      </c>
      <c r="I11" s="368">
        <f>[27]Brewhouse!$AY16</f>
        <v>94.802596635458585</v>
      </c>
      <c r="J11" s="368">
        <f>[27]Brewhouse!$AZ16</f>
        <v>96.758527209995464</v>
      </c>
      <c r="K11" s="281">
        <f>[27]Brewhouse!$U16</f>
        <v>4.0671641791044904</v>
      </c>
      <c r="L11" s="276">
        <f>[27]Brewhouse!$T16</f>
        <v>61</v>
      </c>
      <c r="M11" s="397">
        <f>[27]Brewhouse!$Y16-[27]Brewhouse!$X16</f>
        <v>0.12222222222222223</v>
      </c>
      <c r="N11" s="370">
        <f>[27]Brewhouse!$AD16</f>
        <v>0.28819444444444448</v>
      </c>
      <c r="O11" s="371" t="str">
        <f>[22]Brewhouse!$AX186</f>
        <v>R. Sookram</v>
      </c>
      <c r="P11" s="369"/>
      <c r="Q11" s="347"/>
      <c r="S11" s="277" t="str">
        <f t="shared" si="0"/>
        <v>STARMALT</v>
      </c>
      <c r="T11" s="296">
        <f t="shared" si="1"/>
        <v>17.100000000000001</v>
      </c>
      <c r="U11" s="296">
        <f t="shared" si="2"/>
        <v>17.5</v>
      </c>
      <c r="V11" s="297">
        <f t="shared" si="3"/>
        <v>0</v>
      </c>
      <c r="W11" s="297">
        <f t="shared" si="4"/>
        <v>0.13605324074074074</v>
      </c>
      <c r="X11" s="297">
        <f t="shared" si="5"/>
        <v>0.27430555555555552</v>
      </c>
      <c r="Y11" s="297">
        <f t="shared" si="6"/>
        <v>0.30902777777777779</v>
      </c>
      <c r="Z11" s="297">
        <f t="shared" si="7"/>
        <v>0</v>
      </c>
      <c r="AA11" s="296">
        <f t="shared" si="8"/>
        <v>60</v>
      </c>
    </row>
    <row r="12" spans="2:30" ht="14.4">
      <c r="B12" s="37" t="s">
        <v>16</v>
      </c>
      <c r="C12" s="366" t="str">
        <f>[27]Brewhouse!$A17</f>
        <v>SM011</v>
      </c>
      <c r="D12" s="279">
        <f>[27]Brewhouse!$AH17</f>
        <v>53.9</v>
      </c>
      <c r="E12" s="279">
        <f>[27]Brewhouse!$AM17</f>
        <v>52.5</v>
      </c>
      <c r="F12" s="276">
        <f>[27]Brewhouse!$Z17</f>
        <v>71</v>
      </c>
      <c r="G12" s="279">
        <f>[27]Brewhouse!$AK17</f>
        <v>17.36</v>
      </c>
      <c r="H12" s="396">
        <v>17.100000000000001</v>
      </c>
      <c r="I12" s="368">
        <f>[27]Brewhouse!$AY17</f>
        <v>96.778271105563348</v>
      </c>
      <c r="J12" s="368">
        <f>[27]Brewhouse!$AZ17</f>
        <v>98.774963033043647</v>
      </c>
      <c r="K12" s="281">
        <f>[27]Brewhouse!$U17</f>
        <v>4.0445269016697587</v>
      </c>
      <c r="L12" s="276">
        <f>[27]Brewhouse!$T17</f>
        <v>61</v>
      </c>
      <c r="M12" s="397">
        <f>[27]Brewhouse!$Y17-[27]Brewhouse!$X17</f>
        <v>0.13402777777777775</v>
      </c>
      <c r="N12" s="370">
        <f>[27]Brewhouse!$AD17</f>
        <v>0.28888888888888886</v>
      </c>
      <c r="O12" s="371" t="str">
        <f>[22]Brewhouse!$AX187</f>
        <v>R. Regis</v>
      </c>
      <c r="P12" s="369"/>
      <c r="Q12" s="347"/>
      <c r="S12" s="277" t="str">
        <f t="shared" si="0"/>
        <v>STARMALT</v>
      </c>
      <c r="T12" s="296">
        <f t="shared" si="1"/>
        <v>17.100000000000001</v>
      </c>
      <c r="U12" s="296">
        <f t="shared" si="2"/>
        <v>17.5</v>
      </c>
      <c r="V12" s="297">
        <f t="shared" si="3"/>
        <v>0</v>
      </c>
      <c r="W12" s="297">
        <f t="shared" si="4"/>
        <v>0.13605324074074074</v>
      </c>
      <c r="X12" s="297">
        <f t="shared" si="5"/>
        <v>0.27430555555555552</v>
      </c>
      <c r="Y12" s="297">
        <f t="shared" si="6"/>
        <v>0.30902777777777779</v>
      </c>
      <c r="Z12" s="297">
        <f t="shared" si="7"/>
        <v>0</v>
      </c>
      <c r="AA12" s="296">
        <f t="shared" si="8"/>
        <v>60</v>
      </c>
    </row>
    <row r="13" spans="2:30" ht="14.4">
      <c r="B13" s="37" t="s">
        <v>16</v>
      </c>
      <c r="C13" s="366" t="str">
        <f>[27]Brewhouse!$A18</f>
        <v>SM012</v>
      </c>
      <c r="D13" s="279">
        <f>[27]Brewhouse!$AH18</f>
        <v>53.6</v>
      </c>
      <c r="E13" s="279">
        <f>[27]Brewhouse!$AM18</f>
        <v>52.2</v>
      </c>
      <c r="F13" s="276">
        <f>[27]Brewhouse!$Z18</f>
        <v>78</v>
      </c>
      <c r="G13" s="279">
        <f>[27]Brewhouse!$AK18</f>
        <v>17.37</v>
      </c>
      <c r="H13" s="396">
        <v>17.5</v>
      </c>
      <c r="I13" s="368">
        <f>[27]Brewhouse!$AY18</f>
        <v>96.30416399645047</v>
      </c>
      <c r="J13" s="368">
        <f>[27]Brewhouse!$AZ18</f>
        <v>98.289279863733341</v>
      </c>
      <c r="K13" s="281">
        <f>[27]Brewhouse!$U18</f>
        <v>4.0671641791044904</v>
      </c>
      <c r="L13" s="276">
        <f>[27]Brewhouse!$T18</f>
        <v>61</v>
      </c>
      <c r="M13" s="397">
        <f>[27]Brewhouse!$Y18-[27]Brewhouse!$X18</f>
        <v>0.13611111111111118</v>
      </c>
      <c r="N13" s="370">
        <f>[27]Brewhouse!$AD18</f>
        <v>0.28749999999999998</v>
      </c>
      <c r="O13" s="371" t="str">
        <f>[22]Brewhouse!$AX188</f>
        <v>R. Regis</v>
      </c>
      <c r="P13" s="369"/>
      <c r="Q13" s="347"/>
      <c r="S13" s="277" t="str">
        <f t="shared" ref="S13:S41" si="9">B13</f>
        <v>STARMALT</v>
      </c>
      <c r="T13" s="296">
        <f t="shared" ref="T13:T41" si="10">VLOOKUP($B13,$S$3:$Y$9,2,FALSE)</f>
        <v>17.100000000000001</v>
      </c>
      <c r="U13" s="296">
        <f t="shared" ref="U13:U41" si="11">VLOOKUP($B13,$S$3:$Y$9,3,FALSE)</f>
        <v>17.5</v>
      </c>
      <c r="V13" s="297">
        <f t="shared" ref="V13:V41" si="12">VLOOKUP($B13,$S$3:$Y$9,4,FALSE)</f>
        <v>0</v>
      </c>
      <c r="W13" s="297">
        <f t="shared" ref="W13:W41" si="13">VLOOKUP($B13,$S$3:$Y$9,5,FALSE)</f>
        <v>0.13605324074074074</v>
      </c>
      <c r="X13" s="297">
        <f t="shared" ref="X13:X41" si="14">VLOOKUP($B13,$S$3:$Y$9,6,FALSE)</f>
        <v>0.27430555555555552</v>
      </c>
      <c r="Y13" s="297">
        <f t="shared" ref="Y13:Y41" si="15">VLOOKUP($B13,$S$3:$Y$9,7,FALSE)</f>
        <v>0.30902777777777779</v>
      </c>
      <c r="Z13" s="297">
        <f t="shared" ref="Z13:Z41" si="16">VLOOKUP($B13,$S$3:$AA$9,8,FALSE)</f>
        <v>0</v>
      </c>
      <c r="AA13" s="296">
        <f t="shared" ref="AA13:AA41" si="17">VLOOKUP($B13,$S$3:$AA$9,9,FALSE)</f>
        <v>60</v>
      </c>
    </row>
    <row r="14" spans="2:30" ht="14.4">
      <c r="B14" s="37" t="s">
        <v>16</v>
      </c>
      <c r="C14" s="366" t="str">
        <f>[27]Brewhouse!$A19</f>
        <v>SM013</v>
      </c>
      <c r="D14" s="279">
        <f>[27]Brewhouse!$AH19</f>
        <v>53.6</v>
      </c>
      <c r="E14" s="279">
        <f>[27]Brewhouse!$AM19</f>
        <v>52.4</v>
      </c>
      <c r="F14" s="276">
        <f>[27]Brewhouse!$Z19</f>
        <v>75</v>
      </c>
      <c r="G14" s="279">
        <f>[27]Brewhouse!$AK19</f>
        <v>17.28</v>
      </c>
      <c r="H14" s="396">
        <v>17.399999999999999</v>
      </c>
      <c r="I14" s="368">
        <f>[27]Brewhouse!$AY19</f>
        <v>96.620028354806905</v>
      </c>
      <c r="J14" s="368">
        <f>[27]Brewhouse!$AZ19</f>
        <v>98.611655127991042</v>
      </c>
      <c r="K14" s="281">
        <f>[27]Brewhouse!$U19</f>
        <v>3.6940298507462761</v>
      </c>
      <c r="L14" s="276">
        <f>[27]Brewhouse!$T19</f>
        <v>61</v>
      </c>
      <c r="M14" s="397">
        <f>[27]Brewhouse!$Y19-[27]Brewhouse!$X19</f>
        <v>0.14166666666666661</v>
      </c>
      <c r="N14" s="370">
        <f>[27]Brewhouse!$AD19</f>
        <v>0.28749999999999998</v>
      </c>
      <c r="O14" s="371" t="str">
        <f>[22]Brewhouse!$AX189</f>
        <v>R. Regis</v>
      </c>
      <c r="P14" s="369"/>
      <c r="Q14" s="347"/>
      <c r="S14" s="277" t="str">
        <f t="shared" si="9"/>
        <v>STARMALT</v>
      </c>
      <c r="T14" s="296">
        <f t="shared" si="10"/>
        <v>17.100000000000001</v>
      </c>
      <c r="U14" s="296">
        <f t="shared" si="11"/>
        <v>17.5</v>
      </c>
      <c r="V14" s="297">
        <f t="shared" si="12"/>
        <v>0</v>
      </c>
      <c r="W14" s="297">
        <f t="shared" si="13"/>
        <v>0.13605324074074074</v>
      </c>
      <c r="X14" s="297">
        <f t="shared" si="14"/>
        <v>0.27430555555555552</v>
      </c>
      <c r="Y14" s="297">
        <f t="shared" si="15"/>
        <v>0.30902777777777779</v>
      </c>
      <c r="Z14" s="297">
        <f t="shared" si="16"/>
        <v>0</v>
      </c>
      <c r="AA14" s="296">
        <f t="shared" si="17"/>
        <v>60</v>
      </c>
    </row>
    <row r="15" spans="2:30" ht="14.4">
      <c r="B15" s="37" t="s">
        <v>16</v>
      </c>
      <c r="C15" s="366" t="str">
        <f>[27]Brewhouse!$A20</f>
        <v>SM014</v>
      </c>
      <c r="D15" s="279">
        <f>[27]Brewhouse!$AH20</f>
        <v>53.3</v>
      </c>
      <c r="E15" s="279">
        <f>[27]Brewhouse!$AM20</f>
        <v>52.7</v>
      </c>
      <c r="F15" s="276">
        <f>[27]Brewhouse!$Z20</f>
        <v>84</v>
      </c>
      <c r="G15" s="279">
        <f>[27]Brewhouse!$AK20</f>
        <v>17.41</v>
      </c>
      <c r="H15" s="367"/>
      <c r="I15" s="368">
        <f>[27]Brewhouse!$AY20</f>
        <v>97.146950233584548</v>
      </c>
      <c r="J15" s="368">
        <f>[27]Brewhouse!$AZ20</f>
        <v>99.151248606502861</v>
      </c>
      <c r="K15" s="281">
        <f>[27]Brewhouse!$U20</f>
        <v>2.0262664165103161</v>
      </c>
      <c r="L15" s="276">
        <f>[27]Brewhouse!$T20</f>
        <v>61</v>
      </c>
      <c r="M15" s="397">
        <f>[27]Brewhouse!$Y20-[27]Brewhouse!$X20</f>
        <v>0.14166666666666661</v>
      </c>
      <c r="N15" s="370">
        <f>[27]Brewhouse!$AD20</f>
        <v>0.29027777777777763</v>
      </c>
      <c r="O15" s="371" t="str">
        <f>[22]Brewhouse!$AX190</f>
        <v>R. Regis</v>
      </c>
      <c r="P15" s="369"/>
      <c r="Q15" s="347"/>
      <c r="S15" s="277" t="str">
        <f t="shared" si="9"/>
        <v>STARMALT</v>
      </c>
      <c r="T15" s="296">
        <f t="shared" si="10"/>
        <v>17.100000000000001</v>
      </c>
      <c r="U15" s="296">
        <f t="shared" si="11"/>
        <v>17.5</v>
      </c>
      <c r="V15" s="297">
        <f t="shared" si="12"/>
        <v>0</v>
      </c>
      <c r="W15" s="297">
        <f t="shared" si="13"/>
        <v>0.13605324074074074</v>
      </c>
      <c r="X15" s="297">
        <f t="shared" si="14"/>
        <v>0.27430555555555552</v>
      </c>
      <c r="Y15" s="297">
        <f t="shared" si="15"/>
        <v>0.30902777777777779</v>
      </c>
      <c r="Z15" s="297">
        <f t="shared" si="16"/>
        <v>0</v>
      </c>
      <c r="AA15" s="296">
        <f t="shared" si="17"/>
        <v>60</v>
      </c>
    </row>
    <row r="16" spans="2:30" ht="14.4">
      <c r="B16" s="37"/>
      <c r="C16" s="366"/>
      <c r="D16" s="366"/>
      <c r="E16" s="279"/>
      <c r="F16" s="279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9"/>
        <v>0</v>
      </c>
      <c r="T16" s="296" t="e">
        <f t="shared" si="10"/>
        <v>#N/A</v>
      </c>
      <c r="U16" s="296" t="e">
        <f t="shared" si="11"/>
        <v>#N/A</v>
      </c>
      <c r="V16" s="297" t="e">
        <f t="shared" si="12"/>
        <v>#N/A</v>
      </c>
      <c r="W16" s="297" t="e">
        <f t="shared" si="13"/>
        <v>#N/A</v>
      </c>
      <c r="X16" s="297" t="e">
        <f t="shared" si="14"/>
        <v>#N/A</v>
      </c>
      <c r="Y16" s="297" t="e">
        <f t="shared" si="15"/>
        <v>#N/A</v>
      </c>
      <c r="Z16" s="297" t="e">
        <f t="shared" si="16"/>
        <v>#N/A</v>
      </c>
      <c r="AA16" s="296" t="e">
        <f t="shared" si="17"/>
        <v>#N/A</v>
      </c>
    </row>
    <row r="17" spans="2:27" ht="14.4">
      <c r="B17" s="29" t="s">
        <v>6</v>
      </c>
      <c r="C17" s="366" t="str">
        <f>[22]Brewhouse!$A193</f>
        <v>CA091</v>
      </c>
      <c r="D17" s="279">
        <f>[22]Brewhouse!$AF193</f>
        <v>53.3</v>
      </c>
      <c r="E17" s="279">
        <f>[22]Brewhouse!$AI193</f>
        <v>49.1</v>
      </c>
      <c r="F17" s="278">
        <f>[22]Brewhouse!$V193</f>
        <v>74</v>
      </c>
      <c r="G17" s="279">
        <f>[22]Brewhouse!$AG193</f>
        <v>12.01</v>
      </c>
      <c r="H17" s="367"/>
      <c r="I17" s="368">
        <f>[22]Brewhouse!$AU193</f>
        <v>93.674736941647851</v>
      </c>
      <c r="J17" s="368">
        <f>[22]Brewhouse!$AV193</f>
        <v>97.611906294798573</v>
      </c>
      <c r="K17" s="281">
        <f>[22]Brewhouse!$Q193</f>
        <v>6.2745098039215739</v>
      </c>
      <c r="L17" s="276">
        <f>[22]Brewhouse!$P193</f>
        <v>58</v>
      </c>
      <c r="M17" s="397">
        <f>[22]Brewhouse!$U193-[22]Brewhouse!$T193</f>
        <v>0.12708333333333321</v>
      </c>
      <c r="N17" s="370">
        <f>[22]Brewhouse!$Z193</f>
        <v>0.28402777777777766</v>
      </c>
      <c r="O17" s="371" t="str">
        <f>[22]Brewhouse!$AX193</f>
        <v>R. Sookram</v>
      </c>
      <c r="P17" s="369"/>
      <c r="Q17" s="347"/>
      <c r="S17" s="277" t="str">
        <f t="shared" si="9"/>
        <v>CARIB</v>
      </c>
      <c r="T17" s="296">
        <f t="shared" si="10"/>
        <v>11.6</v>
      </c>
      <c r="U17" s="296">
        <f t="shared" si="11"/>
        <v>12</v>
      </c>
      <c r="V17" s="297">
        <f t="shared" si="12"/>
        <v>0</v>
      </c>
      <c r="W17" s="297">
        <f t="shared" si="13"/>
        <v>0.118055555555556</v>
      </c>
      <c r="X17" s="297">
        <f t="shared" si="14"/>
        <v>0.22569444444444445</v>
      </c>
      <c r="Y17" s="297">
        <f t="shared" si="15"/>
        <v>0.2638888888888889</v>
      </c>
      <c r="Z17" s="297">
        <f t="shared" si="16"/>
        <v>0</v>
      </c>
      <c r="AA17" s="296">
        <f t="shared" si="17"/>
        <v>60</v>
      </c>
    </row>
    <row r="18" spans="2:27" ht="14.4">
      <c r="B18" s="34"/>
      <c r="C18" s="366"/>
      <c r="D18" s="279"/>
      <c r="E18" s="279"/>
      <c r="F18" s="278"/>
      <c r="G18" s="279"/>
      <c r="H18" s="396"/>
      <c r="I18" s="368"/>
      <c r="J18" s="368"/>
      <c r="K18" s="398"/>
      <c r="L18" s="276"/>
      <c r="M18" s="399"/>
      <c r="N18" s="370"/>
      <c r="O18" s="371"/>
      <c r="P18" s="369"/>
      <c r="Q18" s="347"/>
      <c r="S18" s="277">
        <f t="shared" si="9"/>
        <v>0</v>
      </c>
      <c r="T18" s="296" t="e">
        <f t="shared" si="10"/>
        <v>#N/A</v>
      </c>
      <c r="U18" s="296" t="e">
        <f t="shared" si="11"/>
        <v>#N/A</v>
      </c>
      <c r="V18" s="297" t="e">
        <f t="shared" si="12"/>
        <v>#N/A</v>
      </c>
      <c r="W18" s="297" t="e">
        <f t="shared" si="13"/>
        <v>#N/A</v>
      </c>
      <c r="X18" s="297" t="e">
        <f t="shared" si="14"/>
        <v>#N/A</v>
      </c>
      <c r="Y18" s="297" t="e">
        <f t="shared" si="15"/>
        <v>#N/A</v>
      </c>
      <c r="Z18" s="297" t="e">
        <f t="shared" si="16"/>
        <v>#N/A</v>
      </c>
      <c r="AA18" s="296" t="e">
        <f t="shared" si="17"/>
        <v>#N/A</v>
      </c>
    </row>
    <row r="19" spans="2:27" ht="14.4">
      <c r="B19" s="34"/>
      <c r="C19" s="366"/>
      <c r="D19" s="279"/>
      <c r="E19" s="279"/>
      <c r="F19" s="278"/>
      <c r="G19" s="279"/>
      <c r="H19" s="396"/>
      <c r="I19" s="368"/>
      <c r="J19" s="368"/>
      <c r="K19" s="398"/>
      <c r="L19" s="276"/>
      <c r="M19" s="399"/>
      <c r="N19" s="370"/>
      <c r="O19" s="371"/>
      <c r="P19" s="369"/>
      <c r="Q19" s="347"/>
      <c r="S19" s="277">
        <f t="shared" si="9"/>
        <v>0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2:27" ht="15.75" customHeight="1">
      <c r="B20" s="34"/>
      <c r="C20" s="366"/>
      <c r="D20" s="279"/>
      <c r="E20" s="279"/>
      <c r="F20" s="278"/>
      <c r="G20" s="279"/>
      <c r="H20" s="396"/>
      <c r="I20" s="368"/>
      <c r="J20" s="368"/>
      <c r="K20" s="398"/>
      <c r="L20" s="276"/>
      <c r="M20" s="399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2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2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369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369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7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369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7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369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7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7" ht="15.75" hidden="1" customHeight="1">
      <c r="B28" s="33"/>
      <c r="C28" s="366"/>
      <c r="D28" s="279"/>
      <c r="E28" s="279"/>
      <c r="F28" s="278"/>
      <c r="G28" s="279"/>
      <c r="H28" s="396"/>
      <c r="I28" s="417"/>
      <c r="J28" s="417"/>
      <c r="K28" s="398"/>
      <c r="L28" s="276"/>
      <c r="M28" s="374"/>
      <c r="N28" s="370"/>
      <c r="O28" s="418"/>
      <c r="P28" s="369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7" ht="15.75" hidden="1" customHeight="1">
      <c r="B29" s="33"/>
      <c r="C29" s="366"/>
      <c r="D29" s="279"/>
      <c r="E29" s="279"/>
      <c r="F29" s="278"/>
      <c r="G29" s="279"/>
      <c r="H29" s="396"/>
      <c r="I29" s="417"/>
      <c r="J29" s="417"/>
      <c r="K29" s="398"/>
      <c r="L29" s="276"/>
      <c r="M29" s="374"/>
      <c r="N29" s="370"/>
      <c r="O29" s="418"/>
      <c r="P29" s="369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7" ht="15.75" hidden="1" customHeight="1">
      <c r="B30" s="33"/>
      <c r="C30" s="366"/>
      <c r="D30" s="279"/>
      <c r="E30" s="279"/>
      <c r="F30" s="278"/>
      <c r="G30" s="279"/>
      <c r="H30" s="396"/>
      <c r="I30" s="417"/>
      <c r="J30" s="417"/>
      <c r="K30" s="398"/>
      <c r="L30" s="276"/>
      <c r="M30" s="374"/>
      <c r="N30" s="370"/>
      <c r="O30" s="418"/>
      <c r="P30" s="369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7" ht="15.75" hidden="1" customHeight="1">
      <c r="B31" s="33"/>
      <c r="C31" s="366"/>
      <c r="D31" s="279"/>
      <c r="E31" s="279"/>
      <c r="F31" s="278"/>
      <c r="G31" s="279"/>
      <c r="H31" s="396"/>
      <c r="I31" s="417"/>
      <c r="J31" s="417"/>
      <c r="K31" s="398"/>
      <c r="L31" s="276"/>
      <c r="M31" s="374"/>
      <c r="N31" s="370"/>
      <c r="O31" s="418"/>
      <c r="P31" s="369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7" ht="15.75" hidden="1" customHeight="1">
      <c r="B32" s="33"/>
      <c r="C32" s="366"/>
      <c r="D32" s="279"/>
      <c r="E32" s="279"/>
      <c r="F32" s="278"/>
      <c r="G32" s="279"/>
      <c r="H32" s="396"/>
      <c r="I32" s="417"/>
      <c r="J32" s="417"/>
      <c r="K32" s="398"/>
      <c r="L32" s="276"/>
      <c r="M32" s="374"/>
      <c r="N32" s="370"/>
      <c r="O32" s="418"/>
      <c r="P32" s="369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17"/>
      <c r="J33" s="417"/>
      <c r="K33" s="398"/>
      <c r="L33" s="276"/>
      <c r="M33" s="374"/>
      <c r="N33" s="370"/>
      <c r="O33" s="418"/>
      <c r="P33" s="369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1:27" ht="15.75" hidden="1" customHeight="1">
      <c r="B34" s="33"/>
      <c r="C34" s="366"/>
      <c r="D34" s="279"/>
      <c r="E34" s="279"/>
      <c r="F34" s="278"/>
      <c r="G34" s="279"/>
      <c r="H34" s="396"/>
      <c r="I34" s="417"/>
      <c r="J34" s="417"/>
      <c r="K34" s="398"/>
      <c r="L34" s="276"/>
      <c r="M34" s="374"/>
      <c r="N34" s="370"/>
      <c r="O34" s="418"/>
      <c r="P34" s="369"/>
      <c r="Q34" s="347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1:27" ht="15.75" hidden="1" customHeight="1">
      <c r="B35" s="33"/>
      <c r="C35" s="366"/>
      <c r="D35" s="279"/>
      <c r="E35" s="279"/>
      <c r="F35" s="278"/>
      <c r="G35" s="279"/>
      <c r="H35" s="396"/>
      <c r="I35" s="417"/>
      <c r="J35" s="417"/>
      <c r="K35" s="398"/>
      <c r="L35" s="276"/>
      <c r="M35" s="374"/>
      <c r="N35" s="370"/>
      <c r="O35" s="418"/>
      <c r="P35" s="369"/>
      <c r="Q35" s="347"/>
      <c r="S35" s="277">
        <f t="shared" si="9"/>
        <v>0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369"/>
      <c r="Q36" s="347"/>
      <c r="S36" s="277">
        <f t="shared" si="9"/>
        <v>0</v>
      </c>
      <c r="T36" s="296" t="e">
        <f t="shared" si="10"/>
        <v>#N/A</v>
      </c>
      <c r="U36" s="296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7" t="e">
        <f t="shared" si="16"/>
        <v>#N/A</v>
      </c>
      <c r="AA36" s="296" t="e">
        <f t="shared" si="17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69"/>
      <c r="Q37" s="347"/>
      <c r="S37" s="277">
        <f t="shared" si="9"/>
        <v>0</v>
      </c>
      <c r="T37" s="296" t="e">
        <f t="shared" si="10"/>
        <v>#N/A</v>
      </c>
      <c r="U37" s="296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7" t="e">
        <f t="shared" si="16"/>
        <v>#N/A</v>
      </c>
      <c r="AA37" s="296" t="e">
        <f t="shared" si="17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69"/>
      <c r="Q38" s="347"/>
      <c r="S38" s="277">
        <f t="shared" si="9"/>
        <v>0</v>
      </c>
      <c r="T38" s="296" t="e">
        <f t="shared" si="10"/>
        <v>#N/A</v>
      </c>
      <c r="U38" s="296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7" t="e">
        <f t="shared" si="16"/>
        <v>#N/A</v>
      </c>
      <c r="AA38" s="296" t="e">
        <f t="shared" si="17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369"/>
      <c r="Q39" s="347"/>
      <c r="S39" s="277">
        <f t="shared" si="9"/>
        <v>0</v>
      </c>
      <c r="T39" s="296" t="e">
        <f t="shared" si="10"/>
        <v>#N/A</v>
      </c>
      <c r="U39" s="296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7" t="e">
        <f t="shared" si="16"/>
        <v>#N/A</v>
      </c>
      <c r="AA39" s="296" t="e">
        <f t="shared" si="17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369"/>
      <c r="Q40" s="347"/>
      <c r="S40" s="277">
        <f t="shared" si="9"/>
        <v>0</v>
      </c>
      <c r="T40" s="296" t="e">
        <f t="shared" si="10"/>
        <v>#N/A</v>
      </c>
      <c r="U40" s="296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7" t="e">
        <f t="shared" si="16"/>
        <v>#N/A</v>
      </c>
      <c r="AA40" s="296" t="e">
        <f t="shared" si="17"/>
        <v>#N/A</v>
      </c>
    </row>
    <row r="41" spans="1:27" ht="14.4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74"/>
      <c r="N41" s="370"/>
      <c r="O41" s="371"/>
      <c r="P41" s="369"/>
      <c r="Q41" s="347"/>
      <c r="S41" s="277">
        <f t="shared" si="9"/>
        <v>0</v>
      </c>
      <c r="T41" s="296" t="e">
        <f t="shared" si="10"/>
        <v>#N/A</v>
      </c>
      <c r="U41" s="296" t="e">
        <f t="shared" si="11"/>
        <v>#N/A</v>
      </c>
      <c r="V41" s="297" t="e">
        <f t="shared" si="12"/>
        <v>#N/A</v>
      </c>
      <c r="W41" s="297" t="e">
        <f t="shared" si="13"/>
        <v>#N/A</v>
      </c>
      <c r="X41" s="297" t="e">
        <f t="shared" si="14"/>
        <v>#N/A</v>
      </c>
      <c r="Y41" s="297" t="e">
        <f t="shared" si="15"/>
        <v>#N/A</v>
      </c>
      <c r="Z41" s="297" t="e">
        <f t="shared" si="16"/>
        <v>#N/A</v>
      </c>
      <c r="AA41" s="296" t="e">
        <f t="shared" si="17"/>
        <v>#N/A</v>
      </c>
    </row>
    <row r="42" spans="1:27" ht="15.75" customHeight="1" thickBot="1">
      <c r="B42" s="358"/>
      <c r="C42" s="358"/>
      <c r="D42" s="358"/>
      <c r="E42" s="358"/>
      <c r="F42" s="294"/>
      <c r="G42" s="294"/>
      <c r="H42" s="348"/>
      <c r="I42" s="500" t="s">
        <v>34</v>
      </c>
      <c r="J42" s="500"/>
      <c r="K42" s="500"/>
      <c r="L42" s="500"/>
      <c r="M42" s="500"/>
      <c r="N42" s="500"/>
      <c r="O42" s="1"/>
      <c r="P42" s="12"/>
      <c r="S42" s="277"/>
      <c r="T42" s="296"/>
      <c r="U42" s="296"/>
      <c r="V42" s="297"/>
      <c r="W42" s="297"/>
      <c r="X42" s="297"/>
      <c r="Y42" s="297"/>
      <c r="Z42" s="297"/>
      <c r="AA42" s="296"/>
    </row>
    <row r="43" spans="1:27" ht="15" thickBot="1">
      <c r="B43" s="388" t="s">
        <v>145</v>
      </c>
      <c r="C43" s="388"/>
      <c r="D43" s="478" t="s">
        <v>35</v>
      </c>
      <c r="E43" s="479"/>
      <c r="F43" s="294"/>
      <c r="G43" s="294"/>
      <c r="H43" s="23"/>
      <c r="I43" s="24" t="s">
        <v>17</v>
      </c>
      <c r="J43" s="25" t="s">
        <v>146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S43" s="277"/>
      <c r="T43" s="296"/>
      <c r="U43" s="296"/>
      <c r="V43" s="297"/>
      <c r="W43" s="297"/>
      <c r="X43" s="297"/>
      <c r="Y43" s="297"/>
      <c r="Z43" s="297"/>
      <c r="AA43" s="296"/>
    </row>
    <row r="44" spans="1:27" ht="15" customHeight="1">
      <c r="A44" s="28"/>
      <c r="B44" s="566" t="str">
        <f>I44</f>
        <v>CARIB</v>
      </c>
      <c r="C44" s="362" cm="1">
        <f t="array" ref="C44:C51">[22]Process!$D$152:$D$159</f>
        <v>11.83</v>
      </c>
      <c r="D44" s="504">
        <v>11.7</v>
      </c>
      <c r="E44" s="505"/>
      <c r="F44" s="294"/>
      <c r="G44" s="294"/>
      <c r="H44" s="294"/>
      <c r="I44" s="29" t="s">
        <v>6</v>
      </c>
      <c r="J44" s="323">
        <f>AVERAGE(I17)</f>
        <v>93.674736941647851</v>
      </c>
      <c r="K44" s="284">
        <f>COUNTA([22]Brewhouse!$A$173:$A$192)</f>
        <v>20</v>
      </c>
      <c r="L44" s="302">
        <f>AVERAGE([22]Brewhouse!$AU$173:$AU$192)</f>
        <v>94.436814753382393</v>
      </c>
      <c r="M44" s="302">
        <f>AVERAGE([22]Brewhouse!$AU$102:$AU$171,[22]Brewhouse!$AU$173:$AU$192)</f>
        <v>94.545104209404371</v>
      </c>
      <c r="N44" s="30">
        <v>98</v>
      </c>
      <c r="O44" s="11"/>
      <c r="P44" s="31"/>
      <c r="S44" s="277"/>
      <c r="T44" s="296"/>
      <c r="U44" s="296"/>
      <c r="V44" s="297"/>
      <c r="W44" s="297"/>
      <c r="X44" s="297"/>
      <c r="Y44" s="297"/>
      <c r="Z44" s="297"/>
      <c r="AA44" s="296"/>
    </row>
    <row r="45" spans="1:27" ht="15" customHeight="1">
      <c r="A45" s="28"/>
      <c r="B45" s="567"/>
      <c r="C45" s="349">
        <v>12</v>
      </c>
      <c r="D45" s="506"/>
      <c r="E45" s="507"/>
      <c r="F45" s="294"/>
      <c r="G45" s="294"/>
      <c r="H45" s="32"/>
      <c r="I45" s="33" t="s">
        <v>9</v>
      </c>
      <c r="J45" s="323"/>
      <c r="K45" s="284">
        <f>COUNTA([24]Brewhouse!$A$66:$A$73)</f>
        <v>8</v>
      </c>
      <c r="L45" s="302">
        <f>AVERAGE([24]Brewhouse!$AS$66:$AS$73)</f>
        <v>95.510976019344795</v>
      </c>
      <c r="M45" s="302">
        <f>AVERAGE([24]Brewhouse!$AS$15:$AS$64,[24]Brewhouse!$AS$66:$AS$73)</f>
        <v>95.999214037683316</v>
      </c>
      <c r="N45" s="30">
        <v>98</v>
      </c>
      <c r="O45" s="11"/>
      <c r="P45" s="31"/>
      <c r="S45" s="277"/>
      <c r="T45" s="296"/>
      <c r="U45" s="296"/>
      <c r="V45" s="297"/>
      <c r="W45" s="297"/>
      <c r="X45" s="297"/>
      <c r="Y45" s="297"/>
      <c r="Z45" s="297"/>
      <c r="AA45" s="296"/>
    </row>
    <row r="46" spans="1:27" ht="14.7" customHeight="1">
      <c r="A46" s="28"/>
      <c r="B46" s="568"/>
      <c r="C46" s="362">
        <v>11.7</v>
      </c>
      <c r="D46" s="504">
        <v>11.6</v>
      </c>
      <c r="E46" s="505"/>
      <c r="F46" s="294"/>
      <c r="G46" s="294"/>
      <c r="H46" s="32"/>
      <c r="I46" s="34" t="s">
        <v>12</v>
      </c>
      <c r="J46" s="280"/>
      <c r="K46" s="284">
        <f>COUNTA([23]Brewhouse!$A$9:$A$14)</f>
        <v>6</v>
      </c>
      <c r="L46" s="302">
        <f>AVERAGE([23]Brewhouse!$AU$9:$AU$14)</f>
        <v>96.577361087083986</v>
      </c>
      <c r="M46" s="302">
        <f>AVERAGE([23]Brewhouse!$AU$4:$AU$7,[23]Brewhouse!$AU$9:$AU$14)</f>
        <v>96.787191796473266</v>
      </c>
      <c r="N46" s="30">
        <v>98</v>
      </c>
      <c r="O46" s="11"/>
      <c r="P46" s="31"/>
      <c r="S46" s="23"/>
      <c r="T46" s="1"/>
      <c r="U46" s="1"/>
      <c r="AA46" s="285"/>
    </row>
    <row r="47" spans="1:27" ht="14.7" customHeight="1">
      <c r="A47" s="28"/>
      <c r="B47" s="568"/>
      <c r="C47" s="362">
        <v>11.79</v>
      </c>
      <c r="D47" s="506"/>
      <c r="E47" s="507"/>
      <c r="F47" s="294"/>
      <c r="G47" s="294"/>
      <c r="H47" s="32"/>
      <c r="I47" s="22" t="s">
        <v>33</v>
      </c>
      <c r="J47" s="280"/>
      <c r="K47" s="284"/>
      <c r="L47" s="302"/>
      <c r="M47" s="302">
        <f>AVERAGE([25]Brewhouse!$AV$5:$AV$14)</f>
        <v>97.717673301363135</v>
      </c>
      <c r="N47" s="30">
        <v>98</v>
      </c>
      <c r="O47" s="11"/>
      <c r="P47" s="31"/>
      <c r="S47" s="23"/>
      <c r="T47" s="1"/>
      <c r="U47" s="1"/>
      <c r="AA47" s="285"/>
    </row>
    <row r="48" spans="1:27" ht="14.7" customHeight="1">
      <c r="A48" s="28"/>
      <c r="B48" s="567"/>
      <c r="C48" s="362">
        <v>11.9</v>
      </c>
      <c r="D48" s="504">
        <v>11.7</v>
      </c>
      <c r="E48" s="505"/>
      <c r="F48" s="294"/>
      <c r="G48" s="294"/>
      <c r="H48" s="32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S48" s="23"/>
    </row>
    <row r="49" spans="1:57" ht="14.7" customHeight="1">
      <c r="A49" s="28"/>
      <c r="B49" s="567"/>
      <c r="C49" s="349">
        <v>11.96</v>
      </c>
      <c r="D49" s="506"/>
      <c r="E49" s="507"/>
      <c r="F49" s="294"/>
      <c r="G49" s="294"/>
      <c r="H49" s="32"/>
      <c r="I49" s="36" t="s">
        <v>15</v>
      </c>
      <c r="J49" s="323"/>
      <c r="K49" s="284"/>
      <c r="L49" s="302"/>
      <c r="M49" s="302">
        <f>AVERAGE([26]Brewhouse!$AT$4:$AT$11)</f>
        <v>94.812616598822359</v>
      </c>
      <c r="N49" s="30">
        <v>98</v>
      </c>
      <c r="O49" s="11"/>
      <c r="P49" s="31"/>
      <c r="S49" s="23"/>
    </row>
    <row r="50" spans="1:57" ht="14.7" customHeight="1">
      <c r="A50" s="28"/>
      <c r="B50" s="567"/>
      <c r="C50" s="349">
        <v>11.89</v>
      </c>
      <c r="D50" s="504">
        <v>11.85</v>
      </c>
      <c r="E50" s="505"/>
      <c r="F50" s="294"/>
      <c r="G50" s="294"/>
      <c r="H50" s="32"/>
      <c r="I50" s="37" t="s">
        <v>16</v>
      </c>
      <c r="J50" s="323">
        <f>AVERAGE(I10:I15)</f>
        <v>95.874175970347281</v>
      </c>
      <c r="K50" s="284">
        <f>COUNTA([27]Brewhouse!$A$15:$A$20)</f>
        <v>6</v>
      </c>
      <c r="L50" s="302">
        <f>AVERAGE([27]Brewhouse!$AY$15:$AY$20)</f>
        <v>95.874175970347281</v>
      </c>
      <c r="M50" s="302">
        <f>AVERAGE([27]Brewhouse!$AY$6:$AY$13,[27]Brewhouse!$AY$15:$AY$20)</f>
        <v>94.285964321968933</v>
      </c>
      <c r="N50" s="30">
        <v>98</v>
      </c>
      <c r="O50" s="11"/>
      <c r="P50" s="31" t="s">
        <v>41</v>
      </c>
      <c r="S50" s="23"/>
      <c r="X50" s="275" t="s">
        <v>41</v>
      </c>
    </row>
    <row r="51" spans="1:57" ht="14.7" customHeight="1">
      <c r="A51" s="28"/>
      <c r="B51" s="567"/>
      <c r="C51" s="349">
        <v>11.84</v>
      </c>
      <c r="D51" s="506"/>
      <c r="E51" s="507"/>
      <c r="F51" s="294"/>
      <c r="G51" s="294"/>
      <c r="H51" s="32"/>
      <c r="I51" s="416" t="s">
        <v>158</v>
      </c>
      <c r="J51" s="326"/>
      <c r="K51" s="284"/>
      <c r="L51" s="305"/>
      <c r="M51" s="305">
        <f>AVERAGE([28]Brewhouse!$AU$5:$AU$8)</f>
        <v>91.006888337619571</v>
      </c>
      <c r="N51" s="30">
        <v>98</v>
      </c>
      <c r="O51" s="11"/>
      <c r="P51" s="31"/>
      <c r="S51" s="23"/>
    </row>
    <row r="52" spans="1:57" ht="14.7" customHeight="1">
      <c r="A52" s="28"/>
      <c r="B52" s="567"/>
      <c r="C52" s="349"/>
      <c r="D52" s="504"/>
      <c r="E52" s="505"/>
      <c r="F52" s="294"/>
      <c r="G52" s="294"/>
      <c r="H52" s="32"/>
      <c r="I52" s="415" t="s">
        <v>157</v>
      </c>
      <c r="J52" s="326"/>
      <c r="K52" s="284"/>
      <c r="L52" s="305"/>
      <c r="M52" s="305"/>
      <c r="N52" s="30"/>
      <c r="O52" s="11"/>
      <c r="P52" s="31"/>
      <c r="S52" s="23"/>
    </row>
    <row r="53" spans="1:57" ht="15" customHeight="1" thickBot="1">
      <c r="A53" s="28"/>
      <c r="B53" s="567"/>
      <c r="C53" s="349"/>
      <c r="D53" s="506"/>
      <c r="E53" s="507"/>
      <c r="F53" s="294"/>
      <c r="G53" s="294"/>
      <c r="H53" s="32"/>
      <c r="I53" s="411" t="s">
        <v>156</v>
      </c>
      <c r="J53" s="327"/>
      <c r="K53" s="412"/>
      <c r="L53" s="413"/>
      <c r="M53" s="413"/>
      <c r="N53" s="414">
        <v>98</v>
      </c>
      <c r="O53" s="11"/>
      <c r="P53" s="31"/>
      <c r="S53" s="23"/>
    </row>
    <row r="54" spans="1:57" ht="15" customHeight="1" thickBot="1">
      <c r="A54" s="28"/>
      <c r="B54" s="567"/>
      <c r="C54" s="349"/>
      <c r="D54" s="504"/>
      <c r="E54" s="505"/>
      <c r="F54" s="294"/>
      <c r="G54" s="294"/>
      <c r="H54" s="32"/>
      <c r="I54" s="1"/>
      <c r="J54" s="39"/>
      <c r="K54" s="409">
        <f>SUM(K44:K53)</f>
        <v>40</v>
      </c>
      <c r="L54" s="410">
        <f>((L44*K44)+(L45*K45)+(L46*K46)+(L47*K47)+(L48*K48)+(K51*L51)+(L49*K49)+(L50*K50)+(L53*K53))/(K54)</f>
        <v>95.188333139174844</v>
      </c>
      <c r="M54" s="410">
        <f>L54</f>
        <v>95.188333139174844</v>
      </c>
      <c r="N54" s="40">
        <v>98</v>
      </c>
      <c r="O54" s="11"/>
      <c r="P54" s="31"/>
      <c r="S54" s="23"/>
    </row>
    <row r="55" spans="1:57" ht="15" thickBot="1">
      <c r="B55" s="569"/>
      <c r="C55" s="350"/>
      <c r="D55" s="506"/>
      <c r="E55" s="507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S55" s="23"/>
    </row>
    <row r="56" spans="1:57" ht="15" thickBot="1">
      <c r="B56" s="563" t="str">
        <f>I45</f>
        <v>STAG</v>
      </c>
      <c r="C56" s="362" cm="1">
        <f t="array" ref="C56:C59">[24]Process!$D$45:$D$48</f>
        <v>11.9</v>
      </c>
      <c r="D56" s="517">
        <v>11.96</v>
      </c>
      <c r="E56" s="518"/>
      <c r="F56" s="43"/>
      <c r="G56" s="41"/>
      <c r="H56" s="41"/>
      <c r="I56" s="42"/>
      <c r="J56" s="520" t="s">
        <v>129</v>
      </c>
      <c r="K56" s="520"/>
      <c r="L56" s="294"/>
      <c r="M56" s="294"/>
      <c r="N56" s="294"/>
      <c r="O56" s="294"/>
      <c r="P56" s="12"/>
      <c r="S56" s="23" t="s">
        <v>41</v>
      </c>
    </row>
    <row r="57" spans="1:57" ht="13.5" customHeight="1" thickBot="1">
      <c r="B57" s="564"/>
      <c r="C57" s="349">
        <v>11.73</v>
      </c>
      <c r="D57" s="519"/>
      <c r="E57" s="507"/>
      <c r="F57" s="43"/>
      <c r="G57" s="41"/>
      <c r="H57" s="41"/>
      <c r="I57" s="42"/>
      <c r="J57" s="419" t="s">
        <v>17</v>
      </c>
      <c r="K57" s="293" t="s">
        <v>147</v>
      </c>
      <c r="L57" s="521" t="s">
        <v>136</v>
      </c>
      <c r="M57" s="521"/>
      <c r="N57" s="522"/>
      <c r="O57" s="294"/>
      <c r="P57" s="12"/>
      <c r="S57" s="23"/>
    </row>
    <row r="58" spans="1:57" ht="15" customHeight="1" thickBot="1">
      <c r="B58" s="564"/>
      <c r="C58" s="349">
        <v>11.79</v>
      </c>
      <c r="D58" s="523">
        <v>11.83</v>
      </c>
      <c r="E58" s="505"/>
      <c r="F58" s="43"/>
      <c r="G58" s="41"/>
      <c r="H58" s="41"/>
      <c r="I58" s="42"/>
      <c r="J58" s="420" t="s">
        <v>6</v>
      </c>
      <c r="K58" s="324">
        <f>COUNTA(C17)</f>
        <v>1</v>
      </c>
      <c r="L58" s="343" t="s">
        <v>37</v>
      </c>
      <c r="M58" s="307" t="s">
        <v>38</v>
      </c>
      <c r="N58" s="307" t="s">
        <v>84</v>
      </c>
      <c r="O58" s="294"/>
      <c r="P58" s="12"/>
      <c r="S58" s="23"/>
    </row>
    <row r="59" spans="1:57" ht="15.75" customHeight="1" thickBot="1">
      <c r="B59" s="564"/>
      <c r="C59" s="349">
        <v>11.76</v>
      </c>
      <c r="D59" s="519"/>
      <c r="E59" s="507"/>
      <c r="F59" s="43"/>
      <c r="G59" s="41"/>
      <c r="H59" s="41"/>
      <c r="I59" s="42"/>
      <c r="J59" s="421" t="s">
        <v>9</v>
      </c>
      <c r="K59" s="324"/>
      <c r="L59" s="344">
        <f>AVERAGE('Feb 3rd'!K79,'Feb 4th'!K77,'Feb 5th'!L68,'Feb 6th'!K75,'Feb 10th'!K69,'Feb 11th'!K68)</f>
        <v>6.666666666666667</v>
      </c>
      <c r="M59" s="325">
        <f>AVERAGE('[29]Jan 29th '!$M$70,L59)</f>
        <v>6.5833333333333339</v>
      </c>
      <c r="N59" s="401"/>
      <c r="O59" s="294"/>
      <c r="P59" s="12"/>
      <c r="S59" s="23"/>
    </row>
    <row r="60" spans="1:57" ht="15" customHeight="1">
      <c r="B60" s="564"/>
      <c r="C60" s="349"/>
      <c r="D60" s="523"/>
      <c r="E60" s="505"/>
      <c r="F60" s="43"/>
      <c r="G60" s="41"/>
      <c r="H60" s="41"/>
      <c r="I60" s="42"/>
      <c r="J60" s="422" t="s">
        <v>40</v>
      </c>
      <c r="K60" s="324"/>
      <c r="L60" s="294"/>
      <c r="M60" s="294"/>
      <c r="N60" s="294"/>
      <c r="O60" s="294"/>
      <c r="P60" s="12"/>
      <c r="S60" s="23"/>
    </row>
    <row r="61" spans="1:57" ht="15" customHeight="1">
      <c r="B61" s="564"/>
      <c r="C61" s="349"/>
      <c r="D61" s="519"/>
      <c r="E61" s="507"/>
      <c r="F61" s="43"/>
      <c r="G61" s="41"/>
      <c r="H61" s="41"/>
      <c r="I61" s="42"/>
      <c r="J61" s="423" t="s">
        <v>33</v>
      </c>
      <c r="K61" s="324"/>
      <c r="L61" s="294"/>
      <c r="M61" s="294"/>
      <c r="N61" s="294"/>
      <c r="O61" s="294"/>
      <c r="P61" s="12"/>
      <c r="S61" s="23"/>
    </row>
    <row r="62" spans="1:57" ht="14.4">
      <c r="B62" s="564"/>
      <c r="C62" s="349"/>
      <c r="D62" s="523"/>
      <c r="E62" s="505"/>
      <c r="F62" s="43"/>
      <c r="G62" s="41"/>
      <c r="H62" s="41"/>
      <c r="I62" s="42"/>
      <c r="J62" s="424" t="s">
        <v>16</v>
      </c>
      <c r="K62" s="324">
        <f>COUNTA(C10:C15)</f>
        <v>6</v>
      </c>
      <c r="L62" s="294"/>
      <c r="M62" s="294"/>
      <c r="N62" s="294"/>
      <c r="O62" s="294"/>
      <c r="P62" s="12"/>
      <c r="S62" s="23"/>
      <c r="BD62" s="44"/>
      <c r="BE62" s="44"/>
    </row>
    <row r="63" spans="1:57" ht="14.4">
      <c r="B63" s="564"/>
      <c r="C63" s="349"/>
      <c r="D63" s="519"/>
      <c r="E63" s="507"/>
      <c r="F63" s="43"/>
      <c r="G63" s="41"/>
      <c r="H63" s="41"/>
      <c r="I63" s="42"/>
      <c r="J63" s="425" t="s">
        <v>15</v>
      </c>
      <c r="K63" s="324"/>
      <c r="L63" s="294"/>
      <c r="M63" s="294"/>
      <c r="N63" s="294"/>
      <c r="O63" s="294"/>
      <c r="P63" s="12"/>
      <c r="S63" s="23"/>
      <c r="BD63" s="44"/>
      <c r="BE63" s="44"/>
    </row>
    <row r="64" spans="1:57" ht="14.4">
      <c r="B64" s="564"/>
      <c r="C64" s="349"/>
      <c r="D64" s="524"/>
      <c r="E64" s="509"/>
      <c r="F64" s="43"/>
      <c r="G64" s="41"/>
      <c r="H64" s="41"/>
      <c r="I64" s="42"/>
      <c r="J64" s="425" t="s">
        <v>149</v>
      </c>
      <c r="K64" s="324"/>
      <c r="L64" s="294"/>
      <c r="M64" s="294"/>
      <c r="N64" s="294"/>
      <c r="O64" s="294"/>
      <c r="P64" s="12"/>
      <c r="S64" s="23"/>
      <c r="BD64" s="44"/>
      <c r="BE64" s="44"/>
    </row>
    <row r="65" spans="2:58" ht="15" thickBot="1">
      <c r="B65" s="565"/>
      <c r="C65" s="350"/>
      <c r="D65" s="525"/>
      <c r="E65" s="526"/>
      <c r="F65" s="43"/>
      <c r="G65" s="41"/>
      <c r="H65" s="41"/>
      <c r="I65" s="42"/>
      <c r="J65" s="425" t="s">
        <v>148</v>
      </c>
      <c r="K65" s="324"/>
      <c r="L65" s="294"/>
      <c r="M65" s="294"/>
      <c r="N65" s="294"/>
      <c r="O65" s="294"/>
      <c r="P65" s="12"/>
      <c r="S65" s="23"/>
      <c r="BD65" s="44"/>
      <c r="BE65" s="44"/>
    </row>
    <row r="66" spans="2:58" ht="17.7" customHeight="1" thickBot="1">
      <c r="B66" s="312" t="s">
        <v>139</v>
      </c>
      <c r="C66" s="313"/>
      <c r="D66" s="527">
        <f>AVERAGE(D44:E65)</f>
        <v>11.773333333333333</v>
      </c>
      <c r="E66" s="528"/>
      <c r="F66" s="43"/>
      <c r="G66" s="41"/>
      <c r="H66" s="41"/>
      <c r="I66" s="42"/>
      <c r="J66" s="426" t="s">
        <v>134</v>
      </c>
      <c r="K66" s="324"/>
      <c r="L66" s="294"/>
      <c r="M66" s="294"/>
      <c r="N66" s="294"/>
      <c r="O66" s="294"/>
      <c r="P66" s="12"/>
      <c r="S66" s="23"/>
      <c r="BD66" s="44"/>
      <c r="BE66" s="44"/>
    </row>
    <row r="67" spans="2:58" ht="17.7" customHeight="1">
      <c r="B67" s="363"/>
      <c r="C67" s="364"/>
      <c r="D67" s="365"/>
      <c r="E67" s="365"/>
      <c r="F67" s="43"/>
      <c r="G67" s="41"/>
      <c r="H67" s="41"/>
      <c r="I67" s="42"/>
      <c r="J67" s="426" t="s">
        <v>131</v>
      </c>
      <c r="K67" s="324"/>
      <c r="L67" s="294"/>
      <c r="M67" s="294"/>
      <c r="N67" s="294"/>
      <c r="O67" s="294"/>
      <c r="P67" s="12"/>
      <c r="S67" s="23"/>
      <c r="BD67" s="44"/>
      <c r="BE67" s="44"/>
    </row>
    <row r="68" spans="2:58" ht="15.75" customHeight="1">
      <c r="B68" s="45"/>
      <c r="C68" s="11"/>
      <c r="D68" s="11"/>
      <c r="E68" s="46"/>
      <c r="F68" s="23"/>
      <c r="G68" s="11"/>
      <c r="H68" s="41"/>
      <c r="I68" s="42"/>
      <c r="J68" s="427" t="s">
        <v>130</v>
      </c>
      <c r="K68" s="324">
        <f>SUM(K58:K67)</f>
        <v>7</v>
      </c>
      <c r="L68" s="294"/>
      <c r="M68" s="294"/>
      <c r="N68" s="294"/>
      <c r="O68" s="294"/>
      <c r="P68" s="12"/>
    </row>
    <row r="69" spans="2:58" ht="20.25" customHeight="1">
      <c r="B69" s="15" t="s">
        <v>42</v>
      </c>
      <c r="C69" s="1" t="s">
        <v>43</v>
      </c>
      <c r="D69" s="1"/>
      <c r="E69" s="1"/>
      <c r="I69" s="42"/>
      <c r="L69" s="294"/>
      <c r="P69" s="334"/>
    </row>
    <row r="70" spans="2:58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  <c r="X70" s="275" t="s">
        <v>41</v>
      </c>
    </row>
    <row r="71" spans="2:58" ht="15" customHeight="1" thickBot="1">
      <c r="B71" s="529" t="s">
        <v>17</v>
      </c>
      <c r="C71" s="529" t="s">
        <v>44</v>
      </c>
      <c r="D71" s="531" t="s">
        <v>45</v>
      </c>
      <c r="E71" s="486" t="s">
        <v>46</v>
      </c>
      <c r="F71" s="546" t="s">
        <v>47</v>
      </c>
      <c r="G71" s="540" t="s">
        <v>48</v>
      </c>
      <c r="H71" s="529" t="s">
        <v>49</v>
      </c>
      <c r="I71" s="529" t="s">
        <v>50</v>
      </c>
      <c r="J71" s="534" t="s">
        <v>28</v>
      </c>
      <c r="K71" s="484" t="s">
        <v>51</v>
      </c>
      <c r="L71" s="496" t="s">
        <v>52</v>
      </c>
      <c r="M71" s="534" t="s">
        <v>53</v>
      </c>
      <c r="N71" s="77"/>
      <c r="O71" s="13"/>
      <c r="P71" s="50"/>
    </row>
    <row r="72" spans="2:58" ht="28.5" customHeight="1" thickTop="1" thickBot="1">
      <c r="B72" s="530"/>
      <c r="C72" s="530"/>
      <c r="D72" s="532"/>
      <c r="E72" s="533"/>
      <c r="F72" s="547"/>
      <c r="G72" s="541"/>
      <c r="H72" s="530"/>
      <c r="I72" s="530"/>
      <c r="J72" s="535"/>
      <c r="K72" s="544"/>
      <c r="L72" s="545"/>
      <c r="M72" s="535"/>
      <c r="N72" s="77"/>
      <c r="O72" s="13"/>
      <c r="P72" s="50"/>
      <c r="Q72" s="355"/>
      <c r="R72" s="355"/>
      <c r="S72" s="355"/>
      <c r="T72" s="355"/>
      <c r="U72" s="51">
        <v>43466</v>
      </c>
      <c r="V72" s="51">
        <v>43467</v>
      </c>
      <c r="W72" s="51">
        <v>43468</v>
      </c>
      <c r="X72" s="51">
        <v>43469</v>
      </c>
      <c r="Y72" s="51">
        <v>43470</v>
      </c>
      <c r="Z72" s="51">
        <v>43471</v>
      </c>
      <c r="AA72" s="51">
        <v>43472</v>
      </c>
      <c r="AB72" s="51">
        <v>43473</v>
      </c>
      <c r="AC72" s="51">
        <v>43474</v>
      </c>
      <c r="AD72" s="51">
        <v>43475</v>
      </c>
      <c r="AE72" s="51">
        <v>43476</v>
      </c>
      <c r="AF72" s="51">
        <v>43477</v>
      </c>
      <c r="AG72" s="51">
        <v>43478</v>
      </c>
      <c r="AH72" s="51">
        <v>43479</v>
      </c>
      <c r="AI72" s="51">
        <v>43480</v>
      </c>
      <c r="AJ72" s="51">
        <v>43481</v>
      </c>
      <c r="AK72" s="51">
        <v>43482</v>
      </c>
      <c r="AL72" s="51">
        <v>43483</v>
      </c>
      <c r="AM72" s="51">
        <v>43484</v>
      </c>
      <c r="AN72" s="51">
        <v>43485</v>
      </c>
      <c r="AO72" s="51">
        <v>43486</v>
      </c>
      <c r="AP72" s="51">
        <v>43487</v>
      </c>
      <c r="AQ72" s="51">
        <v>43488</v>
      </c>
      <c r="AR72" s="51">
        <v>43489</v>
      </c>
      <c r="AS72" s="51">
        <v>43490</v>
      </c>
      <c r="AT72" s="51">
        <v>43491</v>
      </c>
      <c r="AU72" s="51">
        <v>43492</v>
      </c>
      <c r="AV72" s="51">
        <v>43493</v>
      </c>
      <c r="AW72" s="51">
        <v>43494</v>
      </c>
      <c r="AX72" s="51">
        <v>43495</v>
      </c>
      <c r="AY72" s="51">
        <v>43496</v>
      </c>
    </row>
    <row r="73" spans="2:58" s="54" customFormat="1" ht="56.4" customHeight="1" thickBot="1">
      <c r="B73" s="428" t="str">
        <f>I44</f>
        <v>CARIB</v>
      </c>
      <c r="C73" s="283">
        <v>45699</v>
      </c>
      <c r="D73" s="377">
        <f>[30]February_2025!$N$3</f>
        <v>414.79999999999995</v>
      </c>
      <c r="E73" s="378"/>
      <c r="F73" s="379"/>
      <c r="G73" s="303">
        <f>[30]February_2025!$N$7</f>
        <v>385.8</v>
      </c>
      <c r="H73" s="400"/>
      <c r="I73" s="400"/>
      <c r="J73" s="390" t="s">
        <v>163</v>
      </c>
      <c r="K73" s="380">
        <f>[32]February_2025!$N$18</f>
        <v>0.48225000000000001</v>
      </c>
      <c r="L73" s="314">
        <f>(((D73+E73)-G73)/(D73+E73))*100</f>
        <v>6.9913211186113653</v>
      </c>
      <c r="M73" s="281" t="s">
        <v>173</v>
      </c>
      <c r="N73" s="13"/>
      <c r="O73" s="13"/>
      <c r="P73" s="50"/>
      <c r="T73" s="272" t="s">
        <v>54</v>
      </c>
      <c r="U73" s="279"/>
      <c r="V73" s="279"/>
      <c r="W73" s="279"/>
      <c r="X73" s="279"/>
      <c r="Y73" s="279"/>
      <c r="Z73" s="279"/>
      <c r="AA73" s="279"/>
      <c r="AB73" s="279"/>
      <c r="AC73" s="279"/>
      <c r="AD73" s="279"/>
      <c r="AE73" s="279"/>
      <c r="AF73" s="279"/>
      <c r="AG73" s="279"/>
      <c r="AH73" s="279"/>
      <c r="AI73" s="279"/>
      <c r="AJ73" s="279"/>
      <c r="AK73" s="279"/>
      <c r="AL73" s="279"/>
      <c r="AM73" s="279"/>
      <c r="AN73" s="279"/>
      <c r="AO73" s="279"/>
      <c r="AP73" s="279"/>
      <c r="AQ73" s="279"/>
      <c r="AR73" s="279"/>
      <c r="AS73" s="279"/>
      <c r="AT73" s="279"/>
      <c r="AU73" s="279"/>
      <c r="AV73" s="279"/>
      <c r="AW73" s="279"/>
      <c r="AX73" s="279"/>
    </row>
    <row r="74" spans="2:58" s="54" customFormat="1" ht="18.75" customHeight="1" thickBot="1">
      <c r="B74" s="387"/>
      <c r="C74" s="283"/>
      <c r="D74" s="279"/>
      <c r="E74" s="279"/>
      <c r="F74" s="279"/>
      <c r="G74" s="279"/>
      <c r="H74" s="320"/>
      <c r="I74" s="322"/>
      <c r="J74" s="389"/>
      <c r="K74" s="437"/>
      <c r="L74" s="314"/>
      <c r="M74" s="384"/>
      <c r="N74" s="13"/>
      <c r="O74" s="13"/>
      <c r="P74" s="50"/>
      <c r="T74" s="272" t="s">
        <v>51</v>
      </c>
      <c r="U74" s="57" t="e">
        <f>[20]January_2019!D8</f>
        <v>#DIV/0!</v>
      </c>
      <c r="V74" s="57">
        <f>[20]January_2019!E8</f>
        <v>1.0319298245614037</v>
      </c>
      <c r="W74" s="57">
        <f>[20]January_2019!F8</f>
        <v>1.7789473684210526</v>
      </c>
      <c r="X74" s="57">
        <f>[20]January_2019!G8</f>
        <v>0.51929824561403504</v>
      </c>
      <c r="Y74" s="57" t="e">
        <f>[20]January_2019!H8</f>
        <v>#DIV/0!</v>
      </c>
      <c r="Z74" s="57" t="e">
        <f>[20]January_2019!I8</f>
        <v>#DIV/0!</v>
      </c>
      <c r="AA74" s="57">
        <f>[20]January_2019!J8</f>
        <v>1.365263157894737</v>
      </c>
      <c r="AB74" s="57" t="e">
        <f>[20]January_2019!K8</f>
        <v>#DIV/0!</v>
      </c>
      <c r="AC74" s="57">
        <f>[20]January_2019!L8</f>
        <v>1.0028070175438597</v>
      </c>
      <c r="AD74" s="57">
        <f>[20]January_2019!M8</f>
        <v>1.7828070175438597</v>
      </c>
      <c r="AE74" s="57" t="e">
        <f>[20]January_2019!N8</f>
        <v>#DIV/0!</v>
      </c>
      <c r="AF74" s="57" t="e">
        <f>[20]January_2019!O8</f>
        <v>#DIV/0!</v>
      </c>
      <c r="AG74" s="57">
        <f>[20]January_2019!P8</f>
        <v>0.19222222222222221</v>
      </c>
      <c r="AH74" s="57">
        <f>[20]January_2019!Q8</f>
        <v>0.52219298245614032</v>
      </c>
      <c r="AI74" s="57">
        <f>[20]January_2019!R8</f>
        <v>0.42912280701754385</v>
      </c>
      <c r="AJ74" s="57" t="e">
        <f>[20]January_2019!S8</f>
        <v>#DIV/0!</v>
      </c>
      <c r="AK74" s="57">
        <f>[20]January_2019!T8</f>
        <v>1.0340350877192983</v>
      </c>
      <c r="AL74" s="57">
        <f>[20]January_2019!U8</f>
        <v>0.98421052631578942</v>
      </c>
      <c r="AM74" s="57" t="e">
        <f>[20]January_2019!V8</f>
        <v>#DIV/0!</v>
      </c>
      <c r="AN74" s="57" t="e">
        <f>[20]January_2019!W8</f>
        <v>#DIV/0!</v>
      </c>
      <c r="AO74" s="57">
        <f>[20]January_2019!X8</f>
        <v>0.66052631578947374</v>
      </c>
      <c r="AP74" s="57">
        <f>[20]January_2019!Y8</f>
        <v>1.0375438596491227</v>
      </c>
      <c r="AQ74" s="57">
        <f>[20]January_2019!Z8</f>
        <v>0.90456140350877201</v>
      </c>
      <c r="AR74" s="57">
        <f>[20]January_2019!AA8</f>
        <v>1.0217543859649123</v>
      </c>
      <c r="AS74" s="57">
        <f>[20]January_2019!AB8</f>
        <v>0.65614035087719302</v>
      </c>
      <c r="AT74" s="57" t="e">
        <f>[20]January_2019!AC8</f>
        <v>#DIV/0!</v>
      </c>
      <c r="AU74" s="57" t="e">
        <f>[20]January_2019!AD8</f>
        <v>#DIV/0!</v>
      </c>
      <c r="AV74" s="57">
        <f>[20]January_2019!AE8</f>
        <v>1.7021052631578948</v>
      </c>
      <c r="AW74" s="57">
        <f>[20]January_2019!AF8</f>
        <v>0.60192982456140354</v>
      </c>
      <c r="AX74" s="57">
        <f>[20]January_2019!AG8</f>
        <v>1.4870175438596491</v>
      </c>
      <c r="AY74" s="277" t="e">
        <f>[20]January_2019!AH8</f>
        <v>#DIV/0!</v>
      </c>
      <c r="AZ74" s="277"/>
      <c r="BA74" s="277"/>
      <c r="BB74" s="277"/>
      <c r="BC74" s="277"/>
      <c r="BD74" s="277"/>
      <c r="BE74" s="277"/>
      <c r="BF74" s="277"/>
    </row>
    <row r="75" spans="2:58" s="54" customFormat="1" ht="42" customHeight="1" thickBot="1">
      <c r="B75" s="430" t="str">
        <f>I45</f>
        <v>STAG</v>
      </c>
      <c r="C75" s="283">
        <v>45699</v>
      </c>
      <c r="D75" s="279">
        <f>SUM([31]STAG!$J$20:$J$23)</f>
        <v>186.8</v>
      </c>
      <c r="E75" s="279"/>
      <c r="F75" s="279"/>
      <c r="G75" s="279">
        <f>[30]February_2025!$M$17</f>
        <v>176.9</v>
      </c>
      <c r="H75" s="400"/>
      <c r="I75" s="400"/>
      <c r="J75" s="390" t="s">
        <v>174</v>
      </c>
      <c r="K75" s="437">
        <f>[32]February_2025!$M$25</f>
        <v>0.19655555555555557</v>
      </c>
      <c r="L75" s="314">
        <f>(((D75+E75)-G75)/(D75+E75))*100</f>
        <v>5.2997858672376896</v>
      </c>
      <c r="M75" s="281" t="s">
        <v>175</v>
      </c>
      <c r="N75" s="13"/>
      <c r="O75" s="13"/>
      <c r="P75" s="50"/>
      <c r="T75" s="272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277"/>
      <c r="AZ75" s="277"/>
      <c r="BA75" s="277"/>
      <c r="BB75" s="277"/>
      <c r="BC75" s="277"/>
      <c r="BD75" s="277"/>
      <c r="BE75" s="277"/>
      <c r="BF75" s="277"/>
    </row>
    <row r="76" spans="2:58" s="54" customFormat="1" hidden="1">
      <c r="B76" s="361"/>
      <c r="C76" s="283"/>
      <c r="D76" s="304"/>
      <c r="E76" s="279"/>
      <c r="F76" s="279"/>
      <c r="G76" s="279"/>
      <c r="H76" s="381"/>
      <c r="I76" s="381"/>
      <c r="J76" s="389"/>
      <c r="K76" s="437"/>
      <c r="L76" s="314"/>
      <c r="M76" s="339"/>
      <c r="N76" s="13"/>
      <c r="O76" s="13"/>
      <c r="P76" s="50"/>
      <c r="T76" s="272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277"/>
      <c r="AZ76" s="277"/>
      <c r="BA76" s="277"/>
      <c r="BB76" s="277"/>
      <c r="BC76" s="277"/>
      <c r="BD76" s="277"/>
      <c r="BE76" s="277"/>
      <c r="BF76" s="277"/>
    </row>
    <row r="77" spans="2:58" s="54" customFormat="1" ht="45.75" hidden="1" customHeight="1" thickBot="1">
      <c r="B77" s="431"/>
      <c r="C77" s="283"/>
      <c r="D77" s="279"/>
      <c r="E77" s="279"/>
      <c r="F77" s="279"/>
      <c r="G77" s="279"/>
      <c r="H77" s="320"/>
      <c r="I77" s="322"/>
      <c r="J77" s="438"/>
      <c r="K77" s="286"/>
      <c r="L77" s="314"/>
      <c r="M77" s="281"/>
      <c r="N77" s="13"/>
      <c r="O77" s="13"/>
      <c r="P77" s="50"/>
      <c r="T77" s="272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277"/>
      <c r="AZ77" s="277"/>
      <c r="BA77" s="277"/>
      <c r="BB77" s="277"/>
      <c r="BC77" s="277"/>
      <c r="BD77" s="277"/>
      <c r="BE77" s="277"/>
      <c r="BF77" s="277"/>
    </row>
    <row r="78" spans="2:58" s="54" customFormat="1" ht="9" hidden="1" customHeight="1">
      <c r="B78" s="387"/>
      <c r="C78" s="283"/>
      <c r="D78" s="279"/>
      <c r="E78" s="279"/>
      <c r="F78" s="279"/>
      <c r="G78" s="279"/>
      <c r="H78" s="320"/>
      <c r="I78" s="322"/>
      <c r="J78" s="281"/>
      <c r="K78" s="286"/>
      <c r="L78" s="314"/>
      <c r="M78" s="339"/>
      <c r="N78" s="13"/>
      <c r="O78" s="13"/>
      <c r="P78" s="50"/>
      <c r="T78" s="272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277"/>
      <c r="AZ78" s="277"/>
      <c r="BA78" s="277"/>
      <c r="BB78" s="277"/>
      <c r="BC78" s="277"/>
      <c r="BD78" s="277"/>
      <c r="BE78" s="277"/>
      <c r="BF78" s="277"/>
    </row>
    <row r="79" spans="2:58" ht="11.4" customHeight="1" thickBot="1">
      <c r="B79" s="33"/>
      <c r="C79" s="310"/>
      <c r="D79" s="279"/>
      <c r="E79" s="279"/>
      <c r="F79" s="279"/>
      <c r="G79" s="279"/>
      <c r="H79" s="352"/>
      <c r="I79" s="353"/>
      <c r="J79" s="281"/>
      <c r="K79" s="52"/>
      <c r="L79" s="53"/>
      <c r="M79" s="55"/>
      <c r="N79" s="77"/>
      <c r="O79" s="13"/>
      <c r="P79" s="56"/>
    </row>
    <row r="80" spans="2:58" ht="14.4" thickBot="1">
      <c r="B80" s="58"/>
      <c r="C80" s="309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9"/>
      <c r="O80" s="56"/>
      <c r="P80" s="60"/>
    </row>
    <row r="81" spans="2:16" ht="14.4" thickBot="1">
      <c r="B81" s="536" t="s">
        <v>55</v>
      </c>
      <c r="C81" s="537"/>
      <c r="D81" s="537"/>
      <c r="E81" s="537"/>
      <c r="F81" s="538"/>
      <c r="G81" s="536" t="s">
        <v>56</v>
      </c>
      <c r="H81" s="537"/>
      <c r="I81" s="537"/>
      <c r="J81" s="538"/>
      <c r="K81" s="536" t="s">
        <v>51</v>
      </c>
      <c r="L81" s="537"/>
      <c r="M81" s="537"/>
      <c r="N81" s="539"/>
      <c r="O81" s="56"/>
      <c r="P81" s="50"/>
    </row>
    <row r="82" spans="2:16">
      <c r="B82" s="61" t="s">
        <v>17</v>
      </c>
      <c r="C82" s="62" t="s">
        <v>36</v>
      </c>
      <c r="D82" s="62" t="s">
        <v>37</v>
      </c>
      <c r="E82" s="62" t="s">
        <v>38</v>
      </c>
      <c r="F82" s="63" t="s">
        <v>39</v>
      </c>
      <c r="G82" s="62" t="s">
        <v>36</v>
      </c>
      <c r="H82" s="62" t="s">
        <v>37</v>
      </c>
      <c r="I82" s="62" t="s">
        <v>38</v>
      </c>
      <c r="J82" s="63" t="s">
        <v>39</v>
      </c>
      <c r="K82" s="62" t="s">
        <v>36</v>
      </c>
      <c r="L82" s="62" t="s">
        <v>37</v>
      </c>
      <c r="M82" s="62" t="s">
        <v>38</v>
      </c>
      <c r="N82" s="63" t="s">
        <v>39</v>
      </c>
      <c r="O82" s="56"/>
      <c r="P82" s="64"/>
    </row>
    <row r="83" spans="2:16">
      <c r="B83" s="29" t="s">
        <v>6</v>
      </c>
      <c r="C83" s="65">
        <f>L73</f>
        <v>6.9913211186113653</v>
      </c>
      <c r="D83" s="76">
        <v>6.0311994574007359</v>
      </c>
      <c r="E83" s="76">
        <v>7.0597301204277141</v>
      </c>
      <c r="F83" s="66">
        <v>4.8</v>
      </c>
      <c r="G83" s="65">
        <f>[30]February_2025!$N$11</f>
        <v>8.1914331041776762</v>
      </c>
      <c r="H83" s="76">
        <v>6.6890349848055601</v>
      </c>
      <c r="I83" s="76">
        <v>7.5749532449553607</v>
      </c>
      <c r="J83" s="66">
        <v>4.8</v>
      </c>
      <c r="K83" s="67">
        <f>K73</f>
        <v>0.48225000000000001</v>
      </c>
      <c r="L83" s="194">
        <v>0.65833836858006034</v>
      </c>
      <c r="M83" s="194">
        <v>0.88064718162839251</v>
      </c>
      <c r="N83" s="68">
        <v>1</v>
      </c>
      <c r="O83" s="56"/>
      <c r="P83" s="69"/>
    </row>
    <row r="84" spans="2:16">
      <c r="B84" s="33" t="s">
        <v>9</v>
      </c>
      <c r="C84" s="65">
        <f>L75</f>
        <v>5.2997858672376896</v>
      </c>
      <c r="D84" s="76">
        <v>6.2065771190365799</v>
      </c>
      <c r="E84" s="76">
        <v>6.9616047441574773</v>
      </c>
      <c r="F84" s="66">
        <v>4.8</v>
      </c>
      <c r="G84" s="65">
        <f>[30]February_2025!$M$21</f>
        <v>4.5329825139359796</v>
      </c>
      <c r="H84" s="76">
        <v>5.8403641618823583</v>
      </c>
      <c r="I84" s="76">
        <v>6.3735231339115019</v>
      </c>
      <c r="J84" s="66">
        <v>4.8</v>
      </c>
      <c r="K84" s="67">
        <f>K75</f>
        <v>0.19655555555555557</v>
      </c>
      <c r="L84" s="194">
        <v>0.68183333333333329</v>
      </c>
      <c r="M84" s="194">
        <v>0.81175853018372712</v>
      </c>
      <c r="N84" s="68">
        <v>1</v>
      </c>
      <c r="P84" s="69"/>
    </row>
    <row r="85" spans="2:16">
      <c r="B85" s="34" t="s">
        <v>40</v>
      </c>
      <c r="C85" s="65"/>
      <c r="D85" s="76">
        <v>18.972697825080981</v>
      </c>
      <c r="E85" s="76">
        <v>10.24291753422928</v>
      </c>
      <c r="F85" s="66">
        <v>5.5</v>
      </c>
      <c r="G85" s="65"/>
      <c r="H85" s="76">
        <v>22.634564468930474</v>
      </c>
      <c r="I85" s="76">
        <v>14.250281148403415</v>
      </c>
      <c r="J85" s="66">
        <v>5.5</v>
      </c>
      <c r="K85" s="67"/>
      <c r="L85" s="194">
        <v>0.37087719298245614</v>
      </c>
      <c r="M85" s="194">
        <v>0.70508771929824554</v>
      </c>
      <c r="N85" s="68">
        <v>1</v>
      </c>
      <c r="P85" s="69"/>
    </row>
    <row r="86" spans="2:16">
      <c r="B86" s="22" t="s">
        <v>33</v>
      </c>
      <c r="C86" s="65"/>
      <c r="D86" s="76"/>
      <c r="E86" s="76">
        <v>3.4056869935468166</v>
      </c>
      <c r="F86" s="66">
        <v>3.3</v>
      </c>
      <c r="G86" s="65"/>
      <c r="H86" s="76"/>
      <c r="I86" s="76">
        <v>5.1745103450267944</v>
      </c>
      <c r="J86" s="66">
        <v>3.3</v>
      </c>
      <c r="K86" s="67"/>
      <c r="L86" s="194"/>
      <c r="M86" s="194">
        <v>0.84666666666666657</v>
      </c>
      <c r="N86" s="68">
        <v>1</v>
      </c>
      <c r="P86" s="69"/>
    </row>
    <row r="87" spans="2:16">
      <c r="B87" s="35" t="s">
        <v>29</v>
      </c>
      <c r="C87" s="65"/>
      <c r="D87" s="76"/>
      <c r="E87" s="76">
        <v>8.8295687885010352</v>
      </c>
      <c r="F87" s="66">
        <v>3.3</v>
      </c>
      <c r="G87" s="282"/>
      <c r="H87" s="76"/>
      <c r="I87" s="76"/>
      <c r="J87" s="66">
        <v>3</v>
      </c>
      <c r="K87" s="67"/>
      <c r="L87" s="194"/>
      <c r="M87" s="194"/>
      <c r="N87" s="68">
        <v>1</v>
      </c>
      <c r="P87" s="69"/>
    </row>
    <row r="88" spans="2:16">
      <c r="B88" s="36" t="s">
        <v>15</v>
      </c>
      <c r="C88" s="282"/>
      <c r="D88" s="76"/>
      <c r="E88" s="76">
        <v>9.9698850155137997</v>
      </c>
      <c r="F88" s="70">
        <f>[21]May_2022!$M$43</f>
        <v>3.4878406700073312</v>
      </c>
      <c r="G88" s="282"/>
      <c r="H88" s="76"/>
      <c r="I88" s="76">
        <v>10.607235567685406</v>
      </c>
      <c r="J88" s="70">
        <v>5.5</v>
      </c>
      <c r="K88" s="67"/>
      <c r="L88" s="194"/>
      <c r="M88" s="194">
        <v>0.66824561403508764</v>
      </c>
      <c r="N88" s="68">
        <v>1</v>
      </c>
      <c r="P88" s="69"/>
    </row>
    <row r="89" spans="2:16">
      <c r="B89" s="37" t="s">
        <v>16</v>
      </c>
      <c r="C89" s="65"/>
      <c r="D89" s="76"/>
      <c r="E89" s="76">
        <v>4.8517239584237002</v>
      </c>
      <c r="F89" s="66">
        <v>3.3</v>
      </c>
      <c r="G89" s="282"/>
      <c r="H89" s="76"/>
      <c r="I89" s="76">
        <v>4.0612557688822815</v>
      </c>
      <c r="J89" s="70">
        <v>3.3</v>
      </c>
      <c r="K89" s="67"/>
      <c r="L89" s="194"/>
      <c r="M89" s="194">
        <v>0.69842105263157894</v>
      </c>
      <c r="N89" s="71">
        <v>1</v>
      </c>
      <c r="P89" s="69"/>
    </row>
    <row r="90" spans="2:16" ht="14.4" thickBot="1">
      <c r="B90" s="38" t="s">
        <v>127</v>
      </c>
      <c r="C90" s="65"/>
      <c r="D90" s="76"/>
      <c r="E90" s="76">
        <v>14.011127971674247</v>
      </c>
      <c r="F90" s="70">
        <v>7.5</v>
      </c>
      <c r="G90" s="282"/>
      <c r="H90" s="76"/>
      <c r="I90" s="76"/>
      <c r="J90" s="72">
        <v>7.5</v>
      </c>
      <c r="K90" s="67"/>
      <c r="L90" s="194"/>
      <c r="M90" s="194"/>
      <c r="N90" s="71">
        <v>1</v>
      </c>
      <c r="P90" s="69"/>
    </row>
    <row r="91" spans="2:16" ht="14.4" thickBot="1">
      <c r="B91" s="435" t="s">
        <v>134</v>
      </c>
      <c r="C91" s="434"/>
      <c r="D91" s="76">
        <v>4.8792508624938291</v>
      </c>
      <c r="E91" s="76">
        <v>6.9132489353013238</v>
      </c>
      <c r="F91" s="66">
        <v>5.5</v>
      </c>
      <c r="G91" s="282"/>
      <c r="H91" s="76">
        <v>6.2003723782925313</v>
      </c>
      <c r="I91" s="76">
        <v>6.2003723782925313</v>
      </c>
      <c r="J91" s="433">
        <v>5.5</v>
      </c>
      <c r="K91" s="67"/>
      <c r="L91" s="194">
        <v>1</v>
      </c>
      <c r="M91" s="194">
        <v>0.67719298245614035</v>
      </c>
      <c r="N91" s="71">
        <v>1</v>
      </c>
      <c r="P91" s="69"/>
    </row>
    <row r="92" spans="2:16">
      <c r="C92" s="282"/>
      <c r="D92" s="76">
        <v>6.9132489353013238</v>
      </c>
      <c r="E92" s="76">
        <v>6.9779334185693154</v>
      </c>
      <c r="F92" s="341">
        <v>4.5</v>
      </c>
      <c r="G92" s="282"/>
      <c r="H92" s="76">
        <v>8.9316764392582435</v>
      </c>
      <c r="I92" s="76">
        <v>7.7641818895571157</v>
      </c>
      <c r="J92" s="342">
        <v>5</v>
      </c>
      <c r="K92" s="67"/>
      <c r="L92" s="194">
        <v>0.63617597292724193</v>
      </c>
      <c r="M92" s="194">
        <v>0.63617597292724193</v>
      </c>
      <c r="N92" s="386">
        <v>1</v>
      </c>
      <c r="O92" s="74"/>
      <c r="P92" s="75"/>
    </row>
    <row r="97" spans="6:30">
      <c r="F97" s="315"/>
    </row>
    <row r="105" spans="6:30">
      <c r="AD105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B56:B65"/>
    <mergeCell ref="D56:E57"/>
    <mergeCell ref="J56:K56"/>
    <mergeCell ref="L57:N57"/>
    <mergeCell ref="D58:E59"/>
    <mergeCell ref="D60:E61"/>
    <mergeCell ref="D62:E63"/>
    <mergeCell ref="D64:E65"/>
    <mergeCell ref="D66:E66"/>
    <mergeCell ref="B71:B72"/>
    <mergeCell ref="C71:C72"/>
    <mergeCell ref="D71:D72"/>
    <mergeCell ref="E71:E72"/>
    <mergeCell ref="M71:M72"/>
    <mergeCell ref="B81:F81"/>
    <mergeCell ref="G81:J81"/>
    <mergeCell ref="K81:N81"/>
    <mergeCell ref="G71:G72"/>
    <mergeCell ref="H71:H72"/>
    <mergeCell ref="I71:I72"/>
    <mergeCell ref="J71:J72"/>
    <mergeCell ref="K71:K72"/>
    <mergeCell ref="L71:L72"/>
    <mergeCell ref="F71:F72"/>
  </mergeCells>
  <conditionalFormatting sqref="B66:B67">
    <cfRule type="cellIs" dxfId="2488" priority="166" operator="notBetween">
      <formula>#REF!</formula>
      <formula>#REF!</formula>
    </cfRule>
  </conditionalFormatting>
  <conditionalFormatting sqref="C70">
    <cfRule type="cellIs" dxfId="2487" priority="198" stopIfTrue="1" operator="greaterThan">
      <formula>100</formula>
    </cfRule>
    <cfRule type="cellIs" dxfId="2486" priority="197" stopIfTrue="1" operator="lessThan">
      <formula>96</formula>
    </cfRule>
  </conditionalFormatting>
  <conditionalFormatting sqref="C83">
    <cfRule type="cellIs" dxfId="2485" priority="92" stopIfTrue="1" operator="greaterThan">
      <formula>$F83</formula>
    </cfRule>
  </conditionalFormatting>
  <conditionalFormatting sqref="C83:C84">
    <cfRule type="cellIs" dxfId="2484" priority="93" stopIfTrue="1" operator="lessThanOrEqual">
      <formula>0</formula>
    </cfRule>
  </conditionalFormatting>
  <conditionalFormatting sqref="C84">
    <cfRule type="cellIs" dxfId="2483" priority="201" stopIfTrue="1" operator="greaterThan">
      <formula>$F83</formula>
    </cfRule>
  </conditionalFormatting>
  <conditionalFormatting sqref="C85:C87">
    <cfRule type="cellIs" dxfId="2482" priority="121" stopIfTrue="1" operator="greaterThan">
      <formula>$F85</formula>
    </cfRule>
  </conditionalFormatting>
  <conditionalFormatting sqref="C85:C88">
    <cfRule type="cellIs" dxfId="2481" priority="144" stopIfTrue="1" operator="lessThanOrEqual">
      <formula>0</formula>
    </cfRule>
  </conditionalFormatting>
  <conditionalFormatting sqref="C88">
    <cfRule type="cellIs" dxfId="2480" priority="143" stopIfTrue="1" operator="greaterThan">
      <formula>$J88</formula>
    </cfRule>
  </conditionalFormatting>
  <conditionalFormatting sqref="C92">
    <cfRule type="cellIs" dxfId="2479" priority="56" stopIfTrue="1" operator="greaterThan">
      <formula>$J92</formula>
    </cfRule>
    <cfRule type="cellIs" dxfId="2478" priority="57" stopIfTrue="1" operator="lessThanOrEqual">
      <formula>0</formula>
    </cfRule>
  </conditionalFormatting>
  <conditionalFormatting sqref="C95:C99">
    <cfRule type="cellIs" dxfId="2477" priority="189" stopIfTrue="1" operator="lessThanOrEqual">
      <formula>0</formula>
    </cfRule>
  </conditionalFormatting>
  <conditionalFormatting sqref="C96:C99">
    <cfRule type="cellIs" dxfId="2476" priority="188" stopIfTrue="1" operator="greaterThan">
      <formula>$F$95</formula>
    </cfRule>
  </conditionalFormatting>
  <conditionalFormatting sqref="C101">
    <cfRule type="cellIs" dxfId="2475" priority="191" stopIfTrue="1" operator="lessThanOrEqual">
      <formula>0</formula>
    </cfRule>
    <cfRule type="cellIs" dxfId="2474" priority="190" stopIfTrue="1" operator="greaterThan">
      <formula>$F$95</formula>
    </cfRule>
  </conditionalFormatting>
  <conditionalFormatting sqref="C95:D95 D97:D103">
    <cfRule type="cellIs" dxfId="2473" priority="183" stopIfTrue="1" operator="greaterThan">
      <formula>4.5</formula>
    </cfRule>
  </conditionalFormatting>
  <conditionalFormatting sqref="D66:D67">
    <cfRule type="cellIs" dxfId="2472" priority="167" operator="notBetween">
      <formula>#REF!</formula>
      <formula>#REF!</formula>
    </cfRule>
  </conditionalFormatting>
  <conditionalFormatting sqref="D83:D91">
    <cfRule type="cellIs" dxfId="2471" priority="156" stopIfTrue="1" operator="lessThanOrEqual">
      <formula>0</formula>
    </cfRule>
  </conditionalFormatting>
  <conditionalFormatting sqref="D92">
    <cfRule type="cellIs" dxfId="2470" priority="155" stopIfTrue="1" operator="lessThanOrEqual">
      <formula>0</formula>
    </cfRule>
  </conditionalFormatting>
  <conditionalFormatting sqref="D95 D97:D103">
    <cfRule type="cellIs" dxfId="2469" priority="184" stopIfTrue="1" operator="lessThanOrEqual">
      <formula>0</formula>
    </cfRule>
  </conditionalFormatting>
  <conditionalFormatting sqref="D96">
    <cfRule type="cellIs" dxfId="2468" priority="175" stopIfTrue="1" operator="greaterThan">
      <formula>$F$95</formula>
    </cfRule>
    <cfRule type="cellIs" dxfId="2467" priority="176" stopIfTrue="1" operator="lessThanOrEqual">
      <formula>0</formula>
    </cfRule>
  </conditionalFormatting>
  <conditionalFormatting sqref="D83:E92">
    <cfRule type="cellIs" dxfId="2466" priority="148" stopIfTrue="1" operator="greaterThan">
      <formula>$F83</formula>
    </cfRule>
  </conditionalFormatting>
  <conditionalFormatting sqref="E70">
    <cfRule type="cellIs" dxfId="2465" priority="177" stopIfTrue="1" operator="lessThan">
      <formula>96.8</formula>
    </cfRule>
    <cfRule type="cellIs" dxfId="2464" priority="178" stopIfTrue="1" operator="greaterThan">
      <formula>100</formula>
    </cfRule>
  </conditionalFormatting>
  <conditionalFormatting sqref="E83:E92">
    <cfRule type="cellIs" dxfId="2463" priority="149" stopIfTrue="1" operator="lessThanOrEqual">
      <formula>0</formula>
    </cfRule>
  </conditionalFormatting>
  <conditionalFormatting sqref="E95:E103">
    <cfRule type="cellIs" dxfId="2462" priority="170" stopIfTrue="1" operator="lessThanOrEqual">
      <formula>0</formula>
    </cfRule>
    <cfRule type="cellIs" dxfId="2461" priority="169" stopIfTrue="1" operator="greaterThan">
      <formula>4.5</formula>
    </cfRule>
  </conditionalFormatting>
  <conditionalFormatting sqref="E69:F70">
    <cfRule type="cellIs" dxfId="2460" priority="179" stopIfTrue="1" operator="lessThan">
      <formula>96.5</formula>
    </cfRule>
    <cfRule type="cellIs" dxfId="2459" priority="180" stopIfTrue="1" operator="greaterThan">
      <formula>100</formula>
    </cfRule>
  </conditionalFormatting>
  <conditionalFormatting sqref="E10:G10 F11:G16 E11:E41">
    <cfRule type="cellIs" dxfId="2458" priority="51" operator="lessThan">
      <formula>48</formula>
    </cfRule>
  </conditionalFormatting>
  <conditionalFormatting sqref="F17:F26">
    <cfRule type="cellIs" dxfId="2457" priority="53" operator="greaterThan">
      <formula>60</formula>
    </cfRule>
  </conditionalFormatting>
  <conditionalFormatting sqref="F27">
    <cfRule type="cellIs" dxfId="2456" priority="207" operator="greaterThan">
      <formula>$AA27</formula>
    </cfRule>
    <cfRule type="cellIs" dxfId="2455" priority="208" operator="greaterThan">
      <formula>$AA78</formula>
    </cfRule>
  </conditionalFormatting>
  <conditionalFormatting sqref="F28:F40">
    <cfRule type="cellIs" dxfId="2454" priority="76" operator="greaterThan">
      <formula>60</formula>
    </cfRule>
  </conditionalFormatting>
  <conditionalFormatting sqref="F41">
    <cfRule type="cellIs" dxfId="2453" priority="202" operator="greaterThan">
      <formula>$AA80</formula>
    </cfRule>
    <cfRule type="cellIs" dxfId="2452" priority="91" operator="greaterThan">
      <formula>$AA41</formula>
    </cfRule>
  </conditionalFormatting>
  <conditionalFormatting sqref="F70">
    <cfRule type="cellIs" dxfId="2451" priority="195" stopIfTrue="1" operator="lessThan">
      <formula>96.8</formula>
    </cfRule>
    <cfRule type="cellIs" dxfId="2450" priority="196" stopIfTrue="1" operator="greaterThan">
      <formula>100</formula>
    </cfRule>
  </conditionalFormatting>
  <conditionalFormatting sqref="F92">
    <cfRule type="cellIs" dxfId="2449" priority="151" stopIfTrue="1" operator="lessThanOrEqual">
      <formula>0</formula>
    </cfRule>
    <cfRule type="cellIs" dxfId="2448" priority="150" stopIfTrue="1" operator="greaterThan">
      <formula>$F92</formula>
    </cfRule>
  </conditionalFormatting>
  <conditionalFormatting sqref="G83:G84 C89:C91">
    <cfRule type="cellIs" dxfId="2447" priority="158" stopIfTrue="1" operator="lessThanOrEqual">
      <formula>0</formula>
    </cfRule>
    <cfRule type="cellIs" dxfId="2446" priority="157" stopIfTrue="1" operator="greaterThan">
      <formula>$F83</formula>
    </cfRule>
  </conditionalFormatting>
  <conditionalFormatting sqref="G83:G84">
    <cfRule type="cellIs" dxfId="2445" priority="100" stopIfTrue="1" operator="lessThanOrEqual">
      <formula>0</formula>
    </cfRule>
    <cfRule type="cellIs" dxfId="2444" priority="99" stopIfTrue="1" operator="greaterThan">
      <formula>$F83</formula>
    </cfRule>
  </conditionalFormatting>
  <conditionalFormatting sqref="G85">
    <cfRule type="cellIs" dxfId="2443" priority="199" stopIfTrue="1" operator="greaterThan">
      <formula>$F84</formula>
    </cfRule>
    <cfRule type="cellIs" dxfId="2442" priority="200" stopIfTrue="1" operator="lessThanOrEqual">
      <formula>0</formula>
    </cfRule>
  </conditionalFormatting>
  <conditionalFormatting sqref="G86">
    <cfRule type="cellIs" dxfId="2441" priority="153" stopIfTrue="1" operator="lessThanOrEqual">
      <formula>0</formula>
    </cfRule>
    <cfRule type="cellIs" dxfId="2440" priority="152" stopIfTrue="1" operator="greaterThan">
      <formula>$F86</formula>
    </cfRule>
  </conditionalFormatting>
  <conditionalFormatting sqref="G87:G92">
    <cfRule type="cellIs" dxfId="2439" priority="160" stopIfTrue="1" operator="lessThanOrEqual">
      <formula>0</formula>
    </cfRule>
    <cfRule type="cellIs" dxfId="2438" priority="159" stopIfTrue="1" operator="greaterThan">
      <formula>$J87</formula>
    </cfRule>
  </conditionalFormatting>
  <conditionalFormatting sqref="G97:G102 C100 C102">
    <cfRule type="cellIs" dxfId="2437" priority="192" stopIfTrue="1" operator="greaterThan">
      <formula>4.5</formula>
    </cfRule>
    <cfRule type="cellIs" dxfId="2436" priority="193" stopIfTrue="1" operator="lessThanOrEqual">
      <formula>0</formula>
    </cfRule>
  </conditionalFormatting>
  <conditionalFormatting sqref="G17:H41">
    <cfRule type="expression" dxfId="2435" priority="55">
      <formula>IF(+(IF(G17&lt;#REF!,0,IF(G17&gt;#REF!,0,1)))=0,1)</formula>
    </cfRule>
  </conditionalFormatting>
  <conditionalFormatting sqref="G96:H96">
    <cfRule type="cellIs" dxfId="2434" priority="174" stopIfTrue="1" operator="lessThanOrEqual">
      <formula>0</formula>
    </cfRule>
    <cfRule type="cellIs" dxfId="2433" priority="173" stopIfTrue="1" operator="greaterThan">
      <formula>$F$95</formula>
    </cfRule>
  </conditionalFormatting>
  <conditionalFormatting sqref="H10:H17">
    <cfRule type="expression" dxfId="2432" priority="26">
      <formula>IF(+(IF(H10&lt;#REF!,0,IF(H10&gt;#REF!,0,1)))=0,1)</formula>
    </cfRule>
  </conditionalFormatting>
  <conditionalFormatting sqref="H45:H68 G56:G67">
    <cfRule type="cellIs" dxfId="2431" priority="171" stopIfTrue="1" operator="greaterThan">
      <formula>0</formula>
    </cfRule>
  </conditionalFormatting>
  <conditionalFormatting sqref="H73">
    <cfRule type="cellIs" dxfId="2430" priority="68" stopIfTrue="1" operator="greaterThan">
      <formula>$F$63</formula>
    </cfRule>
    <cfRule type="cellIs" dxfId="2429" priority="69" stopIfTrue="1" operator="lessThanOrEqual">
      <formula>0</formula>
    </cfRule>
    <cfRule type="cellIs" dxfId="2428" priority="70" stopIfTrue="1" operator="greaterThan">
      <formula>$F$61</formula>
    </cfRule>
    <cfRule type="cellIs" dxfId="2427" priority="71" stopIfTrue="1" operator="lessThanOrEqual">
      <formula>0</formula>
    </cfRule>
    <cfRule type="cellIs" dxfId="2426" priority="60" stopIfTrue="1" operator="greaterThan">
      <formula>$F$60</formula>
    </cfRule>
    <cfRule type="cellIs" dxfId="2425" priority="59" stopIfTrue="1" operator="lessThanOrEqual">
      <formula>0</formula>
    </cfRule>
  </conditionalFormatting>
  <conditionalFormatting sqref="H74">
    <cfRule type="cellIs" dxfId="2424" priority="109" stopIfTrue="1" operator="greaterThan">
      <formula>$F$82</formula>
    </cfRule>
    <cfRule type="cellIs" dxfId="2423" priority="119" stopIfTrue="1" operator="greaterThan">
      <formula>$F$83</formula>
    </cfRule>
    <cfRule type="cellIs" dxfId="2422" priority="120" stopIfTrue="1" operator="lessThanOrEqual">
      <formula>0</formula>
    </cfRule>
    <cfRule type="cellIs" dxfId="2421" priority="117" stopIfTrue="1" operator="greaterThan">
      <formula>$F$85</formula>
    </cfRule>
    <cfRule type="cellIs" dxfId="2420" priority="118" stopIfTrue="1" operator="lessThanOrEqual">
      <formula>0</formula>
    </cfRule>
    <cfRule type="cellIs" dxfId="2419" priority="108" stopIfTrue="1" operator="lessThanOrEqual">
      <formula>0</formula>
    </cfRule>
  </conditionalFormatting>
  <conditionalFormatting sqref="H75">
    <cfRule type="cellIs" dxfId="2418" priority="14" stopIfTrue="1" operator="lessThanOrEqual">
      <formula>0</formula>
    </cfRule>
    <cfRule type="cellIs" dxfId="2417" priority="13" stopIfTrue="1" operator="greaterThan">
      <formula>$F$62</formula>
    </cfRule>
    <cfRule type="cellIs" dxfId="2416" priority="12" stopIfTrue="1" operator="lessThanOrEqual">
      <formula>0</formula>
    </cfRule>
    <cfRule type="cellIs" dxfId="2415" priority="11" stopIfTrue="1" operator="greaterThan">
      <formula>$F$64</formula>
    </cfRule>
    <cfRule type="cellIs" dxfId="2414" priority="3" stopIfTrue="1" operator="greaterThan">
      <formula>$F$61</formula>
    </cfRule>
    <cfRule type="cellIs" dxfId="2413" priority="2" stopIfTrue="1" operator="lessThanOrEqual">
      <formula>0</formula>
    </cfRule>
  </conditionalFormatting>
  <conditionalFormatting sqref="H76">
    <cfRule type="cellIs" dxfId="2412" priority="89" stopIfTrue="1" operator="greaterThan">
      <formula>#REF!</formula>
    </cfRule>
    <cfRule type="cellIs" dxfId="2411" priority="90" stopIfTrue="1" operator="lessThanOrEqual">
      <formula>0</formula>
    </cfRule>
    <cfRule type="cellIs" dxfId="2410" priority="80" stopIfTrue="1" operator="lessThanOrEqual">
      <formula>0</formula>
    </cfRule>
    <cfRule type="cellIs" dxfId="2409" priority="81" stopIfTrue="1" operator="greaterThan">
      <formula>#REF!</formula>
    </cfRule>
  </conditionalFormatting>
  <conditionalFormatting sqref="H77:H78">
    <cfRule type="cellIs" dxfId="2408" priority="103" stopIfTrue="1" operator="lessThanOrEqual">
      <formula>0</formula>
    </cfRule>
    <cfRule type="cellIs" dxfId="2407" priority="140" stopIfTrue="1" operator="lessThanOrEqual">
      <formula>0</formula>
    </cfRule>
    <cfRule type="cellIs" dxfId="2406" priority="139" stopIfTrue="1" operator="greaterThan">
      <formula>$F$84</formula>
    </cfRule>
    <cfRule type="cellIs" dxfId="2405" priority="138" stopIfTrue="1" operator="lessThanOrEqual">
      <formula>0</formula>
    </cfRule>
    <cfRule type="cellIs" dxfId="2404" priority="137" stopIfTrue="1" operator="greaterThan">
      <formula>$F$86</formula>
    </cfRule>
    <cfRule type="cellIs" dxfId="2403" priority="129" stopIfTrue="1" operator="greaterThan">
      <formula>$F$83</formula>
    </cfRule>
  </conditionalFormatting>
  <conditionalFormatting sqref="H79">
    <cfRule type="cellIs" dxfId="2402" priority="164" stopIfTrue="1" operator="greaterThan">
      <formula>$F$76</formula>
    </cfRule>
    <cfRule type="cellIs" dxfId="2401" priority="165" stopIfTrue="1" operator="lessThanOrEqual">
      <formula>0</formula>
    </cfRule>
    <cfRule type="cellIs" dxfId="2400" priority="163" stopIfTrue="1" operator="lessThanOrEqual">
      <formula>0</formula>
    </cfRule>
    <cfRule type="cellIs" dxfId="2399" priority="162" stopIfTrue="1" operator="greaterThan">
      <formula>$F$80</formula>
    </cfRule>
  </conditionalFormatting>
  <conditionalFormatting sqref="H83:H91">
    <cfRule type="cellIs" dxfId="2398" priority="142" stopIfTrue="1" operator="lessThanOrEqual">
      <formula>0</formula>
    </cfRule>
    <cfRule type="cellIs" dxfId="2397" priority="141" stopIfTrue="1" operator="greaterThan">
      <formula>$J83</formula>
    </cfRule>
  </conditionalFormatting>
  <conditionalFormatting sqref="H92">
    <cfRule type="cellIs" dxfId="2396" priority="145" operator="greaterThan">
      <formula>5.3</formula>
    </cfRule>
  </conditionalFormatting>
  <conditionalFormatting sqref="H95 H97:H103">
    <cfRule type="cellIs" dxfId="2395" priority="185" stopIfTrue="1" operator="greaterThan">
      <formula>4.5</formula>
    </cfRule>
    <cfRule type="cellIs" dxfId="2394" priority="186" stopIfTrue="1" operator="lessThanOrEqual">
      <formula>0</formula>
    </cfRule>
  </conditionalFormatting>
  <conditionalFormatting sqref="H73:I73">
    <cfRule type="cellIs" dxfId="2393" priority="58" stopIfTrue="1" operator="greaterThan">
      <formula>$F$62</formula>
    </cfRule>
    <cfRule type="cellIs" dxfId="2392" priority="61" stopIfTrue="1" operator="lessThanOrEqual">
      <formula>0</formula>
    </cfRule>
  </conditionalFormatting>
  <conditionalFormatting sqref="H74:I74">
    <cfRule type="cellIs" dxfId="2391" priority="110" stopIfTrue="1" operator="lessThanOrEqual">
      <formula>0</formula>
    </cfRule>
    <cfRule type="cellIs" dxfId="2390" priority="107" stopIfTrue="1" operator="greaterThan">
      <formula>$F$84</formula>
    </cfRule>
  </conditionalFormatting>
  <conditionalFormatting sqref="H75:I75">
    <cfRule type="cellIs" dxfId="2389" priority="1" stopIfTrue="1" operator="greaterThan">
      <formula>$F$63</formula>
    </cfRule>
    <cfRule type="cellIs" dxfId="2388" priority="4" stopIfTrue="1" operator="lessThanOrEqual">
      <formula>0</formula>
    </cfRule>
  </conditionalFormatting>
  <conditionalFormatting sqref="H76:I76">
    <cfRule type="cellIs" dxfId="2387" priority="79" stopIfTrue="1" operator="greaterThan">
      <formula>#REF!</formula>
    </cfRule>
    <cfRule type="cellIs" dxfId="2386" priority="88" stopIfTrue="1" operator="lessThanOrEqual">
      <formula>0</formula>
    </cfRule>
    <cfRule type="cellIs" dxfId="2385" priority="85" stopIfTrue="1" operator="greaterThan">
      <formula>#REF!</formula>
    </cfRule>
    <cfRule type="cellIs" dxfId="2384" priority="82" stopIfTrue="1" operator="lessThanOrEqual">
      <formula>0</formula>
    </cfRule>
  </conditionalFormatting>
  <conditionalFormatting sqref="H77:I77">
    <cfRule type="cellIs" dxfId="2383" priority="130" stopIfTrue="1" operator="lessThanOrEqual">
      <formula>0</formula>
    </cfRule>
  </conditionalFormatting>
  <conditionalFormatting sqref="H77:I78">
    <cfRule type="cellIs" dxfId="2382" priority="101" stopIfTrue="1" operator="greaterThan">
      <formula>$F$85</formula>
    </cfRule>
  </conditionalFormatting>
  <conditionalFormatting sqref="H78:I78">
    <cfRule type="cellIs" dxfId="2381" priority="102" stopIfTrue="1" operator="lessThanOrEqual">
      <formula>0</formula>
    </cfRule>
  </conditionalFormatting>
  <conditionalFormatting sqref="I27 I41">
    <cfRule type="cellIs" dxfId="2380" priority="94" operator="lessThan">
      <formula>97.8</formula>
    </cfRule>
    <cfRule type="cellIs" dxfId="2379" priority="97" operator="lessThan">
      <formula>98</formula>
    </cfRule>
  </conditionalFormatting>
  <conditionalFormatting sqref="I73">
    <cfRule type="cellIs" dxfId="2378" priority="62" stopIfTrue="1" operator="greaterThan">
      <formula>$F$60</formula>
    </cfRule>
    <cfRule type="cellIs" dxfId="2377" priority="65" stopIfTrue="1" operator="lessThanOrEqual">
      <formula>0</formula>
    </cfRule>
    <cfRule type="cellIs" dxfId="2376" priority="63" stopIfTrue="1" operator="lessThanOrEqual">
      <formula>0</formula>
    </cfRule>
    <cfRule type="cellIs" dxfId="2375" priority="64" stopIfTrue="1" operator="greaterThan">
      <formula>$F$62</formula>
    </cfRule>
    <cfRule type="cellIs" dxfId="2374" priority="66" stopIfTrue="1" operator="greaterThan">
      <formula>$F$60</formula>
    </cfRule>
    <cfRule type="cellIs" dxfId="2373" priority="67" stopIfTrue="1" operator="lessThanOrEqual">
      <formula>0</formula>
    </cfRule>
  </conditionalFormatting>
  <conditionalFormatting sqref="I74">
    <cfRule type="cellIs" dxfId="2372" priority="116" stopIfTrue="1" operator="lessThanOrEqual">
      <formula>0</formula>
    </cfRule>
    <cfRule type="cellIs" dxfId="2371" priority="114" stopIfTrue="1" operator="lessThanOrEqual">
      <formula>0</formula>
    </cfRule>
    <cfRule type="cellIs" dxfId="2370" priority="113" stopIfTrue="1" operator="greaterThan">
      <formula>$F$84</formula>
    </cfRule>
    <cfRule type="cellIs" dxfId="2369" priority="112" stopIfTrue="1" operator="lessThanOrEqual">
      <formula>0</formula>
    </cfRule>
    <cfRule type="cellIs" dxfId="2368" priority="111" stopIfTrue="1" operator="greaterThan">
      <formula>$F$82</formula>
    </cfRule>
    <cfRule type="cellIs" dxfId="2367" priority="115" stopIfTrue="1" operator="greaterThan">
      <formula>$F$82</formula>
    </cfRule>
  </conditionalFormatting>
  <conditionalFormatting sqref="I75">
    <cfRule type="cellIs" dxfId="2366" priority="5" stopIfTrue="1" operator="greaterThan">
      <formula>$F$61</formula>
    </cfRule>
    <cfRule type="cellIs" dxfId="2365" priority="7" stopIfTrue="1" operator="greaterThan">
      <formula>$F$63</formula>
    </cfRule>
    <cfRule type="cellIs" dxfId="2364" priority="10" stopIfTrue="1" operator="lessThanOrEqual">
      <formula>0</formula>
    </cfRule>
    <cfRule type="cellIs" dxfId="2363" priority="9" stopIfTrue="1" operator="greaterThan">
      <formula>$F$61</formula>
    </cfRule>
    <cfRule type="cellIs" dxfId="2362" priority="8" stopIfTrue="1" operator="lessThanOrEqual">
      <formula>0</formula>
    </cfRule>
    <cfRule type="cellIs" dxfId="2361" priority="6" stopIfTrue="1" operator="lessThanOrEqual">
      <formula>0</formula>
    </cfRule>
  </conditionalFormatting>
  <conditionalFormatting sqref="I76">
    <cfRule type="cellIs" dxfId="2360" priority="83" stopIfTrue="1" operator="greaterThan">
      <formula>#REF!</formula>
    </cfRule>
    <cfRule type="cellIs" dxfId="2359" priority="84" stopIfTrue="1" operator="lessThanOrEqual">
      <formula>0</formula>
    </cfRule>
    <cfRule type="cellIs" dxfId="2358" priority="86" stopIfTrue="1" operator="lessThanOrEqual">
      <formula>0</formula>
    </cfRule>
    <cfRule type="cellIs" dxfId="2357" priority="87" stopIfTrue="1" operator="greaterThan">
      <formula>#REF!</formula>
    </cfRule>
  </conditionalFormatting>
  <conditionalFormatting sqref="I77:I78">
    <cfRule type="cellIs" dxfId="2356" priority="131" stopIfTrue="1" operator="greaterThan">
      <formula>$F$83</formula>
    </cfRule>
    <cfRule type="cellIs" dxfId="2355" priority="133" stopIfTrue="1" operator="greaterThan">
      <formula>$F$85</formula>
    </cfRule>
    <cfRule type="cellIs" dxfId="2354" priority="134" stopIfTrue="1" operator="lessThanOrEqual">
      <formula>0</formula>
    </cfRule>
    <cfRule type="cellIs" dxfId="2353" priority="135" stopIfTrue="1" operator="greaterThan">
      <formula>$F$83</formula>
    </cfRule>
    <cfRule type="cellIs" dxfId="2352" priority="136" stopIfTrue="1" operator="lessThanOrEqual">
      <formula>0</formula>
    </cfRule>
    <cfRule type="cellIs" dxfId="2351" priority="132" stopIfTrue="1" operator="lessThanOrEqual">
      <formula>0</formula>
    </cfRule>
  </conditionalFormatting>
  <conditionalFormatting sqref="I83:I92">
    <cfRule type="cellIs" dxfId="2350" priority="147" stopIfTrue="1" operator="lessThanOrEqual">
      <formula>0</formula>
    </cfRule>
    <cfRule type="cellIs" dxfId="2349" priority="146" stopIfTrue="1" operator="greaterThan">
      <formula>$J83</formula>
    </cfRule>
  </conditionalFormatting>
  <conditionalFormatting sqref="I95:I103">
    <cfRule type="cellIs" dxfId="2348" priority="181" stopIfTrue="1" operator="greaterThan">
      <formula>4.5</formula>
    </cfRule>
    <cfRule type="cellIs" dxfId="2347" priority="182" stopIfTrue="1" operator="lessThanOrEqual">
      <formula>0</formula>
    </cfRule>
  </conditionalFormatting>
  <conditionalFormatting sqref="I10:J26">
    <cfRule type="cellIs" dxfId="2346" priority="16" operator="lessThan">
      <formula>97.9</formula>
    </cfRule>
  </conditionalFormatting>
  <conditionalFormatting sqref="I28:J40">
    <cfRule type="cellIs" dxfId="2345" priority="77" operator="lessThan">
      <formula>97.9</formula>
    </cfRule>
  </conditionalFormatting>
  <conditionalFormatting sqref="J27 J41">
    <cfRule type="cellIs" dxfId="2344" priority="95" operator="notBetween">
      <formula>98</formula>
      <formula>99.9</formula>
    </cfRule>
    <cfRule type="cellIs" dxfId="2343" priority="96" operator="lessThan">
      <formula>97.4</formula>
    </cfRule>
  </conditionalFormatting>
  <conditionalFormatting sqref="J44:J46">
    <cfRule type="cellIs" dxfId="2342" priority="124" operator="lessThan">
      <formula>98</formula>
    </cfRule>
    <cfRule type="cellIs" dxfId="2341" priority="123" stopIfTrue="1" operator="greaterThan">
      <formula>100</formula>
    </cfRule>
    <cfRule type="cellIs" dxfId="2340" priority="122" stopIfTrue="1" operator="lessThan">
      <formula>96.8</formula>
    </cfRule>
  </conditionalFormatting>
  <conditionalFormatting sqref="J44:J48">
    <cfRule type="cellIs" dxfId="2339" priority="98" operator="lessThan">
      <formula>97.4</formula>
    </cfRule>
  </conditionalFormatting>
  <conditionalFormatting sqref="J49">
    <cfRule type="cellIs" dxfId="2338" priority="125" operator="lessThan">
      <formula>98</formula>
    </cfRule>
  </conditionalFormatting>
  <conditionalFormatting sqref="J50:J52">
    <cfRule type="cellIs" dxfId="2337" priority="126" stopIfTrue="1" operator="lessThan">
      <formula>96.8</formula>
    </cfRule>
    <cfRule type="cellIs" dxfId="2336" priority="127" stopIfTrue="1" operator="greaterThan">
      <formula>100</formula>
    </cfRule>
  </conditionalFormatting>
  <conditionalFormatting sqref="J50:J53">
    <cfRule type="cellIs" dxfId="2335" priority="128" operator="lessThan">
      <formula>98</formula>
    </cfRule>
  </conditionalFormatting>
  <conditionalFormatting sqref="K10:K41">
    <cfRule type="cellIs" dxfId="2334" priority="47" operator="greaterThan">
      <formula>6</formula>
    </cfRule>
    <cfRule type="cellIs" dxfId="2333" priority="48" operator="lessThan">
      <formula>4</formula>
    </cfRule>
    <cfRule type="cellIs" dxfId="2332" priority="52" operator="greaterThan">
      <formula>6.4</formula>
    </cfRule>
  </conditionalFormatting>
  <conditionalFormatting sqref="K58:K67">
    <cfRule type="cellIs" dxfId="2331" priority="154" operator="notEqual">
      <formula>#REF!</formula>
    </cfRule>
  </conditionalFormatting>
  <conditionalFormatting sqref="K73:K79 K83:N92">
    <cfRule type="cellIs" dxfId="2330" priority="161" stopIfTrue="1" operator="lessThan">
      <formula>100%</formula>
    </cfRule>
  </conditionalFormatting>
  <conditionalFormatting sqref="K95:K100">
    <cfRule type="cellIs" dxfId="2329" priority="187" stopIfTrue="1" operator="lessThan">
      <formula>100%</formula>
    </cfRule>
  </conditionalFormatting>
  <conditionalFormatting sqref="K102:K103">
    <cfRule type="cellIs" dxfId="2328" priority="194" stopIfTrue="1" operator="lessThan">
      <formula>100%</formula>
    </cfRule>
  </conditionalFormatting>
  <conditionalFormatting sqref="L10:L41">
    <cfRule type="cellIs" dxfId="2327" priority="49" operator="between">
      <formula>61</formula>
      <formula>65</formula>
    </cfRule>
    <cfRule type="cellIs" dxfId="2326" priority="50" operator="greaterThan">
      <formula>65</formula>
    </cfRule>
  </conditionalFormatting>
  <conditionalFormatting sqref="L44:M55">
    <cfRule type="cellIs" dxfId="2325" priority="15" operator="lessThan">
      <formula>98</formula>
    </cfRule>
  </conditionalFormatting>
  <conditionalFormatting sqref="L59:N59">
    <cfRule type="cellIs" dxfId="2324" priority="104" operator="notEqual">
      <formula>#REF!</formula>
    </cfRule>
  </conditionalFormatting>
  <conditionalFormatting sqref="L95:N103">
    <cfRule type="cellIs" dxfId="2323" priority="172" stopIfTrue="1" operator="lessThan">
      <formula>100%</formula>
    </cfRule>
  </conditionalFormatting>
  <conditionalFormatting sqref="M10:M17">
    <cfRule type="expression" dxfId="2322" priority="45">
      <formula>IF(+(IF(M10&lt;V10,0,IF(M10&gt;W10,0,1)))=0,1)</formula>
    </cfRule>
  </conditionalFormatting>
  <conditionalFormatting sqref="M18:M20">
    <cfRule type="expression" dxfId="2321" priority="74">
      <formula>IF(+(IF(M18&lt;U18,0,IF(M18&gt;V18,0,1)))=0,1)</formula>
    </cfRule>
  </conditionalFormatting>
  <conditionalFormatting sqref="M21:M41">
    <cfRule type="expression" dxfId="2320" priority="72">
      <formula>IF(+(IF(M21&lt;V21,0,IF(M21&gt;W21,0,1)))=0,1)</formula>
    </cfRule>
  </conditionalFormatting>
  <conditionalFormatting sqref="M6:N6">
    <cfRule type="cellIs" dxfId="2319" priority="106" operator="greaterThanOrEqual">
      <formula>19</formula>
    </cfRule>
    <cfRule type="cellIs" dxfId="2318" priority="105" operator="greaterThanOrEqual">
      <formula>15</formula>
    </cfRule>
  </conditionalFormatting>
  <conditionalFormatting sqref="N10:N17">
    <cfRule type="expression" dxfId="2317" priority="46">
      <formula>IF(+(IF(N10&lt;X10,0,IF(N10&gt;Y10,0,1)))=0,1)</formula>
    </cfRule>
  </conditionalFormatting>
  <conditionalFormatting sqref="N18:N20">
    <cfRule type="expression" dxfId="2316" priority="75">
      <formula>IF(+(IF(N18&lt;W18,0,IF(N18&gt;X18,0,1)))=0,1)</formula>
    </cfRule>
  </conditionalFormatting>
  <conditionalFormatting sqref="N21:N41">
    <cfRule type="expression" dxfId="2315" priority="73">
      <formula>IF(+(IF(N21&lt;X21,0,IF(N21&gt;Y21,0,1)))=0,1)</formula>
    </cfRule>
  </conditionalFormatting>
  <conditionalFormatting sqref="N27">
    <cfRule type="expression" dxfId="2314" priority="203">
      <formula>IF(+(IF(N27&lt;X83,0,IF(N27&gt;Y83,0,1)))=0,1)</formula>
    </cfRule>
    <cfRule type="expression" dxfId="2313" priority="204">
      <formula>IF(+(IF(N27&lt;X78,0,IF(N27&gt;Y78,0,1)))=0,1)</formula>
    </cfRule>
  </conditionalFormatting>
  <conditionalFormatting sqref="N41">
    <cfRule type="expression" dxfId="2312" priority="205">
      <formula>IF(+(IF(N41&lt;X85,0,IF(N41&gt;Y85,0,1)))=0,1)</formula>
    </cfRule>
    <cfRule type="expression" dxfId="2311" priority="206">
      <formula>IF(+(IF(N41&lt;X80,0,IF(N41&gt;Y80,0,1)))=0,1)</formula>
    </cfRule>
  </conditionalFormatting>
  <conditionalFormatting sqref="P6">
    <cfRule type="cellIs" dxfId="2310" priority="168" operator="greaterThanOrEqual">
      <formula>19</formula>
    </cfRule>
  </conditionalFormatting>
  <dataValidations count="1">
    <dataValidation type="list" allowBlank="1" showInputMessage="1" showErrorMessage="1" sqref="S8 B41" xr:uid="{0B6DE599-B0FB-428D-9F17-2E6EE9BCABB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C100-0C33-4233-9236-36D6979893C5}">
  <sheetPr>
    <pageSetUpPr fitToPage="1"/>
  </sheetPr>
  <dimension ref="A1:BF108"/>
  <sheetViews>
    <sheetView topLeftCell="A75" zoomScale="83" zoomScaleNormal="70" workbookViewId="0">
      <selection activeCell="B93" sqref="B93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45700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[22]Brewhouse!$A194</f>
        <v>CA092</v>
      </c>
      <c r="D10" s="279">
        <f>[22]Brewhouse!$AF194</f>
        <v>52.9</v>
      </c>
      <c r="E10" s="279">
        <f>[22]Brewhouse!$AI194</f>
        <v>49.5</v>
      </c>
      <c r="F10" s="278">
        <f>[22]Brewhouse!$V194</f>
        <v>60</v>
      </c>
      <c r="G10" s="279">
        <f>[22]Brewhouse!$AG194</f>
        <v>11.9</v>
      </c>
      <c r="H10" s="367"/>
      <c r="I10" s="368">
        <f>[22]Brewhouse!$AU194</f>
        <v>93.610787987459005</v>
      </c>
      <c r="J10" s="368">
        <f>[22]Brewhouse!$AV194</f>
        <v>97.545269552302898</v>
      </c>
      <c r="K10" s="281">
        <f>[22]Brewhouse!$Q194</f>
        <v>6.3652802893309159</v>
      </c>
      <c r="L10" s="276">
        <f>[22]Brewhouse!$P194</f>
        <v>57</v>
      </c>
      <c r="M10" s="397">
        <f>[22]Brewhouse!$U194-[22]Brewhouse!$T194</f>
        <v>0.11041666666666683</v>
      </c>
      <c r="N10" s="370">
        <f>[22]Brewhouse!$Z194</f>
        <v>0.29375000000000018</v>
      </c>
      <c r="O10" s="371" t="str">
        <f>[22]Brewhouse!$AX194</f>
        <v>R. Sookram</v>
      </c>
      <c r="P10" s="369"/>
      <c r="Q10" s="347"/>
      <c r="S10" s="277" t="str">
        <f t="shared" ref="S10:S19" si="0">B10</f>
        <v>CARIB</v>
      </c>
      <c r="T10" s="296">
        <f t="shared" ref="T10:T19" si="1">VLOOKUP($B10,$S$3:$Y$9,2,FALSE)</f>
        <v>11.6</v>
      </c>
      <c r="U10" s="296">
        <f t="shared" ref="U10:U19" si="2">VLOOKUP($B10,$S$3:$Y$9,3,FALSE)</f>
        <v>12</v>
      </c>
      <c r="V10" s="297">
        <f t="shared" ref="V10:V19" si="3">VLOOKUP($B10,$S$3:$Y$9,4,FALSE)</f>
        <v>0</v>
      </c>
      <c r="W10" s="297">
        <f t="shared" ref="W10:W19" si="4">VLOOKUP($B10,$S$3:$Y$9,5,FALSE)</f>
        <v>0.118055555555556</v>
      </c>
      <c r="X10" s="297">
        <f t="shared" ref="X10:X19" si="5">VLOOKUP($B10,$S$3:$Y$9,6,FALSE)</f>
        <v>0.22569444444444445</v>
      </c>
      <c r="Y10" s="297">
        <f t="shared" ref="Y10:Y19" si="6">VLOOKUP($B10,$S$3:$Y$9,7,FALSE)</f>
        <v>0.2638888888888889</v>
      </c>
      <c r="Z10" s="297">
        <f t="shared" ref="Z10:Z19" si="7">VLOOKUP($B10,$S$3:$AA$9,8,FALSE)</f>
        <v>0</v>
      </c>
      <c r="AA10" s="296">
        <f t="shared" ref="AA10:AA19" si="8">VLOOKUP($B10,$S$3:$AA$9,9,FALSE)</f>
        <v>60</v>
      </c>
    </row>
    <row r="11" spans="2:30" ht="14.4">
      <c r="B11" s="29" t="s">
        <v>6</v>
      </c>
      <c r="C11" s="366" t="str">
        <f>[22]Brewhouse!$A195</f>
        <v>CA093</v>
      </c>
      <c r="D11" s="279">
        <f>[22]Brewhouse!$AF195</f>
        <v>55.7</v>
      </c>
      <c r="E11" s="279">
        <f>[22]Brewhouse!$AI195</f>
        <v>52.5</v>
      </c>
      <c r="F11" s="278">
        <f>[22]Brewhouse!$V195</f>
        <v>99</v>
      </c>
      <c r="G11" s="279">
        <f>[22]Brewhouse!$AG195</f>
        <v>11.9</v>
      </c>
      <c r="H11" s="396">
        <v>11.8</v>
      </c>
      <c r="I11" s="368">
        <f>[22]Brewhouse!$AU195</f>
        <v>99.406324820701613</v>
      </c>
      <c r="J11" s="368">
        <f>[22]Brewhouse!$AV195</f>
        <v>103.58416930822607</v>
      </c>
      <c r="K11" s="281">
        <f>[22]Brewhouse!$Q195</f>
        <v>6.0424028268551266</v>
      </c>
      <c r="L11" s="276">
        <f>[22]Brewhouse!$P195</f>
        <v>62</v>
      </c>
      <c r="M11" s="397">
        <f>[22]Brewhouse!$U195-[22]Brewhouse!$T195</f>
        <v>0.14097222222222222</v>
      </c>
      <c r="N11" s="370">
        <f>[22]Brewhouse!$Z195</f>
        <v>0.29374999999999996</v>
      </c>
      <c r="O11" s="371" t="str">
        <f>[22]Brewhouse!$AX195</f>
        <v>R. Regis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[22]Brewhouse!$A196</f>
        <v>CA094</v>
      </c>
      <c r="D12" s="279">
        <f>[22]Brewhouse!$AF196</f>
        <v>54</v>
      </c>
      <c r="E12" s="279">
        <f>[22]Brewhouse!$AI196</f>
        <v>50.7</v>
      </c>
      <c r="F12" s="278">
        <f>[22]Brewhouse!$V196</f>
        <v>62</v>
      </c>
      <c r="G12" s="279">
        <f>[22]Brewhouse!$AG196</f>
        <v>11.7</v>
      </c>
      <c r="H12" s="396">
        <v>11.8</v>
      </c>
      <c r="I12" s="368">
        <f>[22]Brewhouse!$AU196</f>
        <v>94.417924348057809</v>
      </c>
      <c r="J12" s="368">
        <f>[22]Brewhouse!$AV196</f>
        <v>98.385902583065132</v>
      </c>
      <c r="K12" s="281">
        <f>[22]Brewhouse!$Q196</f>
        <v>5.0267379679144391</v>
      </c>
      <c r="L12" s="276">
        <f>[22]Brewhouse!$P196</f>
        <v>61</v>
      </c>
      <c r="M12" s="397">
        <f>[22]Brewhouse!$U196-[22]Brewhouse!$T196</f>
        <v>0.11736111111111114</v>
      </c>
      <c r="N12" s="370">
        <f>[22]Brewhouse!$Z196</f>
        <v>0.28055555555555556</v>
      </c>
      <c r="O12" s="371" t="str">
        <f>[22]Brewhouse!$AX196</f>
        <v>R. Regis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[22]Brewhouse!$A197</f>
        <v>CA095</v>
      </c>
      <c r="D13" s="279">
        <f>[22]Brewhouse!$AF197</f>
        <v>55.2</v>
      </c>
      <c r="E13" s="279">
        <f>[22]Brewhouse!$AI197</f>
        <v>51.5</v>
      </c>
      <c r="F13" s="278">
        <f>[22]Brewhouse!$V197</f>
        <v>67</v>
      </c>
      <c r="G13" s="279">
        <f>[22]Brewhouse!$AG197</f>
        <v>11.7</v>
      </c>
      <c r="H13" s="396">
        <v>11.7</v>
      </c>
      <c r="I13" s="368">
        <f>[22]Brewhouse!$AU197</f>
        <v>98.829665455011778</v>
      </c>
      <c r="J13" s="368">
        <f>[22]Brewhouse!$AV197</f>
        <v>102.97750425686239</v>
      </c>
      <c r="K13" s="281">
        <f>[22]Brewhouse!$Q197</f>
        <v>4.6619217081850612</v>
      </c>
      <c r="L13" s="276">
        <f>[22]Brewhouse!$P197</f>
        <v>60</v>
      </c>
      <c r="M13" s="397">
        <f>[22]Brewhouse!$U197-[22]Brewhouse!$T197</f>
        <v>0.11666666666666659</v>
      </c>
      <c r="N13" s="370">
        <f>[22]Brewhouse!$Z197</f>
        <v>0.26597222222222217</v>
      </c>
      <c r="O13" s="371" t="str">
        <f>[22]Brewhouse!$AX197</f>
        <v>R. Regis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4.4">
      <c r="B14" s="29" t="s">
        <v>6</v>
      </c>
      <c r="C14" s="366" t="str">
        <f>[22]Brewhouse!$A198</f>
        <v>CA096</v>
      </c>
      <c r="D14" s="279">
        <f>[22]Brewhouse!$AF198</f>
        <v>54.4</v>
      </c>
      <c r="E14" s="279">
        <f>[22]Brewhouse!$AI198</f>
        <v>51.1</v>
      </c>
      <c r="F14" s="278">
        <f>[22]Brewhouse!$V198</f>
        <v>63</v>
      </c>
      <c r="G14" s="279">
        <f>[22]Brewhouse!$AG198</f>
        <v>11.8</v>
      </c>
      <c r="H14" s="396">
        <v>11.8</v>
      </c>
      <c r="I14" s="368">
        <f>[22]Brewhouse!$AU198</f>
        <v>95.665215493250571</v>
      </c>
      <c r="J14" s="368">
        <f>[22]Brewhouse!$AV198</f>
        <v>99.686260838094938</v>
      </c>
      <c r="K14" s="281">
        <f>[22]Brewhouse!$Q198</f>
        <v>4.822695035460991</v>
      </c>
      <c r="L14" s="276">
        <f>[22]Brewhouse!$P198</f>
        <v>60</v>
      </c>
      <c r="M14" s="397">
        <f>[22]Brewhouse!$U198-[22]Brewhouse!$T198</f>
        <v>0.11041666666666672</v>
      </c>
      <c r="N14" s="370">
        <f>[22]Brewhouse!$Z198</f>
        <v>0.25000000000000006</v>
      </c>
      <c r="O14" s="371" t="str">
        <f>[22]Brewhouse!$AX198</f>
        <v>R. Regis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29" t="s">
        <v>6</v>
      </c>
      <c r="C15" s="366" t="str">
        <f>[22]Brewhouse!$A199</f>
        <v>CA097</v>
      </c>
      <c r="D15" s="279">
        <f>[22]Brewhouse!$AF199</f>
        <v>53.9</v>
      </c>
      <c r="E15" s="279">
        <f>[22]Brewhouse!$AI199</f>
        <v>51.4</v>
      </c>
      <c r="F15" s="278">
        <f>[22]Brewhouse!$V199</f>
        <v>66</v>
      </c>
      <c r="G15" s="279">
        <f>[22]Brewhouse!$AG199</f>
        <v>11.7</v>
      </c>
      <c r="H15" s="396">
        <v>11.7</v>
      </c>
      <c r="I15" s="368">
        <f>[22]Brewhouse!$AU199</f>
        <v>95.72152488146294</v>
      </c>
      <c r="J15" s="368">
        <f>[22]Brewhouse!$AV199</f>
        <v>99.744287825829332</v>
      </c>
      <c r="K15" s="281">
        <f>[22]Brewhouse!$Q199</f>
        <v>5.7092198581560263</v>
      </c>
      <c r="L15" s="276">
        <f>[22]Brewhouse!$P199</f>
        <v>62</v>
      </c>
      <c r="M15" s="397">
        <f>[22]Brewhouse!$U199-[22]Brewhouse!$T199</f>
        <v>0.12569444444444444</v>
      </c>
      <c r="N15" s="370">
        <f>[22]Brewhouse!$Z199</f>
        <v>0.27083333333333337</v>
      </c>
      <c r="O15" s="371" t="str">
        <f>[22]Brewhouse!$AX199</f>
        <v>K.Benjamin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4.4">
      <c r="B16" s="29" t="s">
        <v>6</v>
      </c>
      <c r="C16" s="366" t="str">
        <f>[22]Brewhouse!$A200</f>
        <v>CA098</v>
      </c>
      <c r="D16" s="279">
        <f>[22]Brewhouse!$AF200</f>
        <v>54</v>
      </c>
      <c r="E16" s="279">
        <f>[22]Brewhouse!$AI200</f>
        <v>52.3</v>
      </c>
      <c r="F16" s="278">
        <f>[22]Brewhouse!$V200</f>
        <v>74</v>
      </c>
      <c r="G16" s="279">
        <f>[22]Brewhouse!$AG200</f>
        <v>11.7</v>
      </c>
      <c r="H16" s="396">
        <v>11.6</v>
      </c>
      <c r="I16" s="368">
        <f>[22]Brewhouse!$AU200</f>
        <v>97.277748156420813</v>
      </c>
      <c r="J16" s="368">
        <f>[22]Brewhouse!$AV200</f>
        <v>101.36613292094296</v>
      </c>
      <c r="K16" s="281">
        <f>[22]Brewhouse!$Q200</f>
        <v>6.0317460317460343</v>
      </c>
      <c r="L16" s="276">
        <f>[22]Brewhouse!$P200</f>
        <v>59</v>
      </c>
      <c r="M16" s="397">
        <f>[22]Brewhouse!$U200-[22]Brewhouse!$T200</f>
        <v>0.12708333333333333</v>
      </c>
      <c r="N16" s="370">
        <f>[22]Brewhouse!$Z200</f>
        <v>0.2680555555555556</v>
      </c>
      <c r="O16" s="371" t="str">
        <f>[22]Brewhouse!$AX200</f>
        <v>K.Benjamin</v>
      </c>
      <c r="P16" s="369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2:27" ht="14.4">
      <c r="B17" s="29" t="s">
        <v>6</v>
      </c>
      <c r="C17" s="366" t="str">
        <f>[22]Brewhouse!$A201</f>
        <v>CA099</v>
      </c>
      <c r="D17" s="279">
        <f>[22]Brewhouse!$AF201</f>
        <v>52.8</v>
      </c>
      <c r="E17" s="279">
        <f>[22]Brewhouse!$AI201</f>
        <v>48.8</v>
      </c>
      <c r="F17" s="278">
        <f>[22]Brewhouse!$V201</f>
        <v>61</v>
      </c>
      <c r="G17" s="279">
        <f>[22]Brewhouse!$AG201</f>
        <v>11.9</v>
      </c>
      <c r="H17" s="396">
        <v>12</v>
      </c>
      <c r="I17" s="368">
        <f>[22]Brewhouse!$AU201</f>
        <v>95.45407223763587</v>
      </c>
      <c r="J17" s="368">
        <f>[22]Brewhouse!$AV201</f>
        <v>99.460008570494267</v>
      </c>
      <c r="K17" s="281">
        <f>[22]Brewhouse!$Q201</f>
        <v>7.1657754010695243</v>
      </c>
      <c r="L17" s="276">
        <f>[22]Brewhouse!$P201</f>
        <v>57</v>
      </c>
      <c r="M17" s="397">
        <f>[22]Brewhouse!$U201-[22]Brewhouse!$T201</f>
        <v>0.1166666666666667</v>
      </c>
      <c r="N17" s="370">
        <f>[22]Brewhouse!$Z201</f>
        <v>0.2597222222222223</v>
      </c>
      <c r="O17" s="371" t="str">
        <f>[22]Brewhouse!$AX201</f>
        <v>R. Sookram</v>
      </c>
      <c r="P17" s="369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2:27" ht="14.4">
      <c r="B18" s="29" t="s">
        <v>6</v>
      </c>
      <c r="C18" s="366" t="str">
        <f>[22]Brewhouse!$A202</f>
        <v>CA100</v>
      </c>
      <c r="D18" s="279">
        <f>[22]Brewhouse!$AF202</f>
        <v>53.7</v>
      </c>
      <c r="E18" s="279">
        <f>[22]Brewhouse!$AI202</f>
        <v>50.2</v>
      </c>
      <c r="F18" s="278">
        <f>[22]Brewhouse!$V202</f>
        <v>59</v>
      </c>
      <c r="G18" s="279">
        <f>[22]Brewhouse!$AG202</f>
        <v>12</v>
      </c>
      <c r="H18" s="396">
        <v>12</v>
      </c>
      <c r="I18" s="368">
        <f>[22]Brewhouse!$AU202</f>
        <v>99.8213249704677</v>
      </c>
      <c r="J18" s="368">
        <f>[22]Brewhouse!$AV202</f>
        <v>104.00908476743047</v>
      </c>
      <c r="K18" s="281">
        <f>[22]Brewhouse!$Q202</f>
        <v>7.0503597122302182</v>
      </c>
      <c r="L18" s="276">
        <f>[22]Brewhouse!$P202</f>
        <v>57</v>
      </c>
      <c r="M18" s="397">
        <f>[22]Brewhouse!$U202-[22]Brewhouse!$T202</f>
        <v>0.11111111111111116</v>
      </c>
      <c r="N18" s="370">
        <f>[22]Brewhouse!$Z202</f>
        <v>0.26111111111111118</v>
      </c>
      <c r="O18" s="371" t="str">
        <f>[22]Brewhouse!$AX202</f>
        <v>R. Sookram</v>
      </c>
      <c r="P18" s="369"/>
      <c r="Q18" s="347"/>
      <c r="S18" s="277" t="str">
        <f t="shared" si="0"/>
        <v>CARIB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2:27" ht="14.4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4.4">
      <c r="B20" s="34"/>
      <c r="C20" s="366"/>
      <c r="D20" s="279"/>
      <c r="E20" s="279"/>
      <c r="F20" s="278"/>
      <c r="G20" s="279"/>
      <c r="H20" s="396"/>
      <c r="I20" s="368"/>
      <c r="J20" s="368"/>
      <c r="K20" s="398"/>
      <c r="L20" s="276"/>
      <c r="M20" s="399"/>
      <c r="N20" s="370"/>
      <c r="O20" s="371"/>
      <c r="P20" s="369"/>
      <c r="Q20" s="347"/>
      <c r="S20" s="277">
        <f t="shared" ref="S20:S43" si="9">B20</f>
        <v>0</v>
      </c>
      <c r="T20" s="296" t="e">
        <f t="shared" ref="T20:T43" si="10">VLOOKUP($B20,$S$3:$Y$9,2,FALSE)</f>
        <v>#N/A</v>
      </c>
      <c r="U20" s="296" t="e">
        <f t="shared" ref="U20:U43" si="11">VLOOKUP($B20,$S$3:$Y$9,3,FALSE)</f>
        <v>#N/A</v>
      </c>
      <c r="V20" s="297" t="e">
        <f t="shared" ref="V20:V43" si="12">VLOOKUP($B20,$S$3:$Y$9,4,FALSE)</f>
        <v>#N/A</v>
      </c>
      <c r="W20" s="297" t="e">
        <f t="shared" ref="W20:W43" si="13">VLOOKUP($B20,$S$3:$Y$9,5,FALSE)</f>
        <v>#N/A</v>
      </c>
      <c r="X20" s="297" t="e">
        <f t="shared" ref="X20:X43" si="14">VLOOKUP($B20,$S$3:$Y$9,6,FALSE)</f>
        <v>#N/A</v>
      </c>
      <c r="Y20" s="297" t="e">
        <f t="shared" ref="Y20:Y43" si="15">VLOOKUP($B20,$S$3:$Y$9,7,FALSE)</f>
        <v>#N/A</v>
      </c>
      <c r="Z20" s="297" t="e">
        <f t="shared" ref="Z20:Z43" si="16">VLOOKUP($B20,$S$3:$AA$9,8,FALSE)</f>
        <v>#N/A</v>
      </c>
      <c r="AA20" s="296" t="e">
        <f t="shared" ref="AA20:AA43" si="17">VLOOKUP($B20,$S$3:$AA$9,9,FALSE)</f>
        <v>#N/A</v>
      </c>
    </row>
    <row r="21" spans="2:27" ht="14.4">
      <c r="B21" s="34"/>
      <c r="C21" s="366"/>
      <c r="D21" s="279"/>
      <c r="E21" s="279"/>
      <c r="F21" s="278"/>
      <c r="G21" s="279"/>
      <c r="H21" s="396"/>
      <c r="I21" s="368"/>
      <c r="J21" s="368"/>
      <c r="K21" s="398"/>
      <c r="L21" s="276"/>
      <c r="M21" s="399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2:27" ht="15.75" customHeight="1">
      <c r="B22" s="34"/>
      <c r="C22" s="366"/>
      <c r="D22" s="279"/>
      <c r="E22" s="279"/>
      <c r="F22" s="278"/>
      <c r="G22" s="279"/>
      <c r="H22" s="396"/>
      <c r="I22" s="368"/>
      <c r="J22" s="368"/>
      <c r="K22" s="398"/>
      <c r="L22" s="276"/>
      <c r="M22" s="399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369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369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7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369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7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369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7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369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7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369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7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369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7" ht="15.75" hidden="1" customHeight="1">
      <c r="B30" s="33"/>
      <c r="C30" s="366"/>
      <c r="D30" s="279"/>
      <c r="E30" s="279"/>
      <c r="F30" s="278"/>
      <c r="G30" s="279"/>
      <c r="H30" s="396"/>
      <c r="I30" s="417"/>
      <c r="J30" s="417"/>
      <c r="K30" s="398"/>
      <c r="L30" s="276"/>
      <c r="M30" s="374"/>
      <c r="N30" s="370"/>
      <c r="O30" s="418"/>
      <c r="P30" s="369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7" ht="15.75" hidden="1" customHeight="1">
      <c r="B31" s="33"/>
      <c r="C31" s="366"/>
      <c r="D31" s="279"/>
      <c r="E31" s="279"/>
      <c r="F31" s="278"/>
      <c r="G31" s="279"/>
      <c r="H31" s="396"/>
      <c r="I31" s="417"/>
      <c r="J31" s="417"/>
      <c r="K31" s="398"/>
      <c r="L31" s="276"/>
      <c r="M31" s="374"/>
      <c r="N31" s="370"/>
      <c r="O31" s="418"/>
      <c r="P31" s="369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7" ht="15.75" hidden="1" customHeight="1">
      <c r="B32" s="33"/>
      <c r="C32" s="366"/>
      <c r="D32" s="279"/>
      <c r="E32" s="279"/>
      <c r="F32" s="278"/>
      <c r="G32" s="279"/>
      <c r="H32" s="396"/>
      <c r="I32" s="417"/>
      <c r="J32" s="417"/>
      <c r="K32" s="398"/>
      <c r="L32" s="276"/>
      <c r="M32" s="374"/>
      <c r="N32" s="370"/>
      <c r="O32" s="418"/>
      <c r="P32" s="369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17"/>
      <c r="J33" s="417"/>
      <c r="K33" s="398"/>
      <c r="L33" s="276"/>
      <c r="M33" s="374"/>
      <c r="N33" s="370"/>
      <c r="O33" s="418"/>
      <c r="P33" s="369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1:27" ht="15.75" hidden="1" customHeight="1">
      <c r="B34" s="33"/>
      <c r="C34" s="366"/>
      <c r="D34" s="279"/>
      <c r="E34" s="279"/>
      <c r="F34" s="278"/>
      <c r="G34" s="279"/>
      <c r="H34" s="396"/>
      <c r="I34" s="417"/>
      <c r="J34" s="417"/>
      <c r="K34" s="398"/>
      <c r="L34" s="276"/>
      <c r="M34" s="374"/>
      <c r="N34" s="370"/>
      <c r="O34" s="418"/>
      <c r="P34" s="369"/>
      <c r="Q34" s="347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1:27" ht="15.75" hidden="1" customHeight="1">
      <c r="B35" s="33"/>
      <c r="C35" s="366"/>
      <c r="D35" s="279"/>
      <c r="E35" s="279"/>
      <c r="F35" s="278"/>
      <c r="G35" s="279"/>
      <c r="H35" s="396"/>
      <c r="I35" s="417"/>
      <c r="J35" s="417"/>
      <c r="K35" s="398"/>
      <c r="L35" s="276"/>
      <c r="M35" s="374"/>
      <c r="N35" s="370"/>
      <c r="O35" s="418"/>
      <c r="P35" s="369"/>
      <c r="Q35" s="347"/>
      <c r="S35" s="277">
        <f t="shared" si="9"/>
        <v>0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1:27" ht="15.75" hidden="1" customHeight="1">
      <c r="B36" s="33"/>
      <c r="C36" s="366"/>
      <c r="D36" s="279"/>
      <c r="E36" s="279"/>
      <c r="F36" s="278"/>
      <c r="G36" s="279"/>
      <c r="H36" s="396"/>
      <c r="I36" s="417"/>
      <c r="J36" s="417"/>
      <c r="K36" s="398"/>
      <c r="L36" s="276"/>
      <c r="M36" s="374"/>
      <c r="N36" s="370"/>
      <c r="O36" s="418"/>
      <c r="P36" s="369"/>
      <c r="Q36" s="347"/>
      <c r="S36" s="277">
        <f t="shared" si="9"/>
        <v>0</v>
      </c>
      <c r="T36" s="296" t="e">
        <f t="shared" si="10"/>
        <v>#N/A</v>
      </c>
      <c r="U36" s="296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7" t="e">
        <f t="shared" si="16"/>
        <v>#N/A</v>
      </c>
      <c r="AA36" s="296" t="e">
        <f t="shared" si="17"/>
        <v>#N/A</v>
      </c>
    </row>
    <row r="37" spans="1:27" ht="15.75" hidden="1" customHeight="1">
      <c r="B37" s="33"/>
      <c r="C37" s="366"/>
      <c r="D37" s="279"/>
      <c r="E37" s="279"/>
      <c r="F37" s="278"/>
      <c r="G37" s="279"/>
      <c r="H37" s="396"/>
      <c r="I37" s="417"/>
      <c r="J37" s="417"/>
      <c r="K37" s="398"/>
      <c r="L37" s="276"/>
      <c r="M37" s="374"/>
      <c r="N37" s="370"/>
      <c r="O37" s="418"/>
      <c r="P37" s="369"/>
      <c r="Q37" s="347"/>
      <c r="S37" s="277">
        <f t="shared" si="9"/>
        <v>0</v>
      </c>
      <c r="T37" s="296" t="e">
        <f t="shared" si="10"/>
        <v>#N/A</v>
      </c>
      <c r="U37" s="296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7" t="e">
        <f t="shared" si="16"/>
        <v>#N/A</v>
      </c>
      <c r="AA37" s="296" t="e">
        <f t="shared" si="17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69"/>
      <c r="Q38" s="347"/>
      <c r="S38" s="277">
        <f t="shared" si="9"/>
        <v>0</v>
      </c>
      <c r="T38" s="296" t="e">
        <f t="shared" si="10"/>
        <v>#N/A</v>
      </c>
      <c r="U38" s="296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7" t="e">
        <f t="shared" si="16"/>
        <v>#N/A</v>
      </c>
      <c r="AA38" s="296" t="e">
        <f t="shared" si="17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369"/>
      <c r="Q39" s="347"/>
      <c r="S39" s="277">
        <f t="shared" si="9"/>
        <v>0</v>
      </c>
      <c r="T39" s="296" t="e">
        <f t="shared" si="10"/>
        <v>#N/A</v>
      </c>
      <c r="U39" s="296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7" t="e">
        <f t="shared" si="16"/>
        <v>#N/A</v>
      </c>
      <c r="AA39" s="296" t="e">
        <f t="shared" si="17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369"/>
      <c r="Q40" s="347"/>
      <c r="S40" s="277">
        <f t="shared" si="9"/>
        <v>0</v>
      </c>
      <c r="T40" s="296" t="e">
        <f t="shared" si="10"/>
        <v>#N/A</v>
      </c>
      <c r="U40" s="296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7" t="e">
        <f t="shared" si="16"/>
        <v>#N/A</v>
      </c>
      <c r="AA40" s="296" t="e">
        <f t="shared" si="17"/>
        <v>#N/A</v>
      </c>
    </row>
    <row r="41" spans="1:27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369"/>
      <c r="Q41" s="347"/>
      <c r="S41" s="277">
        <f t="shared" si="9"/>
        <v>0</v>
      </c>
      <c r="T41" s="296" t="e">
        <f t="shared" si="10"/>
        <v>#N/A</v>
      </c>
      <c r="U41" s="296" t="e">
        <f t="shared" si="11"/>
        <v>#N/A</v>
      </c>
      <c r="V41" s="297" t="e">
        <f t="shared" si="12"/>
        <v>#N/A</v>
      </c>
      <c r="W41" s="297" t="e">
        <f t="shared" si="13"/>
        <v>#N/A</v>
      </c>
      <c r="X41" s="297" t="e">
        <f t="shared" si="14"/>
        <v>#N/A</v>
      </c>
      <c r="Y41" s="297" t="e">
        <f t="shared" si="15"/>
        <v>#N/A</v>
      </c>
      <c r="Z41" s="297" t="e">
        <f t="shared" si="16"/>
        <v>#N/A</v>
      </c>
      <c r="AA41" s="296" t="e">
        <f t="shared" si="17"/>
        <v>#N/A</v>
      </c>
    </row>
    <row r="42" spans="1:27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369"/>
      <c r="Q42" s="347"/>
      <c r="S42" s="277">
        <f t="shared" si="9"/>
        <v>0</v>
      </c>
      <c r="T42" s="296" t="e">
        <f t="shared" si="10"/>
        <v>#N/A</v>
      </c>
      <c r="U42" s="296" t="e">
        <f t="shared" si="11"/>
        <v>#N/A</v>
      </c>
      <c r="V42" s="297" t="e">
        <f t="shared" si="12"/>
        <v>#N/A</v>
      </c>
      <c r="W42" s="297" t="e">
        <f t="shared" si="13"/>
        <v>#N/A</v>
      </c>
      <c r="X42" s="297" t="e">
        <f t="shared" si="14"/>
        <v>#N/A</v>
      </c>
      <c r="Y42" s="297" t="e">
        <f t="shared" si="15"/>
        <v>#N/A</v>
      </c>
      <c r="Z42" s="297" t="e">
        <f t="shared" si="16"/>
        <v>#N/A</v>
      </c>
      <c r="AA42" s="296" t="e">
        <f t="shared" si="17"/>
        <v>#N/A</v>
      </c>
    </row>
    <row r="43" spans="1:27" ht="14.4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74"/>
      <c r="N43" s="370"/>
      <c r="O43" s="371"/>
      <c r="P43" s="369"/>
      <c r="Q43" s="347"/>
      <c r="S43" s="277">
        <f t="shared" si="9"/>
        <v>0</v>
      </c>
      <c r="T43" s="296" t="e">
        <f t="shared" si="10"/>
        <v>#N/A</v>
      </c>
      <c r="U43" s="296" t="e">
        <f t="shared" si="11"/>
        <v>#N/A</v>
      </c>
      <c r="V43" s="297" t="e">
        <f t="shared" si="12"/>
        <v>#N/A</v>
      </c>
      <c r="W43" s="297" t="e">
        <f t="shared" si="13"/>
        <v>#N/A</v>
      </c>
      <c r="X43" s="297" t="e">
        <f t="shared" si="14"/>
        <v>#N/A</v>
      </c>
      <c r="Y43" s="297" t="e">
        <f t="shared" si="15"/>
        <v>#N/A</v>
      </c>
      <c r="Z43" s="297" t="e">
        <f t="shared" si="16"/>
        <v>#N/A</v>
      </c>
      <c r="AA43" s="296" t="e">
        <f t="shared" si="17"/>
        <v>#N/A</v>
      </c>
    </row>
    <row r="44" spans="1:27" ht="15.75" customHeight="1" thickBot="1">
      <c r="B44" s="358"/>
      <c r="C44" s="358"/>
      <c r="D44" s="358"/>
      <c r="E44" s="358"/>
      <c r="F44" s="294"/>
      <c r="G44" s="294"/>
      <c r="H44" s="348"/>
      <c r="I44" s="500" t="s">
        <v>34</v>
      </c>
      <c r="J44" s="500"/>
      <c r="K44" s="500"/>
      <c r="L44" s="500"/>
      <c r="M44" s="500"/>
      <c r="N44" s="500"/>
      <c r="O44" s="1"/>
      <c r="P44" s="12"/>
      <c r="S44" s="277"/>
      <c r="T44" s="296"/>
      <c r="U44" s="296"/>
      <c r="V44" s="297"/>
      <c r="W44" s="297"/>
      <c r="X44" s="297"/>
      <c r="Y44" s="297"/>
      <c r="Z44" s="297"/>
      <c r="AA44" s="296"/>
    </row>
    <row r="45" spans="1:27" ht="15" thickBot="1">
      <c r="B45" s="388" t="s">
        <v>145</v>
      </c>
      <c r="C45" s="388"/>
      <c r="D45" s="478" t="s">
        <v>35</v>
      </c>
      <c r="E45" s="479"/>
      <c r="F45" s="294"/>
      <c r="G45" s="294"/>
      <c r="H45" s="23"/>
      <c r="I45" s="24" t="s">
        <v>17</v>
      </c>
      <c r="J45" s="25" t="s">
        <v>146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S45" s="277"/>
      <c r="T45" s="296"/>
      <c r="U45" s="296"/>
      <c r="V45" s="297"/>
      <c r="W45" s="297"/>
      <c r="X45" s="297"/>
      <c r="Y45" s="297"/>
      <c r="Z45" s="297"/>
      <c r="AA45" s="296"/>
    </row>
    <row r="46" spans="1:27" ht="15" customHeight="1" thickBot="1">
      <c r="A46" s="28"/>
      <c r="B46" s="570" t="str">
        <f>I48</f>
        <v>GUINNESS</v>
      </c>
      <c r="C46" s="362">
        <f>[23]Process!$D$23</f>
        <v>17.5</v>
      </c>
      <c r="D46" s="517">
        <v>17.5</v>
      </c>
      <c r="E46" s="518"/>
      <c r="F46" s="294"/>
      <c r="G46" s="294"/>
      <c r="H46" s="294"/>
      <c r="I46" s="29" t="s">
        <v>6</v>
      </c>
      <c r="J46" s="323">
        <f>AVERAGE(I10:I18)</f>
        <v>96.689398705607559</v>
      </c>
      <c r="K46" s="284">
        <f>COUNTA([22]Brewhouse!$A$173:$A$202)</f>
        <v>30</v>
      </c>
      <c r="L46" s="302">
        <f>AVERAGE([22]Brewhouse!$AU$173:$AU$202)</f>
        <v>95.087187345325461</v>
      </c>
      <c r="M46" s="302">
        <f>AVERAGE([22]Brewhouse!$AU$102:$AU$171,[22]Brewhouse!$AU$173:$AU$202)</f>
        <v>94.72938704138511</v>
      </c>
      <c r="N46" s="30">
        <v>98</v>
      </c>
      <c r="O46" s="11"/>
      <c r="P46" s="31"/>
      <c r="S46" s="277"/>
      <c r="T46" s="296"/>
      <c r="U46" s="296"/>
      <c r="V46" s="297"/>
      <c r="W46" s="297"/>
      <c r="X46" s="297"/>
      <c r="Y46" s="297"/>
      <c r="Z46" s="297"/>
      <c r="AA46" s="296"/>
    </row>
    <row r="47" spans="1:27" ht="15" customHeight="1">
      <c r="A47" s="28"/>
      <c r="B47" s="571"/>
      <c r="C47" s="349"/>
      <c r="D47" s="517"/>
      <c r="E47" s="518"/>
      <c r="F47" s="294"/>
      <c r="G47" s="294"/>
      <c r="H47" s="32"/>
      <c r="I47" s="33" t="s">
        <v>9</v>
      </c>
      <c r="J47" s="323"/>
      <c r="K47" s="284">
        <f>COUNTA([24]Brewhouse!$A$66:$A$73)</f>
        <v>8</v>
      </c>
      <c r="L47" s="302">
        <f>AVERAGE([24]Brewhouse!$AS$66:$AS$73)</f>
        <v>95.510976019344795</v>
      </c>
      <c r="M47" s="302">
        <f>AVERAGE([24]Brewhouse!$AS$15:$AS$64,[24]Brewhouse!$AS$66:$AS$73)</f>
        <v>95.999214037683316</v>
      </c>
      <c r="N47" s="30">
        <v>98</v>
      </c>
      <c r="O47" s="11"/>
      <c r="P47" s="31"/>
      <c r="S47" s="277"/>
      <c r="T47" s="296"/>
      <c r="U47" s="296"/>
      <c r="V47" s="297"/>
      <c r="W47" s="297"/>
      <c r="X47" s="297"/>
      <c r="Y47" s="297"/>
      <c r="Z47" s="297"/>
      <c r="AA47" s="296"/>
    </row>
    <row r="48" spans="1:27" ht="14.7" customHeight="1">
      <c r="A48" s="28"/>
      <c r="B48" s="572" t="str">
        <f>I52</f>
        <v>STARMALT</v>
      </c>
      <c r="C48" s="362" cm="1">
        <f t="array" ref="C48:C53">[27]Process!$D$14:$D$19</f>
        <v>17.3</v>
      </c>
      <c r="D48" s="504">
        <v>17.100000000000001</v>
      </c>
      <c r="E48" s="505"/>
      <c r="F48" s="294"/>
      <c r="G48" s="294"/>
      <c r="H48" s="32"/>
      <c r="I48" s="34" t="s">
        <v>12</v>
      </c>
      <c r="J48" s="280"/>
      <c r="K48" s="284">
        <f>COUNTA([23]Brewhouse!$A$9:$A$14)</f>
        <v>6</v>
      </c>
      <c r="L48" s="302">
        <f>AVERAGE([23]Brewhouse!$AU$9:$AU$14)</f>
        <v>96.577361087083986</v>
      </c>
      <c r="M48" s="302">
        <f>AVERAGE([23]Brewhouse!$AU$4:$AU$7,[23]Brewhouse!$AU$9:$AU$14)</f>
        <v>96.787191796473266</v>
      </c>
      <c r="N48" s="30">
        <v>98</v>
      </c>
      <c r="O48" s="11"/>
      <c r="P48" s="31"/>
      <c r="S48" s="23"/>
      <c r="T48" s="1"/>
      <c r="U48" s="1"/>
      <c r="AA48" s="285"/>
    </row>
    <row r="49" spans="1:57" ht="14.7" customHeight="1">
      <c r="A49" s="28"/>
      <c r="B49" s="572"/>
      <c r="C49" s="362">
        <v>17.47</v>
      </c>
      <c r="D49" s="506"/>
      <c r="E49" s="507"/>
      <c r="F49" s="294"/>
      <c r="G49" s="294"/>
      <c r="H49" s="32"/>
      <c r="I49" s="22" t="s">
        <v>33</v>
      </c>
      <c r="J49" s="280"/>
      <c r="K49" s="284"/>
      <c r="L49" s="302"/>
      <c r="M49" s="302">
        <f>AVERAGE([25]Brewhouse!$AV$5:$AV$14)</f>
        <v>97.717673301363135</v>
      </c>
      <c r="N49" s="30">
        <v>98</v>
      </c>
      <c r="O49" s="11"/>
      <c r="P49" s="31"/>
      <c r="S49" s="23"/>
      <c r="T49" s="1"/>
      <c r="U49" s="1"/>
      <c r="AA49" s="285"/>
    </row>
    <row r="50" spans="1:57" ht="14.7" customHeight="1">
      <c r="A50" s="28"/>
      <c r="B50" s="572"/>
      <c r="C50" s="362">
        <v>17.36</v>
      </c>
      <c r="D50" s="504">
        <v>17.05</v>
      </c>
      <c r="E50" s="505"/>
      <c r="F50" s="294"/>
      <c r="G50" s="294"/>
      <c r="H50" s="32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S50" s="23"/>
    </row>
    <row r="51" spans="1:57" ht="14.7" customHeight="1">
      <c r="A51" s="28"/>
      <c r="B51" s="572"/>
      <c r="C51" s="349">
        <v>17.37</v>
      </c>
      <c r="D51" s="506"/>
      <c r="E51" s="507"/>
      <c r="F51" s="294"/>
      <c r="G51" s="294"/>
      <c r="H51" s="32"/>
      <c r="I51" s="36" t="s">
        <v>15</v>
      </c>
      <c r="J51" s="323"/>
      <c r="K51" s="284"/>
      <c r="L51" s="302"/>
      <c r="M51" s="302">
        <f>AVERAGE([26]Brewhouse!$AT$4:$AT$11)</f>
        <v>94.812616598822359</v>
      </c>
      <c r="N51" s="30">
        <v>98</v>
      </c>
      <c r="O51" s="11"/>
      <c r="P51" s="31"/>
      <c r="S51" s="23"/>
    </row>
    <row r="52" spans="1:57" ht="14.7" customHeight="1">
      <c r="A52" s="28"/>
      <c r="B52" s="572"/>
      <c r="C52" s="349">
        <v>17.28</v>
      </c>
      <c r="D52" s="504">
        <v>17.010000000000002</v>
      </c>
      <c r="E52" s="505"/>
      <c r="F52" s="294"/>
      <c r="G52" s="294"/>
      <c r="H52" s="32"/>
      <c r="I52" s="37" t="s">
        <v>16</v>
      </c>
      <c r="J52" s="323"/>
      <c r="K52" s="284">
        <f>COUNTA([27]Brewhouse!$A$15:$A$20)</f>
        <v>6</v>
      </c>
      <c r="L52" s="302">
        <f>AVERAGE([27]Brewhouse!$AY$15:$AY$20)</f>
        <v>95.874175970347281</v>
      </c>
      <c r="M52" s="302">
        <f>AVERAGE([27]Brewhouse!$AY$6:$AY$13,[27]Brewhouse!$AY$15:$AY$20)</f>
        <v>94.285964321968933</v>
      </c>
      <c r="N52" s="30">
        <v>98</v>
      </c>
      <c r="O52" s="11"/>
      <c r="P52" s="31" t="s">
        <v>41</v>
      </c>
      <c r="S52" s="23"/>
      <c r="X52" s="275" t="s">
        <v>41</v>
      </c>
    </row>
    <row r="53" spans="1:57" ht="14.7" customHeight="1">
      <c r="A53" s="28"/>
      <c r="B53" s="572"/>
      <c r="C53" s="349">
        <v>17.41</v>
      </c>
      <c r="D53" s="506"/>
      <c r="E53" s="507"/>
      <c r="F53" s="294"/>
      <c r="G53" s="294"/>
      <c r="H53" s="32"/>
      <c r="I53" s="416" t="s">
        <v>158</v>
      </c>
      <c r="J53" s="326"/>
      <c r="K53" s="284"/>
      <c r="L53" s="305"/>
      <c r="M53" s="305">
        <f>AVERAGE([28]Brewhouse!$AU$5:$AU$8)</f>
        <v>91.006888337619571</v>
      </c>
      <c r="N53" s="30">
        <v>98</v>
      </c>
      <c r="O53" s="11"/>
      <c r="P53" s="31"/>
      <c r="S53" s="23"/>
    </row>
    <row r="54" spans="1:57" ht="14.7" customHeight="1">
      <c r="A54" s="28"/>
      <c r="B54" s="572"/>
      <c r="C54" s="349"/>
      <c r="D54" s="504"/>
      <c r="E54" s="505"/>
      <c r="F54" s="294"/>
      <c r="G54" s="294"/>
      <c r="H54" s="32"/>
      <c r="I54" s="415" t="s">
        <v>157</v>
      </c>
      <c r="J54" s="326"/>
      <c r="K54" s="284"/>
      <c r="L54" s="305"/>
      <c r="M54" s="305"/>
      <c r="N54" s="30"/>
      <c r="O54" s="11"/>
      <c r="P54" s="31"/>
      <c r="S54" s="23"/>
    </row>
    <row r="55" spans="1:57" ht="15" customHeight="1" thickBot="1">
      <c r="A55" s="28"/>
      <c r="B55" s="572"/>
      <c r="C55" s="349"/>
      <c r="D55" s="506"/>
      <c r="E55" s="507"/>
      <c r="F55" s="294"/>
      <c r="G55" s="294"/>
      <c r="H55" s="32"/>
      <c r="I55" s="411" t="s">
        <v>156</v>
      </c>
      <c r="J55" s="327"/>
      <c r="K55" s="412"/>
      <c r="L55" s="413"/>
      <c r="M55" s="413"/>
      <c r="N55" s="414">
        <v>98</v>
      </c>
      <c r="O55" s="11"/>
      <c r="P55" s="31"/>
      <c r="S55" s="23"/>
    </row>
    <row r="56" spans="1:57" ht="15" customHeight="1" thickBot="1">
      <c r="A56" s="28"/>
      <c r="B56" s="572"/>
      <c r="C56" s="349"/>
      <c r="D56" s="504"/>
      <c r="E56" s="505"/>
      <c r="F56" s="294"/>
      <c r="G56" s="294"/>
      <c r="H56" s="32"/>
      <c r="I56" s="1"/>
      <c r="J56" s="39"/>
      <c r="K56" s="409">
        <f>SUM(K46:K55)</f>
        <v>50</v>
      </c>
      <c r="L56" s="410">
        <f>((L46*K46)+(L47*K47)+(L48*K48)+(L49*K49)+(L50*K50)+(K53*L53)+(L51*K51)+(L52*K52)+(L55*K55))/(K56)</f>
        <v>95.4282530171822</v>
      </c>
      <c r="M56" s="410">
        <f>L56</f>
        <v>95.4282530171822</v>
      </c>
      <c r="N56" s="40">
        <v>98</v>
      </c>
      <c r="O56" s="11"/>
      <c r="P56" s="31"/>
      <c r="S56" s="23"/>
    </row>
    <row r="57" spans="1:57" ht="15" thickBot="1">
      <c r="B57" s="573"/>
      <c r="C57" s="350"/>
      <c r="D57" s="506"/>
      <c r="E57" s="507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S57" s="23"/>
    </row>
    <row r="58" spans="1:57" ht="15" thickBot="1">
      <c r="B58" s="563" t="str">
        <f>I47</f>
        <v>STAG</v>
      </c>
      <c r="C58" s="362" cm="1">
        <f t="array" ref="C58:C63">[24]Process!$D$47:$D$52</f>
        <v>11.79</v>
      </c>
      <c r="D58" s="517">
        <v>11.76</v>
      </c>
      <c r="E58" s="518"/>
      <c r="F58" s="43"/>
      <c r="G58" s="41"/>
      <c r="H58" s="41"/>
      <c r="I58" s="42"/>
      <c r="J58" s="520" t="s">
        <v>129</v>
      </c>
      <c r="K58" s="520"/>
      <c r="L58" s="294"/>
      <c r="M58" s="294"/>
      <c r="N58" s="294"/>
      <c r="O58" s="294"/>
      <c r="P58" s="12"/>
      <c r="S58" s="23" t="s">
        <v>41</v>
      </c>
    </row>
    <row r="59" spans="1:57" ht="13.5" customHeight="1" thickBot="1">
      <c r="B59" s="564"/>
      <c r="C59" s="349">
        <v>11.76</v>
      </c>
      <c r="D59" s="519"/>
      <c r="E59" s="507"/>
      <c r="F59" s="43"/>
      <c r="G59" s="41"/>
      <c r="H59" s="41"/>
      <c r="I59" s="42"/>
      <c r="J59" s="419" t="s">
        <v>17</v>
      </c>
      <c r="K59" s="293" t="s">
        <v>147</v>
      </c>
      <c r="L59" s="521" t="s">
        <v>136</v>
      </c>
      <c r="M59" s="521"/>
      <c r="N59" s="522"/>
      <c r="O59" s="294"/>
      <c r="P59" s="12"/>
      <c r="S59" s="23"/>
    </row>
    <row r="60" spans="1:57" ht="15" customHeight="1" thickBot="1">
      <c r="B60" s="564"/>
      <c r="C60" s="349">
        <v>11.8</v>
      </c>
      <c r="D60" s="523">
        <v>11.71</v>
      </c>
      <c r="E60" s="505"/>
      <c r="F60" s="43"/>
      <c r="G60" s="41"/>
      <c r="H60" s="41"/>
      <c r="I60" s="42"/>
      <c r="J60" s="420" t="s">
        <v>6</v>
      </c>
      <c r="K60" s="324">
        <f>COUNTA(C10:C18)</f>
        <v>9</v>
      </c>
      <c r="L60" s="343" t="s">
        <v>37</v>
      </c>
      <c r="M60" s="307" t="s">
        <v>38</v>
      </c>
      <c r="N60" s="307" t="s">
        <v>84</v>
      </c>
      <c r="O60" s="294"/>
      <c r="P60" s="12"/>
      <c r="S60" s="23"/>
    </row>
    <row r="61" spans="1:57" ht="15.75" customHeight="1" thickBot="1">
      <c r="B61" s="564"/>
      <c r="C61" s="349">
        <v>11.7</v>
      </c>
      <c r="D61" s="519"/>
      <c r="E61" s="507"/>
      <c r="F61" s="43"/>
      <c r="G61" s="41"/>
      <c r="H61" s="41"/>
      <c r="I61" s="42"/>
      <c r="J61" s="421" t="s">
        <v>9</v>
      </c>
      <c r="K61" s="324"/>
      <c r="L61" s="344">
        <f>AVERAGE('Feb 3rd'!K79,'Feb 4th'!K77,'Feb 5th'!L68,'Feb 6th'!K75,'Feb 10th'!K69,'Feb 11th'!K68,'Feb 12th'!K70)</f>
        <v>7</v>
      </c>
      <c r="M61" s="325">
        <f>AVERAGE('[29]Jan 29th '!$M$70,L61)</f>
        <v>6.75</v>
      </c>
      <c r="N61" s="401"/>
      <c r="O61" s="294"/>
      <c r="P61" s="12"/>
      <c r="S61" s="23"/>
    </row>
    <row r="62" spans="1:57" ht="15" customHeight="1">
      <c r="B62" s="564"/>
      <c r="C62" s="349">
        <v>11.8</v>
      </c>
      <c r="D62" s="523">
        <v>11.75</v>
      </c>
      <c r="E62" s="505"/>
      <c r="F62" s="43"/>
      <c r="G62" s="41"/>
      <c r="H62" s="41"/>
      <c r="I62" s="42"/>
      <c r="J62" s="422" t="s">
        <v>40</v>
      </c>
      <c r="K62" s="324"/>
      <c r="L62" s="294"/>
      <c r="M62" s="294"/>
      <c r="N62" s="294"/>
      <c r="O62" s="294"/>
      <c r="P62" s="12"/>
      <c r="S62" s="23"/>
    </row>
    <row r="63" spans="1:57" ht="15" customHeight="1">
      <c r="B63" s="564"/>
      <c r="C63" s="349">
        <v>11.8</v>
      </c>
      <c r="D63" s="519"/>
      <c r="E63" s="507"/>
      <c r="F63" s="43"/>
      <c r="G63" s="41"/>
      <c r="H63" s="41"/>
      <c r="I63" s="42"/>
      <c r="J63" s="423" t="s">
        <v>33</v>
      </c>
      <c r="K63" s="324"/>
      <c r="L63" s="294"/>
      <c r="M63" s="294"/>
      <c r="N63" s="294"/>
      <c r="O63" s="294"/>
      <c r="P63" s="12"/>
      <c r="S63" s="23"/>
    </row>
    <row r="64" spans="1:57" ht="14.4">
      <c r="B64" s="564"/>
      <c r="C64" s="349"/>
      <c r="D64" s="523"/>
      <c r="E64" s="505"/>
      <c r="F64" s="43"/>
      <c r="G64" s="41"/>
      <c r="H64" s="41"/>
      <c r="I64" s="42"/>
      <c r="J64" s="424" t="s">
        <v>16</v>
      </c>
      <c r="K64" s="324"/>
      <c r="L64" s="294"/>
      <c r="M64" s="294"/>
      <c r="N64" s="294"/>
      <c r="O64" s="294"/>
      <c r="P64" s="12"/>
      <c r="S64" s="23"/>
      <c r="BD64" s="44"/>
      <c r="BE64" s="44"/>
    </row>
    <row r="65" spans="2:58" ht="14.4">
      <c r="B65" s="564"/>
      <c r="C65" s="349"/>
      <c r="D65" s="519"/>
      <c r="E65" s="507"/>
      <c r="F65" s="43"/>
      <c r="G65" s="41"/>
      <c r="H65" s="41"/>
      <c r="I65" s="42"/>
      <c r="J65" s="425" t="s">
        <v>15</v>
      </c>
      <c r="K65" s="324"/>
      <c r="L65" s="294"/>
      <c r="M65" s="294"/>
      <c r="N65" s="294"/>
      <c r="O65" s="294"/>
      <c r="P65" s="12"/>
      <c r="S65" s="23"/>
      <c r="BD65" s="44"/>
      <c r="BE65" s="44"/>
    </row>
    <row r="66" spans="2:58" ht="14.4">
      <c r="B66" s="564"/>
      <c r="C66" s="349"/>
      <c r="D66" s="524"/>
      <c r="E66" s="509"/>
      <c r="F66" s="43"/>
      <c r="G66" s="41"/>
      <c r="H66" s="41"/>
      <c r="I66" s="42"/>
      <c r="J66" s="425" t="s">
        <v>149</v>
      </c>
      <c r="K66" s="324"/>
      <c r="L66" s="294"/>
      <c r="M66" s="294"/>
      <c r="N66" s="294"/>
      <c r="O66" s="294"/>
      <c r="P66" s="12"/>
      <c r="S66" s="23"/>
      <c r="BD66" s="44"/>
      <c r="BE66" s="44"/>
    </row>
    <row r="67" spans="2:58" ht="15" thickBot="1">
      <c r="B67" s="565"/>
      <c r="C67" s="350"/>
      <c r="D67" s="525"/>
      <c r="E67" s="526"/>
      <c r="F67" s="43"/>
      <c r="G67" s="41"/>
      <c r="H67" s="41"/>
      <c r="I67" s="42"/>
      <c r="J67" s="425" t="s">
        <v>148</v>
      </c>
      <c r="K67" s="324"/>
      <c r="L67" s="294"/>
      <c r="M67" s="294"/>
      <c r="N67" s="294"/>
      <c r="O67" s="294"/>
      <c r="P67" s="12"/>
      <c r="S67" s="23"/>
      <c r="BD67" s="44"/>
      <c r="BE67" s="44"/>
    </row>
    <row r="68" spans="2:58" ht="17.7" customHeight="1" thickBot="1">
      <c r="B68" s="312" t="s">
        <v>139</v>
      </c>
      <c r="C68" s="313"/>
      <c r="D68" s="527">
        <f>AVERAGE(D46:E67)</f>
        <v>14.840000000000003</v>
      </c>
      <c r="E68" s="528"/>
      <c r="F68" s="43"/>
      <c r="G68" s="41"/>
      <c r="H68" s="41"/>
      <c r="I68" s="42"/>
      <c r="J68" s="426" t="s">
        <v>134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7.7" customHeight="1">
      <c r="B69" s="363"/>
      <c r="C69" s="364"/>
      <c r="D69" s="365"/>
      <c r="E69" s="365"/>
      <c r="F69" s="43"/>
      <c r="G69" s="41"/>
      <c r="H69" s="41"/>
      <c r="I69" s="42"/>
      <c r="J69" s="426" t="s">
        <v>131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.75" customHeight="1">
      <c r="B70" s="45"/>
      <c r="C70" s="11"/>
      <c r="D70" s="11"/>
      <c r="E70" s="46"/>
      <c r="F70" s="23"/>
      <c r="G70" s="11"/>
      <c r="H70" s="41"/>
      <c r="I70" s="42"/>
      <c r="J70" s="427" t="s">
        <v>130</v>
      </c>
      <c r="K70" s="324">
        <f>SUM(K60:K69)</f>
        <v>9</v>
      </c>
      <c r="L70" s="294"/>
      <c r="M70" s="294"/>
      <c r="N70" s="294"/>
      <c r="O70" s="294"/>
      <c r="P70" s="12"/>
    </row>
    <row r="71" spans="2:58" ht="20.25" customHeight="1">
      <c r="B71" s="15" t="s">
        <v>42</v>
      </c>
      <c r="C71" s="1" t="s">
        <v>43</v>
      </c>
      <c r="D71" s="1"/>
      <c r="E71" s="1"/>
      <c r="I71" s="42"/>
      <c r="L71" s="294"/>
      <c r="P71" s="334"/>
    </row>
    <row r="72" spans="2:58" ht="15" customHeight="1" thickBot="1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8"/>
      <c r="O72" s="48"/>
      <c r="P72" s="49"/>
      <c r="X72" s="275" t="s">
        <v>41</v>
      </c>
    </row>
    <row r="73" spans="2:58" ht="15" customHeight="1" thickBot="1">
      <c r="B73" s="529" t="s">
        <v>17</v>
      </c>
      <c r="C73" s="529" t="s">
        <v>44</v>
      </c>
      <c r="D73" s="531" t="s">
        <v>45</v>
      </c>
      <c r="E73" s="486" t="s">
        <v>46</v>
      </c>
      <c r="F73" s="546" t="s">
        <v>47</v>
      </c>
      <c r="G73" s="540" t="s">
        <v>48</v>
      </c>
      <c r="H73" s="529" t="s">
        <v>49</v>
      </c>
      <c r="I73" s="529" t="s">
        <v>50</v>
      </c>
      <c r="J73" s="534" t="s">
        <v>28</v>
      </c>
      <c r="K73" s="484" t="s">
        <v>51</v>
      </c>
      <c r="L73" s="496" t="s">
        <v>52</v>
      </c>
      <c r="M73" s="534" t="s">
        <v>53</v>
      </c>
      <c r="N73" s="77"/>
      <c r="O73" s="13"/>
      <c r="P73" s="50"/>
    </row>
    <row r="74" spans="2:58" ht="28.5" customHeight="1" thickTop="1" thickBot="1">
      <c r="B74" s="530"/>
      <c r="C74" s="530"/>
      <c r="D74" s="532"/>
      <c r="E74" s="533"/>
      <c r="F74" s="547"/>
      <c r="G74" s="541"/>
      <c r="H74" s="530"/>
      <c r="I74" s="530"/>
      <c r="J74" s="535"/>
      <c r="K74" s="544"/>
      <c r="L74" s="545"/>
      <c r="M74" s="535"/>
      <c r="N74" s="77"/>
      <c r="O74" s="13"/>
      <c r="P74" s="50"/>
      <c r="Q74" s="355"/>
      <c r="R74" s="355"/>
      <c r="S74" s="355"/>
      <c r="T74" s="355"/>
      <c r="U74" s="51">
        <v>43466</v>
      </c>
      <c r="V74" s="51">
        <v>43467</v>
      </c>
      <c r="W74" s="51">
        <v>43468</v>
      </c>
      <c r="X74" s="51">
        <v>43469</v>
      </c>
      <c r="Y74" s="51">
        <v>43470</v>
      </c>
      <c r="Z74" s="51">
        <v>43471</v>
      </c>
      <c r="AA74" s="51">
        <v>43472</v>
      </c>
      <c r="AB74" s="51">
        <v>43473</v>
      </c>
      <c r="AC74" s="51">
        <v>43474</v>
      </c>
      <c r="AD74" s="51">
        <v>43475</v>
      </c>
      <c r="AE74" s="51">
        <v>43476</v>
      </c>
      <c r="AF74" s="51">
        <v>43477</v>
      </c>
      <c r="AG74" s="51">
        <v>43478</v>
      </c>
      <c r="AH74" s="51">
        <v>43479</v>
      </c>
      <c r="AI74" s="51">
        <v>43480</v>
      </c>
      <c r="AJ74" s="51">
        <v>43481</v>
      </c>
      <c r="AK74" s="51">
        <v>43482</v>
      </c>
      <c r="AL74" s="51">
        <v>43483</v>
      </c>
      <c r="AM74" s="51">
        <v>43484</v>
      </c>
      <c r="AN74" s="51">
        <v>43485</v>
      </c>
      <c r="AO74" s="51">
        <v>43486</v>
      </c>
      <c r="AP74" s="51">
        <v>43487</v>
      </c>
      <c r="AQ74" s="51">
        <v>43488</v>
      </c>
      <c r="AR74" s="51">
        <v>43489</v>
      </c>
      <c r="AS74" s="51">
        <v>43490</v>
      </c>
      <c r="AT74" s="51">
        <v>43491</v>
      </c>
      <c r="AU74" s="51">
        <v>43492</v>
      </c>
      <c r="AV74" s="51">
        <v>43493</v>
      </c>
      <c r="AW74" s="51">
        <v>43494</v>
      </c>
      <c r="AX74" s="51">
        <v>43495</v>
      </c>
      <c r="AY74" s="51">
        <v>43496</v>
      </c>
    </row>
    <row r="75" spans="2:58" s="54" customFormat="1" ht="45.75" customHeight="1" thickBot="1">
      <c r="B75" s="431" t="s">
        <v>12</v>
      </c>
      <c r="C75" s="283">
        <v>45700</v>
      </c>
      <c r="D75" s="279">
        <f>[30]February_2025!$O$23</f>
        <v>31.4</v>
      </c>
      <c r="E75" s="367">
        <v>0</v>
      </c>
      <c r="F75" s="279"/>
      <c r="G75" s="279">
        <f>[30]February_2025!$O$28</f>
        <v>26.8</v>
      </c>
      <c r="H75" s="320"/>
      <c r="I75" s="322"/>
      <c r="J75" s="390" t="s">
        <v>174</v>
      </c>
      <c r="K75" s="286">
        <f>[32]February_2025!$O$32</f>
        <v>3.1345029239766085E-2</v>
      </c>
      <c r="L75" s="314">
        <f>(((D75+E75)-G75)/(D75+E75))*100</f>
        <v>14.649681528662414</v>
      </c>
      <c r="M75" s="281" t="s">
        <v>175</v>
      </c>
      <c r="N75" s="13"/>
      <c r="O75" s="13"/>
      <c r="P75" s="50"/>
      <c r="T75" s="272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277"/>
      <c r="AZ75" s="277"/>
      <c r="BA75" s="277"/>
      <c r="BB75" s="277"/>
      <c r="BC75" s="277"/>
      <c r="BD75" s="277"/>
      <c r="BE75" s="277"/>
      <c r="BF75" s="277"/>
    </row>
    <row r="76" spans="2:58" s="54" customFormat="1" ht="18.75" customHeight="1" thickBot="1">
      <c r="B76" s="387"/>
      <c r="C76" s="283"/>
      <c r="D76" s="279"/>
      <c r="E76" s="279"/>
      <c r="F76" s="279"/>
      <c r="G76" s="279"/>
      <c r="H76" s="320"/>
      <c r="I76" s="322"/>
      <c r="J76" s="389"/>
      <c r="K76" s="437"/>
      <c r="L76" s="314"/>
      <c r="M76" s="384"/>
      <c r="N76" s="13"/>
      <c r="O76" s="13"/>
      <c r="P76" s="50"/>
      <c r="T76" s="272" t="s">
        <v>51</v>
      </c>
      <c r="U76" s="57">
        <f>[20]January_2019!D6</f>
        <v>0</v>
      </c>
      <c r="V76" s="57">
        <f>[20]January_2019!E6</f>
        <v>0</v>
      </c>
      <c r="W76" s="57">
        <f>[20]January_2019!F6</f>
        <v>0</v>
      </c>
      <c r="X76" s="57">
        <f>[20]January_2019!G6</f>
        <v>0</v>
      </c>
      <c r="Y76" s="57">
        <f>[20]January_2019!H6</f>
        <v>0</v>
      </c>
      <c r="Z76" s="57">
        <f>[20]January_2019!I6</f>
        <v>0</v>
      </c>
      <c r="AA76" s="57">
        <f>[20]January_2019!J6</f>
        <v>0</v>
      </c>
      <c r="AB76" s="57">
        <f>[20]January_2019!K6</f>
        <v>0</v>
      </c>
      <c r="AC76" s="57">
        <f>[20]January_2019!L6</f>
        <v>0</v>
      </c>
      <c r="AD76" s="57">
        <f>[20]January_2019!M6</f>
        <v>0</v>
      </c>
      <c r="AE76" s="57">
        <f>[20]January_2019!N6</f>
        <v>0</v>
      </c>
      <c r="AF76" s="57">
        <f>[20]January_2019!O6</f>
        <v>0</v>
      </c>
      <c r="AG76" s="57">
        <f>[20]January_2019!P6</f>
        <v>0</v>
      </c>
      <c r="AH76" s="57">
        <f>[20]January_2019!Q6</f>
        <v>0</v>
      </c>
      <c r="AI76" s="57">
        <f>[20]January_2019!R6</f>
        <v>0</v>
      </c>
      <c r="AJ76" s="57">
        <f>[20]January_2019!S6</f>
        <v>0</v>
      </c>
      <c r="AK76" s="57">
        <f>[20]January_2019!T6</f>
        <v>0</v>
      </c>
      <c r="AL76" s="57">
        <f>[20]January_2019!U6</f>
        <v>0</v>
      </c>
      <c r="AM76" s="57">
        <f>[20]January_2019!V6</f>
        <v>0</v>
      </c>
      <c r="AN76" s="57">
        <f>[20]January_2019!W6</f>
        <v>0</v>
      </c>
      <c r="AO76" s="57">
        <f>[20]January_2019!X6</f>
        <v>0</v>
      </c>
      <c r="AP76" s="57">
        <f>[20]January_2019!Y6</f>
        <v>0</v>
      </c>
      <c r="AQ76" s="57">
        <f>[20]January_2019!Z6</f>
        <v>0</v>
      </c>
      <c r="AR76" s="57">
        <f>[20]January_2019!AA6</f>
        <v>0</v>
      </c>
      <c r="AS76" s="57">
        <f>[20]January_2019!AB6</f>
        <v>0</v>
      </c>
      <c r="AT76" s="57">
        <f>[20]January_2019!AC6</f>
        <v>0</v>
      </c>
      <c r="AU76" s="57">
        <f>[20]January_2019!AD6</f>
        <v>0</v>
      </c>
      <c r="AV76" s="57">
        <f>[20]January_2019!AE6</f>
        <v>0</v>
      </c>
      <c r="AW76" s="57">
        <f>[20]January_2019!AF6</f>
        <v>0</v>
      </c>
      <c r="AX76" s="57">
        <f>[20]January_2019!AG6</f>
        <v>0</v>
      </c>
      <c r="AY76" s="277">
        <f>[20]January_2019!AH6</f>
        <v>0</v>
      </c>
      <c r="AZ76" s="277"/>
      <c r="BA76" s="277"/>
      <c r="BB76" s="277"/>
      <c r="BC76" s="277"/>
      <c r="BD76" s="277"/>
      <c r="BE76" s="277"/>
      <c r="BF76" s="277"/>
    </row>
    <row r="77" spans="2:58" s="54" customFormat="1" ht="56.4" customHeight="1" thickBot="1">
      <c r="B77" s="430" t="s">
        <v>9</v>
      </c>
      <c r="C77" s="283">
        <v>45700</v>
      </c>
      <c r="D77" s="377">
        <f>[30]February_2025!$O$13</f>
        <v>323.8</v>
      </c>
      <c r="E77" s="378"/>
      <c r="F77" s="379">
        <f>SUM([31]STAG!$L$24:$L$29)</f>
        <v>303.39999999999998</v>
      </c>
      <c r="G77" s="303">
        <f>[30]February_2025!$O$17</f>
        <v>291.89999999999998</v>
      </c>
      <c r="H77" s="400">
        <f>(D77-F77)/D77*100</f>
        <v>6.3001852995676444</v>
      </c>
      <c r="I77" s="400">
        <f>((F77+E77)-G77)/(F77+E77)*100</f>
        <v>3.7903757415952541</v>
      </c>
      <c r="J77" s="390" t="s">
        <v>176</v>
      </c>
      <c r="K77" s="380">
        <f>[32]February_2025!$O$25</f>
        <v>0.32433333333333331</v>
      </c>
      <c r="L77" s="314">
        <f>(((D77+E77)-G77)/(D77+E77))*100</f>
        <v>9.8517603458925365</v>
      </c>
      <c r="M77" s="281" t="s">
        <v>172</v>
      </c>
      <c r="N77" s="13"/>
      <c r="O77" s="13"/>
      <c r="P77" s="50"/>
      <c r="T77" s="272" t="s">
        <v>54</v>
      </c>
      <c r="U77" s="279"/>
      <c r="V77" s="279"/>
      <c r="W77" s="279"/>
      <c r="X77" s="279"/>
      <c r="Y77" s="279"/>
      <c r="Z77" s="279"/>
      <c r="AA77" s="279"/>
      <c r="AB77" s="279"/>
      <c r="AC77" s="279"/>
      <c r="AD77" s="279"/>
      <c r="AE77" s="279"/>
      <c r="AF77" s="279"/>
      <c r="AG77" s="279"/>
      <c r="AH77" s="279"/>
      <c r="AI77" s="279"/>
      <c r="AJ77" s="279"/>
      <c r="AK77" s="279"/>
      <c r="AL77" s="279"/>
      <c r="AM77" s="279"/>
      <c r="AN77" s="279"/>
      <c r="AO77" s="279"/>
      <c r="AP77" s="279"/>
      <c r="AQ77" s="279"/>
      <c r="AR77" s="279"/>
      <c r="AS77" s="279"/>
      <c r="AT77" s="279"/>
      <c r="AU77" s="279"/>
      <c r="AV77" s="279"/>
      <c r="AW77" s="279"/>
      <c r="AX77" s="279"/>
    </row>
    <row r="78" spans="2:58" s="54" customFormat="1" ht="18.75" customHeight="1" thickBot="1">
      <c r="B78" s="387"/>
      <c r="C78" s="283"/>
      <c r="D78" s="279"/>
      <c r="E78" s="279"/>
      <c r="F78" s="279"/>
      <c r="G78" s="279"/>
      <c r="H78" s="320"/>
      <c r="I78" s="322"/>
      <c r="J78" s="389"/>
      <c r="K78" s="437"/>
      <c r="L78" s="314"/>
      <c r="M78" s="384"/>
      <c r="N78" s="13"/>
      <c r="O78" s="13"/>
      <c r="P78" s="50"/>
      <c r="T78" s="272" t="s">
        <v>51</v>
      </c>
      <c r="U78" s="57" t="e">
        <f>[20]January_2019!D8</f>
        <v>#DIV/0!</v>
      </c>
      <c r="V78" s="57">
        <f>[20]January_2019!E8</f>
        <v>1.0319298245614037</v>
      </c>
      <c r="W78" s="57">
        <f>[20]January_2019!F8</f>
        <v>1.7789473684210526</v>
      </c>
      <c r="X78" s="57">
        <f>[20]January_2019!G8</f>
        <v>0.51929824561403504</v>
      </c>
      <c r="Y78" s="57" t="e">
        <f>[20]January_2019!H8</f>
        <v>#DIV/0!</v>
      </c>
      <c r="Z78" s="57" t="e">
        <f>[20]January_2019!I8</f>
        <v>#DIV/0!</v>
      </c>
      <c r="AA78" s="57">
        <f>[20]January_2019!J8</f>
        <v>1.365263157894737</v>
      </c>
      <c r="AB78" s="57" t="e">
        <f>[20]January_2019!K8</f>
        <v>#DIV/0!</v>
      </c>
      <c r="AC78" s="57">
        <f>[20]January_2019!L8</f>
        <v>1.0028070175438597</v>
      </c>
      <c r="AD78" s="57">
        <f>[20]January_2019!M8</f>
        <v>1.7828070175438597</v>
      </c>
      <c r="AE78" s="57" t="e">
        <f>[20]January_2019!N8</f>
        <v>#DIV/0!</v>
      </c>
      <c r="AF78" s="57" t="e">
        <f>[20]January_2019!O8</f>
        <v>#DIV/0!</v>
      </c>
      <c r="AG78" s="57">
        <f>[20]January_2019!P8</f>
        <v>0.19222222222222221</v>
      </c>
      <c r="AH78" s="57">
        <f>[20]January_2019!Q8</f>
        <v>0.52219298245614032</v>
      </c>
      <c r="AI78" s="57">
        <f>[20]January_2019!R8</f>
        <v>0.42912280701754385</v>
      </c>
      <c r="AJ78" s="57" t="e">
        <f>[20]January_2019!S8</f>
        <v>#DIV/0!</v>
      </c>
      <c r="AK78" s="57">
        <f>[20]January_2019!T8</f>
        <v>1.0340350877192983</v>
      </c>
      <c r="AL78" s="57">
        <f>[20]January_2019!U8</f>
        <v>0.98421052631578942</v>
      </c>
      <c r="AM78" s="57" t="e">
        <f>[20]January_2019!V8</f>
        <v>#DIV/0!</v>
      </c>
      <c r="AN78" s="57" t="e">
        <f>[20]January_2019!W8</f>
        <v>#DIV/0!</v>
      </c>
      <c r="AO78" s="57">
        <f>[20]January_2019!X8</f>
        <v>0.66052631578947374</v>
      </c>
      <c r="AP78" s="57">
        <f>[20]January_2019!Y8</f>
        <v>1.0375438596491227</v>
      </c>
      <c r="AQ78" s="57">
        <f>[20]January_2019!Z8</f>
        <v>0.90456140350877201</v>
      </c>
      <c r="AR78" s="57">
        <f>[20]January_2019!AA8</f>
        <v>1.0217543859649123</v>
      </c>
      <c r="AS78" s="57">
        <f>[20]January_2019!AB8</f>
        <v>0.65614035087719302</v>
      </c>
      <c r="AT78" s="57" t="e">
        <f>[20]January_2019!AC8</f>
        <v>#DIV/0!</v>
      </c>
      <c r="AU78" s="57" t="e">
        <f>[20]January_2019!AD8</f>
        <v>#DIV/0!</v>
      </c>
      <c r="AV78" s="57">
        <f>[20]January_2019!AE8</f>
        <v>1.7021052631578948</v>
      </c>
      <c r="AW78" s="57">
        <f>[20]January_2019!AF8</f>
        <v>0.60192982456140354</v>
      </c>
      <c r="AX78" s="57">
        <f>[20]January_2019!AG8</f>
        <v>1.4870175438596491</v>
      </c>
      <c r="AY78" s="277" t="e">
        <f>[20]January_2019!AH8</f>
        <v>#DIV/0!</v>
      </c>
      <c r="AZ78" s="277"/>
      <c r="BA78" s="277"/>
      <c r="BB78" s="277"/>
      <c r="BC78" s="277"/>
      <c r="BD78" s="277"/>
      <c r="BE78" s="277"/>
      <c r="BF78" s="277"/>
    </row>
    <row r="79" spans="2:58" s="54" customFormat="1" ht="42" customHeight="1" thickBot="1">
      <c r="B79" s="446" t="s">
        <v>16</v>
      </c>
      <c r="C79" s="283">
        <v>45700</v>
      </c>
      <c r="D79" s="279">
        <f>[30]February_2025!$O$55</f>
        <v>311.99999999999994</v>
      </c>
      <c r="E79" s="279"/>
      <c r="F79" s="279"/>
      <c r="G79" s="279">
        <f>[30]February_2025!$O$59</f>
        <v>301.60000000000002</v>
      </c>
      <c r="H79" s="400"/>
      <c r="I79" s="400"/>
      <c r="J79" s="390" t="s">
        <v>177</v>
      </c>
      <c r="K79" s="437">
        <f>[32]February_2025!$O$53</f>
        <v>1.0053333333333334</v>
      </c>
      <c r="L79" s="314">
        <f>(((D79+E79)-G79)/(D79+E79))*100</f>
        <v>3.3333333333333082</v>
      </c>
      <c r="M79" s="281" t="s">
        <v>173</v>
      </c>
      <c r="N79" s="13"/>
      <c r="O79" s="13"/>
      <c r="P79" s="50"/>
      <c r="T79" s="272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277"/>
      <c r="AZ79" s="277"/>
      <c r="BA79" s="277"/>
      <c r="BB79" s="277"/>
      <c r="BC79" s="277"/>
      <c r="BD79" s="277"/>
      <c r="BE79" s="277"/>
      <c r="BF79" s="277"/>
    </row>
    <row r="80" spans="2:58" s="54" customFormat="1" ht="14.4" thickBot="1">
      <c r="B80" s="361"/>
      <c r="C80" s="283"/>
      <c r="D80" s="304"/>
      <c r="E80" s="279"/>
      <c r="F80" s="279"/>
      <c r="G80" s="279"/>
      <c r="H80" s="381"/>
      <c r="I80" s="381"/>
      <c r="J80" s="389"/>
      <c r="K80" s="437"/>
      <c r="L80" s="314"/>
      <c r="M80" s="339"/>
      <c r="N80" s="13"/>
      <c r="O80" s="13"/>
      <c r="P80" s="50"/>
      <c r="T80" s="272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277"/>
      <c r="AZ80" s="277"/>
      <c r="BA80" s="277"/>
      <c r="BB80" s="277"/>
      <c r="BC80" s="277"/>
      <c r="BD80" s="277"/>
      <c r="BE80" s="277"/>
      <c r="BF80" s="277"/>
    </row>
    <row r="81" spans="2:58" s="54" customFormat="1" ht="9" hidden="1" customHeight="1">
      <c r="B81" s="387"/>
      <c r="C81" s="283"/>
      <c r="D81" s="279"/>
      <c r="E81" s="279"/>
      <c r="F81" s="279"/>
      <c r="G81" s="279"/>
      <c r="H81" s="320"/>
      <c r="I81" s="322"/>
      <c r="J81" s="281"/>
      <c r="K81" s="286"/>
      <c r="L81" s="314"/>
      <c r="M81" s="339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ht="11.4" hidden="1" customHeight="1" thickBot="1">
      <c r="B82" s="33"/>
      <c r="C82" s="310"/>
      <c r="D82" s="279"/>
      <c r="E82" s="279"/>
      <c r="F82" s="279"/>
      <c r="G82" s="279"/>
      <c r="H82" s="352"/>
      <c r="I82" s="353"/>
      <c r="J82" s="281"/>
      <c r="K82" s="52"/>
      <c r="L82" s="53"/>
      <c r="M82" s="55"/>
      <c r="N82" s="77"/>
      <c r="O82" s="13"/>
      <c r="P82" s="56"/>
    </row>
    <row r="83" spans="2:58" ht="14.4" thickBot="1">
      <c r="B83" s="58"/>
      <c r="C83" s="309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9"/>
      <c r="O83" s="56"/>
      <c r="P83" s="60"/>
    </row>
    <row r="84" spans="2:58" ht="14.4" thickBot="1">
      <c r="B84" s="536" t="s">
        <v>55</v>
      </c>
      <c r="C84" s="537"/>
      <c r="D84" s="537"/>
      <c r="E84" s="537"/>
      <c r="F84" s="538"/>
      <c r="G84" s="536" t="s">
        <v>56</v>
      </c>
      <c r="H84" s="537"/>
      <c r="I84" s="537"/>
      <c r="J84" s="538"/>
      <c r="K84" s="536" t="s">
        <v>51</v>
      </c>
      <c r="L84" s="537"/>
      <c r="M84" s="537"/>
      <c r="N84" s="539"/>
      <c r="O84" s="56"/>
      <c r="P84" s="50"/>
    </row>
    <row r="85" spans="2:58">
      <c r="B85" s="61" t="s">
        <v>17</v>
      </c>
      <c r="C85" s="62" t="s">
        <v>36</v>
      </c>
      <c r="D85" s="62" t="s">
        <v>37</v>
      </c>
      <c r="E85" s="62" t="s">
        <v>38</v>
      </c>
      <c r="F85" s="63" t="s">
        <v>39</v>
      </c>
      <c r="G85" s="62" t="s">
        <v>36</v>
      </c>
      <c r="H85" s="62" t="s">
        <v>37</v>
      </c>
      <c r="I85" s="62" t="s">
        <v>38</v>
      </c>
      <c r="J85" s="63" t="s">
        <v>39</v>
      </c>
      <c r="K85" s="62" t="s">
        <v>36</v>
      </c>
      <c r="L85" s="62" t="s">
        <v>37</v>
      </c>
      <c r="M85" s="62" t="s">
        <v>38</v>
      </c>
      <c r="N85" s="63" t="s">
        <v>39</v>
      </c>
      <c r="O85" s="56"/>
      <c r="P85" s="64"/>
    </row>
    <row r="86" spans="2:58">
      <c r="B86" s="29" t="s">
        <v>6</v>
      </c>
      <c r="C86" s="65"/>
      <c r="D86" s="76">
        <v>6.0311994574007359</v>
      </c>
      <c r="E86" s="76">
        <v>7.0597301204277141</v>
      </c>
      <c r="F86" s="66">
        <v>4.8</v>
      </c>
      <c r="G86" s="65"/>
      <c r="H86" s="76">
        <v>6.6890349848055601</v>
      </c>
      <c r="I86" s="76">
        <v>7.5749532449553607</v>
      </c>
      <c r="J86" s="66">
        <v>4.8</v>
      </c>
      <c r="K86" s="67"/>
      <c r="L86" s="194">
        <v>0.65833836858006034</v>
      </c>
      <c r="M86" s="194">
        <v>0.88064718162839251</v>
      </c>
      <c r="N86" s="68">
        <v>1</v>
      </c>
      <c r="O86" s="56"/>
      <c r="P86" s="69"/>
    </row>
    <row r="87" spans="2:58">
      <c r="B87" s="33" t="s">
        <v>9</v>
      </c>
      <c r="C87" s="65">
        <f>L77</f>
        <v>9.8517603458925365</v>
      </c>
      <c r="D87" s="76">
        <v>6.757007610915168</v>
      </c>
      <c r="E87" s="76">
        <v>6.988403850977833</v>
      </c>
      <c r="F87" s="66">
        <v>4.8</v>
      </c>
      <c r="G87" s="65">
        <f>[30]February_2025!$O$21</f>
        <v>10.217621708125128</v>
      </c>
      <c r="H87" s="76">
        <v>6.5375947475495648</v>
      </c>
      <c r="I87" s="76">
        <v>6.7136692866007346</v>
      </c>
      <c r="J87" s="66">
        <v>4.8</v>
      </c>
      <c r="K87" s="67">
        <f>K77</f>
        <v>0.32433333333333331</v>
      </c>
      <c r="L87" s="194">
        <v>0.61874509803921562</v>
      </c>
      <c r="M87" s="194">
        <v>0.76026995305164313</v>
      </c>
      <c r="N87" s="68">
        <v>1</v>
      </c>
      <c r="P87" s="69"/>
    </row>
    <row r="88" spans="2:58">
      <c r="B88" s="34" t="s">
        <v>40</v>
      </c>
      <c r="C88" s="65">
        <f>L75</f>
        <v>14.649681528662414</v>
      </c>
      <c r="D88" s="76">
        <v>18.424242424242422</v>
      </c>
      <c r="E88" s="76">
        <v>10.267721899059792</v>
      </c>
      <c r="F88" s="66">
        <v>5.5</v>
      </c>
      <c r="G88" s="65">
        <f>[30]February_2025!$O$32</f>
        <v>14.649681528662425</v>
      </c>
      <c r="H88" s="76">
        <v>21.637412985719546</v>
      </c>
      <c r="I88" s="76">
        <v>14.272233479232913</v>
      </c>
      <c r="J88" s="66">
        <v>5.5</v>
      </c>
      <c r="K88" s="67">
        <f>K75</f>
        <v>3.1345029239766085E-2</v>
      </c>
      <c r="L88" s="194">
        <v>0.20111111111111113</v>
      </c>
      <c r="M88" s="194">
        <v>0.48050682261208577</v>
      </c>
      <c r="N88" s="68">
        <v>1</v>
      </c>
      <c r="P88" s="69"/>
    </row>
    <row r="89" spans="2:58">
      <c r="B89" s="22" t="s">
        <v>33</v>
      </c>
      <c r="C89" s="65"/>
      <c r="D89" s="76"/>
      <c r="E89" s="76">
        <v>3.4056869935468166</v>
      </c>
      <c r="F89" s="66">
        <v>3.3</v>
      </c>
      <c r="G89" s="65"/>
      <c r="H89" s="76"/>
      <c r="I89" s="76">
        <v>5.1745103450267944</v>
      </c>
      <c r="J89" s="66">
        <v>3.3</v>
      </c>
      <c r="K89" s="67"/>
      <c r="L89" s="194"/>
      <c r="M89" s="194">
        <v>0.84666666666666657</v>
      </c>
      <c r="N89" s="68">
        <v>1</v>
      </c>
      <c r="P89" s="69"/>
    </row>
    <row r="90" spans="2:58">
      <c r="B90" s="35" t="s">
        <v>29</v>
      </c>
      <c r="C90" s="65"/>
      <c r="D90" s="76"/>
      <c r="E90" s="76">
        <v>8.8295687885010352</v>
      </c>
      <c r="F90" s="66">
        <v>3.3</v>
      </c>
      <c r="G90" s="282"/>
      <c r="H90" s="76"/>
      <c r="I90" s="76"/>
      <c r="J90" s="66">
        <v>3</v>
      </c>
      <c r="K90" s="67"/>
      <c r="L90" s="194"/>
      <c r="M90" s="194"/>
      <c r="N90" s="68">
        <v>1</v>
      </c>
      <c r="P90" s="69"/>
    </row>
    <row r="91" spans="2:58">
      <c r="B91" s="36" t="s">
        <v>15</v>
      </c>
      <c r="C91" s="282"/>
      <c r="D91" s="76"/>
      <c r="E91" s="76">
        <v>9.9698850155137997</v>
      </c>
      <c r="F91" s="70">
        <f>[21]May_2022!$M$43</f>
        <v>3.4878406700073312</v>
      </c>
      <c r="G91" s="282"/>
      <c r="H91" s="76"/>
      <c r="I91" s="76">
        <v>10.607235567685406</v>
      </c>
      <c r="J91" s="70">
        <v>5.5</v>
      </c>
      <c r="K91" s="67"/>
      <c r="L91" s="194"/>
      <c r="M91" s="194">
        <v>0.66824561403508764</v>
      </c>
      <c r="N91" s="68">
        <v>1</v>
      </c>
      <c r="P91" s="69"/>
    </row>
    <row r="92" spans="2:58">
      <c r="B92" s="37" t="s">
        <v>16</v>
      </c>
      <c r="C92" s="65">
        <f>L79</f>
        <v>3.3333333333333082</v>
      </c>
      <c r="D92" s="76">
        <v>3.4935897435897187</v>
      </c>
      <c r="E92" s="76">
        <v>9.7384319083441593</v>
      </c>
      <c r="F92" s="66">
        <v>3.3</v>
      </c>
      <c r="G92" s="282">
        <f>[30]February_2025!$O$63</f>
        <v>5.2583423035521699</v>
      </c>
      <c r="H92" s="76">
        <v>5.4154073859401723</v>
      </c>
      <c r="I92" s="76">
        <v>4.651876157828343</v>
      </c>
      <c r="J92" s="70">
        <v>3.3</v>
      </c>
      <c r="K92" s="67">
        <f>K79</f>
        <v>1.0053333333333334</v>
      </c>
      <c r="L92" s="194">
        <v>1.0036666666666667</v>
      </c>
      <c r="M92" s="194">
        <v>0.80367816091954025</v>
      </c>
      <c r="N92" s="71">
        <v>1</v>
      </c>
      <c r="P92" s="69"/>
    </row>
    <row r="93" spans="2:58" ht="14.4" thickBot="1">
      <c r="B93" s="468" t="s">
        <v>127</v>
      </c>
      <c r="C93" s="65"/>
      <c r="D93" s="76"/>
      <c r="E93" s="76">
        <v>14.011127971674247</v>
      </c>
      <c r="F93" s="70">
        <v>7.5</v>
      </c>
      <c r="G93" s="282"/>
      <c r="H93" s="76"/>
      <c r="I93" s="76"/>
      <c r="J93" s="72">
        <v>7.5</v>
      </c>
      <c r="K93" s="67"/>
      <c r="L93" s="194"/>
      <c r="M93" s="194"/>
      <c r="N93" s="71">
        <v>1</v>
      </c>
      <c r="P93" s="69"/>
    </row>
    <row r="94" spans="2:58" ht="14.4" thickBot="1">
      <c r="B94" s="467" t="s">
        <v>134</v>
      </c>
      <c r="C94" s="434"/>
      <c r="D94" s="76">
        <v>4.8792508624938291</v>
      </c>
      <c r="E94" s="76">
        <v>14.231605698506955</v>
      </c>
      <c r="F94" s="66">
        <v>5.5</v>
      </c>
      <c r="G94" s="282"/>
      <c r="H94" s="76">
        <v>6.2003723782925313</v>
      </c>
      <c r="I94" s="76">
        <v>6.2003723782925313</v>
      </c>
      <c r="J94" s="433">
        <v>5.5</v>
      </c>
      <c r="K94" s="67"/>
      <c r="L94" s="194">
        <v>1</v>
      </c>
      <c r="M94" s="194">
        <v>0.67719298245614035</v>
      </c>
      <c r="N94" s="71">
        <v>1</v>
      </c>
      <c r="P94" s="69"/>
    </row>
    <row r="95" spans="2:58">
      <c r="C95" s="282"/>
      <c r="D95" s="76">
        <v>14.231605698506955</v>
      </c>
      <c r="E95" s="76">
        <v>7.3194506983208703</v>
      </c>
      <c r="F95" s="341">
        <v>4.5</v>
      </c>
      <c r="G95" s="282"/>
      <c r="H95" s="76">
        <v>8.4661828272793489</v>
      </c>
      <c r="I95" s="76">
        <v>7.7354297533313865</v>
      </c>
      <c r="J95" s="342">
        <v>5</v>
      </c>
      <c r="K95" s="67"/>
      <c r="L95" s="194">
        <v>0.58164623467600696</v>
      </c>
      <c r="M95" s="194">
        <v>0.58164623467600696</v>
      </c>
      <c r="N95" s="386">
        <v>1</v>
      </c>
      <c r="O95" s="74"/>
      <c r="P95" s="75"/>
    </row>
    <row r="100" spans="6:30">
      <c r="F100" s="315"/>
    </row>
    <row r="108" spans="6:30">
      <c r="AD108" s="275" t="s">
        <v>57</v>
      </c>
    </row>
  </sheetData>
  <mergeCells count="54">
    <mergeCell ref="M73:M74"/>
    <mergeCell ref="B84:F84"/>
    <mergeCell ref="G84:J84"/>
    <mergeCell ref="K84:N84"/>
    <mergeCell ref="B46:B47"/>
    <mergeCell ref="B48:B57"/>
    <mergeCell ref="D46:E46"/>
    <mergeCell ref="D47:E47"/>
    <mergeCell ref="G73:G74"/>
    <mergeCell ref="H73:H74"/>
    <mergeCell ref="I73:I74"/>
    <mergeCell ref="J73:J74"/>
    <mergeCell ref="K73:K74"/>
    <mergeCell ref="L73:L74"/>
    <mergeCell ref="D68:E68"/>
    <mergeCell ref="B73:B74"/>
    <mergeCell ref="C73:C74"/>
    <mergeCell ref="D73:D74"/>
    <mergeCell ref="E73:E74"/>
    <mergeCell ref="F73:F74"/>
    <mergeCell ref="B58:B67"/>
    <mergeCell ref="D58:E59"/>
    <mergeCell ref="D66:E67"/>
    <mergeCell ref="J58:K58"/>
    <mergeCell ref="L59:N59"/>
    <mergeCell ref="D60:E61"/>
    <mergeCell ref="D62:E63"/>
    <mergeCell ref="D64:E65"/>
    <mergeCell ref="D54:E55"/>
    <mergeCell ref="D56:E57"/>
    <mergeCell ref="J8:J9"/>
    <mergeCell ref="K8:K9"/>
    <mergeCell ref="L8:L9"/>
    <mergeCell ref="I44:N44"/>
    <mergeCell ref="D45:E45"/>
    <mergeCell ref="D48:E49"/>
    <mergeCell ref="D50:E51"/>
    <mergeCell ref="D52:E53"/>
    <mergeCell ref="Z1:AA1"/>
    <mergeCell ref="B2:O2"/>
    <mergeCell ref="O8:O9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  <mergeCell ref="V1:W1"/>
    <mergeCell ref="X1:Y1"/>
  </mergeCells>
  <conditionalFormatting sqref="B68:B69">
    <cfRule type="cellIs" dxfId="2309" priority="193" operator="notBetween">
      <formula>#REF!</formula>
      <formula>#REF!</formula>
    </cfRule>
  </conditionalFormatting>
  <conditionalFormatting sqref="C72">
    <cfRule type="cellIs" dxfId="2308" priority="225" stopIfTrue="1" operator="greaterThan">
      <formula>100</formula>
    </cfRule>
    <cfRule type="cellIs" dxfId="2307" priority="224" stopIfTrue="1" operator="lessThan">
      <formula>96</formula>
    </cfRule>
  </conditionalFormatting>
  <conditionalFormatting sqref="C86">
    <cfRule type="cellIs" dxfId="2306" priority="119" stopIfTrue="1" operator="greaterThan">
      <formula>$F86</formula>
    </cfRule>
  </conditionalFormatting>
  <conditionalFormatting sqref="C86:C87">
    <cfRule type="cellIs" dxfId="2305" priority="120" stopIfTrue="1" operator="lessThanOrEqual">
      <formula>0</formula>
    </cfRule>
  </conditionalFormatting>
  <conditionalFormatting sqref="C87">
    <cfRule type="cellIs" dxfId="2304" priority="228" stopIfTrue="1" operator="greaterThan">
      <formula>$F86</formula>
    </cfRule>
  </conditionalFormatting>
  <conditionalFormatting sqref="C88:C90">
    <cfRule type="cellIs" dxfId="2303" priority="148" stopIfTrue="1" operator="greaterThan">
      <formula>$F88</formula>
    </cfRule>
  </conditionalFormatting>
  <conditionalFormatting sqref="C88:C91">
    <cfRule type="cellIs" dxfId="2302" priority="171" stopIfTrue="1" operator="lessThanOrEqual">
      <formula>0</formula>
    </cfRule>
  </conditionalFormatting>
  <conditionalFormatting sqref="C91">
    <cfRule type="cellIs" dxfId="2301" priority="170" stopIfTrue="1" operator="greaterThan">
      <formula>$J91</formula>
    </cfRule>
  </conditionalFormatting>
  <conditionalFormatting sqref="C95">
    <cfRule type="cellIs" dxfId="2300" priority="84" stopIfTrue="1" operator="greaterThan">
      <formula>$J95</formula>
    </cfRule>
    <cfRule type="cellIs" dxfId="2299" priority="85" stopIfTrue="1" operator="lessThanOrEqual">
      <formula>0</formula>
    </cfRule>
  </conditionalFormatting>
  <conditionalFormatting sqref="C98:C102">
    <cfRule type="cellIs" dxfId="2298" priority="216" stopIfTrue="1" operator="lessThanOrEqual">
      <formula>0</formula>
    </cfRule>
  </conditionalFormatting>
  <conditionalFormatting sqref="C99:C102">
    <cfRule type="cellIs" dxfId="2297" priority="215" stopIfTrue="1" operator="greaterThan">
      <formula>$F$98</formula>
    </cfRule>
  </conditionalFormatting>
  <conditionalFormatting sqref="C104">
    <cfRule type="cellIs" dxfId="2296" priority="218" stopIfTrue="1" operator="lessThanOrEqual">
      <formula>0</formula>
    </cfRule>
    <cfRule type="cellIs" dxfId="2295" priority="217" stopIfTrue="1" operator="greaterThan">
      <formula>$F$98</formula>
    </cfRule>
  </conditionalFormatting>
  <conditionalFormatting sqref="C98:D98 D100:D106">
    <cfRule type="cellIs" dxfId="2294" priority="210" stopIfTrue="1" operator="greaterThan">
      <formula>4.5</formula>
    </cfRule>
  </conditionalFormatting>
  <conditionalFormatting sqref="D68:D69">
    <cfRule type="cellIs" dxfId="2293" priority="194" operator="notBetween">
      <formula>#REF!</formula>
      <formula>#REF!</formula>
    </cfRule>
  </conditionalFormatting>
  <conditionalFormatting sqref="D86:D94">
    <cfRule type="cellIs" dxfId="2292" priority="183" stopIfTrue="1" operator="lessThanOrEqual">
      <formula>0</formula>
    </cfRule>
  </conditionalFormatting>
  <conditionalFormatting sqref="D95">
    <cfRule type="cellIs" dxfId="2291" priority="182" stopIfTrue="1" operator="lessThanOrEqual">
      <formula>0</formula>
    </cfRule>
  </conditionalFormatting>
  <conditionalFormatting sqref="D98 D100:D106">
    <cfRule type="cellIs" dxfId="2290" priority="211" stopIfTrue="1" operator="lessThanOrEqual">
      <formula>0</formula>
    </cfRule>
  </conditionalFormatting>
  <conditionalFormatting sqref="D99">
    <cfRule type="cellIs" dxfId="2289" priority="203" stopIfTrue="1" operator="lessThanOrEqual">
      <formula>0</formula>
    </cfRule>
    <cfRule type="cellIs" dxfId="2288" priority="202" stopIfTrue="1" operator="greaterThan">
      <formula>$F$98</formula>
    </cfRule>
  </conditionalFormatting>
  <conditionalFormatting sqref="D86:E95">
    <cfRule type="cellIs" dxfId="2287" priority="175" stopIfTrue="1" operator="greaterThan">
      <formula>$F86</formula>
    </cfRule>
  </conditionalFormatting>
  <conditionalFormatting sqref="E10:E43">
    <cfRule type="cellIs" dxfId="2286" priority="80" operator="lessThan">
      <formula>48</formula>
    </cfRule>
  </conditionalFormatting>
  <conditionalFormatting sqref="E72">
    <cfRule type="cellIs" dxfId="2285" priority="205" stopIfTrue="1" operator="greaterThan">
      <formula>100</formula>
    </cfRule>
    <cfRule type="cellIs" dxfId="2284" priority="204" stopIfTrue="1" operator="lessThan">
      <formula>96.8</formula>
    </cfRule>
  </conditionalFormatting>
  <conditionalFormatting sqref="E86:E95">
    <cfRule type="cellIs" dxfId="2283" priority="176" stopIfTrue="1" operator="lessThanOrEqual">
      <formula>0</formula>
    </cfRule>
  </conditionalFormatting>
  <conditionalFormatting sqref="E98:E106">
    <cfRule type="cellIs" dxfId="2282" priority="196" stopIfTrue="1" operator="greaterThan">
      <formula>4.5</formula>
    </cfRule>
    <cfRule type="cellIs" dxfId="2281" priority="197" stopIfTrue="1" operator="lessThanOrEqual">
      <formula>0</formula>
    </cfRule>
  </conditionalFormatting>
  <conditionalFormatting sqref="E71:F72">
    <cfRule type="cellIs" dxfId="2280" priority="206" stopIfTrue="1" operator="lessThan">
      <formula>96.5</formula>
    </cfRule>
    <cfRule type="cellIs" dxfId="2279" priority="207" stopIfTrue="1" operator="greaterThan">
      <formula>100</formula>
    </cfRule>
  </conditionalFormatting>
  <conditionalFormatting sqref="F10:F28">
    <cfRule type="cellIs" dxfId="2278" priority="82" operator="greaterThan">
      <formula>60</formula>
    </cfRule>
  </conditionalFormatting>
  <conditionalFormatting sqref="F29">
    <cfRule type="cellIs" dxfId="2277" priority="246" operator="greaterThan">
      <formula>$AA29</formula>
    </cfRule>
    <cfRule type="cellIs" dxfId="2276" priority="247" operator="greaterThan">
      <formula>$AA81</formula>
    </cfRule>
  </conditionalFormatting>
  <conditionalFormatting sqref="F30:F42">
    <cfRule type="cellIs" dxfId="2275" priority="104" operator="greaterThan">
      <formula>60</formula>
    </cfRule>
  </conditionalFormatting>
  <conditionalFormatting sqref="F43">
    <cfRule type="cellIs" dxfId="2274" priority="249" operator="greaterThan">
      <formula>$AA83</formula>
    </cfRule>
    <cfRule type="cellIs" dxfId="2273" priority="248" operator="greaterThan">
      <formula>$AA43</formula>
    </cfRule>
  </conditionalFormatting>
  <conditionalFormatting sqref="F72">
    <cfRule type="cellIs" dxfId="2272" priority="223" stopIfTrue="1" operator="greaterThan">
      <formula>100</formula>
    </cfRule>
    <cfRule type="cellIs" dxfId="2271" priority="222" stopIfTrue="1" operator="lessThan">
      <formula>96.8</formula>
    </cfRule>
  </conditionalFormatting>
  <conditionalFormatting sqref="F95">
    <cfRule type="cellIs" dxfId="2270" priority="178" stopIfTrue="1" operator="lessThanOrEqual">
      <formula>0</formula>
    </cfRule>
    <cfRule type="cellIs" dxfId="2269" priority="177" stopIfTrue="1" operator="greaterThan">
      <formula>$F95</formula>
    </cfRule>
  </conditionalFormatting>
  <conditionalFormatting sqref="G86:G87 C92:C94">
    <cfRule type="cellIs" dxfId="2268" priority="184" stopIfTrue="1" operator="greaterThan">
      <formula>$F86</formula>
    </cfRule>
    <cfRule type="cellIs" dxfId="2267" priority="185" stopIfTrue="1" operator="lessThanOrEqual">
      <formula>0</formula>
    </cfRule>
  </conditionalFormatting>
  <conditionalFormatting sqref="G86:G87">
    <cfRule type="cellIs" dxfId="2266" priority="127" stopIfTrue="1" operator="lessThanOrEqual">
      <formula>0</formula>
    </cfRule>
    <cfRule type="cellIs" dxfId="2265" priority="126" stopIfTrue="1" operator="greaterThan">
      <formula>$F86</formula>
    </cfRule>
  </conditionalFormatting>
  <conditionalFormatting sqref="G88">
    <cfRule type="cellIs" dxfId="2264" priority="227" stopIfTrue="1" operator="lessThanOrEqual">
      <formula>0</formula>
    </cfRule>
    <cfRule type="cellIs" dxfId="2263" priority="226" stopIfTrue="1" operator="greaterThan">
      <formula>$F87</formula>
    </cfRule>
  </conditionalFormatting>
  <conditionalFormatting sqref="G89">
    <cfRule type="cellIs" dxfId="2262" priority="180" stopIfTrue="1" operator="lessThanOrEqual">
      <formula>0</formula>
    </cfRule>
    <cfRule type="cellIs" dxfId="2261" priority="179" stopIfTrue="1" operator="greaterThan">
      <formula>$F89</formula>
    </cfRule>
  </conditionalFormatting>
  <conditionalFormatting sqref="G90:G95">
    <cfRule type="cellIs" dxfId="2260" priority="186" stopIfTrue="1" operator="greaterThan">
      <formula>$J90</formula>
    </cfRule>
    <cfRule type="cellIs" dxfId="2259" priority="187" stopIfTrue="1" operator="lessThanOrEqual">
      <formula>0</formula>
    </cfRule>
  </conditionalFormatting>
  <conditionalFormatting sqref="G100:G105 C103 C105">
    <cfRule type="cellIs" dxfId="2258" priority="220" stopIfTrue="1" operator="lessThanOrEqual">
      <formula>0</formula>
    </cfRule>
    <cfRule type="cellIs" dxfId="2257" priority="219" stopIfTrue="1" operator="greaterThan">
      <formula>4.5</formula>
    </cfRule>
  </conditionalFormatting>
  <conditionalFormatting sqref="G10:H43">
    <cfRule type="expression" dxfId="2256" priority="83">
      <formula>IF(+(IF(G10&lt;#REF!,0,IF(G10&gt;#REF!,0,1)))=0,1)</formula>
    </cfRule>
  </conditionalFormatting>
  <conditionalFormatting sqref="G99:H99">
    <cfRule type="cellIs" dxfId="2255" priority="201" stopIfTrue="1" operator="lessThanOrEqual">
      <formula>0</formula>
    </cfRule>
    <cfRule type="cellIs" dxfId="2254" priority="200" stopIfTrue="1" operator="greaterThan">
      <formula>$F$98</formula>
    </cfRule>
  </conditionalFormatting>
  <conditionalFormatting sqref="H47:H70 G58:G69">
    <cfRule type="cellIs" dxfId="2253" priority="198" stopIfTrue="1" operator="greaterThan">
      <formula>0</formula>
    </cfRule>
  </conditionalFormatting>
  <conditionalFormatting sqref="H75 H81">
    <cfRule type="cellIs" dxfId="2252" priority="53" stopIfTrue="1" operator="greaterThan">
      <formula>$F$89</formula>
    </cfRule>
    <cfRule type="cellIs" dxfId="2251" priority="54" stopIfTrue="1" operator="lessThanOrEqual">
      <formula>0</formula>
    </cfRule>
    <cfRule type="cellIs" dxfId="2250" priority="55" stopIfTrue="1" operator="greaterThan">
      <formula>$F$87</formula>
    </cfRule>
    <cfRule type="cellIs" dxfId="2249" priority="56" stopIfTrue="1" operator="lessThanOrEqual">
      <formula>0</formula>
    </cfRule>
    <cfRule type="cellIs" dxfId="2248" priority="44" stopIfTrue="1" operator="lessThanOrEqual">
      <formula>0</formula>
    </cfRule>
  </conditionalFormatting>
  <conditionalFormatting sqref="H75 H81:I81">
    <cfRule type="cellIs" dxfId="2247" priority="45" stopIfTrue="1" operator="greaterThan">
      <formula>$F$86</formula>
    </cfRule>
  </conditionalFormatting>
  <conditionalFormatting sqref="H76">
    <cfRule type="cellIs" dxfId="2246" priority="41" stopIfTrue="1" operator="greaterThan">
      <formula>$F$86</formula>
    </cfRule>
    <cfRule type="cellIs" dxfId="2245" priority="30" stopIfTrue="1" operator="lessThanOrEqual">
      <formula>0</formula>
    </cfRule>
    <cfRule type="cellIs" dxfId="2244" priority="40" stopIfTrue="1" operator="lessThanOrEqual">
      <formula>0</formula>
    </cfRule>
    <cfRule type="cellIs" dxfId="2243" priority="39" stopIfTrue="1" operator="greaterThan">
      <formula>$F$88</formula>
    </cfRule>
    <cfRule type="cellIs" dxfId="2242" priority="42" stopIfTrue="1" operator="lessThanOrEqual">
      <formula>0</formula>
    </cfRule>
    <cfRule type="cellIs" dxfId="2241" priority="31" stopIfTrue="1" operator="greaterThan">
      <formula>$F$85</formula>
    </cfRule>
  </conditionalFormatting>
  <conditionalFormatting sqref="H77">
    <cfRule type="cellIs" dxfId="2240" priority="14" stopIfTrue="1" operator="lessThanOrEqual">
      <formula>0</formula>
    </cfRule>
    <cfRule type="cellIs" dxfId="2239" priority="13" stopIfTrue="1" operator="greaterThan">
      <formula>$F$62</formula>
    </cfRule>
    <cfRule type="cellIs" dxfId="2238" priority="3" stopIfTrue="1" operator="greaterThan">
      <formula>$F$61</formula>
    </cfRule>
    <cfRule type="cellIs" dxfId="2237" priority="12" stopIfTrue="1" operator="lessThanOrEqual">
      <formula>0</formula>
    </cfRule>
    <cfRule type="cellIs" dxfId="2236" priority="2" stopIfTrue="1" operator="lessThanOrEqual">
      <formula>0</formula>
    </cfRule>
    <cfRule type="cellIs" dxfId="2235" priority="11" stopIfTrue="1" operator="greaterThan">
      <formula>$F$64</formula>
    </cfRule>
  </conditionalFormatting>
  <conditionalFormatting sqref="H78">
    <cfRule type="cellIs" dxfId="2234" priority="147" stopIfTrue="1" operator="lessThanOrEqual">
      <formula>0</formula>
    </cfRule>
    <cfRule type="cellIs" dxfId="2233" priority="145" stopIfTrue="1" operator="lessThanOrEqual">
      <formula>0</formula>
    </cfRule>
    <cfRule type="cellIs" dxfId="2232" priority="144" stopIfTrue="1" operator="greaterThan">
      <formula>$F$88</formula>
    </cfRule>
    <cfRule type="cellIs" dxfId="2231" priority="136" stopIfTrue="1" operator="greaterThan">
      <formula>$F$85</formula>
    </cfRule>
    <cfRule type="cellIs" dxfId="2230" priority="146" stopIfTrue="1" operator="greaterThan">
      <formula>$F$86</formula>
    </cfRule>
    <cfRule type="cellIs" dxfId="2229" priority="135" stopIfTrue="1" operator="lessThanOrEqual">
      <formula>0</formula>
    </cfRule>
  </conditionalFormatting>
  <conditionalFormatting sqref="H79">
    <cfRule type="cellIs" dxfId="2228" priority="26" stopIfTrue="1" operator="lessThanOrEqual">
      <formula>0</formula>
    </cfRule>
    <cfRule type="cellIs" dxfId="2227" priority="27" stopIfTrue="1" operator="greaterThan">
      <formula>$F$62</formula>
    </cfRule>
    <cfRule type="cellIs" dxfId="2226" priority="28" stopIfTrue="1" operator="lessThanOrEqual">
      <formula>0</formula>
    </cfRule>
    <cfRule type="cellIs" dxfId="2225" priority="16" stopIfTrue="1" operator="lessThanOrEqual">
      <formula>0</formula>
    </cfRule>
    <cfRule type="cellIs" dxfId="2224" priority="17" stopIfTrue="1" operator="greaterThan">
      <formula>$F$61</formula>
    </cfRule>
    <cfRule type="cellIs" dxfId="2223" priority="25" stopIfTrue="1" operator="greaterThan">
      <formula>$F$64</formula>
    </cfRule>
  </conditionalFormatting>
  <conditionalFormatting sqref="H80">
    <cfRule type="cellIs" dxfId="2222" priority="117" stopIfTrue="1" operator="lessThanOrEqual">
      <formula>0</formula>
    </cfRule>
    <cfRule type="cellIs" dxfId="2221" priority="116" stopIfTrue="1" operator="greaterThan">
      <formula>#REF!</formula>
    </cfRule>
    <cfRule type="cellIs" dxfId="2220" priority="108" stopIfTrue="1" operator="greaterThan">
      <formula>#REF!</formula>
    </cfRule>
    <cfRule type="cellIs" dxfId="2219" priority="107" stopIfTrue="1" operator="lessThanOrEqual">
      <formula>0</formula>
    </cfRule>
  </conditionalFormatting>
  <conditionalFormatting sqref="H82">
    <cfRule type="cellIs" dxfId="2218" priority="192" stopIfTrue="1" operator="lessThanOrEqual">
      <formula>0</formula>
    </cfRule>
    <cfRule type="cellIs" dxfId="2217" priority="191" stopIfTrue="1" operator="greaterThan">
      <formula>$F$80</formula>
    </cfRule>
    <cfRule type="cellIs" dxfId="2216" priority="189" stopIfTrue="1" operator="greaterThan">
      <formula>$F$83</formula>
    </cfRule>
    <cfRule type="cellIs" dxfId="2215" priority="190" stopIfTrue="1" operator="lessThanOrEqual">
      <formula>0</formula>
    </cfRule>
  </conditionalFormatting>
  <conditionalFormatting sqref="H86:H94">
    <cfRule type="cellIs" dxfId="2214" priority="169" stopIfTrue="1" operator="lessThanOrEqual">
      <formula>0</formula>
    </cfRule>
    <cfRule type="cellIs" dxfId="2213" priority="168" stopIfTrue="1" operator="greaterThan">
      <formula>$J86</formula>
    </cfRule>
  </conditionalFormatting>
  <conditionalFormatting sqref="H95">
    <cfRule type="cellIs" dxfId="2212" priority="172" operator="greaterThan">
      <formula>5.3</formula>
    </cfRule>
  </conditionalFormatting>
  <conditionalFormatting sqref="H98 H100:H106">
    <cfRule type="cellIs" dxfId="2211" priority="213" stopIfTrue="1" operator="lessThanOrEqual">
      <formula>0</formula>
    </cfRule>
    <cfRule type="cellIs" dxfId="2210" priority="212" stopIfTrue="1" operator="greaterThan">
      <formula>4.5</formula>
    </cfRule>
  </conditionalFormatting>
  <conditionalFormatting sqref="H75:I75 H81:I81">
    <cfRule type="cellIs" dxfId="2209" priority="43" stopIfTrue="1" operator="greaterThan">
      <formula>$F$88</formula>
    </cfRule>
  </conditionalFormatting>
  <conditionalFormatting sqref="H75:I75">
    <cfRule type="cellIs" dxfId="2208" priority="46" stopIfTrue="1" operator="lessThanOrEqual">
      <formula>0</formula>
    </cfRule>
  </conditionalFormatting>
  <conditionalFormatting sqref="H76:I76">
    <cfRule type="cellIs" dxfId="2207" priority="29" stopIfTrue="1" operator="greaterThan">
      <formula>$F$87</formula>
    </cfRule>
    <cfRule type="cellIs" dxfId="2206" priority="32" stopIfTrue="1" operator="lessThanOrEqual">
      <formula>0</formula>
    </cfRule>
  </conditionalFormatting>
  <conditionalFormatting sqref="H77:I77">
    <cfRule type="cellIs" dxfId="2205" priority="1" stopIfTrue="1" operator="greaterThan">
      <formula>$F$63</formula>
    </cfRule>
    <cfRule type="cellIs" dxfId="2204" priority="4" stopIfTrue="1" operator="lessThanOrEqual">
      <formula>0</formula>
    </cfRule>
  </conditionalFormatting>
  <conditionalFormatting sqref="H78:I78">
    <cfRule type="cellIs" dxfId="2203" priority="134" stopIfTrue="1" operator="greaterThan">
      <formula>$F$87</formula>
    </cfRule>
    <cfRule type="cellIs" dxfId="2202" priority="137" stopIfTrue="1" operator="lessThanOrEqual">
      <formula>0</formula>
    </cfRule>
  </conditionalFormatting>
  <conditionalFormatting sqref="H79:I79">
    <cfRule type="cellIs" dxfId="2201" priority="15" stopIfTrue="1" operator="greaterThan">
      <formula>$F$63</formula>
    </cfRule>
    <cfRule type="cellIs" dxfId="2200" priority="18" stopIfTrue="1" operator="lessThanOrEqual">
      <formula>0</formula>
    </cfRule>
  </conditionalFormatting>
  <conditionalFormatting sqref="H80:I80">
    <cfRule type="cellIs" dxfId="2199" priority="106" stopIfTrue="1" operator="greaterThan">
      <formula>#REF!</formula>
    </cfRule>
    <cfRule type="cellIs" dxfId="2198" priority="109" stopIfTrue="1" operator="lessThanOrEqual">
      <formula>0</formula>
    </cfRule>
    <cfRule type="cellIs" dxfId="2197" priority="112" stopIfTrue="1" operator="greaterThan">
      <formula>#REF!</formula>
    </cfRule>
  </conditionalFormatting>
  <conditionalFormatting sqref="H80:I81">
    <cfRule type="cellIs" dxfId="2196" priority="115" stopIfTrue="1" operator="lessThanOrEqual">
      <formula>0</formula>
    </cfRule>
  </conditionalFormatting>
  <conditionalFormatting sqref="I29 I43">
    <cfRule type="cellIs" dxfId="2195" priority="124" operator="lessThan">
      <formula>98</formula>
    </cfRule>
    <cfRule type="cellIs" dxfId="2194" priority="121" operator="lessThan">
      <formula>97.8</formula>
    </cfRule>
  </conditionalFormatting>
  <conditionalFormatting sqref="I75 I81">
    <cfRule type="cellIs" dxfId="2193" priority="48" stopIfTrue="1" operator="lessThanOrEqual">
      <formula>0</formula>
    </cfRule>
    <cfRule type="cellIs" dxfId="2192" priority="49" stopIfTrue="1" operator="greaterThan">
      <formula>$F$88</formula>
    </cfRule>
    <cfRule type="cellIs" dxfId="2191" priority="50" stopIfTrue="1" operator="lessThanOrEqual">
      <formula>0</formula>
    </cfRule>
    <cfRule type="cellIs" dxfId="2190" priority="51" stopIfTrue="1" operator="greaterThan">
      <formula>$F$86</formula>
    </cfRule>
    <cfRule type="cellIs" dxfId="2189" priority="52" stopIfTrue="1" operator="lessThanOrEqual">
      <formula>0</formula>
    </cfRule>
  </conditionalFormatting>
  <conditionalFormatting sqref="I75">
    <cfRule type="cellIs" dxfId="2188" priority="47" stopIfTrue="1" operator="greaterThan">
      <formula>$F$86</formula>
    </cfRule>
  </conditionalFormatting>
  <conditionalFormatting sqref="I76">
    <cfRule type="cellIs" dxfId="2187" priority="36" stopIfTrue="1" operator="lessThanOrEqual">
      <formula>0</formula>
    </cfRule>
    <cfRule type="cellIs" dxfId="2186" priority="33" stopIfTrue="1" operator="greaterThan">
      <formula>$F$85</formula>
    </cfRule>
    <cfRule type="cellIs" dxfId="2185" priority="35" stopIfTrue="1" operator="greaterThan">
      <formula>$F$87</formula>
    </cfRule>
    <cfRule type="cellIs" dxfId="2184" priority="34" stopIfTrue="1" operator="lessThanOrEqual">
      <formula>0</formula>
    </cfRule>
    <cfRule type="cellIs" dxfId="2183" priority="38" stopIfTrue="1" operator="lessThanOrEqual">
      <formula>0</formula>
    </cfRule>
    <cfRule type="cellIs" dxfId="2182" priority="37" stopIfTrue="1" operator="greaterThan">
      <formula>$F$85</formula>
    </cfRule>
  </conditionalFormatting>
  <conditionalFormatting sqref="I77">
    <cfRule type="cellIs" dxfId="2181" priority="10" stopIfTrue="1" operator="lessThanOrEqual">
      <formula>0</formula>
    </cfRule>
    <cfRule type="cellIs" dxfId="2180" priority="9" stopIfTrue="1" operator="greaterThan">
      <formula>$F$61</formula>
    </cfRule>
    <cfRule type="cellIs" dxfId="2179" priority="8" stopIfTrue="1" operator="lessThanOrEqual">
      <formula>0</formula>
    </cfRule>
    <cfRule type="cellIs" dxfId="2178" priority="7" stopIfTrue="1" operator="greaterThan">
      <formula>$F$63</formula>
    </cfRule>
    <cfRule type="cellIs" dxfId="2177" priority="6" stopIfTrue="1" operator="lessThanOrEqual">
      <formula>0</formula>
    </cfRule>
    <cfRule type="cellIs" dxfId="2176" priority="5" stopIfTrue="1" operator="greaterThan">
      <formula>$F$61</formula>
    </cfRule>
  </conditionalFormatting>
  <conditionalFormatting sqref="I78">
    <cfRule type="cellIs" dxfId="2175" priority="143" stopIfTrue="1" operator="lessThanOrEqual">
      <formula>0</formula>
    </cfRule>
    <cfRule type="cellIs" dxfId="2174" priority="142" stopIfTrue="1" operator="greaterThan">
      <formula>$F$85</formula>
    </cfRule>
    <cfRule type="cellIs" dxfId="2173" priority="141" stopIfTrue="1" operator="lessThanOrEqual">
      <formula>0</formula>
    </cfRule>
    <cfRule type="cellIs" dxfId="2172" priority="140" stopIfTrue="1" operator="greaterThan">
      <formula>$F$87</formula>
    </cfRule>
    <cfRule type="cellIs" dxfId="2171" priority="139" stopIfTrue="1" operator="lessThanOrEqual">
      <formula>0</formula>
    </cfRule>
    <cfRule type="cellIs" dxfId="2170" priority="138" stopIfTrue="1" operator="greaterThan">
      <formula>$F$85</formula>
    </cfRule>
  </conditionalFormatting>
  <conditionalFormatting sqref="I79">
    <cfRule type="cellIs" dxfId="2169" priority="24" stopIfTrue="1" operator="lessThanOrEqual">
      <formula>0</formula>
    </cfRule>
    <cfRule type="cellIs" dxfId="2168" priority="23" stopIfTrue="1" operator="greaterThan">
      <formula>$F$61</formula>
    </cfRule>
    <cfRule type="cellIs" dxfId="2167" priority="22" stopIfTrue="1" operator="lessThanOrEqual">
      <formula>0</formula>
    </cfRule>
    <cfRule type="cellIs" dxfId="2166" priority="21" stopIfTrue="1" operator="greaterThan">
      <formula>$F$63</formula>
    </cfRule>
    <cfRule type="cellIs" dxfId="2165" priority="20" stopIfTrue="1" operator="lessThanOrEqual">
      <formula>0</formula>
    </cfRule>
    <cfRule type="cellIs" dxfId="2164" priority="19" stopIfTrue="1" operator="greaterThan">
      <formula>$F$61</formula>
    </cfRule>
  </conditionalFormatting>
  <conditionalFormatting sqref="I80">
    <cfRule type="cellIs" dxfId="2163" priority="111" stopIfTrue="1" operator="lessThanOrEqual">
      <formula>0</formula>
    </cfRule>
    <cfRule type="cellIs" dxfId="2162" priority="114" stopIfTrue="1" operator="greaterThan">
      <formula>#REF!</formula>
    </cfRule>
    <cfRule type="cellIs" dxfId="2161" priority="113" stopIfTrue="1" operator="lessThanOrEqual">
      <formula>0</formula>
    </cfRule>
    <cfRule type="cellIs" dxfId="2160" priority="110" stopIfTrue="1" operator="greaterThan">
      <formula>#REF!</formula>
    </cfRule>
  </conditionalFormatting>
  <conditionalFormatting sqref="I86:I95">
    <cfRule type="cellIs" dxfId="2159" priority="173" stopIfTrue="1" operator="greaterThan">
      <formula>$J86</formula>
    </cfRule>
    <cfRule type="cellIs" dxfId="2158" priority="174" stopIfTrue="1" operator="lessThanOrEqual">
      <formula>0</formula>
    </cfRule>
  </conditionalFormatting>
  <conditionalFormatting sqref="I98:I106">
    <cfRule type="cellIs" dxfId="2157" priority="209" stopIfTrue="1" operator="lessThanOrEqual">
      <formula>0</formula>
    </cfRule>
    <cfRule type="cellIs" dxfId="2156" priority="208" stopIfTrue="1" operator="greaterThan">
      <formula>4.5</formula>
    </cfRule>
  </conditionalFormatting>
  <conditionalFormatting sqref="I10:J28">
    <cfRule type="cellIs" dxfId="2155" priority="72" operator="lessThan">
      <formula>97.9</formula>
    </cfRule>
  </conditionalFormatting>
  <conditionalFormatting sqref="I30:J42">
    <cfRule type="cellIs" dxfId="2154" priority="105" operator="lessThan">
      <formula>97.9</formula>
    </cfRule>
  </conditionalFormatting>
  <conditionalFormatting sqref="J29 J43">
    <cfRule type="cellIs" dxfId="2153" priority="122" operator="notBetween">
      <formula>98</formula>
      <formula>99.9</formula>
    </cfRule>
    <cfRule type="cellIs" dxfId="2152" priority="123" operator="lessThan">
      <formula>97.4</formula>
    </cfRule>
  </conditionalFormatting>
  <conditionalFormatting sqref="J46:J48">
    <cfRule type="cellIs" dxfId="2151" priority="151" operator="lessThan">
      <formula>98</formula>
    </cfRule>
    <cfRule type="cellIs" dxfId="2150" priority="149" stopIfTrue="1" operator="lessThan">
      <formula>96.8</formula>
    </cfRule>
    <cfRule type="cellIs" dxfId="2149" priority="150" stopIfTrue="1" operator="greaterThan">
      <formula>100</formula>
    </cfRule>
  </conditionalFormatting>
  <conditionalFormatting sqref="J46:J50">
    <cfRule type="cellIs" dxfId="2148" priority="125" operator="lessThan">
      <formula>97.4</formula>
    </cfRule>
  </conditionalFormatting>
  <conditionalFormatting sqref="J51">
    <cfRule type="cellIs" dxfId="2147" priority="152" operator="lessThan">
      <formula>98</formula>
    </cfRule>
  </conditionalFormatting>
  <conditionalFormatting sqref="J52:J54">
    <cfRule type="cellIs" dxfId="2146" priority="153" stopIfTrue="1" operator="lessThan">
      <formula>96.8</formula>
    </cfRule>
    <cfRule type="cellIs" dxfId="2145" priority="154" stopIfTrue="1" operator="greaterThan">
      <formula>100</formula>
    </cfRule>
  </conditionalFormatting>
  <conditionalFormatting sqref="J52:J55">
    <cfRule type="cellIs" dxfId="2144" priority="155" operator="lessThan">
      <formula>98</formula>
    </cfRule>
  </conditionalFormatting>
  <conditionalFormatting sqref="K10:K43">
    <cfRule type="cellIs" dxfId="2143" priority="76" operator="greaterThan">
      <formula>6</formula>
    </cfRule>
    <cfRule type="cellIs" dxfId="2142" priority="77" operator="lessThan">
      <formula>4</formula>
    </cfRule>
    <cfRule type="cellIs" dxfId="2141" priority="81" operator="greaterThan">
      <formula>6.4</formula>
    </cfRule>
  </conditionalFormatting>
  <conditionalFormatting sqref="K60:K69">
    <cfRule type="cellIs" dxfId="2140" priority="181" operator="notEqual">
      <formula>#REF!</formula>
    </cfRule>
  </conditionalFormatting>
  <conditionalFormatting sqref="K75:K82 K86:N95">
    <cfRule type="cellIs" dxfId="2139" priority="188" stopIfTrue="1" operator="lessThan">
      <formula>100%</formula>
    </cfRule>
  </conditionalFormatting>
  <conditionalFormatting sqref="K98:K103">
    <cfRule type="cellIs" dxfId="2138" priority="214" stopIfTrue="1" operator="lessThan">
      <formula>100%</formula>
    </cfRule>
  </conditionalFormatting>
  <conditionalFormatting sqref="K105:K106">
    <cfRule type="cellIs" dxfId="2137" priority="221" stopIfTrue="1" operator="lessThan">
      <formula>100%</formula>
    </cfRule>
  </conditionalFormatting>
  <conditionalFormatting sqref="L10:L43">
    <cfRule type="cellIs" dxfId="2136" priority="78" operator="between">
      <formula>61</formula>
      <formula>65</formula>
    </cfRule>
    <cfRule type="cellIs" dxfId="2135" priority="79" operator="greaterThan">
      <formula>65</formula>
    </cfRule>
  </conditionalFormatting>
  <conditionalFormatting sqref="L46:M57">
    <cfRule type="cellIs" dxfId="2134" priority="71" operator="lessThan">
      <formula>98</formula>
    </cfRule>
  </conditionalFormatting>
  <conditionalFormatting sqref="L61:N61">
    <cfRule type="cellIs" dxfId="2133" priority="131" operator="notEqual">
      <formula>#REF!</formula>
    </cfRule>
  </conditionalFormatting>
  <conditionalFormatting sqref="L98:N106">
    <cfRule type="cellIs" dxfId="2132" priority="199" stopIfTrue="1" operator="lessThan">
      <formula>100%</formula>
    </cfRule>
  </conditionalFormatting>
  <conditionalFormatting sqref="M10:M19">
    <cfRule type="expression" dxfId="2131" priority="74">
      <formula>IF(+(IF(M10&lt;V10,0,IF(M10&gt;W10,0,1)))=0,1)</formula>
    </cfRule>
  </conditionalFormatting>
  <conditionalFormatting sqref="M20:M22">
    <cfRule type="expression" dxfId="2130" priority="102">
      <formula>IF(+(IF(M20&lt;U20,0,IF(M20&gt;V20,0,1)))=0,1)</formula>
    </cfRule>
  </conditionalFormatting>
  <conditionalFormatting sqref="M23:M43">
    <cfRule type="expression" dxfId="2129" priority="100">
      <formula>IF(+(IF(M23&lt;V23,0,IF(M23&gt;W23,0,1)))=0,1)</formula>
    </cfRule>
  </conditionalFormatting>
  <conditionalFormatting sqref="M6:N6">
    <cfRule type="cellIs" dxfId="2128" priority="132" operator="greaterThanOrEqual">
      <formula>15</formula>
    </cfRule>
    <cfRule type="cellIs" dxfId="2127" priority="133" operator="greaterThanOrEqual">
      <formula>19</formula>
    </cfRule>
  </conditionalFormatting>
  <conditionalFormatting sqref="N10:N19">
    <cfRule type="expression" dxfId="2126" priority="75">
      <formula>IF(+(IF(N10&lt;X10,0,IF(N10&gt;Y10,0,1)))=0,1)</formula>
    </cfRule>
  </conditionalFormatting>
  <conditionalFormatting sqref="N20:N22">
    <cfRule type="expression" dxfId="2125" priority="103">
      <formula>IF(+(IF(N20&lt;W20,0,IF(N20&gt;X20,0,1)))=0,1)</formula>
    </cfRule>
  </conditionalFormatting>
  <conditionalFormatting sqref="N23:N43">
    <cfRule type="expression" dxfId="2124" priority="101">
      <formula>IF(+(IF(N23&lt;X23,0,IF(N23&gt;Y23,0,1)))=0,1)</formula>
    </cfRule>
  </conditionalFormatting>
  <conditionalFormatting sqref="N29">
    <cfRule type="expression" dxfId="2123" priority="230">
      <formula>IF(+(IF(N29&lt;X86,0,IF(N29&gt;Y86,0,1)))=0,1)</formula>
    </cfRule>
    <cfRule type="expression" dxfId="2122" priority="231">
      <formula>IF(+(IF(N29&lt;X81,0,IF(N29&gt;Y81,0,1)))=0,1)</formula>
    </cfRule>
  </conditionalFormatting>
  <conditionalFormatting sqref="N43">
    <cfRule type="expression" dxfId="2121" priority="232">
      <formula>IF(+(IF(N43&lt;X88,0,IF(N43&gt;Y88,0,1)))=0,1)</formula>
    </cfRule>
    <cfRule type="expression" dxfId="2120" priority="233">
      <formula>IF(+(IF(N43&lt;X83,0,IF(N43&gt;Y83,0,1)))=0,1)</formula>
    </cfRule>
  </conditionalFormatting>
  <conditionalFormatting sqref="P6">
    <cfRule type="cellIs" dxfId="2119" priority="195" operator="greaterThanOrEqual">
      <formula>19</formula>
    </cfRule>
  </conditionalFormatting>
  <dataValidations count="1">
    <dataValidation type="list" allowBlank="1" showInputMessage="1" showErrorMessage="1" sqref="S8 B43" xr:uid="{BE9DEBFF-7275-4992-8404-633778B3E0D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0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0D2C-0DB9-4501-8170-B114C99C899D}">
  <sheetPr>
    <pageSetUpPr fitToPage="1"/>
  </sheetPr>
  <dimension ref="A1:BF107"/>
  <sheetViews>
    <sheetView topLeftCell="A71" zoomScale="83" zoomScaleNormal="70" workbookViewId="0">
      <selection activeCell="B90" sqref="B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45701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[22]Brewhouse!$A203</f>
        <v>CA101</v>
      </c>
      <c r="D10" s="279">
        <f>[22]Brewhouse!$AF203</f>
        <v>53.1</v>
      </c>
      <c r="E10" s="279">
        <f>[22]Brewhouse!$AI203</f>
        <v>49.5</v>
      </c>
      <c r="F10" s="278">
        <f>[22]Brewhouse!$V203</f>
        <v>64</v>
      </c>
      <c r="G10" s="279">
        <f>[22]Brewhouse!$AG203</f>
        <v>12</v>
      </c>
      <c r="H10" s="396">
        <v>11.9</v>
      </c>
      <c r="I10" s="368">
        <f>[22]Brewhouse!$AU203</f>
        <v>97.307715934041752</v>
      </c>
      <c r="J10" s="368">
        <f>[22]Brewhouse!$AV203</f>
        <v>101.3921468582564</v>
      </c>
      <c r="K10" s="281">
        <f>[22]Brewhouse!$Q203</f>
        <v>9.6613190730837815</v>
      </c>
      <c r="L10" s="276">
        <f>[22]Brewhouse!$P203</f>
        <v>57</v>
      </c>
      <c r="M10" s="397">
        <f>[22]Brewhouse!$U203-[22]Brewhouse!$T203</f>
        <v>0.14027777777777775</v>
      </c>
      <c r="N10" s="370">
        <f>[22]Brewhouse!$Z203</f>
        <v>0.31597222222222221</v>
      </c>
      <c r="O10" s="371" t="str">
        <f>[22]Brewhouse!$AX203</f>
        <v>R. Sookram</v>
      </c>
      <c r="P10" s="369"/>
      <c r="Q10" s="347"/>
      <c r="S10" s="277" t="str">
        <f t="shared" ref="S10:S20" si="0">B10</f>
        <v>CARIB</v>
      </c>
      <c r="T10" s="296">
        <f t="shared" ref="T10:T20" si="1">VLOOKUP($B10,$S$3:$Y$9,2,FALSE)</f>
        <v>11.6</v>
      </c>
      <c r="U10" s="296">
        <f t="shared" ref="U10:U20" si="2">VLOOKUP($B10,$S$3:$Y$9,3,FALSE)</f>
        <v>12</v>
      </c>
      <c r="V10" s="297">
        <f t="shared" ref="V10:V20" si="3">VLOOKUP($B10,$S$3:$Y$9,4,FALSE)</f>
        <v>0</v>
      </c>
      <c r="W10" s="297">
        <f t="shared" ref="W10:W20" si="4">VLOOKUP($B10,$S$3:$Y$9,5,FALSE)</f>
        <v>0.118055555555556</v>
      </c>
      <c r="X10" s="297">
        <f t="shared" ref="X10:X20" si="5">VLOOKUP($B10,$S$3:$Y$9,6,FALSE)</f>
        <v>0.22569444444444445</v>
      </c>
      <c r="Y10" s="297">
        <f t="shared" ref="Y10:Y20" si="6">VLOOKUP($B10,$S$3:$Y$9,7,FALSE)</f>
        <v>0.2638888888888889</v>
      </c>
      <c r="Z10" s="297">
        <f t="shared" ref="Z10:Z20" si="7">VLOOKUP($B10,$S$3:$AA$9,8,FALSE)</f>
        <v>0</v>
      </c>
      <c r="AA10" s="296">
        <f t="shared" ref="AA10:AA20" si="8">VLOOKUP($B10,$S$3:$AA$9,9,FALSE)</f>
        <v>60</v>
      </c>
    </row>
    <row r="11" spans="2:30" ht="14.4">
      <c r="B11" s="29" t="s">
        <v>6</v>
      </c>
      <c r="C11" s="366" t="str">
        <f>[22]Brewhouse!$A204</f>
        <v>CA102</v>
      </c>
      <c r="D11" s="279">
        <f>[22]Brewhouse!$AF204</f>
        <v>53.1</v>
      </c>
      <c r="E11" s="279">
        <f>[22]Brewhouse!$AI204</f>
        <v>49.8</v>
      </c>
      <c r="F11" s="278">
        <f>[22]Brewhouse!$V204</f>
        <v>55</v>
      </c>
      <c r="G11" s="279">
        <f>[22]Brewhouse!$AG204</f>
        <v>11.8</v>
      </c>
      <c r="H11" s="396">
        <v>11.8</v>
      </c>
      <c r="I11" s="368">
        <f>[22]Brewhouse!$AU204</f>
        <v>93.460879869520596</v>
      </c>
      <c r="J11" s="368">
        <f>[22]Brewhouse!$AV204</f>
        <v>97.388849467695977</v>
      </c>
      <c r="K11" s="281">
        <f>[22]Brewhouse!$Q204</f>
        <v>6.2969588550983833</v>
      </c>
      <c r="L11" s="276">
        <f>[22]Brewhouse!$P204</f>
        <v>60</v>
      </c>
      <c r="M11" s="397">
        <f>[22]Brewhouse!$U204-[22]Brewhouse!$T204</f>
        <v>0.10694444444444445</v>
      </c>
      <c r="N11" s="370">
        <f>[22]Brewhouse!$Z204</f>
        <v>0.3305555555555556</v>
      </c>
      <c r="O11" s="371" t="str">
        <f>[22]Brewhouse!$AX204</f>
        <v>K.Benjamin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[22]Brewhouse!$A205</f>
        <v>CA103</v>
      </c>
      <c r="D12" s="279">
        <f>[22]Brewhouse!$AF205</f>
        <v>53.7</v>
      </c>
      <c r="E12" s="279">
        <f>[22]Brewhouse!$AI205</f>
        <v>50.5</v>
      </c>
      <c r="F12" s="278">
        <f>[22]Brewhouse!$V205</f>
        <v>59</v>
      </c>
      <c r="G12" s="279">
        <f>[22]Brewhouse!$AG205</f>
        <v>11.9</v>
      </c>
      <c r="H12" s="396">
        <v>11.7</v>
      </c>
      <c r="I12" s="368">
        <f>[22]Brewhouse!$AU205</f>
        <v>95.737208896757963</v>
      </c>
      <c r="J12" s="368">
        <f>[22]Brewhouse!$AV205</f>
        <v>99.760630972658518</v>
      </c>
      <c r="K12" s="281">
        <f>[22]Brewhouse!$Q205</f>
        <v>5.9391771019678004</v>
      </c>
      <c r="L12" s="276">
        <f>[22]Brewhouse!$P205</f>
        <v>61</v>
      </c>
      <c r="M12" s="397">
        <f>[22]Brewhouse!$U205-[22]Brewhouse!$T205</f>
        <v>0.11319444444444449</v>
      </c>
      <c r="N12" s="370">
        <f>[22]Brewhouse!$Z205</f>
        <v>0.26597222222222228</v>
      </c>
      <c r="O12" s="371" t="str">
        <f>[22]Brewhouse!$AX205</f>
        <v>K.Benjamin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[22]Brewhouse!$A206</f>
        <v>CA104</v>
      </c>
      <c r="D13" s="279">
        <f>[22]Brewhouse!$AF206</f>
        <v>53.9</v>
      </c>
      <c r="E13" s="279">
        <f>[22]Brewhouse!$AI206</f>
        <v>50.8</v>
      </c>
      <c r="F13" s="278">
        <f>[22]Brewhouse!$V206</f>
        <v>48</v>
      </c>
      <c r="G13" s="279">
        <f>[22]Brewhouse!$AG206</f>
        <v>11.79</v>
      </c>
      <c r="H13" s="396">
        <v>11.9</v>
      </c>
      <c r="I13" s="368">
        <f>[22]Brewhouse!$AU206</f>
        <v>95.337604364892485</v>
      </c>
      <c r="J13" s="368">
        <f>[22]Brewhouse!$AV206</f>
        <v>99.344448854597502</v>
      </c>
      <c r="K13" s="281">
        <f>[22]Brewhouse!$Q206</f>
        <v>5.3736654804270509</v>
      </c>
      <c r="L13" s="276">
        <f>[22]Brewhouse!$P206</f>
        <v>61</v>
      </c>
      <c r="M13" s="397">
        <f>[22]Brewhouse!$U206-[22]Brewhouse!$T206</f>
        <v>0.11249999999999993</v>
      </c>
      <c r="N13" s="370">
        <f>[22]Brewhouse!$Z206</f>
        <v>0.2722222222222222</v>
      </c>
      <c r="O13" s="371" t="str">
        <f>[22]Brewhouse!$AX206</f>
        <v>K.Benjamin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4.4">
      <c r="B14" s="29" t="s">
        <v>6</v>
      </c>
      <c r="C14" s="366" t="str">
        <f>[22]Brewhouse!$A207</f>
        <v>CA105</v>
      </c>
      <c r="D14" s="279">
        <f>[22]Brewhouse!$AF207</f>
        <v>53.8</v>
      </c>
      <c r="E14" s="279">
        <f>[22]Brewhouse!$AI207</f>
        <v>50.5</v>
      </c>
      <c r="F14" s="278">
        <f>[22]Brewhouse!$V207</f>
        <v>64</v>
      </c>
      <c r="G14" s="279">
        <f>[22]Brewhouse!$AG207</f>
        <v>11.8</v>
      </c>
      <c r="H14" s="396">
        <v>11.8</v>
      </c>
      <c r="I14" s="368">
        <f>[22]Brewhouse!$AU207</f>
        <v>95.008376934499935</v>
      </c>
      <c r="J14" s="368">
        <f>[22]Brewhouse!$AV207</f>
        <v>99.000953492438171</v>
      </c>
      <c r="K14" s="281">
        <f>[22]Brewhouse!$Q207</f>
        <v>5.9285714285714288</v>
      </c>
      <c r="L14" s="276">
        <f>[22]Brewhouse!$P207</f>
        <v>60</v>
      </c>
      <c r="M14" s="397">
        <f>[22]Brewhouse!$U207-[22]Brewhouse!$T207</f>
        <v>0.11736111111111114</v>
      </c>
      <c r="N14" s="370">
        <f>[22]Brewhouse!$Z207</f>
        <v>0.26388888888888895</v>
      </c>
      <c r="O14" s="371" t="str">
        <f>[22]Brewhouse!$AX207</f>
        <v>R. Regis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29" t="s">
        <v>6</v>
      </c>
      <c r="C15" s="366" t="str">
        <f>[22]Brewhouse!$A208</f>
        <v>CA106</v>
      </c>
      <c r="D15" s="279">
        <f>[22]Brewhouse!$AF208</f>
        <v>54.5</v>
      </c>
      <c r="E15" s="279">
        <f>[22]Brewhouse!$AI208</f>
        <v>51.6</v>
      </c>
      <c r="F15" s="278">
        <f>[22]Brewhouse!$V208</f>
        <v>71</v>
      </c>
      <c r="G15" s="279">
        <f>[22]Brewhouse!$AG208</f>
        <v>11.9</v>
      </c>
      <c r="H15" s="367"/>
      <c r="I15" s="368">
        <f>[22]Brewhouse!$AU208</f>
        <v>97.702216395203862</v>
      </c>
      <c r="J15" s="368">
        <f>[22]Brewhouse!$AV208</f>
        <v>101.80844069151362</v>
      </c>
      <c r="K15" s="281">
        <f>[22]Brewhouse!$Q208</f>
        <v>5.8657243816254425</v>
      </c>
      <c r="L15" s="276">
        <f>[22]Brewhouse!$P208</f>
        <v>60</v>
      </c>
      <c r="M15" s="397">
        <f>[22]Brewhouse!$U208-[22]Brewhouse!$T208</f>
        <v>0.12847222222222221</v>
      </c>
      <c r="N15" s="370">
        <f>[22]Brewhouse!$Z208</f>
        <v>0.2729166666666667</v>
      </c>
      <c r="O15" s="371" t="str">
        <f>[22]Brewhouse!$AX208</f>
        <v>R. Regis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4.4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4.4">
      <c r="B17" s="33" t="s">
        <v>9</v>
      </c>
      <c r="C17" s="366" t="str">
        <f>[24]Brewhouse!$A74</f>
        <v>ST059</v>
      </c>
      <c r="D17" s="279">
        <f>[24]Brewhouse!$AD74</f>
        <v>51.8</v>
      </c>
      <c r="E17" s="279">
        <f>[24]Brewhouse!$AG74</f>
        <v>47.9</v>
      </c>
      <c r="F17" s="278">
        <f>[24]Brewhouse!$V74</f>
        <v>57</v>
      </c>
      <c r="G17" s="279">
        <f>[24]Brewhouse!$AE74</f>
        <v>12</v>
      </c>
      <c r="H17" s="367"/>
      <c r="I17" s="417">
        <f>[24]Brewhouse!$AS74</f>
        <v>92.715017057588085</v>
      </c>
      <c r="J17" s="417">
        <f>[24]Brewhouse!$AT74</f>
        <v>95.947594289789322</v>
      </c>
      <c r="K17" s="398">
        <f>[24]Brewhouse!$Q74</f>
        <v>6.9469835466179228</v>
      </c>
      <c r="L17" s="276">
        <f>[24]Brewhouse!$P74</f>
        <v>59</v>
      </c>
      <c r="M17" s="374">
        <f>[24]Brewhouse!$U74-[24]Brewhouse!$T74</f>
        <v>0.11388888888888893</v>
      </c>
      <c r="N17" s="370">
        <f>[24]Brewhouse!$AW74</f>
        <v>0.25902777777777786</v>
      </c>
      <c r="O17" s="418" t="str">
        <f>[24]Brewhouse!$AV74</f>
        <v>R.Sookram</v>
      </c>
      <c r="P17" s="369"/>
      <c r="Q17" s="347"/>
      <c r="S17" s="277" t="str">
        <f t="shared" si="0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2:27" ht="14.4">
      <c r="B18" s="33" t="s">
        <v>9</v>
      </c>
      <c r="C18" s="366" t="str">
        <f>[24]Brewhouse!$A75</f>
        <v>ST060</v>
      </c>
      <c r="D18" s="279">
        <f>[24]Brewhouse!$AD75</f>
        <v>53.2</v>
      </c>
      <c r="E18" s="279">
        <f>[24]Brewhouse!$AG75</f>
        <v>49.4</v>
      </c>
      <c r="F18" s="278">
        <f>[24]Brewhouse!$V75</f>
        <v>60</v>
      </c>
      <c r="G18" s="279">
        <f>[24]Brewhouse!$AE75</f>
        <v>12</v>
      </c>
      <c r="H18" s="367"/>
      <c r="I18" s="417">
        <f>[24]Brewhouse!$AS75</f>
        <v>96.097642480416468</v>
      </c>
      <c r="J18" s="417">
        <f>[24]Brewhouse!$AT75</f>
        <v>99.443857808284704</v>
      </c>
      <c r="K18" s="398">
        <f>[24]Brewhouse!$Q75</f>
        <v>5.8161350844277573</v>
      </c>
      <c r="L18" s="276">
        <f>[24]Brewhouse!$P75</f>
        <v>58</v>
      </c>
      <c r="M18" s="374">
        <f>[24]Brewhouse!$U75-[24]Brewhouse!$T75</f>
        <v>0.11180555555555571</v>
      </c>
      <c r="N18" s="370">
        <f>[24]Brewhouse!$AW75</f>
        <v>0.28333333333333344</v>
      </c>
      <c r="O18" s="418" t="str">
        <f>[24]Brewhouse!$AV75</f>
        <v>R.Sookram</v>
      </c>
      <c r="P18" s="369"/>
      <c r="Q18" s="347"/>
      <c r="S18" s="277" t="str">
        <f t="shared" si="0"/>
        <v>STAG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2:27" ht="14.4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customHeight="1">
      <c r="B21" s="34"/>
      <c r="C21" s="366"/>
      <c r="D21" s="279"/>
      <c r="E21" s="279"/>
      <c r="F21" s="278"/>
      <c r="G21" s="279"/>
      <c r="H21" s="396"/>
      <c r="I21" s="368"/>
      <c r="J21" s="368"/>
      <c r="K21" s="398"/>
      <c r="L21" s="276"/>
      <c r="M21" s="399"/>
      <c r="N21" s="370"/>
      <c r="O21" s="371"/>
      <c r="P21" s="369"/>
      <c r="Q21" s="347"/>
      <c r="S21" s="277">
        <f t="shared" ref="S21:S42" si="9">B21</f>
        <v>0</v>
      </c>
      <c r="T21" s="296" t="e">
        <f t="shared" ref="T21:T42" si="10">VLOOKUP($B21,$S$3:$Y$9,2,FALSE)</f>
        <v>#N/A</v>
      </c>
      <c r="U21" s="296" t="e">
        <f t="shared" ref="U21:U42" si="11">VLOOKUP($B21,$S$3:$Y$9,3,FALSE)</f>
        <v>#N/A</v>
      </c>
      <c r="V21" s="297" t="e">
        <f t="shared" ref="V21:V42" si="12">VLOOKUP($B21,$S$3:$Y$9,4,FALSE)</f>
        <v>#N/A</v>
      </c>
      <c r="W21" s="297" t="e">
        <f t="shared" ref="W21:W42" si="13">VLOOKUP($B21,$S$3:$Y$9,5,FALSE)</f>
        <v>#N/A</v>
      </c>
      <c r="X21" s="297" t="e">
        <f t="shared" ref="X21:X42" si="14">VLOOKUP($B21,$S$3:$Y$9,6,FALSE)</f>
        <v>#N/A</v>
      </c>
      <c r="Y21" s="297" t="e">
        <f t="shared" ref="Y21:Y42" si="15">VLOOKUP($B21,$S$3:$Y$9,7,FALSE)</f>
        <v>#N/A</v>
      </c>
      <c r="Z21" s="297" t="e">
        <f t="shared" ref="Z21:Z42" si="16">VLOOKUP($B21,$S$3:$AA$9,8,FALSE)</f>
        <v>#N/A</v>
      </c>
      <c r="AA21" s="296" t="e">
        <f t="shared" ref="AA21:AA42" si="17">VLOOKUP($B21,$S$3:$AA$9,9,FALSE)</f>
        <v>#N/A</v>
      </c>
    </row>
    <row r="22" spans="2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369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369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7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369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7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369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7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369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7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7" ht="15.75" hidden="1" customHeight="1">
      <c r="B29" s="33"/>
      <c r="C29" s="366"/>
      <c r="D29" s="279"/>
      <c r="E29" s="279"/>
      <c r="F29" s="278"/>
      <c r="G29" s="279"/>
      <c r="H29" s="396"/>
      <c r="I29" s="417"/>
      <c r="J29" s="417"/>
      <c r="K29" s="398"/>
      <c r="L29" s="276"/>
      <c r="M29" s="374"/>
      <c r="N29" s="370"/>
      <c r="O29" s="418"/>
      <c r="P29" s="369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7" ht="15.75" hidden="1" customHeight="1">
      <c r="B30" s="33"/>
      <c r="C30" s="366"/>
      <c r="D30" s="279"/>
      <c r="E30" s="279"/>
      <c r="F30" s="278"/>
      <c r="G30" s="279"/>
      <c r="H30" s="396"/>
      <c r="I30" s="417"/>
      <c r="J30" s="417"/>
      <c r="K30" s="398"/>
      <c r="L30" s="276"/>
      <c r="M30" s="374"/>
      <c r="N30" s="370"/>
      <c r="O30" s="418"/>
      <c r="P30" s="369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7" ht="15.75" hidden="1" customHeight="1">
      <c r="B31" s="33"/>
      <c r="C31" s="366"/>
      <c r="D31" s="279"/>
      <c r="E31" s="279"/>
      <c r="F31" s="278"/>
      <c r="G31" s="279"/>
      <c r="H31" s="396"/>
      <c r="I31" s="417"/>
      <c r="J31" s="417"/>
      <c r="K31" s="398"/>
      <c r="L31" s="276"/>
      <c r="M31" s="374"/>
      <c r="N31" s="370"/>
      <c r="O31" s="418"/>
      <c r="P31" s="369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7" ht="15.75" hidden="1" customHeight="1">
      <c r="B32" s="33"/>
      <c r="C32" s="366"/>
      <c r="D32" s="279"/>
      <c r="E32" s="279"/>
      <c r="F32" s="278"/>
      <c r="G32" s="279"/>
      <c r="H32" s="396"/>
      <c r="I32" s="417"/>
      <c r="J32" s="417"/>
      <c r="K32" s="398"/>
      <c r="L32" s="276"/>
      <c r="M32" s="374"/>
      <c r="N32" s="370"/>
      <c r="O32" s="418"/>
      <c r="P32" s="369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17"/>
      <c r="J33" s="417"/>
      <c r="K33" s="398"/>
      <c r="L33" s="276"/>
      <c r="M33" s="374"/>
      <c r="N33" s="370"/>
      <c r="O33" s="418"/>
      <c r="P33" s="369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1:27" ht="15.75" hidden="1" customHeight="1">
      <c r="B34" s="33"/>
      <c r="C34" s="366"/>
      <c r="D34" s="279"/>
      <c r="E34" s="279"/>
      <c r="F34" s="278"/>
      <c r="G34" s="279"/>
      <c r="H34" s="396"/>
      <c r="I34" s="417"/>
      <c r="J34" s="417"/>
      <c r="K34" s="398"/>
      <c r="L34" s="276"/>
      <c r="M34" s="374"/>
      <c r="N34" s="370"/>
      <c r="O34" s="418"/>
      <c r="P34" s="369"/>
      <c r="Q34" s="347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1:27" ht="15.75" hidden="1" customHeight="1">
      <c r="B35" s="33"/>
      <c r="C35" s="366"/>
      <c r="D35" s="279"/>
      <c r="E35" s="279"/>
      <c r="F35" s="278"/>
      <c r="G35" s="279"/>
      <c r="H35" s="396"/>
      <c r="I35" s="417"/>
      <c r="J35" s="417"/>
      <c r="K35" s="398"/>
      <c r="L35" s="276"/>
      <c r="M35" s="374"/>
      <c r="N35" s="370"/>
      <c r="O35" s="418"/>
      <c r="P35" s="369"/>
      <c r="Q35" s="347"/>
      <c r="S35" s="277">
        <f t="shared" si="9"/>
        <v>0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1:27" ht="15.75" hidden="1" customHeight="1">
      <c r="B36" s="33"/>
      <c r="C36" s="366"/>
      <c r="D36" s="279"/>
      <c r="E36" s="279"/>
      <c r="F36" s="278"/>
      <c r="G36" s="279"/>
      <c r="H36" s="396"/>
      <c r="I36" s="417"/>
      <c r="J36" s="417"/>
      <c r="K36" s="398"/>
      <c r="L36" s="276"/>
      <c r="M36" s="374"/>
      <c r="N36" s="370"/>
      <c r="O36" s="418"/>
      <c r="P36" s="369"/>
      <c r="Q36" s="347"/>
      <c r="S36" s="277">
        <f t="shared" si="9"/>
        <v>0</v>
      </c>
      <c r="T36" s="296" t="e">
        <f t="shared" si="10"/>
        <v>#N/A</v>
      </c>
      <c r="U36" s="296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7" t="e">
        <f t="shared" si="16"/>
        <v>#N/A</v>
      </c>
      <c r="AA36" s="296" t="e">
        <f t="shared" si="17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69"/>
      <c r="Q37" s="347"/>
      <c r="S37" s="277">
        <f t="shared" si="9"/>
        <v>0</v>
      </c>
      <c r="T37" s="296" t="e">
        <f t="shared" si="10"/>
        <v>#N/A</v>
      </c>
      <c r="U37" s="296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7" t="e">
        <f t="shared" si="16"/>
        <v>#N/A</v>
      </c>
      <c r="AA37" s="296" t="e">
        <f t="shared" si="17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69"/>
      <c r="Q38" s="347"/>
      <c r="S38" s="277">
        <f t="shared" si="9"/>
        <v>0</v>
      </c>
      <c r="T38" s="296" t="e">
        <f t="shared" si="10"/>
        <v>#N/A</v>
      </c>
      <c r="U38" s="296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7" t="e">
        <f t="shared" si="16"/>
        <v>#N/A</v>
      </c>
      <c r="AA38" s="296" t="e">
        <f t="shared" si="17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369"/>
      <c r="Q39" s="347"/>
      <c r="S39" s="277">
        <f t="shared" si="9"/>
        <v>0</v>
      </c>
      <c r="T39" s="296" t="e">
        <f t="shared" si="10"/>
        <v>#N/A</v>
      </c>
      <c r="U39" s="296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7" t="e">
        <f t="shared" si="16"/>
        <v>#N/A</v>
      </c>
      <c r="AA39" s="296" t="e">
        <f t="shared" si="17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369"/>
      <c r="Q40" s="347"/>
      <c r="S40" s="277">
        <f t="shared" si="9"/>
        <v>0</v>
      </c>
      <c r="T40" s="296" t="e">
        <f t="shared" si="10"/>
        <v>#N/A</v>
      </c>
      <c r="U40" s="296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7" t="e">
        <f t="shared" si="16"/>
        <v>#N/A</v>
      </c>
      <c r="AA40" s="296" t="e">
        <f t="shared" si="17"/>
        <v>#N/A</v>
      </c>
    </row>
    <row r="41" spans="1:27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369"/>
      <c r="Q41" s="347"/>
      <c r="S41" s="277">
        <f t="shared" si="9"/>
        <v>0</v>
      </c>
      <c r="T41" s="296" t="e">
        <f t="shared" si="10"/>
        <v>#N/A</v>
      </c>
      <c r="U41" s="296" t="e">
        <f t="shared" si="11"/>
        <v>#N/A</v>
      </c>
      <c r="V41" s="297" t="e">
        <f t="shared" si="12"/>
        <v>#N/A</v>
      </c>
      <c r="W41" s="297" t="e">
        <f t="shared" si="13"/>
        <v>#N/A</v>
      </c>
      <c r="X41" s="297" t="e">
        <f t="shared" si="14"/>
        <v>#N/A</v>
      </c>
      <c r="Y41" s="297" t="e">
        <f t="shared" si="15"/>
        <v>#N/A</v>
      </c>
      <c r="Z41" s="297" t="e">
        <f t="shared" si="16"/>
        <v>#N/A</v>
      </c>
      <c r="AA41" s="296" t="e">
        <f t="shared" si="17"/>
        <v>#N/A</v>
      </c>
    </row>
    <row r="42" spans="1:27" ht="14.4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74"/>
      <c r="N42" s="370"/>
      <c r="O42" s="371"/>
      <c r="P42" s="369"/>
      <c r="Q42" s="347"/>
      <c r="S42" s="277">
        <f t="shared" si="9"/>
        <v>0</v>
      </c>
      <c r="T42" s="296" t="e">
        <f t="shared" si="10"/>
        <v>#N/A</v>
      </c>
      <c r="U42" s="296" t="e">
        <f t="shared" si="11"/>
        <v>#N/A</v>
      </c>
      <c r="V42" s="297" t="e">
        <f t="shared" si="12"/>
        <v>#N/A</v>
      </c>
      <c r="W42" s="297" t="e">
        <f t="shared" si="13"/>
        <v>#N/A</v>
      </c>
      <c r="X42" s="297" t="e">
        <f t="shared" si="14"/>
        <v>#N/A</v>
      </c>
      <c r="Y42" s="297" t="e">
        <f t="shared" si="15"/>
        <v>#N/A</v>
      </c>
      <c r="Z42" s="297" t="e">
        <f t="shared" si="16"/>
        <v>#N/A</v>
      </c>
      <c r="AA42" s="296" t="e">
        <f t="shared" si="17"/>
        <v>#N/A</v>
      </c>
    </row>
    <row r="43" spans="1:27" ht="15.75" customHeight="1" thickBot="1">
      <c r="B43" s="358"/>
      <c r="C43" s="358"/>
      <c r="D43" s="358"/>
      <c r="E43" s="358"/>
      <c r="F43" s="294"/>
      <c r="G43" s="294"/>
      <c r="H43" s="348"/>
      <c r="I43" s="500" t="s">
        <v>34</v>
      </c>
      <c r="J43" s="500"/>
      <c r="K43" s="500"/>
      <c r="L43" s="500"/>
      <c r="M43" s="500"/>
      <c r="N43" s="500"/>
      <c r="O43" s="1"/>
      <c r="P43" s="12"/>
      <c r="S43" s="277"/>
      <c r="T43" s="296"/>
      <c r="U43" s="296"/>
      <c r="V43" s="297"/>
      <c r="W43" s="297"/>
      <c r="X43" s="297"/>
      <c r="Y43" s="297"/>
      <c r="Z43" s="297"/>
      <c r="AA43" s="296"/>
    </row>
    <row r="44" spans="1:27" ht="15" thickBot="1">
      <c r="B44" s="388" t="s">
        <v>145</v>
      </c>
      <c r="C44" s="388"/>
      <c r="D44" s="478" t="s">
        <v>35</v>
      </c>
      <c r="E44" s="479"/>
      <c r="F44" s="294"/>
      <c r="G44" s="294"/>
      <c r="H44" s="23"/>
      <c r="I44" s="24" t="s">
        <v>17</v>
      </c>
      <c r="J44" s="25" t="s">
        <v>146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S44" s="277"/>
      <c r="T44" s="296"/>
      <c r="U44" s="296"/>
      <c r="V44" s="297"/>
      <c r="W44" s="297"/>
      <c r="X44" s="297"/>
      <c r="Y44" s="297"/>
      <c r="Z44" s="297"/>
      <c r="AA44" s="296"/>
    </row>
    <row r="45" spans="1:27" ht="15" customHeight="1">
      <c r="A45" s="28"/>
      <c r="B45" s="570" t="str">
        <f>I47</f>
        <v>GUINNESS</v>
      </c>
      <c r="C45" s="362" cm="1">
        <f t="array" ref="C45:C46">[23]Process!$D$24:$D$25</f>
        <v>17.5</v>
      </c>
      <c r="D45" s="504">
        <v>17.420000000000002</v>
      </c>
      <c r="E45" s="505"/>
      <c r="F45" s="294"/>
      <c r="G45" s="294"/>
      <c r="H45" s="294"/>
      <c r="I45" s="29" t="s">
        <v>6</v>
      </c>
      <c r="J45" s="323">
        <f>AVERAGE(I10:I15)</f>
        <v>95.759000399152754</v>
      </c>
      <c r="K45" s="284">
        <f>COUNTA([22]Brewhouse!$A$173:$A$208)</f>
        <v>36</v>
      </c>
      <c r="L45" s="302">
        <f>AVERAGE([22]Brewhouse!$AU$173:$AU$208)</f>
        <v>95.199156187630024</v>
      </c>
      <c r="M45" s="302">
        <f>AVERAGE([22]Brewhouse!$AU$102:$AU$171,[22]Brewhouse!$AU$173:$AU$208)</f>
        <v>94.787667042768192</v>
      </c>
      <c r="N45" s="30">
        <v>98</v>
      </c>
      <c r="O45" s="11"/>
      <c r="P45" s="31"/>
      <c r="S45" s="277"/>
      <c r="T45" s="296"/>
      <c r="U45" s="296"/>
      <c r="V45" s="297"/>
      <c r="W45" s="297"/>
      <c r="X45" s="297"/>
      <c r="Y45" s="297"/>
      <c r="Z45" s="297"/>
      <c r="AA45" s="296"/>
    </row>
    <row r="46" spans="1:27" ht="15" customHeight="1">
      <c r="A46" s="28"/>
      <c r="B46" s="571"/>
      <c r="C46" s="349">
        <v>17.5</v>
      </c>
      <c r="D46" s="506"/>
      <c r="E46" s="507"/>
      <c r="F46" s="294"/>
      <c r="G46" s="294"/>
      <c r="H46" s="32"/>
      <c r="I46" s="33" t="s">
        <v>9</v>
      </c>
      <c r="J46" s="323">
        <f>AVERAGE(I17:I18)</f>
        <v>94.406329769002269</v>
      </c>
      <c r="K46" s="284">
        <f>COUNTA([24]Brewhouse!$A$66:$A$75)</f>
        <v>10</v>
      </c>
      <c r="L46" s="302">
        <f>AVERAGE([24]Brewhouse!$AS$66:$AS$75)</f>
        <v>95.290046769276287</v>
      </c>
      <c r="M46" s="302">
        <f>AVERAGE([24]Brewhouse!$AS$15:$AS$64,[24]Brewhouse!$AS$66:$AS$75)</f>
        <v>95.94611789539394</v>
      </c>
      <c r="N46" s="30">
        <v>98</v>
      </c>
      <c r="O46" s="11"/>
      <c r="P46" s="31"/>
      <c r="S46" s="277"/>
      <c r="T46" s="296"/>
      <c r="U46" s="296"/>
      <c r="V46" s="297"/>
      <c r="W46" s="297"/>
      <c r="X46" s="297"/>
      <c r="Y46" s="297"/>
      <c r="Z46" s="297"/>
      <c r="AA46" s="296"/>
    </row>
    <row r="47" spans="1:27" ht="14.7" customHeight="1">
      <c r="A47" s="28"/>
      <c r="B47" s="571"/>
      <c r="C47" s="362"/>
      <c r="D47" s="504"/>
      <c r="E47" s="505"/>
      <c r="F47" s="294"/>
      <c r="G47" s="294"/>
      <c r="H47" s="32"/>
      <c r="I47" s="34" t="s">
        <v>12</v>
      </c>
      <c r="J47" s="280"/>
      <c r="K47" s="284">
        <f>COUNTA([23]Brewhouse!$A$9:$A$14)</f>
        <v>6</v>
      </c>
      <c r="L47" s="302">
        <f>AVERAGE([23]Brewhouse!$AU$9:$AU$14)</f>
        <v>96.577361087083986</v>
      </c>
      <c r="M47" s="302">
        <f>AVERAGE([23]Brewhouse!$AU$4:$AU$7,[23]Brewhouse!$AU$9:$AU$14)</f>
        <v>96.787191796473266</v>
      </c>
      <c r="N47" s="30">
        <v>98</v>
      </c>
      <c r="O47" s="11"/>
      <c r="P47" s="31"/>
      <c r="S47" s="23"/>
      <c r="T47" s="1"/>
      <c r="U47" s="1"/>
      <c r="AA47" s="285"/>
    </row>
    <row r="48" spans="1:27" ht="14.7" customHeight="1">
      <c r="A48" s="28"/>
      <c r="B48" s="571"/>
      <c r="C48" s="362"/>
      <c r="D48" s="506"/>
      <c r="E48" s="507"/>
      <c r="F48" s="294"/>
      <c r="G48" s="294"/>
      <c r="H48" s="32"/>
      <c r="I48" s="22" t="s">
        <v>33</v>
      </c>
      <c r="J48" s="280"/>
      <c r="K48" s="284"/>
      <c r="L48" s="302"/>
      <c r="M48" s="302">
        <f>AVERAGE([25]Brewhouse!$AV$5:$AV$14)</f>
        <v>97.717673301363135</v>
      </c>
      <c r="N48" s="30">
        <v>98</v>
      </c>
      <c r="O48" s="11"/>
      <c r="P48" s="31"/>
      <c r="S48" s="23"/>
      <c r="T48" s="1"/>
      <c r="U48" s="1"/>
      <c r="AA48" s="285"/>
    </row>
    <row r="49" spans="1:57" ht="14.7" customHeight="1">
      <c r="A49" s="28"/>
      <c r="B49" s="571"/>
      <c r="C49" s="362"/>
      <c r="D49" s="504"/>
      <c r="E49" s="505"/>
      <c r="F49" s="294"/>
      <c r="G49" s="294"/>
      <c r="H49" s="32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S49" s="23"/>
    </row>
    <row r="50" spans="1:57" ht="14.7" customHeight="1">
      <c r="A50" s="28"/>
      <c r="B50" s="571"/>
      <c r="C50" s="349"/>
      <c r="D50" s="506"/>
      <c r="E50" s="507"/>
      <c r="F50" s="294"/>
      <c r="G50" s="294"/>
      <c r="H50" s="32"/>
      <c r="I50" s="36" t="s">
        <v>15</v>
      </c>
      <c r="J50" s="323"/>
      <c r="K50" s="284"/>
      <c r="L50" s="302"/>
      <c r="M50" s="302">
        <f>AVERAGE([26]Brewhouse!$AT$4:$AT$11)</f>
        <v>94.812616598822359</v>
      </c>
      <c r="N50" s="30">
        <v>98</v>
      </c>
      <c r="O50" s="11"/>
      <c r="P50" s="31"/>
      <c r="S50" s="23"/>
    </row>
    <row r="51" spans="1:57" ht="14.7" customHeight="1">
      <c r="A51" s="28"/>
      <c r="B51" s="571"/>
      <c r="C51" s="349"/>
      <c r="D51" s="504"/>
      <c r="E51" s="505"/>
      <c r="F51" s="294"/>
      <c r="G51" s="294"/>
      <c r="H51" s="32"/>
      <c r="I51" s="37" t="s">
        <v>16</v>
      </c>
      <c r="J51" s="323"/>
      <c r="K51" s="284">
        <f>COUNTA([27]Brewhouse!$A$15:$A$20)</f>
        <v>6</v>
      </c>
      <c r="L51" s="302">
        <f>AVERAGE([27]Brewhouse!$AY$15:$AY$20)</f>
        <v>95.874175970347281</v>
      </c>
      <c r="M51" s="302">
        <f>AVERAGE([27]Brewhouse!$AY$6:$AY$13,[27]Brewhouse!$AY$15:$AY$20)</f>
        <v>94.285964321968933</v>
      </c>
      <c r="N51" s="30">
        <v>98</v>
      </c>
      <c r="O51" s="11"/>
      <c r="P51" s="31" t="s">
        <v>41</v>
      </c>
      <c r="S51" s="23"/>
      <c r="X51" s="275" t="s">
        <v>41</v>
      </c>
    </row>
    <row r="52" spans="1:57" ht="14.7" customHeight="1">
      <c r="A52" s="28"/>
      <c r="B52" s="571"/>
      <c r="C52" s="349"/>
      <c r="D52" s="506"/>
      <c r="E52" s="507"/>
      <c r="F52" s="294"/>
      <c r="G52" s="294"/>
      <c r="H52" s="32"/>
      <c r="I52" s="416" t="s">
        <v>158</v>
      </c>
      <c r="J52" s="326"/>
      <c r="K52" s="284"/>
      <c r="L52" s="305"/>
      <c r="M52" s="305">
        <f>AVERAGE([28]Brewhouse!$AU$5:$AU$8)</f>
        <v>91.006888337619571</v>
      </c>
      <c r="N52" s="30">
        <v>98</v>
      </c>
      <c r="O52" s="11"/>
      <c r="P52" s="31"/>
      <c r="S52" s="23"/>
    </row>
    <row r="53" spans="1:57" ht="14.7" customHeight="1">
      <c r="A53" s="28"/>
      <c r="B53" s="571"/>
      <c r="C53" s="349"/>
      <c r="D53" s="504"/>
      <c r="E53" s="505"/>
      <c r="F53" s="294"/>
      <c r="G53" s="294"/>
      <c r="H53" s="32"/>
      <c r="I53" s="415" t="s">
        <v>157</v>
      </c>
      <c r="J53" s="326"/>
      <c r="K53" s="284"/>
      <c r="L53" s="305"/>
      <c r="M53" s="305"/>
      <c r="N53" s="30"/>
      <c r="O53" s="11"/>
      <c r="P53" s="31"/>
      <c r="S53" s="23"/>
    </row>
    <row r="54" spans="1:57" ht="15" customHeight="1" thickBot="1">
      <c r="A54" s="28"/>
      <c r="B54" s="571"/>
      <c r="C54" s="349"/>
      <c r="D54" s="506"/>
      <c r="E54" s="507"/>
      <c r="F54" s="294"/>
      <c r="G54" s="294"/>
      <c r="H54" s="32"/>
      <c r="I54" s="411" t="s">
        <v>156</v>
      </c>
      <c r="J54" s="327"/>
      <c r="K54" s="412"/>
      <c r="L54" s="413"/>
      <c r="M54" s="413"/>
      <c r="N54" s="414">
        <v>98</v>
      </c>
      <c r="O54" s="11"/>
      <c r="P54" s="31"/>
      <c r="S54" s="23"/>
    </row>
    <row r="55" spans="1:57" ht="15" customHeight="1" thickBot="1">
      <c r="A55" s="28"/>
      <c r="B55" s="571"/>
      <c r="C55" s="349"/>
      <c r="D55" s="504"/>
      <c r="E55" s="505"/>
      <c r="F55" s="294"/>
      <c r="G55" s="294"/>
      <c r="H55" s="32"/>
      <c r="I55" s="1"/>
      <c r="J55" s="39"/>
      <c r="K55" s="409">
        <f>SUM(K45:K54)</f>
        <v>58</v>
      </c>
      <c r="L55" s="410">
        <f>((L45*K45)+(L46*K46)+(L47*K47)+(L48*K48)+(L49*K49)+(K52*L52)+(L50*K50)+(L51*K51)+(L54*K54))/(K55)</f>
        <v>95.42722953089708</v>
      </c>
      <c r="M55" s="410">
        <f>L55</f>
        <v>95.42722953089708</v>
      </c>
      <c r="N55" s="40">
        <v>98</v>
      </c>
      <c r="O55" s="11"/>
      <c r="P55" s="31"/>
      <c r="S55" s="23"/>
    </row>
    <row r="56" spans="1:57" ht="15" thickBot="1">
      <c r="B56" s="574"/>
      <c r="C56" s="350"/>
      <c r="D56" s="506"/>
      <c r="E56" s="507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S56" s="23"/>
    </row>
    <row r="57" spans="1:57" ht="15" thickBot="1">
      <c r="B57" s="575" t="str">
        <f>I47</f>
        <v>GUINNESS</v>
      </c>
      <c r="C57" s="362" cm="1">
        <f t="array" ref="C57:C58">[23]Process!$D$21:$D$22</f>
        <v>17.7</v>
      </c>
      <c r="D57" s="517">
        <v>17.649999999999999</v>
      </c>
      <c r="E57" s="518"/>
      <c r="F57" s="43"/>
      <c r="G57" s="41"/>
      <c r="H57" s="41"/>
      <c r="I57" s="42"/>
      <c r="J57" s="520" t="s">
        <v>129</v>
      </c>
      <c r="K57" s="520"/>
      <c r="L57" s="294"/>
      <c r="M57" s="294"/>
      <c r="N57" s="294"/>
      <c r="O57" s="294"/>
      <c r="P57" s="12"/>
      <c r="S57" s="23" t="s">
        <v>41</v>
      </c>
    </row>
    <row r="58" spans="1:57" ht="13.5" customHeight="1" thickBot="1">
      <c r="B58" s="576"/>
      <c r="C58" s="349">
        <v>17.399999999999999</v>
      </c>
      <c r="D58" s="519"/>
      <c r="E58" s="507"/>
      <c r="F58" s="43"/>
      <c r="G58" s="41"/>
      <c r="H58" s="41"/>
      <c r="I58" s="42"/>
      <c r="J58" s="419" t="s">
        <v>17</v>
      </c>
      <c r="K58" s="293" t="s">
        <v>147</v>
      </c>
      <c r="L58" s="521" t="s">
        <v>136</v>
      </c>
      <c r="M58" s="521"/>
      <c r="N58" s="522"/>
      <c r="O58" s="294"/>
      <c r="P58" s="12"/>
      <c r="S58" s="23"/>
    </row>
    <row r="59" spans="1:57" ht="15" customHeight="1" thickBot="1">
      <c r="B59" s="576"/>
      <c r="C59" s="349">
        <f>[23]Process!$D$26</f>
        <v>17.399999999999999</v>
      </c>
      <c r="D59" s="523">
        <v>17.53</v>
      </c>
      <c r="E59" s="505"/>
      <c r="F59" s="43"/>
      <c r="G59" s="41"/>
      <c r="H59" s="41"/>
      <c r="I59" s="42"/>
      <c r="J59" s="420" t="s">
        <v>6</v>
      </c>
      <c r="K59" s="324">
        <f>COUNTA(B10:B15)</f>
        <v>6</v>
      </c>
      <c r="L59" s="343" t="s">
        <v>37</v>
      </c>
      <c r="M59" s="307" t="s">
        <v>38</v>
      </c>
      <c r="N59" s="307" t="s">
        <v>84</v>
      </c>
      <c r="O59" s="294"/>
      <c r="P59" s="12"/>
      <c r="S59" s="23"/>
    </row>
    <row r="60" spans="1:57" ht="15.75" customHeight="1" thickBot="1">
      <c r="B60" s="576"/>
      <c r="C60" s="349"/>
      <c r="D60" s="519"/>
      <c r="E60" s="507"/>
      <c r="F60" s="43"/>
      <c r="G60" s="41"/>
      <c r="H60" s="41"/>
      <c r="I60" s="42"/>
      <c r="J60" s="421" t="s">
        <v>9</v>
      </c>
      <c r="K60" s="324">
        <f>COUNTA(B17:B18)</f>
        <v>2</v>
      </c>
      <c r="L60" s="344">
        <f>AVERAGE('Feb 3rd'!K79,'Feb 4th'!K77,'Feb 5th'!L68,'Feb 6th'!K75,'Feb 10th'!K69,'Feb 11th'!K68,'Feb 12th'!K70,'Feb 13th'!K69)</f>
        <v>7.125</v>
      </c>
      <c r="M60" s="325">
        <f>AVERAGE('[29]Jan 29th '!$M$70,L60)</f>
        <v>6.8125</v>
      </c>
      <c r="N60" s="401"/>
      <c r="O60" s="294"/>
      <c r="P60" s="12"/>
      <c r="S60" s="23"/>
    </row>
    <row r="61" spans="1:57" ht="15" customHeight="1">
      <c r="B61" s="576"/>
      <c r="C61" s="349"/>
      <c r="D61" s="523"/>
      <c r="E61" s="505"/>
      <c r="F61" s="43"/>
      <c r="G61" s="41"/>
      <c r="H61" s="41"/>
      <c r="I61" s="42"/>
      <c r="J61" s="422" t="s">
        <v>40</v>
      </c>
      <c r="K61" s="324"/>
      <c r="L61" s="294"/>
      <c r="M61" s="294"/>
      <c r="N61" s="294"/>
      <c r="O61" s="294"/>
      <c r="P61" s="12"/>
      <c r="S61" s="23"/>
    </row>
    <row r="62" spans="1:57" ht="15" customHeight="1">
      <c r="B62" s="576"/>
      <c r="C62" s="349"/>
      <c r="D62" s="519"/>
      <c r="E62" s="507"/>
      <c r="F62" s="43"/>
      <c r="G62" s="41"/>
      <c r="H62" s="41"/>
      <c r="I62" s="42"/>
      <c r="J62" s="423" t="s">
        <v>33</v>
      </c>
      <c r="K62" s="324"/>
      <c r="L62" s="294"/>
      <c r="M62" s="294"/>
      <c r="N62" s="294"/>
      <c r="O62" s="294"/>
      <c r="P62" s="12"/>
      <c r="S62" s="23"/>
    </row>
    <row r="63" spans="1:57" ht="14.4">
      <c r="B63" s="576"/>
      <c r="C63" s="349"/>
      <c r="D63" s="523"/>
      <c r="E63" s="505"/>
      <c r="F63" s="43"/>
      <c r="G63" s="41"/>
      <c r="H63" s="41"/>
      <c r="I63" s="42"/>
      <c r="J63" s="424" t="s">
        <v>16</v>
      </c>
      <c r="K63" s="324"/>
      <c r="L63" s="294"/>
      <c r="M63" s="294"/>
      <c r="N63" s="294"/>
      <c r="O63" s="294"/>
      <c r="P63" s="12"/>
      <c r="S63" s="23"/>
      <c r="BD63" s="44"/>
      <c r="BE63" s="44"/>
    </row>
    <row r="64" spans="1:57" ht="14.4">
      <c r="B64" s="576"/>
      <c r="C64" s="349"/>
      <c r="D64" s="519"/>
      <c r="E64" s="507"/>
      <c r="F64" s="43"/>
      <c r="G64" s="41"/>
      <c r="H64" s="41"/>
      <c r="I64" s="42"/>
      <c r="J64" s="425" t="s">
        <v>15</v>
      </c>
      <c r="K64" s="324"/>
      <c r="L64" s="294"/>
      <c r="M64" s="294"/>
      <c r="N64" s="294"/>
      <c r="O64" s="294"/>
      <c r="P64" s="12"/>
      <c r="S64" s="23"/>
      <c r="BD64" s="44"/>
      <c r="BE64" s="44"/>
    </row>
    <row r="65" spans="2:58" ht="14.4">
      <c r="B65" s="576"/>
      <c r="C65" s="349"/>
      <c r="D65" s="524"/>
      <c r="E65" s="509"/>
      <c r="F65" s="43"/>
      <c r="G65" s="41"/>
      <c r="H65" s="41"/>
      <c r="I65" s="42"/>
      <c r="J65" s="425" t="s">
        <v>149</v>
      </c>
      <c r="K65" s="324"/>
      <c r="L65" s="294"/>
      <c r="M65" s="294"/>
      <c r="N65" s="294"/>
      <c r="O65" s="294"/>
      <c r="P65" s="12"/>
      <c r="S65" s="23"/>
      <c r="BD65" s="44"/>
      <c r="BE65" s="44"/>
    </row>
    <row r="66" spans="2:58" ht="15" thickBot="1">
      <c r="B66" s="577"/>
      <c r="C66" s="350"/>
      <c r="D66" s="525"/>
      <c r="E66" s="526"/>
      <c r="F66" s="43"/>
      <c r="G66" s="41"/>
      <c r="H66" s="41"/>
      <c r="I66" s="42"/>
      <c r="J66" s="425" t="s">
        <v>148</v>
      </c>
      <c r="K66" s="324"/>
      <c r="L66" s="294"/>
      <c r="M66" s="294"/>
      <c r="N66" s="294"/>
      <c r="O66" s="294"/>
      <c r="P66" s="12"/>
      <c r="S66" s="23"/>
      <c r="BD66" s="44"/>
      <c r="BE66" s="44"/>
    </row>
    <row r="67" spans="2:58" ht="17.7" customHeight="1" thickBot="1">
      <c r="B67" s="312" t="s">
        <v>139</v>
      </c>
      <c r="C67" s="313"/>
      <c r="D67" s="527">
        <f>AVERAGE(D45:E66)</f>
        <v>17.533333333333335</v>
      </c>
      <c r="E67" s="528"/>
      <c r="F67" s="43"/>
      <c r="G67" s="41"/>
      <c r="H67" s="41"/>
      <c r="I67" s="42"/>
      <c r="J67" s="426" t="s">
        <v>134</v>
      </c>
      <c r="K67" s="324"/>
      <c r="L67" s="294"/>
      <c r="M67" s="294"/>
      <c r="N67" s="294"/>
      <c r="O67" s="294"/>
      <c r="P67" s="12"/>
      <c r="S67" s="23"/>
      <c r="BD67" s="44"/>
      <c r="BE67" s="44"/>
    </row>
    <row r="68" spans="2:58" ht="17.7" customHeight="1">
      <c r="B68" s="363"/>
      <c r="C68" s="364"/>
      <c r="D68" s="365"/>
      <c r="E68" s="365"/>
      <c r="F68" s="43"/>
      <c r="G68" s="41"/>
      <c r="H68" s="4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.75" customHeight="1">
      <c r="B69" s="45"/>
      <c r="C69" s="11"/>
      <c r="D69" s="11"/>
      <c r="E69" s="46"/>
      <c r="F69" s="23"/>
      <c r="G69" s="11"/>
      <c r="H69" s="41"/>
      <c r="I69" s="42"/>
      <c r="J69" s="427" t="s">
        <v>130</v>
      </c>
      <c r="K69" s="324">
        <f>SUM(K59:K68)</f>
        <v>8</v>
      </c>
      <c r="L69" s="294"/>
      <c r="M69" s="294"/>
      <c r="N69" s="294"/>
      <c r="O69" s="294"/>
      <c r="P69" s="12"/>
    </row>
    <row r="70" spans="2:58" ht="20.25" customHeight="1">
      <c r="B70" s="15" t="s">
        <v>42</v>
      </c>
      <c r="C70" s="1" t="s">
        <v>43</v>
      </c>
      <c r="D70" s="1"/>
      <c r="E70" s="1"/>
      <c r="I70" s="42"/>
      <c r="L70" s="294"/>
      <c r="P70" s="334"/>
    </row>
    <row r="71" spans="2:58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  <c r="X71" s="275" t="s">
        <v>41</v>
      </c>
    </row>
    <row r="72" spans="2:58" ht="15" customHeight="1" thickBot="1">
      <c r="B72" s="529" t="s">
        <v>17</v>
      </c>
      <c r="C72" s="529" t="s">
        <v>44</v>
      </c>
      <c r="D72" s="531" t="s">
        <v>45</v>
      </c>
      <c r="E72" s="486" t="s">
        <v>46</v>
      </c>
      <c r="F72" s="546" t="s">
        <v>47</v>
      </c>
      <c r="G72" s="540" t="s">
        <v>48</v>
      </c>
      <c r="H72" s="529" t="s">
        <v>49</v>
      </c>
      <c r="I72" s="529" t="s">
        <v>50</v>
      </c>
      <c r="J72" s="534" t="s">
        <v>28</v>
      </c>
      <c r="K72" s="484" t="s">
        <v>51</v>
      </c>
      <c r="L72" s="496" t="s">
        <v>52</v>
      </c>
      <c r="M72" s="534" t="s">
        <v>53</v>
      </c>
      <c r="N72" s="77"/>
      <c r="O72" s="13"/>
      <c r="P72" s="50"/>
    </row>
    <row r="73" spans="2:58" ht="28.5" customHeight="1" thickTop="1" thickBot="1">
      <c r="B73" s="530"/>
      <c r="C73" s="530"/>
      <c r="D73" s="532"/>
      <c r="E73" s="533"/>
      <c r="F73" s="547"/>
      <c r="G73" s="541"/>
      <c r="H73" s="530"/>
      <c r="I73" s="530"/>
      <c r="J73" s="535"/>
      <c r="K73" s="544"/>
      <c r="L73" s="545"/>
      <c r="M73" s="535"/>
      <c r="N73" s="77"/>
      <c r="O73" s="13"/>
      <c r="P73" s="50"/>
      <c r="Q73" s="355"/>
      <c r="R73" s="355"/>
      <c r="S73" s="355"/>
      <c r="T73" s="355"/>
      <c r="U73" s="51">
        <v>43466</v>
      </c>
      <c r="V73" s="51">
        <v>43467</v>
      </c>
      <c r="W73" s="51">
        <v>43468</v>
      </c>
      <c r="X73" s="51">
        <v>43469</v>
      </c>
      <c r="Y73" s="51">
        <v>43470</v>
      </c>
      <c r="Z73" s="51">
        <v>43471</v>
      </c>
      <c r="AA73" s="51">
        <v>43472</v>
      </c>
      <c r="AB73" s="51">
        <v>43473</v>
      </c>
      <c r="AC73" s="51">
        <v>43474</v>
      </c>
      <c r="AD73" s="51">
        <v>43475</v>
      </c>
      <c r="AE73" s="51">
        <v>43476</v>
      </c>
      <c r="AF73" s="51">
        <v>43477</v>
      </c>
      <c r="AG73" s="51">
        <v>43478</v>
      </c>
      <c r="AH73" s="51">
        <v>43479</v>
      </c>
      <c r="AI73" s="51">
        <v>43480</v>
      </c>
      <c r="AJ73" s="51">
        <v>43481</v>
      </c>
      <c r="AK73" s="51">
        <v>43482</v>
      </c>
      <c r="AL73" s="51">
        <v>43483</v>
      </c>
      <c r="AM73" s="51">
        <v>43484</v>
      </c>
      <c r="AN73" s="51">
        <v>43485</v>
      </c>
      <c r="AO73" s="51">
        <v>43486</v>
      </c>
      <c r="AP73" s="51">
        <v>43487</v>
      </c>
      <c r="AQ73" s="51">
        <v>43488</v>
      </c>
      <c r="AR73" s="51">
        <v>43489</v>
      </c>
      <c r="AS73" s="51">
        <v>43490</v>
      </c>
      <c r="AT73" s="51">
        <v>43491</v>
      </c>
      <c r="AU73" s="51">
        <v>43492</v>
      </c>
      <c r="AV73" s="51">
        <v>43493</v>
      </c>
      <c r="AW73" s="51">
        <v>43494</v>
      </c>
      <c r="AX73" s="51">
        <v>43495</v>
      </c>
      <c r="AY73" s="51">
        <v>43496</v>
      </c>
    </row>
    <row r="74" spans="2:58" s="54" customFormat="1" ht="45.75" customHeight="1" thickBot="1">
      <c r="B74" s="431" t="s">
        <v>12</v>
      </c>
      <c r="C74" s="283">
        <v>45701</v>
      </c>
      <c r="D74" s="279">
        <f>SUM([31]GUINNESS!$J$29:$J$30)</f>
        <v>92.2</v>
      </c>
      <c r="E74" s="279">
        <f>SUM([31]GUINNESS!$S$29)</f>
        <v>1.5999999999999996</v>
      </c>
      <c r="F74" s="279"/>
      <c r="G74" s="279">
        <f>SUM([31]GUINNESS!$R$29)</f>
        <v>67.7</v>
      </c>
      <c r="H74" s="320"/>
      <c r="I74" s="322"/>
      <c r="J74" s="390" t="s">
        <v>178</v>
      </c>
      <c r="K74" s="286">
        <f>[32]February_2025!$P$32</f>
        <v>0.23754385964912281</v>
      </c>
      <c r="L74" s="314">
        <f>(((D74+E74)-G74)/(D74+E74))*100</f>
        <v>27.825159914712149</v>
      </c>
      <c r="M74" s="281" t="s">
        <v>175</v>
      </c>
      <c r="N74" s="13"/>
      <c r="O74" s="13"/>
      <c r="P74" s="50"/>
      <c r="T74" s="272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277"/>
      <c r="AZ74" s="277"/>
      <c r="BA74" s="277"/>
      <c r="BB74" s="277"/>
      <c r="BC74" s="277"/>
      <c r="BD74" s="277"/>
      <c r="BE74" s="277"/>
      <c r="BF74" s="277"/>
    </row>
    <row r="75" spans="2:58" s="54" customFormat="1" ht="18.75" customHeight="1" thickBot="1">
      <c r="B75" s="387"/>
      <c r="C75" s="283"/>
      <c r="D75" s="279"/>
      <c r="E75" s="279"/>
      <c r="F75" s="279"/>
      <c r="G75" s="279"/>
      <c r="H75" s="320"/>
      <c r="I75" s="322"/>
      <c r="J75" s="389"/>
      <c r="K75" s="437"/>
      <c r="L75" s="314"/>
      <c r="M75" s="384"/>
      <c r="N75" s="13"/>
      <c r="O75" s="13"/>
      <c r="P75" s="50"/>
      <c r="T75" s="272" t="s">
        <v>51</v>
      </c>
      <c r="U75" s="57">
        <f>[20]January_2019!D6</f>
        <v>0</v>
      </c>
      <c r="V75" s="57">
        <f>[20]January_2019!E6</f>
        <v>0</v>
      </c>
      <c r="W75" s="57">
        <f>[20]January_2019!F6</f>
        <v>0</v>
      </c>
      <c r="X75" s="57">
        <f>[20]January_2019!G6</f>
        <v>0</v>
      </c>
      <c r="Y75" s="57">
        <f>[20]January_2019!H6</f>
        <v>0</v>
      </c>
      <c r="Z75" s="57">
        <f>[20]January_2019!I6</f>
        <v>0</v>
      </c>
      <c r="AA75" s="57">
        <f>[20]January_2019!J6</f>
        <v>0</v>
      </c>
      <c r="AB75" s="57">
        <f>[20]January_2019!K6</f>
        <v>0</v>
      </c>
      <c r="AC75" s="57">
        <f>[20]January_2019!L6</f>
        <v>0</v>
      </c>
      <c r="AD75" s="57">
        <f>[20]January_2019!M6</f>
        <v>0</v>
      </c>
      <c r="AE75" s="57">
        <f>[20]January_2019!N6</f>
        <v>0</v>
      </c>
      <c r="AF75" s="57">
        <f>[20]January_2019!O6</f>
        <v>0</v>
      </c>
      <c r="AG75" s="57">
        <f>[20]January_2019!P6</f>
        <v>0</v>
      </c>
      <c r="AH75" s="57">
        <f>[20]January_2019!Q6</f>
        <v>0</v>
      </c>
      <c r="AI75" s="57">
        <f>[20]January_2019!R6</f>
        <v>0</v>
      </c>
      <c r="AJ75" s="57">
        <f>[20]January_2019!S6</f>
        <v>0</v>
      </c>
      <c r="AK75" s="57">
        <f>[20]January_2019!T6</f>
        <v>0</v>
      </c>
      <c r="AL75" s="57">
        <f>[20]January_2019!U6</f>
        <v>0</v>
      </c>
      <c r="AM75" s="57">
        <f>[20]January_2019!V6</f>
        <v>0</v>
      </c>
      <c r="AN75" s="57">
        <f>[20]January_2019!W6</f>
        <v>0</v>
      </c>
      <c r="AO75" s="57">
        <f>[20]January_2019!X6</f>
        <v>0</v>
      </c>
      <c r="AP75" s="57">
        <f>[20]January_2019!Y6</f>
        <v>0</v>
      </c>
      <c r="AQ75" s="57">
        <f>[20]January_2019!Z6</f>
        <v>0</v>
      </c>
      <c r="AR75" s="57">
        <f>[20]January_2019!AA6</f>
        <v>0</v>
      </c>
      <c r="AS75" s="57">
        <f>[20]January_2019!AB6</f>
        <v>0</v>
      </c>
      <c r="AT75" s="57">
        <f>[20]January_2019!AC6</f>
        <v>0</v>
      </c>
      <c r="AU75" s="57">
        <f>[20]January_2019!AD6</f>
        <v>0</v>
      </c>
      <c r="AV75" s="57">
        <f>[20]January_2019!AE6</f>
        <v>0</v>
      </c>
      <c r="AW75" s="57">
        <f>[20]January_2019!AF6</f>
        <v>0</v>
      </c>
      <c r="AX75" s="57">
        <f>[20]January_2019!AG6</f>
        <v>0</v>
      </c>
      <c r="AY75" s="277">
        <f>[20]January_2019!AH6</f>
        <v>0</v>
      </c>
      <c r="AZ75" s="277"/>
      <c r="BA75" s="277"/>
      <c r="BB75" s="277"/>
      <c r="BC75" s="277"/>
      <c r="BD75" s="277"/>
      <c r="BE75" s="277"/>
      <c r="BF75" s="277"/>
    </row>
    <row r="76" spans="2:58" s="54" customFormat="1" ht="56.4" customHeight="1" thickBot="1">
      <c r="B76" s="431" t="s">
        <v>12</v>
      </c>
      <c r="C76" s="283">
        <v>45701</v>
      </c>
      <c r="D76" s="303">
        <f>SUM([31]GUINNESS!$J$26:$J$27,[31]GUINNESS!$J$31)</f>
        <v>194.8</v>
      </c>
      <c r="E76" s="378">
        <f>SUM([31]GUINNESS!$S$26)</f>
        <v>4.0999999999999996</v>
      </c>
      <c r="F76" s="379"/>
      <c r="G76" s="303">
        <f>SUM([31]GUINNESS!$R$26,[31]GUINNESS!$R$31)</f>
        <v>172.8</v>
      </c>
      <c r="H76" s="400"/>
      <c r="I76" s="400"/>
      <c r="J76" s="390" t="s">
        <v>178</v>
      </c>
      <c r="K76" s="380">
        <f>[32]February_2025!$Q$32</f>
        <v>0.60631578947368425</v>
      </c>
      <c r="L76" s="314">
        <f>(((D76+E76)-G76)/(D76+E76))*100</f>
        <v>13.122171945701355</v>
      </c>
      <c r="M76" s="281" t="s">
        <v>169</v>
      </c>
      <c r="N76" s="13"/>
      <c r="O76" s="13"/>
      <c r="P76" s="50"/>
      <c r="T76" s="272" t="s">
        <v>54</v>
      </c>
      <c r="U76" s="279"/>
      <c r="V76" s="279"/>
      <c r="W76" s="279"/>
      <c r="X76" s="279"/>
      <c r="Y76" s="279"/>
      <c r="Z76" s="279"/>
      <c r="AA76" s="279"/>
      <c r="AB76" s="279"/>
      <c r="AC76" s="279"/>
      <c r="AD76" s="279"/>
      <c r="AE76" s="279"/>
      <c r="AF76" s="279"/>
      <c r="AG76" s="279"/>
      <c r="AH76" s="279"/>
      <c r="AI76" s="279"/>
      <c r="AJ76" s="279"/>
      <c r="AK76" s="279"/>
      <c r="AL76" s="279"/>
      <c r="AM76" s="279"/>
      <c r="AN76" s="279"/>
      <c r="AO76" s="279"/>
      <c r="AP76" s="279"/>
      <c r="AQ76" s="279"/>
      <c r="AR76" s="279"/>
      <c r="AS76" s="279"/>
      <c r="AT76" s="279"/>
      <c r="AU76" s="279"/>
      <c r="AV76" s="279"/>
      <c r="AW76" s="279"/>
      <c r="AX76" s="279"/>
    </row>
    <row r="77" spans="2:58" s="54" customFormat="1" ht="18.75" hidden="1" customHeight="1">
      <c r="B77" s="387"/>
      <c r="C77" s="283"/>
      <c r="D77" s="279"/>
      <c r="E77" s="279"/>
      <c r="F77" s="279"/>
      <c r="G77" s="279"/>
      <c r="H77" s="320"/>
      <c r="I77" s="322"/>
      <c r="J77" s="389"/>
      <c r="K77" s="437"/>
      <c r="L77" s="314"/>
      <c r="M77" s="384"/>
      <c r="N77" s="13"/>
      <c r="O77" s="13"/>
      <c r="P77" s="50"/>
      <c r="T77" s="272" t="s">
        <v>51</v>
      </c>
      <c r="U77" s="57" t="e">
        <f>[20]January_2019!D8</f>
        <v>#DIV/0!</v>
      </c>
      <c r="V77" s="57">
        <f>[20]January_2019!E8</f>
        <v>1.0319298245614037</v>
      </c>
      <c r="W77" s="57">
        <f>[20]January_2019!F8</f>
        <v>1.7789473684210526</v>
      </c>
      <c r="X77" s="57">
        <f>[20]January_2019!G8</f>
        <v>0.51929824561403504</v>
      </c>
      <c r="Y77" s="57" t="e">
        <f>[20]January_2019!H8</f>
        <v>#DIV/0!</v>
      </c>
      <c r="Z77" s="57" t="e">
        <f>[20]January_2019!I8</f>
        <v>#DIV/0!</v>
      </c>
      <c r="AA77" s="57">
        <f>[20]January_2019!J8</f>
        <v>1.365263157894737</v>
      </c>
      <c r="AB77" s="57" t="e">
        <f>[20]January_2019!K8</f>
        <v>#DIV/0!</v>
      </c>
      <c r="AC77" s="57">
        <f>[20]January_2019!L8</f>
        <v>1.0028070175438597</v>
      </c>
      <c r="AD77" s="57">
        <f>[20]January_2019!M8</f>
        <v>1.7828070175438597</v>
      </c>
      <c r="AE77" s="57" t="e">
        <f>[20]January_2019!N8</f>
        <v>#DIV/0!</v>
      </c>
      <c r="AF77" s="57" t="e">
        <f>[20]January_2019!O8</f>
        <v>#DIV/0!</v>
      </c>
      <c r="AG77" s="57">
        <f>[20]January_2019!P8</f>
        <v>0.19222222222222221</v>
      </c>
      <c r="AH77" s="57">
        <f>[20]January_2019!Q8</f>
        <v>0.52219298245614032</v>
      </c>
      <c r="AI77" s="57">
        <f>[20]January_2019!R8</f>
        <v>0.42912280701754385</v>
      </c>
      <c r="AJ77" s="57" t="e">
        <f>[20]January_2019!S8</f>
        <v>#DIV/0!</v>
      </c>
      <c r="AK77" s="57">
        <f>[20]January_2019!T8</f>
        <v>1.0340350877192983</v>
      </c>
      <c r="AL77" s="57">
        <f>[20]January_2019!U8</f>
        <v>0.98421052631578942</v>
      </c>
      <c r="AM77" s="57" t="e">
        <f>[20]January_2019!V8</f>
        <v>#DIV/0!</v>
      </c>
      <c r="AN77" s="57" t="e">
        <f>[20]January_2019!W8</f>
        <v>#DIV/0!</v>
      </c>
      <c r="AO77" s="57">
        <f>[20]January_2019!X8</f>
        <v>0.66052631578947374</v>
      </c>
      <c r="AP77" s="57">
        <f>[20]January_2019!Y8</f>
        <v>1.0375438596491227</v>
      </c>
      <c r="AQ77" s="57">
        <f>[20]January_2019!Z8</f>
        <v>0.90456140350877201</v>
      </c>
      <c r="AR77" s="57">
        <f>[20]January_2019!AA8</f>
        <v>1.0217543859649123</v>
      </c>
      <c r="AS77" s="57">
        <f>[20]January_2019!AB8</f>
        <v>0.65614035087719302</v>
      </c>
      <c r="AT77" s="57" t="e">
        <f>[20]January_2019!AC8</f>
        <v>#DIV/0!</v>
      </c>
      <c r="AU77" s="57" t="e">
        <f>[20]January_2019!AD8</f>
        <v>#DIV/0!</v>
      </c>
      <c r="AV77" s="57">
        <f>[20]January_2019!AE8</f>
        <v>1.7021052631578948</v>
      </c>
      <c r="AW77" s="57">
        <f>[20]January_2019!AF8</f>
        <v>0.60192982456140354</v>
      </c>
      <c r="AX77" s="57">
        <f>[20]January_2019!AG8</f>
        <v>1.4870175438596491</v>
      </c>
      <c r="AY77" s="277" t="e">
        <f>[20]January_2019!AH8</f>
        <v>#DIV/0!</v>
      </c>
      <c r="AZ77" s="277"/>
      <c r="BA77" s="277"/>
      <c r="BB77" s="277"/>
      <c r="BC77" s="277"/>
      <c r="BD77" s="277"/>
      <c r="BE77" s="277"/>
      <c r="BF77" s="277"/>
    </row>
    <row r="78" spans="2:58" s="54" customFormat="1" ht="42" hidden="1" customHeight="1" thickBot="1">
      <c r="B78" s="446"/>
      <c r="C78" s="283"/>
      <c r="D78" s="279"/>
      <c r="E78" s="279"/>
      <c r="F78" s="279"/>
      <c r="G78" s="279"/>
      <c r="H78" s="447"/>
      <c r="I78" s="447"/>
      <c r="J78" s="438"/>
      <c r="K78" s="437"/>
      <c r="L78" s="314"/>
      <c r="M78" s="281"/>
      <c r="N78" s="13"/>
      <c r="O78" s="13"/>
      <c r="P78" s="50"/>
      <c r="T78" s="272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277"/>
      <c r="AZ78" s="277"/>
      <c r="BA78" s="277"/>
      <c r="BB78" s="277"/>
      <c r="BC78" s="277"/>
      <c r="BD78" s="277"/>
      <c r="BE78" s="277"/>
      <c r="BF78" s="277"/>
    </row>
    <row r="79" spans="2:58" s="54" customFormat="1" ht="14.4" thickBot="1">
      <c r="B79" s="361"/>
      <c r="C79" s="283"/>
      <c r="D79" s="304"/>
      <c r="E79" s="279"/>
      <c r="F79" s="279"/>
      <c r="G79" s="279"/>
      <c r="H79" s="381"/>
      <c r="I79" s="381"/>
      <c r="J79" s="389"/>
      <c r="K79" s="437"/>
      <c r="L79" s="314"/>
      <c r="M79" s="339"/>
      <c r="N79" s="13"/>
      <c r="O79" s="13"/>
      <c r="P79" s="50"/>
      <c r="T79" s="272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277"/>
      <c r="AZ79" s="277"/>
      <c r="BA79" s="277"/>
      <c r="BB79" s="277"/>
      <c r="BC79" s="277"/>
      <c r="BD79" s="277"/>
      <c r="BE79" s="277"/>
      <c r="BF79" s="277"/>
    </row>
    <row r="80" spans="2:58" s="54" customFormat="1" ht="9" hidden="1" customHeight="1">
      <c r="B80" s="387"/>
      <c r="C80" s="283"/>
      <c r="D80" s="279"/>
      <c r="E80" s="279"/>
      <c r="F80" s="279"/>
      <c r="G80" s="279"/>
      <c r="H80" s="320"/>
      <c r="I80" s="322"/>
      <c r="J80" s="281"/>
      <c r="K80" s="286"/>
      <c r="L80" s="314"/>
      <c r="M80" s="339"/>
      <c r="N80" s="13"/>
      <c r="O80" s="13"/>
      <c r="P80" s="50"/>
      <c r="T80" s="272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277"/>
      <c r="AZ80" s="277"/>
      <c r="BA80" s="277"/>
      <c r="BB80" s="277"/>
      <c r="BC80" s="277"/>
      <c r="BD80" s="277"/>
      <c r="BE80" s="277"/>
      <c r="BF80" s="277"/>
    </row>
    <row r="81" spans="2:16" ht="11.4" hidden="1" customHeight="1" thickBot="1">
      <c r="B81" s="33"/>
      <c r="C81" s="310"/>
      <c r="D81" s="279"/>
      <c r="E81" s="279"/>
      <c r="F81" s="279"/>
      <c r="G81" s="279"/>
      <c r="H81" s="352"/>
      <c r="I81" s="353"/>
      <c r="J81" s="281"/>
      <c r="K81" s="52"/>
      <c r="L81" s="53"/>
      <c r="M81" s="55"/>
      <c r="N81" s="77"/>
      <c r="O81" s="13"/>
      <c r="P81" s="56"/>
    </row>
    <row r="82" spans="2:16" ht="14.4" thickBot="1">
      <c r="B82" s="58"/>
      <c r="C82" s="309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9"/>
      <c r="O82" s="56"/>
      <c r="P82" s="60"/>
    </row>
    <row r="83" spans="2:16" ht="14.4" thickBot="1">
      <c r="B83" s="536" t="s">
        <v>55</v>
      </c>
      <c r="C83" s="537"/>
      <c r="D83" s="537"/>
      <c r="E83" s="537"/>
      <c r="F83" s="538"/>
      <c r="G83" s="536" t="s">
        <v>56</v>
      </c>
      <c r="H83" s="537"/>
      <c r="I83" s="537"/>
      <c r="J83" s="538"/>
      <c r="K83" s="536" t="s">
        <v>51</v>
      </c>
      <c r="L83" s="537"/>
      <c r="M83" s="537"/>
      <c r="N83" s="539"/>
      <c r="O83" s="56"/>
      <c r="P83" s="50"/>
    </row>
    <row r="84" spans="2:16">
      <c r="B84" s="61" t="s">
        <v>17</v>
      </c>
      <c r="C84" s="62" t="s">
        <v>36</v>
      </c>
      <c r="D84" s="62" t="s">
        <v>37</v>
      </c>
      <c r="E84" s="62" t="s">
        <v>38</v>
      </c>
      <c r="F84" s="63" t="s">
        <v>39</v>
      </c>
      <c r="G84" s="62" t="s">
        <v>36</v>
      </c>
      <c r="H84" s="62" t="s">
        <v>37</v>
      </c>
      <c r="I84" s="62" t="s">
        <v>38</v>
      </c>
      <c r="J84" s="63" t="s">
        <v>39</v>
      </c>
      <c r="K84" s="62" t="s">
        <v>36</v>
      </c>
      <c r="L84" s="62" t="s">
        <v>37</v>
      </c>
      <c r="M84" s="62" t="s">
        <v>38</v>
      </c>
      <c r="N84" s="63" t="s">
        <v>39</v>
      </c>
      <c r="O84" s="56"/>
      <c r="P84" s="64"/>
    </row>
    <row r="85" spans="2:16">
      <c r="B85" s="29" t="s">
        <v>6</v>
      </c>
      <c r="C85" s="65"/>
      <c r="D85" s="76">
        <v>6.0311994574007359</v>
      </c>
      <c r="E85" s="76">
        <v>7.0597301204277141</v>
      </c>
      <c r="F85" s="66">
        <v>4.8</v>
      </c>
      <c r="G85" s="65"/>
      <c r="H85" s="76">
        <v>6.6890349848055601</v>
      </c>
      <c r="I85" s="76">
        <v>7.5749532449553607</v>
      </c>
      <c r="J85" s="66">
        <v>4.8</v>
      </c>
      <c r="K85" s="67"/>
      <c r="L85" s="194">
        <v>0.65833836858006034</v>
      </c>
      <c r="M85" s="194">
        <v>0.88064718162839251</v>
      </c>
      <c r="N85" s="68">
        <v>1</v>
      </c>
      <c r="O85" s="56"/>
      <c r="P85" s="69"/>
    </row>
    <row r="86" spans="2:16">
      <c r="B86" s="33" t="s">
        <v>9</v>
      </c>
      <c r="C86" s="65"/>
      <c r="D86" s="76">
        <v>6.757007610915168</v>
      </c>
      <c r="E86" s="76">
        <v>6.988403850977833</v>
      </c>
      <c r="F86" s="66">
        <v>4.8</v>
      </c>
      <c r="G86" s="65"/>
      <c r="H86" s="76">
        <v>6.5375947475495648</v>
      </c>
      <c r="I86" s="76">
        <v>6.7136692866007346</v>
      </c>
      <c r="J86" s="66">
        <v>4.8</v>
      </c>
      <c r="K86" s="67"/>
      <c r="L86" s="194">
        <v>0.61874509803921562</v>
      </c>
      <c r="M86" s="194">
        <v>0.76026995305164313</v>
      </c>
      <c r="N86" s="68">
        <v>1</v>
      </c>
      <c r="P86" s="69"/>
    </row>
    <row r="87" spans="2:16">
      <c r="B87" s="34" t="s">
        <v>40</v>
      </c>
      <c r="C87" s="65">
        <f>AVERAGE(L74,L76)</f>
        <v>20.473665930206753</v>
      </c>
      <c r="D87" s="76">
        <v>19.695044472681069</v>
      </c>
      <c r="E87" s="76">
        <v>10.807470311716347</v>
      </c>
      <c r="F87" s="66">
        <v>5.5</v>
      </c>
      <c r="G87" s="65">
        <f>AVERAGE([30]February_2025!$P$32:$Q$32)</f>
        <v>21.499790974589285</v>
      </c>
      <c r="H87" s="76">
        <v>21.688536230021903</v>
      </c>
      <c r="I87" s="76">
        <v>16.885482256220509</v>
      </c>
      <c r="J87" s="66">
        <v>5.5</v>
      </c>
      <c r="K87" s="67">
        <f>AVERAGE(K74,K76)</f>
        <v>0.42192982456140354</v>
      </c>
      <c r="L87" s="194">
        <v>0.31152046783625731</v>
      </c>
      <c r="M87" s="194">
        <v>0.4570760233918128</v>
      </c>
      <c r="N87" s="68">
        <v>1</v>
      </c>
      <c r="P87" s="69"/>
    </row>
    <row r="88" spans="2:16">
      <c r="B88" s="22" t="s">
        <v>33</v>
      </c>
      <c r="C88" s="65"/>
      <c r="D88" s="76"/>
      <c r="E88" s="76">
        <v>3.4056869935468166</v>
      </c>
      <c r="F88" s="66">
        <v>3.3</v>
      </c>
      <c r="G88" s="65"/>
      <c r="H88" s="76"/>
      <c r="I88" s="76">
        <v>5.1745103450267944</v>
      </c>
      <c r="J88" s="66">
        <v>3.3</v>
      </c>
      <c r="K88" s="67"/>
      <c r="L88" s="194"/>
      <c r="M88" s="194">
        <v>0.84666666666666657</v>
      </c>
      <c r="N88" s="68">
        <v>1</v>
      </c>
      <c r="P88" s="69"/>
    </row>
    <row r="89" spans="2:16">
      <c r="B89" s="35" t="s">
        <v>29</v>
      </c>
      <c r="C89" s="65"/>
      <c r="D89" s="76"/>
      <c r="E89" s="76">
        <v>8.8295687885010352</v>
      </c>
      <c r="F89" s="66">
        <v>3.3</v>
      </c>
      <c r="G89" s="282"/>
      <c r="H89" s="76"/>
      <c r="I89" s="76"/>
      <c r="J89" s="66">
        <v>3</v>
      </c>
      <c r="K89" s="67"/>
      <c r="L89" s="194"/>
      <c r="M89" s="194"/>
      <c r="N89" s="68">
        <v>1</v>
      </c>
      <c r="P89" s="69"/>
    </row>
    <row r="90" spans="2:16">
      <c r="B90" s="36" t="s">
        <v>15</v>
      </c>
      <c r="C90" s="282"/>
      <c r="D90" s="76"/>
      <c r="E90" s="76">
        <v>9.9698850155137997</v>
      </c>
      <c r="F90" s="70">
        <f>[21]May_2022!$M$43</f>
        <v>3.4878406700073312</v>
      </c>
      <c r="G90" s="282"/>
      <c r="H90" s="76"/>
      <c r="I90" s="76">
        <v>10.607235567685406</v>
      </c>
      <c r="J90" s="70">
        <v>5.5</v>
      </c>
      <c r="K90" s="67"/>
      <c r="L90" s="194"/>
      <c r="M90" s="194">
        <v>0.66824561403508764</v>
      </c>
      <c r="N90" s="68">
        <v>1</v>
      </c>
      <c r="P90" s="69"/>
    </row>
    <row r="91" spans="2:16">
      <c r="B91" s="37" t="s">
        <v>16</v>
      </c>
      <c r="C91" s="65"/>
      <c r="D91" s="76">
        <v>3.3333333333333082</v>
      </c>
      <c r="E91" s="76">
        <v>9.7384319083441593</v>
      </c>
      <c r="F91" s="66">
        <v>3.3</v>
      </c>
      <c r="G91" s="282"/>
      <c r="H91" s="76">
        <v>5.2583423035521699</v>
      </c>
      <c r="I91" s="76">
        <v>4.5833713915368151</v>
      </c>
      <c r="J91" s="70">
        <v>3.3</v>
      </c>
      <c r="K91" s="67"/>
      <c r="L91" s="194">
        <v>1.0053333333333334</v>
      </c>
      <c r="M91" s="194">
        <v>0.8042528735632184</v>
      </c>
      <c r="N91" s="71">
        <v>1</v>
      </c>
      <c r="P91" s="69"/>
    </row>
    <row r="92" spans="2:16" ht="14.4" thickBot="1">
      <c r="B92" s="468" t="s">
        <v>127</v>
      </c>
      <c r="C92" s="65"/>
      <c r="D92" s="76"/>
      <c r="E92" s="76">
        <v>14.011127971674247</v>
      </c>
      <c r="F92" s="70">
        <v>7.5</v>
      </c>
      <c r="G92" s="282"/>
      <c r="H92" s="76"/>
      <c r="I92" s="76"/>
      <c r="J92" s="72">
        <v>7.5</v>
      </c>
      <c r="K92" s="67"/>
      <c r="L92" s="194"/>
      <c r="M92" s="194"/>
      <c r="N92" s="71">
        <v>1</v>
      </c>
      <c r="P92" s="69"/>
    </row>
    <row r="93" spans="2:16" ht="14.4" thickBot="1">
      <c r="B93" s="435" t="s">
        <v>134</v>
      </c>
      <c r="C93" s="434"/>
      <c r="D93" s="76">
        <v>4.8792508624938291</v>
      </c>
      <c r="E93" s="76">
        <v>14.680255704438421</v>
      </c>
      <c r="F93" s="66">
        <v>5.5</v>
      </c>
      <c r="G93" s="282"/>
      <c r="H93" s="76">
        <v>6.2003723782925313</v>
      </c>
      <c r="I93" s="76">
        <v>6.2003723782925313</v>
      </c>
      <c r="J93" s="433">
        <v>5.5</v>
      </c>
      <c r="K93" s="67"/>
      <c r="L93" s="194">
        <v>1</v>
      </c>
      <c r="M93" s="194">
        <v>0.67719298245614035</v>
      </c>
      <c r="N93" s="71">
        <v>1</v>
      </c>
      <c r="P93" s="69"/>
    </row>
    <row r="94" spans="2:16">
      <c r="C94" s="282"/>
      <c r="D94" s="76">
        <v>14.680255704438421</v>
      </c>
      <c r="E94" s="76">
        <v>7.3657602236725346</v>
      </c>
      <c r="F94" s="341">
        <v>4.5</v>
      </c>
      <c r="G94" s="282"/>
      <c r="H94" s="76">
        <v>10.415313832306602</v>
      </c>
      <c r="I94" s="76">
        <v>8.3968836357774155</v>
      </c>
      <c r="J94" s="342">
        <v>5</v>
      </c>
      <c r="K94" s="67"/>
      <c r="L94" s="194">
        <v>0.55521167883211675</v>
      </c>
      <c r="M94" s="194">
        <v>0.55521167883211675</v>
      </c>
      <c r="N94" s="386">
        <v>1</v>
      </c>
      <c r="O94" s="74"/>
      <c r="P94" s="75"/>
    </row>
    <row r="99" spans="6:30">
      <c r="F99" s="315"/>
    </row>
    <row r="107" spans="6:30">
      <c r="AD107" s="275" t="s">
        <v>57</v>
      </c>
    </row>
  </sheetData>
  <mergeCells count="52">
    <mergeCell ref="Z1:AA1"/>
    <mergeCell ref="B2:O2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  <mergeCell ref="V1:W1"/>
    <mergeCell ref="X1:Y1"/>
    <mergeCell ref="D53:E54"/>
    <mergeCell ref="J8:J9"/>
    <mergeCell ref="K8:K9"/>
    <mergeCell ref="L8:L9"/>
    <mergeCell ref="O8:O9"/>
    <mergeCell ref="I43:N43"/>
    <mergeCell ref="D44:E44"/>
    <mergeCell ref="D47:E48"/>
    <mergeCell ref="D49:E50"/>
    <mergeCell ref="D51:E52"/>
    <mergeCell ref="J57:K57"/>
    <mergeCell ref="L58:N58"/>
    <mergeCell ref="D59:E60"/>
    <mergeCell ref="D61:E62"/>
    <mergeCell ref="D63:E64"/>
    <mergeCell ref="E72:E73"/>
    <mergeCell ref="F72:F73"/>
    <mergeCell ref="D55:E56"/>
    <mergeCell ref="B57:B66"/>
    <mergeCell ref="D57:E58"/>
    <mergeCell ref="D65:E66"/>
    <mergeCell ref="M72:M73"/>
    <mergeCell ref="B83:F83"/>
    <mergeCell ref="G83:J83"/>
    <mergeCell ref="K83:N83"/>
    <mergeCell ref="B45:B56"/>
    <mergeCell ref="D45:E46"/>
    <mergeCell ref="G72:G73"/>
    <mergeCell ref="H72:H73"/>
    <mergeCell ref="I72:I73"/>
    <mergeCell ref="J72:J73"/>
    <mergeCell ref="K72:K73"/>
    <mergeCell ref="L72:L73"/>
    <mergeCell ref="D67:E67"/>
    <mergeCell ref="B72:B73"/>
    <mergeCell ref="C72:C73"/>
    <mergeCell ref="D72:D73"/>
  </mergeCells>
  <conditionalFormatting sqref="B67:B68">
    <cfRule type="cellIs" dxfId="2118" priority="159" operator="notBetween">
      <formula>#REF!</formula>
      <formula>#REF!</formula>
    </cfRule>
  </conditionalFormatting>
  <conditionalFormatting sqref="C71">
    <cfRule type="cellIs" dxfId="2117" priority="190" stopIfTrue="1" operator="lessThan">
      <formula>96</formula>
    </cfRule>
    <cfRule type="cellIs" dxfId="2116" priority="191" stopIfTrue="1" operator="greaterThan">
      <formula>100</formula>
    </cfRule>
  </conditionalFormatting>
  <conditionalFormatting sqref="C85">
    <cfRule type="cellIs" dxfId="2115" priority="100" stopIfTrue="1" operator="greaterThan">
      <formula>$F85</formula>
    </cfRule>
  </conditionalFormatting>
  <conditionalFormatting sqref="C85:C86">
    <cfRule type="cellIs" dxfId="2114" priority="101" stopIfTrue="1" operator="lessThanOrEqual">
      <formula>0</formula>
    </cfRule>
  </conditionalFormatting>
  <conditionalFormatting sqref="C86">
    <cfRule type="cellIs" dxfId="2113" priority="194" stopIfTrue="1" operator="greaterThan">
      <formula>$F85</formula>
    </cfRule>
  </conditionalFormatting>
  <conditionalFormatting sqref="C87:C89">
    <cfRule type="cellIs" dxfId="2112" priority="126" stopIfTrue="1" operator="greaterThan">
      <formula>$F87</formula>
    </cfRule>
  </conditionalFormatting>
  <conditionalFormatting sqref="C87:C90">
    <cfRule type="cellIs" dxfId="2111" priority="137" stopIfTrue="1" operator="lessThanOrEqual">
      <formula>0</formula>
    </cfRule>
  </conditionalFormatting>
  <conditionalFormatting sqref="C90">
    <cfRule type="cellIs" dxfId="2110" priority="136" stopIfTrue="1" operator="greaterThan">
      <formula>$J90</formula>
    </cfRule>
  </conditionalFormatting>
  <conditionalFormatting sqref="C94">
    <cfRule type="cellIs" dxfId="2109" priority="80" stopIfTrue="1" operator="greaterThan">
      <formula>$J94</formula>
    </cfRule>
    <cfRule type="cellIs" dxfId="2108" priority="81" stopIfTrue="1" operator="lessThanOrEqual">
      <formula>0</formula>
    </cfRule>
  </conditionalFormatting>
  <conditionalFormatting sqref="C97:C101">
    <cfRule type="cellIs" dxfId="2107" priority="182" stopIfTrue="1" operator="lessThanOrEqual">
      <formula>0</formula>
    </cfRule>
  </conditionalFormatting>
  <conditionalFormatting sqref="C98:C101">
    <cfRule type="cellIs" dxfId="2106" priority="181" stopIfTrue="1" operator="greaterThan">
      <formula>$F$97</formula>
    </cfRule>
  </conditionalFormatting>
  <conditionalFormatting sqref="C103">
    <cfRule type="cellIs" dxfId="2105" priority="183" stopIfTrue="1" operator="greaterThan">
      <formula>$F$97</formula>
    </cfRule>
    <cfRule type="cellIs" dxfId="2104" priority="184" stopIfTrue="1" operator="lessThanOrEqual">
      <formula>0</formula>
    </cfRule>
  </conditionalFormatting>
  <conditionalFormatting sqref="C97:D97 D99:D105">
    <cfRule type="cellIs" dxfId="2103" priority="176" stopIfTrue="1" operator="greaterThan">
      <formula>4.5</formula>
    </cfRule>
  </conditionalFormatting>
  <conditionalFormatting sqref="D67:D68">
    <cfRule type="cellIs" dxfId="2102" priority="160" operator="notBetween">
      <formula>#REF!</formula>
      <formula>#REF!</formula>
    </cfRule>
  </conditionalFormatting>
  <conditionalFormatting sqref="D85:D93">
    <cfRule type="cellIs" dxfId="2101" priority="149" stopIfTrue="1" operator="lessThanOrEqual">
      <formula>0</formula>
    </cfRule>
  </conditionalFormatting>
  <conditionalFormatting sqref="D94">
    <cfRule type="cellIs" dxfId="2100" priority="148" stopIfTrue="1" operator="lessThanOrEqual">
      <formula>0</formula>
    </cfRule>
  </conditionalFormatting>
  <conditionalFormatting sqref="D97 D99:D105">
    <cfRule type="cellIs" dxfId="2099" priority="177" stopIfTrue="1" operator="lessThanOrEqual">
      <formula>0</formula>
    </cfRule>
  </conditionalFormatting>
  <conditionalFormatting sqref="D98">
    <cfRule type="cellIs" dxfId="2098" priority="168" stopIfTrue="1" operator="greaterThan">
      <formula>$F$97</formula>
    </cfRule>
    <cfRule type="cellIs" dxfId="2097" priority="169" stopIfTrue="1" operator="lessThanOrEqual">
      <formula>0</formula>
    </cfRule>
  </conditionalFormatting>
  <conditionalFormatting sqref="D85:E94">
    <cfRule type="cellIs" dxfId="2096" priority="141" stopIfTrue="1" operator="greaterThan">
      <formula>$F85</formula>
    </cfRule>
  </conditionalFormatting>
  <conditionalFormatting sqref="E10:E42">
    <cfRule type="cellIs" dxfId="2095" priority="8" operator="lessThan">
      <formula>48</formula>
    </cfRule>
  </conditionalFormatting>
  <conditionalFormatting sqref="E71">
    <cfRule type="cellIs" dxfId="2094" priority="170" stopIfTrue="1" operator="lessThan">
      <formula>96.8</formula>
    </cfRule>
    <cfRule type="cellIs" dxfId="2093" priority="171" stopIfTrue="1" operator="greaterThan">
      <formula>100</formula>
    </cfRule>
  </conditionalFormatting>
  <conditionalFormatting sqref="E85:E94">
    <cfRule type="cellIs" dxfId="2092" priority="142" stopIfTrue="1" operator="lessThanOrEqual">
      <formula>0</formula>
    </cfRule>
  </conditionalFormatting>
  <conditionalFormatting sqref="E97:E105">
    <cfRule type="cellIs" dxfId="2091" priority="163" stopIfTrue="1" operator="lessThanOrEqual">
      <formula>0</formula>
    </cfRule>
    <cfRule type="cellIs" dxfId="2090" priority="162" stopIfTrue="1" operator="greaterThan">
      <formula>4.5</formula>
    </cfRule>
  </conditionalFormatting>
  <conditionalFormatting sqref="E70:F71">
    <cfRule type="cellIs" dxfId="2089" priority="173" stopIfTrue="1" operator="greaterThan">
      <formula>100</formula>
    </cfRule>
    <cfRule type="cellIs" dxfId="2088" priority="172" stopIfTrue="1" operator="lessThan">
      <formula>96.5</formula>
    </cfRule>
  </conditionalFormatting>
  <conditionalFormatting sqref="F10:F27">
    <cfRule type="cellIs" dxfId="2087" priority="10" operator="greaterThan">
      <formula>60</formula>
    </cfRule>
  </conditionalFormatting>
  <conditionalFormatting sqref="F28">
    <cfRule type="cellIs" dxfId="2086" priority="200" operator="greaterThan">
      <formula>$AA80</formula>
    </cfRule>
    <cfRule type="cellIs" dxfId="2085" priority="199" operator="greaterThan">
      <formula>$AA28</formula>
    </cfRule>
  </conditionalFormatting>
  <conditionalFormatting sqref="F29:F41">
    <cfRule type="cellIs" dxfId="2084" priority="86" operator="greaterThan">
      <formula>60</formula>
    </cfRule>
  </conditionalFormatting>
  <conditionalFormatting sqref="F42">
    <cfRule type="cellIs" dxfId="2083" priority="202" operator="greaterThan">
      <formula>$AA82</formula>
    </cfRule>
    <cfRule type="cellIs" dxfId="2082" priority="201" operator="greaterThan">
      <formula>$AA42</formula>
    </cfRule>
  </conditionalFormatting>
  <conditionalFormatting sqref="F71">
    <cfRule type="cellIs" dxfId="2081" priority="189" stopIfTrue="1" operator="greaterThan">
      <formula>100</formula>
    </cfRule>
    <cfRule type="cellIs" dxfId="2080" priority="188" stopIfTrue="1" operator="lessThan">
      <formula>96.8</formula>
    </cfRule>
  </conditionalFormatting>
  <conditionalFormatting sqref="F94">
    <cfRule type="cellIs" dxfId="2079" priority="144" stopIfTrue="1" operator="lessThanOrEqual">
      <formula>0</formula>
    </cfRule>
    <cfRule type="cellIs" dxfId="2078" priority="143" stopIfTrue="1" operator="greaterThan">
      <formula>$F94</formula>
    </cfRule>
  </conditionalFormatting>
  <conditionalFormatting sqref="G85:G86 C91:C93">
    <cfRule type="cellIs" dxfId="2077" priority="150" stopIfTrue="1" operator="greaterThan">
      <formula>$F85</formula>
    </cfRule>
    <cfRule type="cellIs" dxfId="2076" priority="151" stopIfTrue="1" operator="lessThanOrEqual">
      <formula>0</formula>
    </cfRule>
  </conditionalFormatting>
  <conditionalFormatting sqref="G85:G86">
    <cfRule type="cellIs" dxfId="2075" priority="107" stopIfTrue="1" operator="greaterThan">
      <formula>$F85</formula>
    </cfRule>
    <cfRule type="cellIs" dxfId="2074" priority="108" stopIfTrue="1" operator="lessThanOrEqual">
      <formula>0</formula>
    </cfRule>
  </conditionalFormatting>
  <conditionalFormatting sqref="G87">
    <cfRule type="cellIs" dxfId="2073" priority="192" stopIfTrue="1" operator="greaterThan">
      <formula>$F86</formula>
    </cfRule>
    <cfRule type="cellIs" dxfId="2072" priority="193" stopIfTrue="1" operator="lessThanOrEqual">
      <formula>0</formula>
    </cfRule>
  </conditionalFormatting>
  <conditionalFormatting sqref="G88">
    <cfRule type="cellIs" dxfId="2071" priority="146" stopIfTrue="1" operator="lessThanOrEqual">
      <formula>0</formula>
    </cfRule>
    <cfRule type="cellIs" dxfId="2070" priority="145" stopIfTrue="1" operator="greaterThan">
      <formula>$F88</formula>
    </cfRule>
  </conditionalFormatting>
  <conditionalFormatting sqref="G89:G94">
    <cfRule type="cellIs" dxfId="2069" priority="153" stopIfTrue="1" operator="lessThanOrEqual">
      <formula>0</formula>
    </cfRule>
    <cfRule type="cellIs" dxfId="2068" priority="152" stopIfTrue="1" operator="greaterThan">
      <formula>$J89</formula>
    </cfRule>
  </conditionalFormatting>
  <conditionalFormatting sqref="G99:G104 C102 C104">
    <cfRule type="cellIs" dxfId="2067" priority="185" stopIfTrue="1" operator="greaterThan">
      <formula>4.5</formula>
    </cfRule>
    <cfRule type="cellIs" dxfId="2066" priority="186" stopIfTrue="1" operator="lessThanOrEqual">
      <formula>0</formula>
    </cfRule>
  </conditionalFormatting>
  <conditionalFormatting sqref="G10:H42">
    <cfRule type="expression" dxfId="2065" priority="11">
      <formula>IF(+(IF(G10&lt;#REF!,0,IF(G10&gt;#REF!,0,1)))=0,1)</formula>
    </cfRule>
  </conditionalFormatting>
  <conditionalFormatting sqref="G98:H98">
    <cfRule type="cellIs" dxfId="2064" priority="167" stopIfTrue="1" operator="lessThanOrEqual">
      <formula>0</formula>
    </cfRule>
    <cfRule type="cellIs" dxfId="2063" priority="166" stopIfTrue="1" operator="greaterThan">
      <formula>$F$97</formula>
    </cfRule>
  </conditionalFormatting>
  <conditionalFormatting sqref="H46:H69 G57:G68">
    <cfRule type="cellIs" dxfId="2062" priority="164" stopIfTrue="1" operator="greaterThan">
      <formula>0</formula>
    </cfRule>
  </conditionalFormatting>
  <conditionalFormatting sqref="H74 H80">
    <cfRule type="cellIs" dxfId="2061" priority="55" stopIfTrue="1" operator="lessThanOrEqual">
      <formula>0</formula>
    </cfRule>
    <cfRule type="cellIs" dxfId="2060" priority="67" stopIfTrue="1" operator="lessThanOrEqual">
      <formula>0</formula>
    </cfRule>
    <cfRule type="cellIs" dxfId="2059" priority="64" stopIfTrue="1" operator="greaterThan">
      <formula>$F$88</formula>
    </cfRule>
    <cfRule type="cellIs" dxfId="2058" priority="65" stopIfTrue="1" operator="lessThanOrEqual">
      <formula>0</formula>
    </cfRule>
    <cfRule type="cellIs" dxfId="2057" priority="66" stopIfTrue="1" operator="greaterThan">
      <formula>$F$86</formula>
    </cfRule>
  </conditionalFormatting>
  <conditionalFormatting sqref="H74 H80:I80">
    <cfRule type="cellIs" dxfId="2056" priority="56" stopIfTrue="1" operator="greaterThan">
      <formula>$F$85</formula>
    </cfRule>
  </conditionalFormatting>
  <conditionalFormatting sqref="H75">
    <cfRule type="cellIs" dxfId="2055" priority="52" stopIfTrue="1" operator="greaterThan">
      <formula>$F$85</formula>
    </cfRule>
    <cfRule type="cellIs" dxfId="2054" priority="41" stopIfTrue="1" operator="lessThanOrEqual">
      <formula>0</formula>
    </cfRule>
    <cfRule type="cellIs" dxfId="2053" priority="42" stopIfTrue="1" operator="greaterThan">
      <formula>$F$84</formula>
    </cfRule>
    <cfRule type="cellIs" dxfId="2052" priority="50" stopIfTrue="1" operator="greaterThan">
      <formula>$F$87</formula>
    </cfRule>
    <cfRule type="cellIs" dxfId="2051" priority="53" stopIfTrue="1" operator="lessThanOrEqual">
      <formula>0</formula>
    </cfRule>
    <cfRule type="cellIs" dxfId="2050" priority="51" stopIfTrue="1" operator="lessThanOrEqual">
      <formula>0</formula>
    </cfRule>
  </conditionalFormatting>
  <conditionalFormatting sqref="H76">
    <cfRule type="cellIs" dxfId="2049" priority="25" stopIfTrue="1" operator="lessThanOrEqual">
      <formula>0</formula>
    </cfRule>
    <cfRule type="cellIs" dxfId="2048" priority="22" stopIfTrue="1" operator="greaterThan">
      <formula>$F$63</formula>
    </cfRule>
    <cfRule type="cellIs" dxfId="2047" priority="24" stopIfTrue="1" operator="greaterThan">
      <formula>$F$61</formula>
    </cfRule>
    <cfRule type="cellIs" dxfId="2046" priority="13" stopIfTrue="1" operator="lessThanOrEqual">
      <formula>0</formula>
    </cfRule>
    <cfRule type="cellIs" dxfId="2045" priority="14" stopIfTrue="1" operator="greaterThan">
      <formula>$F$60</formula>
    </cfRule>
    <cfRule type="cellIs" dxfId="2044" priority="23" stopIfTrue="1" operator="lessThanOrEqual">
      <formula>0</formula>
    </cfRule>
  </conditionalFormatting>
  <conditionalFormatting sqref="H77">
    <cfRule type="cellIs" dxfId="2043" priority="124" stopIfTrue="1" operator="greaterThan">
      <formula>$F$85</formula>
    </cfRule>
    <cfRule type="cellIs" dxfId="2042" priority="114" stopIfTrue="1" operator="greaterThan">
      <formula>$F$84</formula>
    </cfRule>
    <cfRule type="cellIs" dxfId="2041" priority="123" stopIfTrue="1" operator="lessThanOrEqual">
      <formula>0</formula>
    </cfRule>
    <cfRule type="cellIs" dxfId="2040" priority="122" stopIfTrue="1" operator="greaterThan">
      <formula>$F$87</formula>
    </cfRule>
    <cfRule type="cellIs" dxfId="2039" priority="113" stopIfTrue="1" operator="lessThanOrEqual">
      <formula>0</formula>
    </cfRule>
    <cfRule type="cellIs" dxfId="2038" priority="125" stopIfTrue="1" operator="lessThanOrEqual">
      <formula>0</formula>
    </cfRule>
  </conditionalFormatting>
  <conditionalFormatting sqref="H78">
    <cfRule type="cellIs" dxfId="2037" priority="27" stopIfTrue="1" operator="lessThanOrEqual">
      <formula>0</formula>
    </cfRule>
    <cfRule type="cellIs" dxfId="2036" priority="28" stopIfTrue="1" operator="greaterThan">
      <formula>$F$60</formula>
    </cfRule>
    <cfRule type="cellIs" dxfId="2035" priority="39" stopIfTrue="1" operator="lessThanOrEqual">
      <formula>0</formula>
    </cfRule>
    <cfRule type="cellIs" dxfId="2034" priority="37" stopIfTrue="1" operator="lessThanOrEqual">
      <formula>0</formula>
    </cfRule>
    <cfRule type="cellIs" dxfId="2033" priority="36" stopIfTrue="1" operator="greaterThan">
      <formula>$F$63</formula>
    </cfRule>
    <cfRule type="cellIs" dxfId="2032" priority="38" stopIfTrue="1" operator="greaterThan">
      <formula>$F$61</formula>
    </cfRule>
  </conditionalFormatting>
  <conditionalFormatting sqref="H79">
    <cfRule type="cellIs" dxfId="2031" priority="98" stopIfTrue="1" operator="greaterThan">
      <formula>#REF!</formula>
    </cfRule>
    <cfRule type="cellIs" dxfId="2030" priority="89" stopIfTrue="1" operator="lessThanOrEqual">
      <formula>0</formula>
    </cfRule>
    <cfRule type="cellIs" dxfId="2029" priority="90" stopIfTrue="1" operator="greaterThan">
      <formula>#REF!</formula>
    </cfRule>
    <cfRule type="cellIs" dxfId="2028" priority="99" stopIfTrue="1" operator="lessThanOrEqual">
      <formula>0</formula>
    </cfRule>
  </conditionalFormatting>
  <conditionalFormatting sqref="H81">
    <cfRule type="cellIs" dxfId="2027" priority="156" stopIfTrue="1" operator="lessThanOrEqual">
      <formula>0</formula>
    </cfRule>
    <cfRule type="cellIs" dxfId="2026" priority="158" stopIfTrue="1" operator="lessThanOrEqual">
      <formula>0</formula>
    </cfRule>
    <cfRule type="cellIs" dxfId="2025" priority="155" stopIfTrue="1" operator="greaterThan">
      <formula>$F$82</formula>
    </cfRule>
    <cfRule type="cellIs" dxfId="2024" priority="157" stopIfTrue="1" operator="greaterThan">
      <formula>$F$79</formula>
    </cfRule>
  </conditionalFormatting>
  <conditionalFormatting sqref="H85:H93">
    <cfRule type="cellIs" dxfId="2023" priority="134" stopIfTrue="1" operator="greaterThan">
      <formula>$J85</formula>
    </cfRule>
    <cfRule type="cellIs" dxfId="2022" priority="135" stopIfTrue="1" operator="lessThanOrEqual">
      <formula>0</formula>
    </cfRule>
  </conditionalFormatting>
  <conditionalFormatting sqref="H94">
    <cfRule type="cellIs" dxfId="2021" priority="138" operator="greaterThan">
      <formula>5.3</formula>
    </cfRule>
  </conditionalFormatting>
  <conditionalFormatting sqref="H97 H99:H105">
    <cfRule type="cellIs" dxfId="2020" priority="178" stopIfTrue="1" operator="greaterThan">
      <formula>4.5</formula>
    </cfRule>
    <cfRule type="cellIs" dxfId="2019" priority="179" stopIfTrue="1" operator="lessThanOrEqual">
      <formula>0</formula>
    </cfRule>
  </conditionalFormatting>
  <conditionalFormatting sqref="H74:I74 H80:I80">
    <cfRule type="cellIs" dxfId="2018" priority="54" stopIfTrue="1" operator="greaterThan">
      <formula>$F$87</formula>
    </cfRule>
  </conditionalFormatting>
  <conditionalFormatting sqref="H74:I74">
    <cfRule type="cellIs" dxfId="2017" priority="57" stopIfTrue="1" operator="lessThanOrEqual">
      <formula>0</formula>
    </cfRule>
  </conditionalFormatting>
  <conditionalFormatting sqref="H75:I75">
    <cfRule type="cellIs" dxfId="2016" priority="43" stopIfTrue="1" operator="lessThanOrEqual">
      <formula>0</formula>
    </cfRule>
    <cfRule type="cellIs" dxfId="2015" priority="40" stopIfTrue="1" operator="greaterThan">
      <formula>$F$86</formula>
    </cfRule>
  </conditionalFormatting>
  <conditionalFormatting sqref="H76:I76">
    <cfRule type="cellIs" dxfId="2014" priority="15" stopIfTrue="1" operator="lessThanOrEqual">
      <formula>0</formula>
    </cfRule>
    <cfRule type="cellIs" dxfId="2013" priority="12" stopIfTrue="1" operator="greaterThan">
      <formula>$F$62</formula>
    </cfRule>
  </conditionalFormatting>
  <conditionalFormatting sqref="H77:I77">
    <cfRule type="cellIs" dxfId="2012" priority="112" stopIfTrue="1" operator="greaterThan">
      <formula>$F$86</formula>
    </cfRule>
    <cfRule type="cellIs" dxfId="2011" priority="115" stopIfTrue="1" operator="lessThanOrEqual">
      <formula>0</formula>
    </cfRule>
  </conditionalFormatting>
  <conditionalFormatting sqref="H78:I78">
    <cfRule type="cellIs" dxfId="2010" priority="26" stopIfTrue="1" operator="greaterThan">
      <formula>$F$62</formula>
    </cfRule>
    <cfRule type="cellIs" dxfId="2009" priority="29" stopIfTrue="1" operator="lessThanOrEqual">
      <formula>0</formula>
    </cfRule>
  </conditionalFormatting>
  <conditionalFormatting sqref="H79:I79">
    <cfRule type="cellIs" dxfId="2008" priority="88" stopIfTrue="1" operator="greaterThan">
      <formula>#REF!</formula>
    </cfRule>
    <cfRule type="cellIs" dxfId="2007" priority="94" stopIfTrue="1" operator="greaterThan">
      <formula>#REF!</formula>
    </cfRule>
    <cfRule type="cellIs" dxfId="2006" priority="91" stopIfTrue="1" operator="lessThanOrEqual">
      <formula>0</formula>
    </cfRule>
  </conditionalFormatting>
  <conditionalFormatting sqref="H79:I80">
    <cfRule type="cellIs" dxfId="2005" priority="97" stopIfTrue="1" operator="lessThanOrEqual">
      <formula>0</formula>
    </cfRule>
  </conditionalFormatting>
  <conditionalFormatting sqref="I28 I42">
    <cfRule type="cellIs" dxfId="2004" priority="105" operator="lessThan">
      <formula>98</formula>
    </cfRule>
    <cfRule type="cellIs" dxfId="2003" priority="102" operator="lessThan">
      <formula>97.8</formula>
    </cfRule>
  </conditionalFormatting>
  <conditionalFormatting sqref="I74 I80">
    <cfRule type="cellIs" dxfId="2002" priority="62" stopIfTrue="1" operator="greaterThan">
      <formula>$F$85</formula>
    </cfRule>
    <cfRule type="cellIs" dxfId="2001" priority="59" stopIfTrue="1" operator="lessThanOrEqual">
      <formula>0</formula>
    </cfRule>
    <cfRule type="cellIs" dxfId="2000" priority="60" stopIfTrue="1" operator="greaterThan">
      <formula>$F$87</formula>
    </cfRule>
    <cfRule type="cellIs" dxfId="1999" priority="61" stopIfTrue="1" operator="lessThanOrEqual">
      <formula>0</formula>
    </cfRule>
    <cfRule type="cellIs" dxfId="1998" priority="63" stopIfTrue="1" operator="lessThanOrEqual">
      <formula>0</formula>
    </cfRule>
  </conditionalFormatting>
  <conditionalFormatting sqref="I74">
    <cfRule type="cellIs" dxfId="1997" priority="58" stopIfTrue="1" operator="greaterThan">
      <formula>$F$85</formula>
    </cfRule>
  </conditionalFormatting>
  <conditionalFormatting sqref="I75">
    <cfRule type="cellIs" dxfId="1996" priority="46" stopIfTrue="1" operator="greaterThan">
      <formula>$F$86</formula>
    </cfRule>
    <cfRule type="cellIs" dxfId="1995" priority="48" stopIfTrue="1" operator="greaterThan">
      <formula>$F$84</formula>
    </cfRule>
    <cfRule type="cellIs" dxfId="1994" priority="49" stopIfTrue="1" operator="lessThanOrEqual">
      <formula>0</formula>
    </cfRule>
    <cfRule type="cellIs" dxfId="1993" priority="47" stopIfTrue="1" operator="lessThanOrEqual">
      <formula>0</formula>
    </cfRule>
    <cfRule type="cellIs" dxfId="1992" priority="44" stopIfTrue="1" operator="greaterThan">
      <formula>$F$84</formula>
    </cfRule>
    <cfRule type="cellIs" dxfId="1991" priority="45" stopIfTrue="1" operator="lessThanOrEqual">
      <formula>0</formula>
    </cfRule>
  </conditionalFormatting>
  <conditionalFormatting sqref="I76">
    <cfRule type="cellIs" dxfId="1990" priority="21" stopIfTrue="1" operator="lessThanOrEqual">
      <formula>0</formula>
    </cfRule>
    <cfRule type="cellIs" dxfId="1989" priority="20" stopIfTrue="1" operator="greaterThan">
      <formula>$F$60</formula>
    </cfRule>
    <cfRule type="cellIs" dxfId="1988" priority="19" stopIfTrue="1" operator="lessThanOrEqual">
      <formula>0</formula>
    </cfRule>
    <cfRule type="cellIs" dxfId="1987" priority="18" stopIfTrue="1" operator="greaterThan">
      <formula>$F$62</formula>
    </cfRule>
    <cfRule type="cellIs" dxfId="1986" priority="17" stopIfTrue="1" operator="lessThanOrEqual">
      <formula>0</formula>
    </cfRule>
    <cfRule type="cellIs" dxfId="1985" priority="16" stopIfTrue="1" operator="greaterThan">
      <formula>$F$60</formula>
    </cfRule>
  </conditionalFormatting>
  <conditionalFormatting sqref="I77">
    <cfRule type="cellIs" dxfId="1984" priority="116" stopIfTrue="1" operator="greaterThan">
      <formula>$F$84</formula>
    </cfRule>
    <cfRule type="cellIs" dxfId="1983" priority="121" stopIfTrue="1" operator="lessThanOrEqual">
      <formula>0</formula>
    </cfRule>
    <cfRule type="cellIs" dxfId="1982" priority="120" stopIfTrue="1" operator="greaterThan">
      <formula>$F$84</formula>
    </cfRule>
    <cfRule type="cellIs" dxfId="1981" priority="119" stopIfTrue="1" operator="lessThanOrEqual">
      <formula>0</formula>
    </cfRule>
    <cfRule type="cellIs" dxfId="1980" priority="117" stopIfTrue="1" operator="lessThanOrEqual">
      <formula>0</formula>
    </cfRule>
    <cfRule type="cellIs" dxfId="1979" priority="118" stopIfTrue="1" operator="greaterThan">
      <formula>$F$86</formula>
    </cfRule>
  </conditionalFormatting>
  <conditionalFormatting sqref="I78">
    <cfRule type="cellIs" dxfId="1978" priority="33" stopIfTrue="1" operator="lessThanOrEqual">
      <formula>0</formula>
    </cfRule>
    <cfRule type="cellIs" dxfId="1977" priority="32" stopIfTrue="1" operator="greaterThan">
      <formula>$F$62</formula>
    </cfRule>
    <cfRule type="cellIs" dxfId="1976" priority="31" stopIfTrue="1" operator="lessThanOrEqual">
      <formula>0</formula>
    </cfRule>
    <cfRule type="cellIs" dxfId="1975" priority="30" stopIfTrue="1" operator="greaterThan">
      <formula>$F$60</formula>
    </cfRule>
    <cfRule type="cellIs" dxfId="1974" priority="34" stopIfTrue="1" operator="greaterThan">
      <formula>$F$60</formula>
    </cfRule>
    <cfRule type="cellIs" dxfId="1973" priority="35" stopIfTrue="1" operator="lessThanOrEqual">
      <formula>0</formula>
    </cfRule>
  </conditionalFormatting>
  <conditionalFormatting sqref="I79">
    <cfRule type="cellIs" dxfId="1972" priority="93" stopIfTrue="1" operator="lessThanOrEqual">
      <formula>0</formula>
    </cfRule>
    <cfRule type="cellIs" dxfId="1971" priority="92" stopIfTrue="1" operator="greaterThan">
      <formula>#REF!</formula>
    </cfRule>
    <cfRule type="cellIs" dxfId="1970" priority="96" stopIfTrue="1" operator="greaterThan">
      <formula>#REF!</formula>
    </cfRule>
    <cfRule type="cellIs" dxfId="1969" priority="95" stopIfTrue="1" operator="lessThanOrEqual">
      <formula>0</formula>
    </cfRule>
  </conditionalFormatting>
  <conditionalFormatting sqref="I85:I94">
    <cfRule type="cellIs" dxfId="1968" priority="140" stopIfTrue="1" operator="lessThanOrEqual">
      <formula>0</formula>
    </cfRule>
    <cfRule type="cellIs" dxfId="1967" priority="139" stopIfTrue="1" operator="greaterThan">
      <formula>$J85</formula>
    </cfRule>
  </conditionalFormatting>
  <conditionalFormatting sqref="I97:I105">
    <cfRule type="cellIs" dxfId="1966" priority="175" stopIfTrue="1" operator="lessThanOrEqual">
      <formula>0</formula>
    </cfRule>
    <cfRule type="cellIs" dxfId="1965" priority="174" stopIfTrue="1" operator="greaterThan">
      <formula>4.5</formula>
    </cfRule>
  </conditionalFormatting>
  <conditionalFormatting sqref="I10:J27">
    <cfRule type="cellIs" dxfId="1964" priority="1" operator="lessThan">
      <formula>97.9</formula>
    </cfRule>
  </conditionalFormatting>
  <conditionalFormatting sqref="I29:J41">
    <cfRule type="cellIs" dxfId="1963" priority="87" operator="lessThan">
      <formula>97.9</formula>
    </cfRule>
  </conditionalFormatting>
  <conditionalFormatting sqref="J28 J42">
    <cfRule type="cellIs" dxfId="1962" priority="104" operator="lessThan">
      <formula>97.4</formula>
    </cfRule>
    <cfRule type="cellIs" dxfId="1961" priority="103" operator="notBetween">
      <formula>98</formula>
      <formula>99.9</formula>
    </cfRule>
  </conditionalFormatting>
  <conditionalFormatting sqref="J45:J47">
    <cfRule type="cellIs" dxfId="1960" priority="128" stopIfTrue="1" operator="greaterThan">
      <formula>100</formula>
    </cfRule>
    <cfRule type="cellIs" dxfId="1959" priority="129" operator="lessThan">
      <formula>98</formula>
    </cfRule>
    <cfRule type="cellIs" dxfId="1958" priority="127" stopIfTrue="1" operator="lessThan">
      <formula>96.8</formula>
    </cfRule>
  </conditionalFormatting>
  <conditionalFormatting sqref="J45:J49">
    <cfRule type="cellIs" dxfId="1957" priority="106" operator="lessThan">
      <formula>97.4</formula>
    </cfRule>
  </conditionalFormatting>
  <conditionalFormatting sqref="J50">
    <cfRule type="cellIs" dxfId="1956" priority="130" operator="lessThan">
      <formula>98</formula>
    </cfRule>
  </conditionalFormatting>
  <conditionalFormatting sqref="J51:J53">
    <cfRule type="cellIs" dxfId="1955" priority="131" stopIfTrue="1" operator="lessThan">
      <formula>96.8</formula>
    </cfRule>
    <cfRule type="cellIs" dxfId="1954" priority="132" stopIfTrue="1" operator="greaterThan">
      <formula>100</formula>
    </cfRule>
  </conditionalFormatting>
  <conditionalFormatting sqref="J51:J54">
    <cfRule type="cellIs" dxfId="1953" priority="133" operator="lessThan">
      <formula>98</formula>
    </cfRule>
  </conditionalFormatting>
  <conditionalFormatting sqref="K10:K42">
    <cfRule type="cellIs" dxfId="1952" priority="9" operator="greaterThan">
      <formula>6.4</formula>
    </cfRule>
    <cfRule type="cellIs" dxfId="1951" priority="4" operator="greaterThan">
      <formula>6</formula>
    </cfRule>
    <cfRule type="cellIs" dxfId="1950" priority="5" operator="lessThan">
      <formula>4</formula>
    </cfRule>
  </conditionalFormatting>
  <conditionalFormatting sqref="K59:K68">
    <cfRule type="cellIs" dxfId="1949" priority="147" operator="notEqual">
      <formula>#REF!</formula>
    </cfRule>
  </conditionalFormatting>
  <conditionalFormatting sqref="K74:K81 K85:N94">
    <cfRule type="cellIs" dxfId="1948" priority="154" stopIfTrue="1" operator="lessThan">
      <formula>100%</formula>
    </cfRule>
  </conditionalFormatting>
  <conditionalFormatting sqref="K97:K102">
    <cfRule type="cellIs" dxfId="1947" priority="180" stopIfTrue="1" operator="lessThan">
      <formula>100%</formula>
    </cfRule>
  </conditionalFormatting>
  <conditionalFormatting sqref="K104:K105">
    <cfRule type="cellIs" dxfId="1946" priority="187" stopIfTrue="1" operator="lessThan">
      <formula>100%</formula>
    </cfRule>
  </conditionalFormatting>
  <conditionalFormatting sqref="L10:L42">
    <cfRule type="cellIs" dxfId="1945" priority="6" operator="between">
      <formula>61</formula>
      <formula>65</formula>
    </cfRule>
    <cfRule type="cellIs" dxfId="1944" priority="7" operator="greaterThan">
      <formula>65</formula>
    </cfRule>
  </conditionalFormatting>
  <conditionalFormatting sqref="L45:M56">
    <cfRule type="cellIs" dxfId="1943" priority="68" operator="lessThan">
      <formula>98</formula>
    </cfRule>
  </conditionalFormatting>
  <conditionalFormatting sqref="L60:N60">
    <cfRule type="cellIs" dxfId="1942" priority="109" operator="notEqual">
      <formula>#REF!</formula>
    </cfRule>
  </conditionalFormatting>
  <conditionalFormatting sqref="L97:N105">
    <cfRule type="cellIs" dxfId="1941" priority="165" stopIfTrue="1" operator="lessThan">
      <formula>100%</formula>
    </cfRule>
  </conditionalFormatting>
  <conditionalFormatting sqref="M10:M20">
    <cfRule type="expression" dxfId="1940" priority="2">
      <formula>IF(+(IF(M10&lt;V10,0,IF(M10&gt;W10,0,1)))=0,1)</formula>
    </cfRule>
  </conditionalFormatting>
  <conditionalFormatting sqref="M21">
    <cfRule type="expression" dxfId="1939" priority="84">
      <formula>IF(+(IF(M21&lt;U21,0,IF(M21&gt;V21,0,1)))=0,1)</formula>
    </cfRule>
  </conditionalFormatting>
  <conditionalFormatting sqref="M22:M42">
    <cfRule type="expression" dxfId="1938" priority="82">
      <formula>IF(+(IF(M22&lt;V22,0,IF(M22&gt;W22,0,1)))=0,1)</formula>
    </cfRule>
  </conditionalFormatting>
  <conditionalFormatting sqref="M6:N6">
    <cfRule type="cellIs" dxfId="1937" priority="111" operator="greaterThanOrEqual">
      <formula>19</formula>
    </cfRule>
    <cfRule type="cellIs" dxfId="1936" priority="110" operator="greaterThanOrEqual">
      <formula>15</formula>
    </cfRule>
  </conditionalFormatting>
  <conditionalFormatting sqref="N10:N20">
    <cfRule type="expression" dxfId="1935" priority="3">
      <formula>IF(+(IF(N10&lt;X10,0,IF(N10&gt;Y10,0,1)))=0,1)</formula>
    </cfRule>
  </conditionalFormatting>
  <conditionalFormatting sqref="N21">
    <cfRule type="expression" dxfId="1934" priority="70">
      <formula>IF(+(IF(N21&lt;W21,0,IF(N21&gt;X21,0,1)))=0,1)</formula>
    </cfRule>
  </conditionalFormatting>
  <conditionalFormatting sqref="N22:N42">
    <cfRule type="expression" dxfId="1933" priority="83">
      <formula>IF(+(IF(N22&lt;X22,0,IF(N22&gt;Y22,0,1)))=0,1)</formula>
    </cfRule>
  </conditionalFormatting>
  <conditionalFormatting sqref="N28">
    <cfRule type="expression" dxfId="1932" priority="196">
      <formula>IF(+(IF(N28&lt;X80,0,IF(N28&gt;Y80,0,1)))=0,1)</formula>
    </cfRule>
    <cfRule type="expression" dxfId="1931" priority="195">
      <formula>IF(+(IF(N28&lt;X85,0,IF(N28&gt;Y85,0,1)))=0,1)</formula>
    </cfRule>
  </conditionalFormatting>
  <conditionalFormatting sqref="N42">
    <cfRule type="expression" dxfId="1930" priority="197">
      <formula>IF(+(IF(N42&lt;X87,0,IF(N42&gt;Y87,0,1)))=0,1)</formula>
    </cfRule>
    <cfRule type="expression" dxfId="1929" priority="198">
      <formula>IF(+(IF(N42&lt;X82,0,IF(N42&gt;Y82,0,1)))=0,1)</formula>
    </cfRule>
  </conditionalFormatting>
  <conditionalFormatting sqref="P6">
    <cfRule type="cellIs" dxfId="1928" priority="161" operator="greaterThanOrEqual">
      <formula>19</formula>
    </cfRule>
  </conditionalFormatting>
  <dataValidations count="1">
    <dataValidation type="list" allowBlank="1" showInputMessage="1" showErrorMessage="1" sqref="S8 B42" xr:uid="{85838C14-849D-4762-9FC3-A102CA2927B9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9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73B5-DF77-493B-999C-3A39ACA475D0}">
  <sheetPr>
    <pageSetUpPr fitToPage="1"/>
  </sheetPr>
  <dimension ref="A1:BF85"/>
  <sheetViews>
    <sheetView topLeftCell="A54" zoomScale="83" zoomScaleNormal="70" workbookViewId="0">
      <selection activeCell="H54" sqref="H54:I54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45702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3" t="s">
        <v>9</v>
      </c>
      <c r="C10" s="366" t="str">
        <f>[24]Brewhouse!$A76</f>
        <v>ST061</v>
      </c>
      <c r="D10" s="279">
        <f>[24]Brewhouse!$AD76</f>
        <v>53.2</v>
      </c>
      <c r="E10" s="279">
        <f>[24]Brewhouse!$AG76</f>
        <v>50.1</v>
      </c>
      <c r="F10" s="278">
        <f>[24]Brewhouse!$V76</f>
        <v>58</v>
      </c>
      <c r="G10" s="279">
        <f>[24]Brewhouse!$AE76</f>
        <v>11.9</v>
      </c>
      <c r="H10" s="396">
        <v>11.7</v>
      </c>
      <c r="I10" s="417">
        <f>[24]Brewhouse!$AS76</f>
        <v>96.605804702524836</v>
      </c>
      <c r="J10" s="417">
        <f>[24]Brewhouse!$AT76</f>
        <v>99.9697147435283</v>
      </c>
      <c r="K10" s="398">
        <f>[24]Brewhouse!$Q76</f>
        <v>6.4220183486238538</v>
      </c>
      <c r="L10" s="276">
        <f>[24]Brewhouse!$P76</f>
        <v>57</v>
      </c>
      <c r="M10" s="374">
        <f>[24]Brewhouse!$U76-[24]Brewhouse!$T76</f>
        <v>0.11249999999999999</v>
      </c>
      <c r="N10" s="370">
        <f>[24]Brewhouse!$AW76</f>
        <v>0.27361111111111108</v>
      </c>
      <c r="O10" s="418" t="str">
        <f>[24]Brewhouse!$AV76</f>
        <v>R.Sookram</v>
      </c>
      <c r="P10" s="369"/>
      <c r="Q10" s="347"/>
      <c r="S10" s="277" t="str">
        <f t="shared" ref="S10:S13" si="0">B10</f>
        <v>STAG</v>
      </c>
      <c r="T10" s="296">
        <f t="shared" ref="T10:T13" si="1">VLOOKUP($B10,$S$3:$Y$9,2,FALSE)</f>
        <v>11.6</v>
      </c>
      <c r="U10" s="296">
        <f t="shared" ref="U10:U13" si="2">VLOOKUP($B10,$S$3:$Y$9,3,FALSE)</f>
        <v>12</v>
      </c>
      <c r="V10" s="297">
        <f t="shared" ref="V10:V13" si="3">VLOOKUP($B10,$S$3:$Y$9,4,FALSE)</f>
        <v>0</v>
      </c>
      <c r="W10" s="297">
        <f t="shared" ref="W10:W13" si="4">VLOOKUP($B10,$S$3:$Y$9,5,FALSE)</f>
        <v>0.118055555555556</v>
      </c>
      <c r="X10" s="297">
        <f t="shared" ref="X10:X13" si="5">VLOOKUP($B10,$S$3:$Y$9,6,FALSE)</f>
        <v>0.22569444444444445</v>
      </c>
      <c r="Y10" s="297">
        <f t="shared" ref="Y10:Y13" si="6">VLOOKUP($B10,$S$3:$Y$9,7,FALSE)</f>
        <v>0.2638888888888889</v>
      </c>
      <c r="Z10" s="297">
        <f t="shared" ref="Z10:Z13" si="7">VLOOKUP($B10,$S$3:$AA$9,8,FALSE)</f>
        <v>0</v>
      </c>
      <c r="AA10" s="296">
        <f t="shared" ref="AA10:AA13" si="8">VLOOKUP($B10,$S$3:$AA$9,9,FALSE)</f>
        <v>60</v>
      </c>
    </row>
    <row r="11" spans="2:30" ht="14.4">
      <c r="B11" s="33" t="s">
        <v>9</v>
      </c>
      <c r="C11" s="366" t="str">
        <f>[24]Brewhouse!$A77</f>
        <v>ST062</v>
      </c>
      <c r="D11" s="279">
        <f>[24]Brewhouse!$AD77</f>
        <v>53.6</v>
      </c>
      <c r="E11" s="279">
        <f>[24]Brewhouse!$AG77</f>
        <v>50.4</v>
      </c>
      <c r="F11" s="278">
        <f>[24]Brewhouse!$V77</f>
        <v>64</v>
      </c>
      <c r="G11" s="279">
        <f>[24]Brewhouse!$AE77</f>
        <v>11.9</v>
      </c>
      <c r="H11" s="396">
        <v>11.9</v>
      </c>
      <c r="I11" s="417">
        <f>[24]Brewhouse!$AS77</f>
        <v>97.184282574995024</v>
      </c>
      <c r="J11" s="417">
        <f>[24]Brewhouse!$AT77</f>
        <v>100.56833578989671</v>
      </c>
      <c r="K11" s="398">
        <f>[24]Brewhouse!$Q77</f>
        <v>5.8608058608058657</v>
      </c>
      <c r="L11" s="276">
        <f>[24]Brewhouse!$P77</f>
        <v>61</v>
      </c>
      <c r="M11" s="374">
        <f>[24]Brewhouse!$U77-[24]Brewhouse!$T77</f>
        <v>0.1166666666666667</v>
      </c>
      <c r="N11" s="370">
        <f>[24]Brewhouse!$AW77</f>
        <v>0.2673611111111111</v>
      </c>
      <c r="O11" s="418" t="str">
        <f>[24]Brewhouse!$AV77</f>
        <v>K. Benjamin</v>
      </c>
      <c r="P11" s="369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33" t="s">
        <v>9</v>
      </c>
      <c r="C12" s="366" t="str">
        <f>[24]Brewhouse!$A78</f>
        <v>ST063</v>
      </c>
      <c r="D12" s="279">
        <f>[24]Brewhouse!$AD78</f>
        <v>54.1</v>
      </c>
      <c r="E12" s="279">
        <f>[24]Brewhouse!$AG78</f>
        <v>51.1</v>
      </c>
      <c r="F12" s="278">
        <f>[24]Brewhouse!$V78</f>
        <v>61</v>
      </c>
      <c r="G12" s="279">
        <f>[24]Brewhouse!$AE78</f>
        <v>11.8</v>
      </c>
      <c r="H12" s="396">
        <v>11.8</v>
      </c>
      <c r="I12" s="417">
        <f>[24]Brewhouse!$AS78</f>
        <v>97.663482183408107</v>
      </c>
      <c r="J12" s="417">
        <f>[24]Brewhouse!$AT78</f>
        <v>101.06422160447876</v>
      </c>
      <c r="K12" s="398">
        <f>[24]Brewhouse!$Q78</f>
        <v>5.8076225045372105</v>
      </c>
      <c r="L12" s="276">
        <f>[24]Brewhouse!$P78</f>
        <v>61</v>
      </c>
      <c r="M12" s="374">
        <f>[24]Brewhouse!$U78-[24]Brewhouse!$T78</f>
        <v>0.11805555555555552</v>
      </c>
      <c r="N12" s="370">
        <f>[24]Brewhouse!$AW78</f>
        <v>0.2631944444444444</v>
      </c>
      <c r="O12" s="418" t="str">
        <f>[24]Brewhouse!$AV78</f>
        <v>K. Benjamin</v>
      </c>
      <c r="P12" s="369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33" t="s">
        <v>9</v>
      </c>
      <c r="C13" s="366" t="str">
        <f>[24]Brewhouse!$A79</f>
        <v>ST064</v>
      </c>
      <c r="D13" s="279">
        <f>[24]Brewhouse!$AD79</f>
        <v>52.2</v>
      </c>
      <c r="E13" s="279">
        <f>[24]Brewhouse!$AG79</f>
        <v>49.2</v>
      </c>
      <c r="F13" s="278">
        <f>[24]Brewhouse!$V79</f>
        <v>63</v>
      </c>
      <c r="G13" s="279">
        <f>[24]Brewhouse!$AE79</f>
        <v>11.8</v>
      </c>
      <c r="H13" s="396">
        <v>11.8</v>
      </c>
      <c r="I13" s="417">
        <f>[24]Brewhouse!$AS79</f>
        <v>93.680020965087763</v>
      </c>
      <c r="J13" s="417">
        <f>[24]Brewhouse!$AT79</f>
        <v>96.945199794027701</v>
      </c>
      <c r="K13" s="398">
        <f>[24]Brewhouse!$Q79</f>
        <v>6.2157221206581328</v>
      </c>
      <c r="L13" s="276">
        <f>[24]Brewhouse!$P79</f>
        <v>61</v>
      </c>
      <c r="M13" s="374">
        <f>[24]Brewhouse!$U79-[24]Brewhouse!$T79</f>
        <v>0.11736111111111114</v>
      </c>
      <c r="N13" s="370">
        <f>[24]Brewhouse!$AW79</f>
        <v>0.2597222222222223</v>
      </c>
      <c r="O13" s="418" t="str">
        <f>[24]Brewhouse!$AV79</f>
        <v>K. Benjamin</v>
      </c>
      <c r="P13" s="369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 t="s">
        <v>9</v>
      </c>
      <c r="C14" s="366" t="str">
        <f>[24]Brewhouse!$A80</f>
        <v>ST065</v>
      </c>
      <c r="D14" s="279">
        <f>[24]Brewhouse!$AD80</f>
        <v>53.7</v>
      </c>
      <c r="E14" s="279">
        <f>[24]Brewhouse!$AG80</f>
        <v>50.5</v>
      </c>
      <c r="F14" s="278">
        <f>[24]Brewhouse!$V80</f>
        <v>73</v>
      </c>
      <c r="G14" s="279">
        <f>[24]Brewhouse!$AE80</f>
        <v>11.9</v>
      </c>
      <c r="H14" s="396">
        <v>12</v>
      </c>
      <c r="I14" s="417">
        <f>[24]Brewhouse!$AS80</f>
        <v>97.133695082094221</v>
      </c>
      <c r="J14" s="417">
        <f>[24]Brewhouse!$AT80</f>
        <v>100.51816516605794</v>
      </c>
      <c r="K14" s="398">
        <f>[24]Brewhouse!$Q80</f>
        <v>6.0218978102189737</v>
      </c>
      <c r="L14" s="276">
        <f>[24]Brewhouse!$P80</f>
        <v>62</v>
      </c>
      <c r="M14" s="374">
        <f>[24]Brewhouse!$U80-[24]Brewhouse!$T80</f>
        <v>0.12361111111111112</v>
      </c>
      <c r="N14" s="370">
        <f>[24]Brewhouse!$AW80</f>
        <v>0.25972222222222219</v>
      </c>
      <c r="O14" s="418" t="str">
        <f>[24]Brewhouse!$AV80</f>
        <v xml:space="preserve">R.Regis </v>
      </c>
      <c r="P14" s="369"/>
      <c r="Q14" s="347"/>
      <c r="S14" s="277" t="str">
        <f t="shared" ref="S14:S20" si="9">B14</f>
        <v>STAG</v>
      </c>
      <c r="T14" s="296">
        <f t="shared" ref="T14:T20" si="10">VLOOKUP($B14,$S$3:$Y$9,2,FALSE)</f>
        <v>11.6</v>
      </c>
      <c r="U14" s="296">
        <f t="shared" ref="U14:U20" si="11">VLOOKUP($B14,$S$3:$Y$9,3,FALSE)</f>
        <v>12</v>
      </c>
      <c r="V14" s="297">
        <f t="shared" ref="V14:V20" si="12">VLOOKUP($B14,$S$3:$Y$9,4,FALSE)</f>
        <v>0</v>
      </c>
      <c r="W14" s="297">
        <f t="shared" ref="W14:W20" si="13">VLOOKUP($B14,$S$3:$Y$9,5,FALSE)</f>
        <v>0.118055555555556</v>
      </c>
      <c r="X14" s="297">
        <f t="shared" ref="X14:X20" si="14">VLOOKUP($B14,$S$3:$Y$9,6,FALSE)</f>
        <v>0.22569444444444445</v>
      </c>
      <c r="Y14" s="297">
        <f t="shared" ref="Y14:Y20" si="15">VLOOKUP($B14,$S$3:$Y$9,7,FALSE)</f>
        <v>0.2638888888888889</v>
      </c>
      <c r="Z14" s="297">
        <f t="shared" ref="Z14:Z20" si="16">VLOOKUP($B14,$S$3:$AA$9,8,FALSE)</f>
        <v>0</v>
      </c>
      <c r="AA14" s="296">
        <f t="shared" ref="AA14:AA20" si="17">VLOOKUP($B14,$S$3:$AA$9,9,FALSE)</f>
        <v>60</v>
      </c>
    </row>
    <row r="15" spans="2:30" ht="15.75" customHeight="1">
      <c r="B15" s="33" t="s">
        <v>9</v>
      </c>
      <c r="C15" s="366" t="str">
        <f>[24]Brewhouse!$A81</f>
        <v>ST066</v>
      </c>
      <c r="D15" s="279">
        <f>[24]Brewhouse!$AD81</f>
        <v>54.2</v>
      </c>
      <c r="E15" s="279">
        <f>[24]Brewhouse!$AG81</f>
        <v>51.1</v>
      </c>
      <c r="F15" s="278">
        <f>[24]Brewhouse!$V81</f>
        <v>73</v>
      </c>
      <c r="G15" s="279">
        <f>[24]Brewhouse!$AE81</f>
        <v>11.7</v>
      </c>
      <c r="H15" s="396">
        <v>11.9</v>
      </c>
      <c r="I15" s="417">
        <f>[24]Brewhouse!$AS81</f>
        <v>96.430423472800626</v>
      </c>
      <c r="J15" s="417">
        <f>[24]Brewhouse!$AT81</f>
        <v>99.791466456623652</v>
      </c>
      <c r="K15" s="398">
        <f>[24]Brewhouse!$Q81</f>
        <v>6.1930783242258629</v>
      </c>
      <c r="L15" s="276">
        <f>[24]Brewhouse!$P81</f>
        <v>61</v>
      </c>
      <c r="M15" s="374">
        <f>[24]Brewhouse!$U81-[24]Brewhouse!$T81</f>
        <v>0.13402777777777786</v>
      </c>
      <c r="N15" s="370">
        <f>[24]Brewhouse!$AW81</f>
        <v>0.27152777777777781</v>
      </c>
      <c r="O15" s="418" t="str">
        <f>[24]Brewhouse!$AV81</f>
        <v xml:space="preserve">R.Regis </v>
      </c>
      <c r="P15" s="369"/>
      <c r="Q15" s="347"/>
      <c r="S15" s="277" t="str">
        <f t="shared" si="9"/>
        <v>STAG</v>
      </c>
      <c r="T15" s="296">
        <f t="shared" si="10"/>
        <v>11.6</v>
      </c>
      <c r="U15" s="296">
        <f t="shared" si="11"/>
        <v>12</v>
      </c>
      <c r="V15" s="297">
        <f t="shared" si="12"/>
        <v>0</v>
      </c>
      <c r="W15" s="297">
        <f t="shared" si="13"/>
        <v>0.118055555555556</v>
      </c>
      <c r="X15" s="297">
        <f t="shared" si="14"/>
        <v>0.22569444444444445</v>
      </c>
      <c r="Y15" s="297">
        <f t="shared" si="15"/>
        <v>0.2638888888888889</v>
      </c>
      <c r="Z15" s="297">
        <f t="shared" si="16"/>
        <v>0</v>
      </c>
      <c r="AA15" s="296">
        <f t="shared" si="17"/>
        <v>60</v>
      </c>
    </row>
    <row r="16" spans="2:30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9"/>
        <v>0</v>
      </c>
      <c r="T16" s="296" t="e">
        <f t="shared" si="10"/>
        <v>#N/A</v>
      </c>
      <c r="U16" s="296" t="e">
        <f t="shared" si="11"/>
        <v>#N/A</v>
      </c>
      <c r="V16" s="297" t="e">
        <f t="shared" si="12"/>
        <v>#N/A</v>
      </c>
      <c r="W16" s="297" t="e">
        <f t="shared" si="13"/>
        <v>#N/A</v>
      </c>
      <c r="X16" s="297" t="e">
        <f t="shared" si="14"/>
        <v>#N/A</v>
      </c>
      <c r="Y16" s="297" t="e">
        <f t="shared" si="15"/>
        <v>#N/A</v>
      </c>
      <c r="Z16" s="297" t="e">
        <f t="shared" si="16"/>
        <v>#N/A</v>
      </c>
      <c r="AA16" s="296" t="e">
        <f t="shared" si="17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369"/>
      <c r="Q17" s="347"/>
      <c r="S17" s="277">
        <f t="shared" si="9"/>
        <v>0</v>
      </c>
      <c r="T17" s="296" t="e">
        <f t="shared" si="10"/>
        <v>#N/A</v>
      </c>
      <c r="U17" s="296" t="e">
        <f t="shared" si="11"/>
        <v>#N/A</v>
      </c>
      <c r="V17" s="297" t="e">
        <f t="shared" si="12"/>
        <v>#N/A</v>
      </c>
      <c r="W17" s="297" t="e">
        <f t="shared" si="13"/>
        <v>#N/A</v>
      </c>
      <c r="X17" s="297" t="e">
        <f t="shared" si="14"/>
        <v>#N/A</v>
      </c>
      <c r="Y17" s="297" t="e">
        <f t="shared" si="15"/>
        <v>#N/A</v>
      </c>
      <c r="Z17" s="297" t="e">
        <f t="shared" si="16"/>
        <v>#N/A</v>
      </c>
      <c r="AA17" s="296" t="e">
        <f t="shared" si="17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9"/>
        <v>0</v>
      </c>
      <c r="T18" s="296" t="e">
        <f t="shared" si="10"/>
        <v>#N/A</v>
      </c>
      <c r="U18" s="296" t="e">
        <f t="shared" si="11"/>
        <v>#N/A</v>
      </c>
      <c r="V18" s="297" t="e">
        <f t="shared" si="12"/>
        <v>#N/A</v>
      </c>
      <c r="W18" s="297" t="e">
        <f t="shared" si="13"/>
        <v>#N/A</v>
      </c>
      <c r="X18" s="297" t="e">
        <f t="shared" si="14"/>
        <v>#N/A</v>
      </c>
      <c r="Y18" s="297" t="e">
        <f t="shared" si="15"/>
        <v>#N/A</v>
      </c>
      <c r="Z18" s="297" t="e">
        <f t="shared" si="16"/>
        <v>#N/A</v>
      </c>
      <c r="AA18" s="296" t="e">
        <f t="shared" si="17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9"/>
        <v>0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1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66" t="s">
        <v>6</v>
      </c>
      <c r="C23" s="450" cm="1">
        <f t="array" ref="C23:C26">[22]Process!$D$160:$D$163</f>
        <v>11.89</v>
      </c>
      <c r="D23" s="581">
        <v>11.83</v>
      </c>
      <c r="E23" s="518"/>
      <c r="F23" s="294"/>
      <c r="G23" s="294"/>
      <c r="H23" s="294"/>
      <c r="I23" s="29" t="s">
        <v>6</v>
      </c>
      <c r="K23" s="284">
        <f>COUNTA([22]Brewhouse!$A$173:$A$208)</f>
        <v>36</v>
      </c>
      <c r="L23" s="302">
        <f>AVERAGE([22]Brewhouse!$AU$173:$AU$208)</f>
        <v>95.199156187630024</v>
      </c>
      <c r="M23" s="302">
        <f>AVERAGE([22]Brewhouse!$AU$102:$AU$171,[22]Brewhouse!$AU$173:$AU$208)</f>
        <v>94.787667042768192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67"/>
      <c r="C24" s="349">
        <v>12.04</v>
      </c>
      <c r="D24" s="506"/>
      <c r="E24" s="507"/>
      <c r="F24" s="294"/>
      <c r="G24" s="294"/>
      <c r="H24" s="32"/>
      <c r="I24" s="33" t="s">
        <v>9</v>
      </c>
      <c r="J24" s="323">
        <f>AVERAGE(I10:I15)</f>
        <v>96.449618163485084</v>
      </c>
      <c r="K24" s="284">
        <f>COUNTA([24]Brewhouse!$A$66:$A$81)</f>
        <v>16</v>
      </c>
      <c r="L24" s="302">
        <f>AVERAGE([24]Brewhouse!$AS$66:$AS$81)</f>
        <v>95.724886042104586</v>
      </c>
      <c r="M24" s="302">
        <f>AVERAGE([24]Brewhouse!$AS$15:$AS$64,[24]Brewhouse!$AS$66:$AS$81)</f>
        <v>95.991890647038588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67"/>
      <c r="C25" s="362">
        <v>11.8</v>
      </c>
      <c r="D25" s="504">
        <v>11.81</v>
      </c>
      <c r="E25" s="505"/>
      <c r="F25" s="294"/>
      <c r="G25" s="294"/>
      <c r="H25" s="32"/>
      <c r="I25" s="34" t="s">
        <v>12</v>
      </c>
      <c r="J25" s="280"/>
      <c r="K25" s="284">
        <f>COUNTA([23]Brewhouse!$A$9:$A$14)</f>
        <v>6</v>
      </c>
      <c r="L25" s="302">
        <f>AVERAGE([23]Brewhouse!$AU$9:$AU$14)</f>
        <v>96.577361087083986</v>
      </c>
      <c r="M25" s="302">
        <f>AVERAGE([23]Brewhouse!$AU$4:$AU$7,[23]Brewhouse!$AU$9:$AU$14)</f>
        <v>96.787191796473266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 thickBot="1">
      <c r="A26" s="28"/>
      <c r="B26" s="578"/>
      <c r="C26" s="451">
        <v>11.83</v>
      </c>
      <c r="D26" s="582"/>
      <c r="E26" s="558"/>
      <c r="F26" s="294"/>
      <c r="G26" s="294"/>
      <c r="H26" s="32"/>
      <c r="I26" s="22" t="s">
        <v>33</v>
      </c>
      <c r="J26" s="280"/>
      <c r="K26" s="284"/>
      <c r="L26" s="302"/>
      <c r="M26" s="302">
        <f>AVERAGE([25]Brewhouse!$AV$5:$AV$14)</f>
        <v>97.717673301363135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449"/>
      <c r="C27" s="362" cm="1">
        <f t="array" ref="C27:C30">[24]Process!$D$61:$D$64</f>
        <v>11.6</v>
      </c>
      <c r="D27" s="504">
        <v>11.64</v>
      </c>
      <c r="E27" s="505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79" t="s">
        <v>9</v>
      </c>
      <c r="C28" s="349">
        <v>11.88</v>
      </c>
      <c r="D28" s="506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79"/>
      <c r="C29" s="349">
        <v>11.74</v>
      </c>
      <c r="D29" s="504">
        <v>11.81</v>
      </c>
      <c r="E29" s="505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79"/>
      <c r="C30" s="349">
        <v>11.93</v>
      </c>
      <c r="D30" s="506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79"/>
      <c r="C31" s="349"/>
      <c r="D31" s="504"/>
      <c r="E31" s="505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79"/>
      <c r="C32" s="349"/>
      <c r="D32" s="506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79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64</v>
      </c>
      <c r="L33" s="410">
        <f>((L23*K23)+(L24*K24)+(L25*K25)+(L26*K26)+(L27*K27)+(K30*L30)+(L28*K28)+(L29*K29)+(L32*K32))/(K33)</f>
        <v>95.523078465202204</v>
      </c>
      <c r="M33" s="410">
        <f>L33</f>
        <v>95.523078465202204</v>
      </c>
      <c r="N33" s="40">
        <v>98</v>
      </c>
      <c r="O33" s="11"/>
      <c r="P33" s="31"/>
      <c r="S33" s="23"/>
    </row>
    <row r="34" spans="1:57" ht="15" thickBot="1">
      <c r="B34" s="580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52" t="s">
        <v>6</v>
      </c>
      <c r="C35" s="362" cm="1">
        <f t="array" ref="C35:C38">[22]Process!$D$164:$D$167</f>
        <v>11.94</v>
      </c>
      <c r="D35" s="517">
        <v>11.81</v>
      </c>
      <c r="E35" s="518"/>
      <c r="F35" s="43"/>
      <c r="G35" s="41"/>
      <c r="H35" s="41"/>
      <c r="I35" s="42"/>
      <c r="J35" s="520" t="s">
        <v>129</v>
      </c>
      <c r="K35" s="520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52"/>
      <c r="C36" s="349">
        <v>11.75</v>
      </c>
      <c r="D36" s="519"/>
      <c r="E36" s="507"/>
      <c r="F36" s="43"/>
      <c r="G36" s="41"/>
      <c r="H36" s="41"/>
      <c r="I36" s="42"/>
      <c r="J36" s="419" t="s">
        <v>17</v>
      </c>
      <c r="K36" s="293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52"/>
      <c r="C37" s="349">
        <v>11.75</v>
      </c>
      <c r="D37" s="523">
        <v>11.77</v>
      </c>
      <c r="E37" s="505"/>
      <c r="F37" s="43"/>
      <c r="G37" s="41"/>
      <c r="H37" s="41"/>
      <c r="I37" s="42"/>
      <c r="J37" s="420" t="s">
        <v>6</v>
      </c>
      <c r="K37" s="324"/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52"/>
      <c r="C38" s="349">
        <v>11.9</v>
      </c>
      <c r="D38" s="519"/>
      <c r="E38" s="507"/>
      <c r="F38" s="43"/>
      <c r="G38" s="41"/>
      <c r="H38" s="41"/>
      <c r="I38" s="42"/>
      <c r="J38" s="421" t="s">
        <v>9</v>
      </c>
      <c r="K38" s="324">
        <f>COUNTA(B10:B15)</f>
        <v>6</v>
      </c>
      <c r="L38" s="344">
        <f>AVERAGE('Feb 3rd'!K79,'Feb 4th'!K77,'Feb 5th'!L68,'Feb 6th'!K75,'Feb 10th'!K69,'Feb 11th'!K68,'Feb 12th'!K70,'Feb 13th'!K69,'Feb 14th'!K47)</f>
        <v>7</v>
      </c>
      <c r="M38" s="325">
        <f>AVERAGE('[29]Jan 29th '!$M$70,L38)</f>
        <v>6.75</v>
      </c>
      <c r="N38" s="401"/>
      <c r="O38" s="294"/>
      <c r="P38" s="12"/>
      <c r="S38" s="23"/>
    </row>
    <row r="39" spans="1:57" ht="15" customHeight="1">
      <c r="B39" s="552"/>
      <c r="C39" s="349"/>
      <c r="D39" s="523"/>
      <c r="E39" s="505"/>
      <c r="F39" s="43"/>
      <c r="G39" s="41"/>
      <c r="H39" s="41"/>
      <c r="I39" s="42"/>
      <c r="J39" s="422" t="s">
        <v>40</v>
      </c>
      <c r="K39" s="324"/>
      <c r="L39" s="294"/>
      <c r="M39" s="294"/>
      <c r="N39" s="294"/>
      <c r="O39" s="294"/>
      <c r="P39" s="12"/>
      <c r="S39" s="23"/>
    </row>
    <row r="40" spans="1:57" ht="15" customHeight="1">
      <c r="B40" s="552"/>
      <c r="C40" s="349"/>
      <c r="D40" s="519"/>
      <c r="E40" s="507"/>
      <c r="F40" s="43"/>
      <c r="G40" s="41"/>
      <c r="H40" s="41"/>
      <c r="I40" s="42"/>
      <c r="J40" s="423" t="s">
        <v>33</v>
      </c>
      <c r="K40" s="324"/>
      <c r="L40" s="294"/>
      <c r="M40" s="294"/>
      <c r="N40" s="294"/>
      <c r="O40" s="294"/>
      <c r="P40" s="12"/>
      <c r="S40" s="23"/>
    </row>
    <row r="41" spans="1:57" ht="14.4">
      <c r="B41" s="552"/>
      <c r="C41" s="349"/>
      <c r="D41" s="523"/>
      <c r="E41" s="505"/>
      <c r="F41" s="43"/>
      <c r="G41" s="41"/>
      <c r="H41" s="41"/>
      <c r="I41" s="42"/>
      <c r="J41" s="424" t="s">
        <v>16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52"/>
      <c r="C42" s="349"/>
      <c r="D42" s="519"/>
      <c r="E42" s="507"/>
      <c r="F42" s="43"/>
      <c r="G42" s="41"/>
      <c r="H42" s="41"/>
      <c r="I42" s="42"/>
      <c r="J42" s="425" t="s">
        <v>15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52"/>
      <c r="C43" s="349"/>
      <c r="D43" s="524"/>
      <c r="E43" s="509"/>
      <c r="F43" s="43"/>
      <c r="G43" s="41"/>
      <c r="H43" s="41"/>
      <c r="I43" s="42"/>
      <c r="J43" s="425" t="s">
        <v>149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53"/>
      <c r="C44" s="350"/>
      <c r="D44" s="525"/>
      <c r="E44" s="526"/>
      <c r="F44" s="43"/>
      <c r="G44" s="41"/>
      <c r="H44" s="41"/>
      <c r="I44" s="42"/>
      <c r="J44" s="425" t="s">
        <v>148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>
        <f>AVERAGE(D23:E44)</f>
        <v>11.778333333333334</v>
      </c>
      <c r="E45" s="528"/>
      <c r="F45" s="43"/>
      <c r="G45" s="41"/>
      <c r="H45" s="41"/>
      <c r="I45" s="42"/>
      <c r="J45" s="426" t="s">
        <v>134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26" t="s">
        <v>131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>
      <c r="B47" s="45"/>
      <c r="C47" s="11"/>
      <c r="D47" s="11"/>
      <c r="E47" s="46"/>
      <c r="F47" s="23"/>
      <c r="G47" s="11"/>
      <c r="H47" s="41"/>
      <c r="I47" s="42"/>
      <c r="J47" s="427" t="s">
        <v>130</v>
      </c>
      <c r="K47" s="324">
        <f>SUM(K37:K46)</f>
        <v>6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5.75" customHeight="1" thickBot="1">
      <c r="B52" s="428" t="s">
        <v>6</v>
      </c>
      <c r="C52" s="283">
        <v>45702</v>
      </c>
      <c r="D52" s="279">
        <f>[30]February_2025!$Q$3</f>
        <v>193.3</v>
      </c>
      <c r="E52" s="279"/>
      <c r="F52" s="279"/>
      <c r="G52" s="279">
        <f>[30]February_2025!$Q$7</f>
        <v>171.4</v>
      </c>
      <c r="H52" s="320"/>
      <c r="I52" s="322"/>
      <c r="J52" s="390" t="s">
        <v>163</v>
      </c>
      <c r="K52" s="286">
        <f>[32]February_2025!$Q$18</f>
        <v>0.62421052631578955</v>
      </c>
      <c r="L52" s="314">
        <f>(((D52+E52)-G52)/(D52+E52))*100</f>
        <v>11.329539575788932</v>
      </c>
      <c r="M52" s="281" t="s">
        <v>164</v>
      </c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18.75" customHeight="1" thickBo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384"/>
      <c r="N53" s="13"/>
      <c r="O53" s="13"/>
      <c r="P53" s="50"/>
      <c r="T53" s="272" t="s">
        <v>51</v>
      </c>
      <c r="U53" s="57">
        <f>[20]January_2019!D6</f>
        <v>0</v>
      </c>
      <c r="V53" s="57">
        <f>[20]January_2019!E6</f>
        <v>0</v>
      </c>
      <c r="W53" s="57">
        <f>[20]January_2019!F6</f>
        <v>0</v>
      </c>
      <c r="X53" s="57">
        <f>[20]January_2019!G6</f>
        <v>0</v>
      </c>
      <c r="Y53" s="57">
        <f>[20]January_2019!H6</f>
        <v>0</v>
      </c>
      <c r="Z53" s="57">
        <f>[20]January_2019!I6</f>
        <v>0</v>
      </c>
      <c r="AA53" s="57">
        <f>[20]January_2019!J6</f>
        <v>0</v>
      </c>
      <c r="AB53" s="57">
        <f>[20]January_2019!K6</f>
        <v>0</v>
      </c>
      <c r="AC53" s="57">
        <f>[20]January_2019!L6</f>
        <v>0</v>
      </c>
      <c r="AD53" s="57">
        <f>[20]January_2019!M6</f>
        <v>0</v>
      </c>
      <c r="AE53" s="57">
        <f>[20]January_2019!N6</f>
        <v>0</v>
      </c>
      <c r="AF53" s="57">
        <f>[20]January_2019!O6</f>
        <v>0</v>
      </c>
      <c r="AG53" s="57">
        <f>[20]January_2019!P6</f>
        <v>0</v>
      </c>
      <c r="AH53" s="57">
        <f>[20]January_2019!Q6</f>
        <v>0</v>
      </c>
      <c r="AI53" s="57">
        <f>[20]January_2019!R6</f>
        <v>0</v>
      </c>
      <c r="AJ53" s="57">
        <f>[20]January_2019!S6</f>
        <v>0</v>
      </c>
      <c r="AK53" s="57">
        <f>[20]January_2019!T6</f>
        <v>0</v>
      </c>
      <c r="AL53" s="57">
        <f>[20]January_2019!U6</f>
        <v>0</v>
      </c>
      <c r="AM53" s="57">
        <f>[20]January_2019!V6</f>
        <v>0</v>
      </c>
      <c r="AN53" s="57">
        <f>[20]January_2019!W6</f>
        <v>0</v>
      </c>
      <c r="AO53" s="57">
        <f>[20]January_2019!X6</f>
        <v>0</v>
      </c>
      <c r="AP53" s="57">
        <f>[20]January_2019!Y6</f>
        <v>0</v>
      </c>
      <c r="AQ53" s="57">
        <f>[20]January_2019!Z6</f>
        <v>0</v>
      </c>
      <c r="AR53" s="57">
        <f>[20]January_2019!AA6</f>
        <v>0</v>
      </c>
      <c r="AS53" s="57">
        <f>[20]January_2019!AB6</f>
        <v>0</v>
      </c>
      <c r="AT53" s="57">
        <f>[20]January_2019!AC6</f>
        <v>0</v>
      </c>
      <c r="AU53" s="57">
        <f>[20]January_2019!AD6</f>
        <v>0</v>
      </c>
      <c r="AV53" s="57">
        <f>[20]January_2019!AE6</f>
        <v>0</v>
      </c>
      <c r="AW53" s="57">
        <f>[20]January_2019!AF6</f>
        <v>0</v>
      </c>
      <c r="AX53" s="57">
        <f>[20]January_2019!AG6</f>
        <v>0</v>
      </c>
      <c r="AY53" s="277">
        <f>[20]January_2019!AH6</f>
        <v>0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56.4" customHeight="1" thickBot="1">
      <c r="B54" s="448" t="s">
        <v>9</v>
      </c>
      <c r="C54" s="283">
        <v>45702</v>
      </c>
      <c r="D54" s="303">
        <f>[30]February_2025!$Q$13</f>
        <v>198.59999999999997</v>
      </c>
      <c r="E54" s="378"/>
      <c r="F54" s="379">
        <f>SUM([31]STAG!$L$38:$L$41)</f>
        <v>193.5</v>
      </c>
      <c r="G54" s="303">
        <f>[30]February_2025!$Q$17</f>
        <v>184.4</v>
      </c>
      <c r="H54" s="400">
        <f>(D54-F54)/D54*100</f>
        <v>2.5679758308156933</v>
      </c>
      <c r="I54" s="400">
        <f>((F54+E54)-G54)/(F54+E54)*100</f>
        <v>4.7028423772609784</v>
      </c>
      <c r="J54" s="390" t="s">
        <v>163</v>
      </c>
      <c r="K54" s="380">
        <f>[32]February_2025!$Q$25</f>
        <v>0.62421052631578944</v>
      </c>
      <c r="L54" s="314">
        <f>(((D54+E54)-G54)/(D54+E54))*100</f>
        <v>7.1500503524672521</v>
      </c>
      <c r="M54" s="281" t="s">
        <v>164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42" customHeight="1" thickBot="1">
      <c r="B56" s="428" t="str">
        <f>J37</f>
        <v>CARIB</v>
      </c>
      <c r="C56" s="283">
        <v>45702</v>
      </c>
      <c r="D56" s="279">
        <f>[30]February_2025!$R$3</f>
        <v>211.8</v>
      </c>
      <c r="E56" s="279"/>
      <c r="F56" s="279"/>
      <c r="G56" s="279">
        <f>[30]February_2025!$R$7</f>
        <v>201.5</v>
      </c>
      <c r="H56" s="447"/>
      <c r="I56" s="447"/>
      <c r="J56" s="390" t="s">
        <v>163</v>
      </c>
      <c r="K56" s="437">
        <f>[32]February_2025!$R$18</f>
        <v>0.35350877192982455</v>
      </c>
      <c r="L56" s="314">
        <f>(((D56+E56)-G56)/(D56+E56))*100</f>
        <v>4.8630783758262561</v>
      </c>
      <c r="M56" s="281" t="s">
        <v>179</v>
      </c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14.4" thickBot="1">
      <c r="B57" s="361"/>
      <c r="C57" s="283"/>
      <c r="D57" s="304"/>
      <c r="E57" s="279"/>
      <c r="F57" s="279"/>
      <c r="G57" s="279"/>
      <c r="H57" s="381"/>
      <c r="I57" s="381"/>
      <c r="J57" s="389"/>
      <c r="K57" s="437"/>
      <c r="L57" s="314"/>
      <c r="M57" s="339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9" hidden="1" customHeight="1">
      <c r="B58" s="387"/>
      <c r="C58" s="283"/>
      <c r="D58" s="279"/>
      <c r="E58" s="279"/>
      <c r="F58" s="279"/>
      <c r="G58" s="279"/>
      <c r="H58" s="320"/>
      <c r="I58" s="322"/>
      <c r="J58" s="281"/>
      <c r="K58" s="286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ht="11.4" hidden="1" customHeight="1" thickBot="1">
      <c r="B59" s="33"/>
      <c r="C59" s="310"/>
      <c r="D59" s="279"/>
      <c r="E59" s="279"/>
      <c r="F59" s="279"/>
      <c r="G59" s="279"/>
      <c r="H59" s="352"/>
      <c r="I59" s="353"/>
      <c r="J59" s="281"/>
      <c r="K59" s="52"/>
      <c r="L59" s="53"/>
      <c r="M59" s="55"/>
      <c r="N59" s="77"/>
      <c r="O59" s="13"/>
      <c r="P59" s="56"/>
    </row>
    <row r="60" spans="2:58" ht="14.4" thickBot="1">
      <c r="B60" s="58"/>
      <c r="C60" s="30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6"/>
      <c r="P60" s="60"/>
    </row>
    <row r="61" spans="2:58" ht="14.4" thickBot="1">
      <c r="B61" s="536" t="s">
        <v>55</v>
      </c>
      <c r="C61" s="537"/>
      <c r="D61" s="537"/>
      <c r="E61" s="537"/>
      <c r="F61" s="538"/>
      <c r="G61" s="536" t="s">
        <v>56</v>
      </c>
      <c r="H61" s="537"/>
      <c r="I61" s="537"/>
      <c r="J61" s="538"/>
      <c r="K61" s="536" t="s">
        <v>51</v>
      </c>
      <c r="L61" s="537"/>
      <c r="M61" s="537"/>
      <c r="N61" s="539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>
        <f>AVERAGE(L52,L56)</f>
        <v>8.0963089758075935</v>
      </c>
      <c r="D63" s="76">
        <v>6.5669589135293176</v>
      </c>
      <c r="E63" s="76">
        <v>7.0781180158218033</v>
      </c>
      <c r="F63" s="66">
        <v>4.8</v>
      </c>
      <c r="G63" s="65">
        <f>AVERAGE([30]February_2025!$Q$11:$R$11)</f>
        <v>8.8110621552971331</v>
      </c>
      <c r="H63" s="76">
        <v>7.2365938479763425</v>
      </c>
      <c r="I63" s="76">
        <v>7.742194934078829</v>
      </c>
      <c r="J63" s="66">
        <v>4.8</v>
      </c>
      <c r="K63" s="67">
        <f>AVERAGE(K52,K56)</f>
        <v>0.48885964912280705</v>
      </c>
      <c r="L63" s="194">
        <v>0.614260838505157</v>
      </c>
      <c r="M63" s="194">
        <v>0.84506946219373713</v>
      </c>
      <c r="N63" s="68">
        <v>1</v>
      </c>
      <c r="O63" s="56"/>
      <c r="P63" s="69"/>
    </row>
    <row r="64" spans="2:58">
      <c r="B64" s="33" t="s">
        <v>9</v>
      </c>
      <c r="C64" s="65">
        <f>L54</f>
        <v>7.1500503524672521</v>
      </c>
      <c r="D64" s="76">
        <v>6.6241169909530218</v>
      </c>
      <c r="E64" s="76">
        <v>6.9795477013311773</v>
      </c>
      <c r="F64" s="66">
        <v>4.8</v>
      </c>
      <c r="G64" s="65">
        <f>[30]February_2025!$Q$21</f>
        <v>7.6771790203769976</v>
      </c>
      <c r="H64" s="76">
        <v>6.5438307865505001</v>
      </c>
      <c r="I64" s="76">
        <v>6.7059091567256077</v>
      </c>
      <c r="J64" s="66">
        <v>4.8</v>
      </c>
      <c r="K64" s="67">
        <f>K54</f>
        <v>0.62421052631578944</v>
      </c>
      <c r="L64" s="194">
        <v>0.61918200707621074</v>
      </c>
      <c r="M64" s="194">
        <v>0.75354343167523652</v>
      </c>
      <c r="N64" s="68">
        <v>1</v>
      </c>
      <c r="P64" s="69"/>
    </row>
    <row r="65" spans="2:16">
      <c r="B65" s="34" t="s">
        <v>40</v>
      </c>
      <c r="C65" s="65"/>
      <c r="D65" s="76">
        <v>18.104405775638647</v>
      </c>
      <c r="E65" s="76">
        <v>10.644922290823926</v>
      </c>
      <c r="F65" s="66">
        <v>5.5</v>
      </c>
      <c r="G65" s="65"/>
      <c r="H65" s="76">
        <v>20.086278780699747</v>
      </c>
      <c r="I65" s="76">
        <v>15.811420854943506</v>
      </c>
      <c r="J65" s="66">
        <v>5.5</v>
      </c>
      <c r="K65" s="67"/>
      <c r="L65" s="194">
        <v>0.31152046783625731</v>
      </c>
      <c r="M65" s="194">
        <v>0.4570760233918128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3.4056869935468166</v>
      </c>
      <c r="F66" s="66">
        <v>3.3</v>
      </c>
      <c r="G66" s="65"/>
      <c r="H66" s="76"/>
      <c r="I66" s="76">
        <v>5.1745103450267944</v>
      </c>
      <c r="J66" s="66">
        <v>3.3</v>
      </c>
      <c r="K66" s="67"/>
      <c r="L66" s="194"/>
      <c r="M66" s="194">
        <v>0.84666666666666657</v>
      </c>
      <c r="N66" s="68">
        <v>1</v>
      </c>
      <c r="P66" s="69"/>
    </row>
    <row r="67" spans="2:16">
      <c r="B67" s="35" t="s">
        <v>29</v>
      </c>
      <c r="C67" s="65"/>
      <c r="D67" s="76"/>
      <c r="E67" s="76">
        <v>8.8295687885010352</v>
      </c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9.9698850155137997</v>
      </c>
      <c r="F68" s="70">
        <f>[21]May_2022!$M$43</f>
        <v>3.4878406700073312</v>
      </c>
      <c r="G68" s="282"/>
      <c r="H68" s="76"/>
      <c r="I68" s="76">
        <v>10.607235567685406</v>
      </c>
      <c r="J68" s="70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>
        <v>3.3333333333333082</v>
      </c>
      <c r="E69" s="76">
        <v>9.7384319083441593</v>
      </c>
      <c r="F69" s="66">
        <v>3.3</v>
      </c>
      <c r="G69" s="282"/>
      <c r="H69" s="76">
        <v>5.2583423035521699</v>
      </c>
      <c r="I69" s="76">
        <v>4.5833713915368151</v>
      </c>
      <c r="J69" s="70">
        <v>3.3</v>
      </c>
      <c r="K69" s="67"/>
      <c r="L69" s="194">
        <v>1.0053333333333334</v>
      </c>
      <c r="M69" s="194">
        <v>0.8042528735632184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>
        <v>14.011127971674247</v>
      </c>
      <c r="F70" s="70">
        <v>7.5</v>
      </c>
      <c r="G70" s="282"/>
      <c r="H70" s="76"/>
      <c r="I70" s="76"/>
      <c r="J70" s="72">
        <v>7.5</v>
      </c>
      <c r="K70" s="67"/>
      <c r="L70" s="194"/>
      <c r="M70" s="194"/>
      <c r="N70" s="71">
        <v>1</v>
      </c>
      <c r="P70" s="69"/>
    </row>
    <row r="71" spans="2:16" ht="14.4" thickBot="1">
      <c r="B71" s="435" t="s">
        <v>134</v>
      </c>
      <c r="C71" s="434"/>
      <c r="D71" s="76">
        <v>4.8792508624938291</v>
      </c>
      <c r="E71" s="76">
        <v>13.968869971624102</v>
      </c>
      <c r="F71" s="66">
        <v>5.5</v>
      </c>
      <c r="G71" s="282"/>
      <c r="H71" s="76">
        <v>6.2003723782925313</v>
      </c>
      <c r="I71" s="76">
        <v>6.2003723782925313</v>
      </c>
      <c r="J71" s="433">
        <v>5.5</v>
      </c>
      <c r="K71" s="67"/>
      <c r="L71" s="194">
        <v>1</v>
      </c>
      <c r="M71" s="194">
        <v>0.67719298245614035</v>
      </c>
      <c r="N71" s="71">
        <v>1</v>
      </c>
      <c r="P71" s="69"/>
    </row>
    <row r="72" spans="2:16">
      <c r="C72" s="282"/>
      <c r="D72" s="76">
        <v>13.968869971624102</v>
      </c>
      <c r="E72" s="76">
        <v>7.3600396789745988</v>
      </c>
      <c r="F72" s="341">
        <v>4.5</v>
      </c>
      <c r="G72" s="282"/>
      <c r="H72" s="76">
        <v>9.7308568955635284</v>
      </c>
      <c r="I72" s="76">
        <v>8.2048260501075188</v>
      </c>
      <c r="J72" s="342">
        <v>5</v>
      </c>
      <c r="K72" s="67"/>
      <c r="L72" s="194">
        <v>0.55806430144221564</v>
      </c>
      <c r="M72" s="194">
        <v>0.55806430144221564</v>
      </c>
      <c r="N72" s="386">
        <v>1</v>
      </c>
      <c r="O72" s="74"/>
      <c r="P72" s="75"/>
    </row>
    <row r="77" spans="2:16">
      <c r="F77" s="315"/>
    </row>
    <row r="85" spans="30:30">
      <c r="AD85" s="275" t="s">
        <v>57</v>
      </c>
    </row>
  </sheetData>
  <mergeCells count="53">
    <mergeCell ref="X1:Y1"/>
    <mergeCell ref="Z1:AA1"/>
    <mergeCell ref="B2:O2"/>
    <mergeCell ref="L8:L9"/>
    <mergeCell ref="O8:O9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  <mergeCell ref="V1:W1"/>
    <mergeCell ref="D29:E30"/>
    <mergeCell ref="D31:E32"/>
    <mergeCell ref="D33:E34"/>
    <mergeCell ref="J8:J9"/>
    <mergeCell ref="K8:K9"/>
    <mergeCell ref="I21:N21"/>
    <mergeCell ref="D22:E22"/>
    <mergeCell ref="D23:E24"/>
    <mergeCell ref="D25:E26"/>
    <mergeCell ref="D27:E28"/>
    <mergeCell ref="L36:N36"/>
    <mergeCell ref="D37:E38"/>
    <mergeCell ref="D39:E40"/>
    <mergeCell ref="D41:E42"/>
    <mergeCell ref="D43:E44"/>
    <mergeCell ref="E50:E51"/>
    <mergeCell ref="F50:F51"/>
    <mergeCell ref="B35:B44"/>
    <mergeCell ref="D35:E36"/>
    <mergeCell ref="J35:K35"/>
    <mergeCell ref="M50:M51"/>
    <mergeCell ref="B61:F61"/>
    <mergeCell ref="G61:J61"/>
    <mergeCell ref="K61:N61"/>
    <mergeCell ref="B23:B26"/>
    <mergeCell ref="B28:B34"/>
    <mergeCell ref="G50:G51"/>
    <mergeCell ref="H50:H51"/>
    <mergeCell ref="I50:I51"/>
    <mergeCell ref="J50:J51"/>
    <mergeCell ref="K50:K51"/>
    <mergeCell ref="L50:L51"/>
    <mergeCell ref="D45:E45"/>
    <mergeCell ref="B50:B51"/>
    <mergeCell ref="C50:C51"/>
    <mergeCell ref="D50:D51"/>
  </mergeCells>
  <conditionalFormatting sqref="B45:B46">
    <cfRule type="cellIs" dxfId="1927" priority="172" operator="notBetween">
      <formula>#REF!</formula>
      <formula>#REF!</formula>
    </cfRule>
  </conditionalFormatting>
  <conditionalFormatting sqref="C49">
    <cfRule type="cellIs" dxfId="1926" priority="204" stopIfTrue="1" operator="greaterThan">
      <formula>100</formula>
    </cfRule>
    <cfRule type="cellIs" dxfId="1925" priority="203" stopIfTrue="1" operator="lessThan">
      <formula>96</formula>
    </cfRule>
  </conditionalFormatting>
  <conditionalFormatting sqref="C63">
    <cfRule type="cellIs" dxfId="1924" priority="113" stopIfTrue="1" operator="greaterThan">
      <formula>$F63</formula>
    </cfRule>
  </conditionalFormatting>
  <conditionalFormatting sqref="C63:C64">
    <cfRule type="cellIs" dxfId="1923" priority="114" stopIfTrue="1" operator="lessThanOrEqual">
      <formula>0</formula>
    </cfRule>
  </conditionalFormatting>
  <conditionalFormatting sqref="C64">
    <cfRule type="cellIs" dxfId="1922" priority="207" stopIfTrue="1" operator="greaterThan">
      <formula>$F63</formula>
    </cfRule>
  </conditionalFormatting>
  <conditionalFormatting sqref="C65:C67">
    <cfRule type="cellIs" dxfId="1921" priority="139" stopIfTrue="1" operator="greaterThan">
      <formula>$F65</formula>
    </cfRule>
  </conditionalFormatting>
  <conditionalFormatting sqref="C65:C68">
    <cfRule type="cellIs" dxfId="1920" priority="150" stopIfTrue="1" operator="lessThanOrEqual">
      <formula>0</formula>
    </cfRule>
  </conditionalFormatting>
  <conditionalFormatting sqref="C68">
    <cfRule type="cellIs" dxfId="1919" priority="149" stopIfTrue="1" operator="greaterThan">
      <formula>$J68</formula>
    </cfRule>
  </conditionalFormatting>
  <conditionalFormatting sqref="C72">
    <cfRule type="cellIs" dxfId="1918" priority="95" stopIfTrue="1" operator="lessThanOrEqual">
      <formula>0</formula>
    </cfRule>
    <cfRule type="cellIs" dxfId="1917" priority="94" stopIfTrue="1" operator="greaterThan">
      <formula>$J72</formula>
    </cfRule>
  </conditionalFormatting>
  <conditionalFormatting sqref="C75:C79">
    <cfRule type="cellIs" dxfId="1916" priority="195" stopIfTrue="1" operator="lessThanOrEqual">
      <formula>0</formula>
    </cfRule>
  </conditionalFormatting>
  <conditionalFormatting sqref="C76:C79">
    <cfRule type="cellIs" dxfId="1915" priority="194" stopIfTrue="1" operator="greaterThan">
      <formula>$F$75</formula>
    </cfRule>
  </conditionalFormatting>
  <conditionalFormatting sqref="C81">
    <cfRule type="cellIs" dxfId="1914" priority="197" stopIfTrue="1" operator="lessThanOrEqual">
      <formula>0</formula>
    </cfRule>
    <cfRule type="cellIs" dxfId="1913" priority="196" stopIfTrue="1" operator="greaterThan">
      <formula>$F$75</formula>
    </cfRule>
  </conditionalFormatting>
  <conditionalFormatting sqref="C75:D75 D77:D83">
    <cfRule type="cellIs" dxfId="1912" priority="189" stopIfTrue="1" operator="greaterThan">
      <formula>4.5</formula>
    </cfRule>
  </conditionalFormatting>
  <conditionalFormatting sqref="D45:D46">
    <cfRule type="cellIs" dxfId="1911" priority="173" operator="notBetween">
      <formula>#REF!</formula>
      <formula>#REF!</formula>
    </cfRule>
  </conditionalFormatting>
  <conditionalFormatting sqref="D63:D71">
    <cfRule type="cellIs" dxfId="1910" priority="162" stopIfTrue="1" operator="lessThanOrEqual">
      <formula>0</formula>
    </cfRule>
  </conditionalFormatting>
  <conditionalFormatting sqref="D72">
    <cfRule type="cellIs" dxfId="1909" priority="161" stopIfTrue="1" operator="lessThanOrEqual">
      <formula>0</formula>
    </cfRule>
  </conditionalFormatting>
  <conditionalFormatting sqref="D75 D77:D83">
    <cfRule type="cellIs" dxfId="1908" priority="190" stopIfTrue="1" operator="lessThanOrEqual">
      <formula>0</formula>
    </cfRule>
  </conditionalFormatting>
  <conditionalFormatting sqref="D76">
    <cfRule type="cellIs" dxfId="1907" priority="182" stopIfTrue="1" operator="lessThanOrEqual">
      <formula>0</formula>
    </cfRule>
    <cfRule type="cellIs" dxfId="1906" priority="181" stopIfTrue="1" operator="greaterThan">
      <formula>$F$75</formula>
    </cfRule>
  </conditionalFormatting>
  <conditionalFormatting sqref="D63:E72">
    <cfRule type="cellIs" dxfId="1905" priority="154" stopIfTrue="1" operator="greaterThan">
      <formula>$F63</formula>
    </cfRule>
  </conditionalFormatting>
  <conditionalFormatting sqref="E10:E20">
    <cfRule type="cellIs" dxfId="1904" priority="90" operator="lessThan">
      <formula>48</formula>
    </cfRule>
  </conditionalFormatting>
  <conditionalFormatting sqref="E49">
    <cfRule type="cellIs" dxfId="1903" priority="184" stopIfTrue="1" operator="greaterThan">
      <formula>100</formula>
    </cfRule>
    <cfRule type="cellIs" dxfId="1902" priority="183" stopIfTrue="1" operator="lessThan">
      <formula>96.8</formula>
    </cfRule>
  </conditionalFormatting>
  <conditionalFormatting sqref="E63:E72">
    <cfRule type="cellIs" dxfId="1901" priority="155" stopIfTrue="1" operator="lessThanOrEqual">
      <formula>0</formula>
    </cfRule>
  </conditionalFormatting>
  <conditionalFormatting sqref="E75:E83">
    <cfRule type="cellIs" dxfId="1900" priority="176" stopIfTrue="1" operator="lessThanOrEqual">
      <formula>0</formula>
    </cfRule>
    <cfRule type="cellIs" dxfId="1899" priority="175" stopIfTrue="1" operator="greaterThan">
      <formula>4.5</formula>
    </cfRule>
  </conditionalFormatting>
  <conditionalFormatting sqref="E48:F49">
    <cfRule type="cellIs" dxfId="1898" priority="186" stopIfTrue="1" operator="greaterThan">
      <formula>100</formula>
    </cfRule>
    <cfRule type="cellIs" dxfId="1897" priority="185" stopIfTrue="1" operator="lessThan">
      <formula>96.5</formula>
    </cfRule>
  </conditionalFormatting>
  <conditionalFormatting sqref="F10:F19">
    <cfRule type="cellIs" dxfId="1896" priority="92" operator="greaterThan">
      <formula>60</formula>
    </cfRule>
  </conditionalFormatting>
  <conditionalFormatting sqref="F20">
    <cfRule type="cellIs" dxfId="1895" priority="215" operator="greaterThan">
      <formula>$AA60</formula>
    </cfRule>
    <cfRule type="cellIs" dxfId="1894" priority="214" operator="greaterThan">
      <formula>$AA20</formula>
    </cfRule>
  </conditionalFormatting>
  <conditionalFormatting sqref="F49">
    <cfRule type="cellIs" dxfId="1893" priority="201" stopIfTrue="1" operator="lessThan">
      <formula>96.8</formula>
    </cfRule>
    <cfRule type="cellIs" dxfId="1892" priority="202" stopIfTrue="1" operator="greaterThan">
      <formula>100</formula>
    </cfRule>
  </conditionalFormatting>
  <conditionalFormatting sqref="F72">
    <cfRule type="cellIs" dxfId="1891" priority="157" stopIfTrue="1" operator="lessThanOrEqual">
      <formula>0</formula>
    </cfRule>
    <cfRule type="cellIs" dxfId="1890" priority="156" stopIfTrue="1" operator="greaterThan">
      <formula>$F72</formula>
    </cfRule>
  </conditionalFormatting>
  <conditionalFormatting sqref="G63:G64 C69:C71">
    <cfRule type="cellIs" dxfId="1889" priority="164" stopIfTrue="1" operator="lessThanOrEqual">
      <formula>0</formula>
    </cfRule>
    <cfRule type="cellIs" dxfId="1888" priority="163" stopIfTrue="1" operator="greaterThan">
      <formula>$F63</formula>
    </cfRule>
  </conditionalFormatting>
  <conditionalFormatting sqref="G63:G64">
    <cfRule type="cellIs" dxfId="1887" priority="121" stopIfTrue="1" operator="lessThanOrEqual">
      <formula>0</formula>
    </cfRule>
    <cfRule type="cellIs" dxfId="1886" priority="120" stopIfTrue="1" operator="greaterThan">
      <formula>$F63</formula>
    </cfRule>
  </conditionalFormatting>
  <conditionalFormatting sqref="G65">
    <cfRule type="cellIs" dxfId="1885" priority="206" stopIfTrue="1" operator="lessThanOrEqual">
      <formula>0</formula>
    </cfRule>
    <cfRule type="cellIs" dxfId="1884" priority="205" stopIfTrue="1" operator="greaterThan">
      <formula>$F64</formula>
    </cfRule>
  </conditionalFormatting>
  <conditionalFormatting sqref="G66">
    <cfRule type="cellIs" dxfId="1883" priority="158" stopIfTrue="1" operator="greaterThan">
      <formula>$F66</formula>
    </cfRule>
    <cfRule type="cellIs" dxfId="1882" priority="159" stopIfTrue="1" operator="lessThanOrEqual">
      <formula>0</formula>
    </cfRule>
  </conditionalFormatting>
  <conditionalFormatting sqref="G67:G72">
    <cfRule type="cellIs" dxfId="1881" priority="166" stopIfTrue="1" operator="lessThanOrEqual">
      <formula>0</formula>
    </cfRule>
    <cfRule type="cellIs" dxfId="1880" priority="165" stopIfTrue="1" operator="greaterThan">
      <formula>$J67</formula>
    </cfRule>
  </conditionalFormatting>
  <conditionalFormatting sqref="G77:G82 C80 C82">
    <cfRule type="cellIs" dxfId="1879" priority="199" stopIfTrue="1" operator="lessThanOrEqual">
      <formula>0</formula>
    </cfRule>
    <cfRule type="cellIs" dxfId="1878" priority="198" stopIfTrue="1" operator="greaterThan">
      <formula>4.5</formula>
    </cfRule>
  </conditionalFormatting>
  <conditionalFormatting sqref="G10:H20">
    <cfRule type="expression" dxfId="1877" priority="93">
      <formula>IF(+(IF(G10&lt;#REF!,0,IF(G10&gt;#REF!,0,1)))=0,1)</formula>
    </cfRule>
  </conditionalFormatting>
  <conditionalFormatting sqref="G76:H76">
    <cfRule type="cellIs" dxfId="1876" priority="180" stopIfTrue="1" operator="lessThanOrEqual">
      <formula>0</formula>
    </cfRule>
    <cfRule type="cellIs" dxfId="1875" priority="179" stopIfTrue="1" operator="greaterThan">
      <formula>$F$75</formula>
    </cfRule>
  </conditionalFormatting>
  <conditionalFormatting sqref="H24:H47 G35:G46">
    <cfRule type="cellIs" dxfId="1874" priority="177" stopIfTrue="1" operator="greaterThan">
      <formula>0</formula>
    </cfRule>
  </conditionalFormatting>
  <conditionalFormatting sqref="H52 H58">
    <cfRule type="cellIs" dxfId="1873" priority="80" stopIfTrue="1" operator="greaterThan">
      <formula>$F$64</formula>
    </cfRule>
    <cfRule type="cellIs" dxfId="1872" priority="78" stopIfTrue="1" operator="greaterThan">
      <formula>$F$66</formula>
    </cfRule>
    <cfRule type="cellIs" dxfId="1871" priority="79" stopIfTrue="1" operator="lessThanOrEqual">
      <formula>0</formula>
    </cfRule>
    <cfRule type="cellIs" dxfId="1870" priority="81" stopIfTrue="1" operator="lessThanOrEqual">
      <formula>0</formula>
    </cfRule>
    <cfRule type="cellIs" dxfId="1869" priority="69" stopIfTrue="1" operator="lessThanOrEqual">
      <formula>0</formula>
    </cfRule>
  </conditionalFormatting>
  <conditionalFormatting sqref="H52 H58:I58">
    <cfRule type="cellIs" dxfId="1868" priority="70" stopIfTrue="1" operator="greaterThan">
      <formula>$F$63</formula>
    </cfRule>
  </conditionalFormatting>
  <conditionalFormatting sqref="H53">
    <cfRule type="cellIs" dxfId="1867" priority="64" stopIfTrue="1" operator="greaterThan">
      <formula>$F$65</formula>
    </cfRule>
    <cfRule type="cellIs" dxfId="1866" priority="67" stopIfTrue="1" operator="lessThanOrEqual">
      <formula>0</formula>
    </cfRule>
    <cfRule type="cellIs" dxfId="1865" priority="56" stopIfTrue="1" operator="greaterThan">
      <formula>$F$62</formula>
    </cfRule>
    <cfRule type="cellIs" dxfId="1864" priority="55" stopIfTrue="1" operator="lessThanOrEqual">
      <formula>0</formula>
    </cfRule>
    <cfRule type="cellIs" dxfId="1863" priority="65" stopIfTrue="1" operator="lessThanOrEqual">
      <formula>0</formula>
    </cfRule>
    <cfRule type="cellIs" dxfId="1862" priority="66" stopIfTrue="1" operator="greaterThan">
      <formula>$F$63</formula>
    </cfRule>
  </conditionalFormatting>
  <conditionalFormatting sqref="H54">
    <cfRule type="cellIs" dxfId="1861" priority="12" stopIfTrue="1" operator="lessThanOrEqual">
      <formula>0</formula>
    </cfRule>
    <cfRule type="cellIs" dxfId="1860" priority="13" stopIfTrue="1" operator="greaterThan">
      <formula>$F$68</formula>
    </cfRule>
    <cfRule type="cellIs" dxfId="1859" priority="14" stopIfTrue="1" operator="lessThanOrEqual">
      <formula>0</formula>
    </cfRule>
    <cfRule type="cellIs" dxfId="1858" priority="11" stopIfTrue="1" operator="greaterThan">
      <formula>$F$70</formula>
    </cfRule>
    <cfRule type="cellIs" dxfId="1857" priority="2" stopIfTrue="1" operator="lessThanOrEqual">
      <formula>0</formula>
    </cfRule>
    <cfRule type="cellIs" dxfId="1856" priority="3" stopIfTrue="1" operator="greaterThan">
      <formula>$F$67</formula>
    </cfRule>
  </conditionalFormatting>
  <conditionalFormatting sqref="H55">
    <cfRule type="cellIs" dxfId="1855" priority="135" stopIfTrue="1" operator="greaterThan">
      <formula>$F$65</formula>
    </cfRule>
    <cfRule type="cellIs" dxfId="1854" priority="126" stopIfTrue="1" operator="lessThanOrEqual">
      <formula>0</formula>
    </cfRule>
    <cfRule type="cellIs" dxfId="1853" priority="127" stopIfTrue="1" operator="greaterThan">
      <formula>$F$62</formula>
    </cfRule>
    <cfRule type="cellIs" dxfId="1852" priority="137" stopIfTrue="1" operator="greaterThan">
      <formula>$F$63</formula>
    </cfRule>
    <cfRule type="cellIs" dxfId="1851" priority="138" stopIfTrue="1" operator="lessThanOrEqual">
      <formula>0</formula>
    </cfRule>
    <cfRule type="cellIs" dxfId="1850" priority="136" stopIfTrue="1" operator="lessThanOrEqual">
      <formula>0</formula>
    </cfRule>
  </conditionalFormatting>
  <conditionalFormatting sqref="H56">
    <cfRule type="cellIs" dxfId="1849" priority="41" stopIfTrue="1" operator="lessThanOrEqual">
      <formula>0</formula>
    </cfRule>
    <cfRule type="cellIs" dxfId="1848" priority="50" stopIfTrue="1" operator="greaterThan">
      <formula>$F$41</formula>
    </cfRule>
    <cfRule type="cellIs" dxfId="1847" priority="51" stopIfTrue="1" operator="lessThanOrEqual">
      <formula>0</formula>
    </cfRule>
    <cfRule type="cellIs" dxfId="1846" priority="52" stopIfTrue="1" operator="greaterThan">
      <formula>$F$39</formula>
    </cfRule>
    <cfRule type="cellIs" dxfId="1845" priority="53" stopIfTrue="1" operator="lessThanOrEqual">
      <formula>0</formula>
    </cfRule>
    <cfRule type="cellIs" dxfId="1844" priority="42" stopIfTrue="1" operator="greaterThan">
      <formula>$F$38</formula>
    </cfRule>
  </conditionalFormatting>
  <conditionalFormatting sqref="H57">
    <cfRule type="cellIs" dxfId="1843" priority="102" stopIfTrue="1" operator="lessThanOrEqual">
      <formula>0</formula>
    </cfRule>
    <cfRule type="cellIs" dxfId="1842" priority="103" stopIfTrue="1" operator="greaterThan">
      <formula>#REF!</formula>
    </cfRule>
    <cfRule type="cellIs" dxfId="1841" priority="111" stopIfTrue="1" operator="greaterThan">
      <formula>#REF!</formula>
    </cfRule>
    <cfRule type="cellIs" dxfId="1840" priority="112" stopIfTrue="1" operator="lessThanOrEqual">
      <formula>0</formula>
    </cfRule>
  </conditionalFormatting>
  <conditionalFormatting sqref="H59">
    <cfRule type="cellIs" dxfId="1839" priority="171" stopIfTrue="1" operator="lessThanOrEqual">
      <formula>0</formula>
    </cfRule>
    <cfRule type="cellIs" dxfId="1838" priority="170" stopIfTrue="1" operator="greaterThan">
      <formula>$F$57</formula>
    </cfRule>
    <cfRule type="cellIs" dxfId="1837" priority="169" stopIfTrue="1" operator="lessThanOrEqual">
      <formula>0</formula>
    </cfRule>
    <cfRule type="cellIs" dxfId="1836" priority="168" stopIfTrue="1" operator="greaterThan">
      <formula>$F$60</formula>
    </cfRule>
  </conditionalFormatting>
  <conditionalFormatting sqref="H63:H71">
    <cfRule type="cellIs" dxfId="1835" priority="148" stopIfTrue="1" operator="lessThanOrEqual">
      <formula>0</formula>
    </cfRule>
    <cfRule type="cellIs" dxfId="1834" priority="147" stopIfTrue="1" operator="greaterThan">
      <formula>$J63</formula>
    </cfRule>
  </conditionalFormatting>
  <conditionalFormatting sqref="H72">
    <cfRule type="cellIs" dxfId="1833" priority="151" operator="greaterThan">
      <formula>5.3</formula>
    </cfRule>
  </conditionalFormatting>
  <conditionalFormatting sqref="H75 H77:H83">
    <cfRule type="cellIs" dxfId="1832" priority="192" stopIfTrue="1" operator="lessThanOrEqual">
      <formula>0</formula>
    </cfRule>
    <cfRule type="cellIs" dxfId="1831" priority="191" stopIfTrue="1" operator="greaterThan">
      <formula>4.5</formula>
    </cfRule>
  </conditionalFormatting>
  <conditionalFormatting sqref="H52:I52 H58:I58">
    <cfRule type="cellIs" dxfId="1830" priority="68" stopIfTrue="1" operator="greaterThan">
      <formula>$F$65</formula>
    </cfRule>
  </conditionalFormatting>
  <conditionalFormatting sqref="H52:I52">
    <cfRule type="cellIs" dxfId="1829" priority="71" stopIfTrue="1" operator="lessThanOrEqual">
      <formula>0</formula>
    </cfRule>
  </conditionalFormatting>
  <conditionalFormatting sqref="H53:I53">
    <cfRule type="cellIs" dxfId="1828" priority="54" stopIfTrue="1" operator="greaterThan">
      <formula>$F$64</formula>
    </cfRule>
    <cfRule type="cellIs" dxfId="1827" priority="57" stopIfTrue="1" operator="lessThanOrEqual">
      <formula>0</formula>
    </cfRule>
  </conditionalFormatting>
  <conditionalFormatting sqref="H54:I54">
    <cfRule type="cellIs" dxfId="1826" priority="1" stopIfTrue="1" operator="greaterThan">
      <formula>$F$69</formula>
    </cfRule>
    <cfRule type="cellIs" dxfId="1825" priority="4" stopIfTrue="1" operator="lessThanOrEqual">
      <formula>0</formula>
    </cfRule>
  </conditionalFormatting>
  <conditionalFormatting sqref="H55:I55">
    <cfRule type="cellIs" dxfId="1824" priority="125" stopIfTrue="1" operator="greaterThan">
      <formula>$F$64</formula>
    </cfRule>
    <cfRule type="cellIs" dxfId="1823" priority="128" stopIfTrue="1" operator="lessThanOrEqual">
      <formula>0</formula>
    </cfRule>
  </conditionalFormatting>
  <conditionalFormatting sqref="H56:I56">
    <cfRule type="cellIs" dxfId="1822" priority="43" stopIfTrue="1" operator="lessThanOrEqual">
      <formula>0</formula>
    </cfRule>
    <cfRule type="cellIs" dxfId="1821" priority="40" stopIfTrue="1" operator="greaterThan">
      <formula>$F$40</formula>
    </cfRule>
  </conditionalFormatting>
  <conditionalFormatting sqref="H57:I57">
    <cfRule type="cellIs" dxfId="1820" priority="107" stopIfTrue="1" operator="greaterThan">
      <formula>#REF!</formula>
    </cfRule>
    <cfRule type="cellIs" dxfId="1819" priority="104" stopIfTrue="1" operator="lessThanOrEqual">
      <formula>0</formula>
    </cfRule>
    <cfRule type="cellIs" dxfId="1818" priority="101" stopIfTrue="1" operator="greaterThan">
      <formula>#REF!</formula>
    </cfRule>
  </conditionalFormatting>
  <conditionalFormatting sqref="H57:I58">
    <cfRule type="cellIs" dxfId="1817" priority="110" stopIfTrue="1" operator="lessThanOrEqual">
      <formula>0</formula>
    </cfRule>
  </conditionalFormatting>
  <conditionalFormatting sqref="I20">
    <cfRule type="cellIs" dxfId="1816" priority="118" operator="lessThan">
      <formula>98</formula>
    </cfRule>
    <cfRule type="cellIs" dxfId="1815" priority="115" operator="lessThan">
      <formula>97.8</formula>
    </cfRule>
  </conditionalFormatting>
  <conditionalFormatting sqref="I52 I58">
    <cfRule type="cellIs" dxfId="1814" priority="75" stopIfTrue="1" operator="lessThanOrEqual">
      <formula>0</formula>
    </cfRule>
    <cfRule type="cellIs" dxfId="1813" priority="74" stopIfTrue="1" operator="greaterThan">
      <formula>$F$65</formula>
    </cfRule>
    <cfRule type="cellIs" dxfId="1812" priority="76" stopIfTrue="1" operator="greaterThan">
      <formula>$F$63</formula>
    </cfRule>
    <cfRule type="cellIs" dxfId="1811" priority="77" stopIfTrue="1" operator="lessThanOrEqual">
      <formula>0</formula>
    </cfRule>
    <cfRule type="cellIs" dxfId="1810" priority="73" stopIfTrue="1" operator="lessThanOrEqual">
      <formula>0</formula>
    </cfRule>
  </conditionalFormatting>
  <conditionalFormatting sqref="I52">
    <cfRule type="cellIs" dxfId="1809" priority="72" stopIfTrue="1" operator="greaterThan">
      <formula>$F$63</formula>
    </cfRule>
  </conditionalFormatting>
  <conditionalFormatting sqref="I53">
    <cfRule type="cellIs" dxfId="1808" priority="60" stopIfTrue="1" operator="greaterThan">
      <formula>$F$64</formula>
    </cfRule>
    <cfRule type="cellIs" dxfId="1807" priority="61" stopIfTrue="1" operator="lessThanOrEqual">
      <formula>0</formula>
    </cfRule>
    <cfRule type="cellIs" dxfId="1806" priority="62" stopIfTrue="1" operator="greaterThan">
      <formula>$F$62</formula>
    </cfRule>
    <cfRule type="cellIs" dxfId="1805" priority="63" stopIfTrue="1" operator="lessThanOrEqual">
      <formula>0</formula>
    </cfRule>
    <cfRule type="cellIs" dxfId="1804" priority="58" stopIfTrue="1" operator="greaterThan">
      <formula>$F$62</formula>
    </cfRule>
    <cfRule type="cellIs" dxfId="1803" priority="59" stopIfTrue="1" operator="lessThanOrEqual">
      <formula>0</formula>
    </cfRule>
  </conditionalFormatting>
  <conditionalFormatting sqref="I54">
    <cfRule type="cellIs" dxfId="1802" priority="5" stopIfTrue="1" operator="greaterThan">
      <formula>$F$67</formula>
    </cfRule>
    <cfRule type="cellIs" dxfId="1801" priority="6" stopIfTrue="1" operator="lessThanOrEqual">
      <formula>0</formula>
    </cfRule>
    <cfRule type="cellIs" dxfId="1800" priority="7" stopIfTrue="1" operator="greaterThan">
      <formula>$F$69</formula>
    </cfRule>
    <cfRule type="cellIs" dxfId="1799" priority="8" stopIfTrue="1" operator="lessThanOrEqual">
      <formula>0</formula>
    </cfRule>
    <cfRule type="cellIs" dxfId="1798" priority="9" stopIfTrue="1" operator="greaterThan">
      <formula>$F$67</formula>
    </cfRule>
    <cfRule type="cellIs" dxfId="1797" priority="10" stopIfTrue="1" operator="lessThanOrEqual">
      <formula>0</formula>
    </cfRule>
  </conditionalFormatting>
  <conditionalFormatting sqref="I55">
    <cfRule type="cellIs" dxfId="1796" priority="131" stopIfTrue="1" operator="greaterThan">
      <formula>$F$64</formula>
    </cfRule>
    <cfRule type="cellIs" dxfId="1795" priority="129" stopIfTrue="1" operator="greaterThan">
      <formula>$F$62</formula>
    </cfRule>
    <cfRule type="cellIs" dxfId="1794" priority="130" stopIfTrue="1" operator="lessThanOrEqual">
      <formula>0</formula>
    </cfRule>
    <cfRule type="cellIs" dxfId="1793" priority="133" stopIfTrue="1" operator="greaterThan">
      <formula>$F$62</formula>
    </cfRule>
    <cfRule type="cellIs" dxfId="1792" priority="134" stopIfTrue="1" operator="lessThanOrEqual">
      <formula>0</formula>
    </cfRule>
    <cfRule type="cellIs" dxfId="1791" priority="132" stopIfTrue="1" operator="lessThanOrEqual">
      <formula>0</formula>
    </cfRule>
  </conditionalFormatting>
  <conditionalFormatting sqref="I56">
    <cfRule type="cellIs" dxfId="1790" priority="44" stopIfTrue="1" operator="greaterThan">
      <formula>$F$38</formula>
    </cfRule>
    <cfRule type="cellIs" dxfId="1789" priority="45" stopIfTrue="1" operator="lessThanOrEqual">
      <formula>0</formula>
    </cfRule>
    <cfRule type="cellIs" dxfId="1788" priority="46" stopIfTrue="1" operator="greaterThan">
      <formula>$F$40</formula>
    </cfRule>
    <cfRule type="cellIs" dxfId="1787" priority="48" stopIfTrue="1" operator="greaterThan">
      <formula>$F$38</formula>
    </cfRule>
    <cfRule type="cellIs" dxfId="1786" priority="49" stopIfTrue="1" operator="lessThanOrEqual">
      <formula>0</formula>
    </cfRule>
    <cfRule type="cellIs" dxfId="1785" priority="47" stopIfTrue="1" operator="lessThanOrEqual">
      <formula>0</formula>
    </cfRule>
  </conditionalFormatting>
  <conditionalFormatting sqref="I57">
    <cfRule type="cellIs" dxfId="1784" priority="106" stopIfTrue="1" operator="lessThanOrEqual">
      <formula>0</formula>
    </cfRule>
    <cfRule type="cellIs" dxfId="1783" priority="105" stopIfTrue="1" operator="greaterThan">
      <formula>#REF!</formula>
    </cfRule>
    <cfRule type="cellIs" dxfId="1782" priority="109" stopIfTrue="1" operator="greaterThan">
      <formula>#REF!</formula>
    </cfRule>
    <cfRule type="cellIs" dxfId="1781" priority="108" stopIfTrue="1" operator="lessThanOrEqual">
      <formula>0</formula>
    </cfRule>
  </conditionalFormatting>
  <conditionalFormatting sqref="I63:I72">
    <cfRule type="cellIs" dxfId="1780" priority="153" stopIfTrue="1" operator="lessThanOrEqual">
      <formula>0</formula>
    </cfRule>
    <cfRule type="cellIs" dxfId="1779" priority="152" stopIfTrue="1" operator="greaterThan">
      <formula>$J63</formula>
    </cfRule>
  </conditionalFormatting>
  <conditionalFormatting sqref="I75:I83">
    <cfRule type="cellIs" dxfId="1778" priority="187" stopIfTrue="1" operator="greaterThan">
      <formula>4.5</formula>
    </cfRule>
    <cfRule type="cellIs" dxfId="1777" priority="188" stopIfTrue="1" operator="lessThanOrEqual">
      <formula>0</formula>
    </cfRule>
  </conditionalFormatting>
  <conditionalFormatting sqref="I10:J19">
    <cfRule type="cellIs" dxfId="1776" priority="83" operator="lessThan">
      <formula>97.9</formula>
    </cfRule>
  </conditionalFormatting>
  <conditionalFormatting sqref="J20">
    <cfRule type="cellIs" dxfId="1775" priority="117" operator="lessThan">
      <formula>97.4</formula>
    </cfRule>
    <cfRule type="cellIs" dxfId="1774" priority="116" operator="notBetween">
      <formula>98</formula>
      <formula>99.9</formula>
    </cfRule>
  </conditionalFormatting>
  <conditionalFormatting sqref="J24:J25">
    <cfRule type="cellIs" dxfId="1773" priority="140" stopIfTrue="1" operator="lessThan">
      <formula>96.8</formula>
    </cfRule>
    <cfRule type="cellIs" dxfId="1772" priority="141" stopIfTrue="1" operator="greaterThan">
      <formula>100</formula>
    </cfRule>
    <cfRule type="cellIs" dxfId="1771" priority="142" operator="lessThan">
      <formula>98</formula>
    </cfRule>
  </conditionalFormatting>
  <conditionalFormatting sqref="J24:J27">
    <cfRule type="cellIs" dxfId="1770" priority="119" operator="lessThan">
      <formula>97.4</formula>
    </cfRule>
  </conditionalFormatting>
  <conditionalFormatting sqref="J28">
    <cfRule type="cellIs" dxfId="1769" priority="143" operator="lessThan">
      <formula>98</formula>
    </cfRule>
  </conditionalFormatting>
  <conditionalFormatting sqref="J29:J31">
    <cfRule type="cellIs" dxfId="1768" priority="144" stopIfTrue="1" operator="lessThan">
      <formula>96.8</formula>
    </cfRule>
    <cfRule type="cellIs" dxfId="1767" priority="145" stopIfTrue="1" operator="greaterThan">
      <formula>100</formula>
    </cfRule>
  </conditionalFormatting>
  <conditionalFormatting sqref="J29:J32">
    <cfRule type="cellIs" dxfId="1766" priority="146" operator="lessThan">
      <formula>98</formula>
    </cfRule>
  </conditionalFormatting>
  <conditionalFormatting sqref="K10:K20">
    <cfRule type="cellIs" dxfId="1765" priority="87" operator="lessThan">
      <formula>4</formula>
    </cfRule>
    <cfRule type="cellIs" dxfId="1764" priority="86" operator="greaterThan">
      <formula>6</formula>
    </cfRule>
    <cfRule type="cellIs" dxfId="1763" priority="91" operator="greaterThan">
      <formula>6.4</formula>
    </cfRule>
  </conditionalFormatting>
  <conditionalFormatting sqref="K37:K46">
    <cfRule type="cellIs" dxfId="1762" priority="160" operator="notEqual">
      <formula>#REF!</formula>
    </cfRule>
  </conditionalFormatting>
  <conditionalFormatting sqref="K52:K59 K63:N72">
    <cfRule type="cellIs" dxfId="1761" priority="167" stopIfTrue="1" operator="lessThan">
      <formula>100%</formula>
    </cfRule>
  </conditionalFormatting>
  <conditionalFormatting sqref="K75:K80">
    <cfRule type="cellIs" dxfId="1760" priority="193" stopIfTrue="1" operator="lessThan">
      <formula>100%</formula>
    </cfRule>
  </conditionalFormatting>
  <conditionalFormatting sqref="K82:K83">
    <cfRule type="cellIs" dxfId="1759" priority="200" stopIfTrue="1" operator="lessThan">
      <formula>100%</formula>
    </cfRule>
  </conditionalFormatting>
  <conditionalFormatting sqref="L10:L20">
    <cfRule type="cellIs" dxfId="1758" priority="89" operator="greaterThan">
      <formula>65</formula>
    </cfRule>
    <cfRule type="cellIs" dxfId="1757" priority="88" operator="between">
      <formula>61</formula>
      <formula>65</formula>
    </cfRule>
  </conditionalFormatting>
  <conditionalFormatting sqref="L23:M34">
    <cfRule type="cellIs" dxfId="1756" priority="82" operator="lessThan">
      <formula>98</formula>
    </cfRule>
  </conditionalFormatting>
  <conditionalFormatting sqref="L38:N38">
    <cfRule type="cellIs" dxfId="1755" priority="122" operator="notEqual">
      <formula>#REF!</formula>
    </cfRule>
  </conditionalFormatting>
  <conditionalFormatting sqref="L75:N83">
    <cfRule type="cellIs" dxfId="1754" priority="178" stopIfTrue="1" operator="lessThan">
      <formula>100%</formula>
    </cfRule>
  </conditionalFormatting>
  <conditionalFormatting sqref="M10:M20">
    <cfRule type="expression" dxfId="1753" priority="84">
      <formula>IF(+(IF(M10&lt;V10,0,IF(M10&gt;W10,0,1)))=0,1)</formula>
    </cfRule>
  </conditionalFormatting>
  <conditionalFormatting sqref="M6:N6">
    <cfRule type="cellIs" dxfId="1752" priority="124" operator="greaterThanOrEqual">
      <formula>19</formula>
    </cfRule>
    <cfRule type="cellIs" dxfId="1751" priority="123" operator="greaterThanOrEqual">
      <formula>15</formula>
    </cfRule>
  </conditionalFormatting>
  <conditionalFormatting sqref="N10:N20">
    <cfRule type="expression" dxfId="1750" priority="85">
      <formula>IF(+(IF(N10&lt;X10,0,IF(N10&gt;Y10,0,1)))=0,1)</formula>
    </cfRule>
  </conditionalFormatting>
  <conditionalFormatting sqref="N20">
    <cfRule type="expression" dxfId="1749" priority="210">
      <formula>IF(+(IF(N20&lt;X65,0,IF(N20&gt;Y65,0,1)))=0,1)</formula>
    </cfRule>
    <cfRule type="expression" dxfId="1748" priority="211">
      <formula>IF(+(IF(N20&lt;X60,0,IF(N20&gt;Y60,0,1)))=0,1)</formula>
    </cfRule>
  </conditionalFormatting>
  <conditionalFormatting sqref="P6">
    <cfRule type="cellIs" dxfId="1747" priority="174" operator="greaterThanOrEqual">
      <formula>19</formula>
    </cfRule>
  </conditionalFormatting>
  <dataValidations count="1">
    <dataValidation type="list" allowBlank="1" showInputMessage="1" showErrorMessage="1" sqref="S8 B20" xr:uid="{3794C28B-CE9D-4B0D-BFAD-4EEFCB69E49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D932-1358-4BC8-9F22-FA5748649B2E}">
  <sheetPr>
    <pageSetUpPr fitToPage="1"/>
  </sheetPr>
  <dimension ref="A1:BF85"/>
  <sheetViews>
    <sheetView topLeftCell="B4" zoomScale="83" zoomScaleNormal="70" workbookViewId="0">
      <selection activeCell="B17" sqref="B17:O17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45702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[22]Brewhouse!$A209</f>
        <v>CA107</v>
      </c>
      <c r="D10" s="279">
        <f>[22]Brewhouse!$AF209</f>
        <v>53.3</v>
      </c>
      <c r="E10" s="279">
        <f>[22]Brewhouse!$AI209</f>
        <v>48.9</v>
      </c>
      <c r="F10" s="278">
        <f>[22]Brewhouse!$V209</f>
        <v>58</v>
      </c>
      <c r="G10" s="279">
        <f>[22]Brewhouse!$AG209</f>
        <v>12.06</v>
      </c>
      <c r="H10" s="396">
        <v>12</v>
      </c>
      <c r="I10" s="368">
        <f>[22]Brewhouse!$AU209</f>
        <v>96.725169759375845</v>
      </c>
      <c r="J10" s="368">
        <f>[22]Brewhouse!$AV209</f>
        <v>100.78561121853397</v>
      </c>
      <c r="K10" s="281">
        <f>[22]Brewhouse!$Q209</f>
        <v>6.9875222816399312</v>
      </c>
      <c r="L10" s="276">
        <f>[22]Brewhouse!$P209</f>
        <v>60</v>
      </c>
      <c r="M10" s="397">
        <f>[22]Brewhouse!$U209-[22]Brewhouse!$T209</f>
        <v>0.11041666666666666</v>
      </c>
      <c r="N10" s="370">
        <f>[22]Brewhouse!$Z209</f>
        <v>0.25763888888888886</v>
      </c>
      <c r="O10" s="371" t="str">
        <f>[22]Brewhouse!$AX209</f>
        <v>R. Regis</v>
      </c>
      <c r="P10" s="369"/>
      <c r="Q10" s="347"/>
      <c r="S10" s="277" t="str">
        <f t="shared" ref="S10:S20" si="0">B10</f>
        <v>CARIB</v>
      </c>
      <c r="T10" s="296">
        <f t="shared" ref="T10:T20" si="1">VLOOKUP($B10,$S$3:$Y$9,2,FALSE)</f>
        <v>11.6</v>
      </c>
      <c r="U10" s="296">
        <f t="shared" ref="U10:U20" si="2">VLOOKUP($B10,$S$3:$Y$9,3,FALSE)</f>
        <v>12</v>
      </c>
      <c r="V10" s="297">
        <f t="shared" ref="V10:V20" si="3">VLOOKUP($B10,$S$3:$Y$9,4,FALSE)</f>
        <v>0</v>
      </c>
      <c r="W10" s="297">
        <f t="shared" ref="W10:W20" si="4">VLOOKUP($B10,$S$3:$Y$9,5,FALSE)</f>
        <v>0.118055555555556</v>
      </c>
      <c r="X10" s="297">
        <f t="shared" ref="X10:X20" si="5">VLOOKUP($B10,$S$3:$Y$9,6,FALSE)</f>
        <v>0.22569444444444445</v>
      </c>
      <c r="Y10" s="297">
        <f t="shared" ref="Y10:Y20" si="6">VLOOKUP($B10,$S$3:$Y$9,7,FALSE)</f>
        <v>0.2638888888888889</v>
      </c>
      <c r="Z10" s="297">
        <f t="shared" ref="Z10:Z20" si="7">VLOOKUP($B10,$S$3:$AA$9,8,FALSE)</f>
        <v>0</v>
      </c>
      <c r="AA10" s="296">
        <f t="shared" ref="AA10:AA20" si="8">VLOOKUP($B10,$S$3:$AA$9,9,FALSE)</f>
        <v>60</v>
      </c>
    </row>
    <row r="11" spans="2:30" ht="14.4">
      <c r="B11" s="29" t="s">
        <v>6</v>
      </c>
      <c r="C11" s="366" t="str">
        <f>[22]Brewhouse!$A210</f>
        <v>CA108</v>
      </c>
      <c r="D11" s="279">
        <f>[22]Brewhouse!$AF210</f>
        <v>54.6</v>
      </c>
      <c r="E11" s="279">
        <f>[22]Brewhouse!$AI210</f>
        <v>51.1</v>
      </c>
      <c r="F11" s="278">
        <f>[22]Brewhouse!$V210</f>
        <v>64</v>
      </c>
      <c r="G11" s="279">
        <f>[22]Brewhouse!$AG210</f>
        <v>11.9</v>
      </c>
      <c r="H11" s="396">
        <v>11.9</v>
      </c>
      <c r="I11" s="368">
        <f>[22]Brewhouse!$AU210</f>
        <v>99.447332347643368</v>
      </c>
      <c r="J11" s="368">
        <f>[22]Brewhouse!$AV210</f>
        <v>103.62181042491945</v>
      </c>
      <c r="K11" s="281">
        <f>[22]Brewhouse!$Q210</f>
        <v>6.9380530973451355</v>
      </c>
      <c r="L11" s="276">
        <f>[22]Brewhouse!$P210</f>
        <v>61</v>
      </c>
      <c r="M11" s="397">
        <f>[22]Brewhouse!$U210-[22]Brewhouse!$T210</f>
        <v>0.11388888888888887</v>
      </c>
      <c r="N11" s="370">
        <f>[22]Brewhouse!$Z210</f>
        <v>0.25416666666666665</v>
      </c>
      <c r="O11" s="371" t="str">
        <f>[22]Brewhouse!$AX210</f>
        <v>R. Regis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[22]Brewhouse!$A211</f>
        <v>CA109</v>
      </c>
      <c r="D12" s="279">
        <f>[22]Brewhouse!$AF211</f>
        <v>54.6</v>
      </c>
      <c r="E12" s="279">
        <f>[22]Brewhouse!$AI211</f>
        <v>51.2</v>
      </c>
      <c r="F12" s="278">
        <f>[22]Brewhouse!$V211</f>
        <v>61</v>
      </c>
      <c r="G12" s="279">
        <f>[22]Brewhouse!$AG211</f>
        <v>11.8</v>
      </c>
      <c r="H12" s="396">
        <v>11.8</v>
      </c>
      <c r="I12" s="368">
        <f>[22]Brewhouse!$AU211</f>
        <v>99.011995036913419</v>
      </c>
      <c r="J12" s="368">
        <f>[22]Brewhouse!$AV211</f>
        <v>103.16772437663937</v>
      </c>
      <c r="K12" s="281">
        <f>[22]Brewhouse!$Q211</f>
        <v>5.4316546762589981</v>
      </c>
      <c r="L12" s="276">
        <f>[22]Brewhouse!$P211</f>
        <v>61</v>
      </c>
      <c r="M12" s="397">
        <f>[22]Brewhouse!$U211-[22]Brewhouse!$T211</f>
        <v>0.11250000000000004</v>
      </c>
      <c r="N12" s="370">
        <f>[22]Brewhouse!$Z211</f>
        <v>0.25277777777777782</v>
      </c>
      <c r="O12" s="371" t="str">
        <f>[22]Brewhouse!$AX211</f>
        <v>R. Sookram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[22]Brewhouse!$A212</f>
        <v>CA110</v>
      </c>
      <c r="D13" s="279">
        <f>[22]Brewhouse!$AF212</f>
        <v>53.7</v>
      </c>
      <c r="E13" s="279">
        <f>[22]Brewhouse!$AI212</f>
        <v>50.3</v>
      </c>
      <c r="F13" s="278">
        <f>[22]Brewhouse!$V212</f>
        <v>62</v>
      </c>
      <c r="G13" s="279">
        <f>[22]Brewhouse!$AG212</f>
        <v>11.7</v>
      </c>
      <c r="H13" s="396">
        <v>11.7</v>
      </c>
      <c r="I13" s="368">
        <f>[22]Brewhouse!$AU212</f>
        <v>93.718965445074957</v>
      </c>
      <c r="J13" s="368">
        <f>[22]Brewhouse!$AV212</f>
        <v>97.657569451265545</v>
      </c>
      <c r="K13" s="281">
        <f>[22]Brewhouse!$Q212</f>
        <v>3.3211678832116669</v>
      </c>
      <c r="L13" s="276">
        <f>[22]Brewhouse!$P212</f>
        <v>57</v>
      </c>
      <c r="M13" s="397">
        <f>[22]Brewhouse!$U212-[22]Brewhouse!$T212</f>
        <v>0.10416666666666663</v>
      </c>
      <c r="N13" s="370">
        <f>[22]Brewhouse!$Z212</f>
        <v>0.26736111111111105</v>
      </c>
      <c r="O13" s="371" t="str">
        <f>[22]Brewhouse!$AX212</f>
        <v>R. Sookram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[22]Brewhouse!$A213</f>
        <v>CA111</v>
      </c>
      <c r="D14" s="279">
        <f>[22]Brewhouse!$AF213</f>
        <v>53.7</v>
      </c>
      <c r="E14" s="279">
        <f>[22]Brewhouse!$AI213</f>
        <v>50.2</v>
      </c>
      <c r="F14" s="278">
        <f>[22]Brewhouse!$V213</f>
        <v>68</v>
      </c>
      <c r="G14" s="279">
        <f>[22]Brewhouse!$AG213</f>
        <v>11.89</v>
      </c>
      <c r="H14" s="396">
        <v>11.8</v>
      </c>
      <c r="I14" s="368">
        <f>[22]Brewhouse!$AU213</f>
        <v>95.16847300232179</v>
      </c>
      <c r="J14" s="368">
        <f>[22]Brewhouse!$AV213</f>
        <v>99.167993560939777</v>
      </c>
      <c r="K14" s="281">
        <f>[22]Brewhouse!$Q213</f>
        <v>6.2300884955752149</v>
      </c>
      <c r="L14" s="276">
        <f>[22]Brewhouse!$P213</f>
        <v>57</v>
      </c>
      <c r="M14" s="397">
        <f>[22]Brewhouse!$U213-[22]Brewhouse!$T213</f>
        <v>0.11736111111111114</v>
      </c>
      <c r="N14" s="370">
        <f>[22]Brewhouse!$Z213</f>
        <v>0.27499999999999997</v>
      </c>
      <c r="O14" s="371" t="str">
        <f>[22]Brewhouse!$AX213</f>
        <v>R. Sookram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[22]Brewhouse!$A214</f>
        <v>CA112</v>
      </c>
      <c r="D15" s="279">
        <f>[22]Brewhouse!$AF214</f>
        <v>53.9</v>
      </c>
      <c r="E15" s="279">
        <f>[22]Brewhouse!$AI214</f>
        <v>50.5</v>
      </c>
      <c r="F15" s="278">
        <f>[22]Brewhouse!$V214</f>
        <v>68</v>
      </c>
      <c r="G15" s="279">
        <f>[22]Brewhouse!$AG214</f>
        <v>11.76</v>
      </c>
      <c r="H15" s="396">
        <v>11.8</v>
      </c>
      <c r="I15" s="368">
        <f>[22]Brewhouse!$AU214</f>
        <v>94.541944861235876</v>
      </c>
      <c r="J15" s="368">
        <f>[22]Brewhouse!$AV214</f>
        <v>98.515776366414755</v>
      </c>
      <c r="K15" s="281">
        <f>[22]Brewhouse!$Q214</f>
        <v>5.5417406749555909</v>
      </c>
      <c r="L15" s="276">
        <f>[22]Brewhouse!$P214</f>
        <v>60</v>
      </c>
      <c r="M15" s="397">
        <f>[22]Brewhouse!$U214-[22]Brewhouse!$T214</f>
        <v>0.11388888888888893</v>
      </c>
      <c r="N15" s="370">
        <f>[22]Brewhouse!$Z214</f>
        <v>0.27986111111111112</v>
      </c>
      <c r="O15" s="371" t="str">
        <f>[22]Brewhouse!$AX214</f>
        <v>K.Benjamin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[22]Brewhouse!$A215</f>
        <v>CA113</v>
      </c>
      <c r="D16" s="279">
        <f>[22]Brewhouse!$AF215</f>
        <v>55.5</v>
      </c>
      <c r="E16" s="279">
        <f>[22]Brewhouse!$AI215</f>
        <v>52</v>
      </c>
      <c r="F16" s="278">
        <f>[22]Brewhouse!$V215</f>
        <v>75</v>
      </c>
      <c r="G16" s="279">
        <f>[22]Brewhouse!$AG215</f>
        <v>11.87</v>
      </c>
      <c r="H16" s="396">
        <v>11.8</v>
      </c>
      <c r="I16" s="368">
        <f>[22]Brewhouse!$AU215</f>
        <v>98.338605562583197</v>
      </c>
      <c r="J16" s="368">
        <f>[22]Brewhouse!$AV215</f>
        <v>102.47179831757072</v>
      </c>
      <c r="K16" s="281">
        <f>[22]Brewhouse!$Q215</f>
        <v>4.637168141592916</v>
      </c>
      <c r="L16" s="276">
        <f>[22]Brewhouse!$P215</f>
        <v>61</v>
      </c>
      <c r="M16" s="397">
        <f>[22]Brewhouse!$U215-[22]Brewhouse!$T215</f>
        <v>0.13749999999999996</v>
      </c>
      <c r="N16" s="370">
        <f>[22]Brewhouse!$Z215</f>
        <v>0.29236111111111107</v>
      </c>
      <c r="O16" s="371" t="str">
        <f>[22]Brewhouse!$AX215</f>
        <v>K.Benjamin</v>
      </c>
      <c r="P16" s="369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[22]Brewhouse!$A216</f>
        <v>CA114</v>
      </c>
      <c r="D17" s="279">
        <f>[22]Brewhouse!$AF216</f>
        <v>55.6</v>
      </c>
      <c r="E17" s="279">
        <f>[22]Brewhouse!$AI216</f>
        <v>52.1</v>
      </c>
      <c r="F17" s="278">
        <f>[22]Brewhouse!$V216</f>
        <v>72</v>
      </c>
      <c r="G17" s="279">
        <f>[22]Brewhouse!$AG216</f>
        <v>11.94</v>
      </c>
      <c r="H17" s="396">
        <v>11.7</v>
      </c>
      <c r="I17" s="368">
        <f>[22]Brewhouse!$AU216</f>
        <v>98.527718265588177</v>
      </c>
      <c r="J17" s="368">
        <f>[22]Brewhouse!$AV216</f>
        <v>102.66885946818142</v>
      </c>
      <c r="K17" s="281">
        <f>[22]Brewhouse!$Q216</f>
        <v>2.695035460992901</v>
      </c>
      <c r="L17" s="276">
        <f>[22]Brewhouse!$P216</f>
        <v>59</v>
      </c>
      <c r="M17" s="397">
        <f>[22]Brewhouse!$U216-[22]Brewhouse!$T216</f>
        <v>0.11666666666666659</v>
      </c>
      <c r="N17" s="370">
        <f>[22]Brewhouse!$Z216</f>
        <v>0.27291666666666659</v>
      </c>
      <c r="O17" s="371" t="str">
        <f>[22]Brewhouse!$AX216</f>
        <v>K.Benjamin</v>
      </c>
      <c r="P17" s="369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2" t="s">
        <v>33</v>
      </c>
      <c r="C19" s="366" t="str">
        <f>[25]Brewhouse!A16</f>
        <v>VM011</v>
      </c>
      <c r="D19" s="279">
        <f>[25]Brewhouse!AE26</f>
        <v>0</v>
      </c>
      <c r="E19" s="279">
        <f>[25]Brewhouse!AJ16</f>
        <v>47.5</v>
      </c>
      <c r="F19" s="278">
        <f>[25]Brewhouse!X16</f>
        <v>84</v>
      </c>
      <c r="G19" s="279">
        <f>[25]Brewhouse!AH16</f>
        <v>14.4</v>
      </c>
      <c r="H19" s="403">
        <v>14.21</v>
      </c>
      <c r="I19" s="368">
        <f>[25]Brewhouse!AV16</f>
        <v>96.495371141271974</v>
      </c>
      <c r="J19" s="368">
        <f>[25]Brewhouse!AW16</f>
        <v>97.343546259954309</v>
      </c>
      <c r="K19" s="281">
        <f>[25]Brewhouse!S16</f>
        <v>6.1509433962264248</v>
      </c>
      <c r="L19" s="276">
        <f>[25]Brewhouse!R16</f>
        <v>59</v>
      </c>
      <c r="M19" s="374">
        <f>[25]Brewhouse!$W16-[25]Brewhouse!$V16</f>
        <v>0.13958333333333339</v>
      </c>
      <c r="N19" s="370">
        <f>[25]Brewhouse!AB26</f>
        <v>0</v>
      </c>
      <c r="O19" s="371">
        <f>[25]Brewhouse!$AZ26</f>
        <v>0</v>
      </c>
      <c r="P19" s="369"/>
      <c r="Q19" s="347"/>
      <c r="S19" s="277" t="str">
        <f t="shared" si="0"/>
        <v>VITAMALT</v>
      </c>
      <c r="T19" s="296">
        <f t="shared" si="1"/>
        <v>14.4</v>
      </c>
      <c r="U19" s="296">
        <f t="shared" si="2"/>
        <v>14.6</v>
      </c>
      <c r="V19" s="297">
        <f t="shared" si="3"/>
        <v>0</v>
      </c>
      <c r="W19" s="297">
        <f t="shared" si="4"/>
        <v>0.13905092592592591</v>
      </c>
      <c r="X19" s="297">
        <f t="shared" si="5"/>
        <v>0.26041666666666669</v>
      </c>
      <c r="Y19" s="297">
        <f t="shared" si="6"/>
        <v>0.2951388888888889</v>
      </c>
      <c r="Z19" s="297">
        <f t="shared" si="7"/>
        <v>0</v>
      </c>
      <c r="AA19" s="296">
        <f t="shared" si="8"/>
        <v>75</v>
      </c>
    </row>
    <row r="20" spans="1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66" t="s">
        <v>6</v>
      </c>
      <c r="C23" s="450" cm="1">
        <f t="array" ref="C23:C26">[22]Process!$D$168:$D$171</f>
        <v>11.8</v>
      </c>
      <c r="D23" s="555">
        <v>11.79</v>
      </c>
      <c r="E23" s="556"/>
      <c r="F23" s="294"/>
      <c r="G23" s="294"/>
      <c r="H23" s="294"/>
      <c r="I23" s="29" t="s">
        <v>6</v>
      </c>
      <c r="J23" s="323">
        <f>AVERAGE(I10:I17)</f>
        <v>96.93502553509208</v>
      </c>
      <c r="K23" s="284">
        <f>COUNTA([22]Brewhouse!$A$173:$A$216)</f>
        <v>44</v>
      </c>
      <c r="L23" s="302">
        <f>AVERAGE([22]Brewhouse!$AU$173:$AU$216)</f>
        <v>95.514768796259489</v>
      </c>
      <c r="M23" s="302">
        <f>AVERAGE([22]Brewhouse!$AU$102:$AU$171,[22]Brewhouse!$AU$173:$AU$216)</f>
        <v>94.938358866790935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67"/>
      <c r="C24" s="349">
        <v>11.95</v>
      </c>
      <c r="D24" s="519"/>
      <c r="E24" s="507"/>
      <c r="F24" s="294"/>
      <c r="G24" s="294"/>
      <c r="H24" s="32"/>
      <c r="I24" s="33" t="s">
        <v>9</v>
      </c>
      <c r="J24" s="323"/>
      <c r="K24" s="284">
        <f>COUNTA([24]Brewhouse!$A$66:$A$81)</f>
        <v>16</v>
      </c>
      <c r="L24" s="302">
        <f>AVERAGE([24]Brewhouse!$AS$66:$AS$81)</f>
        <v>95.724886042104586</v>
      </c>
      <c r="M24" s="302">
        <f>AVERAGE([24]Brewhouse!$AS$15:$AS$64,[24]Brewhouse!$AS$66:$AS$81)</f>
        <v>95.991890647038588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67"/>
      <c r="C25" s="349">
        <v>11.97</v>
      </c>
      <c r="D25" s="555">
        <v>11.86</v>
      </c>
      <c r="E25" s="556"/>
      <c r="F25" s="294"/>
      <c r="G25" s="294"/>
      <c r="H25" s="32"/>
      <c r="I25" s="34" t="s">
        <v>12</v>
      </c>
      <c r="J25" s="280"/>
      <c r="K25" s="284">
        <f>COUNTA([23]Brewhouse!$A$9:$A$14)</f>
        <v>6</v>
      </c>
      <c r="L25" s="302">
        <f>AVERAGE([23]Brewhouse!$AU$9:$AU$14)</f>
        <v>96.577361087083986</v>
      </c>
      <c r="M25" s="302">
        <f>AVERAGE([23]Brewhouse!$AU$4:$AU$7,[23]Brewhouse!$AU$9:$AU$14)</f>
        <v>96.787191796473266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67"/>
      <c r="C26" s="349">
        <v>12</v>
      </c>
      <c r="D26" s="519"/>
      <c r="E26" s="507"/>
      <c r="F26" s="294"/>
      <c r="G26" s="294"/>
      <c r="H26" s="32"/>
      <c r="I26" s="22" t="s">
        <v>33</v>
      </c>
      <c r="J26" s="280"/>
      <c r="K26" s="284"/>
      <c r="L26" s="302"/>
      <c r="M26" s="302">
        <f>AVERAGE([25]Brewhouse!$AV$5:$AV$14)</f>
        <v>97.717673301363135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67"/>
      <c r="C27" s="349"/>
      <c r="D27" s="555"/>
      <c r="E27" s="556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67"/>
      <c r="C28" s="349"/>
      <c r="D28" s="519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67"/>
      <c r="C29" s="349"/>
      <c r="D29" s="555"/>
      <c r="E29" s="556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67"/>
      <c r="C30" s="349"/>
      <c r="D30" s="519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67"/>
      <c r="C31" s="349"/>
      <c r="D31" s="555"/>
      <c r="E31" s="556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67"/>
      <c r="C32" s="349"/>
      <c r="D32" s="519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67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72</v>
      </c>
      <c r="L33" s="410">
        <f>((L23*K23)+(L24*K24)+(L25*K25)+(L26*K26)+(L27*K27)+(K30*L30)+(L28*K28)+(L29*K29)+(L32*K32))/(K33)</f>
        <v>95.679961472967747</v>
      </c>
      <c r="M33" s="410">
        <f>L33</f>
        <v>95.679961472967747</v>
      </c>
      <c r="N33" s="40">
        <v>98</v>
      </c>
      <c r="O33" s="11"/>
      <c r="P33" s="31"/>
      <c r="S33" s="23"/>
    </row>
    <row r="34" spans="1:57" ht="15" thickBot="1">
      <c r="B34" s="578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83" t="s">
        <v>131</v>
      </c>
      <c r="C35" s="362"/>
      <c r="D35" s="517"/>
      <c r="E35" s="518"/>
      <c r="F35" s="43"/>
      <c r="G35" s="41"/>
      <c r="H35" s="41"/>
      <c r="I35" s="42"/>
      <c r="J35" s="520" t="s">
        <v>129</v>
      </c>
      <c r="K35" s="520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83"/>
      <c r="C36" s="349"/>
      <c r="D36" s="519"/>
      <c r="E36" s="507"/>
      <c r="F36" s="43"/>
      <c r="G36" s="41"/>
      <c r="H36" s="41"/>
      <c r="I36" s="42"/>
      <c r="J36" s="419" t="s">
        <v>17</v>
      </c>
      <c r="K36" s="293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83"/>
      <c r="C37" s="349"/>
      <c r="D37" s="523"/>
      <c r="E37" s="505"/>
      <c r="F37" s="43"/>
      <c r="G37" s="41"/>
      <c r="H37" s="41"/>
      <c r="I37" s="42"/>
      <c r="J37" s="420" t="s">
        <v>6</v>
      </c>
      <c r="K37" s="324">
        <f>COUNTA(B10:B17)</f>
        <v>8</v>
      </c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83"/>
      <c r="C38" s="349"/>
      <c r="D38" s="519"/>
      <c r="E38" s="507"/>
      <c r="F38" s="43"/>
      <c r="G38" s="41"/>
      <c r="H38" s="41"/>
      <c r="I38" s="42"/>
      <c r="J38" s="421" t="s">
        <v>9</v>
      </c>
      <c r="L38" s="344">
        <f>AVERAGE('Feb 3rd'!K79,'Feb 4th'!K77,'Feb 5th'!L68,'Feb 6th'!K75,'Feb 10th'!K69,'Feb 11th'!K68,'Feb 12th'!K70,'Feb 13th'!K69,'Feb 14th'!K47,'Feb 17th'!K47)</f>
        <v>7.2</v>
      </c>
      <c r="M38" s="325">
        <f>AVERAGE('[29]Jan 29th '!$M$70,L38)</f>
        <v>6.85</v>
      </c>
      <c r="N38" s="401"/>
      <c r="O38" s="294"/>
      <c r="P38" s="12"/>
      <c r="S38" s="23"/>
    </row>
    <row r="39" spans="1:57" ht="15" customHeight="1">
      <c r="B39" s="583"/>
      <c r="C39" s="349"/>
      <c r="D39" s="523"/>
      <c r="E39" s="505"/>
      <c r="F39" s="43"/>
      <c r="G39" s="41"/>
      <c r="H39" s="41"/>
      <c r="I39" s="42"/>
      <c r="J39" s="422" t="s">
        <v>40</v>
      </c>
      <c r="K39" s="324"/>
      <c r="L39" s="294"/>
      <c r="M39" s="294"/>
      <c r="N39" s="294"/>
      <c r="O39" s="294"/>
      <c r="P39" s="12"/>
      <c r="S39" s="23"/>
    </row>
    <row r="40" spans="1:57" ht="15" customHeight="1">
      <c r="B40" s="583"/>
      <c r="C40" s="349"/>
      <c r="D40" s="519"/>
      <c r="E40" s="507"/>
      <c r="F40" s="43"/>
      <c r="G40" s="41"/>
      <c r="H40" s="41"/>
      <c r="I40" s="42"/>
      <c r="J40" s="423" t="s">
        <v>33</v>
      </c>
      <c r="K40" s="324">
        <f>COUNTA(B19)</f>
        <v>1</v>
      </c>
      <c r="L40" s="294"/>
      <c r="M40" s="294"/>
      <c r="N40" s="294"/>
      <c r="O40" s="294"/>
      <c r="P40" s="12"/>
      <c r="S40" s="23"/>
    </row>
    <row r="41" spans="1:57" ht="14.4">
      <c r="B41" s="583"/>
      <c r="C41" s="349"/>
      <c r="D41" s="523"/>
      <c r="E41" s="505"/>
      <c r="F41" s="43"/>
      <c r="G41" s="41"/>
      <c r="H41" s="41"/>
      <c r="I41" s="42"/>
      <c r="J41" s="424" t="s">
        <v>16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83"/>
      <c r="C42" s="349"/>
      <c r="D42" s="519"/>
      <c r="E42" s="507"/>
      <c r="F42" s="43"/>
      <c r="G42" s="41"/>
      <c r="H42" s="41"/>
      <c r="I42" s="42"/>
      <c r="J42" s="425" t="s">
        <v>15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83"/>
      <c r="C43" s="349"/>
      <c r="D43" s="524"/>
      <c r="E43" s="509"/>
      <c r="F43" s="43"/>
      <c r="G43" s="41"/>
      <c r="H43" s="41"/>
      <c r="I43" s="42"/>
      <c r="J43" s="425" t="s">
        <v>149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84"/>
      <c r="C44" s="350"/>
      <c r="D44" s="525"/>
      <c r="E44" s="526"/>
      <c r="F44" s="43"/>
      <c r="G44" s="41"/>
      <c r="H44" s="41"/>
      <c r="I44" s="42"/>
      <c r="J44" s="425" t="s">
        <v>148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>
        <f>AVERAGE(D23:E44)</f>
        <v>11.824999999999999</v>
      </c>
      <c r="E45" s="528"/>
      <c r="F45" s="43"/>
      <c r="G45" s="41"/>
      <c r="H45" s="41"/>
      <c r="I45" s="42"/>
      <c r="J45" s="426" t="s">
        <v>134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26" t="s">
        <v>131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>
      <c r="B47" s="45"/>
      <c r="C47" s="11"/>
      <c r="D47" s="11"/>
      <c r="E47" s="46"/>
      <c r="F47" s="23"/>
      <c r="G47" s="11"/>
      <c r="H47" s="41"/>
      <c r="I47" s="42"/>
      <c r="J47" s="427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5.75" customHeight="1" thickBot="1">
      <c r="B52" s="428" t="s">
        <v>6</v>
      </c>
      <c r="C52" s="283">
        <v>45702</v>
      </c>
      <c r="D52" s="279">
        <f>[30]February_2025!$T$3</f>
        <v>198.1</v>
      </c>
      <c r="E52" s="279"/>
      <c r="F52" s="279"/>
      <c r="G52" s="279">
        <f>[30]February_2025!$T$7</f>
        <v>177.8</v>
      </c>
      <c r="H52" s="320"/>
      <c r="I52" s="322"/>
      <c r="J52" s="390" t="s">
        <v>162</v>
      </c>
      <c r="K52" s="286">
        <f>[32]February_2025!$T$18</f>
        <v>0.623859649122807</v>
      </c>
      <c r="L52" s="314">
        <f>(((D52+E52)-G52)/(D52+E52))*100</f>
        <v>10.247349823321548</v>
      </c>
      <c r="M52" s="281" t="s">
        <v>164</v>
      </c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18.75" customHeigh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384"/>
      <c r="N53" s="13"/>
      <c r="O53" s="13"/>
      <c r="P53" s="50"/>
      <c r="T53" s="272" t="s">
        <v>51</v>
      </c>
      <c r="U53" s="57">
        <f>[20]January_2019!D6</f>
        <v>0</v>
      </c>
      <c r="V53" s="57">
        <f>[20]January_2019!E6</f>
        <v>0</v>
      </c>
      <c r="W53" s="57">
        <f>[20]January_2019!F6</f>
        <v>0</v>
      </c>
      <c r="X53" s="57">
        <f>[20]January_2019!G6</f>
        <v>0</v>
      </c>
      <c r="Y53" s="57">
        <f>[20]January_2019!H6</f>
        <v>0</v>
      </c>
      <c r="Z53" s="57">
        <f>[20]January_2019!I6</f>
        <v>0</v>
      </c>
      <c r="AA53" s="57">
        <f>[20]January_2019!J6</f>
        <v>0</v>
      </c>
      <c r="AB53" s="57">
        <f>[20]January_2019!K6</f>
        <v>0</v>
      </c>
      <c r="AC53" s="57">
        <f>[20]January_2019!L6</f>
        <v>0</v>
      </c>
      <c r="AD53" s="57">
        <f>[20]January_2019!M6</f>
        <v>0</v>
      </c>
      <c r="AE53" s="57">
        <f>[20]January_2019!N6</f>
        <v>0</v>
      </c>
      <c r="AF53" s="57">
        <f>[20]January_2019!O6</f>
        <v>0</v>
      </c>
      <c r="AG53" s="57">
        <f>[20]January_2019!P6</f>
        <v>0</v>
      </c>
      <c r="AH53" s="57">
        <f>[20]January_2019!Q6</f>
        <v>0</v>
      </c>
      <c r="AI53" s="57">
        <f>[20]January_2019!R6</f>
        <v>0</v>
      </c>
      <c r="AJ53" s="57">
        <f>[20]January_2019!S6</f>
        <v>0</v>
      </c>
      <c r="AK53" s="57">
        <f>[20]January_2019!T6</f>
        <v>0</v>
      </c>
      <c r="AL53" s="57">
        <f>[20]January_2019!U6</f>
        <v>0</v>
      </c>
      <c r="AM53" s="57">
        <f>[20]January_2019!V6</f>
        <v>0</v>
      </c>
      <c r="AN53" s="57">
        <f>[20]January_2019!W6</f>
        <v>0</v>
      </c>
      <c r="AO53" s="57">
        <f>[20]January_2019!X6</f>
        <v>0</v>
      </c>
      <c r="AP53" s="57">
        <f>[20]January_2019!Y6</f>
        <v>0</v>
      </c>
      <c r="AQ53" s="57">
        <f>[20]January_2019!Z6</f>
        <v>0</v>
      </c>
      <c r="AR53" s="57">
        <f>[20]January_2019!AA6</f>
        <v>0</v>
      </c>
      <c r="AS53" s="57">
        <f>[20]January_2019!AB6</f>
        <v>0</v>
      </c>
      <c r="AT53" s="57">
        <f>[20]January_2019!AC6</f>
        <v>0</v>
      </c>
      <c r="AU53" s="57">
        <f>[20]January_2019!AD6</f>
        <v>0</v>
      </c>
      <c r="AV53" s="57">
        <f>[20]January_2019!AE6</f>
        <v>0</v>
      </c>
      <c r="AW53" s="57">
        <f>[20]January_2019!AF6</f>
        <v>0</v>
      </c>
      <c r="AX53" s="57">
        <f>[20]January_2019!AG6</f>
        <v>0</v>
      </c>
      <c r="AY53" s="277">
        <f>[20]January_2019!AH6</f>
        <v>0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56.4" hidden="1" customHeight="1" thickBot="1">
      <c r="B54" s="448"/>
      <c r="C54" s="283"/>
      <c r="D54" s="303"/>
      <c r="E54" s="378"/>
      <c r="F54" s="379"/>
      <c r="G54" s="303"/>
      <c r="H54" s="447"/>
      <c r="I54" s="447"/>
      <c r="J54" s="438"/>
      <c r="K54" s="465"/>
      <c r="L54" s="314"/>
      <c r="M54" s="281"/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hidden="1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42" hidden="1" customHeight="1" thickBot="1">
      <c r="B56" s="428"/>
      <c r="C56" s="283"/>
      <c r="D56" s="279"/>
      <c r="E56" s="279"/>
      <c r="F56" s="279"/>
      <c r="G56" s="279"/>
      <c r="H56" s="447"/>
      <c r="I56" s="447"/>
      <c r="J56" s="438"/>
      <c r="K56" s="437"/>
      <c r="L56" s="314"/>
      <c r="M56" s="281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14.4" thickBot="1">
      <c r="B57" s="361"/>
      <c r="C57" s="283"/>
      <c r="D57" s="304"/>
      <c r="E57" s="279"/>
      <c r="F57" s="279"/>
      <c r="G57" s="279"/>
      <c r="H57" s="381"/>
      <c r="I57" s="381"/>
      <c r="J57" s="389"/>
      <c r="K57" s="437"/>
      <c r="L57" s="314"/>
      <c r="M57" s="339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9" hidden="1" customHeight="1">
      <c r="B58" s="387"/>
      <c r="C58" s="283"/>
      <c r="D58" s="279"/>
      <c r="E58" s="279"/>
      <c r="F58" s="279"/>
      <c r="G58" s="279"/>
      <c r="H58" s="320"/>
      <c r="I58" s="322"/>
      <c r="J58" s="281"/>
      <c r="K58" s="286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ht="11.4" hidden="1" customHeight="1" thickBot="1">
      <c r="B59" s="33"/>
      <c r="C59" s="310"/>
      <c r="D59" s="279"/>
      <c r="E59" s="279"/>
      <c r="F59" s="279"/>
      <c r="G59" s="279"/>
      <c r="H59" s="352"/>
      <c r="I59" s="353"/>
      <c r="J59" s="281"/>
      <c r="K59" s="52"/>
      <c r="L59" s="53"/>
      <c r="M59" s="55"/>
      <c r="N59" s="77"/>
      <c r="O59" s="13"/>
      <c r="P59" s="56"/>
    </row>
    <row r="60" spans="2:58" ht="14.4" thickBot="1">
      <c r="B60" s="58"/>
      <c r="C60" s="30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6"/>
      <c r="P60" s="60"/>
    </row>
    <row r="61" spans="2:58" ht="14.4" thickBot="1">
      <c r="B61" s="536" t="s">
        <v>55</v>
      </c>
      <c r="C61" s="537"/>
      <c r="D61" s="537"/>
      <c r="E61" s="537"/>
      <c r="F61" s="538"/>
      <c r="G61" s="536" t="s">
        <v>56</v>
      </c>
      <c r="H61" s="537"/>
      <c r="I61" s="537"/>
      <c r="J61" s="538"/>
      <c r="K61" s="536" t="s">
        <v>51</v>
      </c>
      <c r="L61" s="537"/>
      <c r="M61" s="537"/>
      <c r="N61" s="539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>
        <f>L52</f>
        <v>10.247349823321548</v>
      </c>
      <c r="D63" s="76">
        <v>6.5669589135293176</v>
      </c>
      <c r="E63" s="76">
        <v>7.0781180158218033</v>
      </c>
      <c r="F63" s="66">
        <v>4.8</v>
      </c>
      <c r="G63" s="65">
        <f>[30]February_2025!$T$11</f>
        <v>11.038438887378819</v>
      </c>
      <c r="H63" s="76">
        <v>7.2365938479763425</v>
      </c>
      <c r="I63" s="76">
        <v>7.742194934078829</v>
      </c>
      <c r="J63" s="66">
        <v>4.8</v>
      </c>
      <c r="K63" s="67">
        <f>K52</f>
        <v>0.623859649122807</v>
      </c>
      <c r="L63" s="194">
        <v>0.614260838505157</v>
      </c>
      <c r="M63" s="194">
        <v>0.84506946219373713</v>
      </c>
      <c r="N63" s="68">
        <v>1</v>
      </c>
      <c r="O63" s="56"/>
      <c r="P63" s="69"/>
    </row>
    <row r="64" spans="2:58">
      <c r="B64" s="33" t="s">
        <v>9</v>
      </c>
      <c r="C64" s="65"/>
      <c r="D64" s="76">
        <v>6.6241169909530218</v>
      </c>
      <c r="E64" s="76">
        <v>6.9795477013311773</v>
      </c>
      <c r="F64" s="66">
        <v>4.8</v>
      </c>
      <c r="G64" s="65"/>
      <c r="H64" s="76">
        <v>6.5438307865505001</v>
      </c>
      <c r="I64" s="76">
        <v>6.7059091567256077</v>
      </c>
      <c r="J64" s="66">
        <v>4.8</v>
      </c>
      <c r="K64" s="67"/>
      <c r="L64" s="194">
        <v>0.61918200707621074</v>
      </c>
      <c r="M64" s="194">
        <v>0.75354343167523652</v>
      </c>
      <c r="N64" s="68">
        <v>1</v>
      </c>
      <c r="P64" s="69"/>
    </row>
    <row r="65" spans="2:16">
      <c r="B65" s="34" t="s">
        <v>40</v>
      </c>
      <c r="C65" s="65"/>
      <c r="D65" s="76">
        <v>18.104405775638647</v>
      </c>
      <c r="E65" s="76">
        <v>10.644922290823926</v>
      </c>
      <c r="F65" s="66">
        <v>5.5</v>
      </c>
      <c r="G65" s="65"/>
      <c r="H65" s="76">
        <v>20.086278780699747</v>
      </c>
      <c r="I65" s="76">
        <v>15.811420854943506</v>
      </c>
      <c r="J65" s="66">
        <v>5.5</v>
      </c>
      <c r="K65" s="67"/>
      <c r="L65" s="194">
        <v>0.31152046783625731</v>
      </c>
      <c r="M65" s="194">
        <v>0.4570760233918128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3.4056869935468166</v>
      </c>
      <c r="F66" s="66">
        <v>3.3</v>
      </c>
      <c r="G66" s="65"/>
      <c r="H66" s="76"/>
      <c r="I66" s="76">
        <v>5.1745103450267944</v>
      </c>
      <c r="J66" s="66">
        <v>3.3</v>
      </c>
      <c r="K66" s="67"/>
      <c r="L66" s="194"/>
      <c r="M66" s="194">
        <v>0.84666666666666657</v>
      </c>
      <c r="N66" s="68">
        <v>1</v>
      </c>
      <c r="P66" s="69"/>
    </row>
    <row r="67" spans="2:16">
      <c r="B67" s="35" t="s">
        <v>29</v>
      </c>
      <c r="C67" s="65"/>
      <c r="D67" s="76"/>
      <c r="E67" s="76">
        <v>8.8295687885010352</v>
      </c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9.9698850155137997</v>
      </c>
      <c r="F68" s="70">
        <f>[21]May_2022!$M$43</f>
        <v>3.4878406700073312</v>
      </c>
      <c r="G68" s="282"/>
      <c r="H68" s="76"/>
      <c r="I68" s="76">
        <v>10.607235567685406</v>
      </c>
      <c r="J68" s="70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>
        <v>3.3333333333333082</v>
      </c>
      <c r="E69" s="76">
        <v>9.7384319083441593</v>
      </c>
      <c r="F69" s="66">
        <v>3.3</v>
      </c>
      <c r="G69" s="282"/>
      <c r="H69" s="76">
        <v>5.2583423035521699</v>
      </c>
      <c r="I69" s="76">
        <v>4.5833713915368151</v>
      </c>
      <c r="J69" s="70">
        <v>3.3</v>
      </c>
      <c r="K69" s="67"/>
      <c r="L69" s="194">
        <v>1.0053333333333334</v>
      </c>
      <c r="M69" s="194">
        <v>0.8042528735632184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>
        <v>14.011127971674247</v>
      </c>
      <c r="F70" s="70">
        <v>7.5</v>
      </c>
      <c r="G70" s="282"/>
      <c r="H70" s="76"/>
      <c r="I70" s="76"/>
      <c r="J70" s="72">
        <v>7.5</v>
      </c>
      <c r="K70" s="67"/>
      <c r="L70" s="194"/>
      <c r="M70" s="194"/>
      <c r="N70" s="71">
        <v>1</v>
      </c>
      <c r="P70" s="69"/>
    </row>
    <row r="71" spans="2:16" ht="14.4" thickBot="1">
      <c r="B71" s="435" t="s">
        <v>134</v>
      </c>
      <c r="C71" s="434"/>
      <c r="D71" s="76">
        <v>4.8792508624938291</v>
      </c>
      <c r="E71" s="76">
        <v>13.968869971624102</v>
      </c>
      <c r="F71" s="66">
        <v>5.5</v>
      </c>
      <c r="G71" s="282"/>
      <c r="H71" s="76">
        <v>6.2003723782925313</v>
      </c>
      <c r="I71" s="76">
        <v>6.2003723782925313</v>
      </c>
      <c r="J71" s="433">
        <v>5.5</v>
      </c>
      <c r="K71" s="67"/>
      <c r="L71" s="194">
        <v>1</v>
      </c>
      <c r="M71" s="194">
        <v>0.67719298245614035</v>
      </c>
      <c r="N71" s="71">
        <v>1</v>
      </c>
      <c r="P71" s="69"/>
    </row>
    <row r="72" spans="2:16">
      <c r="C72" s="282"/>
      <c r="D72" s="76">
        <v>13.968869971624102</v>
      </c>
      <c r="E72" s="76">
        <v>7.3600396789745988</v>
      </c>
      <c r="F72" s="341">
        <v>4.5</v>
      </c>
      <c r="G72" s="282"/>
      <c r="H72" s="76">
        <v>9.7308568955635284</v>
      </c>
      <c r="I72" s="76">
        <v>8.2048260501075188</v>
      </c>
      <c r="J72" s="342">
        <v>5</v>
      </c>
      <c r="K72" s="67"/>
      <c r="L72" s="194">
        <v>0.55806430144221564</v>
      </c>
      <c r="M72" s="194">
        <v>0.55806430144221564</v>
      </c>
      <c r="N72" s="386">
        <v>1</v>
      </c>
      <c r="O72" s="74"/>
      <c r="P72" s="75"/>
    </row>
    <row r="77" spans="2:16">
      <c r="F77" s="315"/>
    </row>
    <row r="85" spans="30:30">
      <c r="AD85" s="275" t="s">
        <v>57</v>
      </c>
    </row>
  </sheetData>
  <mergeCells count="52">
    <mergeCell ref="B61:F61"/>
    <mergeCell ref="G61:J61"/>
    <mergeCell ref="K61:N61"/>
    <mergeCell ref="B23:B34"/>
    <mergeCell ref="G50:G51"/>
    <mergeCell ref="H50:H51"/>
    <mergeCell ref="I50:I51"/>
    <mergeCell ref="J50:J51"/>
    <mergeCell ref="K50:K51"/>
    <mergeCell ref="L50:L51"/>
    <mergeCell ref="D45:E45"/>
    <mergeCell ref="B50:B51"/>
    <mergeCell ref="C50:C51"/>
    <mergeCell ref="D50:D51"/>
    <mergeCell ref="E50:E51"/>
    <mergeCell ref="F50:F51"/>
    <mergeCell ref="B35:B44"/>
    <mergeCell ref="D35:E36"/>
    <mergeCell ref="J35:K35"/>
    <mergeCell ref="L36:N36"/>
    <mergeCell ref="D37:E38"/>
    <mergeCell ref="D39:E40"/>
    <mergeCell ref="D41:E42"/>
    <mergeCell ref="D43:E44"/>
    <mergeCell ref="V1:W1"/>
    <mergeCell ref="M50:M51"/>
    <mergeCell ref="D29:E30"/>
    <mergeCell ref="D31:E32"/>
    <mergeCell ref="D33:E34"/>
    <mergeCell ref="J8:J9"/>
    <mergeCell ref="K8:K9"/>
    <mergeCell ref="I21:N21"/>
    <mergeCell ref="D22:E22"/>
    <mergeCell ref="D23:E24"/>
    <mergeCell ref="D25:E26"/>
    <mergeCell ref="D27:E28"/>
    <mergeCell ref="X1:Y1"/>
    <mergeCell ref="Z1:AA1"/>
    <mergeCell ref="B2:O2"/>
    <mergeCell ref="L8:L9"/>
    <mergeCell ref="O8:O9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</mergeCells>
  <conditionalFormatting sqref="B45:B46">
    <cfRule type="cellIs" dxfId="1746" priority="169" operator="notBetween">
      <formula>#REF!</formula>
      <formula>#REF!</formula>
    </cfRule>
  </conditionalFormatting>
  <conditionalFormatting sqref="C49">
    <cfRule type="cellIs" dxfId="1745" priority="200" stopIfTrue="1" operator="lessThan">
      <formula>96</formula>
    </cfRule>
    <cfRule type="cellIs" dxfId="1744" priority="201" stopIfTrue="1" operator="greaterThan">
      <formula>100</formula>
    </cfRule>
  </conditionalFormatting>
  <conditionalFormatting sqref="C63">
    <cfRule type="cellIs" dxfId="1743" priority="110" stopIfTrue="1" operator="greaterThan">
      <formula>$F63</formula>
    </cfRule>
  </conditionalFormatting>
  <conditionalFormatting sqref="C63:C64">
    <cfRule type="cellIs" dxfId="1742" priority="111" stopIfTrue="1" operator="lessThanOrEqual">
      <formula>0</formula>
    </cfRule>
  </conditionalFormatting>
  <conditionalFormatting sqref="C64">
    <cfRule type="cellIs" dxfId="1741" priority="204" stopIfTrue="1" operator="greaterThan">
      <formula>$F63</formula>
    </cfRule>
  </conditionalFormatting>
  <conditionalFormatting sqref="C65:C67">
    <cfRule type="cellIs" dxfId="1740" priority="136" stopIfTrue="1" operator="greaterThan">
      <formula>$F65</formula>
    </cfRule>
  </conditionalFormatting>
  <conditionalFormatting sqref="C65:C68">
    <cfRule type="cellIs" dxfId="1739" priority="147" stopIfTrue="1" operator="lessThanOrEqual">
      <formula>0</formula>
    </cfRule>
  </conditionalFormatting>
  <conditionalFormatting sqref="C68">
    <cfRule type="cellIs" dxfId="1738" priority="146" stopIfTrue="1" operator="greaterThan">
      <formula>$J68</formula>
    </cfRule>
  </conditionalFormatting>
  <conditionalFormatting sqref="C72">
    <cfRule type="cellIs" dxfId="1737" priority="96" stopIfTrue="1" operator="greaterThan">
      <formula>$J72</formula>
    </cfRule>
    <cfRule type="cellIs" dxfId="1736" priority="97" stopIfTrue="1" operator="lessThanOrEqual">
      <formula>0</formula>
    </cfRule>
  </conditionalFormatting>
  <conditionalFormatting sqref="C75:C79">
    <cfRule type="cellIs" dxfId="1735" priority="192" stopIfTrue="1" operator="lessThanOrEqual">
      <formula>0</formula>
    </cfRule>
  </conditionalFormatting>
  <conditionalFormatting sqref="C76:C79">
    <cfRule type="cellIs" dxfId="1734" priority="191" stopIfTrue="1" operator="greaterThan">
      <formula>$F$75</formula>
    </cfRule>
  </conditionalFormatting>
  <conditionalFormatting sqref="C81">
    <cfRule type="cellIs" dxfId="1733" priority="194" stopIfTrue="1" operator="lessThanOrEqual">
      <formula>0</formula>
    </cfRule>
    <cfRule type="cellIs" dxfId="1732" priority="193" stopIfTrue="1" operator="greaterThan">
      <formula>$F$75</formula>
    </cfRule>
  </conditionalFormatting>
  <conditionalFormatting sqref="C75:D75 D77:D83">
    <cfRule type="cellIs" dxfId="1731" priority="186" stopIfTrue="1" operator="greaterThan">
      <formula>4.5</formula>
    </cfRule>
  </conditionalFormatting>
  <conditionalFormatting sqref="D45:D46">
    <cfRule type="cellIs" dxfId="1730" priority="170" operator="notBetween">
      <formula>#REF!</formula>
      <formula>#REF!</formula>
    </cfRule>
  </conditionalFormatting>
  <conditionalFormatting sqref="D63:D71">
    <cfRule type="cellIs" dxfId="1729" priority="159" stopIfTrue="1" operator="lessThanOrEqual">
      <formula>0</formula>
    </cfRule>
  </conditionalFormatting>
  <conditionalFormatting sqref="D72">
    <cfRule type="cellIs" dxfId="1728" priority="158" stopIfTrue="1" operator="lessThanOrEqual">
      <formula>0</formula>
    </cfRule>
  </conditionalFormatting>
  <conditionalFormatting sqref="D75 D77:D83">
    <cfRule type="cellIs" dxfId="1727" priority="187" stopIfTrue="1" operator="lessThanOrEqual">
      <formula>0</formula>
    </cfRule>
  </conditionalFormatting>
  <conditionalFormatting sqref="D76">
    <cfRule type="cellIs" dxfId="1726" priority="179" stopIfTrue="1" operator="lessThanOrEqual">
      <formula>0</formula>
    </cfRule>
    <cfRule type="cellIs" dxfId="1725" priority="178" stopIfTrue="1" operator="greaterThan">
      <formula>$F$75</formula>
    </cfRule>
  </conditionalFormatting>
  <conditionalFormatting sqref="D63:E72">
    <cfRule type="cellIs" dxfId="1724" priority="151" stopIfTrue="1" operator="greaterThan">
      <formula>$F63</formula>
    </cfRule>
  </conditionalFormatting>
  <conditionalFormatting sqref="E10:E20">
    <cfRule type="cellIs" dxfId="1723" priority="8" operator="lessThan">
      <formula>48</formula>
    </cfRule>
  </conditionalFormatting>
  <conditionalFormatting sqref="E49">
    <cfRule type="cellIs" dxfId="1722" priority="181" stopIfTrue="1" operator="greaterThan">
      <formula>100</formula>
    </cfRule>
    <cfRule type="cellIs" dxfId="1721" priority="180" stopIfTrue="1" operator="lessThan">
      <formula>96.8</formula>
    </cfRule>
  </conditionalFormatting>
  <conditionalFormatting sqref="E63:E72">
    <cfRule type="cellIs" dxfId="1720" priority="152" stopIfTrue="1" operator="lessThanOrEqual">
      <formula>0</formula>
    </cfRule>
  </conditionalFormatting>
  <conditionalFormatting sqref="E75:E83">
    <cfRule type="cellIs" dxfId="1719" priority="173" stopIfTrue="1" operator="lessThanOrEqual">
      <formula>0</formula>
    </cfRule>
    <cfRule type="cellIs" dxfId="1718" priority="172" stopIfTrue="1" operator="greaterThan">
      <formula>4.5</formula>
    </cfRule>
  </conditionalFormatting>
  <conditionalFormatting sqref="E48:F49">
    <cfRule type="cellIs" dxfId="1717" priority="183" stopIfTrue="1" operator="greaterThan">
      <formula>100</formula>
    </cfRule>
    <cfRule type="cellIs" dxfId="1716" priority="182" stopIfTrue="1" operator="lessThan">
      <formula>96.5</formula>
    </cfRule>
  </conditionalFormatting>
  <conditionalFormatting sqref="F10:F19">
    <cfRule type="cellIs" dxfId="1715" priority="10" operator="greaterThan">
      <formula>60</formula>
    </cfRule>
  </conditionalFormatting>
  <conditionalFormatting sqref="F20">
    <cfRule type="cellIs" dxfId="1714" priority="208" operator="greaterThan">
      <formula>$AA60</formula>
    </cfRule>
    <cfRule type="cellIs" dxfId="1713" priority="207" operator="greaterThan">
      <formula>$AA20</formula>
    </cfRule>
  </conditionalFormatting>
  <conditionalFormatting sqref="F49">
    <cfRule type="cellIs" dxfId="1712" priority="199" stopIfTrue="1" operator="greaterThan">
      <formula>100</formula>
    </cfRule>
    <cfRule type="cellIs" dxfId="1711" priority="198" stopIfTrue="1" operator="lessThan">
      <formula>96.8</formula>
    </cfRule>
  </conditionalFormatting>
  <conditionalFormatting sqref="F72">
    <cfRule type="cellIs" dxfId="1710" priority="154" stopIfTrue="1" operator="lessThanOrEqual">
      <formula>0</formula>
    </cfRule>
    <cfRule type="cellIs" dxfId="1709" priority="153" stopIfTrue="1" operator="greaterThan">
      <formula>$F72</formula>
    </cfRule>
  </conditionalFormatting>
  <conditionalFormatting sqref="G63:G64 C69:C71">
    <cfRule type="cellIs" dxfId="1708" priority="160" stopIfTrue="1" operator="greaterThan">
      <formula>$F63</formula>
    </cfRule>
    <cfRule type="cellIs" dxfId="1707" priority="161" stopIfTrue="1" operator="lessThanOrEqual">
      <formula>0</formula>
    </cfRule>
  </conditionalFormatting>
  <conditionalFormatting sqref="G63:G64">
    <cfRule type="cellIs" dxfId="1706" priority="117" stopIfTrue="1" operator="greaterThan">
      <formula>$F63</formula>
    </cfRule>
    <cfRule type="cellIs" dxfId="1705" priority="118" stopIfTrue="1" operator="lessThanOrEqual">
      <formula>0</formula>
    </cfRule>
  </conditionalFormatting>
  <conditionalFormatting sqref="G65">
    <cfRule type="cellIs" dxfId="1704" priority="203" stopIfTrue="1" operator="lessThanOrEqual">
      <formula>0</formula>
    </cfRule>
    <cfRule type="cellIs" dxfId="1703" priority="202" stopIfTrue="1" operator="greaterThan">
      <formula>$F64</formula>
    </cfRule>
  </conditionalFormatting>
  <conditionalFormatting sqref="G66">
    <cfRule type="cellIs" dxfId="1702" priority="156" stopIfTrue="1" operator="lessThanOrEqual">
      <formula>0</formula>
    </cfRule>
    <cfRule type="cellIs" dxfId="1701" priority="155" stopIfTrue="1" operator="greaterThan">
      <formula>$F66</formula>
    </cfRule>
  </conditionalFormatting>
  <conditionalFormatting sqref="G67:G72">
    <cfRule type="cellIs" dxfId="1700" priority="162" stopIfTrue="1" operator="greaterThan">
      <formula>$J67</formula>
    </cfRule>
    <cfRule type="cellIs" dxfId="1699" priority="163" stopIfTrue="1" operator="lessThanOrEqual">
      <formula>0</formula>
    </cfRule>
  </conditionalFormatting>
  <conditionalFormatting sqref="G77:G82 C80 C82">
    <cfRule type="cellIs" dxfId="1698" priority="196" stopIfTrue="1" operator="lessThanOrEqual">
      <formula>0</formula>
    </cfRule>
    <cfRule type="cellIs" dxfId="1697" priority="195" stopIfTrue="1" operator="greaterThan">
      <formula>4.5</formula>
    </cfRule>
  </conditionalFormatting>
  <conditionalFormatting sqref="G10:H20">
    <cfRule type="expression" dxfId="1696" priority="2">
      <formula>IF(+(IF(G10&lt;#REF!,0,IF(G10&gt;#REF!,0,1)))=0,1)</formula>
    </cfRule>
  </conditionalFormatting>
  <conditionalFormatting sqref="G76:H76">
    <cfRule type="cellIs" dxfId="1695" priority="177" stopIfTrue="1" operator="lessThanOrEqual">
      <formula>0</formula>
    </cfRule>
    <cfRule type="cellIs" dxfId="1694" priority="176" stopIfTrue="1" operator="greaterThan">
      <formula>$F$75</formula>
    </cfRule>
  </conditionalFormatting>
  <conditionalFormatting sqref="H24:H47 G35:G46">
    <cfRule type="cellIs" dxfId="1693" priority="174" stopIfTrue="1" operator="greaterThan">
      <formula>0</formula>
    </cfRule>
  </conditionalFormatting>
  <conditionalFormatting sqref="H52 H58">
    <cfRule type="cellIs" dxfId="1692" priority="82" stopIfTrue="1" operator="greaterThan">
      <formula>$F$64</formula>
    </cfRule>
    <cfRule type="cellIs" dxfId="1691" priority="83" stopIfTrue="1" operator="lessThanOrEqual">
      <formula>0</formula>
    </cfRule>
    <cfRule type="cellIs" dxfId="1690" priority="81" stopIfTrue="1" operator="lessThanOrEqual">
      <formula>0</formula>
    </cfRule>
    <cfRule type="cellIs" dxfId="1689" priority="71" stopIfTrue="1" operator="lessThanOrEqual">
      <formula>0</formula>
    </cfRule>
    <cfRule type="cellIs" dxfId="1688" priority="80" stopIfTrue="1" operator="greaterThan">
      <formula>$F$66</formula>
    </cfRule>
  </conditionalFormatting>
  <conditionalFormatting sqref="H52 H58:I58">
    <cfRule type="cellIs" dxfId="1687" priority="72" stopIfTrue="1" operator="greaterThan">
      <formula>$F$63</formula>
    </cfRule>
  </conditionalFormatting>
  <conditionalFormatting sqref="H53">
    <cfRule type="cellIs" dxfId="1686" priority="66" stopIfTrue="1" operator="greaterThan">
      <formula>$F$65</formula>
    </cfRule>
    <cfRule type="cellIs" dxfId="1685" priority="67" stopIfTrue="1" operator="lessThanOrEqual">
      <formula>0</formula>
    </cfRule>
    <cfRule type="cellIs" dxfId="1684" priority="68" stopIfTrue="1" operator="greaterThan">
      <formula>$F$63</formula>
    </cfRule>
    <cfRule type="cellIs" dxfId="1683" priority="69" stopIfTrue="1" operator="lessThanOrEqual">
      <formula>0</formula>
    </cfRule>
    <cfRule type="cellIs" dxfId="1682" priority="57" stopIfTrue="1" operator="lessThanOrEqual">
      <formula>0</formula>
    </cfRule>
    <cfRule type="cellIs" dxfId="1681" priority="58" stopIfTrue="1" operator="greaterThan">
      <formula>$F$62</formula>
    </cfRule>
  </conditionalFormatting>
  <conditionalFormatting sqref="H54">
    <cfRule type="cellIs" dxfId="1680" priority="30" stopIfTrue="1" operator="greaterThan">
      <formula>$F$67</formula>
    </cfRule>
    <cfRule type="cellIs" dxfId="1679" priority="41" stopIfTrue="1" operator="lessThanOrEqual">
      <formula>0</formula>
    </cfRule>
    <cfRule type="cellIs" dxfId="1678" priority="29" stopIfTrue="1" operator="lessThanOrEqual">
      <formula>0</formula>
    </cfRule>
    <cfRule type="cellIs" dxfId="1677" priority="38" stopIfTrue="1" operator="greaterThan">
      <formula>$F$70</formula>
    </cfRule>
    <cfRule type="cellIs" dxfId="1676" priority="39" stopIfTrue="1" operator="lessThanOrEqual">
      <formula>0</formula>
    </cfRule>
    <cfRule type="cellIs" dxfId="1675" priority="40" stopIfTrue="1" operator="greaterThan">
      <formula>$F$68</formula>
    </cfRule>
  </conditionalFormatting>
  <conditionalFormatting sqref="H55">
    <cfRule type="cellIs" dxfId="1674" priority="135" stopIfTrue="1" operator="lessThanOrEqual">
      <formula>0</formula>
    </cfRule>
    <cfRule type="cellIs" dxfId="1673" priority="134" stopIfTrue="1" operator="greaterThan">
      <formula>$F$63</formula>
    </cfRule>
    <cfRule type="cellIs" dxfId="1672" priority="133" stopIfTrue="1" operator="lessThanOrEqual">
      <formula>0</formula>
    </cfRule>
    <cfRule type="cellIs" dxfId="1671" priority="132" stopIfTrue="1" operator="greaterThan">
      <formula>$F$65</formula>
    </cfRule>
    <cfRule type="cellIs" dxfId="1670" priority="124" stopIfTrue="1" operator="greaterThan">
      <formula>$F$62</formula>
    </cfRule>
    <cfRule type="cellIs" dxfId="1669" priority="123" stopIfTrue="1" operator="lessThanOrEqual">
      <formula>0</formula>
    </cfRule>
  </conditionalFormatting>
  <conditionalFormatting sqref="H56">
    <cfRule type="cellIs" dxfId="1668" priority="43" stopIfTrue="1" operator="lessThanOrEqual">
      <formula>0</formula>
    </cfRule>
    <cfRule type="cellIs" dxfId="1667" priority="52" stopIfTrue="1" operator="greaterThan">
      <formula>$F$41</formula>
    </cfRule>
    <cfRule type="cellIs" dxfId="1666" priority="44" stopIfTrue="1" operator="greaterThan">
      <formula>$F$38</formula>
    </cfRule>
    <cfRule type="cellIs" dxfId="1665" priority="53" stopIfTrue="1" operator="lessThanOrEqual">
      <formula>0</formula>
    </cfRule>
    <cfRule type="cellIs" dxfId="1664" priority="54" stopIfTrue="1" operator="greaterThan">
      <formula>$F$39</formula>
    </cfRule>
    <cfRule type="cellIs" dxfId="1663" priority="55" stopIfTrue="1" operator="lessThanOrEqual">
      <formula>0</formula>
    </cfRule>
  </conditionalFormatting>
  <conditionalFormatting sqref="H57">
    <cfRule type="cellIs" dxfId="1662" priority="108" stopIfTrue="1" operator="greaterThan">
      <formula>#REF!</formula>
    </cfRule>
    <cfRule type="cellIs" dxfId="1661" priority="99" stopIfTrue="1" operator="lessThanOrEqual">
      <formula>0</formula>
    </cfRule>
    <cfRule type="cellIs" dxfId="1660" priority="100" stopIfTrue="1" operator="greaterThan">
      <formula>#REF!</formula>
    </cfRule>
    <cfRule type="cellIs" dxfId="1659" priority="109" stopIfTrue="1" operator="lessThanOrEqual">
      <formula>0</formula>
    </cfRule>
  </conditionalFormatting>
  <conditionalFormatting sqref="H59">
    <cfRule type="cellIs" dxfId="1658" priority="167" stopIfTrue="1" operator="greaterThan">
      <formula>$F$57</formula>
    </cfRule>
    <cfRule type="cellIs" dxfId="1657" priority="166" stopIfTrue="1" operator="lessThanOrEqual">
      <formula>0</formula>
    </cfRule>
    <cfRule type="cellIs" dxfId="1656" priority="168" stopIfTrue="1" operator="lessThanOrEqual">
      <formula>0</formula>
    </cfRule>
    <cfRule type="cellIs" dxfId="1655" priority="165" stopIfTrue="1" operator="greaterThan">
      <formula>$F$60</formula>
    </cfRule>
  </conditionalFormatting>
  <conditionalFormatting sqref="H63:H71">
    <cfRule type="cellIs" dxfId="1654" priority="144" stopIfTrue="1" operator="greaterThan">
      <formula>$J63</formula>
    </cfRule>
    <cfRule type="cellIs" dxfId="1653" priority="145" stopIfTrue="1" operator="lessThanOrEqual">
      <formula>0</formula>
    </cfRule>
  </conditionalFormatting>
  <conditionalFormatting sqref="H72">
    <cfRule type="cellIs" dxfId="1652" priority="148" operator="greaterThan">
      <formula>5.3</formula>
    </cfRule>
  </conditionalFormatting>
  <conditionalFormatting sqref="H75 H77:H83">
    <cfRule type="cellIs" dxfId="1651" priority="189" stopIfTrue="1" operator="lessThanOrEqual">
      <formula>0</formula>
    </cfRule>
    <cfRule type="cellIs" dxfId="1650" priority="188" stopIfTrue="1" operator="greaterThan">
      <formula>4.5</formula>
    </cfRule>
  </conditionalFormatting>
  <conditionalFormatting sqref="H52:I52 H58:I58">
    <cfRule type="cellIs" dxfId="1649" priority="70" stopIfTrue="1" operator="greaterThan">
      <formula>$F$65</formula>
    </cfRule>
  </conditionalFormatting>
  <conditionalFormatting sqref="H52:I52">
    <cfRule type="cellIs" dxfId="1648" priority="73" stopIfTrue="1" operator="lessThanOrEqual">
      <formula>0</formula>
    </cfRule>
  </conditionalFormatting>
  <conditionalFormatting sqref="H53:I53">
    <cfRule type="cellIs" dxfId="1647" priority="59" stopIfTrue="1" operator="lessThanOrEqual">
      <formula>0</formula>
    </cfRule>
    <cfRule type="cellIs" dxfId="1646" priority="56" stopIfTrue="1" operator="greaterThan">
      <formula>$F$64</formula>
    </cfRule>
  </conditionalFormatting>
  <conditionalFormatting sqref="H54:I54">
    <cfRule type="cellIs" dxfId="1645" priority="28" stopIfTrue="1" operator="greaterThan">
      <formula>$F$69</formula>
    </cfRule>
    <cfRule type="cellIs" dxfId="1644" priority="31" stopIfTrue="1" operator="lessThanOrEqual">
      <formula>0</formula>
    </cfRule>
  </conditionalFormatting>
  <conditionalFormatting sqref="H55:I55">
    <cfRule type="cellIs" dxfId="1643" priority="122" stopIfTrue="1" operator="greaterThan">
      <formula>$F$64</formula>
    </cfRule>
    <cfRule type="cellIs" dxfId="1642" priority="125" stopIfTrue="1" operator="lessThanOrEqual">
      <formula>0</formula>
    </cfRule>
  </conditionalFormatting>
  <conditionalFormatting sqref="H56:I56">
    <cfRule type="cellIs" dxfId="1641" priority="42" stopIfTrue="1" operator="greaterThan">
      <formula>$F$40</formula>
    </cfRule>
    <cfRule type="cellIs" dxfId="1640" priority="45" stopIfTrue="1" operator="lessThanOrEqual">
      <formula>0</formula>
    </cfRule>
  </conditionalFormatting>
  <conditionalFormatting sqref="H57:I57">
    <cfRule type="cellIs" dxfId="1639" priority="104" stopIfTrue="1" operator="greaterThan">
      <formula>#REF!</formula>
    </cfRule>
    <cfRule type="cellIs" dxfId="1638" priority="98" stopIfTrue="1" operator="greaterThan">
      <formula>#REF!</formula>
    </cfRule>
    <cfRule type="cellIs" dxfId="1637" priority="101" stopIfTrue="1" operator="lessThanOrEqual">
      <formula>0</formula>
    </cfRule>
  </conditionalFormatting>
  <conditionalFormatting sqref="H57:I58">
    <cfRule type="cellIs" dxfId="1636" priority="107" stopIfTrue="1" operator="lessThanOrEqual">
      <formula>0</formula>
    </cfRule>
  </conditionalFormatting>
  <conditionalFormatting sqref="I20">
    <cfRule type="cellIs" dxfId="1635" priority="115" operator="lessThan">
      <formula>98</formula>
    </cfRule>
    <cfRule type="cellIs" dxfId="1634" priority="112" operator="lessThan">
      <formula>97.8</formula>
    </cfRule>
  </conditionalFormatting>
  <conditionalFormatting sqref="I52 I58">
    <cfRule type="cellIs" dxfId="1633" priority="77" stopIfTrue="1" operator="lessThanOrEqual">
      <formula>0</formula>
    </cfRule>
    <cfRule type="cellIs" dxfId="1632" priority="75" stopIfTrue="1" operator="lessThanOrEqual">
      <formula>0</formula>
    </cfRule>
    <cfRule type="cellIs" dxfId="1631" priority="76" stopIfTrue="1" operator="greaterThan">
      <formula>$F$65</formula>
    </cfRule>
    <cfRule type="cellIs" dxfId="1630" priority="79" stopIfTrue="1" operator="lessThanOrEqual">
      <formula>0</formula>
    </cfRule>
    <cfRule type="cellIs" dxfId="1629" priority="78" stopIfTrue="1" operator="greaterThan">
      <formula>$F$63</formula>
    </cfRule>
  </conditionalFormatting>
  <conditionalFormatting sqref="I52">
    <cfRule type="cellIs" dxfId="1628" priority="74" stopIfTrue="1" operator="greaterThan">
      <formula>$F$63</formula>
    </cfRule>
  </conditionalFormatting>
  <conditionalFormatting sqref="I53">
    <cfRule type="cellIs" dxfId="1627" priority="60" stopIfTrue="1" operator="greaterThan">
      <formula>$F$62</formula>
    </cfRule>
    <cfRule type="cellIs" dxfId="1626" priority="64" stopIfTrue="1" operator="greaterThan">
      <formula>$F$62</formula>
    </cfRule>
    <cfRule type="cellIs" dxfId="1625" priority="63" stopIfTrue="1" operator="lessThanOrEqual">
      <formula>0</formula>
    </cfRule>
    <cfRule type="cellIs" dxfId="1624" priority="61" stopIfTrue="1" operator="lessThanOrEqual">
      <formula>0</formula>
    </cfRule>
    <cfRule type="cellIs" dxfId="1623" priority="65" stopIfTrue="1" operator="lessThanOrEqual">
      <formula>0</formula>
    </cfRule>
    <cfRule type="cellIs" dxfId="1622" priority="62" stopIfTrue="1" operator="greaterThan">
      <formula>$F$64</formula>
    </cfRule>
  </conditionalFormatting>
  <conditionalFormatting sqref="I54">
    <cfRule type="cellIs" dxfId="1621" priority="33" stopIfTrue="1" operator="lessThanOrEqual">
      <formula>0</formula>
    </cfRule>
    <cfRule type="cellIs" dxfId="1620" priority="32" stopIfTrue="1" operator="greaterThan">
      <formula>$F$67</formula>
    </cfRule>
    <cfRule type="cellIs" dxfId="1619" priority="34" stopIfTrue="1" operator="greaterThan">
      <formula>$F$69</formula>
    </cfRule>
    <cfRule type="cellIs" dxfId="1618" priority="37" stopIfTrue="1" operator="lessThanOrEqual">
      <formula>0</formula>
    </cfRule>
    <cfRule type="cellIs" dxfId="1617" priority="36" stopIfTrue="1" operator="greaterThan">
      <formula>$F$67</formula>
    </cfRule>
    <cfRule type="cellIs" dxfId="1616" priority="35" stopIfTrue="1" operator="lessThanOrEqual">
      <formula>0</formula>
    </cfRule>
  </conditionalFormatting>
  <conditionalFormatting sqref="I55">
    <cfRule type="cellIs" dxfId="1615" priority="130" stopIfTrue="1" operator="greaterThan">
      <formula>$F$62</formula>
    </cfRule>
    <cfRule type="cellIs" dxfId="1614" priority="131" stopIfTrue="1" operator="lessThanOrEqual">
      <formula>0</formula>
    </cfRule>
    <cfRule type="cellIs" dxfId="1613" priority="129" stopIfTrue="1" operator="lessThanOrEqual">
      <formula>0</formula>
    </cfRule>
    <cfRule type="cellIs" dxfId="1612" priority="126" stopIfTrue="1" operator="greaterThan">
      <formula>$F$62</formula>
    </cfRule>
    <cfRule type="cellIs" dxfId="1611" priority="127" stopIfTrue="1" operator="lessThanOrEqual">
      <formula>0</formula>
    </cfRule>
    <cfRule type="cellIs" dxfId="1610" priority="128" stopIfTrue="1" operator="greaterThan">
      <formula>$F$64</formula>
    </cfRule>
  </conditionalFormatting>
  <conditionalFormatting sqref="I56">
    <cfRule type="cellIs" dxfId="1609" priority="48" stopIfTrue="1" operator="greaterThan">
      <formula>$F$40</formula>
    </cfRule>
    <cfRule type="cellIs" dxfId="1608" priority="47" stopIfTrue="1" operator="lessThanOrEqual">
      <formula>0</formula>
    </cfRule>
    <cfRule type="cellIs" dxfId="1607" priority="49" stopIfTrue="1" operator="lessThanOrEqual">
      <formula>0</formula>
    </cfRule>
    <cfRule type="cellIs" dxfId="1606" priority="50" stopIfTrue="1" operator="greaterThan">
      <formula>$F$38</formula>
    </cfRule>
    <cfRule type="cellIs" dxfId="1605" priority="51" stopIfTrue="1" operator="lessThanOrEqual">
      <formula>0</formula>
    </cfRule>
    <cfRule type="cellIs" dxfId="1604" priority="46" stopIfTrue="1" operator="greaterThan">
      <formula>$F$38</formula>
    </cfRule>
  </conditionalFormatting>
  <conditionalFormatting sqref="I57">
    <cfRule type="cellIs" dxfId="1603" priority="102" stopIfTrue="1" operator="greaterThan">
      <formula>#REF!</formula>
    </cfRule>
    <cfRule type="cellIs" dxfId="1602" priority="103" stopIfTrue="1" operator="lessThanOrEqual">
      <formula>0</formula>
    </cfRule>
    <cfRule type="cellIs" dxfId="1601" priority="105" stopIfTrue="1" operator="lessThanOrEqual">
      <formula>0</formula>
    </cfRule>
    <cfRule type="cellIs" dxfId="1600" priority="106" stopIfTrue="1" operator="greaterThan">
      <formula>#REF!</formula>
    </cfRule>
  </conditionalFormatting>
  <conditionalFormatting sqref="I63:I72">
    <cfRule type="cellIs" dxfId="1599" priority="149" stopIfTrue="1" operator="greaterThan">
      <formula>$J63</formula>
    </cfRule>
    <cfRule type="cellIs" dxfId="1598" priority="150" stopIfTrue="1" operator="lessThanOrEqual">
      <formula>0</formula>
    </cfRule>
  </conditionalFormatting>
  <conditionalFormatting sqref="I75:I83">
    <cfRule type="cellIs" dxfId="1597" priority="185" stopIfTrue="1" operator="lessThanOrEqual">
      <formula>0</formula>
    </cfRule>
    <cfRule type="cellIs" dxfId="1596" priority="184" stopIfTrue="1" operator="greaterThan">
      <formula>4.5</formula>
    </cfRule>
  </conditionalFormatting>
  <conditionalFormatting sqref="I10:J19">
    <cfRule type="cellIs" dxfId="1595" priority="11" operator="lessThan">
      <formula>97.9</formula>
    </cfRule>
  </conditionalFormatting>
  <conditionalFormatting sqref="J20">
    <cfRule type="cellIs" dxfId="1594" priority="114" operator="lessThan">
      <formula>97.4</formula>
    </cfRule>
    <cfRule type="cellIs" dxfId="1593" priority="113" operator="notBetween">
      <formula>98</formula>
      <formula>99.9</formula>
    </cfRule>
  </conditionalFormatting>
  <conditionalFormatting sqref="J23:J25">
    <cfRule type="cellIs" dxfId="1592" priority="14" stopIfTrue="1" operator="lessThan">
      <formula>96.8</formula>
    </cfRule>
    <cfRule type="cellIs" dxfId="1591" priority="16" operator="lessThan">
      <formula>98</formula>
    </cfRule>
    <cfRule type="cellIs" dxfId="1590" priority="15" stopIfTrue="1" operator="greaterThan">
      <formula>100</formula>
    </cfRule>
  </conditionalFormatting>
  <conditionalFormatting sqref="J23:J27">
    <cfRule type="cellIs" dxfId="1589" priority="13" operator="lessThan">
      <formula>97.4</formula>
    </cfRule>
  </conditionalFormatting>
  <conditionalFormatting sqref="J28">
    <cfRule type="cellIs" dxfId="1588" priority="140" operator="lessThan">
      <formula>98</formula>
    </cfRule>
  </conditionalFormatting>
  <conditionalFormatting sqref="J29:J31">
    <cfRule type="cellIs" dxfId="1587" priority="141" stopIfTrue="1" operator="lessThan">
      <formula>96.8</formula>
    </cfRule>
    <cfRule type="cellIs" dxfId="1586" priority="142" stopIfTrue="1" operator="greaterThan">
      <formula>100</formula>
    </cfRule>
  </conditionalFormatting>
  <conditionalFormatting sqref="J29:J32">
    <cfRule type="cellIs" dxfId="1585" priority="143" operator="lessThan">
      <formula>98</formula>
    </cfRule>
  </conditionalFormatting>
  <conditionalFormatting sqref="K10:K20">
    <cfRule type="cellIs" dxfId="1584" priority="4" operator="greaterThan">
      <formula>6</formula>
    </cfRule>
    <cfRule type="cellIs" dxfId="1583" priority="5" operator="lessThan">
      <formula>4</formula>
    </cfRule>
    <cfRule type="cellIs" dxfId="1582" priority="9" operator="greaterThan">
      <formula>6.4</formula>
    </cfRule>
  </conditionalFormatting>
  <conditionalFormatting sqref="K37 K39:K46">
    <cfRule type="cellIs" dxfId="1581" priority="157" operator="notEqual">
      <formula>#REF!</formula>
    </cfRule>
  </conditionalFormatting>
  <conditionalFormatting sqref="K52:K59 K63:N72">
    <cfRule type="cellIs" dxfId="1580" priority="164" stopIfTrue="1" operator="lessThan">
      <formula>100%</formula>
    </cfRule>
  </conditionalFormatting>
  <conditionalFormatting sqref="K75:K80">
    <cfRule type="cellIs" dxfId="1579" priority="190" stopIfTrue="1" operator="lessThan">
      <formula>100%</formula>
    </cfRule>
  </conditionalFormatting>
  <conditionalFormatting sqref="K82:K83">
    <cfRule type="cellIs" dxfId="1578" priority="197" stopIfTrue="1" operator="lessThan">
      <formula>100%</formula>
    </cfRule>
  </conditionalFormatting>
  <conditionalFormatting sqref="L10:L20">
    <cfRule type="cellIs" dxfId="1577" priority="6" operator="between">
      <formula>61</formula>
      <formula>65</formula>
    </cfRule>
    <cfRule type="cellIs" dxfId="1576" priority="7" operator="greaterThan">
      <formula>65</formula>
    </cfRule>
  </conditionalFormatting>
  <conditionalFormatting sqref="L23:M34">
    <cfRule type="cellIs" dxfId="1575" priority="84" operator="lessThan">
      <formula>98</formula>
    </cfRule>
  </conditionalFormatting>
  <conditionalFormatting sqref="L38:N38">
    <cfRule type="cellIs" dxfId="1574" priority="119" operator="notEqual">
      <formula>#REF!</formula>
    </cfRule>
  </conditionalFormatting>
  <conditionalFormatting sqref="L75:N83">
    <cfRule type="cellIs" dxfId="1573" priority="175" stopIfTrue="1" operator="lessThan">
      <formula>100%</formula>
    </cfRule>
  </conditionalFormatting>
  <conditionalFormatting sqref="M10:M18">
    <cfRule type="expression" dxfId="1572" priority="18">
      <formula>IF(+(IF(M10&lt;V10,0,IF(M10&gt;W10,0,1)))=0,1)</formula>
    </cfRule>
  </conditionalFormatting>
  <conditionalFormatting sqref="M19">
    <cfRule type="expression" dxfId="1571" priority="12">
      <formula>IF(+(IF(M19&lt;U19,0,IF(M19&gt;V19,0,1)))=0,1)</formula>
    </cfRule>
  </conditionalFormatting>
  <conditionalFormatting sqref="M20">
    <cfRule type="expression" dxfId="1570" priority="86">
      <formula>IF(+(IF(M20&lt;V20,0,IF(M20&gt;W20,0,1)))=0,1)</formula>
    </cfRule>
  </conditionalFormatting>
  <conditionalFormatting sqref="M6:N6">
    <cfRule type="cellIs" dxfId="1569" priority="121" operator="greaterThanOrEqual">
      <formula>19</formula>
    </cfRule>
    <cfRule type="cellIs" dxfId="1568" priority="120" operator="greaterThanOrEqual">
      <formula>15</formula>
    </cfRule>
  </conditionalFormatting>
  <conditionalFormatting sqref="N10:N20">
    <cfRule type="expression" dxfId="1567" priority="3">
      <formula>IF(+(IF(N10&lt;X10,0,IF(N10&gt;Y10,0,1)))=0,1)</formula>
    </cfRule>
  </conditionalFormatting>
  <conditionalFormatting sqref="N20">
    <cfRule type="expression" dxfId="1566" priority="205">
      <formula>IF(+(IF(N20&lt;X65,0,IF(N20&gt;Y65,0,1)))=0,1)</formula>
    </cfRule>
    <cfRule type="expression" dxfId="1565" priority="206">
      <formula>IF(+(IF(N20&lt;X60,0,IF(N20&gt;Y60,0,1)))=0,1)</formula>
    </cfRule>
  </conditionalFormatting>
  <conditionalFormatting sqref="P6">
    <cfRule type="cellIs" dxfId="1564" priority="171" operator="greaterThanOrEqual">
      <formula>19</formula>
    </cfRule>
  </conditionalFormatting>
  <dataValidations count="1">
    <dataValidation type="list" allowBlank="1" showInputMessage="1" showErrorMessage="1" sqref="S8 B20" xr:uid="{37C740B0-C29C-409B-877F-42573F221C0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E4A8-6E8E-4ECC-951C-026E27AB3E3D}">
  <sheetPr>
    <pageSetUpPr fitToPage="1"/>
  </sheetPr>
  <dimension ref="A1:BF85"/>
  <sheetViews>
    <sheetView zoomScale="83" zoomScaleNormal="70" workbookViewId="0">
      <selection activeCell="E10" sqref="E10:E18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45706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160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2" t="s">
        <v>33</v>
      </c>
      <c r="C10" s="366" t="str">
        <f>[25]Brewhouse!A17</f>
        <v>VM012</v>
      </c>
      <c r="D10" s="279">
        <f>[25]Brewhouse!AE17</f>
        <v>52.8</v>
      </c>
      <c r="E10" s="279">
        <f>[25]Brewhouse!AJ17</f>
        <v>48.6</v>
      </c>
      <c r="F10" s="278">
        <f>[25]Brewhouse!X17</f>
        <v>87</v>
      </c>
      <c r="G10" s="279">
        <f>[25]Brewhouse!AH17</f>
        <v>14.6</v>
      </c>
      <c r="H10" s="403">
        <v>14.4</v>
      </c>
      <c r="I10" s="368">
        <f>[25]Brewhouse!AV17</f>
        <v>100.26537727345534</v>
      </c>
      <c r="J10" s="368">
        <f>[25]Brewhouse!AW17</f>
        <v>101.14301565856934</v>
      </c>
      <c r="K10" s="281">
        <f>[25]Brewhouse!S17</f>
        <v>7.3106060606060606</v>
      </c>
      <c r="L10" s="276">
        <f>[25]Brewhouse!R17</f>
        <v>61</v>
      </c>
      <c r="M10" s="374">
        <f>[25]Brewhouse!$W17-[25]Brewhouse!$V17</f>
        <v>0.14166666666666683</v>
      </c>
      <c r="N10" s="370">
        <f>[25]Brewhouse!AB17</f>
        <v>0.27847222222222223</v>
      </c>
      <c r="O10" s="371" t="str">
        <f>[25]Brewhouse!$AZ17</f>
        <v>R.Regis</v>
      </c>
      <c r="P10" s="369"/>
      <c r="Q10" s="347"/>
      <c r="S10" s="277" t="str">
        <f t="shared" ref="S10:S20" si="0">B10</f>
        <v>VITAMALT</v>
      </c>
      <c r="T10" s="296">
        <f t="shared" ref="T10:T20" si="1">VLOOKUP($B10,$S$3:$Y$9,2,FALSE)</f>
        <v>14.4</v>
      </c>
      <c r="U10" s="296">
        <f t="shared" ref="U10:U20" si="2">VLOOKUP($B10,$S$3:$Y$9,3,FALSE)</f>
        <v>14.6</v>
      </c>
      <c r="V10" s="297">
        <f t="shared" ref="V10:V20" si="3">VLOOKUP($B10,$S$3:$Y$9,4,FALSE)</f>
        <v>0</v>
      </c>
      <c r="W10" s="297">
        <f t="shared" ref="W10:W20" si="4">VLOOKUP($B10,$S$3:$Y$9,5,FALSE)</f>
        <v>0.13905092592592591</v>
      </c>
      <c r="X10" s="297">
        <f t="shared" ref="X10:X20" si="5">VLOOKUP($B10,$S$3:$Y$9,6,FALSE)</f>
        <v>0.26041666666666669</v>
      </c>
      <c r="Y10" s="297">
        <f t="shared" ref="Y10:Y20" si="6">VLOOKUP($B10,$S$3:$Y$9,7,FALSE)</f>
        <v>0.2951388888888889</v>
      </c>
      <c r="Z10" s="297">
        <f t="shared" ref="Z10:Z20" si="7">VLOOKUP($B10,$S$3:$AA$9,8,FALSE)</f>
        <v>0</v>
      </c>
      <c r="AA10" s="296">
        <f t="shared" ref="AA10:AA20" si="8">VLOOKUP($B10,$S$3:$AA$9,9,FALSE)</f>
        <v>75</v>
      </c>
    </row>
    <row r="11" spans="2:30" ht="15.75" customHeight="1">
      <c r="B11" s="22" t="s">
        <v>33</v>
      </c>
      <c r="C11" s="366" t="str">
        <f>[25]Brewhouse!A18</f>
        <v>VM013</v>
      </c>
      <c r="D11" s="279">
        <f>[25]Brewhouse!AE18</f>
        <v>51.8</v>
      </c>
      <c r="E11" s="279">
        <f>[25]Brewhouse!AJ18</f>
        <v>48.1</v>
      </c>
      <c r="F11" s="278">
        <f>[25]Brewhouse!X18</f>
        <v>86</v>
      </c>
      <c r="G11" s="279">
        <f>[25]Brewhouse!AH18</f>
        <v>14.6</v>
      </c>
      <c r="H11" s="403">
        <v>14.3</v>
      </c>
      <c r="I11" s="368">
        <f>[25]Brewhouse!AV18</f>
        <v>99.23384047023049</v>
      </c>
      <c r="J11" s="368">
        <f>[25]Brewhouse!AW18</f>
        <v>100.10244965385154</v>
      </c>
      <c r="K11" s="281">
        <f>[25]Brewhouse!S18</f>
        <v>5.5212355212355204</v>
      </c>
      <c r="L11" s="276">
        <f>[25]Brewhouse!R18</f>
        <v>60</v>
      </c>
      <c r="M11" s="374">
        <f>[25]Brewhouse!$W18-[25]Brewhouse!$V18</f>
        <v>0.13611111111111113</v>
      </c>
      <c r="N11" s="370">
        <f>[25]Brewhouse!AB18</f>
        <v>0.28958333333333336</v>
      </c>
      <c r="O11" s="371" t="str">
        <f>[25]Brewhouse!$AZ18</f>
        <v>R.Regis</v>
      </c>
      <c r="P11" s="369"/>
      <c r="Q11" s="347"/>
      <c r="S11" s="277" t="str">
        <f t="shared" si="0"/>
        <v>VITAMALT</v>
      </c>
      <c r="T11" s="296">
        <f t="shared" si="1"/>
        <v>14.4</v>
      </c>
      <c r="U11" s="296">
        <f t="shared" si="2"/>
        <v>14.6</v>
      </c>
      <c r="V11" s="297">
        <f t="shared" si="3"/>
        <v>0</v>
      </c>
      <c r="W11" s="297">
        <f t="shared" si="4"/>
        <v>0.13905092592592591</v>
      </c>
      <c r="X11" s="297">
        <f t="shared" si="5"/>
        <v>0.26041666666666669</v>
      </c>
      <c r="Y11" s="297">
        <f t="shared" si="6"/>
        <v>0.2951388888888889</v>
      </c>
      <c r="Z11" s="297">
        <f t="shared" si="7"/>
        <v>0</v>
      </c>
      <c r="AA11" s="296">
        <f t="shared" si="8"/>
        <v>75</v>
      </c>
    </row>
    <row r="12" spans="2:30" ht="15.75" customHeight="1">
      <c r="B12" s="22" t="s">
        <v>33</v>
      </c>
      <c r="C12" s="366" t="str">
        <f>[25]Brewhouse!A19</f>
        <v>VM014</v>
      </c>
      <c r="D12" s="279">
        <f>[25]Brewhouse!AE19</f>
        <v>51.6</v>
      </c>
      <c r="E12" s="279">
        <f>[25]Brewhouse!AJ19</f>
        <v>49.2</v>
      </c>
      <c r="F12" s="278">
        <f>[25]Brewhouse!X19</f>
        <v>88</v>
      </c>
      <c r="G12" s="279">
        <f>[25]Brewhouse!AH19</f>
        <v>14.5</v>
      </c>
      <c r="H12" s="403">
        <v>14.4</v>
      </c>
      <c r="I12" s="368">
        <f>[25]Brewhouse!AV19</f>
        <v>100.78007672501261</v>
      </c>
      <c r="J12" s="368">
        <f>[25]Brewhouse!AW19</f>
        <v>101.66222035418761</v>
      </c>
      <c r="K12" s="281">
        <f>[25]Brewhouse!S19</f>
        <v>3.7984496124031022</v>
      </c>
      <c r="L12" s="276">
        <f>[25]Brewhouse!R19</f>
        <v>58</v>
      </c>
      <c r="M12" s="374">
        <f>[25]Brewhouse!$W19-[25]Brewhouse!$V19</f>
        <v>0.13541666666666663</v>
      </c>
      <c r="N12" s="370">
        <f>[25]Brewhouse!AB19</f>
        <v>0.27708333333333329</v>
      </c>
      <c r="O12" s="371" t="str">
        <f>[25]Brewhouse!$AZ19</f>
        <v>R.Sookram</v>
      </c>
      <c r="P12" s="369"/>
      <c r="Q12" s="347"/>
      <c r="S12" s="277" t="str">
        <f t="shared" si="0"/>
        <v>VITAMALT</v>
      </c>
      <c r="T12" s="296">
        <f t="shared" si="1"/>
        <v>14.4</v>
      </c>
      <c r="U12" s="296">
        <f t="shared" si="2"/>
        <v>14.6</v>
      </c>
      <c r="V12" s="297">
        <f t="shared" si="3"/>
        <v>0</v>
      </c>
      <c r="W12" s="297">
        <f t="shared" si="4"/>
        <v>0.13905092592592591</v>
      </c>
      <c r="X12" s="297">
        <f t="shared" si="5"/>
        <v>0.26041666666666669</v>
      </c>
      <c r="Y12" s="297">
        <f t="shared" si="6"/>
        <v>0.2951388888888889</v>
      </c>
      <c r="Z12" s="297">
        <f t="shared" si="7"/>
        <v>0</v>
      </c>
      <c r="AA12" s="296">
        <f t="shared" si="8"/>
        <v>75</v>
      </c>
    </row>
    <row r="13" spans="2:30" ht="15.75" customHeight="1">
      <c r="B13" s="22"/>
      <c r="C13" s="366"/>
      <c r="D13" s="452"/>
      <c r="E13" s="279"/>
      <c r="F13" s="278"/>
      <c r="G13" s="279"/>
      <c r="H13" s="403"/>
      <c r="I13" s="368"/>
      <c r="J13" s="368"/>
      <c r="K13" s="281"/>
      <c r="L13" s="276"/>
      <c r="M13" s="374"/>
      <c r="N13" s="370"/>
      <c r="O13" s="371"/>
      <c r="P13" s="36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34" t="s">
        <v>12</v>
      </c>
      <c r="C14" s="366" t="str">
        <f>[23]Brewhouse!$A15</f>
        <v>GU011</v>
      </c>
      <c r="D14" s="279">
        <f>[23]Brewhouse!$AF15</f>
        <v>57.5</v>
      </c>
      <c r="E14" s="279">
        <f>[23]Brewhouse!$AI15</f>
        <v>52.4</v>
      </c>
      <c r="F14" s="278">
        <f>[23]Brewhouse!$V15</f>
        <v>68</v>
      </c>
      <c r="G14" s="279">
        <f>[23]Brewhouse!$AG15</f>
        <v>17.13</v>
      </c>
      <c r="H14" s="396">
        <v>17.100000000000001</v>
      </c>
      <c r="I14" s="368">
        <f>[23]Brewhouse!$AU15</f>
        <v>94.435555625701596</v>
      </c>
      <c r="J14" s="368">
        <f>[23]Brewhouse!$AV15</f>
        <v>97.83832396525294</v>
      </c>
      <c r="K14" s="281">
        <f>[23]Brewhouse!$R15</f>
        <v>5.5400696864111501</v>
      </c>
      <c r="L14" s="276">
        <f>[23]Brewhouse!$O15</f>
        <v>56</v>
      </c>
      <c r="M14" s="397">
        <f>[23]Brewhouse!$U15-[23]Brewhouse!$T15</f>
        <v>0.11805555555555547</v>
      </c>
      <c r="N14" s="370">
        <f>[23]Brewhouse!$Z15</f>
        <v>0.26597222222222217</v>
      </c>
      <c r="O14" s="371" t="str">
        <f>[23]Brewhouse!$AW15</f>
        <v>R.Sookram</v>
      </c>
      <c r="P14" s="369"/>
      <c r="Q14" s="347"/>
      <c r="S14" s="277" t="str">
        <f t="shared" si="0"/>
        <v>GUINNESS</v>
      </c>
      <c r="T14" s="296">
        <f t="shared" si="1"/>
        <v>17</v>
      </c>
      <c r="U14" s="296">
        <f t="shared" si="2"/>
        <v>17.5</v>
      </c>
      <c r="V14" s="297">
        <f t="shared" si="3"/>
        <v>0</v>
      </c>
      <c r="W14" s="297">
        <f t="shared" si="4"/>
        <v>0.1076388888888889</v>
      </c>
      <c r="X14" s="297">
        <f t="shared" si="5"/>
        <v>0.24652777777777779</v>
      </c>
      <c r="Y14" s="297">
        <f t="shared" si="6"/>
        <v>0.28472222222222221</v>
      </c>
      <c r="Z14" s="297">
        <f t="shared" si="7"/>
        <v>0</v>
      </c>
      <c r="AA14" s="296">
        <f t="shared" si="8"/>
        <v>60</v>
      </c>
    </row>
    <row r="15" spans="2:30" ht="15.75" customHeight="1">
      <c r="B15" s="34" t="s">
        <v>12</v>
      </c>
      <c r="C15" s="366" t="str">
        <f>[23]Brewhouse!$A16</f>
        <v>GU012</v>
      </c>
      <c r="D15" s="279">
        <f>[23]Brewhouse!$AF16</f>
        <v>57.2</v>
      </c>
      <c r="E15" s="279">
        <f>[23]Brewhouse!$AI16</f>
        <v>52.4</v>
      </c>
      <c r="F15" s="278">
        <f>[23]Brewhouse!$V16</f>
        <v>69</v>
      </c>
      <c r="G15" s="279">
        <f>[23]Brewhouse!$AG16</f>
        <v>17.29</v>
      </c>
      <c r="H15" s="367"/>
      <c r="I15" s="368">
        <f>[23]Brewhouse!$AU16</f>
        <v>95.624399511520494</v>
      </c>
      <c r="J15" s="368">
        <f>[23]Brewhouse!$AV16</f>
        <v>99.070005109862038</v>
      </c>
      <c r="K15" s="281">
        <f>[23]Brewhouse!$R16</f>
        <v>3.8045375218149964</v>
      </c>
      <c r="L15" s="276">
        <f>[23]Brewhouse!$O16</f>
        <v>59</v>
      </c>
      <c r="M15" s="397">
        <f>[23]Brewhouse!$U16-[23]Brewhouse!$T16</f>
        <v>0.11736111111111114</v>
      </c>
      <c r="N15" s="370">
        <f>[23]Brewhouse!$Z16</f>
        <v>0.26458333333333339</v>
      </c>
      <c r="O15" s="371" t="str">
        <f>[23]Brewhouse!$AW16</f>
        <v>K. Benjamin</v>
      </c>
      <c r="P15" s="369"/>
      <c r="Q15" s="347"/>
      <c r="S15" s="277" t="str">
        <f t="shared" si="0"/>
        <v>GUINNESS</v>
      </c>
      <c r="T15" s="296">
        <f t="shared" si="1"/>
        <v>17</v>
      </c>
      <c r="U15" s="296">
        <f t="shared" si="2"/>
        <v>17.5</v>
      </c>
      <c r="V15" s="297">
        <f t="shared" si="3"/>
        <v>0</v>
      </c>
      <c r="W15" s="297">
        <f t="shared" si="4"/>
        <v>0.1076388888888889</v>
      </c>
      <c r="X15" s="297">
        <f t="shared" si="5"/>
        <v>0.24652777777777779</v>
      </c>
      <c r="Y15" s="297">
        <f t="shared" si="6"/>
        <v>0.28472222222222221</v>
      </c>
      <c r="Z15" s="297">
        <f t="shared" si="7"/>
        <v>0</v>
      </c>
      <c r="AA15" s="296">
        <f t="shared" si="8"/>
        <v>60</v>
      </c>
    </row>
    <row r="16" spans="2:30" ht="15.75" customHeight="1">
      <c r="B16" s="34" t="s">
        <v>12</v>
      </c>
      <c r="C16" s="366" t="str">
        <f>[23]Brewhouse!$A17</f>
        <v>GU013</v>
      </c>
      <c r="D16" s="279">
        <f>[23]Brewhouse!$AF17</f>
        <v>57.8</v>
      </c>
      <c r="E16" s="279">
        <f>[23]Brewhouse!$AI17</f>
        <v>53.1</v>
      </c>
      <c r="F16" s="278">
        <f>[23]Brewhouse!$V17</f>
        <v>71</v>
      </c>
      <c r="G16" s="279">
        <f>[23]Brewhouse!$AG17</f>
        <v>17.3</v>
      </c>
      <c r="H16" s="367"/>
      <c r="I16" s="368">
        <f>[23]Brewhouse!$AU17</f>
        <v>96.979216130328368</v>
      </c>
      <c r="J16" s="368">
        <f>[23]Brewhouse!$AV17</f>
        <v>100.47303689687797</v>
      </c>
      <c r="K16" s="281">
        <f>[23]Brewhouse!$R17</f>
        <v>3.8045375218149964</v>
      </c>
      <c r="L16" s="276">
        <f>[23]Brewhouse!$O17</f>
        <v>59</v>
      </c>
      <c r="M16" s="397">
        <f>[23]Brewhouse!$U17-[23]Brewhouse!$T17</f>
        <v>0.125</v>
      </c>
      <c r="N16" s="370">
        <f>[23]Brewhouse!$Z17</f>
        <v>0.26666666666666661</v>
      </c>
      <c r="O16" s="371" t="str">
        <f>[23]Brewhouse!$AW17</f>
        <v>K. Benjamin</v>
      </c>
      <c r="P16" s="369"/>
      <c r="Q16" s="347"/>
      <c r="S16" s="277" t="str">
        <f t="shared" si="0"/>
        <v>GUINNESS</v>
      </c>
      <c r="T16" s="296">
        <f t="shared" si="1"/>
        <v>17</v>
      </c>
      <c r="U16" s="296">
        <f t="shared" si="2"/>
        <v>17.5</v>
      </c>
      <c r="V16" s="297">
        <f t="shared" si="3"/>
        <v>0</v>
      </c>
      <c r="W16" s="297">
        <f t="shared" si="4"/>
        <v>0.1076388888888889</v>
      </c>
      <c r="X16" s="297">
        <f t="shared" si="5"/>
        <v>0.24652777777777779</v>
      </c>
      <c r="Y16" s="297">
        <f t="shared" si="6"/>
        <v>0.28472222222222221</v>
      </c>
      <c r="Z16" s="297">
        <f t="shared" si="7"/>
        <v>0</v>
      </c>
      <c r="AA16" s="296">
        <f t="shared" si="8"/>
        <v>60</v>
      </c>
    </row>
    <row r="17" spans="1:27" ht="15.75" customHeight="1">
      <c r="B17" s="34" t="s">
        <v>12</v>
      </c>
      <c r="C17" s="366" t="str">
        <f>[23]Brewhouse!$A18</f>
        <v>GU014</v>
      </c>
      <c r="D17" s="279">
        <f>[23]Brewhouse!$AF18</f>
        <v>56.1</v>
      </c>
      <c r="E17" s="279">
        <f>[23]Brewhouse!$AI18</f>
        <v>51.3</v>
      </c>
      <c r="F17" s="278">
        <f>[23]Brewhouse!$V18</f>
        <v>67</v>
      </c>
      <c r="G17" s="279">
        <f>[23]Brewhouse!$AG18</f>
        <v>17.399999999999999</v>
      </c>
      <c r="H17" s="396">
        <v>17.5</v>
      </c>
      <c r="I17" s="368">
        <f>[23]Brewhouse!$AU18</f>
        <v>94.248871364698488</v>
      </c>
      <c r="J17" s="368">
        <f>[23]Brewhouse!$AV18</f>
        <v>97.644327392671755</v>
      </c>
      <c r="K17" s="281">
        <f>[23]Brewhouse!$R18</f>
        <v>4.3130434782608642</v>
      </c>
      <c r="L17" s="276">
        <f>[23]Brewhouse!$O18</f>
        <v>57</v>
      </c>
      <c r="M17" s="397">
        <f>[23]Brewhouse!$U18-[23]Brewhouse!$T18</f>
        <v>0.11944444444444435</v>
      </c>
      <c r="N17" s="370">
        <f>[23]Brewhouse!$Z18</f>
        <v>0.26180555555555551</v>
      </c>
      <c r="O17" s="371" t="str">
        <f>[23]Brewhouse!$AW18</f>
        <v>K. Benjamin</v>
      </c>
      <c r="P17" s="369"/>
      <c r="Q17" s="347"/>
      <c r="S17" s="277" t="str">
        <f t="shared" si="0"/>
        <v>GUINNESS</v>
      </c>
      <c r="T17" s="296">
        <f t="shared" si="1"/>
        <v>17</v>
      </c>
      <c r="U17" s="296">
        <f t="shared" si="2"/>
        <v>17.5</v>
      </c>
      <c r="V17" s="297">
        <f t="shared" si="3"/>
        <v>0</v>
      </c>
      <c r="W17" s="297">
        <f t="shared" si="4"/>
        <v>0.1076388888888889</v>
      </c>
      <c r="X17" s="297">
        <f t="shared" si="5"/>
        <v>0.24652777777777779</v>
      </c>
      <c r="Y17" s="297">
        <f t="shared" si="6"/>
        <v>0.28472222222222221</v>
      </c>
      <c r="Z17" s="297">
        <f t="shared" si="7"/>
        <v>0</v>
      </c>
      <c r="AA17" s="296">
        <f t="shared" si="8"/>
        <v>60</v>
      </c>
    </row>
    <row r="18" spans="1:27" ht="15.75" customHeight="1">
      <c r="B18" s="34" t="s">
        <v>12</v>
      </c>
      <c r="C18" s="366" t="str">
        <f>[23]Brewhouse!$A19</f>
        <v>GU015</v>
      </c>
      <c r="D18" s="279">
        <f>[23]Brewhouse!$AF19</f>
        <v>56.9</v>
      </c>
      <c r="E18" s="279">
        <f>[23]Brewhouse!$AI19</f>
        <v>52.3</v>
      </c>
      <c r="F18" s="278">
        <f>[23]Brewhouse!$V19</f>
        <v>64</v>
      </c>
      <c r="G18" s="279">
        <f>[23]Brewhouse!$AG19</f>
        <v>17.2</v>
      </c>
      <c r="H18" s="396">
        <v>17.2</v>
      </c>
      <c r="I18" s="368">
        <f>[23]Brewhouse!$AU19</f>
        <v>95.050384097787941</v>
      </c>
      <c r="J18" s="368">
        <f>[23]Brewhouse!$AV19</f>
        <v>98.473531897456894</v>
      </c>
      <c r="K18" s="281">
        <f>[23]Brewhouse!$R19</f>
        <v>4.4444444444444393</v>
      </c>
      <c r="L18" s="276">
        <f>[23]Brewhouse!$O19</f>
        <v>58</v>
      </c>
      <c r="M18" s="397">
        <f>[23]Brewhouse!$U19-[23]Brewhouse!$T19</f>
        <v>0.1166666666666667</v>
      </c>
      <c r="N18" s="370">
        <f>[23]Brewhouse!$Z19</f>
        <v>0.26180555555555562</v>
      </c>
      <c r="O18" s="371" t="str">
        <f>[23]Brewhouse!$AW19</f>
        <v>R. Regis</v>
      </c>
      <c r="P18" s="369"/>
      <c r="Q18" s="347"/>
      <c r="S18" s="277" t="str">
        <f t="shared" si="0"/>
        <v>GUINNESS</v>
      </c>
      <c r="T18" s="296">
        <f t="shared" si="1"/>
        <v>17</v>
      </c>
      <c r="U18" s="296">
        <f t="shared" si="2"/>
        <v>17.5</v>
      </c>
      <c r="V18" s="297">
        <f t="shared" si="3"/>
        <v>0</v>
      </c>
      <c r="W18" s="297">
        <f t="shared" si="4"/>
        <v>0.1076388888888889</v>
      </c>
      <c r="X18" s="297">
        <f t="shared" si="5"/>
        <v>0.24652777777777779</v>
      </c>
      <c r="Y18" s="297">
        <f t="shared" si="6"/>
        <v>0.28472222222222221</v>
      </c>
      <c r="Z18" s="297">
        <f t="shared" si="7"/>
        <v>0</v>
      </c>
      <c r="AA18" s="296">
        <f t="shared" si="8"/>
        <v>60</v>
      </c>
    </row>
    <row r="19" spans="1:27" ht="15.75" customHeight="1">
      <c r="B19" s="34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34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89"/>
      <c r="C23" s="450"/>
      <c r="D23" s="555"/>
      <c r="E23" s="556"/>
      <c r="F23" s="294"/>
      <c r="G23" s="294"/>
      <c r="H23" s="294"/>
      <c r="I23" s="29" t="s">
        <v>6</v>
      </c>
      <c r="J23" s="368"/>
      <c r="K23" s="284">
        <f>COUNTA([22]Brewhouse!$A$173:$A$216)</f>
        <v>44</v>
      </c>
      <c r="L23" s="302">
        <f>AVERAGE([22]Brewhouse!$AU$173:$AU$216)</f>
        <v>95.514768796259489</v>
      </c>
      <c r="M23" s="302">
        <f>AVERAGE([22]Brewhouse!$AU$102:$AU$171,[22]Brewhouse!$AU$173:$AU$216)</f>
        <v>94.938358866790935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90"/>
      <c r="C24" s="349"/>
      <c r="D24" s="519"/>
      <c r="E24" s="507"/>
      <c r="F24" s="294"/>
      <c r="G24" s="294"/>
      <c r="H24" s="32"/>
      <c r="I24" s="33" t="s">
        <v>9</v>
      </c>
      <c r="J24" s="323"/>
      <c r="K24" s="284">
        <f>COUNTA([24]Brewhouse!$A$66:$A$81)</f>
        <v>16</v>
      </c>
      <c r="L24" s="302">
        <f>AVERAGE([24]Brewhouse!$AS$66:$AS$81)</f>
        <v>95.724886042104586</v>
      </c>
      <c r="M24" s="302">
        <f>AVERAGE([24]Brewhouse!$AS$15:$AS$64,[24]Brewhouse!$AS$66:$AS$81)</f>
        <v>95.991890647038588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90"/>
      <c r="C25" s="349"/>
      <c r="D25" s="555"/>
      <c r="E25" s="556"/>
      <c r="F25" s="294"/>
      <c r="G25" s="294"/>
      <c r="H25" s="32"/>
      <c r="I25" s="34" t="s">
        <v>12</v>
      </c>
      <c r="J25" s="280">
        <f>AVERAGE(I14:I18)</f>
        <v>95.267685346007369</v>
      </c>
      <c r="K25" s="284">
        <f>COUNTA([23]Brewhouse!$A$9:$A$14)</f>
        <v>6</v>
      </c>
      <c r="L25" s="302">
        <f>AVERAGE([23]Brewhouse!$AU$9:$AU$14)</f>
        <v>96.577361087083986</v>
      </c>
      <c r="M25" s="302">
        <f>AVERAGE([23]Brewhouse!$AU$4:$AU$7,[23]Brewhouse!$AU$9:$AU$14)</f>
        <v>96.787191796473266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90"/>
      <c r="C26" s="349"/>
      <c r="D26" s="519"/>
      <c r="E26" s="507"/>
      <c r="F26" s="294"/>
      <c r="G26" s="294"/>
      <c r="H26" s="32"/>
      <c r="I26" s="22" t="s">
        <v>33</v>
      </c>
      <c r="J26" s="280">
        <f>AVERAGE(I10:I12)</f>
        <v>100.09309815623283</v>
      </c>
      <c r="K26" s="284">
        <f>COUNTA([25]Brewhouse!$A$16:$A$19)</f>
        <v>4</v>
      </c>
      <c r="L26" s="302">
        <f>AVERAGE([25]Brewhouse!$AV$16:$AV$19)</f>
        <v>99.193666402492596</v>
      </c>
      <c r="M26" s="302">
        <f>AVERAGE([25]Brewhouse!$AV$5:$AV$14,[25]Brewhouse!$AV$16:$AV$19)</f>
        <v>98.139385615971563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90"/>
      <c r="C27" s="349"/>
      <c r="D27" s="555"/>
      <c r="E27" s="556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90"/>
      <c r="C28" s="349"/>
      <c r="D28" s="519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90"/>
      <c r="C29" s="349"/>
      <c r="D29" s="555"/>
      <c r="E29" s="556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90"/>
      <c r="C30" s="349"/>
      <c r="D30" s="519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90"/>
      <c r="C31" s="349"/>
      <c r="D31" s="555"/>
      <c r="E31" s="556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90"/>
      <c r="C32" s="349"/>
      <c r="D32" s="519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90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76</v>
      </c>
      <c r="L33" s="410">
        <f>((L23*K23)+(L24*K24)+(L25*K25)+(L26*K26)+(L27*K27)+(K30*L30)+(L28*K28)+(L29*K29)+(L32*K32))/(K33)</f>
        <v>95.864893311363801</v>
      </c>
      <c r="M33" s="410">
        <f>L33</f>
        <v>95.864893311363801</v>
      </c>
      <c r="N33" s="40">
        <v>98</v>
      </c>
      <c r="O33" s="11"/>
      <c r="P33" s="31"/>
      <c r="S33" s="23"/>
    </row>
    <row r="34" spans="1:57" ht="15" thickBot="1">
      <c r="B34" s="591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85"/>
      <c r="C35" s="362"/>
      <c r="D35" s="517"/>
      <c r="E35" s="518"/>
      <c r="F35" s="43"/>
      <c r="G35" s="41"/>
      <c r="H35" s="41"/>
      <c r="I35" s="42"/>
      <c r="J35" s="587" t="s">
        <v>129</v>
      </c>
      <c r="K35" s="588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85"/>
      <c r="C36" s="349"/>
      <c r="D36" s="519"/>
      <c r="E36" s="507"/>
      <c r="F36" s="43"/>
      <c r="G36" s="41"/>
      <c r="H36" s="41"/>
      <c r="I36" s="42"/>
      <c r="J36" s="453" t="s">
        <v>17</v>
      </c>
      <c r="K36" s="454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85"/>
      <c r="C37" s="349"/>
      <c r="D37" s="523"/>
      <c r="E37" s="505"/>
      <c r="F37" s="43"/>
      <c r="G37" s="41"/>
      <c r="H37" s="41"/>
      <c r="I37" s="42"/>
      <c r="J37" s="455" t="s">
        <v>6</v>
      </c>
      <c r="K37" s="456"/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85"/>
      <c r="C38" s="349"/>
      <c r="D38" s="519"/>
      <c r="E38" s="507"/>
      <c r="F38" s="43"/>
      <c r="G38" s="41"/>
      <c r="H38" s="41"/>
      <c r="I38" s="42"/>
      <c r="J38" s="457" t="s">
        <v>9</v>
      </c>
      <c r="K38" s="456"/>
      <c r="L38" s="344">
        <f>AVERAGE('Feb 3rd'!K79,'Feb 4th'!K77,'Feb 5th'!L68,'Feb 6th'!K75,'Feb 10th'!K69,'Feb 11th'!K68,'Feb 12th'!K70,'Feb 13th'!K69,'Feb 14th'!K47,'Feb 14th'!K47,'Feb 17th'!K47,'Feb 18th'!K47)</f>
        <v>7.166666666666667</v>
      </c>
      <c r="M38" s="325">
        <f>AVERAGE('[29]Jan 29th '!$M$70,L38)</f>
        <v>6.8333333333333339</v>
      </c>
      <c r="N38" s="401"/>
      <c r="O38" s="294"/>
      <c r="P38" s="12"/>
      <c r="S38" s="23"/>
    </row>
    <row r="39" spans="1:57" ht="15" customHeight="1">
      <c r="B39" s="585"/>
      <c r="C39" s="349"/>
      <c r="D39" s="523"/>
      <c r="E39" s="505"/>
      <c r="F39" s="43"/>
      <c r="G39" s="41"/>
      <c r="H39" s="41"/>
      <c r="I39" s="42"/>
      <c r="J39" s="458" t="s">
        <v>40</v>
      </c>
      <c r="K39" s="456">
        <f>COUNTA(B14:B18)</f>
        <v>5</v>
      </c>
      <c r="L39" s="294"/>
      <c r="M39" s="294"/>
      <c r="N39" s="294"/>
      <c r="O39" s="294"/>
      <c r="P39" s="12"/>
      <c r="S39" s="23"/>
    </row>
    <row r="40" spans="1:57" ht="15" customHeight="1">
      <c r="B40" s="585"/>
      <c r="C40" s="349"/>
      <c r="D40" s="519"/>
      <c r="E40" s="507"/>
      <c r="F40" s="43"/>
      <c r="G40" s="41"/>
      <c r="H40" s="41"/>
      <c r="I40" s="42"/>
      <c r="J40" s="459" t="s">
        <v>33</v>
      </c>
      <c r="K40" s="456">
        <f>COUNTA(B10:B12)</f>
        <v>3</v>
      </c>
      <c r="L40" s="294"/>
      <c r="M40" s="294"/>
      <c r="N40" s="294"/>
      <c r="O40" s="294"/>
      <c r="P40" s="12"/>
      <c r="S40" s="23"/>
    </row>
    <row r="41" spans="1:57" ht="14.4">
      <c r="B41" s="585"/>
      <c r="C41" s="349"/>
      <c r="D41" s="523"/>
      <c r="E41" s="505"/>
      <c r="F41" s="43"/>
      <c r="G41" s="41"/>
      <c r="H41" s="41"/>
      <c r="I41" s="42"/>
      <c r="J41" s="460" t="s">
        <v>16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85"/>
      <c r="C42" s="349"/>
      <c r="D42" s="519"/>
      <c r="E42" s="507"/>
      <c r="F42" s="43"/>
      <c r="G42" s="41"/>
      <c r="H42" s="41"/>
      <c r="I42" s="42"/>
      <c r="J42" s="461" t="s">
        <v>15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85"/>
      <c r="C43" s="349"/>
      <c r="D43" s="524"/>
      <c r="E43" s="509"/>
      <c r="F43" s="43"/>
      <c r="G43" s="41"/>
      <c r="H43" s="41"/>
      <c r="I43" s="42"/>
      <c r="J43" s="461" t="s">
        <v>149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86"/>
      <c r="C44" s="350"/>
      <c r="D44" s="525"/>
      <c r="E44" s="526"/>
      <c r="F44" s="43"/>
      <c r="G44" s="41"/>
      <c r="H44" s="41"/>
      <c r="I44" s="42"/>
      <c r="J44" s="461" t="s">
        <v>148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 t="e">
        <f>AVERAGE(D23:E44)</f>
        <v>#DIV/0!</v>
      </c>
      <c r="E45" s="528"/>
      <c r="F45" s="43"/>
      <c r="G45" s="41"/>
      <c r="H45" s="41"/>
      <c r="I45" s="42"/>
      <c r="J45" s="462" t="s">
        <v>134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62" t="s">
        <v>131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 thickBot="1">
      <c r="B47" s="45"/>
      <c r="C47" s="11"/>
      <c r="D47" s="11"/>
      <c r="E47" s="46"/>
      <c r="F47" s="23"/>
      <c r="G47" s="11"/>
      <c r="H47" s="41"/>
      <c r="I47" s="42"/>
      <c r="J47" s="463" t="s">
        <v>130</v>
      </c>
      <c r="K47" s="464">
        <f>SUM(K37:K46)</f>
        <v>8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5.75" customHeight="1" thickBot="1">
      <c r="B52" s="466"/>
      <c r="C52" s="283"/>
      <c r="D52" s="279"/>
      <c r="E52" s="279"/>
      <c r="F52" s="279"/>
      <c r="G52" s="279"/>
      <c r="H52" s="320"/>
      <c r="I52" s="322"/>
      <c r="J52" s="438"/>
      <c r="K52" s="286"/>
      <c r="L52" s="314"/>
      <c r="M52" s="281"/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21" customHeight="1" thickBo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384"/>
      <c r="N53" s="13"/>
      <c r="O53" s="13"/>
      <c r="P53" s="50"/>
      <c r="T53" s="272" t="s">
        <v>51</v>
      </c>
      <c r="U53" s="57">
        <f>[20]January_2019!D6</f>
        <v>0</v>
      </c>
      <c r="V53" s="57">
        <f>[20]January_2019!E6</f>
        <v>0</v>
      </c>
      <c r="W53" s="57">
        <f>[20]January_2019!F6</f>
        <v>0</v>
      </c>
      <c r="X53" s="57">
        <f>[20]January_2019!G6</f>
        <v>0</v>
      </c>
      <c r="Y53" s="57">
        <f>[20]January_2019!H6</f>
        <v>0</v>
      </c>
      <c r="Z53" s="57">
        <f>[20]January_2019!I6</f>
        <v>0</v>
      </c>
      <c r="AA53" s="57">
        <f>[20]January_2019!J6</f>
        <v>0</v>
      </c>
      <c r="AB53" s="57">
        <f>[20]January_2019!K6</f>
        <v>0</v>
      </c>
      <c r="AC53" s="57">
        <f>[20]January_2019!L6</f>
        <v>0</v>
      </c>
      <c r="AD53" s="57">
        <f>[20]January_2019!M6</f>
        <v>0</v>
      </c>
      <c r="AE53" s="57">
        <f>[20]January_2019!N6</f>
        <v>0</v>
      </c>
      <c r="AF53" s="57">
        <f>[20]January_2019!O6</f>
        <v>0</v>
      </c>
      <c r="AG53" s="57">
        <f>[20]January_2019!P6</f>
        <v>0</v>
      </c>
      <c r="AH53" s="57">
        <f>[20]January_2019!Q6</f>
        <v>0</v>
      </c>
      <c r="AI53" s="57">
        <f>[20]January_2019!R6</f>
        <v>0</v>
      </c>
      <c r="AJ53" s="57">
        <f>[20]January_2019!S6</f>
        <v>0</v>
      </c>
      <c r="AK53" s="57">
        <f>[20]January_2019!T6</f>
        <v>0</v>
      </c>
      <c r="AL53" s="57">
        <f>[20]January_2019!U6</f>
        <v>0</v>
      </c>
      <c r="AM53" s="57">
        <f>[20]January_2019!V6</f>
        <v>0</v>
      </c>
      <c r="AN53" s="57">
        <f>[20]January_2019!W6</f>
        <v>0</v>
      </c>
      <c r="AO53" s="57">
        <f>[20]January_2019!X6</f>
        <v>0</v>
      </c>
      <c r="AP53" s="57">
        <f>[20]January_2019!Y6</f>
        <v>0</v>
      </c>
      <c r="AQ53" s="57">
        <f>[20]January_2019!Z6</f>
        <v>0</v>
      </c>
      <c r="AR53" s="57">
        <f>[20]January_2019!AA6</f>
        <v>0</v>
      </c>
      <c r="AS53" s="57">
        <f>[20]January_2019!AB6</f>
        <v>0</v>
      </c>
      <c r="AT53" s="57">
        <f>[20]January_2019!AC6</f>
        <v>0</v>
      </c>
      <c r="AU53" s="57">
        <f>[20]January_2019!AD6</f>
        <v>0</v>
      </c>
      <c r="AV53" s="57">
        <f>[20]January_2019!AE6</f>
        <v>0</v>
      </c>
      <c r="AW53" s="57">
        <f>[20]January_2019!AF6</f>
        <v>0</v>
      </c>
      <c r="AX53" s="57">
        <f>[20]January_2019!AG6</f>
        <v>0</v>
      </c>
      <c r="AY53" s="277">
        <f>[20]January_2019!AH6</f>
        <v>0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56.4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7"/>
      <c r="L54" s="314"/>
      <c r="M54" s="384"/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hidden="1" customHeigh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42" hidden="1" customHeight="1">
      <c r="B56" s="387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384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idden="1">
      <c r="B57" s="361"/>
      <c r="C57" s="283"/>
      <c r="D57" s="304"/>
      <c r="E57" s="279"/>
      <c r="F57" s="279"/>
      <c r="G57" s="279"/>
      <c r="H57" s="381"/>
      <c r="I57" s="381"/>
      <c r="J57" s="389"/>
      <c r="K57" s="437"/>
      <c r="L57" s="314"/>
      <c r="M57" s="339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9" hidden="1" customHeight="1">
      <c r="B58" s="387"/>
      <c r="C58" s="283"/>
      <c r="D58" s="279"/>
      <c r="E58" s="279"/>
      <c r="F58" s="279"/>
      <c r="G58" s="279"/>
      <c r="H58" s="320"/>
      <c r="I58" s="322"/>
      <c r="J58" s="281"/>
      <c r="K58" s="286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ht="11.4" hidden="1" customHeight="1" thickBot="1">
      <c r="B59" s="33"/>
      <c r="C59" s="310"/>
      <c r="D59" s="279"/>
      <c r="E59" s="279"/>
      <c r="F59" s="279"/>
      <c r="G59" s="279"/>
      <c r="H59" s="352"/>
      <c r="I59" s="353"/>
      <c r="J59" s="281"/>
      <c r="K59" s="52"/>
      <c r="L59" s="53"/>
      <c r="M59" s="55"/>
      <c r="N59" s="77"/>
      <c r="O59" s="13"/>
      <c r="P59" s="56"/>
    </row>
    <row r="60" spans="2:58" ht="14.4" thickBot="1">
      <c r="B60" s="58"/>
      <c r="C60" s="30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6"/>
      <c r="P60" s="60"/>
    </row>
    <row r="61" spans="2:58" ht="14.4" thickBot="1">
      <c r="B61" s="536" t="s">
        <v>55</v>
      </c>
      <c r="C61" s="537"/>
      <c r="D61" s="537"/>
      <c r="E61" s="537"/>
      <c r="F61" s="538"/>
      <c r="G61" s="536" t="s">
        <v>56</v>
      </c>
      <c r="H61" s="537"/>
      <c r="I61" s="537"/>
      <c r="J61" s="538"/>
      <c r="K61" s="536" t="s">
        <v>51</v>
      </c>
      <c r="L61" s="537"/>
      <c r="M61" s="537"/>
      <c r="N61" s="539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/>
      <c r="D63" s="76">
        <v>6.855717058101324</v>
      </c>
      <c r="E63" s="76">
        <v>7.0920529720479557</v>
      </c>
      <c r="F63" s="66">
        <v>4.8</v>
      </c>
      <c r="G63" s="65"/>
      <c r="H63" s="76">
        <v>7.5370973805079595</v>
      </c>
      <c r="I63" s="76">
        <v>7.8590160443694215</v>
      </c>
      <c r="J63" s="66">
        <v>4.8</v>
      </c>
      <c r="K63" s="67"/>
      <c r="L63" s="194">
        <v>0.61541889152222951</v>
      </c>
      <c r="M63" s="194">
        <v>0.83360112825719856</v>
      </c>
      <c r="N63" s="68">
        <v>1</v>
      </c>
      <c r="O63" s="56"/>
      <c r="P63" s="69"/>
    </row>
    <row r="64" spans="2:58">
      <c r="B64" s="33" t="s">
        <v>9</v>
      </c>
      <c r="C64" s="65"/>
      <c r="D64" s="76">
        <v>6.6241169909530218</v>
      </c>
      <c r="E64" s="76">
        <v>6.9795477013311773</v>
      </c>
      <c r="F64" s="66">
        <v>4.8</v>
      </c>
      <c r="G64" s="65"/>
      <c r="H64" s="76">
        <v>6.5438307865505001</v>
      </c>
      <c r="I64" s="76">
        <v>6.7059091567256077</v>
      </c>
      <c r="J64" s="66">
        <v>4.8</v>
      </c>
      <c r="K64" s="67"/>
      <c r="L64" s="194">
        <v>0.61918200707621074</v>
      </c>
      <c r="M64" s="194">
        <v>0.75354343167523652</v>
      </c>
      <c r="N64" s="68">
        <v>1</v>
      </c>
      <c r="P64" s="69"/>
    </row>
    <row r="65" spans="2:16">
      <c r="B65" s="34" t="s">
        <v>40</v>
      </c>
      <c r="C65" s="65"/>
      <c r="D65" s="76">
        <v>18.104405775638647</v>
      </c>
      <c r="E65" s="76">
        <v>10.644922290823926</v>
      </c>
      <c r="F65" s="66">
        <v>5.5</v>
      </c>
      <c r="G65" s="65"/>
      <c r="H65" s="76">
        <v>20.086278780699747</v>
      </c>
      <c r="I65" s="76">
        <v>15.811420854943506</v>
      </c>
      <c r="J65" s="66">
        <v>5.5</v>
      </c>
      <c r="K65" s="67"/>
      <c r="L65" s="194">
        <v>0.31152046783625731</v>
      </c>
      <c r="M65" s="194">
        <v>0.4570760233918128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3.4056869935468166</v>
      </c>
      <c r="F66" s="66">
        <v>3.3</v>
      </c>
      <c r="G66" s="65"/>
      <c r="H66" s="76"/>
      <c r="I66" s="76">
        <v>5.1745103450267944</v>
      </c>
      <c r="J66" s="66">
        <v>3.3</v>
      </c>
      <c r="K66" s="67"/>
      <c r="L66" s="194"/>
      <c r="M66" s="194">
        <v>0.84666666666666657</v>
      </c>
      <c r="N66" s="68">
        <v>1</v>
      </c>
      <c r="P66" s="69"/>
    </row>
    <row r="67" spans="2:16">
      <c r="B67" s="35" t="s">
        <v>29</v>
      </c>
      <c r="C67" s="65"/>
      <c r="D67" s="76"/>
      <c r="E67" s="76">
        <v>8.8295687885010352</v>
      </c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9.9698850155137997</v>
      </c>
      <c r="F68" s="70">
        <f>[21]May_2022!$M$43</f>
        <v>3.4878406700073312</v>
      </c>
      <c r="G68" s="282"/>
      <c r="H68" s="76"/>
      <c r="I68" s="76">
        <v>10.607235567685406</v>
      </c>
      <c r="J68" s="70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>
        <v>3.3333333333333082</v>
      </c>
      <c r="E69" s="76">
        <v>9.7384319083441593</v>
      </c>
      <c r="F69" s="66">
        <v>3.3</v>
      </c>
      <c r="G69" s="282"/>
      <c r="H69" s="76">
        <v>5.2583423035521699</v>
      </c>
      <c r="I69" s="76">
        <v>4.5833713915368151</v>
      </c>
      <c r="J69" s="70">
        <v>3.3</v>
      </c>
      <c r="K69" s="67"/>
      <c r="L69" s="194">
        <v>1.0053333333333334</v>
      </c>
      <c r="M69" s="194">
        <v>0.8042528735632184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>
        <v>14.011127971674247</v>
      </c>
      <c r="F70" s="70">
        <v>7.5</v>
      </c>
      <c r="G70" s="282"/>
      <c r="H70" s="76"/>
      <c r="I70" s="76"/>
      <c r="J70" s="72">
        <v>7.5</v>
      </c>
      <c r="K70" s="67"/>
      <c r="L70" s="194"/>
      <c r="M70" s="194"/>
      <c r="N70" s="71">
        <v>1</v>
      </c>
      <c r="P70" s="69"/>
    </row>
    <row r="71" spans="2:16" ht="14.4" thickBot="1">
      <c r="B71" s="435" t="s">
        <v>134</v>
      </c>
      <c r="C71" s="434"/>
      <c r="D71" s="76">
        <v>4.8792508624938291</v>
      </c>
      <c r="E71" s="76">
        <v>13.821154501192174</v>
      </c>
      <c r="F71" s="66">
        <v>5.5</v>
      </c>
      <c r="G71" s="282"/>
      <c r="H71" s="76">
        <v>6.2003723782925313</v>
      </c>
      <c r="I71" s="76">
        <v>6.2003723782925313</v>
      </c>
      <c r="J71" s="433">
        <v>5.5</v>
      </c>
      <c r="K71" s="67"/>
      <c r="L71" s="194">
        <v>1</v>
      </c>
      <c r="M71" s="194">
        <v>0.67719298245614035</v>
      </c>
      <c r="N71" s="71">
        <v>1</v>
      </c>
      <c r="P71" s="69"/>
    </row>
    <row r="72" spans="2:16">
      <c r="C72" s="282"/>
      <c r="D72" s="76">
        <v>13.821154501192174</v>
      </c>
      <c r="E72" s="76">
        <v>7.3665051328462852</v>
      </c>
      <c r="F72" s="341">
        <v>4.5</v>
      </c>
      <c r="G72" s="282"/>
      <c r="H72" s="76">
        <v>9.7308568955635284</v>
      </c>
      <c r="I72" s="76">
        <v>8.2048260501075188</v>
      </c>
      <c r="J72" s="342">
        <v>5</v>
      </c>
      <c r="K72" s="67"/>
      <c r="L72" s="194">
        <v>0.55806430144221564</v>
      </c>
      <c r="M72" s="194">
        <v>0.55806430144221564</v>
      </c>
      <c r="N72" s="386">
        <v>1</v>
      </c>
      <c r="O72" s="74"/>
      <c r="P72" s="75"/>
    </row>
    <row r="77" spans="2:16">
      <c r="F77" s="315"/>
    </row>
    <row r="85" spans="30:30">
      <c r="AD85" s="275" t="s">
        <v>57</v>
      </c>
    </row>
  </sheetData>
  <mergeCells count="52">
    <mergeCell ref="B61:F61"/>
    <mergeCell ref="G61:J61"/>
    <mergeCell ref="K61:N61"/>
    <mergeCell ref="B23:B34"/>
    <mergeCell ref="G50:G51"/>
    <mergeCell ref="H50:H51"/>
    <mergeCell ref="I50:I51"/>
    <mergeCell ref="J50:J51"/>
    <mergeCell ref="K50:K51"/>
    <mergeCell ref="L50:L51"/>
    <mergeCell ref="D45:E45"/>
    <mergeCell ref="B50:B51"/>
    <mergeCell ref="C50:C51"/>
    <mergeCell ref="D50:D51"/>
    <mergeCell ref="E50:E51"/>
    <mergeCell ref="F50:F51"/>
    <mergeCell ref="B35:B44"/>
    <mergeCell ref="D35:E36"/>
    <mergeCell ref="J35:K35"/>
    <mergeCell ref="L36:N36"/>
    <mergeCell ref="D37:E38"/>
    <mergeCell ref="D39:E40"/>
    <mergeCell ref="D41:E42"/>
    <mergeCell ref="D43:E44"/>
    <mergeCell ref="V1:W1"/>
    <mergeCell ref="M50:M51"/>
    <mergeCell ref="D29:E30"/>
    <mergeCell ref="D31:E32"/>
    <mergeCell ref="D33:E34"/>
    <mergeCell ref="J8:J9"/>
    <mergeCell ref="K8:K9"/>
    <mergeCell ref="I21:N21"/>
    <mergeCell ref="D22:E22"/>
    <mergeCell ref="D23:E24"/>
    <mergeCell ref="D25:E26"/>
    <mergeCell ref="D27:E28"/>
    <mergeCell ref="X1:Y1"/>
    <mergeCell ref="Z1:AA1"/>
    <mergeCell ref="B2:O2"/>
    <mergeCell ref="L8:L9"/>
    <mergeCell ref="O8:O9"/>
    <mergeCell ref="P8:P9"/>
    <mergeCell ref="Q8:Q9"/>
    <mergeCell ref="B8:B9"/>
    <mergeCell ref="C8:C9"/>
    <mergeCell ref="D8:D9"/>
    <mergeCell ref="G8:G9"/>
    <mergeCell ref="H8:H9"/>
    <mergeCell ref="I8:I9"/>
    <mergeCell ref="C4:D4"/>
    <mergeCell ref="M4:N4"/>
    <mergeCell ref="T1:U1"/>
  </mergeCells>
  <conditionalFormatting sqref="B45:B46">
    <cfRule type="cellIs" dxfId="1563" priority="176" operator="notBetween">
      <formula>#REF!</formula>
      <formula>#REF!</formula>
    </cfRule>
  </conditionalFormatting>
  <conditionalFormatting sqref="C49">
    <cfRule type="cellIs" dxfId="1562" priority="208" stopIfTrue="1" operator="greaterThan">
      <formula>100</formula>
    </cfRule>
    <cfRule type="cellIs" dxfId="1561" priority="207" stopIfTrue="1" operator="lessThan">
      <formula>96</formula>
    </cfRule>
  </conditionalFormatting>
  <conditionalFormatting sqref="C63">
    <cfRule type="cellIs" dxfId="1560" priority="117" stopIfTrue="1" operator="greaterThan">
      <formula>$F63</formula>
    </cfRule>
  </conditionalFormatting>
  <conditionalFormatting sqref="C63:C64">
    <cfRule type="cellIs" dxfId="1559" priority="118" stopIfTrue="1" operator="lessThanOrEqual">
      <formula>0</formula>
    </cfRule>
  </conditionalFormatting>
  <conditionalFormatting sqref="C64">
    <cfRule type="cellIs" dxfId="1558" priority="211" stopIfTrue="1" operator="greaterThan">
      <formula>$F63</formula>
    </cfRule>
  </conditionalFormatting>
  <conditionalFormatting sqref="C65:C67">
    <cfRule type="cellIs" dxfId="1557" priority="143" stopIfTrue="1" operator="greaterThan">
      <formula>$F65</formula>
    </cfRule>
  </conditionalFormatting>
  <conditionalFormatting sqref="C65:C68">
    <cfRule type="cellIs" dxfId="1556" priority="154" stopIfTrue="1" operator="lessThanOrEqual">
      <formula>0</formula>
    </cfRule>
  </conditionalFormatting>
  <conditionalFormatting sqref="C68">
    <cfRule type="cellIs" dxfId="1555" priority="153" stopIfTrue="1" operator="greaterThan">
      <formula>$J68</formula>
    </cfRule>
  </conditionalFormatting>
  <conditionalFormatting sqref="C72">
    <cfRule type="cellIs" dxfId="1554" priority="103" stopIfTrue="1" operator="greaterThan">
      <formula>$J72</formula>
    </cfRule>
    <cfRule type="cellIs" dxfId="1553" priority="104" stopIfTrue="1" operator="lessThanOrEqual">
      <formula>0</formula>
    </cfRule>
  </conditionalFormatting>
  <conditionalFormatting sqref="C75:C79">
    <cfRule type="cellIs" dxfId="1552" priority="199" stopIfTrue="1" operator="lessThanOrEqual">
      <formula>0</formula>
    </cfRule>
  </conditionalFormatting>
  <conditionalFormatting sqref="C76:C79">
    <cfRule type="cellIs" dxfId="1551" priority="198" stopIfTrue="1" operator="greaterThan">
      <formula>$F$75</formula>
    </cfRule>
  </conditionalFormatting>
  <conditionalFormatting sqref="C81">
    <cfRule type="cellIs" dxfId="1550" priority="200" stopIfTrue="1" operator="greaterThan">
      <formula>$F$75</formula>
    </cfRule>
    <cfRule type="cellIs" dxfId="1549" priority="201" stopIfTrue="1" operator="lessThanOrEqual">
      <formula>0</formula>
    </cfRule>
  </conditionalFormatting>
  <conditionalFormatting sqref="C75:D75 D77:D83">
    <cfRule type="cellIs" dxfId="1548" priority="193" stopIfTrue="1" operator="greaterThan">
      <formula>4.5</formula>
    </cfRule>
  </conditionalFormatting>
  <conditionalFormatting sqref="D45:D46">
    <cfRule type="cellIs" dxfId="1547" priority="177" operator="notBetween">
      <formula>#REF!</formula>
      <formula>#REF!</formula>
    </cfRule>
  </conditionalFormatting>
  <conditionalFormatting sqref="D63:D71">
    <cfRule type="cellIs" dxfId="1546" priority="166" stopIfTrue="1" operator="lessThanOrEqual">
      <formula>0</formula>
    </cfRule>
  </conditionalFormatting>
  <conditionalFormatting sqref="D72">
    <cfRule type="cellIs" dxfId="1545" priority="165" stopIfTrue="1" operator="lessThanOrEqual">
      <formula>0</formula>
    </cfRule>
  </conditionalFormatting>
  <conditionalFormatting sqref="D75 D77:D83">
    <cfRule type="cellIs" dxfId="1544" priority="194" stopIfTrue="1" operator="lessThanOrEqual">
      <formula>0</formula>
    </cfRule>
  </conditionalFormatting>
  <conditionalFormatting sqref="D76">
    <cfRule type="cellIs" dxfId="1543" priority="186" stopIfTrue="1" operator="lessThanOrEqual">
      <formula>0</formula>
    </cfRule>
    <cfRule type="cellIs" dxfId="1542" priority="185" stopIfTrue="1" operator="greaterThan">
      <formula>$F$75</formula>
    </cfRule>
  </conditionalFormatting>
  <conditionalFormatting sqref="D63:E72">
    <cfRule type="cellIs" dxfId="1541" priority="158" stopIfTrue="1" operator="greaterThan">
      <formula>$F63</formula>
    </cfRule>
  </conditionalFormatting>
  <conditionalFormatting sqref="E10:E20">
    <cfRule type="cellIs" dxfId="1540" priority="8" operator="lessThan">
      <formula>48</formula>
    </cfRule>
  </conditionalFormatting>
  <conditionalFormatting sqref="E49">
    <cfRule type="cellIs" dxfId="1539" priority="188" stopIfTrue="1" operator="greaterThan">
      <formula>100</formula>
    </cfRule>
    <cfRule type="cellIs" dxfId="1538" priority="187" stopIfTrue="1" operator="lessThan">
      <formula>96.8</formula>
    </cfRule>
  </conditionalFormatting>
  <conditionalFormatting sqref="E63:E72">
    <cfRule type="cellIs" dxfId="1537" priority="159" stopIfTrue="1" operator="lessThanOrEqual">
      <formula>0</formula>
    </cfRule>
  </conditionalFormatting>
  <conditionalFormatting sqref="E75:E83">
    <cfRule type="cellIs" dxfId="1536" priority="179" stopIfTrue="1" operator="greaterThan">
      <formula>4.5</formula>
    </cfRule>
    <cfRule type="cellIs" dxfId="1535" priority="180" stopIfTrue="1" operator="lessThanOrEqual">
      <formula>0</formula>
    </cfRule>
  </conditionalFormatting>
  <conditionalFormatting sqref="E48:F49">
    <cfRule type="cellIs" dxfId="1534" priority="190" stopIfTrue="1" operator="greaterThan">
      <formula>100</formula>
    </cfRule>
    <cfRule type="cellIs" dxfId="1533" priority="189" stopIfTrue="1" operator="lessThan">
      <formula>96.5</formula>
    </cfRule>
  </conditionalFormatting>
  <conditionalFormatting sqref="F10:F20">
    <cfRule type="cellIs" dxfId="1532" priority="10" operator="greaterThan">
      <formula>60</formula>
    </cfRule>
  </conditionalFormatting>
  <conditionalFormatting sqref="F49">
    <cfRule type="cellIs" dxfId="1531" priority="205" stopIfTrue="1" operator="lessThan">
      <formula>96.8</formula>
    </cfRule>
    <cfRule type="cellIs" dxfId="1530" priority="206" stopIfTrue="1" operator="greaterThan">
      <formula>100</formula>
    </cfRule>
  </conditionalFormatting>
  <conditionalFormatting sqref="F72">
    <cfRule type="cellIs" dxfId="1529" priority="160" stopIfTrue="1" operator="greaterThan">
      <formula>$F72</formula>
    </cfRule>
    <cfRule type="cellIs" dxfId="1528" priority="161" stopIfTrue="1" operator="lessThanOrEqual">
      <formula>0</formula>
    </cfRule>
  </conditionalFormatting>
  <conditionalFormatting sqref="G63:G64 C69:C71">
    <cfRule type="cellIs" dxfId="1527" priority="167" stopIfTrue="1" operator="greaterThan">
      <formula>$F63</formula>
    </cfRule>
    <cfRule type="cellIs" dxfId="1526" priority="168" stopIfTrue="1" operator="lessThanOrEqual">
      <formula>0</formula>
    </cfRule>
  </conditionalFormatting>
  <conditionalFormatting sqref="G63:G64">
    <cfRule type="cellIs" dxfId="1525" priority="124" stopIfTrue="1" operator="greaterThan">
      <formula>$F63</formula>
    </cfRule>
    <cfRule type="cellIs" dxfId="1524" priority="125" stopIfTrue="1" operator="lessThanOrEqual">
      <formula>0</formula>
    </cfRule>
  </conditionalFormatting>
  <conditionalFormatting sqref="G65">
    <cfRule type="cellIs" dxfId="1523" priority="210" stopIfTrue="1" operator="lessThanOrEqual">
      <formula>0</formula>
    </cfRule>
    <cfRule type="cellIs" dxfId="1522" priority="209" stopIfTrue="1" operator="greaterThan">
      <formula>$F64</formula>
    </cfRule>
  </conditionalFormatting>
  <conditionalFormatting sqref="G66">
    <cfRule type="cellIs" dxfId="1521" priority="163" stopIfTrue="1" operator="lessThanOrEqual">
      <formula>0</formula>
    </cfRule>
    <cfRule type="cellIs" dxfId="1520" priority="162" stopIfTrue="1" operator="greaterThan">
      <formula>$F66</formula>
    </cfRule>
  </conditionalFormatting>
  <conditionalFormatting sqref="G67:G72">
    <cfRule type="cellIs" dxfId="1519" priority="169" stopIfTrue="1" operator="greaterThan">
      <formula>$J67</formula>
    </cfRule>
    <cfRule type="cellIs" dxfId="1518" priority="170" stopIfTrue="1" operator="lessThanOrEqual">
      <formula>0</formula>
    </cfRule>
  </conditionalFormatting>
  <conditionalFormatting sqref="G77:G82 C80 C82">
    <cfRule type="cellIs" dxfId="1517" priority="203" stopIfTrue="1" operator="lessThanOrEqual">
      <formula>0</formula>
    </cfRule>
    <cfRule type="cellIs" dxfId="1516" priority="202" stopIfTrue="1" operator="greaterThan">
      <formula>4.5</formula>
    </cfRule>
  </conditionalFormatting>
  <conditionalFormatting sqref="G10:H20">
    <cfRule type="expression" dxfId="1515" priority="1">
      <formula>IF(+(IF(G10&lt;#REF!,0,IF(G10&gt;#REF!,0,1)))=0,1)</formula>
    </cfRule>
  </conditionalFormatting>
  <conditionalFormatting sqref="G76:H76">
    <cfRule type="cellIs" dxfId="1514" priority="184" stopIfTrue="1" operator="lessThanOrEqual">
      <formula>0</formula>
    </cfRule>
    <cfRule type="cellIs" dxfId="1513" priority="183" stopIfTrue="1" operator="greaterThan">
      <formula>$F$75</formula>
    </cfRule>
  </conditionalFormatting>
  <conditionalFormatting sqref="H24:H47 G35:G46">
    <cfRule type="cellIs" dxfId="1512" priority="181" stopIfTrue="1" operator="greaterThan">
      <formula>0</formula>
    </cfRule>
  </conditionalFormatting>
  <conditionalFormatting sqref="H52 H58">
    <cfRule type="cellIs" dxfId="1511" priority="88" stopIfTrue="1" operator="lessThanOrEqual">
      <formula>0</formula>
    </cfRule>
    <cfRule type="cellIs" dxfId="1510" priority="87" stopIfTrue="1" operator="greaterThan">
      <formula>$F$66</formula>
    </cfRule>
    <cfRule type="cellIs" dxfId="1509" priority="89" stopIfTrue="1" operator="greaterThan">
      <formula>$F$64</formula>
    </cfRule>
    <cfRule type="cellIs" dxfId="1508" priority="78" stopIfTrue="1" operator="lessThanOrEqual">
      <formula>0</formula>
    </cfRule>
    <cfRule type="cellIs" dxfId="1507" priority="90" stopIfTrue="1" operator="lessThanOrEqual">
      <formula>0</formula>
    </cfRule>
  </conditionalFormatting>
  <conditionalFormatting sqref="H52 H58:I58">
    <cfRule type="cellIs" dxfId="1506" priority="79" stopIfTrue="1" operator="greaterThan">
      <formula>$F$63</formula>
    </cfRule>
  </conditionalFormatting>
  <conditionalFormatting sqref="H53:H56">
    <cfRule type="cellIs" dxfId="1505" priority="75" stopIfTrue="1" operator="greaterThan">
      <formula>$F$63</formula>
    </cfRule>
    <cfRule type="cellIs" dxfId="1504" priority="74" stopIfTrue="1" operator="lessThanOrEqual">
      <formula>0</formula>
    </cfRule>
    <cfRule type="cellIs" dxfId="1503" priority="73" stopIfTrue="1" operator="greaterThan">
      <formula>$F$65</formula>
    </cfRule>
    <cfRule type="cellIs" dxfId="1502" priority="76" stopIfTrue="1" operator="lessThanOrEqual">
      <formula>0</formula>
    </cfRule>
    <cfRule type="cellIs" dxfId="1501" priority="65" stopIfTrue="1" operator="greaterThan">
      <formula>$F$62</formula>
    </cfRule>
    <cfRule type="cellIs" dxfId="1500" priority="64" stopIfTrue="1" operator="lessThanOrEqual">
      <formula>0</formula>
    </cfRule>
  </conditionalFormatting>
  <conditionalFormatting sqref="H57">
    <cfRule type="cellIs" dxfId="1499" priority="106" stopIfTrue="1" operator="lessThanOrEqual">
      <formula>0</formula>
    </cfRule>
    <cfRule type="cellIs" dxfId="1498" priority="107" stopIfTrue="1" operator="greaterThan">
      <formula>#REF!</formula>
    </cfRule>
    <cfRule type="cellIs" dxfId="1497" priority="116" stopIfTrue="1" operator="lessThanOrEqual">
      <formula>0</formula>
    </cfRule>
    <cfRule type="cellIs" dxfId="1496" priority="115" stopIfTrue="1" operator="greaterThan">
      <formula>#REF!</formula>
    </cfRule>
  </conditionalFormatting>
  <conditionalFormatting sqref="H59">
    <cfRule type="cellIs" dxfId="1495" priority="172" stopIfTrue="1" operator="greaterThan">
      <formula>$F$60</formula>
    </cfRule>
    <cfRule type="cellIs" dxfId="1494" priority="175" stopIfTrue="1" operator="lessThanOrEqual">
      <formula>0</formula>
    </cfRule>
    <cfRule type="cellIs" dxfId="1493" priority="174" stopIfTrue="1" operator="greaterThan">
      <formula>$F$57</formula>
    </cfRule>
    <cfRule type="cellIs" dxfId="1492" priority="173" stopIfTrue="1" operator="lessThanOrEqual">
      <formula>0</formula>
    </cfRule>
  </conditionalFormatting>
  <conditionalFormatting sqref="H63:H71">
    <cfRule type="cellIs" dxfId="1491" priority="152" stopIfTrue="1" operator="lessThanOrEqual">
      <formula>0</formula>
    </cfRule>
    <cfRule type="cellIs" dxfId="1490" priority="151" stopIfTrue="1" operator="greaterThan">
      <formula>$J63</formula>
    </cfRule>
  </conditionalFormatting>
  <conditionalFormatting sqref="H72">
    <cfRule type="cellIs" dxfId="1489" priority="155" operator="greaterThan">
      <formula>5.3</formula>
    </cfRule>
  </conditionalFormatting>
  <conditionalFormatting sqref="H75 H77:H83">
    <cfRule type="cellIs" dxfId="1488" priority="196" stopIfTrue="1" operator="lessThanOrEqual">
      <formula>0</formula>
    </cfRule>
    <cfRule type="cellIs" dxfId="1487" priority="195" stopIfTrue="1" operator="greaterThan">
      <formula>4.5</formula>
    </cfRule>
  </conditionalFormatting>
  <conditionalFormatting sqref="H52:I52 H58:I58">
    <cfRule type="cellIs" dxfId="1486" priority="77" stopIfTrue="1" operator="greaterThan">
      <formula>$F$65</formula>
    </cfRule>
  </conditionalFormatting>
  <conditionalFormatting sqref="H52:I52">
    <cfRule type="cellIs" dxfId="1485" priority="80" stopIfTrue="1" operator="lessThanOrEqual">
      <formula>0</formula>
    </cfRule>
  </conditionalFormatting>
  <conditionalFormatting sqref="H53:I56">
    <cfRule type="cellIs" dxfId="1484" priority="63" stopIfTrue="1" operator="greaterThan">
      <formula>$F$64</formula>
    </cfRule>
    <cfRule type="cellIs" dxfId="1483" priority="66" stopIfTrue="1" operator="lessThanOrEqual">
      <formula>0</formula>
    </cfRule>
  </conditionalFormatting>
  <conditionalFormatting sqref="H57:I57">
    <cfRule type="cellIs" dxfId="1482" priority="105" stopIfTrue="1" operator="greaterThan">
      <formula>#REF!</formula>
    </cfRule>
    <cfRule type="cellIs" dxfId="1481" priority="108" stopIfTrue="1" operator="lessThanOrEqual">
      <formula>0</formula>
    </cfRule>
    <cfRule type="cellIs" dxfId="1480" priority="111" stopIfTrue="1" operator="greaterThan">
      <formula>#REF!</formula>
    </cfRule>
  </conditionalFormatting>
  <conditionalFormatting sqref="H57:I58">
    <cfRule type="cellIs" dxfId="1479" priority="114" stopIfTrue="1" operator="lessThanOrEqual">
      <formula>0</formula>
    </cfRule>
  </conditionalFormatting>
  <conditionalFormatting sqref="I52 I58">
    <cfRule type="cellIs" dxfId="1478" priority="83" stopIfTrue="1" operator="greaterThan">
      <formula>$F$65</formula>
    </cfRule>
    <cfRule type="cellIs" dxfId="1477" priority="86" stopIfTrue="1" operator="lessThanOrEqual">
      <formula>0</formula>
    </cfRule>
    <cfRule type="cellIs" dxfId="1476" priority="85" stopIfTrue="1" operator="greaterThan">
      <formula>$F$63</formula>
    </cfRule>
    <cfRule type="cellIs" dxfId="1475" priority="84" stopIfTrue="1" operator="lessThanOrEqual">
      <formula>0</formula>
    </cfRule>
    <cfRule type="cellIs" dxfId="1474" priority="82" stopIfTrue="1" operator="lessThanOrEqual">
      <formula>0</formula>
    </cfRule>
  </conditionalFormatting>
  <conditionalFormatting sqref="I52">
    <cfRule type="cellIs" dxfId="1473" priority="81" stopIfTrue="1" operator="greaterThan">
      <formula>$F$63</formula>
    </cfRule>
  </conditionalFormatting>
  <conditionalFormatting sqref="I53:I56">
    <cfRule type="cellIs" dxfId="1472" priority="72" stopIfTrue="1" operator="lessThanOrEqual">
      <formula>0</formula>
    </cfRule>
    <cfRule type="cellIs" dxfId="1471" priority="71" stopIfTrue="1" operator="greaterThan">
      <formula>$F$62</formula>
    </cfRule>
    <cfRule type="cellIs" dxfId="1470" priority="70" stopIfTrue="1" operator="lessThanOrEqual">
      <formula>0</formula>
    </cfRule>
    <cfRule type="cellIs" dxfId="1469" priority="69" stopIfTrue="1" operator="greaterThan">
      <formula>$F$64</formula>
    </cfRule>
    <cfRule type="cellIs" dxfId="1468" priority="68" stopIfTrue="1" operator="lessThanOrEqual">
      <formula>0</formula>
    </cfRule>
    <cfRule type="cellIs" dxfId="1467" priority="67" stopIfTrue="1" operator="greaterThan">
      <formula>$F$62</formula>
    </cfRule>
  </conditionalFormatting>
  <conditionalFormatting sqref="I57">
    <cfRule type="cellIs" dxfId="1466" priority="110" stopIfTrue="1" operator="lessThanOrEqual">
      <formula>0</formula>
    </cfRule>
    <cfRule type="cellIs" dxfId="1465" priority="109" stopIfTrue="1" operator="greaterThan">
      <formula>#REF!</formula>
    </cfRule>
    <cfRule type="cellIs" dxfId="1464" priority="113" stopIfTrue="1" operator="greaterThan">
      <formula>#REF!</formula>
    </cfRule>
    <cfRule type="cellIs" dxfId="1463" priority="112" stopIfTrue="1" operator="lessThanOrEqual">
      <formula>0</formula>
    </cfRule>
  </conditionalFormatting>
  <conditionalFormatting sqref="I63:I72">
    <cfRule type="cellIs" dxfId="1462" priority="157" stopIfTrue="1" operator="lessThanOrEqual">
      <formula>0</formula>
    </cfRule>
    <cfRule type="cellIs" dxfId="1461" priority="156" stopIfTrue="1" operator="greaterThan">
      <formula>$J63</formula>
    </cfRule>
  </conditionalFormatting>
  <conditionalFormatting sqref="I75:I83">
    <cfRule type="cellIs" dxfId="1460" priority="192" stopIfTrue="1" operator="lessThanOrEqual">
      <formula>0</formula>
    </cfRule>
    <cfRule type="cellIs" dxfId="1459" priority="191" stopIfTrue="1" operator="greaterThan">
      <formula>4.5</formula>
    </cfRule>
  </conditionalFormatting>
  <conditionalFormatting sqref="I10:J20">
    <cfRule type="cellIs" dxfId="1458" priority="11" operator="lessThan">
      <formula>97.9</formula>
    </cfRule>
  </conditionalFormatting>
  <conditionalFormatting sqref="J23">
    <cfRule type="cellIs" dxfId="1457" priority="23" operator="lessThan">
      <formula>97.9</formula>
    </cfRule>
  </conditionalFormatting>
  <conditionalFormatting sqref="J24:J25">
    <cfRule type="cellIs" dxfId="1456" priority="145" stopIfTrue="1" operator="greaterThan">
      <formula>100</formula>
    </cfRule>
    <cfRule type="cellIs" dxfId="1455" priority="146" operator="lessThan">
      <formula>98</formula>
    </cfRule>
    <cfRule type="cellIs" dxfId="1454" priority="144" stopIfTrue="1" operator="lessThan">
      <formula>96.8</formula>
    </cfRule>
  </conditionalFormatting>
  <conditionalFormatting sqref="J24:J27">
    <cfRule type="cellIs" dxfId="1453" priority="123" operator="lessThan">
      <formula>97.4</formula>
    </cfRule>
  </conditionalFormatting>
  <conditionalFormatting sqref="J28">
    <cfRule type="cellIs" dxfId="1452" priority="147" operator="lessThan">
      <formula>98</formula>
    </cfRule>
  </conditionalFormatting>
  <conditionalFormatting sqref="J29:J31">
    <cfRule type="cellIs" dxfId="1451" priority="149" stopIfTrue="1" operator="greaterThan">
      <formula>100</formula>
    </cfRule>
    <cfRule type="cellIs" dxfId="1450" priority="148" stopIfTrue="1" operator="lessThan">
      <formula>96.8</formula>
    </cfRule>
  </conditionalFormatting>
  <conditionalFormatting sqref="J29:J32">
    <cfRule type="cellIs" dxfId="1449" priority="150" operator="lessThan">
      <formula>98</formula>
    </cfRule>
  </conditionalFormatting>
  <conditionalFormatting sqref="K10:K20">
    <cfRule type="cellIs" dxfId="1448" priority="5" operator="lessThan">
      <formula>4</formula>
    </cfRule>
    <cfRule type="cellIs" dxfId="1447" priority="4" operator="greaterThan">
      <formula>6</formula>
    </cfRule>
    <cfRule type="cellIs" dxfId="1446" priority="9" operator="greaterThan">
      <formula>6.4</formula>
    </cfRule>
  </conditionalFormatting>
  <conditionalFormatting sqref="K37:K46">
    <cfRule type="cellIs" dxfId="1445" priority="164" operator="notEqual">
      <formula>#REF!</formula>
    </cfRule>
  </conditionalFormatting>
  <conditionalFormatting sqref="K52:K59 K63:N72">
    <cfRule type="cellIs" dxfId="1444" priority="171" stopIfTrue="1" operator="lessThan">
      <formula>100%</formula>
    </cfRule>
  </conditionalFormatting>
  <conditionalFormatting sqref="K75:K80">
    <cfRule type="cellIs" dxfId="1443" priority="197" stopIfTrue="1" operator="lessThan">
      <formula>100%</formula>
    </cfRule>
  </conditionalFormatting>
  <conditionalFormatting sqref="K82:K83">
    <cfRule type="cellIs" dxfId="1442" priority="204" stopIfTrue="1" operator="lessThan">
      <formula>100%</formula>
    </cfRule>
  </conditionalFormatting>
  <conditionalFormatting sqref="L10:L20">
    <cfRule type="cellIs" dxfId="1441" priority="6" operator="between">
      <formula>61</formula>
      <formula>65</formula>
    </cfRule>
    <cfRule type="cellIs" dxfId="1440" priority="7" operator="greaterThan">
      <formula>65</formula>
    </cfRule>
  </conditionalFormatting>
  <conditionalFormatting sqref="L23:M34">
    <cfRule type="cellIs" dxfId="1439" priority="91" operator="lessThan">
      <formula>98</formula>
    </cfRule>
  </conditionalFormatting>
  <conditionalFormatting sqref="L38:N38">
    <cfRule type="cellIs" dxfId="1438" priority="126" operator="notEqual">
      <formula>#REF!</formula>
    </cfRule>
  </conditionalFormatting>
  <conditionalFormatting sqref="L75:N83">
    <cfRule type="cellIs" dxfId="1437" priority="182" stopIfTrue="1" operator="lessThan">
      <formula>100%</formula>
    </cfRule>
  </conditionalFormatting>
  <conditionalFormatting sqref="M10:M13">
    <cfRule type="expression" dxfId="1436" priority="20">
      <formula>IF(+(IF(M10&lt;U10,0,IF(M10&gt;V10,0,1)))=0,1)</formula>
    </cfRule>
  </conditionalFormatting>
  <conditionalFormatting sqref="M14:M20">
    <cfRule type="expression" dxfId="1435" priority="2">
      <formula>IF(+(IF(M14&lt;V14,0,IF(M14&gt;W14,0,1)))=0,1)</formula>
    </cfRule>
  </conditionalFormatting>
  <conditionalFormatting sqref="M6:N6">
    <cfRule type="cellIs" dxfId="1434" priority="128" operator="greaterThanOrEqual">
      <formula>19</formula>
    </cfRule>
    <cfRule type="cellIs" dxfId="1433" priority="127" operator="greaterThanOrEqual">
      <formula>15</formula>
    </cfRule>
  </conditionalFormatting>
  <conditionalFormatting sqref="N10:N20">
    <cfRule type="expression" dxfId="1432" priority="3">
      <formula>IF(+(IF(N10&lt;X10,0,IF(N10&gt;Y10,0,1)))=0,1)</formula>
    </cfRule>
  </conditionalFormatting>
  <conditionalFormatting sqref="P6">
    <cfRule type="cellIs" dxfId="1431" priority="178" operator="greaterThanOrEqual">
      <formula>19</formula>
    </cfRule>
  </conditionalFormatting>
  <dataValidations count="1">
    <dataValidation type="list" allowBlank="1" showInputMessage="1" showErrorMessage="1" sqref="S8" xr:uid="{632AAD06-B44E-4224-8206-670A840BCDF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216A-900F-4E3D-8643-9243B0B8F84F}">
  <sheetPr>
    <pageSetUpPr fitToPage="1"/>
  </sheetPr>
  <dimension ref="A1:BF85"/>
  <sheetViews>
    <sheetView topLeftCell="A39" zoomScale="83" zoomScaleNormal="70" workbookViewId="0">
      <selection activeCell="L52" sqref="L52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45708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182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4" t="s">
        <v>12</v>
      </c>
      <c r="C10" s="366" t="str">
        <f>[23]Brewhouse!$A20</f>
        <v>GU016</v>
      </c>
      <c r="D10" s="279">
        <f>[23]Brewhouse!$AF20</f>
        <v>57.2</v>
      </c>
      <c r="E10" s="279">
        <f>[23]Brewhouse!$AI20</f>
        <v>52.3</v>
      </c>
      <c r="F10" s="278">
        <f>[23]Brewhouse!$V20</f>
        <v>66</v>
      </c>
      <c r="G10" s="279">
        <f>[23]Brewhouse!$AG20</f>
        <v>17.16</v>
      </c>
      <c r="H10" s="367"/>
      <c r="I10" s="368">
        <f>[23]Brewhouse!$AU20</f>
        <v>95.050384097787941</v>
      </c>
      <c r="J10" s="368">
        <f>[23]Brewhouse!$AV20</f>
        <v>98.473531897456894</v>
      </c>
      <c r="K10" s="281">
        <f>[23]Brewhouse!$R20</f>
        <v>4.0683760683760601</v>
      </c>
      <c r="L10" s="276">
        <f>[23]Brewhouse!$O20</f>
        <v>58</v>
      </c>
      <c r="M10" s="397">
        <f>[23]Brewhouse!$U20-[23]Brewhouse!$T20</f>
        <v>0.11527777777777778</v>
      </c>
      <c r="N10" s="370">
        <f>[23]Brewhouse!$Z20</f>
        <v>0.2638888888888889</v>
      </c>
      <c r="O10" s="371" t="str">
        <f>[23]Brewhouse!$AW20</f>
        <v>R. Regis</v>
      </c>
      <c r="P10" s="369"/>
      <c r="Q10" s="347"/>
      <c r="S10" s="277" t="str">
        <f t="shared" ref="S10:S17" si="0">B10</f>
        <v>GUINNESS</v>
      </c>
      <c r="T10" s="296">
        <f t="shared" ref="T10:T17" si="1">VLOOKUP($B10,$S$3:$Y$9,2,FALSE)</f>
        <v>17</v>
      </c>
      <c r="U10" s="296">
        <f t="shared" ref="U10:U17" si="2">VLOOKUP($B10,$S$3:$Y$9,3,FALSE)</f>
        <v>17.5</v>
      </c>
      <c r="V10" s="297">
        <f t="shared" ref="V10:V17" si="3">VLOOKUP($B10,$S$3:$Y$9,4,FALSE)</f>
        <v>0</v>
      </c>
      <c r="W10" s="297">
        <f t="shared" ref="W10:W17" si="4">VLOOKUP($B10,$S$3:$Y$9,5,FALSE)</f>
        <v>0.1076388888888889</v>
      </c>
      <c r="X10" s="297">
        <f t="shared" ref="X10:X17" si="5">VLOOKUP($B10,$S$3:$Y$9,6,FALSE)</f>
        <v>0.24652777777777779</v>
      </c>
      <c r="Y10" s="297">
        <f t="shared" ref="Y10:Y17" si="6">VLOOKUP($B10,$S$3:$Y$9,7,FALSE)</f>
        <v>0.28472222222222221</v>
      </c>
      <c r="Z10" s="297">
        <f t="shared" ref="Z10:Z17" si="7">VLOOKUP($B10,$S$3:$AA$9,8,FALSE)</f>
        <v>0</v>
      </c>
      <c r="AA10" s="296">
        <f t="shared" ref="AA10:AA17" si="8">VLOOKUP($B10,$S$3:$AA$9,9,FALSE)</f>
        <v>60</v>
      </c>
    </row>
    <row r="11" spans="2:30" ht="15.75" customHeight="1">
      <c r="B11" s="34" t="s">
        <v>12</v>
      </c>
      <c r="C11" s="366" t="str">
        <f>[23]Brewhouse!$A21</f>
        <v>GU017</v>
      </c>
      <c r="D11" s="279">
        <f>[23]Brewhouse!$AF21</f>
        <v>56.5</v>
      </c>
      <c r="E11" s="279">
        <f>[23]Brewhouse!$AI21</f>
        <v>51.7</v>
      </c>
      <c r="F11" s="278">
        <f>[23]Brewhouse!$V21</f>
        <v>76</v>
      </c>
      <c r="G11" s="279">
        <f>[23]Brewhouse!$AG21</f>
        <v>17.3</v>
      </c>
      <c r="H11" s="367"/>
      <c r="I11" s="368">
        <f>[23]Brewhouse!$AU21</f>
        <v>95.2118805924067</v>
      </c>
      <c r="J11" s="368">
        <f>[23]Brewhouse!$AV21</f>
        <v>98.640250153783057</v>
      </c>
      <c r="K11" s="281">
        <f>[23]Brewhouse!$R21</f>
        <v>3.617391304347823</v>
      </c>
      <c r="L11" s="276">
        <f>[23]Brewhouse!$O21</f>
        <v>56</v>
      </c>
      <c r="M11" s="397">
        <f>[23]Brewhouse!$U21-[23]Brewhouse!$T21</f>
        <v>0.12013888888888891</v>
      </c>
      <c r="N11" s="370">
        <f>[23]Brewhouse!$Z21</f>
        <v>0.26319444444444445</v>
      </c>
      <c r="O11" s="371" t="str">
        <f>[23]Brewhouse!$AW21</f>
        <v>R.Sookram</v>
      </c>
      <c r="P11" s="369"/>
      <c r="Q11" s="347"/>
      <c r="S11" s="277" t="str">
        <f t="shared" si="0"/>
        <v>GUINNESS</v>
      </c>
      <c r="T11" s="296">
        <f t="shared" si="1"/>
        <v>17</v>
      </c>
      <c r="U11" s="296">
        <f t="shared" si="2"/>
        <v>17.5</v>
      </c>
      <c r="V11" s="297">
        <f t="shared" si="3"/>
        <v>0</v>
      </c>
      <c r="W11" s="297">
        <f t="shared" si="4"/>
        <v>0.1076388888888889</v>
      </c>
      <c r="X11" s="297">
        <f t="shared" si="5"/>
        <v>0.24652777777777779</v>
      </c>
      <c r="Y11" s="297">
        <f t="shared" si="6"/>
        <v>0.28472222222222221</v>
      </c>
      <c r="Z11" s="297">
        <f t="shared" si="7"/>
        <v>0</v>
      </c>
      <c r="AA11" s="296">
        <f t="shared" si="8"/>
        <v>60</v>
      </c>
    </row>
    <row r="12" spans="2:30" ht="15.75" customHeight="1">
      <c r="B12" s="34" t="s">
        <v>12</v>
      </c>
      <c r="C12" s="366" t="str">
        <f>[23]Brewhouse!$A22</f>
        <v>GU018</v>
      </c>
      <c r="D12" s="279">
        <f>[23]Brewhouse!$AF22</f>
        <v>57.7</v>
      </c>
      <c r="E12" s="279">
        <f>[23]Brewhouse!$AI22</f>
        <v>52.7</v>
      </c>
      <c r="F12" s="278">
        <f>[23]Brewhouse!$V22</f>
        <v>71</v>
      </c>
      <c r="G12" s="279">
        <f>[23]Brewhouse!$AG22</f>
        <v>17.3</v>
      </c>
      <c r="H12" s="367"/>
      <c r="I12" s="368">
        <f>[23]Brewhouse!$AU22</f>
        <v>97.521945612269661</v>
      </c>
      <c r="J12" s="368">
        <f>[23]Brewhouse!$AV22</f>
        <v>101.02982230234356</v>
      </c>
      <c r="K12" s="281">
        <f>[23]Brewhouse!$R22</f>
        <v>3.7913043478260864</v>
      </c>
      <c r="L12" s="276">
        <f>[23]Brewhouse!$O22</f>
        <v>56</v>
      </c>
      <c r="M12" s="397">
        <f>[23]Brewhouse!$U22-[23]Brewhouse!$T22</f>
        <v>0.13750000000000001</v>
      </c>
      <c r="N12" s="370">
        <f>[23]Brewhouse!$Z22</f>
        <v>0.30277777777777781</v>
      </c>
      <c r="O12" s="371" t="str">
        <f>[23]Brewhouse!$AW22</f>
        <v>R.Sookram</v>
      </c>
      <c r="P12" s="369"/>
      <c r="Q12" s="347"/>
      <c r="S12" s="277" t="str">
        <f t="shared" si="0"/>
        <v>GUINNESS</v>
      </c>
      <c r="T12" s="296">
        <f t="shared" si="1"/>
        <v>17</v>
      </c>
      <c r="U12" s="296">
        <f t="shared" si="2"/>
        <v>17.5</v>
      </c>
      <c r="V12" s="297">
        <f t="shared" si="3"/>
        <v>0</v>
      </c>
      <c r="W12" s="297">
        <f t="shared" si="4"/>
        <v>0.1076388888888889</v>
      </c>
      <c r="X12" s="297">
        <f t="shared" si="5"/>
        <v>0.24652777777777779</v>
      </c>
      <c r="Y12" s="297">
        <f t="shared" si="6"/>
        <v>0.28472222222222221</v>
      </c>
      <c r="Z12" s="297">
        <f t="shared" si="7"/>
        <v>0</v>
      </c>
      <c r="AA12" s="296">
        <f t="shared" si="8"/>
        <v>60</v>
      </c>
    </row>
    <row r="13" spans="2:30" ht="15.75" customHeight="1">
      <c r="B13" s="34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36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33" t="s">
        <v>9</v>
      </c>
      <c r="C14" s="366" t="str">
        <f>[24]Brewhouse!$A82</f>
        <v>ST067</v>
      </c>
      <c r="D14" s="279">
        <f>[24]Brewhouse!$AD82</f>
        <v>49.6</v>
      </c>
      <c r="E14" s="279">
        <f>[24]Brewhouse!$AG82</f>
        <v>45.8</v>
      </c>
      <c r="F14" s="278">
        <f>[24]Brewhouse!$V82</f>
        <v>58</v>
      </c>
      <c r="G14" s="279">
        <f>[24]Brewhouse!$AE82</f>
        <v>11.4</v>
      </c>
      <c r="H14" s="396">
        <v>11.4</v>
      </c>
      <c r="I14" s="417">
        <f>[24]Brewhouse!$AS82</f>
        <v>90.175237312660769</v>
      </c>
      <c r="J14" s="417">
        <f>[24]Brewhouse!$AT82</f>
        <v>93.260034890635467</v>
      </c>
      <c r="K14" s="398">
        <f>[24]Brewhouse!$Q82</f>
        <v>6.3461538461538405</v>
      </c>
      <c r="L14" s="276">
        <f>[24]Brewhouse!$P82</f>
        <v>57</v>
      </c>
      <c r="M14" s="374">
        <f>[24]Brewhouse!$U82-[24]Brewhouse!$T82</f>
        <v>0.11041666666666661</v>
      </c>
      <c r="N14" s="370">
        <f>[24]Brewhouse!$AW82</f>
        <v>0.25694444444444442</v>
      </c>
      <c r="O14" s="418" t="str">
        <f>[24]Brewhouse!$AV82</f>
        <v>R.Sookram</v>
      </c>
      <c r="P14" s="369" t="s">
        <v>180</v>
      </c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[24]Brewhouse!$A83</f>
        <v>ST068</v>
      </c>
      <c r="D15" s="279">
        <f>[24]Brewhouse!$AD83</f>
        <v>54</v>
      </c>
      <c r="E15" s="279">
        <f>[24]Brewhouse!$AG83</f>
        <v>50.9</v>
      </c>
      <c r="F15" s="278">
        <f>[24]Brewhouse!$V83</f>
        <v>62</v>
      </c>
      <c r="G15" s="279">
        <f>[24]Brewhouse!$AE83</f>
        <v>11.9</v>
      </c>
      <c r="H15" s="396">
        <v>11.8</v>
      </c>
      <c r="I15" s="417">
        <f>[24]Brewhouse!$AS83</f>
        <v>98.394986562676721</v>
      </c>
      <c r="J15" s="417">
        <f>[24]Brewhouse!$AT83</f>
        <v>101.81898003926706</v>
      </c>
      <c r="K15" s="398">
        <f>[24]Brewhouse!$Q83</f>
        <v>5.1282051282051233</v>
      </c>
      <c r="L15" s="276">
        <f>[24]Brewhouse!$P83</f>
        <v>60</v>
      </c>
      <c r="M15" s="374">
        <f>[24]Brewhouse!$U83-[24]Brewhouse!$T83</f>
        <v>0.11527777777777781</v>
      </c>
      <c r="N15" s="370">
        <f>[24]Brewhouse!$AW83</f>
        <v>0.27569444444444446</v>
      </c>
      <c r="O15" s="418" t="str">
        <f>[24]Brewhouse!$AV83</f>
        <v>K. Benjamin</v>
      </c>
      <c r="P15" s="369"/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 t="s">
        <v>9</v>
      </c>
      <c r="C16" s="366" t="str">
        <f>[24]Brewhouse!$A84</f>
        <v>ST069</v>
      </c>
      <c r="D16" s="279">
        <f>[24]Brewhouse!$AD84</f>
        <v>53.7</v>
      </c>
      <c r="E16" s="279">
        <f>[24]Brewhouse!$AG84</f>
        <v>50.5</v>
      </c>
      <c r="F16" s="278">
        <f>[24]Brewhouse!$V84</f>
        <v>61</v>
      </c>
      <c r="G16" s="279">
        <f>[24]Brewhouse!$AE84</f>
        <v>11.9</v>
      </c>
      <c r="H16" s="396">
        <v>11.8</v>
      </c>
      <c r="I16" s="417">
        <f>[24]Brewhouse!$AS84</f>
        <v>97.621745017979862</v>
      </c>
      <c r="J16" s="417">
        <f>[24]Brewhouse!$AT84</f>
        <v>101.01883088375219</v>
      </c>
      <c r="K16" s="398">
        <f>[24]Brewhouse!$Q84</f>
        <v>2.6266416510318922</v>
      </c>
      <c r="L16" s="276">
        <f>[24]Brewhouse!$P84</f>
        <v>61</v>
      </c>
      <c r="M16" s="374">
        <f>[24]Brewhouse!$U84-[24]Brewhouse!$T84</f>
        <v>0.11597222222222225</v>
      </c>
      <c r="N16" s="370">
        <f>[24]Brewhouse!$AW84</f>
        <v>0.25763888888888886</v>
      </c>
      <c r="O16" s="418" t="str">
        <f>[24]Brewhouse!$AV84</f>
        <v>K. Benjamin</v>
      </c>
      <c r="P16" s="369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[24]Brewhouse!$A85</f>
        <v>ST070</v>
      </c>
      <c r="D17" s="279">
        <f>[24]Brewhouse!$AD85</f>
        <v>53.2</v>
      </c>
      <c r="E17" s="279">
        <f>[24]Brewhouse!$AG85</f>
        <v>50.1</v>
      </c>
      <c r="F17" s="278">
        <f>[24]Brewhouse!$V85</f>
        <v>60</v>
      </c>
      <c r="G17" s="279">
        <f>[24]Brewhouse!$AE85</f>
        <v>11.8</v>
      </c>
      <c r="H17" s="396">
        <v>11.7</v>
      </c>
      <c r="I17" s="417">
        <f>[24]Brewhouse!$AS85</f>
        <v>95.99281388436242</v>
      </c>
      <c r="J17" s="417">
        <f>[24]Brewhouse!$AT85</f>
        <v>99.333215463971797</v>
      </c>
      <c r="K17" s="398">
        <f>[24]Brewhouse!$Q85</f>
        <v>4.9450549450549506</v>
      </c>
      <c r="L17" s="276">
        <f>[24]Brewhouse!$P85</f>
        <v>61</v>
      </c>
      <c r="M17" s="374">
        <f>[24]Brewhouse!$U85-[24]Brewhouse!$T85</f>
        <v>0.11249999999999993</v>
      </c>
      <c r="N17" s="370">
        <f>[24]Brewhouse!$AW85</f>
        <v>0.24791666666666667</v>
      </c>
      <c r="O17" s="418" t="str">
        <f>[24]Brewhouse!$AV85</f>
        <v>R.Sookram</v>
      </c>
      <c r="P17" s="369"/>
      <c r="Q17" s="347"/>
      <c r="S17" s="277" t="str">
        <f t="shared" si="0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33" t="s">
        <v>9</v>
      </c>
      <c r="C18" s="366" t="str">
        <f>[24]Brewhouse!$A86</f>
        <v>ST071</v>
      </c>
      <c r="D18" s="279">
        <f>[24]Brewhouse!$AD86</f>
        <v>53.1</v>
      </c>
      <c r="E18" s="279">
        <f>[24]Brewhouse!$AG86</f>
        <v>50</v>
      </c>
      <c r="F18" s="278">
        <f>[24]Brewhouse!$V86</f>
        <v>58</v>
      </c>
      <c r="G18" s="279">
        <f>[24]Brewhouse!$AE86</f>
        <v>11.8</v>
      </c>
      <c r="H18" s="396">
        <v>11.8</v>
      </c>
      <c r="I18" s="417">
        <f>[24]Brewhouse!$AS86</f>
        <v>95.681023720581877</v>
      </c>
      <c r="J18" s="417">
        <f>[24]Brewhouse!$AT86</f>
        <v>99.011655067913964</v>
      </c>
      <c r="K18" s="398">
        <f>[24]Brewhouse!$Q86</f>
        <v>5.2631578947368398</v>
      </c>
      <c r="L18" s="276">
        <f>[24]Brewhouse!$P86</f>
        <v>60</v>
      </c>
      <c r="M18" s="374">
        <f>[24]Brewhouse!$U86-[24]Brewhouse!$T86</f>
        <v>0.11041666666666661</v>
      </c>
      <c r="N18" s="370">
        <f>[24]Brewhouse!$AW86</f>
        <v>0.25208333333333321</v>
      </c>
      <c r="O18" s="418" t="str">
        <f>[24]Brewhouse!$AV86</f>
        <v xml:space="preserve">R.Regis </v>
      </c>
      <c r="P18" s="369"/>
      <c r="Q18" s="347"/>
      <c r="S18" s="277" t="str">
        <f t="shared" ref="S18:S20" si="9">B18</f>
        <v>STAG</v>
      </c>
      <c r="T18" s="296">
        <f t="shared" ref="T18:T20" si="10">VLOOKUP($B18,$S$3:$Y$9,2,FALSE)</f>
        <v>11.6</v>
      </c>
      <c r="U18" s="296">
        <f t="shared" ref="U18:U20" si="11">VLOOKUP($B18,$S$3:$Y$9,3,FALSE)</f>
        <v>12</v>
      </c>
      <c r="V18" s="297">
        <f t="shared" ref="V18:V20" si="12">VLOOKUP($B18,$S$3:$Y$9,4,FALSE)</f>
        <v>0</v>
      </c>
      <c r="W18" s="297">
        <f t="shared" ref="W18:W20" si="13">VLOOKUP($B18,$S$3:$Y$9,5,FALSE)</f>
        <v>0.118055555555556</v>
      </c>
      <c r="X18" s="297">
        <f t="shared" ref="X18:X20" si="14">VLOOKUP($B18,$S$3:$Y$9,6,FALSE)</f>
        <v>0.22569444444444445</v>
      </c>
      <c r="Y18" s="297">
        <f t="shared" ref="Y18:Y20" si="15">VLOOKUP($B18,$S$3:$Y$9,7,FALSE)</f>
        <v>0.2638888888888889</v>
      </c>
      <c r="Z18" s="297">
        <f t="shared" ref="Z18:Z20" si="16">VLOOKUP($B18,$S$3:$AA$9,8,FALSE)</f>
        <v>0</v>
      </c>
      <c r="AA18" s="296">
        <f t="shared" ref="AA18:AA20" si="17">VLOOKUP($B18,$S$3:$AA$9,9,FALSE)</f>
        <v>60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/>
      <c r="T19" s="296"/>
      <c r="U19" s="296"/>
      <c r="V19" s="297"/>
      <c r="W19" s="297"/>
      <c r="X19" s="297"/>
      <c r="Y19" s="297"/>
      <c r="Z19" s="297"/>
      <c r="AA19" s="296"/>
    </row>
    <row r="20" spans="1:27" ht="15.75" customHeight="1">
      <c r="B20" s="34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89" t="s">
        <v>33</v>
      </c>
      <c r="C23" s="450" cm="1">
        <f t="array" ref="C23:C26">[25]Process!$D$16:$D$19</f>
        <v>14.7</v>
      </c>
      <c r="D23" s="555">
        <v>16.579999999999998</v>
      </c>
      <c r="E23" s="556"/>
      <c r="F23" s="294"/>
      <c r="G23" s="294"/>
      <c r="H23" s="294"/>
      <c r="I23" s="29" t="s">
        <v>6</v>
      </c>
      <c r="J23" s="368"/>
      <c r="K23" s="284">
        <f>COUNTA([22]Brewhouse!$A$173:$A$216)</f>
        <v>44</v>
      </c>
      <c r="L23" s="302">
        <f>AVERAGE([22]Brewhouse!$AU$173:$AU$216)</f>
        <v>95.514768796259489</v>
      </c>
      <c r="M23" s="302">
        <f>AVERAGE([22]Brewhouse!$AU$102:$AU$171,[22]Brewhouse!$AU$173:$AU$216)</f>
        <v>94.938358866790935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90"/>
      <c r="C24" s="349">
        <v>14.7</v>
      </c>
      <c r="D24" s="519"/>
      <c r="E24" s="507"/>
      <c r="F24" s="294"/>
      <c r="G24" s="294"/>
      <c r="H24" s="32"/>
      <c r="I24" s="33" t="s">
        <v>9</v>
      </c>
      <c r="J24" s="323">
        <f>AVERAGE(I14:I18)</f>
        <v>95.573161299652341</v>
      </c>
      <c r="K24" s="284">
        <f>COUNTA([24]Brewhouse!$A$66:$A$86)</f>
        <v>21</v>
      </c>
      <c r="L24" s="302">
        <f>AVERAGE([24]Brewhouse!$AS$66:$AS$86)</f>
        <v>95.688761103425477</v>
      </c>
      <c r="M24" s="302">
        <f>AVERAGE([24]Brewhouse!$AS$15:$AS$64,[24]Brewhouse!$AS$66:$AS$86)</f>
        <v>95.962402664828289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90"/>
      <c r="C25" s="349">
        <v>14.7</v>
      </c>
      <c r="D25" s="555">
        <v>16.66</v>
      </c>
      <c r="E25" s="556"/>
      <c r="F25" s="294"/>
      <c r="G25" s="294"/>
      <c r="H25" s="32"/>
      <c r="I25" s="34" t="s">
        <v>12</v>
      </c>
      <c r="J25" s="280">
        <f>AVERAGE(I10:I12)</f>
        <v>95.928070100821444</v>
      </c>
      <c r="K25" s="284">
        <f>COUNTA([23]Brewhouse!$A$9:$A$22)</f>
        <v>14</v>
      </c>
      <c r="L25" s="302">
        <f>AVERAGE([23]Brewhouse!$AU$9:$AU$22)</f>
        <v>95.97048596821466</v>
      </c>
      <c r="M25" s="302">
        <f>AVERAGE([23]Brewhouse!$AU$4:$AU$7,[23]Brewhouse!$AU$9:$AU$22)</f>
        <v>96.221919722068549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90"/>
      <c r="C26" s="349">
        <v>14.6</v>
      </c>
      <c r="D26" s="519"/>
      <c r="E26" s="507"/>
      <c r="F26" s="294"/>
      <c r="G26" s="294"/>
      <c r="H26" s="32"/>
      <c r="I26" s="22" t="s">
        <v>33</v>
      </c>
      <c r="J26" s="280"/>
      <c r="K26" s="284">
        <f>COUNTA([25]Brewhouse!$A$16:$A$19)</f>
        <v>4</v>
      </c>
      <c r="L26" s="302">
        <f>AVERAGE([25]Brewhouse!$AV$16:$AV$19)</f>
        <v>99.193666402492596</v>
      </c>
      <c r="M26" s="302">
        <f>AVERAGE([25]Brewhouse!$AV$5:$AV$14,[25]Brewhouse!$AV$16:$AV$19)</f>
        <v>98.139385615971563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90"/>
      <c r="C27" s="349"/>
      <c r="D27" s="555"/>
      <c r="E27" s="556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90"/>
      <c r="C28" s="349"/>
      <c r="D28" s="519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90"/>
      <c r="C29" s="349"/>
      <c r="D29" s="555"/>
      <c r="E29" s="556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90"/>
      <c r="C30" s="349"/>
      <c r="D30" s="519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90"/>
      <c r="C31" s="349"/>
      <c r="D31" s="555"/>
      <c r="E31" s="556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90"/>
      <c r="C32" s="349"/>
      <c r="D32" s="519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90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89</v>
      </c>
      <c r="L33" s="410">
        <f>((L23*K23)+(L24*K24)+(L25*K25)+(L26*K26)+(L27*K27)+(K30*L30)+(L28*K28)+(L29*K29)+(L32*K32))/(K33)</f>
        <v>95.817082417914733</v>
      </c>
      <c r="M33" s="410">
        <f>L33</f>
        <v>95.817082417914733</v>
      </c>
      <c r="N33" s="40">
        <v>98</v>
      </c>
      <c r="O33" s="11"/>
      <c r="P33" s="31"/>
      <c r="S33" s="23"/>
    </row>
    <row r="34" spans="1:57" ht="15" thickBot="1">
      <c r="B34" s="591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85"/>
      <c r="C35" s="362"/>
      <c r="D35" s="517"/>
      <c r="E35" s="518"/>
      <c r="F35" s="43"/>
      <c r="G35" s="41"/>
      <c r="H35" s="41"/>
      <c r="I35" s="42"/>
      <c r="J35" s="587" t="s">
        <v>129</v>
      </c>
      <c r="K35" s="588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85"/>
      <c r="C36" s="349"/>
      <c r="D36" s="519"/>
      <c r="E36" s="507"/>
      <c r="F36" s="43"/>
      <c r="G36" s="41"/>
      <c r="H36" s="41"/>
      <c r="I36" s="42"/>
      <c r="J36" s="453" t="s">
        <v>17</v>
      </c>
      <c r="K36" s="454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85"/>
      <c r="C37" s="349"/>
      <c r="D37" s="523"/>
      <c r="E37" s="505"/>
      <c r="F37" s="43"/>
      <c r="G37" s="41"/>
      <c r="H37" s="41"/>
      <c r="I37" s="42"/>
      <c r="J37" s="455" t="s">
        <v>6</v>
      </c>
      <c r="K37" s="456"/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85"/>
      <c r="C38" s="349"/>
      <c r="D38" s="519"/>
      <c r="E38" s="507"/>
      <c r="F38" s="43"/>
      <c r="G38" s="41"/>
      <c r="H38" s="41"/>
      <c r="I38" s="42"/>
      <c r="J38" s="457" t="s">
        <v>9</v>
      </c>
      <c r="K38" s="456">
        <f>COUNTA(B14:B18)</f>
        <v>5</v>
      </c>
      <c r="L38" s="344">
        <f>AVERAGE('Feb 3rd'!K79,'Feb 4th'!K77,'Feb 5th'!L68,'Feb 6th'!K75,'Feb 10th'!K69,'Feb 11th'!K68,'Feb 12th'!K70,'Feb 13th'!K69,'Feb 14th'!K47,'Feb 14th'!K47,'Feb 17th'!K47,'Feb 18th'!K47,'Feb 19th '!K47)</f>
        <v>7.2307692307692308</v>
      </c>
      <c r="M38" s="325">
        <f>AVERAGE('[29]Jan 29th '!$M$70,L38)</f>
        <v>6.865384615384615</v>
      </c>
      <c r="N38" s="401"/>
      <c r="O38" s="294"/>
      <c r="P38" s="12"/>
      <c r="S38" s="23"/>
    </row>
    <row r="39" spans="1:57" ht="15" customHeight="1">
      <c r="B39" s="585"/>
      <c r="C39" s="349"/>
      <c r="D39" s="523"/>
      <c r="E39" s="505"/>
      <c r="F39" s="43"/>
      <c r="G39" s="41"/>
      <c r="H39" s="41"/>
      <c r="I39" s="42"/>
      <c r="J39" s="458" t="s">
        <v>40</v>
      </c>
      <c r="K39" s="456">
        <f>COUNTA(B10:B12)</f>
        <v>3</v>
      </c>
      <c r="L39" s="294"/>
      <c r="M39" s="294"/>
      <c r="N39" s="294"/>
      <c r="O39" s="294"/>
      <c r="P39" s="12"/>
      <c r="S39" s="23"/>
    </row>
    <row r="40" spans="1:57" ht="15" customHeight="1">
      <c r="B40" s="585"/>
      <c r="C40" s="349"/>
      <c r="D40" s="519"/>
      <c r="E40" s="507"/>
      <c r="F40" s="43"/>
      <c r="G40" s="41"/>
      <c r="H40" s="41"/>
      <c r="I40" s="42"/>
      <c r="J40" s="459" t="s">
        <v>33</v>
      </c>
      <c r="K40" s="456"/>
      <c r="L40" s="294"/>
      <c r="M40" s="294"/>
      <c r="N40" s="294"/>
      <c r="O40" s="294"/>
      <c r="P40" s="12"/>
      <c r="S40" s="23"/>
    </row>
    <row r="41" spans="1:57" ht="14.4">
      <c r="B41" s="585"/>
      <c r="C41" s="349"/>
      <c r="D41" s="523"/>
      <c r="E41" s="505"/>
      <c r="F41" s="43"/>
      <c r="G41" s="41"/>
      <c r="H41" s="41"/>
      <c r="I41" s="42"/>
      <c r="J41" s="460" t="s">
        <v>16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85"/>
      <c r="C42" s="349"/>
      <c r="D42" s="519"/>
      <c r="E42" s="507"/>
      <c r="F42" s="43"/>
      <c r="G42" s="41"/>
      <c r="H42" s="41"/>
      <c r="I42" s="42"/>
      <c r="J42" s="461" t="s">
        <v>15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85"/>
      <c r="C43" s="349"/>
      <c r="D43" s="524"/>
      <c r="E43" s="509"/>
      <c r="F43" s="43"/>
      <c r="G43" s="41"/>
      <c r="H43" s="41"/>
      <c r="I43" s="42"/>
      <c r="J43" s="461" t="s">
        <v>149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86"/>
      <c r="C44" s="350"/>
      <c r="D44" s="525"/>
      <c r="E44" s="526"/>
      <c r="F44" s="43"/>
      <c r="G44" s="41"/>
      <c r="H44" s="41"/>
      <c r="I44" s="42"/>
      <c r="J44" s="461" t="s">
        <v>148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>
        <f>AVERAGE(D23:E44)</f>
        <v>16.619999999999997</v>
      </c>
      <c r="E45" s="528"/>
      <c r="F45" s="43"/>
      <c r="G45" s="41"/>
      <c r="H45" s="41"/>
      <c r="I45" s="42"/>
      <c r="J45" s="462" t="s">
        <v>134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62" t="s">
        <v>131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 thickBot="1">
      <c r="B47" s="45"/>
      <c r="C47" s="11"/>
      <c r="D47" s="11"/>
      <c r="E47" s="46"/>
      <c r="F47" s="23"/>
      <c r="G47" s="11"/>
      <c r="H47" s="41"/>
      <c r="I47" s="42"/>
      <c r="J47" s="463" t="s">
        <v>130</v>
      </c>
      <c r="K47" s="464">
        <f>SUM(K37:K46)</f>
        <v>8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5.75" customHeight="1" thickBot="1">
      <c r="B52" s="466" t="str">
        <f>J40</f>
        <v>VITAMALT</v>
      </c>
      <c r="C52" s="283">
        <v>45708</v>
      </c>
      <c r="D52" s="279">
        <f>[30]February_2025!$W$65</f>
        <v>193.39999999999998</v>
      </c>
      <c r="E52" s="279">
        <f>SUM([31]VITAMALT!$J$6:$J$9)</f>
        <v>8.1999999999999993</v>
      </c>
      <c r="F52" s="279"/>
      <c r="G52" s="279">
        <f>[30]February_2025!$W$70</f>
        <v>191.60000000000002</v>
      </c>
      <c r="H52" s="320"/>
      <c r="I52" s="322"/>
      <c r="J52" s="390" t="s">
        <v>150</v>
      </c>
      <c r="K52" s="286">
        <f>[32]February_2025!$W$60</f>
        <v>0.67228070175438603</v>
      </c>
      <c r="L52" s="314">
        <f>(((D52+E52)-G52)/(D52+E52))*100</f>
        <v>4.9603174603174329</v>
      </c>
      <c r="M52" s="281" t="s">
        <v>165</v>
      </c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21" customHeight="1" thickBo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384"/>
      <c r="N53" s="13"/>
      <c r="O53" s="13"/>
      <c r="P53" s="50"/>
      <c r="T53" s="272" t="s">
        <v>51</v>
      </c>
      <c r="U53" s="57">
        <f>[20]January_2019!D6</f>
        <v>0</v>
      </c>
      <c r="V53" s="57">
        <f>[20]January_2019!E6</f>
        <v>0</v>
      </c>
      <c r="W53" s="57">
        <f>[20]January_2019!F6</f>
        <v>0</v>
      </c>
      <c r="X53" s="57">
        <f>[20]January_2019!G6</f>
        <v>0</v>
      </c>
      <c r="Y53" s="57">
        <f>[20]January_2019!H6</f>
        <v>0</v>
      </c>
      <c r="Z53" s="57">
        <f>[20]January_2019!I6</f>
        <v>0</v>
      </c>
      <c r="AA53" s="57">
        <f>[20]January_2019!J6</f>
        <v>0</v>
      </c>
      <c r="AB53" s="57">
        <f>[20]January_2019!K6</f>
        <v>0</v>
      </c>
      <c r="AC53" s="57">
        <f>[20]January_2019!L6</f>
        <v>0</v>
      </c>
      <c r="AD53" s="57">
        <f>[20]January_2019!M6</f>
        <v>0</v>
      </c>
      <c r="AE53" s="57">
        <f>[20]January_2019!N6</f>
        <v>0</v>
      </c>
      <c r="AF53" s="57">
        <f>[20]January_2019!O6</f>
        <v>0</v>
      </c>
      <c r="AG53" s="57">
        <f>[20]January_2019!P6</f>
        <v>0</v>
      </c>
      <c r="AH53" s="57">
        <f>[20]January_2019!Q6</f>
        <v>0</v>
      </c>
      <c r="AI53" s="57">
        <f>[20]January_2019!R6</f>
        <v>0</v>
      </c>
      <c r="AJ53" s="57">
        <f>[20]January_2019!S6</f>
        <v>0</v>
      </c>
      <c r="AK53" s="57">
        <f>[20]January_2019!T6</f>
        <v>0</v>
      </c>
      <c r="AL53" s="57">
        <f>[20]January_2019!U6</f>
        <v>0</v>
      </c>
      <c r="AM53" s="57">
        <f>[20]January_2019!V6</f>
        <v>0</v>
      </c>
      <c r="AN53" s="57">
        <f>[20]January_2019!W6</f>
        <v>0</v>
      </c>
      <c r="AO53" s="57">
        <f>[20]January_2019!X6</f>
        <v>0</v>
      </c>
      <c r="AP53" s="57">
        <f>[20]January_2019!Y6</f>
        <v>0</v>
      </c>
      <c r="AQ53" s="57">
        <f>[20]January_2019!Z6</f>
        <v>0</v>
      </c>
      <c r="AR53" s="57">
        <f>[20]January_2019!AA6</f>
        <v>0</v>
      </c>
      <c r="AS53" s="57">
        <f>[20]January_2019!AB6</f>
        <v>0</v>
      </c>
      <c r="AT53" s="57">
        <f>[20]January_2019!AC6</f>
        <v>0</v>
      </c>
      <c r="AU53" s="57">
        <f>[20]January_2019!AD6</f>
        <v>0</v>
      </c>
      <c r="AV53" s="57">
        <f>[20]January_2019!AE6</f>
        <v>0</v>
      </c>
      <c r="AW53" s="57">
        <f>[20]January_2019!AF6</f>
        <v>0</v>
      </c>
      <c r="AX53" s="57">
        <f>[20]January_2019!AG6</f>
        <v>0</v>
      </c>
      <c r="AY53" s="277">
        <f>[20]January_2019!AH6</f>
        <v>0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56.4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7"/>
      <c r="L54" s="314"/>
      <c r="M54" s="384"/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hidden="1" customHeigh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42" hidden="1" customHeight="1">
      <c r="B56" s="387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384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idden="1">
      <c r="B57" s="361"/>
      <c r="C57" s="283"/>
      <c r="D57" s="304"/>
      <c r="E57" s="279"/>
      <c r="F57" s="279"/>
      <c r="G57" s="279"/>
      <c r="H57" s="381"/>
      <c r="I57" s="381"/>
      <c r="J57" s="389"/>
      <c r="K57" s="437"/>
      <c r="L57" s="314"/>
      <c r="M57" s="339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9" hidden="1" customHeight="1">
      <c r="B58" s="387"/>
      <c r="C58" s="283"/>
      <c r="D58" s="279"/>
      <c r="E58" s="279"/>
      <c r="F58" s="279"/>
      <c r="G58" s="279"/>
      <c r="H58" s="320"/>
      <c r="I58" s="322"/>
      <c r="J58" s="281"/>
      <c r="K58" s="286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ht="11.4" hidden="1" customHeight="1" thickBot="1">
      <c r="B59" s="33"/>
      <c r="C59" s="310"/>
      <c r="D59" s="279"/>
      <c r="E59" s="279"/>
      <c r="F59" s="279"/>
      <c r="G59" s="279"/>
      <c r="H59" s="352"/>
      <c r="I59" s="353"/>
      <c r="J59" s="281"/>
      <c r="K59" s="52"/>
      <c r="L59" s="53"/>
      <c r="M59" s="55"/>
      <c r="N59" s="77"/>
      <c r="O59" s="13"/>
      <c r="P59" s="56"/>
    </row>
    <row r="60" spans="2:58" ht="14.4" thickBot="1">
      <c r="B60" s="58"/>
      <c r="C60" s="30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6"/>
      <c r="P60" s="60"/>
    </row>
    <row r="61" spans="2:58" ht="14.4" thickBot="1">
      <c r="B61" s="536" t="s">
        <v>55</v>
      </c>
      <c r="C61" s="537"/>
      <c r="D61" s="537"/>
      <c r="E61" s="537"/>
      <c r="F61" s="538"/>
      <c r="G61" s="536" t="s">
        <v>56</v>
      </c>
      <c r="H61" s="537"/>
      <c r="I61" s="537"/>
      <c r="J61" s="538"/>
      <c r="K61" s="536" t="s">
        <v>51</v>
      </c>
      <c r="L61" s="537"/>
      <c r="M61" s="537"/>
      <c r="N61" s="539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/>
      <c r="D63" s="76">
        <v>6.855717058101324</v>
      </c>
      <c r="E63" s="76">
        <v>7.4310692669804901</v>
      </c>
      <c r="F63" s="66">
        <v>4.8</v>
      </c>
      <c r="G63" s="65"/>
      <c r="H63" s="76">
        <v>7.1969619815726622</v>
      </c>
      <c r="I63" s="76">
        <v>7.8590160443694215</v>
      </c>
      <c r="J63" s="66">
        <v>4.8</v>
      </c>
      <c r="K63" s="67"/>
      <c r="L63" s="194">
        <v>0.61541889152222951</v>
      </c>
      <c r="M63" s="194">
        <v>0.83360112825719856</v>
      </c>
      <c r="N63" s="68">
        <v>1</v>
      </c>
      <c r="O63" s="56"/>
      <c r="P63" s="69"/>
    </row>
    <row r="64" spans="2:58">
      <c r="B64" s="33" t="s">
        <v>9</v>
      </c>
      <c r="C64" s="65"/>
      <c r="D64" s="76">
        <v>6.6241169909530218</v>
      </c>
      <c r="E64" s="76">
        <v>6.7066838440757675</v>
      </c>
      <c r="F64" s="66">
        <v>4.8</v>
      </c>
      <c r="G64" s="65"/>
      <c r="H64" s="76">
        <v>6.5438307865505001</v>
      </c>
      <c r="I64" s="76">
        <v>6.7059091567256077</v>
      </c>
      <c r="J64" s="66">
        <v>4.8</v>
      </c>
      <c r="K64" s="67"/>
      <c r="L64" s="194">
        <v>0.61918200707621074</v>
      </c>
      <c r="M64" s="194">
        <v>0.75354343167523652</v>
      </c>
      <c r="N64" s="68">
        <v>1</v>
      </c>
      <c r="P64" s="69"/>
    </row>
    <row r="65" spans="2:16">
      <c r="B65" s="34" t="s">
        <v>40</v>
      </c>
      <c r="C65" s="65"/>
      <c r="D65" s="76">
        <v>18.104405775638647</v>
      </c>
      <c r="E65" s="76">
        <v>14.176156170113877</v>
      </c>
      <c r="F65" s="66">
        <v>5.5</v>
      </c>
      <c r="G65" s="65"/>
      <c r="H65" s="76">
        <v>20.086278780699747</v>
      </c>
      <c r="I65" s="76">
        <v>15.811420854943506</v>
      </c>
      <c r="J65" s="66">
        <v>5.5</v>
      </c>
      <c r="K65" s="67"/>
      <c r="L65" s="194">
        <v>0.31152046783625731</v>
      </c>
      <c r="M65" s="194">
        <v>0.4570760233918128</v>
      </c>
      <c r="N65" s="68">
        <v>1</v>
      </c>
      <c r="P65" s="69"/>
    </row>
    <row r="66" spans="2:16">
      <c r="B66" s="22" t="s">
        <v>33</v>
      </c>
      <c r="C66" s="65">
        <f>L52</f>
        <v>4.9603174603174329</v>
      </c>
      <c r="D66" s="76">
        <v>4.9603174603174329</v>
      </c>
      <c r="E66" s="76">
        <v>3.9190537266638161</v>
      </c>
      <c r="F66" s="66">
        <v>3.3</v>
      </c>
      <c r="G66" s="65">
        <f>[30]February_2025!$W$74</f>
        <v>5.7667082440308048</v>
      </c>
      <c r="H66" s="76">
        <v>5.7667082440308048</v>
      </c>
      <c r="I66" s="76">
        <v>5.345661717473071</v>
      </c>
      <c r="J66" s="66">
        <v>3.3</v>
      </c>
      <c r="K66" s="67">
        <f>K52</f>
        <v>0.67228070175438603</v>
      </c>
      <c r="L66" s="194">
        <v>0.67228070175438603</v>
      </c>
      <c r="M66" s="194">
        <v>0.78853801169590654</v>
      </c>
      <c r="N66" s="68">
        <v>1</v>
      </c>
      <c r="P66" s="69"/>
    </row>
    <row r="67" spans="2:16" ht="14.4" thickBot="1">
      <c r="B67" s="38" t="s">
        <v>181</v>
      </c>
      <c r="C67" s="65"/>
      <c r="D67" s="76"/>
      <c r="E67" s="76"/>
      <c r="F67" s="66">
        <v>3.3</v>
      </c>
      <c r="G67" s="282"/>
      <c r="H67" s="76" t="e">
        <v>#DIV/0!</v>
      </c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8.7664670658682695</v>
      </c>
      <c r="F68" s="70">
        <f>[21]May_2022!$M$43</f>
        <v>3.4878406700073312</v>
      </c>
      <c r="G68" s="282"/>
      <c r="H68" s="76" t="e">
        <v>#DIV/0!</v>
      </c>
      <c r="I68" s="76">
        <v>10.607235567685406</v>
      </c>
      <c r="J68" s="70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>
        <v>3.3333333333333082</v>
      </c>
      <c r="E69" s="76">
        <v>2.2765363128491556</v>
      </c>
      <c r="F69" s="66">
        <v>3.3</v>
      </c>
      <c r="G69" s="282"/>
      <c r="H69" s="76">
        <v>5.2583423035521699</v>
      </c>
      <c r="I69" s="76">
        <v>4.5833713915368151</v>
      </c>
      <c r="J69" s="70">
        <v>3.3</v>
      </c>
      <c r="K69" s="67"/>
      <c r="L69" s="194">
        <v>1.0053333333333334</v>
      </c>
      <c r="M69" s="194">
        <v>0.8042528735632184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70">
        <v>7.5</v>
      </c>
      <c r="G70" s="282"/>
      <c r="H70" s="76" t="e">
        <v>#DIV/0!</v>
      </c>
      <c r="I70" s="76"/>
      <c r="J70" s="72">
        <v>7.5</v>
      </c>
      <c r="K70" s="67"/>
      <c r="L70" s="194"/>
      <c r="M70" s="194"/>
      <c r="N70" s="71">
        <v>1</v>
      </c>
      <c r="P70" s="69"/>
    </row>
    <row r="71" spans="2:16" ht="14.4" thickBot="1">
      <c r="B71" s="435" t="s">
        <v>134</v>
      </c>
      <c r="C71" s="434"/>
      <c r="D71" s="76">
        <v>4.8792508624938291</v>
      </c>
      <c r="E71" s="76">
        <v>7.6687530091478049</v>
      </c>
      <c r="F71" s="66">
        <v>5.5</v>
      </c>
      <c r="G71" s="282"/>
      <c r="H71" s="76">
        <v>6.2003723782925313</v>
      </c>
      <c r="I71" s="76">
        <v>6.2003723782925313</v>
      </c>
      <c r="J71" s="433">
        <v>5.5</v>
      </c>
      <c r="K71" s="67"/>
      <c r="L71" s="194">
        <v>1</v>
      </c>
      <c r="M71" s="194">
        <v>0.67719298245614035</v>
      </c>
      <c r="N71" s="71">
        <v>1</v>
      </c>
      <c r="P71" s="69"/>
    </row>
    <row r="72" spans="2:16">
      <c r="C72" s="282"/>
      <c r="D72" s="76">
        <v>7.6687530091478049</v>
      </c>
      <c r="E72" s="76">
        <v>7.267594920585954</v>
      </c>
      <c r="F72" s="341">
        <v>4.5</v>
      </c>
      <c r="G72" s="282"/>
      <c r="H72" s="76">
        <v>8.4191497437750336</v>
      </c>
      <c r="I72" s="76">
        <v>8.0167632409125602</v>
      </c>
      <c r="J72" s="342">
        <v>5</v>
      </c>
      <c r="K72" s="67"/>
      <c r="L72" s="194">
        <v>0.56650239113139411</v>
      </c>
      <c r="M72" s="194">
        <v>0.56650239113139411</v>
      </c>
      <c r="N72" s="386">
        <v>1</v>
      </c>
      <c r="O72" s="74"/>
      <c r="P72" s="75"/>
    </row>
    <row r="77" spans="2:16">
      <c r="F77" s="315"/>
    </row>
    <row r="85" spans="30:30">
      <c r="AD85" s="275" t="s">
        <v>57</v>
      </c>
    </row>
  </sheetData>
  <mergeCells count="52">
    <mergeCell ref="M50:M51"/>
    <mergeCell ref="B61:F61"/>
    <mergeCell ref="G61:J61"/>
    <mergeCell ref="K61:N61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C4:D4"/>
    <mergeCell ref="M4:N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5:B46">
    <cfRule type="cellIs" dxfId="1430" priority="124" operator="notBetween">
      <formula>#REF!</formula>
      <formula>#REF!</formula>
    </cfRule>
  </conditionalFormatting>
  <conditionalFormatting sqref="C49">
    <cfRule type="cellIs" dxfId="1429" priority="155" stopIfTrue="1" operator="lessThan">
      <formula>96</formula>
    </cfRule>
    <cfRule type="cellIs" dxfId="1428" priority="156" stopIfTrue="1" operator="greaterThan">
      <formula>100</formula>
    </cfRule>
  </conditionalFormatting>
  <conditionalFormatting sqref="C63">
    <cfRule type="cellIs" dxfId="1427" priority="83" stopIfTrue="1" operator="greaterThan">
      <formula>$F63</formula>
    </cfRule>
  </conditionalFormatting>
  <conditionalFormatting sqref="C63:C64">
    <cfRule type="cellIs" dxfId="1426" priority="84" stopIfTrue="1" operator="lessThanOrEqual">
      <formula>0</formula>
    </cfRule>
  </conditionalFormatting>
  <conditionalFormatting sqref="C64">
    <cfRule type="cellIs" dxfId="1425" priority="159" stopIfTrue="1" operator="greaterThan">
      <formula>$F63</formula>
    </cfRule>
  </conditionalFormatting>
  <conditionalFormatting sqref="C65:C67">
    <cfRule type="cellIs" dxfId="1424" priority="91" stopIfTrue="1" operator="greaterThan">
      <formula>$F65</formula>
    </cfRule>
  </conditionalFormatting>
  <conditionalFormatting sqref="C65:C68">
    <cfRule type="cellIs" dxfId="1423" priority="102" stopIfTrue="1" operator="lessThanOrEqual">
      <formula>0</formula>
    </cfRule>
  </conditionalFormatting>
  <conditionalFormatting sqref="C68">
    <cfRule type="cellIs" dxfId="1422" priority="101" stopIfTrue="1" operator="greaterThan">
      <formula>$J68</formula>
    </cfRule>
  </conditionalFormatting>
  <conditionalFormatting sqref="C72">
    <cfRule type="cellIs" dxfId="1421" priority="69" stopIfTrue="1" operator="greaterThan">
      <formula>$J72</formula>
    </cfRule>
    <cfRule type="cellIs" dxfId="1420" priority="70" stopIfTrue="1" operator="lessThanOrEqual">
      <formula>0</formula>
    </cfRule>
  </conditionalFormatting>
  <conditionalFormatting sqref="C75:C79">
    <cfRule type="cellIs" dxfId="1419" priority="147" stopIfTrue="1" operator="lessThanOrEqual">
      <formula>0</formula>
    </cfRule>
  </conditionalFormatting>
  <conditionalFormatting sqref="C76:C79">
    <cfRule type="cellIs" dxfId="1418" priority="146" stopIfTrue="1" operator="greaterThan">
      <formula>$F$75</formula>
    </cfRule>
  </conditionalFormatting>
  <conditionalFormatting sqref="C81">
    <cfRule type="cellIs" dxfId="1417" priority="149" stopIfTrue="1" operator="lessThanOrEqual">
      <formula>0</formula>
    </cfRule>
    <cfRule type="cellIs" dxfId="1416" priority="148" stopIfTrue="1" operator="greaterThan">
      <formula>$F$75</formula>
    </cfRule>
  </conditionalFormatting>
  <conditionalFormatting sqref="C75:D75 D77:D83">
    <cfRule type="cellIs" dxfId="1415" priority="141" stopIfTrue="1" operator="greaterThan">
      <formula>4.5</formula>
    </cfRule>
  </conditionalFormatting>
  <conditionalFormatting sqref="D45:D46">
    <cfRule type="cellIs" dxfId="1414" priority="125" operator="notBetween">
      <formula>#REF!</formula>
      <formula>#REF!</formula>
    </cfRule>
  </conditionalFormatting>
  <conditionalFormatting sqref="D63:D71">
    <cfRule type="cellIs" dxfId="1413" priority="114" stopIfTrue="1" operator="lessThanOrEqual">
      <formula>0</formula>
    </cfRule>
  </conditionalFormatting>
  <conditionalFormatting sqref="D72">
    <cfRule type="cellIs" dxfId="1412" priority="113" stopIfTrue="1" operator="lessThanOrEqual">
      <formula>0</formula>
    </cfRule>
  </conditionalFormatting>
  <conditionalFormatting sqref="D75 D77:D83">
    <cfRule type="cellIs" dxfId="1411" priority="142" stopIfTrue="1" operator="lessThanOrEqual">
      <formula>0</formula>
    </cfRule>
  </conditionalFormatting>
  <conditionalFormatting sqref="D76">
    <cfRule type="cellIs" dxfId="1410" priority="134" stopIfTrue="1" operator="lessThanOrEqual">
      <formula>0</formula>
    </cfRule>
    <cfRule type="cellIs" dxfId="1409" priority="133" stopIfTrue="1" operator="greaterThan">
      <formula>$F$75</formula>
    </cfRule>
  </conditionalFormatting>
  <conditionalFormatting sqref="D63:E72">
    <cfRule type="cellIs" dxfId="1408" priority="106" stopIfTrue="1" operator="greaterThan">
      <formula>$F63</formula>
    </cfRule>
  </conditionalFormatting>
  <conditionalFormatting sqref="E10:E20">
    <cfRule type="cellIs" dxfId="1407" priority="34" operator="lessThan">
      <formula>48</formula>
    </cfRule>
  </conditionalFormatting>
  <conditionalFormatting sqref="E49">
    <cfRule type="cellIs" dxfId="1406" priority="136" stopIfTrue="1" operator="greaterThan">
      <formula>100</formula>
    </cfRule>
    <cfRule type="cellIs" dxfId="1405" priority="135" stopIfTrue="1" operator="lessThan">
      <formula>96.8</formula>
    </cfRule>
  </conditionalFormatting>
  <conditionalFormatting sqref="E63:E72">
    <cfRule type="cellIs" dxfId="1404" priority="107" stopIfTrue="1" operator="lessThanOrEqual">
      <formula>0</formula>
    </cfRule>
  </conditionalFormatting>
  <conditionalFormatting sqref="E75:E83">
    <cfRule type="cellIs" dxfId="1403" priority="128" stopIfTrue="1" operator="lessThanOrEqual">
      <formula>0</formula>
    </cfRule>
    <cfRule type="cellIs" dxfId="1402" priority="127" stopIfTrue="1" operator="greaterThan">
      <formula>4.5</formula>
    </cfRule>
  </conditionalFormatting>
  <conditionalFormatting sqref="E48:F49">
    <cfRule type="cellIs" dxfId="1401" priority="138" stopIfTrue="1" operator="greaterThan">
      <formula>100</formula>
    </cfRule>
    <cfRule type="cellIs" dxfId="1400" priority="137" stopIfTrue="1" operator="lessThan">
      <formula>96.5</formula>
    </cfRule>
  </conditionalFormatting>
  <conditionalFormatting sqref="F10:F20">
    <cfRule type="cellIs" dxfId="1399" priority="36" operator="greaterThan">
      <formula>60</formula>
    </cfRule>
  </conditionalFormatting>
  <conditionalFormatting sqref="F49">
    <cfRule type="cellIs" dxfId="1398" priority="153" stopIfTrue="1" operator="lessThan">
      <formula>96.8</formula>
    </cfRule>
    <cfRule type="cellIs" dxfId="1397" priority="154" stopIfTrue="1" operator="greaterThan">
      <formula>100</formula>
    </cfRule>
  </conditionalFormatting>
  <conditionalFormatting sqref="F72">
    <cfRule type="cellIs" dxfId="1396" priority="109" stopIfTrue="1" operator="lessThanOrEqual">
      <formula>0</formula>
    </cfRule>
    <cfRule type="cellIs" dxfId="1395" priority="108" stopIfTrue="1" operator="greaterThan">
      <formula>$F72</formula>
    </cfRule>
  </conditionalFormatting>
  <conditionalFormatting sqref="G63:G64 C69:C71">
    <cfRule type="cellIs" dxfId="1394" priority="116" stopIfTrue="1" operator="lessThanOrEqual">
      <formula>0</formula>
    </cfRule>
    <cfRule type="cellIs" dxfId="1393" priority="115" stopIfTrue="1" operator="greaterThan">
      <formula>$F63</formula>
    </cfRule>
  </conditionalFormatting>
  <conditionalFormatting sqref="G63:G64">
    <cfRule type="cellIs" dxfId="1392" priority="87" stopIfTrue="1" operator="lessThanOrEqual">
      <formula>0</formula>
    </cfRule>
    <cfRule type="cellIs" dxfId="1391" priority="86" stopIfTrue="1" operator="greaterThan">
      <formula>$F63</formula>
    </cfRule>
  </conditionalFormatting>
  <conditionalFormatting sqref="G65">
    <cfRule type="cellIs" dxfId="1390" priority="157" stopIfTrue="1" operator="greaterThan">
      <formula>$F64</formula>
    </cfRule>
    <cfRule type="cellIs" dxfId="1389" priority="158" stopIfTrue="1" operator="lessThanOrEqual">
      <formula>0</formula>
    </cfRule>
  </conditionalFormatting>
  <conditionalFormatting sqref="G66">
    <cfRule type="cellIs" dxfId="1388" priority="111" stopIfTrue="1" operator="lessThanOrEqual">
      <formula>0</formula>
    </cfRule>
    <cfRule type="cellIs" dxfId="1387" priority="110" stopIfTrue="1" operator="greaterThan">
      <formula>$F66</formula>
    </cfRule>
  </conditionalFormatting>
  <conditionalFormatting sqref="G67:G72">
    <cfRule type="cellIs" dxfId="1386" priority="117" stopIfTrue="1" operator="greaterThan">
      <formula>$J67</formula>
    </cfRule>
    <cfRule type="cellIs" dxfId="1385" priority="118" stopIfTrue="1" operator="lessThanOrEqual">
      <formula>0</formula>
    </cfRule>
  </conditionalFormatting>
  <conditionalFormatting sqref="G77:G82 C80 C82">
    <cfRule type="cellIs" dxfId="1384" priority="151" stopIfTrue="1" operator="lessThanOrEqual">
      <formula>0</formula>
    </cfRule>
    <cfRule type="cellIs" dxfId="1383" priority="150" stopIfTrue="1" operator="greaterThan">
      <formula>4.5</formula>
    </cfRule>
  </conditionalFormatting>
  <conditionalFormatting sqref="G10:H20">
    <cfRule type="expression" dxfId="1382" priority="27">
      <formula>IF(+(IF(G10&lt;#REF!,0,IF(G10&gt;#REF!,0,1)))=0,1)</formula>
    </cfRule>
  </conditionalFormatting>
  <conditionalFormatting sqref="G76:H76">
    <cfRule type="cellIs" dxfId="1381" priority="131" stopIfTrue="1" operator="greaterThan">
      <formula>$F$75</formula>
    </cfRule>
    <cfRule type="cellIs" dxfId="1380" priority="132" stopIfTrue="1" operator="lessThanOrEqual">
      <formula>0</formula>
    </cfRule>
  </conditionalFormatting>
  <conditionalFormatting sqref="H24:H47 G35:G46">
    <cfRule type="cellIs" dxfId="1379" priority="129" stopIfTrue="1" operator="greaterThan">
      <formula>0</formula>
    </cfRule>
  </conditionalFormatting>
  <conditionalFormatting sqref="H52">
    <cfRule type="cellIs" dxfId="1378" priority="2" stopIfTrue="1" operator="lessThanOrEqual">
      <formula>0</formula>
    </cfRule>
    <cfRule type="cellIs" dxfId="1377" priority="3" stopIfTrue="1" operator="greaterThan">
      <formula>$F$63</formula>
    </cfRule>
    <cfRule type="cellIs" dxfId="1376" priority="13" stopIfTrue="1" operator="greaterThan">
      <formula>$F$64</formula>
    </cfRule>
    <cfRule type="cellIs" dxfId="1375" priority="12" stopIfTrue="1" operator="lessThanOrEqual">
      <formula>0</formula>
    </cfRule>
    <cfRule type="cellIs" dxfId="1374" priority="11" stopIfTrue="1" operator="greaterThan">
      <formula>$F$66</formula>
    </cfRule>
    <cfRule type="cellIs" dxfId="1373" priority="14" stopIfTrue="1" operator="lessThanOrEqual">
      <formula>0</formula>
    </cfRule>
  </conditionalFormatting>
  <conditionalFormatting sqref="H53:H56">
    <cfRule type="cellIs" dxfId="1372" priority="53" stopIfTrue="1" operator="lessThanOrEqual">
      <formula>0</formula>
    </cfRule>
    <cfRule type="cellIs" dxfId="1371" priority="42" stopIfTrue="1" operator="greaterThan">
      <formula>$F$62</formula>
    </cfRule>
    <cfRule type="cellIs" dxfId="1370" priority="41" stopIfTrue="1" operator="lessThanOrEqual">
      <formula>0</formula>
    </cfRule>
    <cfRule type="cellIs" dxfId="1369" priority="50" stopIfTrue="1" operator="greaterThan">
      <formula>$F$65</formula>
    </cfRule>
    <cfRule type="cellIs" dxfId="1368" priority="51" stopIfTrue="1" operator="lessThanOrEqual">
      <formula>0</formula>
    </cfRule>
    <cfRule type="cellIs" dxfId="1367" priority="52" stopIfTrue="1" operator="greaterThan">
      <formula>$F$63</formula>
    </cfRule>
  </conditionalFormatting>
  <conditionalFormatting sqref="H57">
    <cfRule type="cellIs" dxfId="1366" priority="72" stopIfTrue="1" operator="lessThanOrEqual">
      <formula>0</formula>
    </cfRule>
    <cfRule type="cellIs" dxfId="1365" priority="82" stopIfTrue="1" operator="lessThanOrEqual">
      <formula>0</formula>
    </cfRule>
    <cfRule type="cellIs" dxfId="1364" priority="81" stopIfTrue="1" operator="greaterThan">
      <formula>#REF!</formula>
    </cfRule>
    <cfRule type="cellIs" dxfId="1363" priority="73" stopIfTrue="1" operator="greaterThan">
      <formula>#REF!</formula>
    </cfRule>
  </conditionalFormatting>
  <conditionalFormatting sqref="H58">
    <cfRule type="cellIs" dxfId="1362" priority="55" stopIfTrue="1" operator="lessThanOrEqual">
      <formula>0</formula>
    </cfRule>
    <cfRule type="cellIs" dxfId="1361" priority="64" stopIfTrue="1" operator="greaterThan">
      <formula>$F$66</formula>
    </cfRule>
    <cfRule type="cellIs" dxfId="1360" priority="66" stopIfTrue="1" operator="greaterThan">
      <formula>$F$64</formula>
    </cfRule>
    <cfRule type="cellIs" dxfId="1359" priority="67" stopIfTrue="1" operator="lessThanOrEqual">
      <formula>0</formula>
    </cfRule>
    <cfRule type="cellIs" dxfId="1358" priority="65" stopIfTrue="1" operator="lessThanOrEqual">
      <formula>0</formula>
    </cfRule>
  </conditionalFormatting>
  <conditionalFormatting sqref="H59">
    <cfRule type="cellIs" dxfId="1357" priority="121" stopIfTrue="1" operator="lessThanOrEqual">
      <formula>0</formula>
    </cfRule>
    <cfRule type="cellIs" dxfId="1356" priority="122" stopIfTrue="1" operator="greaterThan">
      <formula>$F$57</formula>
    </cfRule>
    <cfRule type="cellIs" dxfId="1355" priority="120" stopIfTrue="1" operator="greaterThan">
      <formula>$F$60</formula>
    </cfRule>
    <cfRule type="cellIs" dxfId="1354" priority="123" stopIfTrue="1" operator="lessThanOrEqual">
      <formula>0</formula>
    </cfRule>
  </conditionalFormatting>
  <conditionalFormatting sqref="H63:H71">
    <cfRule type="cellIs" dxfId="1353" priority="100" stopIfTrue="1" operator="lessThanOrEqual">
      <formula>0</formula>
    </cfRule>
    <cfRule type="cellIs" dxfId="1352" priority="99" stopIfTrue="1" operator="greaterThan">
      <formula>$J63</formula>
    </cfRule>
  </conditionalFormatting>
  <conditionalFormatting sqref="H72">
    <cfRule type="cellIs" dxfId="1351" priority="103" operator="greaterThan">
      <formula>5.3</formula>
    </cfRule>
  </conditionalFormatting>
  <conditionalFormatting sqref="H75 H77:H83">
    <cfRule type="cellIs" dxfId="1350" priority="143" stopIfTrue="1" operator="greaterThan">
      <formula>4.5</formula>
    </cfRule>
    <cfRule type="cellIs" dxfId="1349" priority="144" stopIfTrue="1" operator="lessThanOrEqual">
      <formula>0</formula>
    </cfRule>
  </conditionalFormatting>
  <conditionalFormatting sqref="H52:I52">
    <cfRule type="cellIs" dxfId="1348" priority="4" stopIfTrue="1" operator="lessThanOrEqual">
      <formula>0</formula>
    </cfRule>
    <cfRule type="cellIs" dxfId="1347" priority="1" stopIfTrue="1" operator="greaterThan">
      <formula>$F$65</formula>
    </cfRule>
  </conditionalFormatting>
  <conditionalFormatting sqref="H53:I56">
    <cfRule type="cellIs" dxfId="1346" priority="43" stopIfTrue="1" operator="lessThanOrEqual">
      <formula>0</formula>
    </cfRule>
    <cfRule type="cellIs" dxfId="1345" priority="40" stopIfTrue="1" operator="greaterThan">
      <formula>$F$64</formula>
    </cfRule>
  </conditionalFormatting>
  <conditionalFormatting sqref="H57:I57">
    <cfRule type="cellIs" dxfId="1344" priority="71" stopIfTrue="1" operator="greaterThan">
      <formula>#REF!</formula>
    </cfRule>
    <cfRule type="cellIs" dxfId="1343" priority="77" stopIfTrue="1" operator="greaterThan">
      <formula>#REF!</formula>
    </cfRule>
    <cfRule type="cellIs" dxfId="1342" priority="74" stopIfTrue="1" operator="lessThanOrEqual">
      <formula>0</formula>
    </cfRule>
  </conditionalFormatting>
  <conditionalFormatting sqref="H57:I58">
    <cfRule type="cellIs" dxfId="1341" priority="80" stopIfTrue="1" operator="lessThanOrEqual">
      <formula>0</formula>
    </cfRule>
  </conditionalFormatting>
  <conditionalFormatting sqref="H58:I58">
    <cfRule type="cellIs" dxfId="1340" priority="54" stopIfTrue="1" operator="greaterThan">
      <formula>$F$65</formula>
    </cfRule>
    <cfRule type="cellIs" dxfId="1339" priority="56" stopIfTrue="1" operator="greaterThan">
      <formula>$F$63</formula>
    </cfRule>
  </conditionalFormatting>
  <conditionalFormatting sqref="I52">
    <cfRule type="cellIs" dxfId="1338" priority="5" stopIfTrue="1" operator="greaterThan">
      <formula>$F$63</formula>
    </cfRule>
    <cfRule type="cellIs" dxfId="1337" priority="6" stopIfTrue="1" operator="lessThanOrEqual">
      <formula>0</formula>
    </cfRule>
    <cfRule type="cellIs" dxfId="1336" priority="7" stopIfTrue="1" operator="greaterThan">
      <formula>$F$65</formula>
    </cfRule>
    <cfRule type="cellIs" dxfId="1335" priority="8" stopIfTrue="1" operator="lessThanOrEqual">
      <formula>0</formula>
    </cfRule>
    <cfRule type="cellIs" dxfId="1334" priority="9" stopIfTrue="1" operator="greaterThan">
      <formula>$F$63</formula>
    </cfRule>
    <cfRule type="cellIs" dxfId="1333" priority="10" stopIfTrue="1" operator="lessThanOrEqual">
      <formula>0</formula>
    </cfRule>
  </conditionalFormatting>
  <conditionalFormatting sqref="I53:I56">
    <cfRule type="cellIs" dxfId="1332" priority="48" stopIfTrue="1" operator="greaterThan">
      <formula>$F$62</formula>
    </cfRule>
    <cfRule type="cellIs" dxfId="1331" priority="44" stopIfTrue="1" operator="greaterThan">
      <formula>$F$62</formula>
    </cfRule>
    <cfRule type="cellIs" dxfId="1330" priority="45" stopIfTrue="1" operator="lessThanOrEqual">
      <formula>0</formula>
    </cfRule>
    <cfRule type="cellIs" dxfId="1329" priority="46" stopIfTrue="1" operator="greaterThan">
      <formula>$F$64</formula>
    </cfRule>
    <cfRule type="cellIs" dxfId="1328" priority="47" stopIfTrue="1" operator="lessThanOrEqual">
      <formula>0</formula>
    </cfRule>
    <cfRule type="cellIs" dxfId="1327" priority="49" stopIfTrue="1" operator="lessThanOrEqual">
      <formula>0</formula>
    </cfRule>
  </conditionalFormatting>
  <conditionalFormatting sqref="I57">
    <cfRule type="cellIs" dxfId="1326" priority="79" stopIfTrue="1" operator="greaterThan">
      <formula>#REF!</formula>
    </cfRule>
    <cfRule type="cellIs" dxfId="1325" priority="78" stopIfTrue="1" operator="lessThanOrEqual">
      <formula>0</formula>
    </cfRule>
    <cfRule type="cellIs" dxfId="1324" priority="76" stopIfTrue="1" operator="lessThanOrEqual">
      <formula>0</formula>
    </cfRule>
    <cfRule type="cellIs" dxfId="1323" priority="75" stopIfTrue="1" operator="greaterThan">
      <formula>#REF!</formula>
    </cfRule>
  </conditionalFormatting>
  <conditionalFormatting sqref="I58">
    <cfRule type="cellIs" dxfId="1322" priority="63" stopIfTrue="1" operator="lessThanOrEqual">
      <formula>0</formula>
    </cfRule>
    <cfRule type="cellIs" dxfId="1321" priority="59" stopIfTrue="1" operator="lessThanOrEqual">
      <formula>0</formula>
    </cfRule>
    <cfRule type="cellIs" dxfId="1320" priority="60" stopIfTrue="1" operator="greaterThan">
      <formula>$F$65</formula>
    </cfRule>
    <cfRule type="cellIs" dxfId="1319" priority="61" stopIfTrue="1" operator="lessThanOrEqual">
      <formula>0</formula>
    </cfRule>
    <cfRule type="cellIs" dxfId="1318" priority="62" stopIfTrue="1" operator="greaterThan">
      <formula>$F$63</formula>
    </cfRule>
  </conditionalFormatting>
  <conditionalFormatting sqref="I63:I72">
    <cfRule type="cellIs" dxfId="1317" priority="105" stopIfTrue="1" operator="lessThanOrEqual">
      <formula>0</formula>
    </cfRule>
    <cfRule type="cellIs" dxfId="1316" priority="104" stopIfTrue="1" operator="greaterThan">
      <formula>$J63</formula>
    </cfRule>
  </conditionalFormatting>
  <conditionalFormatting sqref="I75:I83">
    <cfRule type="cellIs" dxfId="1315" priority="139" stopIfTrue="1" operator="greaterThan">
      <formula>4.5</formula>
    </cfRule>
    <cfRule type="cellIs" dxfId="1314" priority="140" stopIfTrue="1" operator="lessThanOrEqual">
      <formula>0</formula>
    </cfRule>
  </conditionalFormatting>
  <conditionalFormatting sqref="I10:J20">
    <cfRule type="cellIs" dxfId="1313" priority="37" operator="lessThan">
      <formula>97.9</formula>
    </cfRule>
  </conditionalFormatting>
  <conditionalFormatting sqref="J23">
    <cfRule type="cellIs" dxfId="1312" priority="39" operator="lessThan">
      <formula>97.9</formula>
    </cfRule>
  </conditionalFormatting>
  <conditionalFormatting sqref="J24:J25">
    <cfRule type="cellIs" dxfId="1311" priority="93" stopIfTrue="1" operator="greaterThan">
      <formula>100</formula>
    </cfRule>
    <cfRule type="cellIs" dxfId="1310" priority="92" stopIfTrue="1" operator="lessThan">
      <formula>96.8</formula>
    </cfRule>
    <cfRule type="cellIs" dxfId="1309" priority="94" operator="lessThan">
      <formula>98</formula>
    </cfRule>
  </conditionalFormatting>
  <conditionalFormatting sqref="J24:J27">
    <cfRule type="cellIs" dxfId="1308" priority="85" operator="lessThan">
      <formula>97.4</formula>
    </cfRule>
  </conditionalFormatting>
  <conditionalFormatting sqref="J28">
    <cfRule type="cellIs" dxfId="1307" priority="95" operator="lessThan">
      <formula>98</formula>
    </cfRule>
  </conditionalFormatting>
  <conditionalFormatting sqref="J29:J31">
    <cfRule type="cellIs" dxfId="1306" priority="96" stopIfTrue="1" operator="lessThan">
      <formula>96.8</formula>
    </cfRule>
    <cfRule type="cellIs" dxfId="1305" priority="97" stopIfTrue="1" operator="greaterThan">
      <formula>100</formula>
    </cfRule>
  </conditionalFormatting>
  <conditionalFormatting sqref="J29:J32">
    <cfRule type="cellIs" dxfId="1304" priority="98" operator="lessThan">
      <formula>98</formula>
    </cfRule>
  </conditionalFormatting>
  <conditionalFormatting sqref="K10:K20">
    <cfRule type="cellIs" dxfId="1303" priority="35" operator="greaterThan">
      <formula>6.4</formula>
    </cfRule>
    <cfRule type="cellIs" dxfId="1302" priority="30" operator="greaterThan">
      <formula>6</formula>
    </cfRule>
    <cfRule type="cellIs" dxfId="1301" priority="31" operator="lessThan">
      <formula>4</formula>
    </cfRule>
  </conditionalFormatting>
  <conditionalFormatting sqref="K37:K46">
    <cfRule type="cellIs" dxfId="1300" priority="112" operator="notEqual">
      <formula>#REF!</formula>
    </cfRule>
  </conditionalFormatting>
  <conditionalFormatting sqref="K52:K59">
    <cfRule type="cellIs" dxfId="1299" priority="15" stopIfTrue="1" operator="lessThan">
      <formula>100%</formula>
    </cfRule>
  </conditionalFormatting>
  <conditionalFormatting sqref="K75:K80">
    <cfRule type="cellIs" dxfId="1298" priority="145" stopIfTrue="1" operator="lessThan">
      <formula>100%</formula>
    </cfRule>
  </conditionalFormatting>
  <conditionalFormatting sqref="K82:K83">
    <cfRule type="cellIs" dxfId="1297" priority="152" stopIfTrue="1" operator="lessThan">
      <formula>100%</formula>
    </cfRule>
  </conditionalFormatting>
  <conditionalFormatting sqref="K63:N72">
    <cfRule type="cellIs" dxfId="1296" priority="119" stopIfTrue="1" operator="lessThan">
      <formula>100%</formula>
    </cfRule>
  </conditionalFormatting>
  <conditionalFormatting sqref="L10:L20">
    <cfRule type="cellIs" dxfId="1295" priority="33" operator="greaterThan">
      <formula>65</formula>
    </cfRule>
    <cfRule type="cellIs" dxfId="1294" priority="32" operator="between">
      <formula>61</formula>
      <formula>65</formula>
    </cfRule>
  </conditionalFormatting>
  <conditionalFormatting sqref="L23:M34">
    <cfRule type="cellIs" dxfId="1293" priority="68" operator="lessThan">
      <formula>98</formula>
    </cfRule>
  </conditionalFormatting>
  <conditionalFormatting sqref="L38:N38">
    <cfRule type="cellIs" dxfId="1292" priority="88" operator="notEqual">
      <formula>#REF!</formula>
    </cfRule>
  </conditionalFormatting>
  <conditionalFormatting sqref="L75:N83">
    <cfRule type="cellIs" dxfId="1291" priority="130" stopIfTrue="1" operator="lessThan">
      <formula>100%</formula>
    </cfRule>
  </conditionalFormatting>
  <conditionalFormatting sqref="M10:M20">
    <cfRule type="expression" dxfId="1290" priority="28">
      <formula>IF(+(IF(M10&lt;V10,0,IF(M10&gt;W10,0,1)))=0,1)</formula>
    </cfRule>
  </conditionalFormatting>
  <conditionalFormatting sqref="M6:N6">
    <cfRule type="cellIs" dxfId="1289" priority="89" operator="greaterThanOrEqual">
      <formula>15</formula>
    </cfRule>
    <cfRule type="cellIs" dxfId="1288" priority="90" operator="greaterThanOrEqual">
      <formula>19</formula>
    </cfRule>
  </conditionalFormatting>
  <conditionalFormatting sqref="N10:N20">
    <cfRule type="expression" dxfId="1287" priority="29">
      <formula>IF(+(IF(N10&lt;X10,0,IF(N10&gt;Y10,0,1)))=0,1)</formula>
    </cfRule>
  </conditionalFormatting>
  <conditionalFormatting sqref="P6">
    <cfRule type="cellIs" dxfId="1286" priority="126" operator="greaterThanOrEqual">
      <formula>19</formula>
    </cfRule>
  </conditionalFormatting>
  <dataValidations disablePrompts="1" count="1">
    <dataValidation type="list" allowBlank="1" showInputMessage="1" showErrorMessage="1" sqref="S8" xr:uid="{B986B3AB-79D7-4679-A882-3C182DF3087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B41B-F4C6-4622-9236-9AC009B1E120}">
  <sheetPr>
    <pageSetUpPr fitToPage="1"/>
  </sheetPr>
  <dimension ref="A1:BF87"/>
  <sheetViews>
    <sheetView topLeftCell="A35" zoomScale="83" zoomScaleNormal="70" workbookViewId="0">
      <selection activeCell="H54" sqref="H54:I54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45709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182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3" t="s">
        <v>9</v>
      </c>
      <c r="C10" s="366" t="str">
        <f>[24]Brewhouse!$A87</f>
        <v>ST072</v>
      </c>
      <c r="D10" s="279">
        <f>[24]Brewhouse!$AD87</f>
        <v>53.2</v>
      </c>
      <c r="E10" s="279">
        <f>[24]Brewhouse!$AG87</f>
        <v>49.8</v>
      </c>
      <c r="F10" s="278">
        <f>[24]Brewhouse!$V87</f>
        <v>62</v>
      </c>
      <c r="G10" s="279">
        <f>[24]Brewhouse!$AE87</f>
        <v>11.9</v>
      </c>
      <c r="H10" s="396">
        <v>11.8</v>
      </c>
      <c r="I10" s="417">
        <f>[24]Brewhouse!$AS87</f>
        <v>95.907156934495333</v>
      </c>
      <c r="J10" s="417">
        <f>[24]Brewhouse!$AT87</f>
        <v>99.247816135052688</v>
      </c>
      <c r="K10" s="398">
        <f>[24]Brewhouse!$Q87</f>
        <v>4.7706422018348649</v>
      </c>
      <c r="L10" s="276">
        <f>[24]Brewhouse!$P87</f>
        <v>60</v>
      </c>
      <c r="M10" s="374">
        <f>[24]Brewhouse!$U87-[24]Brewhouse!$T87</f>
        <v>0.11180555555555571</v>
      </c>
      <c r="N10" s="370">
        <f>[24]Brewhouse!$AW87</f>
        <v>0.26041666666666674</v>
      </c>
      <c r="O10" s="418" t="str">
        <f>[24]Brewhouse!$AV87</f>
        <v xml:space="preserve">R.Regis </v>
      </c>
      <c r="P10" s="369"/>
      <c r="Q10" s="347"/>
      <c r="S10" s="277" t="str">
        <f t="shared" ref="S10:S21" si="0">B10</f>
        <v>STAG</v>
      </c>
      <c r="T10" s="296">
        <f t="shared" ref="T10:T21" si="1">VLOOKUP($B10,$S$3:$Y$9,2,FALSE)</f>
        <v>11.6</v>
      </c>
      <c r="U10" s="296">
        <f t="shared" ref="U10:U21" si="2">VLOOKUP($B10,$S$3:$Y$9,3,FALSE)</f>
        <v>12</v>
      </c>
      <c r="V10" s="297">
        <f t="shared" ref="V10:V21" si="3">VLOOKUP($B10,$S$3:$Y$9,4,FALSE)</f>
        <v>0</v>
      </c>
      <c r="W10" s="297">
        <f t="shared" ref="W10:W21" si="4">VLOOKUP($B10,$S$3:$Y$9,5,FALSE)</f>
        <v>0.118055555555556</v>
      </c>
      <c r="X10" s="297">
        <f t="shared" ref="X10:X21" si="5">VLOOKUP($B10,$S$3:$Y$9,6,FALSE)</f>
        <v>0.22569444444444445</v>
      </c>
      <c r="Y10" s="297">
        <f t="shared" ref="Y10:Y21" si="6">VLOOKUP($B10,$S$3:$Y$9,7,FALSE)</f>
        <v>0.2638888888888889</v>
      </c>
      <c r="Z10" s="297">
        <f t="shared" ref="Z10:Z21" si="7">VLOOKUP($B10,$S$3:$AA$9,8,FALSE)</f>
        <v>0</v>
      </c>
      <c r="AA10" s="296">
        <f t="shared" ref="AA10:AA21" si="8">VLOOKUP($B10,$S$3:$AA$9,9,FALSE)</f>
        <v>60</v>
      </c>
    </row>
    <row r="11" spans="2:30" ht="15.75" customHeight="1">
      <c r="B11" s="33" t="s">
        <v>9</v>
      </c>
      <c r="C11" s="366" t="str">
        <f>[24]Brewhouse!$A88</f>
        <v>ST073</v>
      </c>
      <c r="D11" s="279">
        <f>[24]Brewhouse!$AD88</f>
        <v>53.3</v>
      </c>
      <c r="E11" s="279">
        <f>[24]Brewhouse!$AG88</f>
        <v>49.1</v>
      </c>
      <c r="F11" s="278">
        <f>[24]Brewhouse!$V88</f>
        <v>62</v>
      </c>
      <c r="G11" s="279">
        <f>[24]Brewhouse!$AE88</f>
        <v>11.96</v>
      </c>
      <c r="H11" s="396">
        <v>11.7</v>
      </c>
      <c r="I11" s="417">
        <f>[24]Brewhouse!$AS88</f>
        <v>95.275297184535674</v>
      </c>
      <c r="J11" s="417">
        <f>[24]Brewhouse!$AT88</f>
        <v>98.595014330982991</v>
      </c>
      <c r="K11" s="398">
        <f>[24]Brewhouse!$Q88</f>
        <v>4.5537340619307836</v>
      </c>
      <c r="L11" s="276">
        <f>[24]Brewhouse!$P88</f>
        <v>60</v>
      </c>
      <c r="M11" s="374">
        <f>[24]Brewhouse!$U88-[24]Brewhouse!$T88</f>
        <v>0.10972222222222222</v>
      </c>
      <c r="N11" s="370">
        <f>[24]Brewhouse!$AW88</f>
        <v>0.25694444444444448</v>
      </c>
      <c r="O11" s="418" t="str">
        <f>[24]Brewhouse!$AV88</f>
        <v xml:space="preserve">R.Regis </v>
      </c>
      <c r="P11" s="369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33" t="s">
        <v>9</v>
      </c>
      <c r="C12" s="366" t="str">
        <f>[24]Brewhouse!$A89</f>
        <v>ST074</v>
      </c>
      <c r="D12" s="279">
        <f>[24]Brewhouse!$AD89</f>
        <v>53.7</v>
      </c>
      <c r="E12" s="279">
        <f>[24]Brewhouse!$AG89</f>
        <v>49.8</v>
      </c>
      <c r="F12" s="278">
        <f>[24]Brewhouse!$V89</f>
        <v>63</v>
      </c>
      <c r="G12" s="279">
        <f>[24]Brewhouse!$AE89</f>
        <v>11.8</v>
      </c>
      <c r="H12" s="396">
        <v>11.81</v>
      </c>
      <c r="I12" s="417">
        <f>[24]Brewhouse!$AS89</f>
        <v>95.059784463588144</v>
      </c>
      <c r="J12" s="417">
        <f>[24]Brewhouse!$AT89</f>
        <v>98.370927799722907</v>
      </c>
      <c r="K12" s="398">
        <f>[24]Brewhouse!$Q89</f>
        <v>4.5537340619307836</v>
      </c>
      <c r="L12" s="276">
        <f>[24]Brewhouse!$P89</f>
        <v>59</v>
      </c>
      <c r="M12" s="374">
        <f>[24]Brewhouse!$U89-[24]Brewhouse!$T89</f>
        <v>0.11111111111111116</v>
      </c>
      <c r="N12" s="370">
        <f>[24]Brewhouse!$AW89</f>
        <v>0.26666666666666672</v>
      </c>
      <c r="O12" s="418" t="str">
        <f>[24]Brewhouse!$AV89</f>
        <v>R.Sookram</v>
      </c>
      <c r="P12" s="369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33" t="s">
        <v>9</v>
      </c>
      <c r="C13" s="366" t="str">
        <f>[24]Brewhouse!$A90</f>
        <v>ST075</v>
      </c>
      <c r="D13" s="279">
        <f>[24]Brewhouse!$AD90</f>
        <v>53.1</v>
      </c>
      <c r="E13" s="279">
        <f>[24]Brewhouse!$AG90</f>
        <v>50.1</v>
      </c>
      <c r="F13" s="278">
        <f>[24]Brewhouse!$V90</f>
        <v>59</v>
      </c>
      <c r="G13" s="279">
        <f>[24]Brewhouse!$AE90</f>
        <v>11.9</v>
      </c>
      <c r="H13" s="396">
        <v>11.8</v>
      </c>
      <c r="I13" s="417">
        <f>[24]Brewhouse!$AS90</f>
        <v>96.727001848613199</v>
      </c>
      <c r="J13" s="417">
        <f>[24]Brewhouse!$AT90</f>
        <v>100.09404342031765</v>
      </c>
      <c r="K13" s="398">
        <f>[24]Brewhouse!$Q90</f>
        <v>4.7445255474452459</v>
      </c>
      <c r="L13" s="276">
        <f>[24]Brewhouse!$P90</f>
        <v>56</v>
      </c>
      <c r="M13" s="374">
        <f>[24]Brewhouse!$U90-[24]Brewhouse!$T90</f>
        <v>0.10486111111111118</v>
      </c>
      <c r="N13" s="370">
        <f>[24]Brewhouse!$AW90</f>
        <v>0.29027777777777786</v>
      </c>
      <c r="O13" s="418" t="str">
        <f>[24]Brewhouse!$AV90</f>
        <v>R.Sookram</v>
      </c>
      <c r="P13" s="369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/>
      <c r="C14" s="366"/>
      <c r="D14" s="279"/>
      <c r="E14" s="279"/>
      <c r="F14" s="278"/>
      <c r="G14" s="279"/>
      <c r="H14" s="396"/>
      <c r="I14" s="417"/>
      <c r="J14" s="417"/>
      <c r="K14" s="398"/>
      <c r="L14" s="276"/>
      <c r="M14" s="374"/>
      <c r="N14" s="370"/>
      <c r="O14" s="418"/>
      <c r="P14" s="369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29" t="s">
        <v>6</v>
      </c>
      <c r="C15" s="366" t="str">
        <f>[22]Brewhouse!$A217</f>
        <v>CA115</v>
      </c>
      <c r="D15" s="279">
        <f>[22]Brewhouse!$AF217</f>
        <v>53.6</v>
      </c>
      <c r="E15" s="279">
        <f>[22]Brewhouse!$AI217</f>
        <v>49.6</v>
      </c>
      <c r="F15" s="278">
        <f>[22]Brewhouse!$V217</f>
        <v>98</v>
      </c>
      <c r="G15" s="279">
        <f>[22]Brewhouse!$AG217</f>
        <v>11.8</v>
      </c>
      <c r="H15" s="396">
        <v>11.8</v>
      </c>
      <c r="I15" s="368">
        <f>[22]Brewhouse!$AU217</f>
        <v>96.039629364456829</v>
      </c>
      <c r="J15" s="368">
        <f>[22]Brewhouse!$AV217</f>
        <v>100.07037154454225</v>
      </c>
      <c r="K15" s="281">
        <f>[22]Brewhouse!$Q217</f>
        <v>6.7372134038800713</v>
      </c>
      <c r="L15" s="276">
        <f>[22]Brewhouse!$P217</f>
        <v>59</v>
      </c>
      <c r="M15" s="397">
        <f>[22]Brewhouse!$U217-[22]Brewhouse!$T217</f>
        <v>0.15208333333333335</v>
      </c>
      <c r="N15" s="370">
        <f>[22]Brewhouse!$Z217</f>
        <v>0.2944444444444444</v>
      </c>
      <c r="O15" s="371" t="str">
        <f>[22]Brewhouse!$AX217</f>
        <v>K.Benjamin</v>
      </c>
      <c r="P15" s="369" t="s">
        <v>183</v>
      </c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[22]Brewhouse!$A218</f>
        <v>CA116</v>
      </c>
      <c r="D16" s="279">
        <f>[22]Brewhouse!$AF218</f>
        <v>54.1</v>
      </c>
      <c r="E16" s="279">
        <f>[22]Brewhouse!$AI218</f>
        <v>50.5</v>
      </c>
      <c r="F16" s="278">
        <f>[22]Brewhouse!$V218</f>
        <v>60</v>
      </c>
      <c r="G16" s="279">
        <f>[22]Brewhouse!$AG218</f>
        <v>11.8</v>
      </c>
      <c r="H16" s="367"/>
      <c r="I16" s="368">
        <f>[22]Brewhouse!$AU218</f>
        <v>98.156085088814663</v>
      </c>
      <c r="J16" s="368">
        <f>[22]Brewhouse!$AV218</f>
        <v>102.27494185442166</v>
      </c>
      <c r="K16" s="281">
        <f>[22]Brewhouse!$Q218</f>
        <v>5.8553791887125222</v>
      </c>
      <c r="L16" s="276">
        <f>[22]Brewhouse!$P218</f>
        <v>60</v>
      </c>
      <c r="M16" s="397">
        <f>[22]Brewhouse!$U218-[22]Brewhouse!$T218</f>
        <v>0.10486111111111118</v>
      </c>
      <c r="N16" s="370">
        <f>[22]Brewhouse!$Z218</f>
        <v>0.27152777777777781</v>
      </c>
      <c r="O16" s="371" t="str">
        <f>[22]Brewhouse!$AX218</f>
        <v>K.Benjamin</v>
      </c>
      <c r="P16" s="369" t="s">
        <v>184</v>
      </c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[22]Brewhouse!$A219</f>
        <v>CA117</v>
      </c>
      <c r="D17" s="279">
        <f>[22]Brewhouse!$AF219</f>
        <v>55</v>
      </c>
      <c r="E17" s="279">
        <f>[22]Brewhouse!$AI219</f>
        <v>51.5</v>
      </c>
      <c r="F17" s="278">
        <f>[22]Brewhouse!$V219</f>
        <v>59</v>
      </c>
      <c r="G17" s="279">
        <f>[22]Brewhouse!$AG219</f>
        <v>11.8</v>
      </c>
      <c r="H17" s="396">
        <v>11.7</v>
      </c>
      <c r="I17" s="368">
        <f>[22]Brewhouse!$AU219</f>
        <v>100.09976994205851</v>
      </c>
      <c r="J17" s="368">
        <f>[22]Brewhouse!$AV219</f>
        <v>104.30018822777653</v>
      </c>
      <c r="K17" s="281">
        <f>[22]Brewhouse!$Q219</f>
        <v>4.9823321554770326</v>
      </c>
      <c r="L17" s="276">
        <f>[22]Brewhouse!$P219</f>
        <v>60</v>
      </c>
      <c r="M17" s="397">
        <f>[22]Brewhouse!$U219-[22]Brewhouse!$T219</f>
        <v>0.11458333333333337</v>
      </c>
      <c r="N17" s="370">
        <f>[22]Brewhouse!$Z219</f>
        <v>0.27777777777777779</v>
      </c>
      <c r="O17" s="371" t="str">
        <f>[22]Brewhouse!$AX219</f>
        <v>K.Benjamin</v>
      </c>
      <c r="P17" s="369" t="s">
        <v>184</v>
      </c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 t="s">
        <v>6</v>
      </c>
      <c r="C18" s="366" t="str">
        <f>[22]Brewhouse!$A220</f>
        <v>CA118</v>
      </c>
      <c r="D18" s="279">
        <f>[22]Brewhouse!$AF220</f>
        <v>54.8</v>
      </c>
      <c r="E18" s="279">
        <f>[22]Brewhouse!$AI220</f>
        <v>51.4</v>
      </c>
      <c r="F18" s="278">
        <f>[22]Brewhouse!$V220</f>
        <v>59</v>
      </c>
      <c r="G18" s="279">
        <f>[22]Brewhouse!$AG220</f>
        <v>11.8</v>
      </c>
      <c r="H18" s="396">
        <v>11.9</v>
      </c>
      <c r="I18" s="368">
        <f>[22]Brewhouse!$AU220</f>
        <v>96.463639062115632</v>
      </c>
      <c r="J18" s="368">
        <f>[22]Brewhouse!$AV220</f>
        <v>100.51780848673842</v>
      </c>
      <c r="K18" s="281">
        <f>[22]Brewhouse!$Q220</f>
        <v>5.3356890459364008</v>
      </c>
      <c r="L18" s="276">
        <f>[22]Brewhouse!$P220</f>
        <v>60</v>
      </c>
      <c r="M18" s="397">
        <f>[22]Brewhouse!$U220-[22]Brewhouse!$T220</f>
        <v>0.10763888888888884</v>
      </c>
      <c r="N18" s="370">
        <f>[22]Brewhouse!$Z220</f>
        <v>0.24791666666666656</v>
      </c>
      <c r="O18" s="371" t="str">
        <f>[22]Brewhouse!$AX220</f>
        <v>R.Regis</v>
      </c>
      <c r="P18" s="369"/>
      <c r="Q18" s="347"/>
      <c r="S18" s="277" t="str">
        <f t="shared" ref="S18:S20" si="9">B18</f>
        <v>CARIB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17"/>
      <c r="J20" s="417"/>
      <c r="K20" s="398"/>
      <c r="L20" s="276"/>
      <c r="M20" s="374"/>
      <c r="N20" s="370"/>
      <c r="O20" s="418"/>
      <c r="P20" s="369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33"/>
      <c r="C21" s="366"/>
      <c r="D21" s="279"/>
      <c r="E21" s="279"/>
      <c r="F21" s="278"/>
      <c r="G21" s="279"/>
      <c r="H21" s="396"/>
      <c r="I21" s="417"/>
      <c r="J21" s="417"/>
      <c r="K21" s="398"/>
      <c r="L21" s="276"/>
      <c r="M21" s="374"/>
      <c r="N21" s="370"/>
      <c r="O21" s="418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.75" customHeight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ref="S22" si="10">B22</f>
        <v>0</v>
      </c>
      <c r="T22" s="296" t="e">
        <f t="shared" ref="T22" si="11">VLOOKUP($B22,$S$3:$Y$9,2,FALSE)</f>
        <v>#N/A</v>
      </c>
      <c r="U22" s="296" t="e">
        <f t="shared" ref="U22" si="12">VLOOKUP($B22,$S$3:$Y$9,3,FALSE)</f>
        <v>#N/A</v>
      </c>
      <c r="V22" s="297" t="e">
        <f t="shared" ref="V22" si="13">VLOOKUP($B22,$S$3:$Y$9,4,FALSE)</f>
        <v>#N/A</v>
      </c>
      <c r="W22" s="297" t="e">
        <f t="shared" ref="W22" si="14">VLOOKUP($B22,$S$3:$Y$9,5,FALSE)</f>
        <v>#N/A</v>
      </c>
      <c r="X22" s="297" t="e">
        <f t="shared" ref="X22" si="15">VLOOKUP($B22,$S$3:$Y$9,6,FALSE)</f>
        <v>#N/A</v>
      </c>
      <c r="Y22" s="297" t="e">
        <f t="shared" ref="Y22" si="16">VLOOKUP($B22,$S$3:$Y$9,7,FALSE)</f>
        <v>#N/A</v>
      </c>
      <c r="Z22" s="297" t="e">
        <f t="shared" ref="Z22" si="17">VLOOKUP($B22,$S$3:$AA$9,8,FALSE)</f>
        <v>#N/A</v>
      </c>
      <c r="AA22" s="296" t="e">
        <f t="shared" ref="AA22" si="18">VLOOKUP($B22,$S$3:$AA$9,9,FALSE)</f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thickBot="1">
      <c r="B24" s="388" t="s">
        <v>145</v>
      </c>
      <c r="C24" s="388"/>
      <c r="D24" s="478" t="s">
        <v>35</v>
      </c>
      <c r="E24" s="479"/>
      <c r="F24" s="294"/>
      <c r="G24" s="294"/>
      <c r="H24" s="23"/>
      <c r="I24" s="24" t="s">
        <v>17</v>
      </c>
      <c r="J24" s="25" t="s">
        <v>146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66" t="s">
        <v>6</v>
      </c>
      <c r="C25" s="450" cm="1">
        <f t="array" ref="C25:C30">[22]Process!$D$173:$D$178</f>
        <v>11.6</v>
      </c>
      <c r="D25" s="555">
        <v>11.85</v>
      </c>
      <c r="E25" s="556"/>
      <c r="F25" s="294"/>
      <c r="G25" s="294"/>
      <c r="H25" s="294"/>
      <c r="I25" s="29" t="s">
        <v>6</v>
      </c>
      <c r="J25" s="368">
        <f>AVERAGE(I15:I18)</f>
        <v>97.68978086436141</v>
      </c>
      <c r="K25" s="284">
        <f>COUNTA([22]Brewhouse!$A$173:$A$221)</f>
        <v>49</v>
      </c>
      <c r="L25" s="302">
        <f>AVERAGE([22]Brewhouse!$AU$173:$AU$221)</f>
        <v>95.699757681340444</v>
      </c>
      <c r="M25" s="302">
        <f>AVERAGE([22]Brewhouse!$AU$102:$AU$171,[22]Brewhouse!$AU$173:$AU$221)</f>
        <v>95.038749665247323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67"/>
      <c r="C26" s="349">
        <v>11.9</v>
      </c>
      <c r="D26" s="519"/>
      <c r="E26" s="507"/>
      <c r="F26" s="294"/>
      <c r="G26" s="294"/>
      <c r="H26" s="32"/>
      <c r="I26" s="33" t="s">
        <v>9</v>
      </c>
      <c r="J26" s="323">
        <f>AVERAGE(I10:I13)</f>
        <v>95.742310107808095</v>
      </c>
      <c r="K26" s="284">
        <f>COUNTA([24]Brewhouse!$A$66:$A$90)</f>
        <v>25</v>
      </c>
      <c r="L26" s="302">
        <f>AVERAGE([24]Brewhouse!$AS$66:$AS$90)</f>
        <v>95.697328944126696</v>
      </c>
      <c r="M26" s="302">
        <f>AVERAGE([24]Brewhouse!$AS$15:$AS$64,[24]Brewhouse!$AS$66:$AS$90)</f>
        <v>95.950664395120555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67"/>
      <c r="C27" s="349">
        <v>11.6</v>
      </c>
      <c r="D27" s="555">
        <v>11.78</v>
      </c>
      <c r="E27" s="556"/>
      <c r="F27" s="294"/>
      <c r="G27" s="294"/>
      <c r="H27" s="32"/>
      <c r="I27" s="34" t="s">
        <v>12</v>
      </c>
      <c r="J27" s="280"/>
      <c r="K27" s="284">
        <f>COUNTA([23]Brewhouse!$A$9:$A$22)</f>
        <v>14</v>
      </c>
      <c r="L27" s="302">
        <f>AVERAGE([23]Brewhouse!$AU$9:$AU$22)</f>
        <v>95.97048596821466</v>
      </c>
      <c r="M27" s="302">
        <f>AVERAGE([23]Brewhouse!$AU$4:$AU$7,[23]Brewhouse!$AU$9:$AU$22)</f>
        <v>96.221919722068549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67"/>
      <c r="C28" s="349">
        <v>12.1</v>
      </c>
      <c r="D28" s="519"/>
      <c r="E28" s="507"/>
      <c r="F28" s="294"/>
      <c r="G28" s="294"/>
      <c r="H28" s="32"/>
      <c r="I28" s="22" t="s">
        <v>33</v>
      </c>
      <c r="J28" s="280"/>
      <c r="K28" s="284">
        <f>COUNTA([25]Brewhouse!$A$16:$A$19)</f>
        <v>4</v>
      </c>
      <c r="L28" s="302">
        <f>AVERAGE([25]Brewhouse!$AV$16:$AV$19)</f>
        <v>99.193666402492596</v>
      </c>
      <c r="M28" s="302">
        <f>AVERAGE([25]Brewhouse!$AV$5:$AV$14,[25]Brewhouse!$AV$16:$AV$19)</f>
        <v>98.139385615971563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67"/>
      <c r="C29" s="349">
        <v>11.9</v>
      </c>
      <c r="D29" s="555">
        <v>11.65</v>
      </c>
      <c r="E29" s="556"/>
      <c r="F29" s="294"/>
      <c r="G29" s="294"/>
      <c r="H29" s="32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67"/>
      <c r="C30" s="349">
        <v>11.8</v>
      </c>
      <c r="D30" s="519"/>
      <c r="E30" s="507"/>
      <c r="F30" s="294"/>
      <c r="G30" s="294"/>
      <c r="H30" s="32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67"/>
      <c r="C31" s="349" cm="1">
        <f t="array" ref="C31:C32">[22]Process!$D$181:$D$182</f>
        <v>11.8</v>
      </c>
      <c r="D31" s="555">
        <v>11.85</v>
      </c>
      <c r="E31" s="556"/>
      <c r="F31" s="294"/>
      <c r="G31" s="294"/>
      <c r="H31" s="32"/>
      <c r="I31" s="37" t="s">
        <v>16</v>
      </c>
      <c r="J31" s="323"/>
      <c r="K31" s="284">
        <f>COUNTA([27]Brewhouse!$A$15:$A$20)</f>
        <v>6</v>
      </c>
      <c r="L31" s="302">
        <f>AVERAGE([27]Brewhouse!$AY$15:$AY$20)</f>
        <v>95.874175970347281</v>
      </c>
      <c r="M31" s="302">
        <f>AVERAGE([27]Brewhouse!$AY$6:$AY$13,[27]Brewhouse!$AY$15:$AY$20)</f>
        <v>94.285964321968933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67"/>
      <c r="C32" s="349">
        <v>11.9</v>
      </c>
      <c r="D32" s="519"/>
      <c r="E32" s="507"/>
      <c r="F32" s="294"/>
      <c r="G32" s="294"/>
      <c r="H32" s="32"/>
      <c r="I32" s="416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67"/>
      <c r="C33" s="349"/>
      <c r="D33" s="555"/>
      <c r="E33" s="556"/>
      <c r="F33" s="294"/>
      <c r="G33" s="294"/>
      <c r="H33" s="32"/>
      <c r="I33" s="415" t="s">
        <v>157</v>
      </c>
      <c r="J33" s="326"/>
      <c r="K33" s="284"/>
      <c r="L33" s="305"/>
      <c r="M33" s="305"/>
      <c r="N33" s="30"/>
      <c r="O33" s="11"/>
      <c r="P33" s="31"/>
      <c r="S33" s="23"/>
    </row>
    <row r="34" spans="1:57" ht="15" customHeight="1" thickBot="1">
      <c r="A34" s="28"/>
      <c r="B34" s="567"/>
      <c r="C34" s="349"/>
      <c r="D34" s="519"/>
      <c r="E34" s="507"/>
      <c r="F34" s="294"/>
      <c r="G34" s="294"/>
      <c r="H34" s="32"/>
      <c r="I34" s="411" t="s">
        <v>156</v>
      </c>
      <c r="J34" s="327"/>
      <c r="K34" s="412"/>
      <c r="L34" s="413"/>
      <c r="M34" s="413"/>
      <c r="N34" s="414">
        <v>98</v>
      </c>
      <c r="O34" s="11"/>
      <c r="P34" s="31"/>
      <c r="S34" s="23"/>
    </row>
    <row r="35" spans="1:57" ht="15" customHeight="1" thickBot="1">
      <c r="A35" s="28"/>
      <c r="B35" s="567"/>
      <c r="C35" s="349"/>
      <c r="D35" s="504"/>
      <c r="E35" s="505"/>
      <c r="F35" s="294"/>
      <c r="G35" s="294"/>
      <c r="H35" s="32"/>
      <c r="I35" s="1"/>
      <c r="J35" s="39"/>
      <c r="K35" s="409">
        <f>SUM(K25:K34)</f>
        <v>98</v>
      </c>
      <c r="L35" s="410">
        <f>((L25*K25)+(L26*K26)+(L27*K27)+(L28*K28)+(L29*K29)+(K32*L32)+(L30*K30)+(L31*K31)+(L34*K34))/(K35)</f>
        <v>95.891100765060287</v>
      </c>
      <c r="M35" s="410">
        <f>AVERAGE('[29]Jan 31st'!$L$65,L35)</f>
        <v>95.533411113348393</v>
      </c>
      <c r="N35" s="40">
        <v>98</v>
      </c>
      <c r="O35" s="11"/>
      <c r="P35" s="31"/>
      <c r="S35" s="23"/>
    </row>
    <row r="36" spans="1:57" ht="15" thickBot="1">
      <c r="B36" s="578"/>
      <c r="C36" s="350"/>
      <c r="D36" s="506"/>
      <c r="E36" s="507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85"/>
      <c r="C37" s="362"/>
      <c r="D37" s="517"/>
      <c r="E37" s="518"/>
      <c r="F37" s="43"/>
      <c r="G37" s="41"/>
      <c r="H37" s="41"/>
      <c r="I37" s="42"/>
      <c r="J37" s="587" t="s">
        <v>129</v>
      </c>
      <c r="K37" s="58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85"/>
      <c r="C38" s="349"/>
      <c r="D38" s="519"/>
      <c r="E38" s="507"/>
      <c r="F38" s="43"/>
      <c r="G38" s="41"/>
      <c r="H38" s="41"/>
      <c r="I38" s="42"/>
      <c r="J38" s="453" t="s">
        <v>17</v>
      </c>
      <c r="K38" s="454" t="s">
        <v>147</v>
      </c>
      <c r="L38" s="521" t="s">
        <v>136</v>
      </c>
      <c r="M38" s="521"/>
      <c r="N38" s="522"/>
      <c r="O38" s="294"/>
      <c r="P38" s="12"/>
      <c r="S38" s="23"/>
    </row>
    <row r="39" spans="1:57" ht="15" customHeight="1" thickBot="1">
      <c r="B39" s="585"/>
      <c r="C39" s="349"/>
      <c r="D39" s="523"/>
      <c r="E39" s="505"/>
      <c r="F39" s="43"/>
      <c r="G39" s="41"/>
      <c r="H39" s="41"/>
      <c r="I39" s="42"/>
      <c r="J39" s="455" t="s">
        <v>6</v>
      </c>
      <c r="K39" s="456">
        <f>COUNTA(B15:B18)</f>
        <v>4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85"/>
      <c r="C40" s="349"/>
      <c r="D40" s="519"/>
      <c r="E40" s="507"/>
      <c r="F40" s="43"/>
      <c r="G40" s="41"/>
      <c r="H40" s="41"/>
      <c r="I40" s="42"/>
      <c r="J40" s="457" t="s">
        <v>9</v>
      </c>
      <c r="K40" s="456">
        <f>COUNTA(C10:C13)</f>
        <v>4</v>
      </c>
      <c r="L40" s="344">
        <f>AVERAGE('Feb 3rd'!K79,'Feb 4th'!K77,'Feb 5th'!L68,'Feb 6th'!K75,'Feb 10th'!K69,'Feb 11th'!K68,'Feb 12th'!K70,'Feb 13th'!K69,'Feb 14th'!K47,'Feb 14th'!K47,'Feb 17th'!K47,'Feb 18th'!K47,'Feb 19th '!L38,'Feb 20th'!K49)</f>
        <v>7.2307692307692308</v>
      </c>
      <c r="M40" s="325">
        <f>AVERAGE('[29]Jan 29th '!$M$70,L40)</f>
        <v>6.865384615384615</v>
      </c>
      <c r="N40" s="401"/>
      <c r="O40" s="294"/>
      <c r="P40" s="12"/>
      <c r="S40" s="23"/>
    </row>
    <row r="41" spans="1:57" ht="15" customHeight="1">
      <c r="B41" s="585"/>
      <c r="C41" s="349"/>
      <c r="D41" s="523"/>
      <c r="E41" s="505"/>
      <c r="F41" s="43"/>
      <c r="G41" s="41"/>
      <c r="H41" s="41"/>
      <c r="I41" s="42"/>
      <c r="J41" s="458" t="s">
        <v>40</v>
      </c>
      <c r="K41" s="456"/>
      <c r="L41" s="294"/>
      <c r="M41" s="294"/>
      <c r="N41" s="294"/>
      <c r="O41" s="294"/>
      <c r="P41" s="12"/>
      <c r="S41" s="23"/>
    </row>
    <row r="42" spans="1:57" ht="15" customHeight="1">
      <c r="B42" s="585"/>
      <c r="C42" s="349"/>
      <c r="D42" s="519"/>
      <c r="E42" s="507"/>
      <c r="F42" s="43"/>
      <c r="G42" s="41"/>
      <c r="H42" s="41"/>
      <c r="I42" s="42"/>
      <c r="J42" s="459" t="s">
        <v>33</v>
      </c>
      <c r="K42" s="456"/>
      <c r="L42" s="294"/>
      <c r="M42" s="294"/>
      <c r="N42" s="294"/>
      <c r="O42" s="294"/>
      <c r="P42" s="12"/>
      <c r="S42" s="23"/>
    </row>
    <row r="43" spans="1:57" ht="14.4">
      <c r="B43" s="585"/>
      <c r="C43" s="349"/>
      <c r="D43" s="523"/>
      <c r="E43" s="505"/>
      <c r="F43" s="43"/>
      <c r="G43" s="41"/>
      <c r="H43" s="41"/>
      <c r="I43" s="42"/>
      <c r="J43" s="460" t="s">
        <v>16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85"/>
      <c r="C44" s="349"/>
      <c r="D44" s="519"/>
      <c r="E44" s="507"/>
      <c r="F44" s="43"/>
      <c r="G44" s="41"/>
      <c r="H44" s="41"/>
      <c r="I44" s="42"/>
      <c r="J44" s="461" t="s">
        <v>15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85"/>
      <c r="C45" s="349"/>
      <c r="D45" s="524"/>
      <c r="E45" s="509"/>
      <c r="F45" s="43"/>
      <c r="G45" s="41"/>
      <c r="H45" s="41"/>
      <c r="I45" s="42"/>
      <c r="J45" s="461" t="s">
        <v>149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86"/>
      <c r="C46" s="350"/>
      <c r="D46" s="525"/>
      <c r="E46" s="526"/>
      <c r="F46" s="43"/>
      <c r="G46" s="41"/>
      <c r="H46" s="41"/>
      <c r="I46" s="42"/>
      <c r="J46" s="461" t="s">
        <v>148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27">
        <f>AVERAGE(D25:E46)</f>
        <v>11.782500000000001</v>
      </c>
      <c r="E47" s="528"/>
      <c r="F47" s="43"/>
      <c r="G47" s="41"/>
      <c r="H47" s="41"/>
      <c r="I47" s="42"/>
      <c r="J47" s="462" t="s">
        <v>134</v>
      </c>
      <c r="K47" s="456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62" t="s">
        <v>131</v>
      </c>
      <c r="K48" s="456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 thickBot="1">
      <c r="B49" s="45"/>
      <c r="C49" s="11"/>
      <c r="D49" s="11"/>
      <c r="E49" s="46"/>
      <c r="F49" s="23"/>
      <c r="G49" s="11"/>
      <c r="H49" s="41"/>
      <c r="I49" s="42"/>
      <c r="J49" s="463" t="s">
        <v>130</v>
      </c>
      <c r="K49" s="464">
        <f>SUM(K39:K48)</f>
        <v>8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29" t="s">
        <v>17</v>
      </c>
      <c r="C52" s="529" t="s">
        <v>44</v>
      </c>
      <c r="D52" s="531" t="s">
        <v>45</v>
      </c>
      <c r="E52" s="486" t="s">
        <v>46</v>
      </c>
      <c r="F52" s="546" t="s">
        <v>47</v>
      </c>
      <c r="G52" s="540" t="s">
        <v>48</v>
      </c>
      <c r="H52" s="529" t="s">
        <v>49</v>
      </c>
      <c r="I52" s="529" t="s">
        <v>50</v>
      </c>
      <c r="J52" s="534" t="s">
        <v>28</v>
      </c>
      <c r="K52" s="484" t="s">
        <v>51</v>
      </c>
      <c r="L52" s="496" t="s">
        <v>52</v>
      </c>
      <c r="M52" s="534" t="s">
        <v>53</v>
      </c>
      <c r="N52" s="77"/>
      <c r="O52" s="13"/>
      <c r="P52" s="50"/>
    </row>
    <row r="53" spans="2:58" ht="28.5" customHeight="1" thickTop="1" thickBot="1">
      <c r="B53" s="530"/>
      <c r="C53" s="530"/>
      <c r="D53" s="532"/>
      <c r="E53" s="533"/>
      <c r="F53" s="547"/>
      <c r="G53" s="541"/>
      <c r="H53" s="530"/>
      <c r="I53" s="530"/>
      <c r="J53" s="535"/>
      <c r="K53" s="544"/>
      <c r="L53" s="545"/>
      <c r="M53" s="535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45.75" customHeight="1" thickBot="1">
      <c r="B54" s="428" t="str">
        <f>J39</f>
        <v>CARIB</v>
      </c>
      <c r="C54" s="283">
        <v>45708</v>
      </c>
      <c r="D54" s="279">
        <f>[30]February_2025!$W$3</f>
        <v>396.5</v>
      </c>
      <c r="E54" s="279"/>
      <c r="F54" s="279">
        <f>SUM([31]CARIB!$L$61:$L$66,[31]CARIB!$L$69:$L$70)</f>
        <v>386.7</v>
      </c>
      <c r="G54" s="279">
        <f>[30]February_2025!$W$7</f>
        <v>378.4</v>
      </c>
      <c r="H54" s="320">
        <f>(D54-F54)/D54*100</f>
        <v>2.471626733921819</v>
      </c>
      <c r="I54" s="322">
        <f>((F54+E54)-G54)/(F54+E54)*100</f>
        <v>2.1463666925265095</v>
      </c>
      <c r="J54" s="390" t="s">
        <v>150</v>
      </c>
      <c r="K54" s="286">
        <f>[32]February_2025!$W$18</f>
        <v>0.94599999999999995</v>
      </c>
      <c r="L54" s="314">
        <f>(((D54+E54)-G54)/(D54+E54))*100</f>
        <v>4.5649432534678489</v>
      </c>
      <c r="M54" s="281" t="s">
        <v>185</v>
      </c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21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384"/>
      <c r="N55" s="13"/>
      <c r="O55" s="13"/>
      <c r="P55" s="50"/>
      <c r="T55" s="272" t="s">
        <v>51</v>
      </c>
      <c r="U55" s="57">
        <f>[20]January_2019!D6</f>
        <v>0</v>
      </c>
      <c r="V55" s="57">
        <f>[20]January_2019!E6</f>
        <v>0</v>
      </c>
      <c r="W55" s="57">
        <f>[20]January_2019!F6</f>
        <v>0</v>
      </c>
      <c r="X55" s="57">
        <f>[20]January_2019!G6</f>
        <v>0</v>
      </c>
      <c r="Y55" s="57">
        <f>[20]January_2019!H6</f>
        <v>0</v>
      </c>
      <c r="Z55" s="57">
        <f>[20]January_2019!I6</f>
        <v>0</v>
      </c>
      <c r="AA55" s="57">
        <f>[20]January_2019!J6</f>
        <v>0</v>
      </c>
      <c r="AB55" s="57">
        <f>[20]January_2019!K6</f>
        <v>0</v>
      </c>
      <c r="AC55" s="57">
        <f>[20]January_2019!L6</f>
        <v>0</v>
      </c>
      <c r="AD55" s="57">
        <f>[20]January_2019!M6</f>
        <v>0</v>
      </c>
      <c r="AE55" s="57">
        <f>[20]January_2019!N6</f>
        <v>0</v>
      </c>
      <c r="AF55" s="57">
        <f>[20]January_2019!O6</f>
        <v>0</v>
      </c>
      <c r="AG55" s="57">
        <f>[20]January_2019!P6</f>
        <v>0</v>
      </c>
      <c r="AH55" s="57">
        <f>[20]January_2019!Q6</f>
        <v>0</v>
      </c>
      <c r="AI55" s="57">
        <f>[20]January_2019!R6</f>
        <v>0</v>
      </c>
      <c r="AJ55" s="57">
        <f>[20]January_2019!S6</f>
        <v>0</v>
      </c>
      <c r="AK55" s="57">
        <f>[20]January_2019!T6</f>
        <v>0</v>
      </c>
      <c r="AL55" s="57">
        <f>[20]January_2019!U6</f>
        <v>0</v>
      </c>
      <c r="AM55" s="57">
        <f>[20]January_2019!V6</f>
        <v>0</v>
      </c>
      <c r="AN55" s="57">
        <f>[20]January_2019!W6</f>
        <v>0</v>
      </c>
      <c r="AO55" s="57">
        <f>[20]January_2019!X6</f>
        <v>0</v>
      </c>
      <c r="AP55" s="57">
        <f>[20]January_2019!Y6</f>
        <v>0</v>
      </c>
      <c r="AQ55" s="57">
        <f>[20]January_2019!Z6</f>
        <v>0</v>
      </c>
      <c r="AR55" s="57">
        <f>[20]January_2019!AA6</f>
        <v>0</v>
      </c>
      <c r="AS55" s="57">
        <f>[20]January_2019!AB6</f>
        <v>0</v>
      </c>
      <c r="AT55" s="57">
        <f>[20]January_2019!AC6</f>
        <v>0</v>
      </c>
      <c r="AU55" s="57">
        <f>[20]January_2019!AD6</f>
        <v>0</v>
      </c>
      <c r="AV55" s="57">
        <f>[20]January_2019!AE6</f>
        <v>0</v>
      </c>
      <c r="AW55" s="57">
        <f>[20]January_2019!AF6</f>
        <v>0</v>
      </c>
      <c r="AX55" s="57">
        <f>[20]January_2019!AG6</f>
        <v>0</v>
      </c>
      <c r="AY55" s="277">
        <f>[20]January_2019!AH6</f>
        <v>0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56.4" hidden="1" customHeight="1">
      <c r="B56" s="387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384"/>
      <c r="N56" s="13"/>
      <c r="O56" s="13"/>
      <c r="P56" s="50"/>
      <c r="T56" s="272" t="s">
        <v>54</v>
      </c>
      <c r="U56" s="279"/>
      <c r="V56" s="279"/>
      <c r="W56" s="279"/>
      <c r="X56" s="279"/>
      <c r="Y56" s="279"/>
      <c r="Z56" s="279"/>
      <c r="AA56" s="279"/>
      <c r="AB56" s="279"/>
      <c r="AC56" s="279"/>
      <c r="AD56" s="279"/>
      <c r="AE56" s="279"/>
      <c r="AF56" s="279"/>
      <c r="AG56" s="279"/>
      <c r="AH56" s="279"/>
      <c r="AI56" s="279"/>
      <c r="AJ56" s="279"/>
      <c r="AK56" s="279"/>
      <c r="AL56" s="279"/>
      <c r="AM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</row>
    <row r="57" spans="2:58" s="54" customFormat="1" ht="18.75" hidden="1" customHeight="1">
      <c r="B57" s="387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384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s="54" customFormat="1" ht="42" hidden="1" customHeight="1">
      <c r="B58" s="387"/>
      <c r="C58" s="283"/>
      <c r="D58" s="279"/>
      <c r="E58" s="279"/>
      <c r="F58" s="279"/>
      <c r="G58" s="279"/>
      <c r="H58" s="320"/>
      <c r="I58" s="322"/>
      <c r="J58" s="389"/>
      <c r="K58" s="437"/>
      <c r="L58" s="314"/>
      <c r="M58" s="384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s="54" customFormat="1" ht="14.4" hidden="1" thickBot="1">
      <c r="B59" s="361"/>
      <c r="C59" s="283"/>
      <c r="D59" s="304"/>
      <c r="E59" s="279"/>
      <c r="F59" s="279"/>
      <c r="G59" s="279"/>
      <c r="H59" s="381"/>
      <c r="I59" s="381"/>
      <c r="J59" s="389"/>
      <c r="K59" s="437"/>
      <c r="L59" s="314"/>
      <c r="M59" s="339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s="54" customFormat="1" ht="9" hidden="1" customHeight="1">
      <c r="B60" s="387"/>
      <c r="C60" s="283"/>
      <c r="D60" s="279"/>
      <c r="E60" s="279"/>
      <c r="F60" s="279"/>
      <c r="G60" s="279"/>
      <c r="H60" s="320"/>
      <c r="I60" s="322"/>
      <c r="J60" s="281"/>
      <c r="K60" s="286"/>
      <c r="L60" s="314"/>
      <c r="M60" s="339"/>
      <c r="N60" s="13"/>
      <c r="O60" s="13"/>
      <c r="P60" s="50"/>
      <c r="T60" s="272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277"/>
      <c r="AZ60" s="277"/>
      <c r="BA60" s="277"/>
      <c r="BB60" s="277"/>
      <c r="BC60" s="277"/>
      <c r="BD60" s="277"/>
      <c r="BE60" s="277"/>
      <c r="BF60" s="277"/>
    </row>
    <row r="61" spans="2:58" ht="11.4" hidden="1" customHeight="1" thickBot="1">
      <c r="B61" s="33"/>
      <c r="C61" s="310"/>
      <c r="D61" s="279"/>
      <c r="E61" s="279"/>
      <c r="F61" s="279"/>
      <c r="G61" s="279"/>
      <c r="H61" s="352"/>
      <c r="I61" s="353"/>
      <c r="J61" s="281"/>
      <c r="K61" s="52"/>
      <c r="L61" s="53"/>
      <c r="M61" s="55"/>
      <c r="N61" s="77"/>
      <c r="O61" s="13"/>
      <c r="P61" s="56"/>
    </row>
    <row r="62" spans="2:58" ht="14.4" thickBot="1">
      <c r="B62" s="58"/>
      <c r="C62" s="309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9"/>
      <c r="O62" s="56"/>
      <c r="P62" s="60"/>
    </row>
    <row r="63" spans="2:58" ht="14.4" thickBot="1">
      <c r="B63" s="536" t="s">
        <v>55</v>
      </c>
      <c r="C63" s="537"/>
      <c r="D63" s="537"/>
      <c r="E63" s="537"/>
      <c r="F63" s="538"/>
      <c r="G63" s="536" t="s">
        <v>56</v>
      </c>
      <c r="H63" s="537"/>
      <c r="I63" s="537"/>
      <c r="J63" s="538"/>
      <c r="K63" s="536" t="s">
        <v>51</v>
      </c>
      <c r="L63" s="537"/>
      <c r="M63" s="537"/>
      <c r="N63" s="539"/>
      <c r="O63" s="56"/>
      <c r="P63" s="50"/>
    </row>
    <row r="64" spans="2:58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>
        <f>L54</f>
        <v>4.5649432534678489</v>
      </c>
      <c r="D65" s="76">
        <v>6.5448072841788409</v>
      </c>
      <c r="E65" s="76">
        <v>7.2431413404772673</v>
      </c>
      <c r="F65" s="66">
        <v>4.8</v>
      </c>
      <c r="G65" s="65">
        <f>[30]February_2025!$W$11</f>
        <v>5.0278457114138293</v>
      </c>
      <c r="H65" s="76">
        <v>7.1969619815726622</v>
      </c>
      <c r="I65" s="76">
        <v>7.673033444751014</v>
      </c>
      <c r="J65" s="66">
        <v>4.8</v>
      </c>
      <c r="K65" s="67">
        <f>K54</f>
        <v>0.94599999999999995</v>
      </c>
      <c r="L65" s="194">
        <v>0.66328941906180561</v>
      </c>
      <c r="M65" s="194">
        <v>0.84122488808568274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6.6241169909530218</v>
      </c>
      <c r="E66" s="76">
        <v>6.7066838440757675</v>
      </c>
      <c r="F66" s="66">
        <v>4.8</v>
      </c>
      <c r="G66" s="65"/>
      <c r="H66" s="76">
        <v>6.5438307865505001</v>
      </c>
      <c r="I66" s="76">
        <v>6.7059091567256077</v>
      </c>
      <c r="J66" s="66">
        <v>4.8</v>
      </c>
      <c r="K66" s="67"/>
      <c r="L66" s="194">
        <v>0.61918200707621074</v>
      </c>
      <c r="M66" s="194">
        <v>0.75354343167523652</v>
      </c>
      <c r="N66" s="68">
        <v>1</v>
      </c>
      <c r="P66" s="69"/>
    </row>
    <row r="67" spans="2:16">
      <c r="B67" s="34" t="s">
        <v>40</v>
      </c>
      <c r="C67" s="65"/>
      <c r="D67" s="76">
        <v>18.104405775638647</v>
      </c>
      <c r="E67" s="76">
        <v>14.176156170113877</v>
      </c>
      <c r="F67" s="66">
        <v>5.5</v>
      </c>
      <c r="G67" s="65"/>
      <c r="H67" s="76">
        <v>20.086278780699747</v>
      </c>
      <c r="I67" s="76">
        <v>15.811420854943506</v>
      </c>
      <c r="J67" s="66">
        <v>5.5</v>
      </c>
      <c r="K67" s="67"/>
      <c r="L67" s="194">
        <v>0.31152046783625731</v>
      </c>
      <c r="M67" s="194">
        <v>0.4570760233918128</v>
      </c>
      <c r="N67" s="68">
        <v>1</v>
      </c>
      <c r="P67" s="69"/>
    </row>
    <row r="68" spans="2:16">
      <c r="B68" s="22" t="s">
        <v>33</v>
      </c>
      <c r="C68" s="65"/>
      <c r="D68" s="76">
        <v>4.9603174603174329</v>
      </c>
      <c r="E68" s="76">
        <v>3.9190537266638161</v>
      </c>
      <c r="F68" s="66">
        <v>3.3</v>
      </c>
      <c r="G68" s="65"/>
      <c r="H68" s="76">
        <v>5.7667082440308048</v>
      </c>
      <c r="I68" s="76">
        <v>5.345661717473071</v>
      </c>
      <c r="J68" s="66">
        <v>3.3</v>
      </c>
      <c r="K68" s="67"/>
      <c r="L68" s="194">
        <v>0.67228070175438603</v>
      </c>
      <c r="M68" s="194">
        <v>0.78853801169590654</v>
      </c>
      <c r="N68" s="68">
        <v>1</v>
      </c>
      <c r="P68" s="69"/>
    </row>
    <row r="69" spans="2:16">
      <c r="B69" s="469" t="s">
        <v>181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8.7664670658682695</v>
      </c>
      <c r="F70" s="70">
        <f>[21]May_2022!$M$43</f>
        <v>3.4878406700073312</v>
      </c>
      <c r="G70" s="282"/>
      <c r="H70" s="76"/>
      <c r="I70" s="76">
        <v>10.607235567685406</v>
      </c>
      <c r="J70" s="70">
        <v>5.5</v>
      </c>
      <c r="K70" s="67"/>
      <c r="L70" s="194"/>
      <c r="M70" s="194">
        <v>0.66824561403508764</v>
      </c>
      <c r="N70" s="68">
        <v>1</v>
      </c>
      <c r="P70" s="69"/>
    </row>
    <row r="71" spans="2:16">
      <c r="B71" s="37" t="s">
        <v>16</v>
      </c>
      <c r="C71" s="65"/>
      <c r="D71" s="76">
        <v>3.3333333333333082</v>
      </c>
      <c r="E71" s="76">
        <v>2.2765363128491556</v>
      </c>
      <c r="F71" s="66">
        <v>3.3</v>
      </c>
      <c r="G71" s="282"/>
      <c r="H71" s="76">
        <v>5.2583423035521699</v>
      </c>
      <c r="I71" s="76">
        <v>4.5833713915368151</v>
      </c>
      <c r="J71" s="70">
        <v>3.3</v>
      </c>
      <c r="K71" s="67"/>
      <c r="L71" s="194">
        <v>1.0053333333333334</v>
      </c>
      <c r="M71" s="194">
        <v>0.8042528735632184</v>
      </c>
      <c r="N71" s="71">
        <v>1</v>
      </c>
      <c r="P71" s="69"/>
    </row>
    <row r="72" spans="2:16" ht="14.4" thickBot="1">
      <c r="B72" s="468" t="s">
        <v>127</v>
      </c>
      <c r="C72" s="65"/>
      <c r="D72" s="76"/>
      <c r="E72" s="76"/>
      <c r="F72" s="70">
        <v>7.5</v>
      </c>
      <c r="G72" s="282"/>
      <c r="H72" s="76"/>
      <c r="I72" s="76"/>
      <c r="J72" s="72">
        <v>7.5</v>
      </c>
      <c r="K72" s="67"/>
      <c r="L72" s="194"/>
      <c r="M72" s="194"/>
      <c r="N72" s="71">
        <v>1</v>
      </c>
      <c r="P72" s="69"/>
    </row>
    <row r="73" spans="2:16" ht="14.4" thickBot="1">
      <c r="B73" s="435" t="s">
        <v>134</v>
      </c>
      <c r="C73" s="434"/>
      <c r="D73" s="76">
        <v>4.8792508624938291</v>
      </c>
      <c r="E73" s="76">
        <v>7.4485596707818953</v>
      </c>
      <c r="F73" s="66">
        <v>5.5</v>
      </c>
      <c r="G73" s="282"/>
      <c r="H73" s="76">
        <v>6.2003723782925313</v>
      </c>
      <c r="I73" s="76">
        <v>6.2003723782925313</v>
      </c>
      <c r="J73" s="433">
        <v>5.5</v>
      </c>
      <c r="K73" s="67"/>
      <c r="L73" s="194">
        <v>1</v>
      </c>
      <c r="M73" s="194">
        <v>0.67719298245614035</v>
      </c>
      <c r="N73" s="71">
        <v>1</v>
      </c>
      <c r="P73" s="69"/>
    </row>
    <row r="74" spans="2:16">
      <c r="C74" s="282"/>
      <c r="D74" s="76">
        <v>7.4485596707818953</v>
      </c>
      <c r="E74" s="76">
        <v>7.1747756393876987</v>
      </c>
      <c r="F74" s="341">
        <v>4.5</v>
      </c>
      <c r="G74" s="282"/>
      <c r="H74" s="76">
        <v>8.4191497437750336</v>
      </c>
      <c r="I74" s="76">
        <v>7.9266436711919717</v>
      </c>
      <c r="J74" s="342">
        <v>5</v>
      </c>
      <c r="K74" s="67"/>
      <c r="L74" s="194">
        <v>0.56650239113139411</v>
      </c>
      <c r="M74" s="194">
        <v>0.56650239113139411</v>
      </c>
      <c r="N74" s="386">
        <v>1</v>
      </c>
      <c r="O74" s="74"/>
      <c r="P74" s="75"/>
    </row>
    <row r="79" spans="2:16">
      <c r="F79" s="315"/>
    </row>
    <row r="87" spans="30:30">
      <c r="AD87" s="275" t="s">
        <v>57</v>
      </c>
    </row>
  </sheetData>
  <mergeCells count="52"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C4:D4"/>
    <mergeCell ref="M4:N4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7:B48">
    <cfRule type="cellIs" dxfId="1285" priority="149" operator="notBetween">
      <formula>#REF!</formula>
      <formula>#REF!</formula>
    </cfRule>
  </conditionalFormatting>
  <conditionalFormatting sqref="C51">
    <cfRule type="cellIs" dxfId="1284" priority="180" stopIfTrue="1" operator="lessThan">
      <formula>96</formula>
    </cfRule>
    <cfRule type="cellIs" dxfId="1283" priority="181" stopIfTrue="1" operator="greaterThan">
      <formula>100</formula>
    </cfRule>
  </conditionalFormatting>
  <conditionalFormatting sqref="C65">
    <cfRule type="cellIs" dxfId="1282" priority="108" stopIfTrue="1" operator="greaterThan">
      <formula>$F65</formula>
    </cfRule>
  </conditionalFormatting>
  <conditionalFormatting sqref="C65:C66">
    <cfRule type="cellIs" dxfId="1281" priority="109" stopIfTrue="1" operator="lessThanOrEqual">
      <formula>0</formula>
    </cfRule>
  </conditionalFormatting>
  <conditionalFormatting sqref="C66">
    <cfRule type="cellIs" dxfId="1280" priority="184" stopIfTrue="1" operator="greaterThan">
      <formula>$F65</formula>
    </cfRule>
  </conditionalFormatting>
  <conditionalFormatting sqref="C67:C69">
    <cfRule type="cellIs" dxfId="1279" priority="116" stopIfTrue="1" operator="greaterThan">
      <formula>$F67</formula>
    </cfRule>
  </conditionalFormatting>
  <conditionalFormatting sqref="C67:C70">
    <cfRule type="cellIs" dxfId="1278" priority="127" stopIfTrue="1" operator="lessThanOrEqual">
      <formula>0</formula>
    </cfRule>
  </conditionalFormatting>
  <conditionalFormatting sqref="C70">
    <cfRule type="cellIs" dxfId="1277" priority="126" stopIfTrue="1" operator="greaterThan">
      <formula>$J70</formula>
    </cfRule>
  </conditionalFormatting>
  <conditionalFormatting sqref="C74">
    <cfRule type="cellIs" dxfId="1276" priority="94" stopIfTrue="1" operator="greaterThan">
      <formula>$J74</formula>
    </cfRule>
    <cfRule type="cellIs" dxfId="1275" priority="95" stopIfTrue="1" operator="lessThanOrEqual">
      <formula>0</formula>
    </cfRule>
  </conditionalFormatting>
  <conditionalFormatting sqref="C77:C81">
    <cfRule type="cellIs" dxfId="1274" priority="172" stopIfTrue="1" operator="lessThanOrEqual">
      <formula>0</formula>
    </cfRule>
  </conditionalFormatting>
  <conditionalFormatting sqref="C78:C81">
    <cfRule type="cellIs" dxfId="1273" priority="171" stopIfTrue="1" operator="greaterThan">
      <formula>$F$77</formula>
    </cfRule>
  </conditionalFormatting>
  <conditionalFormatting sqref="C83">
    <cfRule type="cellIs" dxfId="1272" priority="174" stopIfTrue="1" operator="lessThanOrEqual">
      <formula>0</formula>
    </cfRule>
    <cfRule type="cellIs" dxfId="1271" priority="173" stopIfTrue="1" operator="greaterThan">
      <formula>$F$77</formula>
    </cfRule>
  </conditionalFormatting>
  <conditionalFormatting sqref="C77:D77 D79:D85">
    <cfRule type="cellIs" dxfId="1270" priority="166" stopIfTrue="1" operator="greaterThan">
      <formula>4.5</formula>
    </cfRule>
  </conditionalFormatting>
  <conditionalFormatting sqref="D47:D48">
    <cfRule type="cellIs" dxfId="1269" priority="150" operator="notBetween">
      <formula>#REF!</formula>
      <formula>#REF!</formula>
    </cfRule>
  </conditionalFormatting>
  <conditionalFormatting sqref="D65:D73">
    <cfRule type="cellIs" dxfId="1268" priority="139" stopIfTrue="1" operator="lessThanOrEqual">
      <formula>0</formula>
    </cfRule>
  </conditionalFormatting>
  <conditionalFormatting sqref="D74">
    <cfRule type="cellIs" dxfId="1267" priority="138" stopIfTrue="1" operator="lessThanOrEqual">
      <formula>0</formula>
    </cfRule>
  </conditionalFormatting>
  <conditionalFormatting sqref="D77 D79:D85">
    <cfRule type="cellIs" dxfId="1266" priority="167" stopIfTrue="1" operator="lessThanOrEqual">
      <formula>0</formula>
    </cfRule>
  </conditionalFormatting>
  <conditionalFormatting sqref="D78">
    <cfRule type="cellIs" dxfId="1265" priority="159" stopIfTrue="1" operator="lessThanOrEqual">
      <formula>0</formula>
    </cfRule>
    <cfRule type="cellIs" dxfId="1264" priority="158" stopIfTrue="1" operator="greaterThan">
      <formula>$F$77</formula>
    </cfRule>
  </conditionalFormatting>
  <conditionalFormatting sqref="D65:E74">
    <cfRule type="cellIs" dxfId="1263" priority="131" stopIfTrue="1" operator="greaterThan">
      <formula>$F65</formula>
    </cfRule>
  </conditionalFormatting>
  <conditionalFormatting sqref="E10:E22">
    <cfRule type="cellIs" dxfId="1262" priority="62" operator="lessThan">
      <formula>48</formula>
    </cfRule>
  </conditionalFormatting>
  <conditionalFormatting sqref="E51">
    <cfRule type="cellIs" dxfId="1261" priority="161" stopIfTrue="1" operator="greaterThan">
      <formula>100</formula>
    </cfRule>
    <cfRule type="cellIs" dxfId="1260" priority="160" stopIfTrue="1" operator="lessThan">
      <formula>96.8</formula>
    </cfRule>
  </conditionalFormatting>
  <conditionalFormatting sqref="E65:E74">
    <cfRule type="cellIs" dxfId="1259" priority="132" stopIfTrue="1" operator="lessThanOrEqual">
      <formula>0</formula>
    </cfRule>
  </conditionalFormatting>
  <conditionalFormatting sqref="E77:E85">
    <cfRule type="cellIs" dxfId="1258" priority="153" stopIfTrue="1" operator="lessThanOrEqual">
      <formula>0</formula>
    </cfRule>
    <cfRule type="cellIs" dxfId="1257" priority="152" stopIfTrue="1" operator="greaterThan">
      <formula>4.5</formula>
    </cfRule>
  </conditionalFormatting>
  <conditionalFormatting sqref="E50:F51">
    <cfRule type="cellIs" dxfId="1256" priority="163" stopIfTrue="1" operator="greaterThan">
      <formula>100</formula>
    </cfRule>
    <cfRule type="cellIs" dxfId="1255" priority="162" stopIfTrue="1" operator="lessThan">
      <formula>96.5</formula>
    </cfRule>
  </conditionalFormatting>
  <conditionalFormatting sqref="F10:F22">
    <cfRule type="cellIs" dxfId="1254" priority="64" operator="greaterThan">
      <formula>60</formula>
    </cfRule>
  </conditionalFormatting>
  <conditionalFormatting sqref="F51">
    <cfRule type="cellIs" dxfId="1253" priority="178" stopIfTrue="1" operator="lessThan">
      <formula>96.8</formula>
    </cfRule>
    <cfRule type="cellIs" dxfId="1252" priority="179" stopIfTrue="1" operator="greaterThan">
      <formula>100</formula>
    </cfRule>
  </conditionalFormatting>
  <conditionalFormatting sqref="F74">
    <cfRule type="cellIs" dxfId="1251" priority="134" stopIfTrue="1" operator="lessThanOrEqual">
      <formula>0</formula>
    </cfRule>
    <cfRule type="cellIs" dxfId="1250" priority="133" stopIfTrue="1" operator="greaterThan">
      <formula>$F74</formula>
    </cfRule>
  </conditionalFormatting>
  <conditionalFormatting sqref="G65:G66 C71:C73">
    <cfRule type="cellIs" dxfId="1249" priority="141" stopIfTrue="1" operator="lessThanOrEqual">
      <formula>0</formula>
    </cfRule>
    <cfRule type="cellIs" dxfId="1248" priority="140" stopIfTrue="1" operator="greaterThan">
      <formula>$F65</formula>
    </cfRule>
  </conditionalFormatting>
  <conditionalFormatting sqref="G65:G66">
    <cfRule type="cellIs" dxfId="1247" priority="112" stopIfTrue="1" operator="lessThanOrEqual">
      <formula>0</formula>
    </cfRule>
    <cfRule type="cellIs" dxfId="1246" priority="111" stopIfTrue="1" operator="greaterThan">
      <formula>$F65</formula>
    </cfRule>
  </conditionalFormatting>
  <conditionalFormatting sqref="G67">
    <cfRule type="cellIs" dxfId="1245" priority="182" stopIfTrue="1" operator="greaterThan">
      <formula>$F66</formula>
    </cfRule>
    <cfRule type="cellIs" dxfId="1244" priority="183" stopIfTrue="1" operator="lessThanOrEqual">
      <formula>0</formula>
    </cfRule>
  </conditionalFormatting>
  <conditionalFormatting sqref="G68">
    <cfRule type="cellIs" dxfId="1243" priority="136" stopIfTrue="1" operator="lessThanOrEqual">
      <formula>0</formula>
    </cfRule>
    <cfRule type="cellIs" dxfId="1242" priority="135" stopIfTrue="1" operator="greaterThan">
      <formula>$F68</formula>
    </cfRule>
  </conditionalFormatting>
  <conditionalFormatting sqref="G69:G74">
    <cfRule type="cellIs" dxfId="1241" priority="142" stopIfTrue="1" operator="greaterThan">
      <formula>$J69</formula>
    </cfRule>
    <cfRule type="cellIs" dxfId="1240" priority="143" stopIfTrue="1" operator="lessThanOrEqual">
      <formula>0</formula>
    </cfRule>
  </conditionalFormatting>
  <conditionalFormatting sqref="G79:G84 C82 C84">
    <cfRule type="cellIs" dxfId="1239" priority="176" stopIfTrue="1" operator="lessThanOrEqual">
      <formula>0</formula>
    </cfRule>
    <cfRule type="cellIs" dxfId="1238" priority="175" stopIfTrue="1" operator="greaterThan">
      <formula>4.5</formula>
    </cfRule>
  </conditionalFormatting>
  <conditionalFormatting sqref="G10:H22">
    <cfRule type="expression" dxfId="1237" priority="55">
      <formula>IF(+(IF(G10&lt;#REF!,0,IF(G10&gt;#REF!,0,1)))=0,1)</formula>
    </cfRule>
  </conditionalFormatting>
  <conditionalFormatting sqref="G78:H78">
    <cfRule type="cellIs" dxfId="1236" priority="156" stopIfTrue="1" operator="greaterThan">
      <formula>$F$77</formula>
    </cfRule>
    <cfRule type="cellIs" dxfId="1235" priority="157" stopIfTrue="1" operator="lessThanOrEqual">
      <formula>0</formula>
    </cfRule>
  </conditionalFormatting>
  <conditionalFormatting sqref="H26:H49 G37:G48">
    <cfRule type="cellIs" dxfId="1234" priority="154" stopIfTrue="1" operator="greaterThan">
      <formula>0</formula>
    </cfRule>
  </conditionalFormatting>
  <conditionalFormatting sqref="H54">
    <cfRule type="cellIs" dxfId="1233" priority="2" stopIfTrue="1" operator="lessThanOrEqual">
      <formula>0</formula>
    </cfRule>
    <cfRule type="cellIs" dxfId="1232" priority="3" stopIfTrue="1" operator="greaterThan">
      <formula>$F$62</formula>
    </cfRule>
    <cfRule type="cellIs" dxfId="1231" priority="13" stopIfTrue="1" operator="greaterThan">
      <formula>$F$63</formula>
    </cfRule>
    <cfRule type="cellIs" dxfId="1230" priority="12" stopIfTrue="1" operator="lessThanOrEqual">
      <formula>0</formula>
    </cfRule>
    <cfRule type="cellIs" dxfId="1229" priority="11" stopIfTrue="1" operator="greaterThan">
      <formula>$F$65</formula>
    </cfRule>
    <cfRule type="cellIs" dxfId="1228" priority="14" stopIfTrue="1" operator="lessThanOrEqual">
      <formula>0</formula>
    </cfRule>
  </conditionalFormatting>
  <conditionalFormatting sqref="H55:H58">
    <cfRule type="cellIs" dxfId="1227" priority="80" stopIfTrue="1" operator="lessThanOrEqual">
      <formula>0</formula>
    </cfRule>
    <cfRule type="cellIs" dxfId="1226" priority="69" stopIfTrue="1" operator="greaterThan">
      <formula>$F$64</formula>
    </cfRule>
    <cfRule type="cellIs" dxfId="1225" priority="68" stopIfTrue="1" operator="lessThanOrEqual">
      <formula>0</formula>
    </cfRule>
    <cfRule type="cellIs" dxfId="1224" priority="77" stopIfTrue="1" operator="greaterThan">
      <formula>$F$67</formula>
    </cfRule>
    <cfRule type="cellIs" dxfId="1223" priority="78" stopIfTrue="1" operator="lessThanOrEqual">
      <formula>0</formula>
    </cfRule>
    <cfRule type="cellIs" dxfId="1222" priority="79" stopIfTrue="1" operator="greaterThan">
      <formula>$F$65</formula>
    </cfRule>
  </conditionalFormatting>
  <conditionalFormatting sqref="H59">
    <cfRule type="cellIs" dxfId="1221" priority="97" stopIfTrue="1" operator="lessThanOrEqual">
      <formula>0</formula>
    </cfRule>
    <cfRule type="cellIs" dxfId="1220" priority="107" stopIfTrue="1" operator="lessThanOrEqual">
      <formula>0</formula>
    </cfRule>
    <cfRule type="cellIs" dxfId="1219" priority="106" stopIfTrue="1" operator="greaterThan">
      <formula>#REF!</formula>
    </cfRule>
    <cfRule type="cellIs" dxfId="1218" priority="98" stopIfTrue="1" operator="greaterThan">
      <formula>#REF!</formula>
    </cfRule>
  </conditionalFormatting>
  <conditionalFormatting sqref="H60">
    <cfRule type="cellIs" dxfId="1217" priority="82" stopIfTrue="1" operator="lessThanOrEqual">
      <formula>0</formula>
    </cfRule>
    <cfRule type="cellIs" dxfId="1216" priority="89" stopIfTrue="1" operator="greaterThan">
      <formula>$F$68</formula>
    </cfRule>
    <cfRule type="cellIs" dxfId="1215" priority="91" stopIfTrue="1" operator="greaterThan">
      <formula>$F$66</formula>
    </cfRule>
    <cfRule type="cellIs" dxfId="1214" priority="92" stopIfTrue="1" operator="lessThanOrEqual">
      <formula>0</formula>
    </cfRule>
    <cfRule type="cellIs" dxfId="1213" priority="90" stopIfTrue="1" operator="lessThanOrEqual">
      <formula>0</formula>
    </cfRule>
  </conditionalFormatting>
  <conditionalFormatting sqref="H61">
    <cfRule type="cellIs" dxfId="1212" priority="146" stopIfTrue="1" operator="lessThanOrEqual">
      <formula>0</formula>
    </cfRule>
    <cfRule type="cellIs" dxfId="1211" priority="147" stopIfTrue="1" operator="greaterThan">
      <formula>$F$59</formula>
    </cfRule>
    <cfRule type="cellIs" dxfId="1210" priority="145" stopIfTrue="1" operator="greaterThan">
      <formula>$F$62</formula>
    </cfRule>
    <cfRule type="cellIs" dxfId="1209" priority="148" stopIfTrue="1" operator="lessThanOrEqual">
      <formula>0</formula>
    </cfRule>
  </conditionalFormatting>
  <conditionalFormatting sqref="H65:H73">
    <cfRule type="cellIs" dxfId="1208" priority="125" stopIfTrue="1" operator="lessThanOrEqual">
      <formula>0</formula>
    </cfRule>
    <cfRule type="cellIs" dxfId="1207" priority="124" stopIfTrue="1" operator="greaterThan">
      <formula>$J65</formula>
    </cfRule>
  </conditionalFormatting>
  <conditionalFormatting sqref="H74">
    <cfRule type="cellIs" dxfId="1206" priority="128" operator="greaterThan">
      <formula>5.3</formula>
    </cfRule>
  </conditionalFormatting>
  <conditionalFormatting sqref="H77 H79:H85">
    <cfRule type="cellIs" dxfId="1205" priority="168" stopIfTrue="1" operator="greaterThan">
      <formula>4.5</formula>
    </cfRule>
    <cfRule type="cellIs" dxfId="1204" priority="169" stopIfTrue="1" operator="lessThanOrEqual">
      <formula>0</formula>
    </cfRule>
  </conditionalFormatting>
  <conditionalFormatting sqref="H54:I54">
    <cfRule type="cellIs" dxfId="1203" priority="4" stopIfTrue="1" operator="lessThanOrEqual">
      <formula>0</formula>
    </cfRule>
    <cfRule type="cellIs" dxfId="1202" priority="1" stopIfTrue="1" operator="greaterThan">
      <formula>$F$64</formula>
    </cfRule>
  </conditionalFormatting>
  <conditionalFormatting sqref="H55:I58">
    <cfRule type="cellIs" dxfId="1201" priority="70" stopIfTrue="1" operator="lessThanOrEqual">
      <formula>0</formula>
    </cfRule>
    <cfRule type="cellIs" dxfId="1200" priority="67" stopIfTrue="1" operator="greaterThan">
      <formula>$F$66</formula>
    </cfRule>
  </conditionalFormatting>
  <conditionalFormatting sqref="H59:I59">
    <cfRule type="cellIs" dxfId="1199" priority="96" stopIfTrue="1" operator="greaterThan">
      <formula>#REF!</formula>
    </cfRule>
    <cfRule type="cellIs" dxfId="1198" priority="102" stopIfTrue="1" operator="greaterThan">
      <formula>#REF!</formula>
    </cfRule>
    <cfRule type="cellIs" dxfId="1197" priority="99" stopIfTrue="1" operator="lessThanOrEqual">
      <formula>0</formula>
    </cfRule>
  </conditionalFormatting>
  <conditionalFormatting sqref="H59:I60">
    <cfRule type="cellIs" dxfId="1196" priority="105" stopIfTrue="1" operator="lessThanOrEqual">
      <formula>0</formula>
    </cfRule>
  </conditionalFormatting>
  <conditionalFormatting sqref="H60:I60">
    <cfRule type="cellIs" dxfId="1195" priority="81" stopIfTrue="1" operator="greaterThan">
      <formula>$F$67</formula>
    </cfRule>
    <cfRule type="cellIs" dxfId="1194" priority="83" stopIfTrue="1" operator="greaterThan">
      <formula>$F$65</formula>
    </cfRule>
  </conditionalFormatting>
  <conditionalFormatting sqref="I54">
    <cfRule type="cellIs" dxfId="1193" priority="5" stopIfTrue="1" operator="greaterThan">
      <formula>$F$62</formula>
    </cfRule>
    <cfRule type="cellIs" dxfId="1192" priority="6" stopIfTrue="1" operator="lessThanOrEqual">
      <formula>0</formula>
    </cfRule>
    <cfRule type="cellIs" dxfId="1191" priority="7" stopIfTrue="1" operator="greaterThan">
      <formula>$F$64</formula>
    </cfRule>
    <cfRule type="cellIs" dxfId="1190" priority="8" stopIfTrue="1" operator="lessThanOrEqual">
      <formula>0</formula>
    </cfRule>
    <cfRule type="cellIs" dxfId="1189" priority="9" stopIfTrue="1" operator="greaterThan">
      <formula>$F$62</formula>
    </cfRule>
    <cfRule type="cellIs" dxfId="1188" priority="10" stopIfTrue="1" operator="lessThanOrEqual">
      <formula>0</formula>
    </cfRule>
  </conditionalFormatting>
  <conditionalFormatting sqref="I55:I58">
    <cfRule type="cellIs" dxfId="1187" priority="75" stopIfTrue="1" operator="greaterThan">
      <formula>$F$64</formula>
    </cfRule>
    <cfRule type="cellIs" dxfId="1186" priority="71" stopIfTrue="1" operator="greaterThan">
      <formula>$F$64</formula>
    </cfRule>
    <cfRule type="cellIs" dxfId="1185" priority="72" stopIfTrue="1" operator="lessThanOrEqual">
      <formula>0</formula>
    </cfRule>
    <cfRule type="cellIs" dxfId="1184" priority="73" stopIfTrue="1" operator="greaterThan">
      <formula>$F$66</formula>
    </cfRule>
    <cfRule type="cellIs" dxfId="1183" priority="74" stopIfTrue="1" operator="lessThanOrEqual">
      <formula>0</formula>
    </cfRule>
    <cfRule type="cellIs" dxfId="1182" priority="76" stopIfTrue="1" operator="lessThanOrEqual">
      <formula>0</formula>
    </cfRule>
  </conditionalFormatting>
  <conditionalFormatting sqref="I59">
    <cfRule type="cellIs" dxfId="1181" priority="104" stopIfTrue="1" operator="greaterThan">
      <formula>#REF!</formula>
    </cfRule>
    <cfRule type="cellIs" dxfId="1180" priority="103" stopIfTrue="1" operator="lessThanOrEqual">
      <formula>0</formula>
    </cfRule>
    <cfRule type="cellIs" dxfId="1179" priority="101" stopIfTrue="1" operator="lessThanOrEqual">
      <formula>0</formula>
    </cfRule>
    <cfRule type="cellIs" dxfId="1178" priority="100" stopIfTrue="1" operator="greaterThan">
      <formula>#REF!</formula>
    </cfRule>
  </conditionalFormatting>
  <conditionalFormatting sqref="I60">
    <cfRule type="cellIs" dxfId="1177" priority="88" stopIfTrue="1" operator="lessThanOrEqual">
      <formula>0</formula>
    </cfRule>
    <cfRule type="cellIs" dxfId="1176" priority="84" stopIfTrue="1" operator="lessThanOrEqual">
      <formula>0</formula>
    </cfRule>
    <cfRule type="cellIs" dxfId="1175" priority="85" stopIfTrue="1" operator="greaterThan">
      <formula>$F$67</formula>
    </cfRule>
    <cfRule type="cellIs" dxfId="1174" priority="86" stopIfTrue="1" operator="lessThanOrEqual">
      <formula>0</formula>
    </cfRule>
    <cfRule type="cellIs" dxfId="1173" priority="87" stopIfTrue="1" operator="greaterThan">
      <formula>$F$65</formula>
    </cfRule>
  </conditionalFormatting>
  <conditionalFormatting sqref="I65:I74">
    <cfRule type="cellIs" dxfId="1172" priority="130" stopIfTrue="1" operator="lessThanOrEqual">
      <formula>0</formula>
    </cfRule>
    <cfRule type="cellIs" dxfId="1171" priority="129" stopIfTrue="1" operator="greaterThan">
      <formula>$J65</formula>
    </cfRule>
  </conditionalFormatting>
  <conditionalFormatting sqref="I77:I85">
    <cfRule type="cellIs" dxfId="1170" priority="164" stopIfTrue="1" operator="greaterThan">
      <formula>4.5</formula>
    </cfRule>
    <cfRule type="cellIs" dxfId="1169" priority="165" stopIfTrue="1" operator="lessThanOrEqual">
      <formula>0</formula>
    </cfRule>
  </conditionalFormatting>
  <conditionalFormatting sqref="I10:J22">
    <cfRule type="cellIs" dxfId="1168" priority="65" operator="lessThan">
      <formula>97.9</formula>
    </cfRule>
  </conditionalFormatting>
  <conditionalFormatting sqref="J25">
    <cfRule type="cellIs" dxfId="1167" priority="66" operator="lessThan">
      <formula>97.9</formula>
    </cfRule>
  </conditionalFormatting>
  <conditionalFormatting sqref="J26:J27">
    <cfRule type="cellIs" dxfId="1166" priority="118" stopIfTrue="1" operator="greaterThan">
      <formula>100</formula>
    </cfRule>
    <cfRule type="cellIs" dxfId="1165" priority="117" stopIfTrue="1" operator="lessThan">
      <formula>96.8</formula>
    </cfRule>
    <cfRule type="cellIs" dxfId="1164" priority="119" operator="lessThan">
      <formula>98</formula>
    </cfRule>
  </conditionalFormatting>
  <conditionalFormatting sqref="J26:J29">
    <cfRule type="cellIs" dxfId="1163" priority="110" operator="lessThan">
      <formula>97.4</formula>
    </cfRule>
  </conditionalFormatting>
  <conditionalFormatting sqref="J30">
    <cfRule type="cellIs" dxfId="1162" priority="120" operator="lessThan">
      <formula>98</formula>
    </cfRule>
  </conditionalFormatting>
  <conditionalFormatting sqref="J31:J33">
    <cfRule type="cellIs" dxfId="1161" priority="121" stopIfTrue="1" operator="lessThan">
      <formula>96.8</formula>
    </cfRule>
    <cfRule type="cellIs" dxfId="1160" priority="122" stopIfTrue="1" operator="greaterThan">
      <formula>100</formula>
    </cfRule>
  </conditionalFormatting>
  <conditionalFormatting sqref="J31:J34">
    <cfRule type="cellIs" dxfId="1159" priority="123" operator="lessThan">
      <formula>98</formula>
    </cfRule>
  </conditionalFormatting>
  <conditionalFormatting sqref="K10:K22">
    <cfRule type="cellIs" dxfId="1158" priority="63" operator="greaterThan">
      <formula>6.4</formula>
    </cfRule>
    <cfRule type="cellIs" dxfId="1157" priority="58" operator="greaterThan">
      <formula>6</formula>
    </cfRule>
    <cfRule type="cellIs" dxfId="1156" priority="59" operator="lessThan">
      <formula>4</formula>
    </cfRule>
  </conditionalFormatting>
  <conditionalFormatting sqref="K39:K48">
    <cfRule type="cellIs" dxfId="1155" priority="137" operator="notEqual">
      <formula>#REF!</formula>
    </cfRule>
  </conditionalFormatting>
  <conditionalFormatting sqref="K54:K61">
    <cfRule type="cellIs" dxfId="1154" priority="54" stopIfTrue="1" operator="lessThan">
      <formula>100%</formula>
    </cfRule>
  </conditionalFormatting>
  <conditionalFormatting sqref="K77:K82">
    <cfRule type="cellIs" dxfId="1153" priority="170" stopIfTrue="1" operator="lessThan">
      <formula>100%</formula>
    </cfRule>
  </conditionalFormatting>
  <conditionalFormatting sqref="K84:K85">
    <cfRule type="cellIs" dxfId="1152" priority="177" stopIfTrue="1" operator="lessThan">
      <formula>100%</formula>
    </cfRule>
  </conditionalFormatting>
  <conditionalFormatting sqref="K65:N74">
    <cfRule type="cellIs" dxfId="1151" priority="144" stopIfTrue="1" operator="lessThan">
      <formula>100%</formula>
    </cfRule>
  </conditionalFormatting>
  <conditionalFormatting sqref="L10:L22">
    <cfRule type="cellIs" dxfId="1150" priority="61" operator="greaterThan">
      <formula>65</formula>
    </cfRule>
    <cfRule type="cellIs" dxfId="1149" priority="60" operator="between">
      <formula>61</formula>
      <formula>65</formula>
    </cfRule>
  </conditionalFormatting>
  <conditionalFormatting sqref="L25:M36">
    <cfRule type="cellIs" dxfId="1148" priority="93" operator="lessThan">
      <formula>98</formula>
    </cfRule>
  </conditionalFormatting>
  <conditionalFormatting sqref="L40:N40">
    <cfRule type="cellIs" dxfId="1147" priority="113" operator="notEqual">
      <formula>#REF!</formula>
    </cfRule>
  </conditionalFormatting>
  <conditionalFormatting sqref="L77:N85">
    <cfRule type="cellIs" dxfId="1146" priority="155" stopIfTrue="1" operator="lessThan">
      <formula>100%</formula>
    </cfRule>
  </conditionalFormatting>
  <conditionalFormatting sqref="M10:M22">
    <cfRule type="expression" dxfId="1145" priority="56">
      <formula>IF(+(IF(M10&lt;V10,0,IF(M10&gt;W10,0,1)))=0,1)</formula>
    </cfRule>
  </conditionalFormatting>
  <conditionalFormatting sqref="M6:N6">
    <cfRule type="cellIs" dxfId="1144" priority="114" operator="greaterThanOrEqual">
      <formula>15</formula>
    </cfRule>
    <cfRule type="cellIs" dxfId="1143" priority="115" operator="greaterThanOrEqual">
      <formula>19</formula>
    </cfRule>
  </conditionalFormatting>
  <conditionalFormatting sqref="N10:N22">
    <cfRule type="expression" dxfId="1142" priority="57">
      <formula>IF(+(IF(N10&lt;X10,0,IF(N10&gt;Y10,0,1)))=0,1)</formula>
    </cfRule>
  </conditionalFormatting>
  <conditionalFormatting sqref="P6">
    <cfRule type="cellIs" dxfId="1141" priority="151" operator="greaterThanOrEqual">
      <formula>19</formula>
    </cfRule>
  </conditionalFormatting>
  <dataValidations count="1">
    <dataValidation type="list" allowBlank="1" showInputMessage="1" showErrorMessage="1" sqref="S8" xr:uid="{FF75F3B0-4507-480E-922E-3ADFBAC75D7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1C89-6AE3-41FA-A99F-FD519192A29C}">
  <sheetPr>
    <pageSetUpPr fitToPage="1"/>
  </sheetPr>
  <dimension ref="A1:BF83"/>
  <sheetViews>
    <sheetView topLeftCell="E4" zoomScaleNormal="100" workbookViewId="0">
      <selection activeCell="B16" sqref="B16:O16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45712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182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[22]Brewhouse!$A221</f>
        <v>CA119</v>
      </c>
      <c r="D10" s="279">
        <f>[22]Brewhouse!$AF221</f>
        <v>54.2</v>
      </c>
      <c r="E10" s="279">
        <f>[22]Brewhouse!$AI221</f>
        <v>50.9</v>
      </c>
      <c r="F10" s="278">
        <f>[22]Brewhouse!$V221</f>
        <v>63</v>
      </c>
      <c r="G10" s="279">
        <f>[22]Brewhouse!$AG221</f>
        <v>11.8</v>
      </c>
      <c r="H10" s="396">
        <v>11.8</v>
      </c>
      <c r="I10" s="368">
        <f>[22]Brewhouse!$AU221</f>
        <v>95.879175892818452</v>
      </c>
      <c r="J10" s="368">
        <f>[22]Brewhouse!$AV221</f>
        <v>99.908128028995876</v>
      </c>
      <c r="K10" s="281">
        <f>[22]Brewhouse!$Q221</f>
        <v>5.1773049645389975</v>
      </c>
      <c r="L10" s="276">
        <f>[22]Brewhouse!$P221</f>
        <v>60</v>
      </c>
      <c r="M10" s="397">
        <f>[22]Brewhouse!$U221-[22]Brewhouse!$T221</f>
        <v>0.11111111111111116</v>
      </c>
      <c r="N10" s="370">
        <f>[22]Brewhouse!$Z221</f>
        <v>0.25208333333333321</v>
      </c>
      <c r="O10" s="371" t="str">
        <f>[22]Brewhouse!$AX221</f>
        <v>R.Regis</v>
      </c>
      <c r="P10" s="369"/>
      <c r="Q10" s="347"/>
      <c r="S10" s="277" t="str">
        <f t="shared" ref="S10:S14" si="0">B10</f>
        <v>CARIB</v>
      </c>
      <c r="T10" s="296">
        <f t="shared" ref="T10:T18" si="1">VLOOKUP($B10,$S$3:$Y$9,2,FALSE)</f>
        <v>11.6</v>
      </c>
      <c r="U10" s="296">
        <f t="shared" ref="U10:U18" si="2">VLOOKUP($B10,$S$3:$Y$9,3,FALSE)</f>
        <v>12</v>
      </c>
      <c r="V10" s="297">
        <f t="shared" ref="V10:V18" si="3">VLOOKUP($B10,$S$3:$Y$9,4,FALSE)</f>
        <v>0</v>
      </c>
      <c r="W10" s="297">
        <f t="shared" ref="W10:W18" si="4">VLOOKUP($B10,$S$3:$Y$9,5,FALSE)</f>
        <v>0.118055555555556</v>
      </c>
      <c r="X10" s="297">
        <f t="shared" ref="X10:X18" si="5">VLOOKUP($B10,$S$3:$Y$9,6,FALSE)</f>
        <v>0.22569444444444445</v>
      </c>
      <c r="Y10" s="297">
        <f t="shared" ref="Y10:Y18" si="6">VLOOKUP($B10,$S$3:$Y$9,7,FALSE)</f>
        <v>0.2638888888888889</v>
      </c>
      <c r="Z10" s="297">
        <f t="shared" ref="Z10:Z18" si="7">VLOOKUP($B10,$S$3:$AA$9,8,FALSE)</f>
        <v>0</v>
      </c>
      <c r="AA10" s="296">
        <f t="shared" ref="AA10:AA18" si="8">VLOOKUP($B10,$S$3:$AA$9,9,FALSE)</f>
        <v>60</v>
      </c>
    </row>
    <row r="11" spans="2:30" ht="15.75" customHeight="1">
      <c r="B11" s="29" t="s">
        <v>6</v>
      </c>
      <c r="C11" s="366" t="str">
        <f>[22]Brewhouse!$A222</f>
        <v>CA120</v>
      </c>
      <c r="D11" s="279">
        <f>[22]Brewhouse!$AF222</f>
        <v>56.4</v>
      </c>
      <c r="E11" s="279">
        <f>[22]Brewhouse!$AI222</f>
        <v>52.9</v>
      </c>
      <c r="F11" s="278">
        <f>[22]Brewhouse!$V222</f>
        <v>64</v>
      </c>
      <c r="G11" s="279">
        <f>[22]Brewhouse!$AG222</f>
        <v>11.8</v>
      </c>
      <c r="H11" s="396">
        <v>11.8</v>
      </c>
      <c r="I11" s="368">
        <f>[22]Brewhouse!$AU222</f>
        <v>99.27872580517348</v>
      </c>
      <c r="J11" s="368">
        <f>[22]Brewhouse!$AV222</f>
        <v>103.45120756709069</v>
      </c>
      <c r="K11" s="281">
        <f>[22]Brewhouse!$Q222</f>
        <v>4.1281138790035588</v>
      </c>
      <c r="L11" s="276">
        <f>[22]Brewhouse!$P222</f>
        <v>62</v>
      </c>
      <c r="M11" s="397">
        <f>[22]Brewhouse!$U222-[22]Brewhouse!$T222</f>
        <v>0.11250000000000004</v>
      </c>
      <c r="N11" s="370">
        <f>[22]Brewhouse!$Z222</f>
        <v>0.25972222222222224</v>
      </c>
      <c r="O11" s="371" t="str">
        <f>[22]Brewhouse!$AX222</f>
        <v>R.Regis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[22]Brewhouse!$A223</f>
        <v>CA121</v>
      </c>
      <c r="D12" s="279">
        <f>[22]Brewhouse!$AF223</f>
        <v>54.7</v>
      </c>
      <c r="E12" s="279">
        <f>[22]Brewhouse!$AI223</f>
        <v>51.4</v>
      </c>
      <c r="F12" s="278">
        <f>[22]Brewhouse!$V223</f>
        <v>71</v>
      </c>
      <c r="G12" s="279">
        <f>[22]Brewhouse!$AG223</f>
        <v>11.6</v>
      </c>
      <c r="H12" s="367"/>
      <c r="I12" s="368">
        <f>[22]Brewhouse!$AU223</f>
        <v>94.977580053808055</v>
      </c>
      <c r="J12" s="368">
        <f>[22]Brewhouse!$AV223</f>
        <v>98.968862421614048</v>
      </c>
      <c r="K12" s="281">
        <f>[22]Brewhouse!$Q223</f>
        <v>2.4087591240875792</v>
      </c>
      <c r="L12" s="276">
        <f>[22]Brewhouse!$P223</f>
        <v>58</v>
      </c>
      <c r="M12" s="397">
        <f>[22]Brewhouse!$U223-[22]Brewhouse!$T223</f>
        <v>0.11249999999999999</v>
      </c>
      <c r="N12" s="370">
        <f>[22]Brewhouse!$Z223</f>
        <v>0.26041666666666669</v>
      </c>
      <c r="O12" s="371" t="str">
        <f>[22]Brewhouse!$AX223</f>
        <v>R.Sookram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[22]Brewhouse!$A224</f>
        <v>CA122</v>
      </c>
      <c r="D13" s="279">
        <f>[22]Brewhouse!$AF224</f>
        <v>54.2</v>
      </c>
      <c r="E13" s="279">
        <f>[22]Brewhouse!$AI224</f>
        <v>50.7</v>
      </c>
      <c r="F13" s="278">
        <f>[22]Brewhouse!$V224</f>
        <v>76</v>
      </c>
      <c r="G13" s="279">
        <f>[22]Brewhouse!$AG224</f>
        <v>11.8</v>
      </c>
      <c r="H13" s="367"/>
      <c r="I13" s="368">
        <f>[22]Brewhouse!$AU224</f>
        <v>95.149931915355324</v>
      </c>
      <c r="J13" s="368">
        <f>[22]Brewhouse!$AV224</f>
        <v>99.148888915907364</v>
      </c>
      <c r="K13" s="281">
        <f>[22]Brewhouse!$Q224</f>
        <v>2.9401088929219554</v>
      </c>
      <c r="L13" s="276">
        <f>[22]Brewhouse!$P224</f>
        <v>57</v>
      </c>
      <c r="M13" s="397">
        <f>[22]Brewhouse!$U224-[22]Brewhouse!$T224</f>
        <v>0.13125000000000003</v>
      </c>
      <c r="N13" s="370">
        <f>[22]Brewhouse!$Z224</f>
        <v>0.29652777777777778</v>
      </c>
      <c r="O13" s="371" t="str">
        <f>[22]Brewhouse!$AX224</f>
        <v>R.Sookram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369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369"/>
      <c r="Q15" s="347"/>
      <c r="S15" s="277">
        <f t="shared" ref="S15:S18" si="9">B15</f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33" t="s">
        <v>9</v>
      </c>
      <c r="C16" s="366" t="str">
        <f>[24]Brewhouse!$A91</f>
        <v>ST076</v>
      </c>
      <c r="D16" s="279">
        <f>[24]Brewhouse!$AD91</f>
        <v>54.9</v>
      </c>
      <c r="E16" s="279">
        <f>[24]Brewhouse!$AG91</f>
        <v>53.4</v>
      </c>
      <c r="F16" s="278">
        <f>[24]Brewhouse!$V91</f>
        <v>64</v>
      </c>
      <c r="G16" s="279">
        <f>[24]Brewhouse!$AE91</f>
        <v>12</v>
      </c>
      <c r="H16" s="396">
        <v>11.9</v>
      </c>
      <c r="I16" s="417">
        <f>[24]Brewhouse!$AS91</f>
        <v>104.009149649091</v>
      </c>
      <c r="J16" s="417">
        <f>[24]Brewhouse!$AT91</f>
        <v>107.62968087628877</v>
      </c>
      <c r="K16" s="398">
        <f>[24]Brewhouse!$Q91</f>
        <v>4.2553191489361684</v>
      </c>
      <c r="L16" s="276">
        <f>[24]Brewhouse!$P91</f>
        <v>75</v>
      </c>
      <c r="M16" s="374">
        <f>[24]Brewhouse!$U91-[24]Brewhouse!$T91</f>
        <v>0.12708333333333333</v>
      </c>
      <c r="N16" s="370">
        <f>[24]Brewhouse!$AW91</f>
        <v>0.26736111111111116</v>
      </c>
      <c r="O16" s="418" t="str">
        <f>[24]Brewhouse!$AV91</f>
        <v>K. Benjamin</v>
      </c>
      <c r="P16" s="369"/>
      <c r="Q16" s="347"/>
      <c r="S16" s="277" t="str">
        <f t="shared" si="9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17"/>
      <c r="J17" s="417"/>
      <c r="K17" s="398"/>
      <c r="L17" s="276"/>
      <c r="M17" s="374"/>
      <c r="N17" s="370"/>
      <c r="O17" s="418"/>
      <c r="P17" s="369"/>
      <c r="Q17" s="347"/>
      <c r="S17" s="277">
        <f t="shared" si="9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34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00" t="s">
        <v>34</v>
      </c>
      <c r="J19" s="500"/>
      <c r="K19" s="500"/>
      <c r="L19" s="500"/>
      <c r="M19" s="500"/>
      <c r="N19" s="500"/>
      <c r="O19" s="1"/>
      <c r="P19" s="12"/>
      <c r="S19" s="277"/>
      <c r="T19" s="296"/>
      <c r="U19" s="296"/>
      <c r="V19" s="297"/>
      <c r="W19" s="297"/>
      <c r="X19" s="297"/>
      <c r="Y19" s="297"/>
      <c r="Z19" s="297"/>
      <c r="AA19" s="296"/>
    </row>
    <row r="20" spans="1:27" ht="15" thickBot="1">
      <c r="B20" s="388" t="s">
        <v>145</v>
      </c>
      <c r="C20" s="388"/>
      <c r="D20" s="478" t="s">
        <v>35</v>
      </c>
      <c r="E20" s="479"/>
      <c r="F20" s="294"/>
      <c r="G20" s="294"/>
      <c r="H20" s="23"/>
      <c r="I20" s="24" t="s">
        <v>17</v>
      </c>
      <c r="J20" s="25" t="s">
        <v>146</v>
      </c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S20" s="277"/>
      <c r="T20" s="296"/>
      <c r="U20" s="296"/>
      <c r="V20" s="297"/>
      <c r="W20" s="297"/>
      <c r="X20" s="297"/>
      <c r="Y20" s="297"/>
      <c r="Z20" s="297"/>
      <c r="AA20" s="296"/>
    </row>
    <row r="21" spans="1:27" ht="15" customHeight="1">
      <c r="A21" s="28"/>
      <c r="B21" s="566"/>
      <c r="C21" s="450"/>
      <c r="D21" s="555"/>
      <c r="E21" s="556"/>
      <c r="F21" s="294"/>
      <c r="G21" s="294"/>
      <c r="H21" s="294"/>
      <c r="I21" s="29" t="s">
        <v>6</v>
      </c>
      <c r="J21" s="368">
        <f>AVERAGE(I10:I13)</f>
        <v>96.32135341678881</v>
      </c>
      <c r="K21" s="284">
        <f>COUNTA([22]Brewhouse!$A$22:$A$173)</f>
        <v>152</v>
      </c>
      <c r="L21" s="302">
        <f>AVERAGE([22]Brewhouse!$AU$22:$AU$173)</f>
        <v>96.983501213743381</v>
      </c>
      <c r="M21" s="302">
        <f>AVERAGE([22]Brewhouse!$AU$102:$AU$171,[22]Brewhouse!$AU$22:$AU$173)</f>
        <v>96.220958221963755</v>
      </c>
      <c r="N21" s="30">
        <v>98</v>
      </c>
      <c r="O21" s="11"/>
      <c r="P21" s="31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customHeight="1">
      <c r="A22" s="28"/>
      <c r="B22" s="567"/>
      <c r="C22" s="349"/>
      <c r="D22" s="519"/>
      <c r="E22" s="507"/>
      <c r="F22" s="294"/>
      <c r="G22" s="294"/>
      <c r="H22" s="32"/>
      <c r="I22" s="33" t="s">
        <v>9</v>
      </c>
      <c r="J22" s="323">
        <f>I16</f>
        <v>104.009149649091</v>
      </c>
      <c r="K22" s="284">
        <f>COUNTA([24]Brewhouse!$A$9:$A$66)</f>
        <v>58</v>
      </c>
      <c r="L22" s="302">
        <f>AVERAGE([24]Brewhouse!$AS$9:$AS$66)</f>
        <v>96.326865858953326</v>
      </c>
      <c r="M22" s="302">
        <f>AVERAGE([24]Brewhouse!$AS$15:$AS$64,[24]Brewhouse!$AS$9:$AS$66)</f>
        <v>96.211340980094079</v>
      </c>
      <c r="N22" s="30">
        <v>98</v>
      </c>
      <c r="O22" s="11"/>
      <c r="P22" s="31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4.7" customHeight="1">
      <c r="A23" s="28"/>
      <c r="B23" s="567"/>
      <c r="C23" s="349"/>
      <c r="D23" s="555"/>
      <c r="E23" s="556"/>
      <c r="F23" s="294"/>
      <c r="G23" s="294"/>
      <c r="H23" s="32"/>
      <c r="I23" s="34" t="s">
        <v>12</v>
      </c>
      <c r="J23" s="280"/>
      <c r="K23" s="284">
        <f>COUNTA([23]Brewhouse!$A$9:$A$22)</f>
        <v>14</v>
      </c>
      <c r="L23" s="302">
        <f>AVERAGE([23]Brewhouse!$AU$9:$AU$22)</f>
        <v>95.97048596821466</v>
      </c>
      <c r="M23" s="302">
        <f>AVERAGE([23]Brewhouse!$AU$4:$AU$7,[23]Brewhouse!$AU$9:$AU$22)</f>
        <v>96.221919722068549</v>
      </c>
      <c r="N23" s="30">
        <v>98</v>
      </c>
      <c r="O23" s="11"/>
      <c r="P23" s="31"/>
      <c r="S23" s="23"/>
      <c r="T23" s="1"/>
      <c r="U23" s="1"/>
      <c r="AA23" s="285"/>
    </row>
    <row r="24" spans="1:27" ht="14.7" customHeight="1">
      <c r="A24" s="28"/>
      <c r="B24" s="567"/>
      <c r="C24" s="349"/>
      <c r="D24" s="519"/>
      <c r="E24" s="507"/>
      <c r="F24" s="294"/>
      <c r="G24" s="294"/>
      <c r="H24" s="32"/>
      <c r="I24" s="22" t="s">
        <v>33</v>
      </c>
      <c r="J24" s="280"/>
      <c r="K24" s="284">
        <f>COUNTA([25]Brewhouse!$A$16:$A$19)</f>
        <v>4</v>
      </c>
      <c r="L24" s="302">
        <f>AVERAGE([25]Brewhouse!$AV$16:$AV$19)</f>
        <v>99.193666402492596</v>
      </c>
      <c r="M24" s="302">
        <f>AVERAGE([25]Brewhouse!$AV$5:$AV$14,[25]Brewhouse!$AV$16:$AV$19)</f>
        <v>98.139385615971563</v>
      </c>
      <c r="N24" s="30">
        <v>98</v>
      </c>
      <c r="O24" s="11"/>
      <c r="P24" s="31"/>
      <c r="S24" s="23"/>
      <c r="T24" s="1"/>
      <c r="U24" s="1"/>
      <c r="AA24" s="285"/>
    </row>
    <row r="25" spans="1:27" ht="14.7" customHeight="1">
      <c r="A25" s="28"/>
      <c r="B25" s="567"/>
      <c r="C25" s="349"/>
      <c r="D25" s="555"/>
      <c r="E25" s="556"/>
      <c r="F25" s="294"/>
      <c r="G25" s="294"/>
      <c r="H25" s="32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S25" s="23"/>
    </row>
    <row r="26" spans="1:27" ht="14.7" customHeight="1">
      <c r="A26" s="28"/>
      <c r="B26" s="567"/>
      <c r="C26" s="349"/>
      <c r="D26" s="519"/>
      <c r="E26" s="507"/>
      <c r="F26" s="294"/>
      <c r="G26" s="294"/>
      <c r="H26" s="32"/>
      <c r="I26" s="36" t="s">
        <v>15</v>
      </c>
      <c r="J26" s="323"/>
      <c r="K26" s="284"/>
      <c r="L26" s="302"/>
      <c r="M26" s="302">
        <f>AVERAGE([26]Brewhouse!$AT$4:$AT$11)</f>
        <v>94.812616598822359</v>
      </c>
      <c r="N26" s="30">
        <v>98</v>
      </c>
      <c r="O26" s="11"/>
      <c r="P26" s="31"/>
      <c r="S26" s="23"/>
    </row>
    <row r="27" spans="1:27" ht="14.7" customHeight="1">
      <c r="A27" s="28"/>
      <c r="B27" s="567"/>
      <c r="C27" s="349"/>
      <c r="D27" s="555"/>
      <c r="E27" s="556"/>
      <c r="F27" s="294"/>
      <c r="G27" s="294"/>
      <c r="H27" s="32"/>
      <c r="I27" s="37" t="s">
        <v>16</v>
      </c>
      <c r="J27" s="323"/>
      <c r="K27" s="284">
        <f>COUNTA([27]Brewhouse!$A$15:$A$20)</f>
        <v>6</v>
      </c>
      <c r="L27" s="302">
        <f>AVERAGE([27]Brewhouse!$AY$15:$AY$20)</f>
        <v>95.874175970347281</v>
      </c>
      <c r="M27" s="302">
        <f>AVERAGE([27]Brewhouse!$AY$6:$AY$13,[27]Brewhouse!$AY$15:$AY$20)</f>
        <v>94.285964321968933</v>
      </c>
      <c r="N27" s="30">
        <v>98</v>
      </c>
      <c r="O27" s="11"/>
      <c r="P27" s="31" t="s">
        <v>41</v>
      </c>
      <c r="S27" s="23"/>
      <c r="X27" s="275" t="s">
        <v>41</v>
      </c>
    </row>
    <row r="28" spans="1:27" ht="14.7" customHeight="1">
      <c r="A28" s="28"/>
      <c r="B28" s="567"/>
      <c r="C28" s="349"/>
      <c r="D28" s="519"/>
      <c r="E28" s="507"/>
      <c r="F28" s="294"/>
      <c r="G28" s="294"/>
      <c r="H28" s="32"/>
      <c r="I28" s="416" t="s">
        <v>158</v>
      </c>
      <c r="J28" s="326"/>
      <c r="K28" s="284"/>
      <c r="L28" s="305"/>
      <c r="M28" s="305">
        <f>AVERAGE([28]Brewhouse!$AU$5:$AU$8)</f>
        <v>91.006888337619571</v>
      </c>
      <c r="N28" s="30">
        <v>98</v>
      </c>
      <c r="O28" s="11"/>
      <c r="P28" s="31"/>
      <c r="S28" s="23"/>
    </row>
    <row r="29" spans="1:27" ht="14.7" customHeight="1">
      <c r="A29" s="28"/>
      <c r="B29" s="567"/>
      <c r="C29" s="349"/>
      <c r="D29" s="555"/>
      <c r="E29" s="556"/>
      <c r="F29" s="294"/>
      <c r="G29" s="294"/>
      <c r="H29" s="32"/>
      <c r="I29" s="415" t="s">
        <v>157</v>
      </c>
      <c r="J29" s="326"/>
      <c r="K29" s="284"/>
      <c r="L29" s="305"/>
      <c r="M29" s="305"/>
      <c r="N29" s="30"/>
      <c r="O29" s="11"/>
      <c r="P29" s="31"/>
      <c r="S29" s="23"/>
    </row>
    <row r="30" spans="1:27" ht="15" customHeight="1" thickBot="1">
      <c r="A30" s="28"/>
      <c r="B30" s="567"/>
      <c r="C30" s="349"/>
      <c r="D30" s="519"/>
      <c r="E30" s="507"/>
      <c r="F30" s="294"/>
      <c r="G30" s="294"/>
      <c r="H30" s="32"/>
      <c r="I30" s="411" t="s">
        <v>156</v>
      </c>
      <c r="J30" s="327"/>
      <c r="K30" s="412"/>
      <c r="L30" s="413"/>
      <c r="M30" s="413"/>
      <c r="N30" s="414">
        <v>98</v>
      </c>
      <c r="O30" s="11"/>
      <c r="P30" s="31"/>
      <c r="S30" s="23"/>
    </row>
    <row r="31" spans="1:27" ht="15" customHeight="1" thickBot="1">
      <c r="A31" s="28"/>
      <c r="B31" s="567"/>
      <c r="C31" s="349"/>
      <c r="D31" s="504"/>
      <c r="E31" s="505"/>
      <c r="F31" s="294"/>
      <c r="G31" s="294"/>
      <c r="H31" s="32"/>
      <c r="I31" s="1"/>
      <c r="J31" s="39"/>
      <c r="K31" s="409">
        <f>SUM(K21:K30)</f>
        <v>234</v>
      </c>
      <c r="L31" s="410">
        <f>((L21*K21)+(L22*K22)+(L23*K23)+(L24*K24)+(L25*K25)+(K28*L28)+(L26*K26)+(L27*K27)+(L30*K30))/(K31)</f>
        <v>96.769474056817714</v>
      </c>
      <c r="M31" s="410">
        <f>AVERAGE('[29]Jan 31st'!$L$65,L31)</f>
        <v>95.972597759227099</v>
      </c>
      <c r="N31" s="40">
        <v>98</v>
      </c>
      <c r="O31" s="11"/>
      <c r="P31" s="31"/>
      <c r="S31" s="23"/>
    </row>
    <row r="32" spans="1:27" ht="15" thickBot="1">
      <c r="B32" s="578"/>
      <c r="C32" s="350"/>
      <c r="D32" s="506"/>
      <c r="E32" s="507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S32" s="23"/>
    </row>
    <row r="33" spans="2:57" ht="15" thickBot="1">
      <c r="B33" s="585"/>
      <c r="C33" s="362"/>
      <c r="D33" s="517"/>
      <c r="E33" s="518"/>
      <c r="F33" s="43"/>
      <c r="G33" s="41"/>
      <c r="H33" s="41"/>
      <c r="I33" s="42"/>
      <c r="J33" s="587" t="s">
        <v>129</v>
      </c>
      <c r="K33" s="588"/>
      <c r="L33" s="294"/>
      <c r="M33" s="294"/>
      <c r="N33" s="294"/>
      <c r="O33" s="294"/>
      <c r="P33" s="12"/>
      <c r="S33" s="23" t="s">
        <v>41</v>
      </c>
    </row>
    <row r="34" spans="2:57" ht="13.5" customHeight="1" thickBot="1">
      <c r="B34" s="585"/>
      <c r="C34" s="349"/>
      <c r="D34" s="519"/>
      <c r="E34" s="507"/>
      <c r="F34" s="43"/>
      <c r="G34" s="41"/>
      <c r="H34" s="41"/>
      <c r="I34" s="42"/>
      <c r="J34" s="453" t="s">
        <v>17</v>
      </c>
      <c r="K34" s="454" t="s">
        <v>147</v>
      </c>
      <c r="L34" s="521" t="s">
        <v>136</v>
      </c>
      <c r="M34" s="521"/>
      <c r="N34" s="522"/>
      <c r="O34" s="294"/>
      <c r="P34" s="12"/>
      <c r="S34" s="23"/>
    </row>
    <row r="35" spans="2:57" ht="15" customHeight="1" thickBot="1">
      <c r="B35" s="585"/>
      <c r="C35" s="349"/>
      <c r="D35" s="523"/>
      <c r="E35" s="505"/>
      <c r="F35" s="43"/>
      <c r="G35" s="41"/>
      <c r="H35" s="41"/>
      <c r="I35" s="42"/>
      <c r="J35" s="455" t="s">
        <v>6</v>
      </c>
      <c r="K35" s="456">
        <f>COUNTA(B10:B13)</f>
        <v>4</v>
      </c>
      <c r="L35" s="343" t="s">
        <v>37</v>
      </c>
      <c r="M35" s="307" t="s">
        <v>38</v>
      </c>
      <c r="N35" s="307" t="s">
        <v>84</v>
      </c>
      <c r="O35" s="294"/>
      <c r="P35" s="12"/>
      <c r="S35" s="23"/>
    </row>
    <row r="36" spans="2:57" ht="15.75" customHeight="1" thickBot="1">
      <c r="B36" s="585"/>
      <c r="C36" s="349"/>
      <c r="D36" s="519"/>
      <c r="E36" s="507"/>
      <c r="F36" s="43"/>
      <c r="G36" s="41"/>
      <c r="H36" s="41"/>
      <c r="I36" s="42"/>
      <c r="J36" s="457" t="s">
        <v>9</v>
      </c>
      <c r="K36" s="456">
        <f>COUNTA(B16)</f>
        <v>1</v>
      </c>
      <c r="L36" s="344">
        <f>AVERAGE('Feb 3rd'!K79,'Feb 4th'!K77,'Feb 5th'!L68,'Feb 6th'!K75,'Feb 10th'!K69,'Feb 11th'!K68,'Feb 12th'!K70,'Feb 13th'!K69,'Feb 14th'!K47,'Feb 14th'!K47,'Feb 17th'!K47,'Feb 18th'!K47,'Feb 19th '!L38,'Feb 20th'!K49,'Feb 21st'!K45)</f>
        <v>7.0820512820512818</v>
      </c>
      <c r="M36" s="325">
        <f>AVERAGE('[29]Jan 29th '!$M$70,L36)</f>
        <v>6.7910256410256409</v>
      </c>
      <c r="N36" s="401"/>
      <c r="O36" s="294"/>
      <c r="P36" s="12"/>
      <c r="S36" s="23"/>
    </row>
    <row r="37" spans="2:57" ht="15" customHeight="1">
      <c r="B37" s="585"/>
      <c r="C37" s="349"/>
      <c r="D37" s="523"/>
      <c r="E37" s="505"/>
      <c r="F37" s="43"/>
      <c r="G37" s="41"/>
      <c r="H37" s="41"/>
      <c r="I37" s="42"/>
      <c r="J37" s="458" t="s">
        <v>40</v>
      </c>
      <c r="K37" s="456"/>
      <c r="L37" s="294"/>
      <c r="M37" s="294"/>
      <c r="N37" s="294"/>
      <c r="O37" s="294"/>
      <c r="P37" s="12"/>
      <c r="S37" s="23"/>
    </row>
    <row r="38" spans="2:57" ht="15" customHeight="1">
      <c r="B38" s="585"/>
      <c r="C38" s="349"/>
      <c r="D38" s="519"/>
      <c r="E38" s="507"/>
      <c r="F38" s="43"/>
      <c r="G38" s="41"/>
      <c r="H38" s="41"/>
      <c r="I38" s="42"/>
      <c r="J38" s="459" t="s">
        <v>33</v>
      </c>
      <c r="K38" s="456"/>
      <c r="L38" s="294"/>
      <c r="M38" s="294"/>
      <c r="N38" s="294"/>
      <c r="O38" s="294"/>
      <c r="P38" s="12"/>
      <c r="S38" s="23"/>
    </row>
    <row r="39" spans="2:57" ht="14.4">
      <c r="B39" s="585"/>
      <c r="C39" s="349"/>
      <c r="D39" s="523"/>
      <c r="E39" s="505"/>
      <c r="F39" s="43"/>
      <c r="G39" s="41"/>
      <c r="H39" s="41"/>
      <c r="I39" s="42"/>
      <c r="J39" s="460" t="s">
        <v>16</v>
      </c>
      <c r="K39" s="456"/>
      <c r="L39" s="294"/>
      <c r="M39" s="294"/>
      <c r="N39" s="294"/>
      <c r="O39" s="294"/>
      <c r="P39" s="12"/>
      <c r="S39" s="23"/>
      <c r="BD39" s="44"/>
      <c r="BE39" s="44"/>
    </row>
    <row r="40" spans="2:57" ht="14.4">
      <c r="B40" s="585"/>
      <c r="C40" s="349"/>
      <c r="D40" s="519"/>
      <c r="E40" s="507"/>
      <c r="F40" s="43"/>
      <c r="G40" s="41"/>
      <c r="H40" s="41"/>
      <c r="I40" s="42"/>
      <c r="J40" s="461" t="s">
        <v>15</v>
      </c>
      <c r="K40" s="456"/>
      <c r="L40" s="294"/>
      <c r="M40" s="294"/>
      <c r="N40" s="294"/>
      <c r="O40" s="294"/>
      <c r="P40" s="12"/>
      <c r="S40" s="23"/>
      <c r="BD40" s="44"/>
      <c r="BE40" s="44"/>
    </row>
    <row r="41" spans="2:57" ht="14.4">
      <c r="B41" s="585"/>
      <c r="C41" s="349"/>
      <c r="D41" s="524"/>
      <c r="E41" s="509"/>
      <c r="F41" s="43"/>
      <c r="G41" s="41"/>
      <c r="H41" s="41"/>
      <c r="I41" s="42"/>
      <c r="J41" s="461" t="s">
        <v>149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2:57" ht="15" thickBot="1">
      <c r="B42" s="586"/>
      <c r="C42" s="350"/>
      <c r="D42" s="525"/>
      <c r="E42" s="526"/>
      <c r="F42" s="43"/>
      <c r="G42" s="41"/>
      <c r="H42" s="41"/>
      <c r="I42" s="42"/>
      <c r="J42" s="461" t="s">
        <v>148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2:57" ht="17.7" customHeight="1" thickBot="1">
      <c r="B43" s="312" t="s">
        <v>139</v>
      </c>
      <c r="C43" s="313"/>
      <c r="D43" s="527" t="e">
        <f>AVERAGE(D21:E42)</f>
        <v>#DIV/0!</v>
      </c>
      <c r="E43" s="528"/>
      <c r="F43" s="43"/>
      <c r="G43" s="41"/>
      <c r="H43" s="41"/>
      <c r="I43" s="42"/>
      <c r="J43" s="462" t="s">
        <v>134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2:57" ht="17.7" customHeight="1">
      <c r="B44" s="363"/>
      <c r="C44" s="364"/>
      <c r="D44" s="365"/>
      <c r="E44" s="365"/>
      <c r="F44" s="43"/>
      <c r="G44" s="41"/>
      <c r="H44" s="41"/>
      <c r="I44" s="42"/>
      <c r="J44" s="462" t="s">
        <v>131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2:57" ht="15.75" customHeight="1" thickBot="1">
      <c r="B45" s="45"/>
      <c r="C45" s="11"/>
      <c r="D45" s="11"/>
      <c r="E45" s="46"/>
      <c r="F45" s="23"/>
      <c r="G45" s="11"/>
      <c r="H45" s="41"/>
      <c r="I45" s="42"/>
      <c r="J45" s="463" t="s">
        <v>130</v>
      </c>
      <c r="K45" s="464">
        <f>SUM(K35:K44)</f>
        <v>5</v>
      </c>
      <c r="L45" s="294"/>
      <c r="M45" s="294"/>
      <c r="N45" s="294"/>
      <c r="O45" s="294"/>
      <c r="P45" s="12"/>
    </row>
    <row r="46" spans="2:57" ht="20.25" customHeight="1">
      <c r="B46" s="15" t="s">
        <v>42</v>
      </c>
      <c r="C46" s="1" t="s">
        <v>43</v>
      </c>
      <c r="D46" s="1"/>
      <c r="E46" s="1"/>
      <c r="I46" s="42"/>
      <c r="L46" s="294"/>
      <c r="P46" s="334"/>
    </row>
    <row r="47" spans="2:57" ht="15" customHeight="1" thickBo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48"/>
      <c r="P47" s="49"/>
      <c r="X47" s="275" t="s">
        <v>41</v>
      </c>
    </row>
    <row r="48" spans="2:57" ht="15" customHeight="1" thickBot="1">
      <c r="B48" s="529" t="s">
        <v>17</v>
      </c>
      <c r="C48" s="529" t="s">
        <v>44</v>
      </c>
      <c r="D48" s="531" t="s">
        <v>45</v>
      </c>
      <c r="E48" s="486" t="s">
        <v>46</v>
      </c>
      <c r="F48" s="546" t="s">
        <v>47</v>
      </c>
      <c r="G48" s="540" t="s">
        <v>48</v>
      </c>
      <c r="H48" s="529" t="s">
        <v>49</v>
      </c>
      <c r="I48" s="529" t="s">
        <v>50</v>
      </c>
      <c r="J48" s="534" t="s">
        <v>28</v>
      </c>
      <c r="K48" s="484" t="s">
        <v>51</v>
      </c>
      <c r="L48" s="496" t="s">
        <v>52</v>
      </c>
      <c r="M48" s="534" t="s">
        <v>53</v>
      </c>
      <c r="N48" s="77"/>
      <c r="O48" s="13"/>
      <c r="P48" s="50"/>
    </row>
    <row r="49" spans="2:58" ht="28.5" customHeight="1" thickTop="1" thickBot="1">
      <c r="B49" s="530"/>
      <c r="C49" s="530"/>
      <c r="D49" s="532"/>
      <c r="E49" s="533"/>
      <c r="F49" s="547"/>
      <c r="G49" s="541"/>
      <c r="H49" s="530"/>
      <c r="I49" s="530"/>
      <c r="J49" s="535"/>
      <c r="K49" s="544"/>
      <c r="L49" s="545"/>
      <c r="M49" s="535"/>
      <c r="N49" s="77"/>
      <c r="O49" s="13"/>
      <c r="P49" s="50"/>
      <c r="Q49" s="355"/>
      <c r="R49" s="355"/>
      <c r="S49" s="355"/>
      <c r="T49" s="355"/>
      <c r="U49" s="51">
        <v>43466</v>
      </c>
      <c r="V49" s="51">
        <v>43467</v>
      </c>
      <c r="W49" s="51">
        <v>43468</v>
      </c>
      <c r="X49" s="51">
        <v>43469</v>
      </c>
      <c r="Y49" s="51">
        <v>43470</v>
      </c>
      <c r="Z49" s="51">
        <v>43471</v>
      </c>
      <c r="AA49" s="51">
        <v>43472</v>
      </c>
      <c r="AB49" s="51">
        <v>43473</v>
      </c>
      <c r="AC49" s="51">
        <v>43474</v>
      </c>
      <c r="AD49" s="51">
        <v>43475</v>
      </c>
      <c r="AE49" s="51">
        <v>43476</v>
      </c>
      <c r="AF49" s="51">
        <v>43477</v>
      </c>
      <c r="AG49" s="51">
        <v>43478</v>
      </c>
      <c r="AH49" s="51">
        <v>43479</v>
      </c>
      <c r="AI49" s="51">
        <v>43480</v>
      </c>
      <c r="AJ49" s="51">
        <v>43481</v>
      </c>
      <c r="AK49" s="51">
        <v>43482</v>
      </c>
      <c r="AL49" s="51">
        <v>43483</v>
      </c>
      <c r="AM49" s="51">
        <v>43484</v>
      </c>
      <c r="AN49" s="51">
        <v>43485</v>
      </c>
      <c r="AO49" s="51">
        <v>43486</v>
      </c>
      <c r="AP49" s="51">
        <v>43487</v>
      </c>
      <c r="AQ49" s="51">
        <v>43488</v>
      </c>
      <c r="AR49" s="51">
        <v>43489</v>
      </c>
      <c r="AS49" s="51">
        <v>43490</v>
      </c>
      <c r="AT49" s="51">
        <v>43491</v>
      </c>
      <c r="AU49" s="51">
        <v>43492</v>
      </c>
      <c r="AV49" s="51">
        <v>43493</v>
      </c>
      <c r="AW49" s="51">
        <v>43494</v>
      </c>
      <c r="AX49" s="51">
        <v>43495</v>
      </c>
      <c r="AY49" s="51">
        <v>43496</v>
      </c>
    </row>
    <row r="50" spans="2:58" s="54" customFormat="1" ht="45.75" customHeight="1" thickBot="1">
      <c r="B50" s="428"/>
      <c r="C50" s="283"/>
      <c r="D50" s="279"/>
      <c r="E50" s="279"/>
      <c r="F50" s="279"/>
      <c r="G50" s="279"/>
      <c r="H50" s="320"/>
      <c r="I50" s="322"/>
      <c r="J50" s="438"/>
      <c r="K50" s="286"/>
      <c r="L50" s="314"/>
      <c r="M50" s="281"/>
      <c r="N50" s="13"/>
      <c r="O50" s="13"/>
      <c r="P50" s="50"/>
      <c r="T50" s="272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277"/>
      <c r="AZ50" s="277"/>
      <c r="BA50" s="277"/>
      <c r="BB50" s="277"/>
      <c r="BC50" s="277"/>
      <c r="BD50" s="277"/>
      <c r="BE50" s="277"/>
      <c r="BF50" s="277"/>
    </row>
    <row r="51" spans="2:58" s="54" customFormat="1" ht="21" customHeight="1" thickBot="1">
      <c r="B51" s="387"/>
      <c r="C51" s="283"/>
      <c r="D51" s="279"/>
      <c r="E51" s="279"/>
      <c r="F51" s="279"/>
      <c r="G51" s="279"/>
      <c r="H51" s="320"/>
      <c r="I51" s="322"/>
      <c r="J51" s="389"/>
      <c r="K51" s="437"/>
      <c r="L51" s="314"/>
      <c r="M51" s="384"/>
      <c r="N51" s="13"/>
      <c r="O51" s="13"/>
      <c r="P51" s="50"/>
      <c r="T51" s="272" t="s">
        <v>51</v>
      </c>
      <c r="U51" s="57">
        <f>[20]January_2019!D6</f>
        <v>0</v>
      </c>
      <c r="V51" s="57">
        <f>[20]January_2019!E6</f>
        <v>0</v>
      </c>
      <c r="W51" s="57">
        <f>[20]January_2019!F6</f>
        <v>0</v>
      </c>
      <c r="X51" s="57">
        <f>[20]January_2019!G6</f>
        <v>0</v>
      </c>
      <c r="Y51" s="57">
        <f>[20]January_2019!H6</f>
        <v>0</v>
      </c>
      <c r="Z51" s="57">
        <f>[20]January_2019!I6</f>
        <v>0</v>
      </c>
      <c r="AA51" s="57">
        <f>[20]January_2019!J6</f>
        <v>0</v>
      </c>
      <c r="AB51" s="57">
        <f>[20]January_2019!K6</f>
        <v>0</v>
      </c>
      <c r="AC51" s="57">
        <f>[20]January_2019!L6</f>
        <v>0</v>
      </c>
      <c r="AD51" s="57">
        <f>[20]January_2019!M6</f>
        <v>0</v>
      </c>
      <c r="AE51" s="57">
        <f>[20]January_2019!N6</f>
        <v>0</v>
      </c>
      <c r="AF51" s="57">
        <f>[20]January_2019!O6</f>
        <v>0</v>
      </c>
      <c r="AG51" s="57">
        <f>[20]January_2019!P6</f>
        <v>0</v>
      </c>
      <c r="AH51" s="57">
        <f>[20]January_2019!Q6</f>
        <v>0</v>
      </c>
      <c r="AI51" s="57">
        <f>[20]January_2019!R6</f>
        <v>0</v>
      </c>
      <c r="AJ51" s="57">
        <f>[20]January_2019!S6</f>
        <v>0</v>
      </c>
      <c r="AK51" s="57">
        <f>[20]January_2019!T6</f>
        <v>0</v>
      </c>
      <c r="AL51" s="57">
        <f>[20]January_2019!U6</f>
        <v>0</v>
      </c>
      <c r="AM51" s="57">
        <f>[20]January_2019!V6</f>
        <v>0</v>
      </c>
      <c r="AN51" s="57">
        <f>[20]January_2019!W6</f>
        <v>0</v>
      </c>
      <c r="AO51" s="57">
        <f>[20]January_2019!X6</f>
        <v>0</v>
      </c>
      <c r="AP51" s="57">
        <f>[20]January_2019!Y6</f>
        <v>0</v>
      </c>
      <c r="AQ51" s="57">
        <f>[20]January_2019!Z6</f>
        <v>0</v>
      </c>
      <c r="AR51" s="57">
        <f>[20]January_2019!AA6</f>
        <v>0</v>
      </c>
      <c r="AS51" s="57">
        <f>[20]January_2019!AB6</f>
        <v>0</v>
      </c>
      <c r="AT51" s="57">
        <f>[20]January_2019!AC6</f>
        <v>0</v>
      </c>
      <c r="AU51" s="57">
        <f>[20]January_2019!AD6</f>
        <v>0</v>
      </c>
      <c r="AV51" s="57">
        <f>[20]January_2019!AE6</f>
        <v>0</v>
      </c>
      <c r="AW51" s="57">
        <f>[20]January_2019!AF6</f>
        <v>0</v>
      </c>
      <c r="AX51" s="57">
        <f>[20]January_2019!AG6</f>
        <v>0</v>
      </c>
      <c r="AY51" s="277">
        <f>[20]January_2019!AH6</f>
        <v>0</v>
      </c>
      <c r="AZ51" s="277"/>
      <c r="BA51" s="277"/>
      <c r="BB51" s="277"/>
      <c r="BC51" s="277"/>
      <c r="BD51" s="277"/>
      <c r="BE51" s="277"/>
      <c r="BF51" s="277"/>
    </row>
    <row r="52" spans="2:58" s="54" customFormat="1" ht="56.4" hidden="1" customHeight="1">
      <c r="B52" s="387"/>
      <c r="C52" s="283"/>
      <c r="D52" s="279"/>
      <c r="E52" s="279"/>
      <c r="F52" s="279"/>
      <c r="G52" s="279"/>
      <c r="H52" s="320"/>
      <c r="I52" s="322"/>
      <c r="J52" s="389"/>
      <c r="K52" s="437"/>
      <c r="L52" s="314"/>
      <c r="M52" s="384"/>
      <c r="N52" s="13"/>
      <c r="O52" s="13"/>
      <c r="P52" s="50"/>
      <c r="T52" s="272" t="s">
        <v>54</v>
      </c>
      <c r="U52" s="279"/>
      <c r="V52" s="279"/>
      <c r="W52" s="279"/>
      <c r="X52" s="279"/>
      <c r="Y52" s="279"/>
      <c r="Z52" s="279"/>
      <c r="AA52" s="279"/>
      <c r="AB52" s="279"/>
      <c r="AC52" s="279"/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79"/>
      <c r="AO52" s="279"/>
      <c r="AP52" s="279"/>
      <c r="AQ52" s="279"/>
      <c r="AR52" s="279"/>
      <c r="AS52" s="279"/>
      <c r="AT52" s="279"/>
      <c r="AU52" s="279"/>
      <c r="AV52" s="279"/>
      <c r="AW52" s="279"/>
      <c r="AX52" s="279"/>
    </row>
    <row r="53" spans="2:58" s="54" customFormat="1" ht="18.75" hidden="1" customHeigh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384"/>
      <c r="N53" s="13"/>
      <c r="O53" s="13"/>
      <c r="P53" s="50"/>
      <c r="T53" s="272" t="s">
        <v>51</v>
      </c>
      <c r="U53" s="57" t="e">
        <f>[20]January_2019!D8</f>
        <v>#DIV/0!</v>
      </c>
      <c r="V53" s="57">
        <f>[20]January_2019!E8</f>
        <v>1.0319298245614037</v>
      </c>
      <c r="W53" s="57">
        <f>[20]January_2019!F8</f>
        <v>1.7789473684210526</v>
      </c>
      <c r="X53" s="57">
        <f>[20]January_2019!G8</f>
        <v>0.51929824561403504</v>
      </c>
      <c r="Y53" s="57" t="e">
        <f>[20]January_2019!H8</f>
        <v>#DIV/0!</v>
      </c>
      <c r="Z53" s="57" t="e">
        <f>[20]January_2019!I8</f>
        <v>#DIV/0!</v>
      </c>
      <c r="AA53" s="57">
        <f>[20]January_2019!J8</f>
        <v>1.365263157894737</v>
      </c>
      <c r="AB53" s="57" t="e">
        <f>[20]January_2019!K8</f>
        <v>#DIV/0!</v>
      </c>
      <c r="AC53" s="57">
        <f>[20]January_2019!L8</f>
        <v>1.0028070175438597</v>
      </c>
      <c r="AD53" s="57">
        <f>[20]January_2019!M8</f>
        <v>1.7828070175438597</v>
      </c>
      <c r="AE53" s="57" t="e">
        <f>[20]January_2019!N8</f>
        <v>#DIV/0!</v>
      </c>
      <c r="AF53" s="57" t="e">
        <f>[20]January_2019!O8</f>
        <v>#DIV/0!</v>
      </c>
      <c r="AG53" s="57">
        <f>[20]January_2019!P8</f>
        <v>0.19222222222222221</v>
      </c>
      <c r="AH53" s="57">
        <f>[20]January_2019!Q8</f>
        <v>0.52219298245614032</v>
      </c>
      <c r="AI53" s="57">
        <f>[20]January_2019!R8</f>
        <v>0.42912280701754385</v>
      </c>
      <c r="AJ53" s="57" t="e">
        <f>[20]January_2019!S8</f>
        <v>#DIV/0!</v>
      </c>
      <c r="AK53" s="57">
        <f>[20]January_2019!T8</f>
        <v>1.0340350877192983</v>
      </c>
      <c r="AL53" s="57">
        <f>[20]January_2019!U8</f>
        <v>0.98421052631578942</v>
      </c>
      <c r="AM53" s="57" t="e">
        <f>[20]January_2019!V8</f>
        <v>#DIV/0!</v>
      </c>
      <c r="AN53" s="57" t="e">
        <f>[20]January_2019!W8</f>
        <v>#DIV/0!</v>
      </c>
      <c r="AO53" s="57">
        <f>[20]January_2019!X8</f>
        <v>0.66052631578947374</v>
      </c>
      <c r="AP53" s="57">
        <f>[20]January_2019!Y8</f>
        <v>1.0375438596491227</v>
      </c>
      <c r="AQ53" s="57">
        <f>[20]January_2019!Z8</f>
        <v>0.90456140350877201</v>
      </c>
      <c r="AR53" s="57">
        <f>[20]January_2019!AA8</f>
        <v>1.0217543859649123</v>
      </c>
      <c r="AS53" s="57">
        <f>[20]January_2019!AB8</f>
        <v>0.65614035087719302</v>
      </c>
      <c r="AT53" s="57" t="e">
        <f>[20]January_2019!AC8</f>
        <v>#DIV/0!</v>
      </c>
      <c r="AU53" s="57" t="e">
        <f>[20]January_2019!AD8</f>
        <v>#DIV/0!</v>
      </c>
      <c r="AV53" s="57">
        <f>[20]January_2019!AE8</f>
        <v>1.7021052631578948</v>
      </c>
      <c r="AW53" s="57">
        <f>[20]January_2019!AF8</f>
        <v>0.60192982456140354</v>
      </c>
      <c r="AX53" s="57">
        <f>[20]January_2019!AG8</f>
        <v>1.4870175438596491</v>
      </c>
      <c r="AY53" s="277" t="e">
        <f>[20]January_2019!AH8</f>
        <v>#DIV/0!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42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7"/>
      <c r="L54" s="314"/>
      <c r="M54" s="384"/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14.4" hidden="1" thickBot="1">
      <c r="B55" s="361"/>
      <c r="C55" s="283"/>
      <c r="D55" s="304"/>
      <c r="E55" s="279"/>
      <c r="F55" s="279"/>
      <c r="G55" s="279"/>
      <c r="H55" s="381"/>
      <c r="I55" s="381"/>
      <c r="J55" s="389"/>
      <c r="K55" s="437"/>
      <c r="L55" s="314"/>
      <c r="M55" s="339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s="54" customFormat="1" ht="9" hidden="1" customHeight="1">
      <c r="B56" s="387"/>
      <c r="C56" s="283"/>
      <c r="D56" s="279"/>
      <c r="E56" s="279"/>
      <c r="F56" s="279"/>
      <c r="G56" s="279"/>
      <c r="H56" s="320"/>
      <c r="I56" s="322"/>
      <c r="J56" s="281"/>
      <c r="K56" s="286"/>
      <c r="L56" s="314"/>
      <c r="M56" s="339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ht="11.4" hidden="1" customHeight="1" thickBot="1">
      <c r="B57" s="33"/>
      <c r="C57" s="310"/>
      <c r="D57" s="279"/>
      <c r="E57" s="279"/>
      <c r="F57" s="279"/>
      <c r="G57" s="279"/>
      <c r="H57" s="352"/>
      <c r="I57" s="353"/>
      <c r="J57" s="281"/>
      <c r="K57" s="52"/>
      <c r="L57" s="53"/>
      <c r="M57" s="55"/>
      <c r="N57" s="77"/>
      <c r="O57" s="13"/>
      <c r="P57" s="56"/>
    </row>
    <row r="58" spans="2:58" ht="14.4" thickBot="1">
      <c r="B58" s="58"/>
      <c r="C58" s="309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9"/>
      <c r="O58" s="56"/>
      <c r="P58" s="60"/>
    </row>
    <row r="59" spans="2:58" ht="14.4" thickBot="1">
      <c r="B59" s="536" t="s">
        <v>55</v>
      </c>
      <c r="C59" s="537"/>
      <c r="D59" s="537"/>
      <c r="E59" s="537"/>
      <c r="F59" s="538"/>
      <c r="G59" s="536" t="s">
        <v>56</v>
      </c>
      <c r="H59" s="537"/>
      <c r="I59" s="537"/>
      <c r="J59" s="538"/>
      <c r="K59" s="536" t="s">
        <v>51</v>
      </c>
      <c r="L59" s="537"/>
      <c r="M59" s="537"/>
      <c r="N59" s="539"/>
      <c r="O59" s="56"/>
      <c r="P59" s="50"/>
    </row>
    <row r="60" spans="2:58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8">
      <c r="B61" s="29" t="s">
        <v>6</v>
      </c>
      <c r="C61" s="65"/>
      <c r="D61" s="76">
        <v>6.5448072841788409</v>
      </c>
      <c r="E61" s="76">
        <v>7.2431413404772673</v>
      </c>
      <c r="F61" s="66">
        <v>4.8</v>
      </c>
      <c r="G61" s="65"/>
      <c r="H61" s="76">
        <v>7.1969619815726622</v>
      </c>
      <c r="I61" s="76">
        <v>7.673033444751014</v>
      </c>
      <c r="J61" s="66">
        <v>4.8</v>
      </c>
      <c r="K61" s="67"/>
      <c r="L61" s="194">
        <v>0.66328941906180561</v>
      </c>
      <c r="M61" s="194">
        <v>0.84122488808568274</v>
      </c>
      <c r="N61" s="68">
        <v>1</v>
      </c>
      <c r="O61" s="56"/>
      <c r="P61" s="69"/>
    </row>
    <row r="62" spans="2:58">
      <c r="B62" s="33" t="s">
        <v>9</v>
      </c>
      <c r="C62" s="65"/>
      <c r="D62" s="76">
        <v>6.6241169909530218</v>
      </c>
      <c r="E62" s="76">
        <v>6.7066838440757675</v>
      </c>
      <c r="F62" s="66">
        <v>4.8</v>
      </c>
      <c r="G62" s="65"/>
      <c r="H62" s="76">
        <v>6.5438307865505001</v>
      </c>
      <c r="I62" s="76">
        <v>6.7059091567256077</v>
      </c>
      <c r="J62" s="66">
        <v>4.8</v>
      </c>
      <c r="K62" s="67"/>
      <c r="L62" s="194">
        <v>0.61918200707621074</v>
      </c>
      <c r="M62" s="194">
        <v>0.75354343167523652</v>
      </c>
      <c r="N62" s="68">
        <v>1</v>
      </c>
      <c r="P62" s="69"/>
    </row>
    <row r="63" spans="2:58">
      <c r="B63" s="34" t="s">
        <v>40</v>
      </c>
      <c r="C63" s="65"/>
      <c r="D63" s="76">
        <v>18.104405775638647</v>
      </c>
      <c r="E63" s="76">
        <v>14.176156170113877</v>
      </c>
      <c r="F63" s="66">
        <v>5.5</v>
      </c>
      <c r="G63" s="65"/>
      <c r="H63" s="76">
        <v>20.086278780699747</v>
      </c>
      <c r="I63" s="76">
        <v>15.811420854943506</v>
      </c>
      <c r="J63" s="66">
        <v>5.5</v>
      </c>
      <c r="K63" s="67"/>
      <c r="L63" s="194">
        <v>0.31152046783625731</v>
      </c>
      <c r="M63" s="194">
        <v>0.4570760233918128</v>
      </c>
      <c r="N63" s="68">
        <v>1</v>
      </c>
      <c r="P63" s="69"/>
    </row>
    <row r="64" spans="2:58">
      <c r="B64" s="22" t="s">
        <v>33</v>
      </c>
      <c r="C64" s="65"/>
      <c r="D64" s="76">
        <v>4.9603174603174329</v>
      </c>
      <c r="E64" s="76">
        <v>3.9190537266638161</v>
      </c>
      <c r="F64" s="66">
        <v>3.3</v>
      </c>
      <c r="G64" s="65"/>
      <c r="H64" s="76">
        <v>5.7667082440308048</v>
      </c>
      <c r="I64" s="76">
        <v>5.345661717473071</v>
      </c>
      <c r="J64" s="66">
        <v>3.3</v>
      </c>
      <c r="K64" s="67"/>
      <c r="L64" s="194">
        <v>0.67228070175438603</v>
      </c>
      <c r="M64" s="194">
        <v>0.78853801169590654</v>
      </c>
      <c r="N64" s="68">
        <v>1</v>
      </c>
      <c r="P64" s="69"/>
    </row>
    <row r="65" spans="2:16">
      <c r="B65" s="469" t="s">
        <v>181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K65" s="67"/>
      <c r="L65" s="194"/>
      <c r="M65" s="194"/>
      <c r="N65" s="68">
        <v>1</v>
      </c>
      <c r="P65" s="69"/>
    </row>
    <row r="66" spans="2:16">
      <c r="B66" s="36" t="s">
        <v>15</v>
      </c>
      <c r="C66" s="282"/>
      <c r="D66" s="76"/>
      <c r="E66" s="76">
        <v>8.7664670658682695</v>
      </c>
      <c r="F66" s="70">
        <f>[21]May_2022!$M$43</f>
        <v>3.4878406700073312</v>
      </c>
      <c r="G66" s="282"/>
      <c r="H66" s="76"/>
      <c r="I66" s="76">
        <v>10.607235567685406</v>
      </c>
      <c r="J66" s="70">
        <v>5.5</v>
      </c>
      <c r="K66" s="67"/>
      <c r="L66" s="194"/>
      <c r="M66" s="194">
        <v>0.66824561403508764</v>
      </c>
      <c r="N66" s="68">
        <v>1</v>
      </c>
      <c r="P66" s="69"/>
    </row>
    <row r="67" spans="2:16">
      <c r="B67" s="37" t="s">
        <v>16</v>
      </c>
      <c r="C67" s="65"/>
      <c r="D67" s="76">
        <v>3.3333333333333082</v>
      </c>
      <c r="E67" s="76">
        <v>2.2765363128491556</v>
      </c>
      <c r="F67" s="66">
        <v>3.3</v>
      </c>
      <c r="G67" s="282"/>
      <c r="H67" s="76">
        <v>5.2583423035521699</v>
      </c>
      <c r="I67" s="76">
        <v>4.5833713915368151</v>
      </c>
      <c r="J67" s="70">
        <v>3.3</v>
      </c>
      <c r="K67" s="67"/>
      <c r="L67" s="194">
        <v>1.0053333333333334</v>
      </c>
      <c r="M67" s="194">
        <v>0.8042528735632184</v>
      </c>
      <c r="N67" s="71">
        <v>1</v>
      </c>
      <c r="P67" s="69"/>
    </row>
    <row r="68" spans="2:16" ht="14.4" thickBot="1">
      <c r="B68" s="468" t="s">
        <v>127</v>
      </c>
      <c r="C68" s="65"/>
      <c r="D68" s="76"/>
      <c r="E68" s="76"/>
      <c r="F68" s="70">
        <v>7.5</v>
      </c>
      <c r="G68" s="282"/>
      <c r="H68" s="76"/>
      <c r="I68" s="76"/>
      <c r="J68" s="72">
        <v>7.5</v>
      </c>
      <c r="K68" s="67"/>
      <c r="L68" s="194"/>
      <c r="M68" s="194"/>
      <c r="N68" s="71">
        <v>1</v>
      </c>
      <c r="P68" s="69"/>
    </row>
    <row r="69" spans="2:16" ht="14.4" thickBot="1">
      <c r="B69" s="435" t="s">
        <v>134</v>
      </c>
      <c r="C69" s="434"/>
      <c r="D69" s="76">
        <v>4.8792508624938291</v>
      </c>
      <c r="E69" s="76">
        <v>7.4485596707818953</v>
      </c>
      <c r="F69" s="66">
        <v>5.5</v>
      </c>
      <c r="G69" s="282"/>
      <c r="H69" s="76">
        <v>6.2003723782925313</v>
      </c>
      <c r="I69" s="76">
        <v>6.2003723782925313</v>
      </c>
      <c r="J69" s="433">
        <v>5.5</v>
      </c>
      <c r="K69" s="67"/>
      <c r="L69" s="194">
        <v>1</v>
      </c>
      <c r="M69" s="194">
        <v>0.67719298245614035</v>
      </c>
      <c r="N69" s="71">
        <v>1</v>
      </c>
      <c r="P69" s="69"/>
    </row>
    <row r="70" spans="2:16">
      <c r="C70" s="282"/>
      <c r="D70" s="76">
        <v>7.4485596707818953</v>
      </c>
      <c r="E70" s="76">
        <v>7.1747756393876987</v>
      </c>
      <c r="F70" s="341">
        <v>4.5</v>
      </c>
      <c r="G70" s="282"/>
      <c r="H70" s="76">
        <v>8.4191497437750336</v>
      </c>
      <c r="I70" s="76">
        <v>7.9266436711919717</v>
      </c>
      <c r="J70" s="342">
        <v>5</v>
      </c>
      <c r="K70" s="67"/>
      <c r="L70" s="194">
        <v>0.56650239113139411</v>
      </c>
      <c r="M70" s="194">
        <v>0.56650239113139411</v>
      </c>
      <c r="N70" s="386">
        <v>1</v>
      </c>
      <c r="O70" s="74"/>
      <c r="P70" s="75"/>
    </row>
    <row r="75" spans="2:16">
      <c r="F75" s="315"/>
    </row>
    <row r="83" spans="30:30">
      <c r="AD83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59:F59"/>
    <mergeCell ref="G59:J59"/>
    <mergeCell ref="K59:N59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1140" priority="110" operator="notBetween">
      <formula>#REF!</formula>
      <formula>#REF!</formula>
    </cfRule>
  </conditionalFormatting>
  <conditionalFormatting sqref="C47">
    <cfRule type="cellIs" dxfId="1139" priority="141" stopIfTrue="1" operator="lessThan">
      <formula>96</formula>
    </cfRule>
    <cfRule type="cellIs" dxfId="1138" priority="142" stopIfTrue="1" operator="greaterThan">
      <formula>100</formula>
    </cfRule>
  </conditionalFormatting>
  <conditionalFormatting sqref="C61">
    <cfRule type="cellIs" dxfId="1137" priority="69" stopIfTrue="1" operator="greaterThan">
      <formula>$F61</formula>
    </cfRule>
  </conditionalFormatting>
  <conditionalFormatting sqref="C61:C62">
    <cfRule type="cellIs" dxfId="1136" priority="70" stopIfTrue="1" operator="lessThanOrEqual">
      <formula>0</formula>
    </cfRule>
  </conditionalFormatting>
  <conditionalFormatting sqref="C62">
    <cfRule type="cellIs" dxfId="1135" priority="145" stopIfTrue="1" operator="greaterThan">
      <formula>$F61</formula>
    </cfRule>
  </conditionalFormatting>
  <conditionalFormatting sqref="C63:C65">
    <cfRule type="cellIs" dxfId="1134" priority="77" stopIfTrue="1" operator="greaterThan">
      <formula>$F63</formula>
    </cfRule>
  </conditionalFormatting>
  <conditionalFormatting sqref="C63:C66">
    <cfRule type="cellIs" dxfId="1133" priority="88" stopIfTrue="1" operator="lessThanOrEqual">
      <formula>0</formula>
    </cfRule>
  </conditionalFormatting>
  <conditionalFormatting sqref="C66">
    <cfRule type="cellIs" dxfId="1132" priority="87" stopIfTrue="1" operator="greaterThan">
      <formula>$J66</formula>
    </cfRule>
  </conditionalFormatting>
  <conditionalFormatting sqref="C70">
    <cfRule type="cellIs" dxfId="1131" priority="55" stopIfTrue="1" operator="greaterThan">
      <formula>$J70</formula>
    </cfRule>
    <cfRule type="cellIs" dxfId="1130" priority="56" stopIfTrue="1" operator="lessThanOrEqual">
      <formula>0</formula>
    </cfRule>
  </conditionalFormatting>
  <conditionalFormatting sqref="C73:C77">
    <cfRule type="cellIs" dxfId="1129" priority="133" stopIfTrue="1" operator="lessThanOrEqual">
      <formula>0</formula>
    </cfRule>
  </conditionalFormatting>
  <conditionalFormatting sqref="C74:C77">
    <cfRule type="cellIs" dxfId="1128" priority="132" stopIfTrue="1" operator="greaterThan">
      <formula>$F$73</formula>
    </cfRule>
  </conditionalFormatting>
  <conditionalFormatting sqref="C79">
    <cfRule type="cellIs" dxfId="1127" priority="135" stopIfTrue="1" operator="lessThanOrEqual">
      <formula>0</formula>
    </cfRule>
    <cfRule type="cellIs" dxfId="1126" priority="134" stopIfTrue="1" operator="greaterThan">
      <formula>$F$73</formula>
    </cfRule>
  </conditionalFormatting>
  <conditionalFormatting sqref="C73:D73 D75:D81">
    <cfRule type="cellIs" dxfId="1125" priority="127" stopIfTrue="1" operator="greaterThan">
      <formula>4.5</formula>
    </cfRule>
  </conditionalFormatting>
  <conditionalFormatting sqref="D43:D44">
    <cfRule type="cellIs" dxfId="1124" priority="111" operator="notBetween">
      <formula>#REF!</formula>
      <formula>#REF!</formula>
    </cfRule>
  </conditionalFormatting>
  <conditionalFormatting sqref="D61:D69">
    <cfRule type="cellIs" dxfId="1123" priority="100" stopIfTrue="1" operator="lessThanOrEqual">
      <formula>0</formula>
    </cfRule>
  </conditionalFormatting>
  <conditionalFormatting sqref="D70">
    <cfRule type="cellIs" dxfId="1122" priority="99" stopIfTrue="1" operator="lessThanOrEqual">
      <formula>0</formula>
    </cfRule>
  </conditionalFormatting>
  <conditionalFormatting sqref="D73 D75:D81">
    <cfRule type="cellIs" dxfId="1121" priority="128" stopIfTrue="1" operator="lessThanOrEqual">
      <formula>0</formula>
    </cfRule>
  </conditionalFormatting>
  <conditionalFormatting sqref="D74">
    <cfRule type="cellIs" dxfId="1120" priority="120" stopIfTrue="1" operator="lessThanOrEqual">
      <formula>0</formula>
    </cfRule>
    <cfRule type="cellIs" dxfId="1119" priority="119" stopIfTrue="1" operator="greaterThan">
      <formula>$F$73</formula>
    </cfRule>
  </conditionalFormatting>
  <conditionalFormatting sqref="D61:E70">
    <cfRule type="cellIs" dxfId="1118" priority="92" stopIfTrue="1" operator="greaterThan">
      <formula>$F61</formula>
    </cfRule>
  </conditionalFormatting>
  <conditionalFormatting sqref="E10:E18">
    <cfRule type="cellIs" dxfId="1117" priority="23" operator="lessThan">
      <formula>48</formula>
    </cfRule>
  </conditionalFormatting>
  <conditionalFormatting sqref="E47">
    <cfRule type="cellIs" dxfId="1116" priority="122" stopIfTrue="1" operator="greaterThan">
      <formula>100</formula>
    </cfRule>
    <cfRule type="cellIs" dxfId="1115" priority="121" stopIfTrue="1" operator="lessThan">
      <formula>96.8</formula>
    </cfRule>
  </conditionalFormatting>
  <conditionalFormatting sqref="E61:E70">
    <cfRule type="cellIs" dxfId="1114" priority="93" stopIfTrue="1" operator="lessThanOrEqual">
      <formula>0</formula>
    </cfRule>
  </conditionalFormatting>
  <conditionalFormatting sqref="E73:E81">
    <cfRule type="cellIs" dxfId="1113" priority="114" stopIfTrue="1" operator="lessThanOrEqual">
      <formula>0</formula>
    </cfRule>
    <cfRule type="cellIs" dxfId="1112" priority="113" stopIfTrue="1" operator="greaterThan">
      <formula>4.5</formula>
    </cfRule>
  </conditionalFormatting>
  <conditionalFormatting sqref="E46:F47">
    <cfRule type="cellIs" dxfId="1111" priority="124" stopIfTrue="1" operator="greaterThan">
      <formula>100</formula>
    </cfRule>
    <cfRule type="cellIs" dxfId="1110" priority="123" stopIfTrue="1" operator="lessThan">
      <formula>96.5</formula>
    </cfRule>
  </conditionalFormatting>
  <conditionalFormatting sqref="F10:F18">
    <cfRule type="cellIs" dxfId="1109" priority="25" operator="greaterThan">
      <formula>60</formula>
    </cfRule>
  </conditionalFormatting>
  <conditionalFormatting sqref="F47">
    <cfRule type="cellIs" dxfId="1108" priority="139" stopIfTrue="1" operator="lessThan">
      <formula>96.8</formula>
    </cfRule>
    <cfRule type="cellIs" dxfId="1107" priority="140" stopIfTrue="1" operator="greaterThan">
      <formula>100</formula>
    </cfRule>
  </conditionalFormatting>
  <conditionalFormatting sqref="F70">
    <cfRule type="cellIs" dxfId="1106" priority="95" stopIfTrue="1" operator="lessThanOrEqual">
      <formula>0</formula>
    </cfRule>
    <cfRule type="cellIs" dxfId="1105" priority="94" stopIfTrue="1" operator="greaterThan">
      <formula>$F70</formula>
    </cfRule>
  </conditionalFormatting>
  <conditionalFormatting sqref="G61:G62 C67:C69">
    <cfRule type="cellIs" dxfId="1104" priority="102" stopIfTrue="1" operator="lessThanOrEqual">
      <formula>0</formula>
    </cfRule>
    <cfRule type="cellIs" dxfId="1103" priority="101" stopIfTrue="1" operator="greaterThan">
      <formula>$F61</formula>
    </cfRule>
  </conditionalFormatting>
  <conditionalFormatting sqref="G61:G62">
    <cfRule type="cellIs" dxfId="1102" priority="73" stopIfTrue="1" operator="lessThanOrEqual">
      <formula>0</formula>
    </cfRule>
    <cfRule type="cellIs" dxfId="1101" priority="72" stopIfTrue="1" operator="greaterThan">
      <formula>$F61</formula>
    </cfRule>
  </conditionalFormatting>
  <conditionalFormatting sqref="G63">
    <cfRule type="cellIs" dxfId="1100" priority="143" stopIfTrue="1" operator="greaterThan">
      <formula>$F62</formula>
    </cfRule>
    <cfRule type="cellIs" dxfId="1099" priority="144" stopIfTrue="1" operator="lessThanOrEqual">
      <formula>0</formula>
    </cfRule>
  </conditionalFormatting>
  <conditionalFormatting sqref="G64">
    <cfRule type="cellIs" dxfId="1098" priority="97" stopIfTrue="1" operator="lessThanOrEqual">
      <formula>0</formula>
    </cfRule>
    <cfRule type="cellIs" dxfId="1097" priority="96" stopIfTrue="1" operator="greaterThan">
      <formula>$F64</formula>
    </cfRule>
  </conditionalFormatting>
  <conditionalFormatting sqref="G65:G70">
    <cfRule type="cellIs" dxfId="1096" priority="103" stopIfTrue="1" operator="greaterThan">
      <formula>$J65</formula>
    </cfRule>
    <cfRule type="cellIs" dxfId="1095" priority="104" stopIfTrue="1" operator="lessThanOrEqual">
      <formula>0</formula>
    </cfRule>
  </conditionalFormatting>
  <conditionalFormatting sqref="G75:G80 C78 C80">
    <cfRule type="cellIs" dxfId="1094" priority="137" stopIfTrue="1" operator="lessThanOrEqual">
      <formula>0</formula>
    </cfRule>
    <cfRule type="cellIs" dxfId="1093" priority="136" stopIfTrue="1" operator="greaterThan">
      <formula>4.5</formula>
    </cfRule>
  </conditionalFormatting>
  <conditionalFormatting sqref="G10:H18">
    <cfRule type="expression" dxfId="1092" priority="16">
      <formula>IF(+(IF(G10&lt;#REF!,0,IF(G10&gt;#REF!,0,1)))=0,1)</formula>
    </cfRule>
  </conditionalFormatting>
  <conditionalFormatting sqref="G74:H74">
    <cfRule type="cellIs" dxfId="1091" priority="117" stopIfTrue="1" operator="greaterThan">
      <formula>$F$73</formula>
    </cfRule>
    <cfRule type="cellIs" dxfId="1090" priority="118" stopIfTrue="1" operator="lessThanOrEqual">
      <formula>0</formula>
    </cfRule>
  </conditionalFormatting>
  <conditionalFormatting sqref="H22:H45 G33:G44">
    <cfRule type="cellIs" dxfId="1089" priority="115" stopIfTrue="1" operator="greaterThan">
      <formula>0</formula>
    </cfRule>
  </conditionalFormatting>
  <conditionalFormatting sqref="H50">
    <cfRule type="cellIs" dxfId="1088" priority="2" stopIfTrue="1" operator="lessThanOrEqual">
      <formula>0</formula>
    </cfRule>
    <cfRule type="cellIs" dxfId="1087" priority="3" stopIfTrue="1" operator="greaterThan">
      <formula>$F$58</formula>
    </cfRule>
    <cfRule type="cellIs" dxfId="1086" priority="13" stopIfTrue="1" operator="greaterThan">
      <formula>$F$59</formula>
    </cfRule>
    <cfRule type="cellIs" dxfId="1085" priority="12" stopIfTrue="1" operator="lessThanOrEqual">
      <formula>0</formula>
    </cfRule>
    <cfRule type="cellIs" dxfId="1084" priority="11" stopIfTrue="1" operator="greaterThan">
      <formula>$F$61</formula>
    </cfRule>
    <cfRule type="cellIs" dxfId="1083" priority="14" stopIfTrue="1" operator="lessThanOrEqual">
      <formula>0</formula>
    </cfRule>
  </conditionalFormatting>
  <conditionalFormatting sqref="H51:H54">
    <cfRule type="cellIs" dxfId="1082" priority="41" stopIfTrue="1" operator="lessThanOrEqual">
      <formula>0</formula>
    </cfRule>
    <cfRule type="cellIs" dxfId="1081" priority="30" stopIfTrue="1" operator="greaterThan">
      <formula>$F$60</formula>
    </cfRule>
    <cfRule type="cellIs" dxfId="1080" priority="29" stopIfTrue="1" operator="lessThanOrEqual">
      <formula>0</formula>
    </cfRule>
    <cfRule type="cellIs" dxfId="1079" priority="38" stopIfTrue="1" operator="greaterThan">
      <formula>$F$63</formula>
    </cfRule>
    <cfRule type="cellIs" dxfId="1078" priority="39" stopIfTrue="1" operator="lessThanOrEqual">
      <formula>0</formula>
    </cfRule>
    <cfRule type="cellIs" dxfId="1077" priority="40" stopIfTrue="1" operator="greaterThan">
      <formula>$F$61</formula>
    </cfRule>
  </conditionalFormatting>
  <conditionalFormatting sqref="H55">
    <cfRule type="cellIs" dxfId="1076" priority="58" stopIfTrue="1" operator="lessThanOrEqual">
      <formula>0</formula>
    </cfRule>
    <cfRule type="cellIs" dxfId="1075" priority="68" stopIfTrue="1" operator="lessThanOrEqual">
      <formula>0</formula>
    </cfRule>
    <cfRule type="cellIs" dxfId="1074" priority="67" stopIfTrue="1" operator="greaterThan">
      <formula>#REF!</formula>
    </cfRule>
    <cfRule type="cellIs" dxfId="1073" priority="59" stopIfTrue="1" operator="greaterThan">
      <formula>#REF!</formula>
    </cfRule>
  </conditionalFormatting>
  <conditionalFormatting sqref="H56">
    <cfRule type="cellIs" dxfId="1072" priority="43" stopIfTrue="1" operator="lessThanOrEqual">
      <formula>0</formula>
    </cfRule>
    <cfRule type="cellIs" dxfId="1071" priority="50" stopIfTrue="1" operator="greaterThan">
      <formula>$F$64</formula>
    </cfRule>
    <cfRule type="cellIs" dxfId="1070" priority="52" stopIfTrue="1" operator="greaterThan">
      <formula>$F$62</formula>
    </cfRule>
    <cfRule type="cellIs" dxfId="1069" priority="53" stopIfTrue="1" operator="lessThanOrEqual">
      <formula>0</formula>
    </cfRule>
    <cfRule type="cellIs" dxfId="1068" priority="51" stopIfTrue="1" operator="lessThanOrEqual">
      <formula>0</formula>
    </cfRule>
  </conditionalFormatting>
  <conditionalFormatting sqref="H57">
    <cfRule type="cellIs" dxfId="1067" priority="107" stopIfTrue="1" operator="lessThanOrEqual">
      <formula>0</formula>
    </cfRule>
    <cfRule type="cellIs" dxfId="1066" priority="108" stopIfTrue="1" operator="greaterThan">
      <formula>$F$55</formula>
    </cfRule>
    <cfRule type="cellIs" dxfId="1065" priority="106" stopIfTrue="1" operator="greaterThan">
      <formula>$F$58</formula>
    </cfRule>
    <cfRule type="cellIs" dxfId="1064" priority="109" stopIfTrue="1" operator="lessThanOrEqual">
      <formula>0</formula>
    </cfRule>
  </conditionalFormatting>
  <conditionalFormatting sqref="H61:H69">
    <cfRule type="cellIs" dxfId="1063" priority="86" stopIfTrue="1" operator="lessThanOrEqual">
      <formula>0</formula>
    </cfRule>
    <cfRule type="cellIs" dxfId="1062" priority="85" stopIfTrue="1" operator="greaterThan">
      <formula>$J61</formula>
    </cfRule>
  </conditionalFormatting>
  <conditionalFormatting sqref="H70">
    <cfRule type="cellIs" dxfId="1061" priority="89" operator="greaterThan">
      <formula>5.3</formula>
    </cfRule>
  </conditionalFormatting>
  <conditionalFormatting sqref="H73 H75:H81">
    <cfRule type="cellIs" dxfId="1060" priority="129" stopIfTrue="1" operator="greaterThan">
      <formula>4.5</formula>
    </cfRule>
    <cfRule type="cellIs" dxfId="1059" priority="130" stopIfTrue="1" operator="lessThanOrEqual">
      <formula>0</formula>
    </cfRule>
  </conditionalFormatting>
  <conditionalFormatting sqref="H50:I50">
    <cfRule type="cellIs" dxfId="1058" priority="4" stopIfTrue="1" operator="lessThanOrEqual">
      <formula>0</formula>
    </cfRule>
    <cfRule type="cellIs" dxfId="1057" priority="1" stopIfTrue="1" operator="greaterThan">
      <formula>$F$60</formula>
    </cfRule>
  </conditionalFormatting>
  <conditionalFormatting sqref="H51:I54">
    <cfRule type="cellIs" dxfId="1056" priority="31" stopIfTrue="1" operator="lessThanOrEqual">
      <formula>0</formula>
    </cfRule>
    <cfRule type="cellIs" dxfId="1055" priority="28" stopIfTrue="1" operator="greaterThan">
      <formula>$F$62</formula>
    </cfRule>
  </conditionalFormatting>
  <conditionalFormatting sqref="H55:I55">
    <cfRule type="cellIs" dxfId="1054" priority="57" stopIfTrue="1" operator="greaterThan">
      <formula>#REF!</formula>
    </cfRule>
    <cfRule type="cellIs" dxfId="1053" priority="63" stopIfTrue="1" operator="greaterThan">
      <formula>#REF!</formula>
    </cfRule>
    <cfRule type="cellIs" dxfId="1052" priority="60" stopIfTrue="1" operator="lessThanOrEqual">
      <formula>0</formula>
    </cfRule>
  </conditionalFormatting>
  <conditionalFormatting sqref="H55:I56">
    <cfRule type="cellIs" dxfId="1051" priority="66" stopIfTrue="1" operator="lessThanOrEqual">
      <formula>0</formula>
    </cfRule>
  </conditionalFormatting>
  <conditionalFormatting sqref="H56:I56">
    <cfRule type="cellIs" dxfId="1050" priority="42" stopIfTrue="1" operator="greaterThan">
      <formula>$F$63</formula>
    </cfRule>
    <cfRule type="cellIs" dxfId="1049" priority="44" stopIfTrue="1" operator="greaterThan">
      <formula>$F$61</formula>
    </cfRule>
  </conditionalFormatting>
  <conditionalFormatting sqref="I50">
    <cfRule type="cellIs" dxfId="1048" priority="5" stopIfTrue="1" operator="greaterThan">
      <formula>$F$58</formula>
    </cfRule>
    <cfRule type="cellIs" dxfId="1047" priority="6" stopIfTrue="1" operator="lessThanOrEqual">
      <formula>0</formula>
    </cfRule>
    <cfRule type="cellIs" dxfId="1046" priority="7" stopIfTrue="1" operator="greaterThan">
      <formula>$F$60</formula>
    </cfRule>
    <cfRule type="cellIs" dxfId="1045" priority="8" stopIfTrue="1" operator="lessThanOrEqual">
      <formula>0</formula>
    </cfRule>
    <cfRule type="cellIs" dxfId="1044" priority="9" stopIfTrue="1" operator="greaterThan">
      <formula>$F$58</formula>
    </cfRule>
    <cfRule type="cellIs" dxfId="1043" priority="10" stopIfTrue="1" operator="lessThanOrEqual">
      <formula>0</formula>
    </cfRule>
  </conditionalFormatting>
  <conditionalFormatting sqref="I51:I54">
    <cfRule type="cellIs" dxfId="1042" priority="36" stopIfTrue="1" operator="greaterThan">
      <formula>$F$60</formula>
    </cfRule>
    <cfRule type="cellIs" dxfId="1041" priority="32" stopIfTrue="1" operator="greaterThan">
      <formula>$F$60</formula>
    </cfRule>
    <cfRule type="cellIs" dxfId="1040" priority="33" stopIfTrue="1" operator="lessThanOrEqual">
      <formula>0</formula>
    </cfRule>
    <cfRule type="cellIs" dxfId="1039" priority="34" stopIfTrue="1" operator="greaterThan">
      <formula>$F$62</formula>
    </cfRule>
    <cfRule type="cellIs" dxfId="1038" priority="35" stopIfTrue="1" operator="lessThanOrEqual">
      <formula>0</formula>
    </cfRule>
    <cfRule type="cellIs" dxfId="1037" priority="37" stopIfTrue="1" operator="lessThanOrEqual">
      <formula>0</formula>
    </cfRule>
  </conditionalFormatting>
  <conditionalFormatting sqref="I55">
    <cfRule type="cellIs" dxfId="1036" priority="65" stopIfTrue="1" operator="greaterThan">
      <formula>#REF!</formula>
    </cfRule>
    <cfRule type="cellIs" dxfId="1035" priority="64" stopIfTrue="1" operator="lessThanOrEqual">
      <formula>0</formula>
    </cfRule>
    <cfRule type="cellIs" dxfId="1034" priority="62" stopIfTrue="1" operator="lessThanOrEqual">
      <formula>0</formula>
    </cfRule>
    <cfRule type="cellIs" dxfId="1033" priority="61" stopIfTrue="1" operator="greaterThan">
      <formula>#REF!</formula>
    </cfRule>
  </conditionalFormatting>
  <conditionalFormatting sqref="I56">
    <cfRule type="cellIs" dxfId="1032" priority="49" stopIfTrue="1" operator="lessThanOrEqual">
      <formula>0</formula>
    </cfRule>
    <cfRule type="cellIs" dxfId="1031" priority="45" stopIfTrue="1" operator="lessThanOrEqual">
      <formula>0</formula>
    </cfRule>
    <cfRule type="cellIs" dxfId="1030" priority="46" stopIfTrue="1" operator="greaterThan">
      <formula>$F$63</formula>
    </cfRule>
    <cfRule type="cellIs" dxfId="1029" priority="47" stopIfTrue="1" operator="lessThanOrEqual">
      <formula>0</formula>
    </cfRule>
    <cfRule type="cellIs" dxfId="1028" priority="48" stopIfTrue="1" operator="greaterThan">
      <formula>$F$61</formula>
    </cfRule>
  </conditionalFormatting>
  <conditionalFormatting sqref="I61:I70">
    <cfRule type="cellIs" dxfId="1027" priority="91" stopIfTrue="1" operator="lessThanOrEqual">
      <formula>0</formula>
    </cfRule>
    <cfRule type="cellIs" dxfId="1026" priority="90" stopIfTrue="1" operator="greaterThan">
      <formula>$J61</formula>
    </cfRule>
  </conditionalFormatting>
  <conditionalFormatting sqref="I73:I81">
    <cfRule type="cellIs" dxfId="1025" priority="125" stopIfTrue="1" operator="greaterThan">
      <formula>4.5</formula>
    </cfRule>
    <cfRule type="cellIs" dxfId="1024" priority="126" stopIfTrue="1" operator="lessThanOrEqual">
      <formula>0</formula>
    </cfRule>
  </conditionalFormatting>
  <conditionalFormatting sqref="I10:J18">
    <cfRule type="cellIs" dxfId="1023" priority="26" operator="lessThan">
      <formula>97.9</formula>
    </cfRule>
  </conditionalFormatting>
  <conditionalFormatting sqref="J21">
    <cfRule type="cellIs" dxfId="1022" priority="27" operator="lessThan">
      <formula>97.9</formula>
    </cfRule>
  </conditionalFormatting>
  <conditionalFormatting sqref="J22:J23">
    <cfRule type="cellIs" dxfId="1021" priority="79" stopIfTrue="1" operator="greaterThan">
      <formula>100</formula>
    </cfRule>
    <cfRule type="cellIs" dxfId="1020" priority="78" stopIfTrue="1" operator="lessThan">
      <formula>96.8</formula>
    </cfRule>
    <cfRule type="cellIs" dxfId="1019" priority="80" operator="lessThan">
      <formula>98</formula>
    </cfRule>
  </conditionalFormatting>
  <conditionalFormatting sqref="J22:J25">
    <cfRule type="cellIs" dxfId="1018" priority="71" operator="lessThan">
      <formula>97.4</formula>
    </cfRule>
  </conditionalFormatting>
  <conditionalFormatting sqref="J26">
    <cfRule type="cellIs" dxfId="1017" priority="81" operator="lessThan">
      <formula>98</formula>
    </cfRule>
  </conditionalFormatting>
  <conditionalFormatting sqref="J27:J29">
    <cfRule type="cellIs" dxfId="1016" priority="82" stopIfTrue="1" operator="lessThan">
      <formula>96.8</formula>
    </cfRule>
    <cfRule type="cellIs" dxfId="1015" priority="83" stopIfTrue="1" operator="greaterThan">
      <formula>100</formula>
    </cfRule>
  </conditionalFormatting>
  <conditionalFormatting sqref="J27:J30">
    <cfRule type="cellIs" dxfId="1014" priority="84" operator="lessThan">
      <formula>98</formula>
    </cfRule>
  </conditionalFormatting>
  <conditionalFormatting sqref="K10:K18">
    <cfRule type="cellIs" dxfId="1013" priority="24" operator="greaterThan">
      <formula>6.4</formula>
    </cfRule>
    <cfRule type="cellIs" dxfId="1012" priority="19" operator="greaterThan">
      <formula>6</formula>
    </cfRule>
    <cfRule type="cellIs" dxfId="1011" priority="20" operator="lessThan">
      <formula>4</formula>
    </cfRule>
  </conditionalFormatting>
  <conditionalFormatting sqref="K35:K44">
    <cfRule type="cellIs" dxfId="1010" priority="98" operator="notEqual">
      <formula>#REF!</formula>
    </cfRule>
  </conditionalFormatting>
  <conditionalFormatting sqref="K50:K57">
    <cfRule type="cellIs" dxfId="1009" priority="15" stopIfTrue="1" operator="lessThan">
      <formula>100%</formula>
    </cfRule>
  </conditionalFormatting>
  <conditionalFormatting sqref="K73:K78">
    <cfRule type="cellIs" dxfId="1008" priority="131" stopIfTrue="1" operator="lessThan">
      <formula>100%</formula>
    </cfRule>
  </conditionalFormatting>
  <conditionalFormatting sqref="K80:K81">
    <cfRule type="cellIs" dxfId="1007" priority="138" stopIfTrue="1" operator="lessThan">
      <formula>100%</formula>
    </cfRule>
  </conditionalFormatting>
  <conditionalFormatting sqref="K61:N70">
    <cfRule type="cellIs" dxfId="1006" priority="105" stopIfTrue="1" operator="lessThan">
      <formula>100%</formula>
    </cfRule>
  </conditionalFormatting>
  <conditionalFormatting sqref="L10:L18">
    <cfRule type="cellIs" dxfId="1005" priority="22" operator="greaterThan">
      <formula>65</formula>
    </cfRule>
    <cfRule type="cellIs" dxfId="1004" priority="21" operator="between">
      <formula>61</formula>
      <formula>65</formula>
    </cfRule>
  </conditionalFormatting>
  <conditionalFormatting sqref="L21:M32">
    <cfRule type="cellIs" dxfId="1003" priority="54" operator="lessThan">
      <formula>98</formula>
    </cfRule>
  </conditionalFormatting>
  <conditionalFormatting sqref="L36:N36">
    <cfRule type="cellIs" dxfId="1002" priority="74" operator="notEqual">
      <formula>#REF!</formula>
    </cfRule>
  </conditionalFormatting>
  <conditionalFormatting sqref="L73:N81">
    <cfRule type="cellIs" dxfId="1001" priority="116" stopIfTrue="1" operator="lessThan">
      <formula>100%</formula>
    </cfRule>
  </conditionalFormatting>
  <conditionalFormatting sqref="M10:M18">
    <cfRule type="expression" dxfId="1000" priority="17">
      <formula>IF(+(IF(M10&lt;V10,0,IF(M10&gt;W10,0,1)))=0,1)</formula>
    </cfRule>
  </conditionalFormatting>
  <conditionalFormatting sqref="M6:N6">
    <cfRule type="cellIs" dxfId="999" priority="75" operator="greaterThanOrEqual">
      <formula>15</formula>
    </cfRule>
    <cfRule type="cellIs" dxfId="998" priority="76" operator="greaterThanOrEqual">
      <formula>19</formula>
    </cfRule>
  </conditionalFormatting>
  <conditionalFormatting sqref="N10:N18">
    <cfRule type="expression" dxfId="997" priority="18">
      <formula>IF(+(IF(N10&lt;X10,0,IF(N10&gt;Y10,0,1)))=0,1)</formula>
    </cfRule>
  </conditionalFormatting>
  <conditionalFormatting sqref="P6">
    <cfRule type="cellIs" dxfId="996" priority="112" operator="greaterThanOrEqual">
      <formula>19</formula>
    </cfRule>
  </conditionalFormatting>
  <dataValidations count="1">
    <dataValidation type="list" allowBlank="1" showInputMessage="1" showErrorMessage="1" sqref="S8" xr:uid="{CE9994F1-1B61-4F29-889A-BDB2D0E7A71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F385-009E-4E5B-B875-EB0BA6715554}">
  <sheetPr>
    <pageSetUpPr fitToPage="1"/>
  </sheetPr>
  <dimension ref="A1:BF81"/>
  <sheetViews>
    <sheetView topLeftCell="A3" zoomScale="83" zoomScaleNormal="70" workbookViewId="0">
      <selection activeCell="K23" sqref="K23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45712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182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[22]Brewhouse!$A225</f>
        <v>CA123</v>
      </c>
      <c r="D10" s="279">
        <f>[22]Brewhouse!$AF225</f>
        <v>55.6</v>
      </c>
      <c r="E10" s="279">
        <f>[22]Brewhouse!$AI225</f>
        <v>51.5</v>
      </c>
      <c r="F10" s="278">
        <f>[22]Brewhouse!$V225</f>
        <v>63</v>
      </c>
      <c r="G10" s="279">
        <f>[22]Brewhouse!$AG225</f>
        <v>12.2</v>
      </c>
      <c r="H10" s="396">
        <v>12</v>
      </c>
      <c r="I10" s="368">
        <f>[22]Brewhouse!$AU225</f>
        <v>99.623016105347048</v>
      </c>
      <c r="J10" s="368">
        <f>[22]Brewhouse!$AV225</f>
        <v>103.63925731929007</v>
      </c>
      <c r="K10" s="281">
        <f>[22]Brewhouse!$Q225</f>
        <v>4.6208112874779621</v>
      </c>
      <c r="L10" s="276">
        <f>[22]Brewhouse!$P225</f>
        <v>57</v>
      </c>
      <c r="M10" s="397">
        <f>[22]Brewhouse!$U225-[22]Brewhouse!$T225</f>
        <v>0.12291666666666656</v>
      </c>
      <c r="N10" s="370">
        <f>[22]Brewhouse!$Z225</f>
        <v>0.27777777777777768</v>
      </c>
      <c r="O10" s="371" t="str">
        <f>[22]Brewhouse!$AX225</f>
        <v>R.Sookram</v>
      </c>
      <c r="P10" s="369" t="s">
        <v>186</v>
      </c>
      <c r="Q10" s="347"/>
      <c r="S10" s="277" t="str">
        <f t="shared" ref="S10:S14" si="0">B10</f>
        <v>CARIB</v>
      </c>
      <c r="T10" s="296">
        <f t="shared" ref="T10:T14" si="1">VLOOKUP($B10,$S$3:$Y$9,2,FALSE)</f>
        <v>11.6</v>
      </c>
      <c r="U10" s="296">
        <f t="shared" ref="U10:U14" si="2">VLOOKUP($B10,$S$3:$Y$9,3,FALSE)</f>
        <v>12</v>
      </c>
      <c r="V10" s="297">
        <f t="shared" ref="V10:V14" si="3">VLOOKUP($B10,$S$3:$Y$9,4,FALSE)</f>
        <v>0</v>
      </c>
      <c r="W10" s="297">
        <f t="shared" ref="W10:W14" si="4">VLOOKUP($B10,$S$3:$Y$9,5,FALSE)</f>
        <v>0.118055555555556</v>
      </c>
      <c r="X10" s="297">
        <f t="shared" ref="X10:X14" si="5">VLOOKUP($B10,$S$3:$Y$9,6,FALSE)</f>
        <v>0.22569444444444445</v>
      </c>
      <c r="Y10" s="297">
        <f t="shared" ref="Y10:Y14" si="6">VLOOKUP($B10,$S$3:$Y$9,7,FALSE)</f>
        <v>0.2638888888888889</v>
      </c>
      <c r="Z10" s="297">
        <f t="shared" ref="Z10:Z14" si="7">VLOOKUP($B10,$S$3:$AA$9,8,FALSE)</f>
        <v>0</v>
      </c>
      <c r="AA10" s="296">
        <f t="shared" ref="AA10:AA14" si="8">VLOOKUP($B10,$S$3:$AA$9,9,FALSE)</f>
        <v>60</v>
      </c>
    </row>
    <row r="11" spans="2:30" ht="15.75" customHeight="1">
      <c r="B11" s="29" t="s">
        <v>6</v>
      </c>
      <c r="C11" s="366" t="str">
        <f>[22]Brewhouse!$A226</f>
        <v>CA124</v>
      </c>
      <c r="D11" s="279">
        <f>[22]Brewhouse!$AF226</f>
        <v>57</v>
      </c>
      <c r="E11" s="279">
        <f>[22]Brewhouse!$AI226</f>
        <v>53.5</v>
      </c>
      <c r="F11" s="278">
        <f>[22]Brewhouse!$V226</f>
        <v>61</v>
      </c>
      <c r="G11" s="279">
        <f>[22]Brewhouse!$AG226</f>
        <v>12</v>
      </c>
      <c r="H11" s="396">
        <v>11.9</v>
      </c>
      <c r="I11" s="368">
        <f>[22]Brewhouse!$AU226</f>
        <v>101.83502113105483</v>
      </c>
      <c r="J11" s="368">
        <f>[22]Brewhouse!$AV226</f>
        <v>105.93999544531802</v>
      </c>
      <c r="K11" s="281">
        <f>[22]Brewhouse!$Q226</f>
        <v>3.7192982456140307</v>
      </c>
      <c r="L11" s="276">
        <f>[22]Brewhouse!$P226</f>
        <v>61</v>
      </c>
      <c r="M11" s="397">
        <f>[22]Brewhouse!$U226-[22]Brewhouse!$T226</f>
        <v>0.13194444444444442</v>
      </c>
      <c r="N11" s="370">
        <f>[22]Brewhouse!$Z226</f>
        <v>0.32430555555555551</v>
      </c>
      <c r="O11" s="371" t="str">
        <f>[22]Brewhouse!$AX226</f>
        <v>K.Benjamin</v>
      </c>
      <c r="P11" s="369" t="s">
        <v>186</v>
      </c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[22]Brewhouse!$A227</f>
        <v>CA125</v>
      </c>
      <c r="D12" s="279">
        <f>[22]Brewhouse!$AF227</f>
        <v>58</v>
      </c>
      <c r="E12" s="279">
        <f>[22]Brewhouse!$AI227</f>
        <v>54.5</v>
      </c>
      <c r="F12" s="278">
        <f>[22]Brewhouse!$V227</f>
        <v>63</v>
      </c>
      <c r="G12" s="279">
        <f>[22]Brewhouse!$AG227</f>
        <v>12</v>
      </c>
      <c r="H12" s="396">
        <v>12</v>
      </c>
      <c r="I12" s="368">
        <f>[22]Brewhouse!$AU227</f>
        <v>103.48472802945992</v>
      </c>
      <c r="J12" s="368">
        <f>[22]Brewhouse!$AV227</f>
        <v>107.65710041512999</v>
      </c>
      <c r="K12" s="281">
        <f>[22]Brewhouse!$Q227</f>
        <v>1.2720848056537082</v>
      </c>
      <c r="L12" s="276">
        <f>[22]Brewhouse!$P227</f>
        <v>57</v>
      </c>
      <c r="M12" s="397">
        <f>[22]Brewhouse!$U227-[22]Brewhouse!$T227</f>
        <v>0.13124999999999987</v>
      </c>
      <c r="N12" s="370">
        <f>[22]Brewhouse!$Z227</f>
        <v>0.31111111111111101</v>
      </c>
      <c r="O12" s="371" t="str">
        <f>[22]Brewhouse!$AX227</f>
        <v>K.Benjamin</v>
      </c>
      <c r="P12" s="369" t="s">
        <v>186</v>
      </c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36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369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33"/>
      <c r="C15" s="366"/>
      <c r="D15" s="279"/>
      <c r="E15" s="279"/>
      <c r="F15" s="278"/>
      <c r="G15" s="279"/>
      <c r="H15" s="396"/>
      <c r="I15" s="417"/>
      <c r="J15" s="417"/>
      <c r="K15" s="398"/>
      <c r="L15" s="276"/>
      <c r="M15" s="374"/>
      <c r="N15" s="370"/>
      <c r="O15" s="418"/>
      <c r="P15" s="369"/>
      <c r="Q15" s="347"/>
      <c r="S15" s="277">
        <f t="shared" ref="S15:S16" si="9">B15</f>
        <v>0</v>
      </c>
      <c r="T15" s="296" t="e">
        <f t="shared" ref="T15:T16" si="10">VLOOKUP($B15,$S$3:$Y$9,2,FALSE)</f>
        <v>#N/A</v>
      </c>
      <c r="U15" s="296" t="e">
        <f t="shared" ref="U15:U16" si="11">VLOOKUP($B15,$S$3:$Y$9,3,FALSE)</f>
        <v>#N/A</v>
      </c>
      <c r="V15" s="297" t="e">
        <f t="shared" ref="V15:V16" si="12">VLOOKUP($B15,$S$3:$Y$9,4,FALSE)</f>
        <v>#N/A</v>
      </c>
      <c r="W15" s="297" t="e">
        <f t="shared" ref="W15:W16" si="13">VLOOKUP($B15,$S$3:$Y$9,5,FALSE)</f>
        <v>#N/A</v>
      </c>
      <c r="X15" s="297" t="e">
        <f t="shared" ref="X15:X16" si="14">VLOOKUP($B15,$S$3:$Y$9,6,FALSE)</f>
        <v>#N/A</v>
      </c>
      <c r="Y15" s="297" t="e">
        <f t="shared" ref="Y15:Y16" si="15">VLOOKUP($B15,$S$3:$Y$9,7,FALSE)</f>
        <v>#N/A</v>
      </c>
      <c r="Z15" s="297" t="e">
        <f t="shared" ref="Z15:Z16" si="16">VLOOKUP($B15,$S$3:$AA$9,8,FALSE)</f>
        <v>#N/A</v>
      </c>
      <c r="AA15" s="296" t="e">
        <f t="shared" ref="AA15:AA16" si="17">VLOOKUP($B15,$S$3:$AA$9,9,FALSE)</f>
        <v>#N/A</v>
      </c>
    </row>
    <row r="16" spans="2:30" ht="15.75" customHeight="1">
      <c r="B16" s="34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9"/>
        <v>0</v>
      </c>
      <c r="T16" s="296" t="e">
        <f t="shared" si="10"/>
        <v>#N/A</v>
      </c>
      <c r="U16" s="296" t="e">
        <f t="shared" si="11"/>
        <v>#N/A</v>
      </c>
      <c r="V16" s="297" t="e">
        <f t="shared" si="12"/>
        <v>#N/A</v>
      </c>
      <c r="W16" s="297" t="e">
        <f t="shared" si="13"/>
        <v>#N/A</v>
      </c>
      <c r="X16" s="297" t="e">
        <f t="shared" si="14"/>
        <v>#N/A</v>
      </c>
      <c r="Y16" s="297" t="e">
        <f t="shared" si="15"/>
        <v>#N/A</v>
      </c>
      <c r="Z16" s="297" t="e">
        <f t="shared" si="16"/>
        <v>#N/A</v>
      </c>
      <c r="AA16" s="296" t="e">
        <f t="shared" si="17"/>
        <v>#N/A</v>
      </c>
    </row>
    <row r="17" spans="1:27" ht="15.75" customHeight="1" thickBot="1">
      <c r="B17" s="358"/>
      <c r="C17" s="358"/>
      <c r="D17" s="358"/>
      <c r="E17" s="358"/>
      <c r="F17" s="294"/>
      <c r="G17" s="294"/>
      <c r="H17" s="348"/>
      <c r="I17" s="500" t="s">
        <v>34</v>
      </c>
      <c r="J17" s="500"/>
      <c r="K17" s="500"/>
      <c r="L17" s="500"/>
      <c r="M17" s="500"/>
      <c r="N17" s="500"/>
      <c r="O17" s="1"/>
      <c r="P17" s="12"/>
      <c r="S17" s="277"/>
      <c r="T17" s="296"/>
      <c r="U17" s="296"/>
      <c r="V17" s="297"/>
      <c r="W17" s="297"/>
      <c r="X17" s="297"/>
      <c r="Y17" s="297"/>
      <c r="Z17" s="297"/>
      <c r="AA17" s="296"/>
    </row>
    <row r="18" spans="1:27" ht="15" thickBot="1">
      <c r="B18" s="388" t="s">
        <v>145</v>
      </c>
      <c r="C18" s="388"/>
      <c r="D18" s="478" t="s">
        <v>35</v>
      </c>
      <c r="E18" s="479"/>
      <c r="F18" s="294"/>
      <c r="G18" s="294"/>
      <c r="H18" s="23"/>
      <c r="I18" s="24" t="s">
        <v>17</v>
      </c>
      <c r="J18" s="25" t="s">
        <v>146</v>
      </c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S18" s="277"/>
      <c r="T18" s="296"/>
      <c r="U18" s="296"/>
      <c r="V18" s="297"/>
      <c r="W18" s="297"/>
      <c r="X18" s="297"/>
      <c r="Y18" s="297"/>
      <c r="Z18" s="297"/>
      <c r="AA18" s="296"/>
    </row>
    <row r="19" spans="1:27" ht="15" customHeight="1">
      <c r="A19" s="28"/>
      <c r="B19" s="566"/>
      <c r="C19" s="450"/>
      <c r="D19" s="555"/>
      <c r="E19" s="556"/>
      <c r="F19" s="294"/>
      <c r="G19" s="294"/>
      <c r="H19" s="294"/>
      <c r="I19" s="29" t="s">
        <v>6</v>
      </c>
      <c r="J19" s="368">
        <f>AVERAGE(I10:I12)</f>
        <v>101.64758842195393</v>
      </c>
      <c r="K19" s="284">
        <f>COUNTA([22]Brewhouse!$A$173:$A$227)</f>
        <v>55</v>
      </c>
      <c r="L19" s="302">
        <f>AVERAGE([22]Brewhouse!$AU$173:$AU$227)</f>
        <v>96.066129625925086</v>
      </c>
      <c r="M19" s="302">
        <f>AVERAGE([22]Brewhouse!$AU$102:$AU$171,[22]Brewhouse!$AU$173:$AU$227)</f>
        <v>95.231681705637044</v>
      </c>
      <c r="N19" s="30">
        <v>98</v>
      </c>
      <c r="O19" s="11"/>
      <c r="P19" s="31"/>
      <c r="S19" s="277"/>
      <c r="T19" s="296"/>
      <c r="U19" s="296"/>
      <c r="V19" s="297"/>
      <c r="W19" s="297"/>
      <c r="X19" s="297"/>
      <c r="Y19" s="297"/>
      <c r="Z19" s="297"/>
      <c r="AA19" s="296"/>
    </row>
    <row r="20" spans="1:27" ht="15" customHeight="1">
      <c r="A20" s="28"/>
      <c r="B20" s="567"/>
      <c r="C20" s="349"/>
      <c r="D20" s="519"/>
      <c r="E20" s="507"/>
      <c r="F20" s="294"/>
      <c r="G20" s="294"/>
      <c r="H20" s="32"/>
      <c r="I20" s="33" t="s">
        <v>9</v>
      </c>
      <c r="J20" s="323"/>
      <c r="K20" s="284">
        <f>COUNTA([24]Brewhouse!$A$66:$A$90)</f>
        <v>25</v>
      </c>
      <c r="L20" s="302">
        <f>AVERAGE([24]Brewhouse!$AS$66:$AS$90)</f>
        <v>95.697328944126696</v>
      </c>
      <c r="M20" s="302">
        <f>AVERAGE([24]Brewhouse!$AS$15:$AS$64,[24]Brewhouse!$AS$66:$AS$90)</f>
        <v>95.950664395120555</v>
      </c>
      <c r="N20" s="30">
        <v>98</v>
      </c>
      <c r="O20" s="11"/>
      <c r="P20" s="31"/>
      <c r="S20" s="277"/>
      <c r="T20" s="296"/>
      <c r="U20" s="296"/>
      <c r="V20" s="297"/>
      <c r="W20" s="297"/>
      <c r="X20" s="297"/>
      <c r="Y20" s="297"/>
      <c r="Z20" s="297"/>
      <c r="AA20" s="296"/>
    </row>
    <row r="21" spans="1:27" ht="14.7" customHeight="1">
      <c r="A21" s="28"/>
      <c r="B21" s="567"/>
      <c r="C21" s="349"/>
      <c r="D21" s="555"/>
      <c r="E21" s="556"/>
      <c r="F21" s="294"/>
      <c r="G21" s="294"/>
      <c r="H21" s="32"/>
      <c r="I21" s="34" t="s">
        <v>12</v>
      </c>
      <c r="J21" s="280"/>
      <c r="K21" s="284">
        <f>COUNTA([23]Brewhouse!$A$9:$A$22)</f>
        <v>14</v>
      </c>
      <c r="L21" s="302">
        <f>AVERAGE([23]Brewhouse!$AU$9:$AU$22)</f>
        <v>95.97048596821466</v>
      </c>
      <c r="M21" s="302">
        <f>AVERAGE([23]Brewhouse!$AU$4:$AU$7,[23]Brewhouse!$AU$9:$AU$22)</f>
        <v>96.221919722068549</v>
      </c>
      <c r="N21" s="30">
        <v>98</v>
      </c>
      <c r="O21" s="11"/>
      <c r="P21" s="31"/>
      <c r="S21" s="23"/>
      <c r="T21" s="1"/>
      <c r="U21" s="1"/>
      <c r="AA21" s="285"/>
    </row>
    <row r="22" spans="1:27" ht="14.7" customHeight="1">
      <c r="A22" s="28"/>
      <c r="B22" s="567"/>
      <c r="C22" s="349"/>
      <c r="D22" s="519"/>
      <c r="E22" s="507"/>
      <c r="F22" s="294"/>
      <c r="G22" s="294"/>
      <c r="H22" s="32"/>
      <c r="I22" s="22" t="s">
        <v>33</v>
      </c>
      <c r="J22" s="280"/>
      <c r="K22" s="284">
        <f>COUNTA([25]Brewhouse!$A$16:$A$19)</f>
        <v>4</v>
      </c>
      <c r="L22" s="302">
        <f>AVERAGE([25]Brewhouse!$AV$16:$AV$19)</f>
        <v>99.193666402492596</v>
      </c>
      <c r="M22" s="302">
        <f>AVERAGE([25]Brewhouse!$AV$5:$AV$14,[25]Brewhouse!$AV$16:$AV$19)</f>
        <v>98.139385615971563</v>
      </c>
      <c r="N22" s="30">
        <v>98</v>
      </c>
      <c r="O22" s="11"/>
      <c r="P22" s="31"/>
      <c r="S22" s="23"/>
      <c r="T22" s="1"/>
      <c r="U22" s="1"/>
      <c r="AA22" s="285"/>
    </row>
    <row r="23" spans="1:27" ht="14.7" customHeight="1">
      <c r="A23" s="28"/>
      <c r="B23" s="567"/>
      <c r="C23" s="349"/>
      <c r="D23" s="555"/>
      <c r="E23" s="556"/>
      <c r="F23" s="294"/>
      <c r="G23" s="294"/>
      <c r="H23" s="32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S23" s="23"/>
    </row>
    <row r="24" spans="1:27" ht="14.7" customHeight="1">
      <c r="A24" s="28"/>
      <c r="B24" s="567"/>
      <c r="C24" s="349"/>
      <c r="D24" s="519"/>
      <c r="E24" s="507"/>
      <c r="F24" s="294"/>
      <c r="G24" s="294"/>
      <c r="H24" s="32"/>
      <c r="I24" s="36" t="s">
        <v>15</v>
      </c>
      <c r="J24" s="323"/>
      <c r="K24" s="284"/>
      <c r="L24" s="302"/>
      <c r="M24" s="302">
        <f>AVERAGE([26]Brewhouse!$AT$4:$AT$11)</f>
        <v>94.812616598822359</v>
      </c>
      <c r="N24" s="30">
        <v>98</v>
      </c>
      <c r="O24" s="11"/>
      <c r="P24" s="31"/>
      <c r="S24" s="23"/>
    </row>
    <row r="25" spans="1:27" ht="14.7" customHeight="1">
      <c r="A25" s="28"/>
      <c r="B25" s="567"/>
      <c r="C25" s="349"/>
      <c r="D25" s="555"/>
      <c r="E25" s="556"/>
      <c r="F25" s="294"/>
      <c r="G25" s="294"/>
      <c r="H25" s="32"/>
      <c r="I25" s="37" t="s">
        <v>16</v>
      </c>
      <c r="J25" s="323"/>
      <c r="K25" s="284">
        <f>COUNTA([27]Brewhouse!$A$15:$A$20)</f>
        <v>6</v>
      </c>
      <c r="L25" s="302">
        <f>AVERAGE([27]Brewhouse!$AY$15:$AY$20)</f>
        <v>95.874175970347281</v>
      </c>
      <c r="M25" s="302">
        <f>AVERAGE([27]Brewhouse!$AY$6:$AY$13,[27]Brewhouse!$AY$15:$AY$20)</f>
        <v>94.285964321968933</v>
      </c>
      <c r="N25" s="30">
        <v>98</v>
      </c>
      <c r="O25" s="11"/>
      <c r="P25" s="31" t="s">
        <v>41</v>
      </c>
      <c r="S25" s="23"/>
      <c r="X25" s="275" t="s">
        <v>41</v>
      </c>
    </row>
    <row r="26" spans="1:27" ht="14.7" customHeight="1">
      <c r="A26" s="28"/>
      <c r="B26" s="567"/>
      <c r="C26" s="349"/>
      <c r="D26" s="519"/>
      <c r="E26" s="507"/>
      <c r="F26" s="294"/>
      <c r="G26" s="294"/>
      <c r="H26" s="32"/>
      <c r="I26" s="416" t="s">
        <v>158</v>
      </c>
      <c r="J26" s="326"/>
      <c r="K26" s="284"/>
      <c r="L26" s="305"/>
      <c r="M26" s="305">
        <f>AVERAGE([28]Brewhouse!$AU$5:$AU$8)</f>
        <v>91.006888337619571</v>
      </c>
      <c r="N26" s="30">
        <v>98</v>
      </c>
      <c r="O26" s="11"/>
      <c r="P26" s="31"/>
      <c r="S26" s="23"/>
    </row>
    <row r="27" spans="1:27" ht="14.7" customHeight="1">
      <c r="A27" s="28"/>
      <c r="B27" s="567"/>
      <c r="C27" s="349"/>
      <c r="D27" s="555"/>
      <c r="E27" s="556"/>
      <c r="F27" s="294"/>
      <c r="G27" s="294"/>
      <c r="H27" s="32"/>
      <c r="I27" s="415" t="s">
        <v>157</v>
      </c>
      <c r="J27" s="326"/>
      <c r="K27" s="284"/>
      <c r="L27" s="305"/>
      <c r="M27" s="305"/>
      <c r="N27" s="30"/>
      <c r="O27" s="11"/>
      <c r="P27" s="31"/>
      <c r="S27" s="23"/>
    </row>
    <row r="28" spans="1:27" ht="15" customHeight="1" thickBot="1">
      <c r="A28" s="28"/>
      <c r="B28" s="567"/>
      <c r="C28" s="349"/>
      <c r="D28" s="519"/>
      <c r="E28" s="507"/>
      <c r="F28" s="294"/>
      <c r="G28" s="294"/>
      <c r="H28" s="32"/>
      <c r="I28" s="411" t="s">
        <v>156</v>
      </c>
      <c r="J28" s="327"/>
      <c r="K28" s="412"/>
      <c r="L28" s="413"/>
      <c r="M28" s="413"/>
      <c r="N28" s="414">
        <v>98</v>
      </c>
      <c r="O28" s="11"/>
      <c r="P28" s="31"/>
      <c r="S28" s="23"/>
    </row>
    <row r="29" spans="1:27" ht="15" customHeight="1" thickBot="1">
      <c r="A29" s="28"/>
      <c r="B29" s="567"/>
      <c r="C29" s="349"/>
      <c r="D29" s="504"/>
      <c r="E29" s="505"/>
      <c r="F29" s="294"/>
      <c r="G29" s="294"/>
      <c r="H29" s="32"/>
      <c r="I29" s="1"/>
      <c r="J29" s="39"/>
      <c r="K29" s="409">
        <f>SUM(K19:K28)</f>
        <v>104</v>
      </c>
      <c r="L29" s="410">
        <f>((L19*K19)+(L20*K20)+(L21*K21)+(L22*K22)+(L23*K23)+(K26*L26)+(L24*K24)+(L25*K25)+(L28*K28))/(K29)</f>
        <v>96.07381613477024</v>
      </c>
      <c r="M29" s="410">
        <f>AVERAGE('[29]Jan 31st'!$L$65,L29)</f>
        <v>95.624768798203363</v>
      </c>
      <c r="N29" s="40">
        <v>98</v>
      </c>
      <c r="O29" s="11"/>
      <c r="P29" s="31"/>
      <c r="S29" s="23"/>
    </row>
    <row r="30" spans="1:27" ht="15" thickBot="1">
      <c r="B30" s="578"/>
      <c r="C30" s="350"/>
      <c r="D30" s="506"/>
      <c r="E30" s="507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S30" s="23"/>
    </row>
    <row r="31" spans="1:27" ht="15" thickBot="1">
      <c r="B31" s="585"/>
      <c r="C31" s="362"/>
      <c r="D31" s="517"/>
      <c r="E31" s="518"/>
      <c r="F31" s="43"/>
      <c r="G31" s="41"/>
      <c r="H31" s="41"/>
      <c r="I31" s="42"/>
      <c r="J31" s="587" t="s">
        <v>129</v>
      </c>
      <c r="K31" s="588"/>
      <c r="L31" s="294"/>
      <c r="M31" s="294"/>
      <c r="N31" s="294"/>
      <c r="O31" s="294"/>
      <c r="P31" s="12"/>
      <c r="S31" s="23" t="s">
        <v>41</v>
      </c>
    </row>
    <row r="32" spans="1:27" ht="13.5" customHeight="1" thickBot="1">
      <c r="B32" s="585"/>
      <c r="C32" s="349"/>
      <c r="D32" s="519"/>
      <c r="E32" s="507"/>
      <c r="F32" s="43"/>
      <c r="G32" s="41"/>
      <c r="H32" s="41"/>
      <c r="I32" s="42"/>
      <c r="J32" s="453" t="s">
        <v>17</v>
      </c>
      <c r="K32" s="454" t="s">
        <v>147</v>
      </c>
      <c r="L32" s="521" t="s">
        <v>136</v>
      </c>
      <c r="M32" s="521"/>
      <c r="N32" s="522"/>
      <c r="O32" s="294"/>
      <c r="P32" s="12"/>
      <c r="S32" s="23"/>
    </row>
    <row r="33" spans="2:58" ht="15" customHeight="1" thickBot="1">
      <c r="B33" s="585"/>
      <c r="C33" s="349"/>
      <c r="D33" s="523"/>
      <c r="E33" s="505"/>
      <c r="F33" s="43"/>
      <c r="G33" s="41"/>
      <c r="H33" s="41"/>
      <c r="I33" s="42"/>
      <c r="J33" s="455" t="s">
        <v>6</v>
      </c>
      <c r="K33" s="456">
        <f>COUNTA(B10:B12)</f>
        <v>3</v>
      </c>
      <c r="L33" s="343" t="s">
        <v>37</v>
      </c>
      <c r="M33" s="307" t="s">
        <v>38</v>
      </c>
      <c r="N33" s="307" t="s">
        <v>84</v>
      </c>
      <c r="O33" s="294"/>
      <c r="P33" s="12"/>
      <c r="S33" s="23"/>
    </row>
    <row r="34" spans="2:58" ht="15.75" customHeight="1" thickBot="1">
      <c r="B34" s="585"/>
      <c r="C34" s="349"/>
      <c r="D34" s="519"/>
      <c r="E34" s="507"/>
      <c r="F34" s="43"/>
      <c r="G34" s="41"/>
      <c r="H34" s="41"/>
      <c r="I34" s="42"/>
      <c r="J34" s="457" t="s">
        <v>9</v>
      </c>
      <c r="K34" s="456"/>
      <c r="L34" s="344">
        <f>AVERAGE('Feb 3rd'!K79,'Feb 4th'!K77,'Feb 5th'!L68,'Feb 6th'!K75,'Feb 10th'!K69,'Feb 11th'!K68,'Feb 12th'!K70,'Feb 13th'!K69,'Feb 14th'!K47,'Feb 14th'!K47,'Feb 17th'!K47,'Feb 18th'!K47,'Feb 19th '!L38,'Feb 20th'!K49,'Feb 21st'!K45,'Feb 23rd'!K43)</f>
        <v>6.8269230769230766</v>
      </c>
      <c r="M34" s="325">
        <f>AVERAGE('[29]Jan 29th '!$M$70,L34)</f>
        <v>6.6634615384615383</v>
      </c>
      <c r="N34" s="401"/>
      <c r="O34" s="294"/>
      <c r="P34" s="12"/>
      <c r="S34" s="23"/>
    </row>
    <row r="35" spans="2:58" ht="15" customHeight="1">
      <c r="B35" s="585"/>
      <c r="C35" s="349"/>
      <c r="D35" s="523"/>
      <c r="E35" s="505"/>
      <c r="F35" s="43"/>
      <c r="G35" s="41"/>
      <c r="H35" s="41"/>
      <c r="I35" s="42"/>
      <c r="J35" s="458" t="s">
        <v>40</v>
      </c>
      <c r="K35" s="456"/>
      <c r="L35" s="294"/>
      <c r="M35" s="294"/>
      <c r="N35" s="294"/>
      <c r="O35" s="294"/>
      <c r="P35" s="12"/>
      <c r="S35" s="23"/>
    </row>
    <row r="36" spans="2:58" ht="15" customHeight="1">
      <c r="B36" s="585"/>
      <c r="C36" s="349"/>
      <c r="D36" s="519"/>
      <c r="E36" s="507"/>
      <c r="F36" s="43"/>
      <c r="G36" s="41"/>
      <c r="H36" s="41"/>
      <c r="I36" s="42"/>
      <c r="J36" s="459" t="s">
        <v>33</v>
      </c>
      <c r="K36" s="456"/>
      <c r="L36" s="294"/>
      <c r="M36" s="294"/>
      <c r="N36" s="294"/>
      <c r="O36" s="294"/>
      <c r="P36" s="12"/>
      <c r="S36" s="23"/>
    </row>
    <row r="37" spans="2:58" ht="14.4">
      <c r="B37" s="585"/>
      <c r="C37" s="349"/>
      <c r="D37" s="523"/>
      <c r="E37" s="505"/>
      <c r="F37" s="43"/>
      <c r="G37" s="41"/>
      <c r="H37" s="41"/>
      <c r="I37" s="42"/>
      <c r="J37" s="460" t="s">
        <v>16</v>
      </c>
      <c r="K37" s="456"/>
      <c r="L37" s="294"/>
      <c r="M37" s="294"/>
      <c r="N37" s="294"/>
      <c r="O37" s="294"/>
      <c r="P37" s="12"/>
      <c r="S37" s="23"/>
      <c r="BD37" s="44"/>
      <c r="BE37" s="44"/>
    </row>
    <row r="38" spans="2:58" ht="14.4">
      <c r="B38" s="585"/>
      <c r="C38" s="349"/>
      <c r="D38" s="519"/>
      <c r="E38" s="507"/>
      <c r="F38" s="43"/>
      <c r="G38" s="41"/>
      <c r="H38" s="41"/>
      <c r="I38" s="42"/>
      <c r="J38" s="461" t="s">
        <v>15</v>
      </c>
      <c r="K38" s="456"/>
      <c r="L38" s="294"/>
      <c r="M38" s="294"/>
      <c r="N38" s="294"/>
      <c r="O38" s="294"/>
      <c r="P38" s="12"/>
      <c r="S38" s="23"/>
      <c r="BD38" s="44"/>
      <c r="BE38" s="44"/>
    </row>
    <row r="39" spans="2:58" ht="14.4">
      <c r="B39" s="585"/>
      <c r="C39" s="349"/>
      <c r="D39" s="524"/>
      <c r="E39" s="509"/>
      <c r="F39" s="43"/>
      <c r="G39" s="41"/>
      <c r="H39" s="41"/>
      <c r="I39" s="42"/>
      <c r="J39" s="461" t="s">
        <v>149</v>
      </c>
      <c r="K39" s="456"/>
      <c r="L39" s="294"/>
      <c r="M39" s="294"/>
      <c r="N39" s="294"/>
      <c r="O39" s="294"/>
      <c r="P39" s="12"/>
      <c r="S39" s="23"/>
      <c r="BD39" s="44"/>
      <c r="BE39" s="44"/>
    </row>
    <row r="40" spans="2:58" ht="15" thickBot="1">
      <c r="B40" s="586"/>
      <c r="C40" s="350"/>
      <c r="D40" s="525"/>
      <c r="E40" s="526"/>
      <c r="F40" s="43"/>
      <c r="G40" s="41"/>
      <c r="H40" s="41"/>
      <c r="I40" s="42"/>
      <c r="J40" s="461" t="s">
        <v>148</v>
      </c>
      <c r="K40" s="456"/>
      <c r="L40" s="294"/>
      <c r="M40" s="294"/>
      <c r="N40" s="294"/>
      <c r="O40" s="294"/>
      <c r="P40" s="12"/>
      <c r="S40" s="23"/>
      <c r="BD40" s="44"/>
      <c r="BE40" s="44"/>
    </row>
    <row r="41" spans="2:58" ht="17.7" customHeight="1" thickBot="1">
      <c r="B41" s="312" t="s">
        <v>139</v>
      </c>
      <c r="C41" s="313"/>
      <c r="D41" s="527" t="e">
        <f>AVERAGE(D19:E40)</f>
        <v>#DIV/0!</v>
      </c>
      <c r="E41" s="528"/>
      <c r="F41" s="43"/>
      <c r="G41" s="41"/>
      <c r="H41" s="41"/>
      <c r="I41" s="42"/>
      <c r="J41" s="462" t="s">
        <v>134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2:58" ht="17.7" customHeight="1">
      <c r="B42" s="363"/>
      <c r="C42" s="364"/>
      <c r="D42" s="365"/>
      <c r="E42" s="365"/>
      <c r="F42" s="43"/>
      <c r="G42" s="41"/>
      <c r="H42" s="41"/>
      <c r="I42" s="42"/>
      <c r="J42" s="462" t="s">
        <v>131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2:58" ht="15.75" customHeight="1" thickBot="1">
      <c r="B43" s="45"/>
      <c r="C43" s="11"/>
      <c r="D43" s="11"/>
      <c r="E43" s="46"/>
      <c r="F43" s="23"/>
      <c r="G43" s="11"/>
      <c r="H43" s="41"/>
      <c r="I43" s="42"/>
      <c r="J43" s="463" t="s">
        <v>130</v>
      </c>
      <c r="K43" s="464">
        <f>SUM(K33:K42)</f>
        <v>3</v>
      </c>
      <c r="L43" s="294"/>
      <c r="M43" s="294"/>
      <c r="N43" s="294"/>
      <c r="O43" s="294"/>
      <c r="P43" s="12"/>
    </row>
    <row r="44" spans="2:58" ht="20.25" customHeight="1">
      <c r="B44" s="15" t="s">
        <v>42</v>
      </c>
      <c r="C44" s="1" t="s">
        <v>43</v>
      </c>
      <c r="D44" s="1"/>
      <c r="E44" s="1"/>
      <c r="I44" s="42"/>
      <c r="L44" s="294"/>
      <c r="P44" s="334"/>
    </row>
    <row r="45" spans="2:58" ht="15" customHeight="1" thickBot="1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/>
      <c r="O45" s="48"/>
      <c r="P45" s="49"/>
      <c r="X45" s="275" t="s">
        <v>41</v>
      </c>
    </row>
    <row r="46" spans="2:58" ht="15" customHeight="1" thickBot="1">
      <c r="B46" s="529" t="s">
        <v>17</v>
      </c>
      <c r="C46" s="529" t="s">
        <v>44</v>
      </c>
      <c r="D46" s="531" t="s">
        <v>45</v>
      </c>
      <c r="E46" s="486" t="s">
        <v>46</v>
      </c>
      <c r="F46" s="546" t="s">
        <v>47</v>
      </c>
      <c r="G46" s="540" t="s">
        <v>48</v>
      </c>
      <c r="H46" s="529" t="s">
        <v>49</v>
      </c>
      <c r="I46" s="529" t="s">
        <v>50</v>
      </c>
      <c r="J46" s="534" t="s">
        <v>28</v>
      </c>
      <c r="K46" s="484" t="s">
        <v>51</v>
      </c>
      <c r="L46" s="496" t="s">
        <v>52</v>
      </c>
      <c r="M46" s="534" t="s">
        <v>53</v>
      </c>
      <c r="N46" s="77"/>
      <c r="O46" s="13"/>
      <c r="P46" s="50"/>
    </row>
    <row r="47" spans="2:58" ht="28.5" customHeight="1" thickTop="1" thickBot="1">
      <c r="B47" s="530"/>
      <c r="C47" s="530"/>
      <c r="D47" s="532"/>
      <c r="E47" s="533"/>
      <c r="F47" s="547"/>
      <c r="G47" s="541"/>
      <c r="H47" s="530"/>
      <c r="I47" s="530"/>
      <c r="J47" s="535"/>
      <c r="K47" s="544"/>
      <c r="L47" s="545"/>
      <c r="M47" s="535"/>
      <c r="N47" s="77"/>
      <c r="O47" s="13"/>
      <c r="P47" s="50"/>
      <c r="Q47" s="355"/>
      <c r="R47" s="355"/>
      <c r="S47" s="355"/>
      <c r="T47" s="355"/>
      <c r="U47" s="51">
        <v>43466</v>
      </c>
      <c r="V47" s="51">
        <v>43467</v>
      </c>
      <c r="W47" s="51">
        <v>43468</v>
      </c>
      <c r="X47" s="51">
        <v>43469</v>
      </c>
      <c r="Y47" s="51">
        <v>43470</v>
      </c>
      <c r="Z47" s="51">
        <v>43471</v>
      </c>
      <c r="AA47" s="51">
        <v>43472</v>
      </c>
      <c r="AB47" s="51">
        <v>43473</v>
      </c>
      <c r="AC47" s="51">
        <v>43474</v>
      </c>
      <c r="AD47" s="51">
        <v>43475</v>
      </c>
      <c r="AE47" s="51">
        <v>43476</v>
      </c>
      <c r="AF47" s="51">
        <v>43477</v>
      </c>
      <c r="AG47" s="51">
        <v>43478</v>
      </c>
      <c r="AH47" s="51">
        <v>43479</v>
      </c>
      <c r="AI47" s="51">
        <v>43480</v>
      </c>
      <c r="AJ47" s="51">
        <v>43481</v>
      </c>
      <c r="AK47" s="51">
        <v>43482</v>
      </c>
      <c r="AL47" s="51">
        <v>43483</v>
      </c>
      <c r="AM47" s="51">
        <v>43484</v>
      </c>
      <c r="AN47" s="51">
        <v>43485</v>
      </c>
      <c r="AO47" s="51">
        <v>43486</v>
      </c>
      <c r="AP47" s="51">
        <v>43487</v>
      </c>
      <c r="AQ47" s="51">
        <v>43488</v>
      </c>
      <c r="AR47" s="51">
        <v>43489</v>
      </c>
      <c r="AS47" s="51">
        <v>43490</v>
      </c>
      <c r="AT47" s="51">
        <v>43491</v>
      </c>
      <c r="AU47" s="51">
        <v>43492</v>
      </c>
      <c r="AV47" s="51">
        <v>43493</v>
      </c>
      <c r="AW47" s="51">
        <v>43494</v>
      </c>
      <c r="AX47" s="51">
        <v>43495</v>
      </c>
      <c r="AY47" s="51">
        <v>43496</v>
      </c>
    </row>
    <row r="48" spans="2:58" s="54" customFormat="1" ht="45.75" customHeight="1">
      <c r="B48" s="387"/>
      <c r="C48" s="283"/>
      <c r="D48" s="279"/>
      <c r="E48" s="279"/>
      <c r="F48" s="279"/>
      <c r="G48" s="279"/>
      <c r="H48" s="320"/>
      <c r="I48" s="322"/>
      <c r="J48" s="389"/>
      <c r="K48" s="437"/>
      <c r="L48" s="314"/>
      <c r="M48" s="384"/>
      <c r="N48" s="13"/>
      <c r="O48" s="13"/>
      <c r="P48" s="50"/>
      <c r="T48" s="272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277"/>
      <c r="AZ48" s="277"/>
      <c r="BA48" s="277"/>
      <c r="BB48" s="277"/>
      <c r="BC48" s="277"/>
      <c r="BD48" s="277"/>
      <c r="BE48" s="277"/>
      <c r="BF48" s="277"/>
    </row>
    <row r="49" spans="2:58" s="54" customFormat="1" ht="21" customHeight="1" thickBot="1">
      <c r="B49" s="387"/>
      <c r="C49" s="283"/>
      <c r="D49" s="279"/>
      <c r="E49" s="279"/>
      <c r="F49" s="279"/>
      <c r="G49" s="279"/>
      <c r="H49" s="320"/>
      <c r="I49" s="322"/>
      <c r="J49" s="389"/>
      <c r="K49" s="437"/>
      <c r="L49" s="314"/>
      <c r="M49" s="384"/>
      <c r="N49" s="13"/>
      <c r="O49" s="13"/>
      <c r="P49" s="50"/>
      <c r="T49" s="272" t="s">
        <v>51</v>
      </c>
      <c r="U49" s="57">
        <f>[20]January_2019!D6</f>
        <v>0</v>
      </c>
      <c r="V49" s="57">
        <f>[20]January_2019!E6</f>
        <v>0</v>
      </c>
      <c r="W49" s="57">
        <f>[20]January_2019!F6</f>
        <v>0</v>
      </c>
      <c r="X49" s="57">
        <f>[20]January_2019!G6</f>
        <v>0</v>
      </c>
      <c r="Y49" s="57">
        <f>[20]January_2019!H6</f>
        <v>0</v>
      </c>
      <c r="Z49" s="57">
        <f>[20]January_2019!I6</f>
        <v>0</v>
      </c>
      <c r="AA49" s="57">
        <f>[20]January_2019!J6</f>
        <v>0</v>
      </c>
      <c r="AB49" s="57">
        <f>[20]January_2019!K6</f>
        <v>0</v>
      </c>
      <c r="AC49" s="57">
        <f>[20]January_2019!L6</f>
        <v>0</v>
      </c>
      <c r="AD49" s="57">
        <f>[20]January_2019!M6</f>
        <v>0</v>
      </c>
      <c r="AE49" s="57">
        <f>[20]January_2019!N6</f>
        <v>0</v>
      </c>
      <c r="AF49" s="57">
        <f>[20]January_2019!O6</f>
        <v>0</v>
      </c>
      <c r="AG49" s="57">
        <f>[20]January_2019!P6</f>
        <v>0</v>
      </c>
      <c r="AH49" s="57">
        <f>[20]January_2019!Q6</f>
        <v>0</v>
      </c>
      <c r="AI49" s="57">
        <f>[20]January_2019!R6</f>
        <v>0</v>
      </c>
      <c r="AJ49" s="57">
        <f>[20]January_2019!S6</f>
        <v>0</v>
      </c>
      <c r="AK49" s="57">
        <f>[20]January_2019!T6</f>
        <v>0</v>
      </c>
      <c r="AL49" s="57">
        <f>[20]January_2019!U6</f>
        <v>0</v>
      </c>
      <c r="AM49" s="57">
        <f>[20]January_2019!V6</f>
        <v>0</v>
      </c>
      <c r="AN49" s="57">
        <f>[20]January_2019!W6</f>
        <v>0</v>
      </c>
      <c r="AO49" s="57">
        <f>[20]January_2019!X6</f>
        <v>0</v>
      </c>
      <c r="AP49" s="57">
        <f>[20]January_2019!Y6</f>
        <v>0</v>
      </c>
      <c r="AQ49" s="57">
        <f>[20]January_2019!Z6</f>
        <v>0</v>
      </c>
      <c r="AR49" s="57">
        <f>[20]January_2019!AA6</f>
        <v>0</v>
      </c>
      <c r="AS49" s="57">
        <f>[20]January_2019!AB6</f>
        <v>0</v>
      </c>
      <c r="AT49" s="57">
        <f>[20]January_2019!AC6</f>
        <v>0</v>
      </c>
      <c r="AU49" s="57">
        <f>[20]January_2019!AD6</f>
        <v>0</v>
      </c>
      <c r="AV49" s="57">
        <f>[20]January_2019!AE6</f>
        <v>0</v>
      </c>
      <c r="AW49" s="57">
        <f>[20]January_2019!AF6</f>
        <v>0</v>
      </c>
      <c r="AX49" s="57">
        <f>[20]January_2019!AG6</f>
        <v>0</v>
      </c>
      <c r="AY49" s="277">
        <f>[20]January_2019!AH6</f>
        <v>0</v>
      </c>
      <c r="AZ49" s="277"/>
      <c r="BA49" s="277"/>
      <c r="BB49" s="277"/>
      <c r="BC49" s="277"/>
      <c r="BD49" s="277"/>
      <c r="BE49" s="277"/>
      <c r="BF49" s="277"/>
    </row>
    <row r="50" spans="2:58" s="54" customFormat="1" ht="56.4" hidden="1" customHeight="1">
      <c r="B50" s="387"/>
      <c r="C50" s="283"/>
      <c r="D50" s="279"/>
      <c r="E50" s="279"/>
      <c r="F50" s="279"/>
      <c r="G50" s="279"/>
      <c r="H50" s="320"/>
      <c r="I50" s="322"/>
      <c r="J50" s="389"/>
      <c r="K50" s="437"/>
      <c r="L50" s="314"/>
      <c r="M50" s="384"/>
      <c r="N50" s="13"/>
      <c r="O50" s="13"/>
      <c r="P50" s="50"/>
      <c r="T50" s="272" t="s">
        <v>54</v>
      </c>
      <c r="U50" s="279"/>
      <c r="V50" s="279"/>
      <c r="W50" s="279"/>
      <c r="X50" s="279"/>
      <c r="Y50" s="279"/>
      <c r="Z50" s="279"/>
      <c r="AA50" s="279"/>
      <c r="AB50" s="279"/>
      <c r="AC50" s="279"/>
      <c r="AD50" s="279"/>
      <c r="AE50" s="279"/>
      <c r="AF50" s="279"/>
      <c r="AG50" s="279"/>
      <c r="AH50" s="279"/>
      <c r="AI50" s="279"/>
      <c r="AJ50" s="279"/>
      <c r="AK50" s="279"/>
      <c r="AL50" s="279"/>
      <c r="AM50" s="279"/>
      <c r="AN50" s="279"/>
      <c r="AO50" s="279"/>
      <c r="AP50" s="279"/>
      <c r="AQ50" s="279"/>
      <c r="AR50" s="279"/>
      <c r="AS50" s="279"/>
      <c r="AT50" s="279"/>
      <c r="AU50" s="279"/>
      <c r="AV50" s="279"/>
      <c r="AW50" s="279"/>
      <c r="AX50" s="279"/>
    </row>
    <row r="51" spans="2:58" s="54" customFormat="1" ht="18.75" hidden="1" customHeight="1">
      <c r="B51" s="387"/>
      <c r="C51" s="283"/>
      <c r="D51" s="279"/>
      <c r="E51" s="279"/>
      <c r="F51" s="279"/>
      <c r="G51" s="279"/>
      <c r="H51" s="320"/>
      <c r="I51" s="322"/>
      <c r="J51" s="389"/>
      <c r="K51" s="437"/>
      <c r="L51" s="314"/>
      <c r="M51" s="384"/>
      <c r="N51" s="13"/>
      <c r="O51" s="13"/>
      <c r="P51" s="50"/>
      <c r="T51" s="272" t="s">
        <v>51</v>
      </c>
      <c r="U51" s="57" t="e">
        <f>[20]January_2019!D8</f>
        <v>#DIV/0!</v>
      </c>
      <c r="V51" s="57">
        <f>[20]January_2019!E8</f>
        <v>1.0319298245614037</v>
      </c>
      <c r="W51" s="57">
        <f>[20]January_2019!F8</f>
        <v>1.7789473684210526</v>
      </c>
      <c r="X51" s="57">
        <f>[20]January_2019!G8</f>
        <v>0.51929824561403504</v>
      </c>
      <c r="Y51" s="57" t="e">
        <f>[20]January_2019!H8</f>
        <v>#DIV/0!</v>
      </c>
      <c r="Z51" s="57" t="e">
        <f>[20]January_2019!I8</f>
        <v>#DIV/0!</v>
      </c>
      <c r="AA51" s="57">
        <f>[20]January_2019!J8</f>
        <v>1.365263157894737</v>
      </c>
      <c r="AB51" s="57" t="e">
        <f>[20]January_2019!K8</f>
        <v>#DIV/0!</v>
      </c>
      <c r="AC51" s="57">
        <f>[20]January_2019!L8</f>
        <v>1.0028070175438597</v>
      </c>
      <c r="AD51" s="57">
        <f>[20]January_2019!M8</f>
        <v>1.7828070175438597</v>
      </c>
      <c r="AE51" s="57" t="e">
        <f>[20]January_2019!N8</f>
        <v>#DIV/0!</v>
      </c>
      <c r="AF51" s="57" t="e">
        <f>[20]January_2019!O8</f>
        <v>#DIV/0!</v>
      </c>
      <c r="AG51" s="57">
        <f>[20]January_2019!P8</f>
        <v>0.19222222222222221</v>
      </c>
      <c r="AH51" s="57">
        <f>[20]January_2019!Q8</f>
        <v>0.52219298245614032</v>
      </c>
      <c r="AI51" s="57">
        <f>[20]January_2019!R8</f>
        <v>0.42912280701754385</v>
      </c>
      <c r="AJ51" s="57" t="e">
        <f>[20]January_2019!S8</f>
        <v>#DIV/0!</v>
      </c>
      <c r="AK51" s="57">
        <f>[20]January_2019!T8</f>
        <v>1.0340350877192983</v>
      </c>
      <c r="AL51" s="57">
        <f>[20]January_2019!U8</f>
        <v>0.98421052631578942</v>
      </c>
      <c r="AM51" s="57" t="e">
        <f>[20]January_2019!V8</f>
        <v>#DIV/0!</v>
      </c>
      <c r="AN51" s="57" t="e">
        <f>[20]January_2019!W8</f>
        <v>#DIV/0!</v>
      </c>
      <c r="AO51" s="57">
        <f>[20]January_2019!X8</f>
        <v>0.66052631578947374</v>
      </c>
      <c r="AP51" s="57">
        <f>[20]January_2019!Y8</f>
        <v>1.0375438596491227</v>
      </c>
      <c r="AQ51" s="57">
        <f>[20]January_2019!Z8</f>
        <v>0.90456140350877201</v>
      </c>
      <c r="AR51" s="57">
        <f>[20]January_2019!AA8</f>
        <v>1.0217543859649123</v>
      </c>
      <c r="AS51" s="57">
        <f>[20]January_2019!AB8</f>
        <v>0.65614035087719302</v>
      </c>
      <c r="AT51" s="57" t="e">
        <f>[20]January_2019!AC8</f>
        <v>#DIV/0!</v>
      </c>
      <c r="AU51" s="57" t="e">
        <f>[20]January_2019!AD8</f>
        <v>#DIV/0!</v>
      </c>
      <c r="AV51" s="57">
        <f>[20]January_2019!AE8</f>
        <v>1.7021052631578948</v>
      </c>
      <c r="AW51" s="57">
        <f>[20]January_2019!AF8</f>
        <v>0.60192982456140354</v>
      </c>
      <c r="AX51" s="57">
        <f>[20]January_2019!AG8</f>
        <v>1.4870175438596491</v>
      </c>
      <c r="AY51" s="277" t="e">
        <f>[20]January_2019!AH8</f>
        <v>#DIV/0!</v>
      </c>
      <c r="AZ51" s="277"/>
      <c r="BA51" s="277"/>
      <c r="BB51" s="277"/>
      <c r="BC51" s="277"/>
      <c r="BD51" s="277"/>
      <c r="BE51" s="277"/>
      <c r="BF51" s="277"/>
    </row>
    <row r="52" spans="2:58" s="54" customFormat="1" ht="42" hidden="1" customHeight="1">
      <c r="B52" s="387"/>
      <c r="C52" s="283"/>
      <c r="D52" s="279"/>
      <c r="E52" s="279"/>
      <c r="F52" s="279"/>
      <c r="G52" s="279"/>
      <c r="H52" s="320"/>
      <c r="I52" s="322"/>
      <c r="J52" s="389"/>
      <c r="K52" s="437"/>
      <c r="L52" s="314"/>
      <c r="M52" s="384"/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14.4" hidden="1" thickBot="1">
      <c r="B53" s="361"/>
      <c r="C53" s="283"/>
      <c r="D53" s="304"/>
      <c r="E53" s="279"/>
      <c r="F53" s="279"/>
      <c r="G53" s="279"/>
      <c r="H53" s="381"/>
      <c r="I53" s="381"/>
      <c r="J53" s="389"/>
      <c r="K53" s="437"/>
      <c r="L53" s="314"/>
      <c r="M53" s="339"/>
      <c r="N53" s="13"/>
      <c r="O53" s="13"/>
      <c r="P53" s="50"/>
      <c r="T53" s="272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277"/>
      <c r="AZ53" s="277"/>
      <c r="BA53" s="277"/>
      <c r="BB53" s="277"/>
      <c r="BC53" s="277"/>
      <c r="BD53" s="277"/>
      <c r="BE53" s="277"/>
      <c r="BF53" s="277"/>
    </row>
    <row r="54" spans="2:58" s="54" customFormat="1" ht="9" hidden="1" customHeight="1">
      <c r="B54" s="387"/>
      <c r="C54" s="283"/>
      <c r="D54" s="279"/>
      <c r="E54" s="279"/>
      <c r="F54" s="279"/>
      <c r="G54" s="279"/>
      <c r="H54" s="320"/>
      <c r="I54" s="322"/>
      <c r="J54" s="281"/>
      <c r="K54" s="286"/>
      <c r="L54" s="314"/>
      <c r="M54" s="339"/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ht="11.4" hidden="1" customHeight="1" thickBot="1">
      <c r="B55" s="33"/>
      <c r="C55" s="310"/>
      <c r="D55" s="279"/>
      <c r="E55" s="279"/>
      <c r="F55" s="279"/>
      <c r="G55" s="279"/>
      <c r="H55" s="352"/>
      <c r="I55" s="353"/>
      <c r="J55" s="281"/>
      <c r="K55" s="52"/>
      <c r="L55" s="53"/>
      <c r="M55" s="55"/>
      <c r="N55" s="77"/>
      <c r="O55" s="13"/>
      <c r="P55" s="56"/>
    </row>
    <row r="56" spans="2:58" ht="14.4" thickBot="1">
      <c r="B56" s="58"/>
      <c r="C56" s="309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9"/>
      <c r="O56" s="56"/>
      <c r="P56" s="60"/>
    </row>
    <row r="57" spans="2:58" ht="14.4" thickBot="1">
      <c r="B57" s="536" t="s">
        <v>55</v>
      </c>
      <c r="C57" s="537"/>
      <c r="D57" s="537"/>
      <c r="E57" s="537"/>
      <c r="F57" s="538"/>
      <c r="G57" s="536" t="s">
        <v>56</v>
      </c>
      <c r="H57" s="537"/>
      <c r="I57" s="537"/>
      <c r="J57" s="538"/>
      <c r="K57" s="536" t="s">
        <v>51</v>
      </c>
      <c r="L57" s="537"/>
      <c r="M57" s="537"/>
      <c r="N57" s="539"/>
      <c r="O57" s="56"/>
      <c r="P57" s="50"/>
    </row>
    <row r="58" spans="2:58">
      <c r="B58" s="61" t="s">
        <v>17</v>
      </c>
      <c r="C58" s="62" t="s">
        <v>36</v>
      </c>
      <c r="D58" s="62" t="s">
        <v>37</v>
      </c>
      <c r="E58" s="62" t="s">
        <v>38</v>
      </c>
      <c r="F58" s="63" t="s">
        <v>39</v>
      </c>
      <c r="G58" s="62" t="s">
        <v>36</v>
      </c>
      <c r="H58" s="62" t="s">
        <v>37</v>
      </c>
      <c r="I58" s="62" t="s">
        <v>38</v>
      </c>
      <c r="J58" s="63" t="s">
        <v>39</v>
      </c>
      <c r="K58" s="62" t="s">
        <v>36</v>
      </c>
      <c r="L58" s="62" t="s">
        <v>37</v>
      </c>
      <c r="M58" s="62" t="s">
        <v>38</v>
      </c>
      <c r="N58" s="63" t="s">
        <v>39</v>
      </c>
      <c r="O58" s="56"/>
      <c r="P58" s="64"/>
    </row>
    <row r="59" spans="2:58">
      <c r="B59" s="29" t="s">
        <v>6</v>
      </c>
      <c r="C59" s="65"/>
      <c r="D59" s="76">
        <v>6.5448072841788409</v>
      </c>
      <c r="E59" s="76">
        <v>7.2431413404772673</v>
      </c>
      <c r="F59" s="66">
        <v>4.8</v>
      </c>
      <c r="G59" s="65"/>
      <c r="H59" s="76">
        <v>7.1969619815726622</v>
      </c>
      <c r="I59" s="76">
        <v>7.673033444751014</v>
      </c>
      <c r="J59" s="66">
        <v>4.8</v>
      </c>
      <c r="K59" s="67"/>
      <c r="L59" s="194">
        <v>0.66328941906180561</v>
      </c>
      <c r="M59" s="194">
        <v>0.84122488808568274</v>
      </c>
      <c r="N59" s="68">
        <v>1</v>
      </c>
      <c r="O59" s="56"/>
      <c r="P59" s="69"/>
    </row>
    <row r="60" spans="2:58">
      <c r="B60" s="33" t="s">
        <v>9</v>
      </c>
      <c r="C60" s="65"/>
      <c r="D60" s="76">
        <v>6.6241169909530218</v>
      </c>
      <c r="E60" s="76">
        <v>6.7066838440757675</v>
      </c>
      <c r="F60" s="66">
        <v>4.8</v>
      </c>
      <c r="G60" s="65"/>
      <c r="H60" s="76">
        <v>6.5438307865505001</v>
      </c>
      <c r="I60" s="76">
        <v>6.7059091567256077</v>
      </c>
      <c r="J60" s="66">
        <v>4.8</v>
      </c>
      <c r="K60" s="67"/>
      <c r="L60" s="194">
        <v>0.61918200707621074</v>
      </c>
      <c r="M60" s="194">
        <v>0.75354343167523652</v>
      </c>
      <c r="N60" s="68">
        <v>1</v>
      </c>
      <c r="P60" s="69"/>
    </row>
    <row r="61" spans="2:58">
      <c r="B61" s="34" t="s">
        <v>40</v>
      </c>
      <c r="C61" s="65"/>
      <c r="D61" s="76">
        <v>18.104405775638647</v>
      </c>
      <c r="E61" s="76">
        <v>14.176156170113877</v>
      </c>
      <c r="F61" s="66">
        <v>5.5</v>
      </c>
      <c r="G61" s="65"/>
      <c r="H61" s="76">
        <v>20.086278780699747</v>
      </c>
      <c r="I61" s="76">
        <v>15.811420854943506</v>
      </c>
      <c r="J61" s="66">
        <v>5.5</v>
      </c>
      <c r="K61" s="67"/>
      <c r="L61" s="194">
        <v>0.31152046783625731</v>
      </c>
      <c r="M61" s="194">
        <v>0.4570760233918128</v>
      </c>
      <c r="N61" s="68">
        <v>1</v>
      </c>
      <c r="P61" s="69"/>
    </row>
    <row r="62" spans="2:58">
      <c r="B62" s="22" t="s">
        <v>33</v>
      </c>
      <c r="C62" s="65"/>
      <c r="D62" s="76">
        <v>4.9603174603174329</v>
      </c>
      <c r="E62" s="76">
        <v>3.9190537266638161</v>
      </c>
      <c r="F62" s="66">
        <v>3.3</v>
      </c>
      <c r="G62" s="65"/>
      <c r="H62" s="76">
        <v>5.7667082440308048</v>
      </c>
      <c r="I62" s="76">
        <v>5.345661717473071</v>
      </c>
      <c r="J62" s="66">
        <v>3.3</v>
      </c>
      <c r="K62" s="67"/>
      <c r="L62" s="194">
        <v>0.67228070175438603</v>
      </c>
      <c r="M62" s="194">
        <v>0.78853801169590654</v>
      </c>
      <c r="N62" s="68">
        <v>1</v>
      </c>
      <c r="P62" s="69"/>
    </row>
    <row r="63" spans="2:58">
      <c r="B63" s="469" t="s">
        <v>181</v>
      </c>
      <c r="C63" s="65"/>
      <c r="D63" s="76"/>
      <c r="E63" s="76"/>
      <c r="F63" s="66">
        <v>3.3</v>
      </c>
      <c r="G63" s="282"/>
      <c r="H63" s="76"/>
      <c r="I63" s="76"/>
      <c r="J63" s="66">
        <v>3</v>
      </c>
      <c r="K63" s="67"/>
      <c r="L63" s="194"/>
      <c r="M63" s="194"/>
      <c r="N63" s="68">
        <v>1</v>
      </c>
      <c r="P63" s="69"/>
    </row>
    <row r="64" spans="2:58">
      <c r="B64" s="36" t="s">
        <v>15</v>
      </c>
      <c r="C64" s="282"/>
      <c r="D64" s="76"/>
      <c r="E64" s="76">
        <v>8.7664670658682695</v>
      </c>
      <c r="F64" s="70">
        <f>[21]May_2022!$M$43</f>
        <v>3.4878406700073312</v>
      </c>
      <c r="G64" s="282"/>
      <c r="H64" s="76"/>
      <c r="I64" s="76">
        <v>10.607235567685406</v>
      </c>
      <c r="J64" s="70">
        <v>5.5</v>
      </c>
      <c r="K64" s="67"/>
      <c r="L64" s="194"/>
      <c r="M64" s="194">
        <v>0.66824561403508764</v>
      </c>
      <c r="N64" s="68">
        <v>1</v>
      </c>
      <c r="P64" s="69"/>
    </row>
    <row r="65" spans="2:16">
      <c r="B65" s="37" t="s">
        <v>16</v>
      </c>
      <c r="C65" s="65"/>
      <c r="D65" s="76">
        <v>3.3333333333333082</v>
      </c>
      <c r="E65" s="76">
        <v>2.2765363128491556</v>
      </c>
      <c r="F65" s="66">
        <v>3.3</v>
      </c>
      <c r="G65" s="282"/>
      <c r="H65" s="76">
        <v>5.2583423035521699</v>
      </c>
      <c r="I65" s="76">
        <v>4.5833713915368151</v>
      </c>
      <c r="J65" s="70">
        <v>3.3</v>
      </c>
      <c r="K65" s="67"/>
      <c r="L65" s="194">
        <v>1.0053333333333334</v>
      </c>
      <c r="M65" s="194">
        <v>0.8042528735632184</v>
      </c>
      <c r="N65" s="71">
        <v>1</v>
      </c>
      <c r="P65" s="69"/>
    </row>
    <row r="66" spans="2:16" ht="14.4" thickBot="1">
      <c r="B66" s="468" t="s">
        <v>127</v>
      </c>
      <c r="C66" s="65"/>
      <c r="D66" s="76"/>
      <c r="E66" s="76"/>
      <c r="F66" s="70">
        <v>7.5</v>
      </c>
      <c r="G66" s="282"/>
      <c r="H66" s="76"/>
      <c r="I66" s="76"/>
      <c r="J66" s="72">
        <v>7.5</v>
      </c>
      <c r="K66" s="67"/>
      <c r="L66" s="194"/>
      <c r="M66" s="194"/>
      <c r="N66" s="71">
        <v>1</v>
      </c>
      <c r="P66" s="69"/>
    </row>
    <row r="67" spans="2:16" ht="14.4" thickBot="1">
      <c r="B67" s="435" t="s">
        <v>134</v>
      </c>
      <c r="C67" s="434"/>
      <c r="D67" s="76">
        <v>4.8792508624938291</v>
      </c>
      <c r="E67" s="76">
        <v>7.4485596707818953</v>
      </c>
      <c r="F67" s="66">
        <v>5.5</v>
      </c>
      <c r="G67" s="282"/>
      <c r="H67" s="76">
        <v>6.2003723782925313</v>
      </c>
      <c r="I67" s="76">
        <v>6.2003723782925313</v>
      </c>
      <c r="J67" s="433">
        <v>5.5</v>
      </c>
      <c r="K67" s="67"/>
      <c r="L67" s="194">
        <v>1</v>
      </c>
      <c r="M67" s="194">
        <v>0.67719298245614035</v>
      </c>
      <c r="N67" s="71">
        <v>1</v>
      </c>
      <c r="P67" s="69"/>
    </row>
    <row r="68" spans="2:16">
      <c r="C68" s="282"/>
      <c r="D68" s="76">
        <v>7.4485596707818953</v>
      </c>
      <c r="E68" s="76">
        <v>7.1747756393876987</v>
      </c>
      <c r="F68" s="341">
        <v>4.5</v>
      </c>
      <c r="G68" s="282"/>
      <c r="H68" s="76">
        <v>8.4191497437750336</v>
      </c>
      <c r="I68" s="76">
        <v>7.9266436711919717</v>
      </c>
      <c r="J68" s="342">
        <v>5</v>
      </c>
      <c r="K68" s="67"/>
      <c r="L68" s="194">
        <v>0.56650239113139411</v>
      </c>
      <c r="M68" s="194">
        <v>0.56650239113139411</v>
      </c>
      <c r="N68" s="386">
        <v>1</v>
      </c>
      <c r="O68" s="74"/>
      <c r="P68" s="75"/>
    </row>
    <row r="73" spans="2:16">
      <c r="F73" s="315"/>
    </row>
    <row r="81" spans="30:30">
      <c r="AD81" s="275" t="s">
        <v>57</v>
      </c>
    </row>
  </sheetData>
  <mergeCells count="52">
    <mergeCell ref="M46:M47"/>
    <mergeCell ref="B57:F57"/>
    <mergeCell ref="G57:J57"/>
    <mergeCell ref="K57:N57"/>
    <mergeCell ref="G46:G47"/>
    <mergeCell ref="H46:H47"/>
    <mergeCell ref="I46:I47"/>
    <mergeCell ref="J46:J47"/>
    <mergeCell ref="K46:K47"/>
    <mergeCell ref="L46:L47"/>
    <mergeCell ref="F46:F47"/>
    <mergeCell ref="D41:E41"/>
    <mergeCell ref="B46:B47"/>
    <mergeCell ref="C46:C47"/>
    <mergeCell ref="D46:D47"/>
    <mergeCell ref="E46:E47"/>
    <mergeCell ref="B31:B40"/>
    <mergeCell ref="D31:E32"/>
    <mergeCell ref="J31:K31"/>
    <mergeCell ref="L32:N32"/>
    <mergeCell ref="D33:E34"/>
    <mergeCell ref="D35:E36"/>
    <mergeCell ref="D37:E38"/>
    <mergeCell ref="D39:E40"/>
    <mergeCell ref="C4:D4"/>
    <mergeCell ref="M4:N4"/>
    <mergeCell ref="I17:N17"/>
    <mergeCell ref="D18:E18"/>
    <mergeCell ref="B19:B30"/>
    <mergeCell ref="D19:E20"/>
    <mergeCell ref="D21:E22"/>
    <mergeCell ref="D23:E24"/>
    <mergeCell ref="D25:E26"/>
    <mergeCell ref="D27:E28"/>
    <mergeCell ref="D29:E30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1:B42">
    <cfRule type="cellIs" dxfId="995" priority="110" operator="notBetween">
      <formula>#REF!</formula>
      <formula>#REF!</formula>
    </cfRule>
  </conditionalFormatting>
  <conditionalFormatting sqref="C45">
    <cfRule type="cellIs" dxfId="994" priority="142" stopIfTrue="1" operator="greaterThan">
      <formula>100</formula>
    </cfRule>
    <cfRule type="cellIs" dxfId="993" priority="141" stopIfTrue="1" operator="lessThan">
      <formula>96</formula>
    </cfRule>
  </conditionalFormatting>
  <conditionalFormatting sqref="C59">
    <cfRule type="cellIs" dxfId="992" priority="69" stopIfTrue="1" operator="greaterThan">
      <formula>$F59</formula>
    </cfRule>
  </conditionalFormatting>
  <conditionalFormatting sqref="C59:C60">
    <cfRule type="cellIs" dxfId="991" priority="70" stopIfTrue="1" operator="lessThanOrEqual">
      <formula>0</formula>
    </cfRule>
  </conditionalFormatting>
  <conditionalFormatting sqref="C60">
    <cfRule type="cellIs" dxfId="990" priority="145" stopIfTrue="1" operator="greaterThan">
      <formula>$F59</formula>
    </cfRule>
  </conditionalFormatting>
  <conditionalFormatting sqref="C61:C63">
    <cfRule type="cellIs" dxfId="989" priority="77" stopIfTrue="1" operator="greaterThan">
      <formula>$F61</formula>
    </cfRule>
  </conditionalFormatting>
  <conditionalFormatting sqref="C61:C64">
    <cfRule type="cellIs" dxfId="988" priority="88" stopIfTrue="1" operator="lessThanOrEqual">
      <formula>0</formula>
    </cfRule>
  </conditionalFormatting>
  <conditionalFormatting sqref="C64">
    <cfRule type="cellIs" dxfId="987" priority="87" stopIfTrue="1" operator="greaterThan">
      <formula>$J64</formula>
    </cfRule>
  </conditionalFormatting>
  <conditionalFormatting sqref="C68">
    <cfRule type="cellIs" dxfId="986" priority="56" stopIfTrue="1" operator="lessThanOrEqual">
      <formula>0</formula>
    </cfRule>
    <cfRule type="cellIs" dxfId="985" priority="55" stopIfTrue="1" operator="greaterThan">
      <formula>$J68</formula>
    </cfRule>
  </conditionalFormatting>
  <conditionalFormatting sqref="C71:C75">
    <cfRule type="cellIs" dxfId="984" priority="133" stopIfTrue="1" operator="lessThanOrEqual">
      <formula>0</formula>
    </cfRule>
  </conditionalFormatting>
  <conditionalFormatting sqref="C72:C75">
    <cfRule type="cellIs" dxfId="983" priority="132" stopIfTrue="1" operator="greaterThan">
      <formula>$F$71</formula>
    </cfRule>
  </conditionalFormatting>
  <conditionalFormatting sqref="C77">
    <cfRule type="cellIs" dxfId="982" priority="135" stopIfTrue="1" operator="lessThanOrEqual">
      <formula>0</formula>
    </cfRule>
    <cfRule type="cellIs" dxfId="981" priority="134" stopIfTrue="1" operator="greaterThan">
      <formula>$F$71</formula>
    </cfRule>
  </conditionalFormatting>
  <conditionalFormatting sqref="C71:D71 D73:D79">
    <cfRule type="cellIs" dxfId="980" priority="127" stopIfTrue="1" operator="greaterThan">
      <formula>4.5</formula>
    </cfRule>
  </conditionalFormatting>
  <conditionalFormatting sqref="D41:D42">
    <cfRule type="cellIs" dxfId="979" priority="111" operator="notBetween">
      <formula>#REF!</formula>
      <formula>#REF!</formula>
    </cfRule>
  </conditionalFormatting>
  <conditionalFormatting sqref="D59:D67">
    <cfRule type="cellIs" dxfId="978" priority="100" stopIfTrue="1" operator="lessThanOrEqual">
      <formula>0</formula>
    </cfRule>
  </conditionalFormatting>
  <conditionalFormatting sqref="D68">
    <cfRule type="cellIs" dxfId="977" priority="99" stopIfTrue="1" operator="lessThanOrEqual">
      <formula>0</formula>
    </cfRule>
  </conditionalFormatting>
  <conditionalFormatting sqref="D71 D73:D79">
    <cfRule type="cellIs" dxfId="976" priority="128" stopIfTrue="1" operator="lessThanOrEqual">
      <formula>0</formula>
    </cfRule>
  </conditionalFormatting>
  <conditionalFormatting sqref="D72">
    <cfRule type="cellIs" dxfId="975" priority="119" stopIfTrue="1" operator="greaterThan">
      <formula>$F$71</formula>
    </cfRule>
    <cfRule type="cellIs" dxfId="974" priority="120" stopIfTrue="1" operator="lessThanOrEqual">
      <formula>0</formula>
    </cfRule>
  </conditionalFormatting>
  <conditionalFormatting sqref="D59:E68">
    <cfRule type="cellIs" dxfId="973" priority="92" stopIfTrue="1" operator="greaterThan">
      <formula>$F59</formula>
    </cfRule>
  </conditionalFormatting>
  <conditionalFormatting sqref="E10:E16">
    <cfRule type="cellIs" dxfId="972" priority="23" operator="lessThan">
      <formula>48</formula>
    </cfRule>
  </conditionalFormatting>
  <conditionalFormatting sqref="E45">
    <cfRule type="cellIs" dxfId="971" priority="122" stopIfTrue="1" operator="greaterThan">
      <formula>100</formula>
    </cfRule>
    <cfRule type="cellIs" dxfId="970" priority="121" stopIfTrue="1" operator="lessThan">
      <formula>96.8</formula>
    </cfRule>
  </conditionalFormatting>
  <conditionalFormatting sqref="E59:E68">
    <cfRule type="cellIs" dxfId="969" priority="93" stopIfTrue="1" operator="lessThanOrEqual">
      <formula>0</formula>
    </cfRule>
  </conditionalFormatting>
  <conditionalFormatting sqref="E71:E79">
    <cfRule type="cellIs" dxfId="968" priority="113" stopIfTrue="1" operator="greaterThan">
      <formula>4.5</formula>
    </cfRule>
    <cfRule type="cellIs" dxfId="967" priority="114" stopIfTrue="1" operator="lessThanOrEqual">
      <formula>0</formula>
    </cfRule>
  </conditionalFormatting>
  <conditionalFormatting sqref="E44:F45">
    <cfRule type="cellIs" dxfId="966" priority="124" stopIfTrue="1" operator="greaterThan">
      <formula>100</formula>
    </cfRule>
    <cfRule type="cellIs" dxfId="965" priority="123" stopIfTrue="1" operator="lessThan">
      <formula>96.5</formula>
    </cfRule>
  </conditionalFormatting>
  <conditionalFormatting sqref="F10:F16">
    <cfRule type="cellIs" dxfId="964" priority="25" operator="greaterThan">
      <formula>60</formula>
    </cfRule>
  </conditionalFormatting>
  <conditionalFormatting sqref="F45">
    <cfRule type="cellIs" dxfId="963" priority="140" stopIfTrue="1" operator="greaterThan">
      <formula>100</formula>
    </cfRule>
    <cfRule type="cellIs" dxfId="962" priority="139" stopIfTrue="1" operator="lessThan">
      <formula>96.8</formula>
    </cfRule>
  </conditionalFormatting>
  <conditionalFormatting sqref="F68">
    <cfRule type="cellIs" dxfId="961" priority="95" stopIfTrue="1" operator="lessThanOrEqual">
      <formula>0</formula>
    </cfRule>
    <cfRule type="cellIs" dxfId="960" priority="94" stopIfTrue="1" operator="greaterThan">
      <formula>$F68</formula>
    </cfRule>
  </conditionalFormatting>
  <conditionalFormatting sqref="G59:G60 C65:C67">
    <cfRule type="cellIs" dxfId="959" priority="101" stopIfTrue="1" operator="greaterThan">
      <formula>$F59</formula>
    </cfRule>
    <cfRule type="cellIs" dxfId="958" priority="102" stopIfTrue="1" operator="lessThanOrEqual">
      <formula>0</formula>
    </cfRule>
  </conditionalFormatting>
  <conditionalFormatting sqref="G59:G60">
    <cfRule type="cellIs" dxfId="957" priority="73" stopIfTrue="1" operator="lessThanOrEqual">
      <formula>0</formula>
    </cfRule>
    <cfRule type="cellIs" dxfId="956" priority="72" stopIfTrue="1" operator="greaterThan">
      <formula>$F59</formula>
    </cfRule>
  </conditionalFormatting>
  <conditionalFormatting sqref="G61">
    <cfRule type="cellIs" dxfId="955" priority="143" stopIfTrue="1" operator="greaterThan">
      <formula>$F60</formula>
    </cfRule>
    <cfRule type="cellIs" dxfId="954" priority="144" stopIfTrue="1" operator="lessThanOrEqual">
      <formula>0</formula>
    </cfRule>
  </conditionalFormatting>
  <conditionalFormatting sqref="G62">
    <cfRule type="cellIs" dxfId="953" priority="97" stopIfTrue="1" operator="lessThanOrEqual">
      <formula>0</formula>
    </cfRule>
    <cfRule type="cellIs" dxfId="952" priority="96" stopIfTrue="1" operator="greaterThan">
      <formula>$F62</formula>
    </cfRule>
  </conditionalFormatting>
  <conditionalFormatting sqref="G63:G68">
    <cfRule type="cellIs" dxfId="951" priority="103" stopIfTrue="1" operator="greaterThan">
      <formula>$J63</formula>
    </cfRule>
    <cfRule type="cellIs" dxfId="950" priority="104" stopIfTrue="1" operator="lessThanOrEqual">
      <formula>0</formula>
    </cfRule>
  </conditionalFormatting>
  <conditionalFormatting sqref="G73:G78 C76 C78">
    <cfRule type="cellIs" dxfId="949" priority="137" stopIfTrue="1" operator="lessThanOrEqual">
      <formula>0</formula>
    </cfRule>
    <cfRule type="cellIs" dxfId="948" priority="136" stopIfTrue="1" operator="greaterThan">
      <formula>4.5</formula>
    </cfRule>
  </conditionalFormatting>
  <conditionalFormatting sqref="G10:H16">
    <cfRule type="expression" dxfId="947" priority="16">
      <formula>IF(+(IF(G10&lt;#REF!,0,IF(G10&gt;#REF!,0,1)))=0,1)</formula>
    </cfRule>
  </conditionalFormatting>
  <conditionalFormatting sqref="G72:H72">
    <cfRule type="cellIs" dxfId="946" priority="118" stopIfTrue="1" operator="lessThanOrEqual">
      <formula>0</formula>
    </cfRule>
    <cfRule type="cellIs" dxfId="945" priority="117" stopIfTrue="1" operator="greaterThan">
      <formula>$F$71</formula>
    </cfRule>
  </conditionalFormatting>
  <conditionalFormatting sqref="H20:H43 G31:G42">
    <cfRule type="cellIs" dxfId="944" priority="115" stopIfTrue="1" operator="greaterThan">
      <formula>0</formula>
    </cfRule>
  </conditionalFormatting>
  <conditionalFormatting sqref="H48:H52">
    <cfRule type="cellIs" dxfId="943" priority="30" stopIfTrue="1" operator="greaterThan">
      <formula>$F$58</formula>
    </cfRule>
    <cfRule type="cellIs" dxfId="942" priority="41" stopIfTrue="1" operator="lessThanOrEqual">
      <formula>0</formula>
    </cfRule>
    <cfRule type="cellIs" dxfId="941" priority="40" stopIfTrue="1" operator="greaterThan">
      <formula>$F$59</formula>
    </cfRule>
    <cfRule type="cellIs" dxfId="940" priority="39" stopIfTrue="1" operator="lessThanOrEqual">
      <formula>0</formula>
    </cfRule>
    <cfRule type="cellIs" dxfId="939" priority="38" stopIfTrue="1" operator="greaterThan">
      <formula>$F$61</formula>
    </cfRule>
    <cfRule type="cellIs" dxfId="938" priority="29" stopIfTrue="1" operator="lessThanOrEqual">
      <formula>0</formula>
    </cfRule>
  </conditionalFormatting>
  <conditionalFormatting sqref="H53">
    <cfRule type="cellIs" dxfId="937" priority="67" stopIfTrue="1" operator="greaterThan">
      <formula>#REF!</formula>
    </cfRule>
    <cfRule type="cellIs" dxfId="936" priority="68" stopIfTrue="1" operator="lessThanOrEqual">
      <formula>0</formula>
    </cfRule>
    <cfRule type="cellIs" dxfId="935" priority="59" stopIfTrue="1" operator="greaterThan">
      <formula>#REF!</formula>
    </cfRule>
    <cfRule type="cellIs" dxfId="934" priority="58" stopIfTrue="1" operator="lessThanOrEqual">
      <formula>0</formula>
    </cfRule>
  </conditionalFormatting>
  <conditionalFormatting sqref="H54">
    <cfRule type="cellIs" dxfId="933" priority="53" stopIfTrue="1" operator="lessThanOrEqual">
      <formula>0</formula>
    </cfRule>
    <cfRule type="cellIs" dxfId="932" priority="52" stopIfTrue="1" operator="greaterThan">
      <formula>$F$60</formula>
    </cfRule>
    <cfRule type="cellIs" dxfId="931" priority="51" stopIfTrue="1" operator="lessThanOrEqual">
      <formula>0</formula>
    </cfRule>
    <cfRule type="cellIs" dxfId="930" priority="50" stopIfTrue="1" operator="greaterThan">
      <formula>$F$62</formula>
    </cfRule>
    <cfRule type="cellIs" dxfId="929" priority="43" stopIfTrue="1" operator="lessThanOrEqual">
      <formula>0</formula>
    </cfRule>
  </conditionalFormatting>
  <conditionalFormatting sqref="H55">
    <cfRule type="cellIs" dxfId="928" priority="106" stopIfTrue="1" operator="greaterThan">
      <formula>$F$56</formula>
    </cfRule>
    <cfRule type="cellIs" dxfId="927" priority="107" stopIfTrue="1" operator="lessThanOrEqual">
      <formula>0</formula>
    </cfRule>
    <cfRule type="cellIs" dxfId="926" priority="108" stopIfTrue="1" operator="greaterThan">
      <formula>$F$53</formula>
    </cfRule>
    <cfRule type="cellIs" dxfId="925" priority="109" stopIfTrue="1" operator="lessThanOrEqual">
      <formula>0</formula>
    </cfRule>
  </conditionalFormatting>
  <conditionalFormatting sqref="H59:H67">
    <cfRule type="cellIs" dxfId="924" priority="86" stopIfTrue="1" operator="lessThanOrEqual">
      <formula>0</formula>
    </cfRule>
    <cfRule type="cellIs" dxfId="923" priority="85" stopIfTrue="1" operator="greaterThan">
      <formula>$J59</formula>
    </cfRule>
  </conditionalFormatting>
  <conditionalFormatting sqref="H68">
    <cfRule type="cellIs" dxfId="922" priority="89" operator="greaterThan">
      <formula>5.3</formula>
    </cfRule>
  </conditionalFormatting>
  <conditionalFormatting sqref="H71 H73:H79">
    <cfRule type="cellIs" dxfId="921" priority="129" stopIfTrue="1" operator="greaterThan">
      <formula>4.5</formula>
    </cfRule>
    <cfRule type="cellIs" dxfId="920" priority="130" stopIfTrue="1" operator="lessThanOrEqual">
      <formula>0</formula>
    </cfRule>
  </conditionalFormatting>
  <conditionalFormatting sqref="H48:I52">
    <cfRule type="cellIs" dxfId="919" priority="31" stopIfTrue="1" operator="lessThanOrEqual">
      <formula>0</formula>
    </cfRule>
    <cfRule type="cellIs" dxfId="918" priority="28" stopIfTrue="1" operator="greaterThan">
      <formula>$F$60</formula>
    </cfRule>
  </conditionalFormatting>
  <conditionalFormatting sqref="H53:I53">
    <cfRule type="cellIs" dxfId="917" priority="57" stopIfTrue="1" operator="greaterThan">
      <formula>#REF!</formula>
    </cfRule>
    <cfRule type="cellIs" dxfId="916" priority="60" stopIfTrue="1" operator="lessThanOrEqual">
      <formula>0</formula>
    </cfRule>
    <cfRule type="cellIs" dxfId="915" priority="63" stopIfTrue="1" operator="greaterThan">
      <formula>#REF!</formula>
    </cfRule>
  </conditionalFormatting>
  <conditionalFormatting sqref="H53:I54">
    <cfRule type="cellIs" dxfId="914" priority="66" stopIfTrue="1" operator="lessThanOrEqual">
      <formula>0</formula>
    </cfRule>
  </conditionalFormatting>
  <conditionalFormatting sqref="H54:I54">
    <cfRule type="cellIs" dxfId="913" priority="42" stopIfTrue="1" operator="greaterThan">
      <formula>$F$61</formula>
    </cfRule>
    <cfRule type="cellIs" dxfId="912" priority="44" stopIfTrue="1" operator="greaterThan">
      <formula>$F$59</formula>
    </cfRule>
  </conditionalFormatting>
  <conditionalFormatting sqref="I48:I52">
    <cfRule type="cellIs" dxfId="911" priority="32" stopIfTrue="1" operator="greaterThan">
      <formula>$F$58</formula>
    </cfRule>
    <cfRule type="cellIs" dxfId="910" priority="36" stopIfTrue="1" operator="greaterThan">
      <formula>$F$58</formula>
    </cfRule>
    <cfRule type="cellIs" dxfId="909" priority="35" stopIfTrue="1" operator="lessThanOrEqual">
      <formula>0</formula>
    </cfRule>
    <cfRule type="cellIs" dxfId="908" priority="34" stopIfTrue="1" operator="greaterThan">
      <formula>$F$60</formula>
    </cfRule>
    <cfRule type="cellIs" dxfId="907" priority="33" stopIfTrue="1" operator="lessThanOrEqual">
      <formula>0</formula>
    </cfRule>
    <cfRule type="cellIs" dxfId="906" priority="37" stopIfTrue="1" operator="lessThanOrEqual">
      <formula>0</formula>
    </cfRule>
  </conditionalFormatting>
  <conditionalFormatting sqref="I53">
    <cfRule type="cellIs" dxfId="905" priority="61" stopIfTrue="1" operator="greaterThan">
      <formula>#REF!</formula>
    </cfRule>
    <cfRule type="cellIs" dxfId="904" priority="62" stopIfTrue="1" operator="lessThanOrEqual">
      <formula>0</formula>
    </cfRule>
    <cfRule type="cellIs" dxfId="903" priority="65" stopIfTrue="1" operator="greaterThan">
      <formula>#REF!</formula>
    </cfRule>
    <cfRule type="cellIs" dxfId="902" priority="64" stopIfTrue="1" operator="lessThanOrEqual">
      <formula>0</formula>
    </cfRule>
  </conditionalFormatting>
  <conditionalFormatting sqref="I54">
    <cfRule type="cellIs" dxfId="901" priority="48" stopIfTrue="1" operator="greaterThan">
      <formula>$F$59</formula>
    </cfRule>
    <cfRule type="cellIs" dxfId="900" priority="47" stopIfTrue="1" operator="lessThanOrEqual">
      <formula>0</formula>
    </cfRule>
    <cfRule type="cellIs" dxfId="899" priority="49" stopIfTrue="1" operator="lessThanOrEqual">
      <formula>0</formula>
    </cfRule>
    <cfRule type="cellIs" dxfId="898" priority="46" stopIfTrue="1" operator="greaterThan">
      <formula>$F$61</formula>
    </cfRule>
    <cfRule type="cellIs" dxfId="897" priority="45" stopIfTrue="1" operator="lessThanOrEqual">
      <formula>0</formula>
    </cfRule>
  </conditionalFormatting>
  <conditionalFormatting sqref="I59:I68">
    <cfRule type="cellIs" dxfId="896" priority="90" stopIfTrue="1" operator="greaterThan">
      <formula>$J59</formula>
    </cfRule>
    <cfRule type="cellIs" dxfId="895" priority="91" stopIfTrue="1" operator="lessThanOrEqual">
      <formula>0</formula>
    </cfRule>
  </conditionalFormatting>
  <conditionalFormatting sqref="I71:I79">
    <cfRule type="cellIs" dxfId="894" priority="125" stopIfTrue="1" operator="greaterThan">
      <formula>4.5</formula>
    </cfRule>
    <cfRule type="cellIs" dxfId="893" priority="126" stopIfTrue="1" operator="lessThanOrEqual">
      <formula>0</formula>
    </cfRule>
  </conditionalFormatting>
  <conditionalFormatting sqref="I10:J16">
    <cfRule type="cellIs" dxfId="892" priority="26" operator="lessThan">
      <formula>97.9</formula>
    </cfRule>
  </conditionalFormatting>
  <conditionalFormatting sqref="J19">
    <cfRule type="cellIs" dxfId="891" priority="27" operator="lessThan">
      <formula>97.9</formula>
    </cfRule>
  </conditionalFormatting>
  <conditionalFormatting sqref="J20:J21">
    <cfRule type="cellIs" dxfId="890" priority="80" operator="lessThan">
      <formula>98</formula>
    </cfRule>
    <cfRule type="cellIs" dxfId="889" priority="79" stopIfTrue="1" operator="greaterThan">
      <formula>100</formula>
    </cfRule>
    <cfRule type="cellIs" dxfId="888" priority="78" stopIfTrue="1" operator="lessThan">
      <formula>96.8</formula>
    </cfRule>
  </conditionalFormatting>
  <conditionalFormatting sqref="J20:J23">
    <cfRule type="cellIs" dxfId="887" priority="71" operator="lessThan">
      <formula>97.4</formula>
    </cfRule>
  </conditionalFormatting>
  <conditionalFormatting sqref="J24">
    <cfRule type="cellIs" dxfId="886" priority="81" operator="lessThan">
      <formula>98</formula>
    </cfRule>
  </conditionalFormatting>
  <conditionalFormatting sqref="J25:J27">
    <cfRule type="cellIs" dxfId="885" priority="82" stopIfTrue="1" operator="lessThan">
      <formula>96.8</formula>
    </cfRule>
    <cfRule type="cellIs" dxfId="884" priority="83" stopIfTrue="1" operator="greaterThan">
      <formula>100</formula>
    </cfRule>
  </conditionalFormatting>
  <conditionalFormatting sqref="J25:J28">
    <cfRule type="cellIs" dxfId="883" priority="84" operator="lessThan">
      <formula>98</formula>
    </cfRule>
  </conditionalFormatting>
  <conditionalFormatting sqref="K10:K16">
    <cfRule type="cellIs" dxfId="882" priority="19" operator="greaterThan">
      <formula>6</formula>
    </cfRule>
    <cfRule type="cellIs" dxfId="881" priority="24" operator="greaterThan">
      <formula>6.4</formula>
    </cfRule>
    <cfRule type="cellIs" dxfId="880" priority="20" operator="lessThan">
      <formula>4</formula>
    </cfRule>
  </conditionalFormatting>
  <conditionalFormatting sqref="K33:K42">
    <cfRule type="cellIs" dxfId="879" priority="98" operator="notEqual">
      <formula>#REF!</formula>
    </cfRule>
  </conditionalFormatting>
  <conditionalFormatting sqref="K48:K55">
    <cfRule type="cellIs" dxfId="878" priority="15" stopIfTrue="1" operator="lessThan">
      <formula>100%</formula>
    </cfRule>
  </conditionalFormatting>
  <conditionalFormatting sqref="K71:K76">
    <cfRule type="cellIs" dxfId="877" priority="131" stopIfTrue="1" operator="lessThan">
      <formula>100%</formula>
    </cfRule>
  </conditionalFormatting>
  <conditionalFormatting sqref="K78:K79">
    <cfRule type="cellIs" dxfId="876" priority="138" stopIfTrue="1" operator="lessThan">
      <formula>100%</formula>
    </cfRule>
  </conditionalFormatting>
  <conditionalFormatting sqref="K59:N68">
    <cfRule type="cellIs" dxfId="875" priority="105" stopIfTrue="1" operator="lessThan">
      <formula>100%</formula>
    </cfRule>
  </conditionalFormatting>
  <conditionalFormatting sqref="L10:L16">
    <cfRule type="cellIs" dxfId="874" priority="22" operator="greaterThan">
      <formula>65</formula>
    </cfRule>
    <cfRule type="cellIs" dxfId="873" priority="21" operator="between">
      <formula>61</formula>
      <formula>65</formula>
    </cfRule>
  </conditionalFormatting>
  <conditionalFormatting sqref="L19:M30">
    <cfRule type="cellIs" dxfId="872" priority="54" operator="lessThan">
      <formula>98</formula>
    </cfRule>
  </conditionalFormatting>
  <conditionalFormatting sqref="L34:N34">
    <cfRule type="cellIs" dxfId="871" priority="74" operator="notEqual">
      <formula>#REF!</formula>
    </cfRule>
  </conditionalFormatting>
  <conditionalFormatting sqref="L71:N79">
    <cfRule type="cellIs" dxfId="870" priority="116" stopIfTrue="1" operator="lessThan">
      <formula>100%</formula>
    </cfRule>
  </conditionalFormatting>
  <conditionalFormatting sqref="M10:M16">
    <cfRule type="expression" dxfId="869" priority="17">
      <formula>IF(+(IF(M10&lt;V10,0,IF(M10&gt;W10,0,1)))=0,1)</formula>
    </cfRule>
  </conditionalFormatting>
  <conditionalFormatting sqref="M6:N6">
    <cfRule type="cellIs" dxfId="868" priority="75" operator="greaterThanOrEqual">
      <formula>15</formula>
    </cfRule>
    <cfRule type="cellIs" dxfId="867" priority="76" operator="greaterThanOrEqual">
      <formula>19</formula>
    </cfRule>
  </conditionalFormatting>
  <conditionalFormatting sqref="N10:N16">
    <cfRule type="expression" dxfId="866" priority="18">
      <formula>IF(+(IF(N10&lt;X10,0,IF(N10&gt;Y10,0,1)))=0,1)</formula>
    </cfRule>
  </conditionalFormatting>
  <conditionalFormatting sqref="P6">
    <cfRule type="cellIs" dxfId="865" priority="112" operator="greaterThanOrEqual">
      <formula>19</formula>
    </cfRule>
  </conditionalFormatting>
  <dataValidations count="1">
    <dataValidation type="list" allowBlank="1" showInputMessage="1" showErrorMessage="1" sqref="S8" xr:uid="{3876DB06-986C-4F5E-930F-283C8378612D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75B6-B97D-40AB-9B4B-A4F50FEAEFEA}">
  <sheetPr>
    <pageSetUpPr fitToPage="1"/>
  </sheetPr>
  <dimension ref="A1:BF86"/>
  <sheetViews>
    <sheetView topLeftCell="A35" zoomScale="83" zoomScaleNormal="70" workbookViewId="0">
      <selection activeCell="C64" sqref="C64:C65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45713</v>
      </c>
      <c r="D4" s="471"/>
      <c r="J4" s="402" t="s">
        <v>161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182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6" customHeight="1">
      <c r="B10" s="29" t="s">
        <v>6</v>
      </c>
      <c r="C10" s="366" t="str">
        <f>[22]Brewhouse!$A228</f>
        <v>CA126</v>
      </c>
      <c r="D10" s="279">
        <f>[22]Brewhouse!$AF228</f>
        <v>55.5</v>
      </c>
      <c r="E10" s="279">
        <f>[22]Brewhouse!$AI228</f>
        <v>52</v>
      </c>
      <c r="F10" s="278">
        <f>[22]Brewhouse!$V228</f>
        <v>65</v>
      </c>
      <c r="G10" s="279">
        <f>[22]Brewhouse!$AG228</f>
        <v>11.8</v>
      </c>
      <c r="H10" s="396">
        <v>11.8</v>
      </c>
      <c r="I10" s="368">
        <f>[22]Brewhouse!$AU228</f>
        <v>98.072332728747526</v>
      </c>
      <c r="J10" s="368">
        <f>[22]Brewhouse!$AV228</f>
        <v>102.193219897118</v>
      </c>
      <c r="K10" s="281">
        <f>[22]Brewhouse!$Q228</f>
        <v>2.2141560798548072</v>
      </c>
      <c r="L10" s="276">
        <f>[22]Brewhouse!$P228</f>
        <v>60</v>
      </c>
      <c r="M10" s="397">
        <f>[22]Brewhouse!$U228-[22]Brewhouse!$T228</f>
        <v>0.125</v>
      </c>
      <c r="N10" s="370">
        <f>[22]Brewhouse!$Z228</f>
        <v>0.29166666666666669</v>
      </c>
      <c r="O10" s="371" t="str">
        <f>[22]Brewhouse!$AX228</f>
        <v>K.Benjamin</v>
      </c>
      <c r="P10" s="369"/>
      <c r="Q10" s="347"/>
      <c r="S10" s="277" t="str">
        <f t="shared" ref="S10" si="0">B10</f>
        <v>CARIB</v>
      </c>
      <c r="T10" s="296">
        <f t="shared" ref="T10:T21" si="1">VLOOKUP($B10,$S$3:$Y$9,2,FALSE)</f>
        <v>11.6</v>
      </c>
      <c r="U10" s="296">
        <f t="shared" ref="U10:U21" si="2">VLOOKUP($B10,$S$3:$Y$9,3,FALSE)</f>
        <v>12</v>
      </c>
      <c r="V10" s="297">
        <f t="shared" ref="V10:V21" si="3">VLOOKUP($B10,$S$3:$Y$9,4,FALSE)</f>
        <v>0</v>
      </c>
      <c r="W10" s="297">
        <f t="shared" ref="W10:W21" si="4">VLOOKUP($B10,$S$3:$Y$9,5,FALSE)</f>
        <v>0.118055555555556</v>
      </c>
      <c r="X10" s="297">
        <f t="shared" ref="X10:X21" si="5">VLOOKUP($B10,$S$3:$Y$9,6,FALSE)</f>
        <v>0.22569444444444445</v>
      </c>
      <c r="Y10" s="297">
        <f t="shared" ref="Y10:Y21" si="6">VLOOKUP($B10,$S$3:$Y$9,7,FALSE)</f>
        <v>0.2638888888888889</v>
      </c>
      <c r="Z10" s="297">
        <f t="shared" ref="Z10:Z21" si="7">VLOOKUP($B10,$S$3:$AA$9,8,FALSE)</f>
        <v>0</v>
      </c>
      <c r="AA10" s="296">
        <f t="shared" ref="AA10:AA21" si="8">VLOOKUP($B10,$S$3:$AA$9,9,FALSE)</f>
        <v>60</v>
      </c>
    </row>
    <row r="11" spans="2:30" ht="15.6" customHeight="1">
      <c r="B11" s="29" t="s">
        <v>6</v>
      </c>
      <c r="C11" s="366" t="str">
        <f>[22]Brewhouse!$A229</f>
        <v>CA127</v>
      </c>
      <c r="D11" s="279">
        <f>[22]Brewhouse!$AF229</f>
        <v>53.4</v>
      </c>
      <c r="E11" s="279">
        <f>[22]Brewhouse!$AI229</f>
        <v>50</v>
      </c>
      <c r="F11" s="278">
        <f>[22]Brewhouse!$V229</f>
        <v>59</v>
      </c>
      <c r="G11" s="279">
        <f>[22]Brewhouse!$AG229</f>
        <v>11.8</v>
      </c>
      <c r="H11" s="396">
        <v>11.7</v>
      </c>
      <c r="I11" s="368">
        <f>[22]Brewhouse!$AU229</f>
        <v>94.067699935148468</v>
      </c>
      <c r="J11" s="368">
        <f>[22]Brewhouse!$AV229</f>
        <v>98.020746032117017</v>
      </c>
      <c r="K11" s="281">
        <f>[22]Brewhouse!$Q229</f>
        <v>3.8686131386861269</v>
      </c>
      <c r="L11" s="276">
        <f>[22]Brewhouse!$P229</f>
        <v>60</v>
      </c>
      <c r="M11" s="397">
        <f>[22]Brewhouse!$U229-[22]Brewhouse!$T229</f>
        <v>0.10624999999999996</v>
      </c>
      <c r="N11" s="370">
        <f>[22]Brewhouse!$Z229</f>
        <v>0.27847222222222223</v>
      </c>
      <c r="O11" s="371" t="str">
        <f>[22]Brewhouse!$AX229</f>
        <v>R.Regis</v>
      </c>
      <c r="P11" s="369"/>
      <c r="Q11" s="347"/>
      <c r="S11" s="277" t="str">
        <f t="shared" ref="S11:S21" si="9">B11</f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6" customHeight="1">
      <c r="B12" s="29" t="s">
        <v>6</v>
      </c>
      <c r="C12" s="366" t="str">
        <f>[22]Brewhouse!$A230</f>
        <v>CA128</v>
      </c>
      <c r="D12" s="279">
        <f>[22]Brewhouse!$AF230</f>
        <v>54.6</v>
      </c>
      <c r="E12" s="279">
        <f>[22]Brewhouse!$AI230</f>
        <v>51</v>
      </c>
      <c r="F12" s="278">
        <f>[22]Brewhouse!$V230</f>
        <v>66</v>
      </c>
      <c r="G12" s="279">
        <f>[22]Brewhouse!$AG230</f>
        <v>11.9</v>
      </c>
      <c r="H12" s="396">
        <v>11.7</v>
      </c>
      <c r="I12" s="368">
        <f>[22]Brewhouse!$AU230</f>
        <v>96.685102054151599</v>
      </c>
      <c r="J12" s="368">
        <f>[22]Brewhouse!$AV230</f>
        <v>100.74835999218979</v>
      </c>
      <c r="K12" s="281">
        <f>[22]Brewhouse!$Q230</f>
        <v>4.1281138790035588</v>
      </c>
      <c r="L12" s="276">
        <f>[22]Brewhouse!$P230</f>
        <v>60</v>
      </c>
      <c r="M12" s="397">
        <f>[22]Brewhouse!$U230-[22]Brewhouse!$T230</f>
        <v>0.11458333333333337</v>
      </c>
      <c r="N12" s="370">
        <f>[22]Brewhouse!$Z230</f>
        <v>0.27152777777777781</v>
      </c>
      <c r="O12" s="371" t="str">
        <f>[22]Brewhouse!$AX230</f>
        <v>R.Regis</v>
      </c>
      <c r="P12" s="369"/>
      <c r="Q12" s="347"/>
      <c r="S12" s="277" t="str">
        <f t="shared" si="9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6" customHeight="1">
      <c r="B13" s="29" t="s">
        <v>6</v>
      </c>
      <c r="C13" s="366" t="str">
        <f>[22]Brewhouse!$A231</f>
        <v>CA129</v>
      </c>
      <c r="D13" s="279">
        <f>[22]Brewhouse!$AF231</f>
        <v>55.9</v>
      </c>
      <c r="E13" s="279">
        <f>[22]Brewhouse!$AI231</f>
        <v>52.6</v>
      </c>
      <c r="F13" s="278">
        <f>[22]Brewhouse!$V231</f>
        <v>65</v>
      </c>
      <c r="G13" s="279">
        <f>[22]Brewhouse!$AG231</f>
        <v>11.9</v>
      </c>
      <c r="H13" s="396">
        <v>11.9</v>
      </c>
      <c r="I13" s="368">
        <f>[22]Brewhouse!$AU231</f>
        <v>99.351193785447862</v>
      </c>
      <c r="J13" s="368">
        <f>[22]Brewhouse!$AV231</f>
        <v>103.52716990399738</v>
      </c>
      <c r="K13" s="281">
        <f>[22]Brewhouse!$Q231</f>
        <v>2.5088339222614873</v>
      </c>
      <c r="L13" s="276">
        <f>[22]Brewhouse!$P231</f>
        <v>68</v>
      </c>
      <c r="M13" s="397">
        <f>[22]Brewhouse!$U231-[22]Brewhouse!$T231</f>
        <v>0.11388888888888893</v>
      </c>
      <c r="N13" s="370">
        <f>[22]Brewhouse!$Z231</f>
        <v>0.27986111111111117</v>
      </c>
      <c r="O13" s="371" t="str">
        <f>[22]Brewhouse!$AX231</f>
        <v>R.Regis</v>
      </c>
      <c r="P13" s="369" t="s">
        <v>187</v>
      </c>
      <c r="Q13" s="347"/>
      <c r="S13" s="277" t="str">
        <f t="shared" si="9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6" customHeight="1">
      <c r="B14" s="29" t="s">
        <v>6</v>
      </c>
      <c r="C14" s="366" t="str">
        <f>[22]Brewhouse!$A232</f>
        <v>CA130</v>
      </c>
      <c r="D14" s="279">
        <f>[22]Brewhouse!$AF232</f>
        <v>56.4</v>
      </c>
      <c r="E14" s="279">
        <f>[22]Brewhouse!$AI232</f>
        <v>53.7</v>
      </c>
      <c r="F14" s="278">
        <f>[22]Brewhouse!$V232</f>
        <v>79</v>
      </c>
      <c r="G14" s="279">
        <f>[22]Brewhouse!$AG232</f>
        <v>11.7</v>
      </c>
      <c r="H14" s="396">
        <v>11.9</v>
      </c>
      <c r="I14" s="368">
        <f>[22]Brewhouse!$AU232</f>
        <v>99.514424291923262</v>
      </c>
      <c r="J14" s="368">
        <f>[22]Brewhouse!$AV232</f>
        <v>103.69748527341636</v>
      </c>
      <c r="K14" s="281">
        <f>[22]Brewhouse!$Q232</f>
        <v>1.6254416961130773</v>
      </c>
      <c r="L14" s="276">
        <f>[22]Brewhouse!$P232</f>
        <v>57</v>
      </c>
      <c r="M14" s="397">
        <f>[22]Brewhouse!$U232-[22]Brewhouse!$T232</f>
        <v>0.11805555555555558</v>
      </c>
      <c r="N14" s="370">
        <f>[22]Brewhouse!$Z232</f>
        <v>0.3125</v>
      </c>
      <c r="O14" s="371" t="str">
        <f>[22]Brewhouse!$AX232</f>
        <v>R.Sookram</v>
      </c>
      <c r="P14" s="369"/>
      <c r="Q14" s="347"/>
      <c r="S14" s="277" t="str">
        <f t="shared" si="9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6" customHeight="1">
      <c r="B15" s="29" t="s">
        <v>6</v>
      </c>
      <c r="C15" s="366" t="str">
        <f>[22]Brewhouse!$A233</f>
        <v>CA131</v>
      </c>
      <c r="D15" s="279">
        <f>[22]Brewhouse!$AF233</f>
        <v>53.5</v>
      </c>
      <c r="E15" s="279">
        <f>[22]Brewhouse!$AI233</f>
        <v>49.4</v>
      </c>
      <c r="F15" s="278">
        <f>[22]Brewhouse!$V233</f>
        <v>71</v>
      </c>
      <c r="G15" s="279">
        <f>[22]Brewhouse!$AG233</f>
        <v>12</v>
      </c>
      <c r="H15" s="396">
        <v>12</v>
      </c>
      <c r="I15" s="368">
        <f>[22]Brewhouse!$AU233</f>
        <v>93.800836048721479</v>
      </c>
      <c r="J15" s="368">
        <f>[22]Brewhouse!$AV233</f>
        <v>97.582766247842613</v>
      </c>
      <c r="K15" s="281">
        <f>[22]Brewhouse!$Q233</f>
        <v>6.2295081967213024</v>
      </c>
      <c r="L15" s="276">
        <f>[22]Brewhouse!$P233</f>
        <v>57</v>
      </c>
      <c r="M15" s="397">
        <f>[22]Brewhouse!$U233-[22]Brewhouse!$T233</f>
        <v>0.12638888888888877</v>
      </c>
      <c r="N15" s="370">
        <f>[22]Brewhouse!$Z233</f>
        <v>0.27777777777777768</v>
      </c>
      <c r="O15" s="371" t="str">
        <f>[22]Brewhouse!$AX233</f>
        <v>R.Sookram</v>
      </c>
      <c r="P15" s="369"/>
      <c r="Q15" s="347"/>
      <c r="S15" s="277" t="str">
        <f t="shared" si="9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6" customHeight="1">
      <c r="B16" s="29" t="s">
        <v>6</v>
      </c>
      <c r="C16" s="366" t="str">
        <f>[22]Brewhouse!$A234</f>
        <v>CA132</v>
      </c>
      <c r="D16" s="279">
        <f>[22]Brewhouse!$AF234</f>
        <v>53.3</v>
      </c>
      <c r="E16" s="279">
        <f>[22]Brewhouse!$AI234</f>
        <v>49.7</v>
      </c>
      <c r="F16" s="278">
        <f>[22]Brewhouse!$V234</f>
        <v>62</v>
      </c>
      <c r="G16" s="279">
        <f>[22]Brewhouse!$AG234</f>
        <v>11.7</v>
      </c>
      <c r="H16" s="396">
        <v>11.9</v>
      </c>
      <c r="I16" s="368">
        <f>[22]Brewhouse!$AU234</f>
        <v>92.003521130299475</v>
      </c>
      <c r="J16" s="368">
        <f>[22]Brewhouse!$AV234</f>
        <v>95.712587045355164</v>
      </c>
      <c r="K16" s="281">
        <f>[22]Brewhouse!$Q234</f>
        <v>7.0503597122302182</v>
      </c>
      <c r="L16" s="276">
        <f>[22]Brewhouse!$P234</f>
        <v>61</v>
      </c>
      <c r="M16" s="397">
        <f>[22]Brewhouse!$U234-[22]Brewhouse!$T234</f>
        <v>0.12152777777777768</v>
      </c>
      <c r="N16" s="370">
        <f>[22]Brewhouse!$Z234</f>
        <v>0.27708333333333324</v>
      </c>
      <c r="O16" s="371" t="str">
        <f>[22]Brewhouse!$AX234</f>
        <v>K.Benjamin</v>
      </c>
      <c r="P16" s="369"/>
      <c r="Q16" s="347"/>
      <c r="S16" s="277" t="str">
        <f t="shared" si="9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6" customHeight="1">
      <c r="B17" s="29" t="s">
        <v>6</v>
      </c>
      <c r="C17" s="366" t="str">
        <f>[22]Brewhouse!$A235</f>
        <v>CA133</v>
      </c>
      <c r="D17" s="279">
        <f>[22]Brewhouse!$AF235</f>
        <v>53.3</v>
      </c>
      <c r="E17" s="279">
        <f>[22]Brewhouse!$AI235</f>
        <v>49.7</v>
      </c>
      <c r="F17" s="278">
        <f>[22]Brewhouse!$V235</f>
        <v>58</v>
      </c>
      <c r="G17" s="279">
        <f>[22]Brewhouse!$AG235</f>
        <v>11.9</v>
      </c>
      <c r="H17" s="396">
        <v>11.9</v>
      </c>
      <c r="I17" s="368">
        <f>[22]Brewhouse!$AU235</f>
        <v>94.351751735386642</v>
      </c>
      <c r="J17" s="368">
        <f>[22]Brewhouse!$AV235</f>
        <v>98.153009921578075</v>
      </c>
      <c r="K17" s="281">
        <f>[22]Brewhouse!$Q235</f>
        <v>5.7706093189964145</v>
      </c>
      <c r="L17" s="276">
        <f>[22]Brewhouse!$P235</f>
        <v>61</v>
      </c>
      <c r="M17" s="397">
        <f>[22]Brewhouse!$U235-[22]Brewhouse!$T235</f>
        <v>0.12291666666666679</v>
      </c>
      <c r="N17" s="370">
        <f>[22]Brewhouse!$Z235</f>
        <v>0.29722222222222228</v>
      </c>
      <c r="O17" s="371" t="str">
        <f>[22]Brewhouse!$AX235</f>
        <v>K.Benjamin</v>
      </c>
      <c r="P17" s="369"/>
      <c r="Q17" s="347"/>
      <c r="S17" s="277" t="str">
        <f t="shared" si="9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34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92" t="str">
        <f>I24</f>
        <v>STAG</v>
      </c>
      <c r="C23" s="450" cm="1">
        <f t="array" ref="C23:C26">[24]Process!$D$66:$D$69</f>
        <v>12.2</v>
      </c>
      <c r="D23" s="555">
        <v>11.93</v>
      </c>
      <c r="E23" s="556"/>
      <c r="F23" s="294"/>
      <c r="G23" s="294"/>
      <c r="H23" s="294"/>
      <c r="I23" s="29" t="s">
        <v>6</v>
      </c>
      <c r="J23" s="368">
        <f>AVERAGE(I10:I17)</f>
        <v>95.980857713728284</v>
      </c>
      <c r="K23" s="284">
        <f>COUNTA([22]Brewhouse!$A$173:$A$235)</f>
        <v>63</v>
      </c>
      <c r="L23" s="302">
        <f>AVERAGE([22]Brewhouse!$AU$173:$AU$235)</f>
        <v>96.055301446598506</v>
      </c>
      <c r="M23" s="302">
        <f>AVERAGE([22]Brewhouse!$AU$102:$AU$171,[22]Brewhouse!$AU$173:$AU$235)</f>
        <v>95.276744924168852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79"/>
      <c r="C24" s="349">
        <v>12</v>
      </c>
      <c r="D24" s="519"/>
      <c r="E24" s="507"/>
      <c r="F24" s="294"/>
      <c r="G24" s="294"/>
      <c r="H24" s="32"/>
      <c r="I24" s="33" t="s">
        <v>9</v>
      </c>
      <c r="J24" s="323"/>
      <c r="K24" s="284">
        <f>COUNTA([24]Brewhouse!$A$66:$A$90)</f>
        <v>25</v>
      </c>
      <c r="L24" s="302">
        <f>AVERAGE([24]Brewhouse!$AS$66:$AS$90)</f>
        <v>95.697328944126696</v>
      </c>
      <c r="M24" s="302">
        <f>AVERAGE([24]Brewhouse!$AS$15:$AS$64,[24]Brewhouse!$AS$66:$AS$90)</f>
        <v>95.950664395120555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79"/>
      <c r="C25" s="349">
        <v>11.9</v>
      </c>
      <c r="D25" s="555">
        <v>11.95</v>
      </c>
      <c r="E25" s="556"/>
      <c r="F25" s="294"/>
      <c r="G25" s="294"/>
      <c r="H25" s="32"/>
      <c r="I25" s="34" t="s">
        <v>12</v>
      </c>
      <c r="J25" s="280"/>
      <c r="K25" s="284">
        <f>COUNTA([23]Brewhouse!$A$9:$A$22)</f>
        <v>14</v>
      </c>
      <c r="L25" s="302">
        <f>AVERAGE([23]Brewhouse!$AU$9:$AU$22)</f>
        <v>95.97048596821466</v>
      </c>
      <c r="M25" s="302">
        <f>AVERAGE([23]Brewhouse!$AU$4:$AU$7,[23]Brewhouse!$AU$9:$AU$22)</f>
        <v>96.221919722068549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79"/>
      <c r="C26" s="349">
        <v>12</v>
      </c>
      <c r="D26" s="519"/>
      <c r="E26" s="507"/>
      <c r="F26" s="294"/>
      <c r="G26" s="294"/>
      <c r="H26" s="32"/>
      <c r="I26" s="22" t="s">
        <v>33</v>
      </c>
      <c r="J26" s="280"/>
      <c r="K26" s="284">
        <f>COUNTA([25]Brewhouse!$A$16:$A$19)</f>
        <v>4</v>
      </c>
      <c r="L26" s="302">
        <f>AVERAGE([25]Brewhouse!$AV$16:$AV$19)</f>
        <v>99.193666402492596</v>
      </c>
      <c r="M26" s="302">
        <f>AVERAGE([25]Brewhouse!$AV$5:$AV$14,[25]Brewhouse!$AV$16:$AV$19)</f>
        <v>98.139385615971563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79"/>
      <c r="C27" s="349" cm="1">
        <f t="array" ref="C27:C28">[24]Process!$D$72:$D$73</f>
        <v>12</v>
      </c>
      <c r="D27" s="555">
        <v>11.93</v>
      </c>
      <c r="E27" s="556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79"/>
      <c r="C28" s="349">
        <v>11.9</v>
      </c>
      <c r="D28" s="519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79"/>
      <c r="C29" s="349"/>
      <c r="D29" s="555"/>
      <c r="E29" s="556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79"/>
      <c r="C30" s="349"/>
      <c r="D30" s="519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79"/>
      <c r="C31" s="349"/>
      <c r="D31" s="555"/>
      <c r="E31" s="556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79"/>
      <c r="C32" s="349"/>
      <c r="D32" s="519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79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112</v>
      </c>
      <c r="L33" s="410">
        <f>((L23*K23)+(L24*K24)+(L25*K25)+(L26*K26)+(L27*K27)+(K30*L30)+(L28*K28)+(L29*K29)+(L32*K32))/(K33)</f>
        <v>96.067176247552965</v>
      </c>
      <c r="M33" s="410">
        <f>AVERAGE('[29]Jan 31st'!$L$65,L33)</f>
        <v>95.621448854594718</v>
      </c>
      <c r="N33" s="40">
        <v>98</v>
      </c>
      <c r="O33" s="11"/>
      <c r="P33" s="31"/>
      <c r="S33" s="23"/>
    </row>
    <row r="34" spans="1:57" ht="15" thickBot="1">
      <c r="B34" s="580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93" t="str">
        <f>I23</f>
        <v>CARIB</v>
      </c>
      <c r="C35" s="362" cm="1">
        <f t="array" ref="C35:C36">[22]Process!$D$179:$D$180</f>
        <v>11.8</v>
      </c>
      <c r="D35" s="517">
        <v>11.65</v>
      </c>
      <c r="E35" s="518"/>
      <c r="F35" s="43"/>
      <c r="G35" s="41"/>
      <c r="H35" s="41"/>
      <c r="I35" s="42"/>
      <c r="J35" s="587" t="s">
        <v>129</v>
      </c>
      <c r="K35" s="588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52"/>
      <c r="C36" s="349">
        <v>11.9</v>
      </c>
      <c r="D36" s="519"/>
      <c r="E36" s="507"/>
      <c r="F36" s="43"/>
      <c r="G36" s="41"/>
      <c r="H36" s="41"/>
      <c r="I36" s="42"/>
      <c r="J36" s="453" t="s">
        <v>17</v>
      </c>
      <c r="K36" s="454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52"/>
      <c r="C37" s="349" cm="1">
        <f t="array" ref="C37:C38">[22]Process!$D$183:$D$184</f>
        <v>11.6</v>
      </c>
      <c r="D37" s="523">
        <v>11.68</v>
      </c>
      <c r="E37" s="505"/>
      <c r="F37" s="43"/>
      <c r="G37" s="41"/>
      <c r="H37" s="41"/>
      <c r="I37" s="42"/>
      <c r="J37" s="455" t="s">
        <v>6</v>
      </c>
      <c r="K37" s="456">
        <f>COUNTA(B10:B17)</f>
        <v>8</v>
      </c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52"/>
      <c r="C38" s="349">
        <v>11.7</v>
      </c>
      <c r="D38" s="519"/>
      <c r="E38" s="507"/>
      <c r="F38" s="43"/>
      <c r="G38" s="41"/>
      <c r="H38" s="41"/>
      <c r="I38" s="42"/>
      <c r="J38" s="457" t="s">
        <v>9</v>
      </c>
      <c r="K38" s="456"/>
      <c r="L38" s="344">
        <f>AVERAGE('Feb 3rd'!K79,'Feb 4th'!K77,'Feb 5th'!L68,'Feb 6th'!K75,'Feb 10th'!K69,'Feb 11th'!K68,'Feb 12th'!K70,'Feb 13th'!K69,'Feb 14th'!K47,'Feb 14th'!K47,'Feb 17th'!K47,'Feb 18th'!K47,'Feb 19th '!L38,'Feb 20th'!K49,'Feb 21st'!K45,'Feb 23rd'!K43,'Feb 24th'!K47)</f>
        <v>6.8959276018099542</v>
      </c>
      <c r="M38" s="325">
        <f>AVERAGE('[29]Jan 29th '!$M$70,L38)</f>
        <v>6.6979638009049776</v>
      </c>
      <c r="N38" s="401"/>
      <c r="O38" s="294"/>
      <c r="P38" s="12"/>
      <c r="S38" s="23"/>
    </row>
    <row r="39" spans="1:57" ht="15" customHeight="1">
      <c r="B39" s="502" t="str">
        <f>I24</f>
        <v>STAG</v>
      </c>
      <c r="C39" s="349" cm="1">
        <f t="array" ref="C39:C40">[24]Process!$D$70:$D$71</f>
        <v>12</v>
      </c>
      <c r="D39" s="523">
        <v>11.93</v>
      </c>
      <c r="E39" s="505"/>
      <c r="F39" s="43"/>
      <c r="G39" s="41"/>
      <c r="H39" s="41"/>
      <c r="I39" s="42"/>
      <c r="J39" s="458" t="s">
        <v>40</v>
      </c>
      <c r="K39" s="456"/>
      <c r="L39" s="294"/>
      <c r="M39" s="294"/>
      <c r="N39" s="294"/>
      <c r="O39" s="294"/>
      <c r="P39" s="12"/>
      <c r="S39" s="23"/>
    </row>
    <row r="40" spans="1:57" ht="15" customHeight="1">
      <c r="B40" s="502"/>
      <c r="C40" s="349">
        <v>12</v>
      </c>
      <c r="D40" s="519"/>
      <c r="E40" s="507"/>
      <c r="F40" s="43"/>
      <c r="G40" s="41"/>
      <c r="H40" s="41"/>
      <c r="I40" s="42"/>
      <c r="J40" s="459" t="s">
        <v>33</v>
      </c>
      <c r="K40" s="456"/>
      <c r="L40" s="294"/>
      <c r="M40" s="294"/>
      <c r="N40" s="294"/>
      <c r="O40" s="294"/>
      <c r="P40" s="12"/>
      <c r="S40" s="23"/>
    </row>
    <row r="41" spans="1:57" ht="14.4">
      <c r="B41" s="502"/>
      <c r="C41" s="349"/>
      <c r="D41" s="523"/>
      <c r="E41" s="505"/>
      <c r="F41" s="43"/>
      <c r="G41" s="41"/>
      <c r="H41" s="41"/>
      <c r="I41" s="42"/>
      <c r="J41" s="460" t="s">
        <v>16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02"/>
      <c r="C42" s="349"/>
      <c r="D42" s="519"/>
      <c r="E42" s="507"/>
      <c r="F42" s="43"/>
      <c r="G42" s="41"/>
      <c r="H42" s="41"/>
      <c r="I42" s="42"/>
      <c r="J42" s="461" t="s">
        <v>15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02"/>
      <c r="C43" s="349"/>
      <c r="D43" s="524"/>
      <c r="E43" s="509"/>
      <c r="F43" s="43"/>
      <c r="G43" s="41"/>
      <c r="H43" s="41"/>
      <c r="I43" s="42"/>
      <c r="J43" s="461" t="s">
        <v>149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03"/>
      <c r="C44" s="350"/>
      <c r="D44" s="525"/>
      <c r="E44" s="526"/>
      <c r="F44" s="43"/>
      <c r="G44" s="41"/>
      <c r="H44" s="41"/>
      <c r="I44" s="42"/>
      <c r="J44" s="461" t="s">
        <v>148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>
        <f>AVERAGE(D23:E44)</f>
        <v>11.844999999999999</v>
      </c>
      <c r="E45" s="528"/>
      <c r="F45" s="43"/>
      <c r="G45" s="41"/>
      <c r="H45" s="41"/>
      <c r="I45" s="42"/>
      <c r="J45" s="462" t="s">
        <v>134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62" t="s">
        <v>131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 thickBot="1">
      <c r="B47" s="45"/>
      <c r="C47" s="11"/>
      <c r="D47" s="11"/>
      <c r="E47" s="46"/>
      <c r="F47" s="23"/>
      <c r="G47" s="11"/>
      <c r="H47" s="41"/>
      <c r="I47" s="42"/>
      <c r="J47" s="463" t="s">
        <v>130</v>
      </c>
      <c r="K47" s="464">
        <f>SUM(K37:K46)</f>
        <v>8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2" customHeight="1">
      <c r="B52" s="387" t="str">
        <f>B64</f>
        <v>CARIB</v>
      </c>
      <c r="C52" s="283">
        <v>45712</v>
      </c>
      <c r="D52" s="279">
        <f>[30]February_2025!$AA$3</f>
        <v>201.1</v>
      </c>
      <c r="E52" s="279"/>
      <c r="F52" s="279">
        <f>SUM([31]CARIB!$L$67:$L$68,[31]CARIB!$L$71:$L$72)</f>
        <v>199.95999999999998</v>
      </c>
      <c r="G52" s="279">
        <f>[30]February_2025!$AA$7</f>
        <v>186.8</v>
      </c>
      <c r="H52" s="320">
        <f>(D52-F52)/D52*100</f>
        <v>0.56688214818498994</v>
      </c>
      <c r="I52" s="322">
        <f>((F52+E52)-G52)/(F52+E52)*100</f>
        <v>6.5813162632526359</v>
      </c>
      <c r="J52" s="470" t="s">
        <v>150</v>
      </c>
      <c r="K52" s="437">
        <f>[32]February_2025!$AA$18</f>
        <v>0.98175438596491238</v>
      </c>
      <c r="L52" s="314">
        <f>(((D52+E52)-G52)/(D52+E52))*100</f>
        <v>7.1108901044256507</v>
      </c>
      <c r="M52" s="281" t="s">
        <v>189</v>
      </c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7.95" customHeigh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281"/>
      <c r="N53" s="13"/>
      <c r="O53" s="13"/>
      <c r="P53" s="50"/>
      <c r="T53" s="272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277"/>
      <c r="AZ53" s="277"/>
      <c r="BA53" s="277"/>
      <c r="BB53" s="277"/>
      <c r="BC53" s="277"/>
      <c r="BD53" s="277"/>
      <c r="BE53" s="277"/>
      <c r="BF53" s="277"/>
    </row>
    <row r="54" spans="2:58" s="54" customFormat="1" ht="45.75" customHeight="1">
      <c r="B54" s="448" t="str">
        <f>B65</f>
        <v>STAG</v>
      </c>
      <c r="C54" s="283">
        <v>45712</v>
      </c>
      <c r="D54" s="279">
        <f>[30]February_2025!$Z$13</f>
        <v>101.4</v>
      </c>
      <c r="E54" s="279"/>
      <c r="F54" s="279">
        <f>SUM([31]STAG!$L$47:$L$48)</f>
        <v>100</v>
      </c>
      <c r="G54" s="279">
        <f>[30]February_2025!$Z$17</f>
        <v>93</v>
      </c>
      <c r="H54" s="320">
        <f>(D54-F54)/D54*100</f>
        <v>1.3806706114398477</v>
      </c>
      <c r="I54" s="322">
        <f>((F54+E54)-G54)/(F54+E54)*100</f>
        <v>7.0000000000000009</v>
      </c>
      <c r="J54" s="470" t="s">
        <v>150</v>
      </c>
      <c r="K54" s="437">
        <f>[32]February_2025!$Z$25</f>
        <v>0.98175438596491227</v>
      </c>
      <c r="L54" s="314">
        <f>(((D54+E54)-G54)/(D54+E54))*100</f>
        <v>8.2840236686390583</v>
      </c>
      <c r="M54" s="281" t="s">
        <v>189</v>
      </c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10.95" customHeigh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281"/>
      <c r="N55" s="13"/>
      <c r="O55" s="13"/>
      <c r="P55" s="50"/>
      <c r="T55" s="272" t="s">
        <v>51</v>
      </c>
      <c r="U55" s="57">
        <f>[20]January_2019!D6</f>
        <v>0</v>
      </c>
      <c r="V55" s="57">
        <f>[20]January_2019!E6</f>
        <v>0</v>
      </c>
      <c r="W55" s="57">
        <f>[20]January_2019!F6</f>
        <v>0</v>
      </c>
      <c r="X55" s="57">
        <f>[20]January_2019!G6</f>
        <v>0</v>
      </c>
      <c r="Y55" s="57">
        <f>[20]January_2019!H6</f>
        <v>0</v>
      </c>
      <c r="Z55" s="57">
        <f>[20]January_2019!I6</f>
        <v>0</v>
      </c>
      <c r="AA55" s="57">
        <f>[20]January_2019!J6</f>
        <v>0</v>
      </c>
      <c r="AB55" s="57">
        <f>[20]January_2019!K6</f>
        <v>0</v>
      </c>
      <c r="AC55" s="57">
        <f>[20]January_2019!L6</f>
        <v>0</v>
      </c>
      <c r="AD55" s="57">
        <f>[20]January_2019!M6</f>
        <v>0</v>
      </c>
      <c r="AE55" s="57">
        <f>[20]January_2019!N6</f>
        <v>0</v>
      </c>
      <c r="AF55" s="57">
        <f>[20]January_2019!O6</f>
        <v>0</v>
      </c>
      <c r="AG55" s="57">
        <f>[20]January_2019!P6</f>
        <v>0</v>
      </c>
      <c r="AH55" s="57">
        <f>[20]January_2019!Q6</f>
        <v>0</v>
      </c>
      <c r="AI55" s="57">
        <f>[20]January_2019!R6</f>
        <v>0</v>
      </c>
      <c r="AJ55" s="57">
        <f>[20]January_2019!S6</f>
        <v>0</v>
      </c>
      <c r="AK55" s="57">
        <f>[20]January_2019!T6</f>
        <v>0</v>
      </c>
      <c r="AL55" s="57">
        <f>[20]January_2019!U6</f>
        <v>0</v>
      </c>
      <c r="AM55" s="57">
        <f>[20]January_2019!V6</f>
        <v>0</v>
      </c>
      <c r="AN55" s="57">
        <f>[20]January_2019!W6</f>
        <v>0</v>
      </c>
      <c r="AO55" s="57">
        <f>[20]January_2019!X6</f>
        <v>0</v>
      </c>
      <c r="AP55" s="57">
        <f>[20]January_2019!Y6</f>
        <v>0</v>
      </c>
      <c r="AQ55" s="57">
        <f>[20]January_2019!Z6</f>
        <v>0</v>
      </c>
      <c r="AR55" s="57">
        <f>[20]January_2019!AA6</f>
        <v>0</v>
      </c>
      <c r="AS55" s="57">
        <f>[20]January_2019!AB6</f>
        <v>0</v>
      </c>
      <c r="AT55" s="57">
        <f>[20]January_2019!AC6</f>
        <v>0</v>
      </c>
      <c r="AU55" s="57">
        <f>[20]January_2019!AD6</f>
        <v>0</v>
      </c>
      <c r="AV55" s="57">
        <f>[20]January_2019!AE6</f>
        <v>0</v>
      </c>
      <c r="AW55" s="57">
        <f>[20]January_2019!AF6</f>
        <v>0</v>
      </c>
      <c r="AX55" s="57">
        <f>[20]January_2019!AG6</f>
        <v>0</v>
      </c>
      <c r="AY55" s="277">
        <f>[20]January_2019!AH6</f>
        <v>0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56.4" customHeight="1">
      <c r="B56" s="448" t="str">
        <f>B65</f>
        <v>STAG</v>
      </c>
      <c r="C56" s="283">
        <v>45712</v>
      </c>
      <c r="D56" s="279">
        <f>[30]February_2025!$AA$13</f>
        <v>298</v>
      </c>
      <c r="E56" s="279"/>
      <c r="F56" s="279">
        <f>SUM([31]STAG!$L$43:$L$46,[31]STAG!$L$49:$L$50)</f>
        <v>297.5</v>
      </c>
      <c r="G56" s="279">
        <f>[30]February_2025!$AA$17</f>
        <v>280.39999999999998</v>
      </c>
      <c r="H56" s="320">
        <f>(D56-F56)/D56*100</f>
        <v>0.16778523489932887</v>
      </c>
      <c r="I56" s="322">
        <f>((F56+E56)-G56)/(F56+E56)*100</f>
        <v>5.7478991596638735</v>
      </c>
      <c r="J56" s="470" t="s">
        <v>188</v>
      </c>
      <c r="K56" s="437">
        <f>[32]February_2025!$AA$25</f>
        <v>0.49192982456140349</v>
      </c>
      <c r="L56" s="314">
        <f>(((D56+E56)-G56)/(D56+E56))*100</f>
        <v>5.9060402684563833</v>
      </c>
      <c r="M56" s="281" t="s">
        <v>165</v>
      </c>
      <c r="N56" s="13"/>
      <c r="O56" s="13"/>
      <c r="P56" s="50"/>
      <c r="T56" s="272" t="s">
        <v>54</v>
      </c>
      <c r="U56" s="279"/>
      <c r="V56" s="279"/>
      <c r="W56" s="279"/>
      <c r="X56" s="279"/>
      <c r="Y56" s="279"/>
      <c r="Z56" s="279"/>
      <c r="AA56" s="279"/>
      <c r="AB56" s="279"/>
      <c r="AC56" s="279"/>
      <c r="AD56" s="279"/>
      <c r="AE56" s="279"/>
      <c r="AF56" s="279"/>
      <c r="AG56" s="279"/>
      <c r="AH56" s="279"/>
      <c r="AI56" s="279"/>
      <c r="AJ56" s="279"/>
      <c r="AK56" s="279"/>
      <c r="AL56" s="279"/>
      <c r="AM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</row>
    <row r="57" spans="2:58" s="54" customFormat="1" ht="7.95" customHeight="1" thickBot="1">
      <c r="B57" s="387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281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s="54" customFormat="1" hidden="1">
      <c r="B58" s="361"/>
      <c r="C58" s="283"/>
      <c r="D58" s="304"/>
      <c r="E58" s="279"/>
      <c r="F58" s="279"/>
      <c r="G58" s="279"/>
      <c r="H58" s="381"/>
      <c r="I58" s="381"/>
      <c r="J58" s="389"/>
      <c r="K58" s="437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s="54" customFormat="1" ht="9" hidden="1" customHeight="1">
      <c r="B59" s="387"/>
      <c r="C59" s="283"/>
      <c r="D59" s="279"/>
      <c r="E59" s="279"/>
      <c r="F59" s="279"/>
      <c r="G59" s="279"/>
      <c r="H59" s="320"/>
      <c r="I59" s="322"/>
      <c r="J59" s="281"/>
      <c r="K59" s="286"/>
      <c r="L59" s="314"/>
      <c r="M59" s="339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ht="11.4" hidden="1" customHeight="1" thickBot="1">
      <c r="B60" s="33"/>
      <c r="C60" s="310"/>
      <c r="D60" s="279"/>
      <c r="E60" s="279"/>
      <c r="F60" s="279"/>
      <c r="G60" s="279"/>
      <c r="H60" s="352"/>
      <c r="I60" s="353"/>
      <c r="J60" s="281"/>
      <c r="K60" s="52"/>
      <c r="L60" s="53"/>
      <c r="M60" s="55"/>
      <c r="N60" s="77"/>
      <c r="O60" s="13"/>
      <c r="P60" s="56"/>
    </row>
    <row r="61" spans="2:58" ht="14.4" thickBot="1">
      <c r="B61" s="58"/>
      <c r="C61" s="309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9"/>
      <c r="O61" s="56"/>
      <c r="P61" s="60"/>
    </row>
    <row r="62" spans="2:58" ht="14.4" thickBot="1">
      <c r="B62" s="536" t="s">
        <v>55</v>
      </c>
      <c r="C62" s="537"/>
      <c r="D62" s="537"/>
      <c r="E62" s="537"/>
      <c r="F62" s="538"/>
      <c r="G62" s="536" t="s">
        <v>56</v>
      </c>
      <c r="H62" s="537"/>
      <c r="I62" s="537"/>
      <c r="J62" s="538"/>
      <c r="K62" s="536" t="s">
        <v>51</v>
      </c>
      <c r="L62" s="537"/>
      <c r="M62" s="537"/>
      <c r="N62" s="539"/>
      <c r="O62" s="56"/>
      <c r="P62" s="50"/>
    </row>
    <row r="63" spans="2:58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8">
      <c r="B64" s="29" t="s">
        <v>6</v>
      </c>
      <c r="C64" s="65">
        <f>L52</f>
        <v>7.1108901044256507</v>
      </c>
      <c r="D64" s="76">
        <v>6.5812650120096201</v>
      </c>
      <c r="E64" s="76">
        <v>7.2388847988220624</v>
      </c>
      <c r="F64" s="66">
        <v>4.8</v>
      </c>
      <c r="G64" s="65">
        <f>[30]February_2025!$AA$11</f>
        <v>7.7160308855043098</v>
      </c>
      <c r="H64" s="76">
        <v>7.230125233338339</v>
      </c>
      <c r="I64" s="76">
        <v>7.6744100660596715</v>
      </c>
      <c r="J64" s="66">
        <v>4.8</v>
      </c>
      <c r="K64" s="67">
        <f>K52</f>
        <v>0.98175438596491238</v>
      </c>
      <c r="L64" s="194">
        <v>0.68381220011786803</v>
      </c>
      <c r="M64" s="194">
        <v>0.84561724781924885</v>
      </c>
      <c r="N64" s="68">
        <v>1</v>
      </c>
      <c r="O64" s="56"/>
      <c r="P64" s="69"/>
    </row>
    <row r="65" spans="2:16">
      <c r="B65" s="33" t="s">
        <v>9</v>
      </c>
      <c r="C65" s="65">
        <f>AVERAGE(L54,L56)</f>
        <v>7.0950319685477208</v>
      </c>
      <c r="D65" s="76">
        <v>6.6506917442806524</v>
      </c>
      <c r="E65" s="76">
        <v>6.7094493445838745</v>
      </c>
      <c r="F65" s="66">
        <v>4.8</v>
      </c>
      <c r="G65" s="65">
        <f>AVERAGE([30]February_2025!$Z$21:$AA$21)</f>
        <v>7.649325570765745</v>
      </c>
      <c r="H65" s="76">
        <v>6.6366408822664829</v>
      </c>
      <c r="I65" s="76">
        <v>6.7469218033369263</v>
      </c>
      <c r="J65" s="66">
        <v>4.8</v>
      </c>
      <c r="K65" s="67">
        <f>AVERAGE(K54,K56)</f>
        <v>0.73684210526315785</v>
      </c>
      <c r="L65" s="194">
        <v>0.61831958958273703</v>
      </c>
      <c r="M65" s="194">
        <v>0.73782172499320109</v>
      </c>
      <c r="N65" s="68">
        <v>1</v>
      </c>
      <c r="P65" s="69"/>
    </row>
    <row r="66" spans="2:16">
      <c r="B66" s="34" t="s">
        <v>40</v>
      </c>
      <c r="C66" s="65"/>
      <c r="D66" s="76">
        <v>18.104405775638647</v>
      </c>
      <c r="E66" s="76">
        <v>14.176156170113877</v>
      </c>
      <c r="F66" s="66">
        <v>5.5</v>
      </c>
      <c r="G66" s="65"/>
      <c r="H66" s="76">
        <v>20.086278780699747</v>
      </c>
      <c r="I66" s="76">
        <v>15.811420854943506</v>
      </c>
      <c r="J66" s="66">
        <v>5.5</v>
      </c>
      <c r="K66" s="67"/>
      <c r="L66" s="194">
        <v>0.31152046783625731</v>
      </c>
      <c r="M66" s="194">
        <v>0.4570760233918128</v>
      </c>
      <c r="N66" s="68">
        <v>1</v>
      </c>
      <c r="P66" s="69"/>
    </row>
    <row r="67" spans="2:16">
      <c r="B67" s="22" t="s">
        <v>33</v>
      </c>
      <c r="C67" s="65"/>
      <c r="D67" s="76">
        <v>4.9603174603174329</v>
      </c>
      <c r="E67" s="76">
        <v>3.9190537266638161</v>
      </c>
      <c r="F67" s="66">
        <v>3.3</v>
      </c>
      <c r="G67" s="65"/>
      <c r="H67" s="76">
        <v>5.7667082440308048</v>
      </c>
      <c r="I67" s="76">
        <v>5.345661717473071</v>
      </c>
      <c r="J67" s="66">
        <v>3.3</v>
      </c>
      <c r="K67" s="67"/>
      <c r="L67" s="194">
        <v>0.67228070175438603</v>
      </c>
      <c r="M67" s="194">
        <v>0.78853801169590654</v>
      </c>
      <c r="N67" s="68">
        <v>1</v>
      </c>
      <c r="P67" s="69"/>
    </row>
    <row r="68" spans="2:16">
      <c r="B68" s="469" t="s">
        <v>181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282"/>
      <c r="D69" s="76"/>
      <c r="E69" s="76">
        <v>8.7664670658682695</v>
      </c>
      <c r="F69" s="70">
        <f>[21]May_2022!$M$43</f>
        <v>3.4878406700073312</v>
      </c>
      <c r="G69" s="282"/>
      <c r="H69" s="76"/>
      <c r="I69" s="76">
        <v>10.607235567685406</v>
      </c>
      <c r="J69" s="70">
        <v>5.5</v>
      </c>
      <c r="K69" s="67"/>
      <c r="L69" s="194"/>
      <c r="M69" s="194">
        <v>0.66824561403508764</v>
      </c>
      <c r="N69" s="68">
        <v>1</v>
      </c>
      <c r="P69" s="69"/>
    </row>
    <row r="70" spans="2:16">
      <c r="B70" s="37" t="s">
        <v>16</v>
      </c>
      <c r="C70" s="65"/>
      <c r="D70" s="76">
        <v>3.3333333333333082</v>
      </c>
      <c r="E70" s="76">
        <v>2.2765363128491556</v>
      </c>
      <c r="F70" s="66">
        <v>3.3</v>
      </c>
      <c r="G70" s="282"/>
      <c r="H70" s="76">
        <v>5.2583423035521699</v>
      </c>
      <c r="I70" s="76">
        <v>4.5833713915368151</v>
      </c>
      <c r="J70" s="70">
        <v>3.3</v>
      </c>
      <c r="K70" s="67"/>
      <c r="L70" s="194">
        <v>1.0053333333333334</v>
      </c>
      <c r="M70" s="194">
        <v>0.8042528735632184</v>
      </c>
      <c r="N70" s="71">
        <v>1</v>
      </c>
      <c r="P70" s="69"/>
    </row>
    <row r="71" spans="2:16" ht="14.4" thickBot="1">
      <c r="B71" s="468" t="s">
        <v>127</v>
      </c>
      <c r="C71" s="65"/>
      <c r="D71" s="76"/>
      <c r="E71" s="76"/>
      <c r="F71" s="70">
        <v>7.5</v>
      </c>
      <c r="G71" s="282"/>
      <c r="H71" s="76"/>
      <c r="I71" s="76"/>
      <c r="J71" s="72">
        <v>7.5</v>
      </c>
      <c r="K71" s="67"/>
      <c r="L71" s="194"/>
      <c r="M71" s="194"/>
      <c r="N71" s="71">
        <v>1</v>
      </c>
      <c r="P71" s="69"/>
    </row>
    <row r="72" spans="2:16" ht="14.4" thickBot="1">
      <c r="B72" s="435" t="s">
        <v>134</v>
      </c>
      <c r="C72" s="434"/>
      <c r="D72" s="76">
        <v>4.8792508624938291</v>
      </c>
      <c r="E72" s="76">
        <v>7.3699535073026432</v>
      </c>
      <c r="F72" s="66">
        <v>5.5</v>
      </c>
      <c r="G72" s="282"/>
      <c r="H72" s="76">
        <v>6.2003723782925313</v>
      </c>
      <c r="I72" s="76">
        <v>6.2003723782925313</v>
      </c>
      <c r="J72" s="433">
        <v>5.5</v>
      </c>
      <c r="K72" s="67"/>
      <c r="L72" s="194">
        <v>0.33859649122807017</v>
      </c>
      <c r="M72" s="194">
        <v>0.33859649122807017</v>
      </c>
      <c r="N72" s="71">
        <v>1</v>
      </c>
      <c r="P72" s="69"/>
    </row>
    <row r="73" spans="2:16">
      <c r="C73" s="282"/>
      <c r="D73" s="76">
        <v>7.3699535073026432</v>
      </c>
      <c r="E73" s="76">
        <v>7.1518203388979202</v>
      </c>
      <c r="F73" s="341">
        <v>4.5</v>
      </c>
      <c r="G73" s="282"/>
      <c r="H73" s="76">
        <v>8.3216330305619639</v>
      </c>
      <c r="I73" s="76">
        <v>7.8977229707274264</v>
      </c>
      <c r="J73" s="342">
        <v>5</v>
      </c>
      <c r="K73" s="67"/>
      <c r="L73" s="194">
        <v>0.60376912378303194</v>
      </c>
      <c r="M73" s="194">
        <v>0.75296805349182772</v>
      </c>
      <c r="N73" s="386">
        <v>1</v>
      </c>
      <c r="O73" s="74"/>
      <c r="P73" s="75"/>
    </row>
    <row r="78" spans="2:16">
      <c r="F78" s="315"/>
    </row>
    <row r="86" spans="30:30">
      <c r="AD86" s="275" t="s">
        <v>57</v>
      </c>
    </row>
  </sheetData>
  <mergeCells count="53">
    <mergeCell ref="B62:F62"/>
    <mergeCell ref="G62:J62"/>
    <mergeCell ref="K62:N62"/>
    <mergeCell ref="B35:B38"/>
    <mergeCell ref="B39:B44"/>
    <mergeCell ref="G50:G51"/>
    <mergeCell ref="H50:H51"/>
    <mergeCell ref="I50:I51"/>
    <mergeCell ref="J50:J51"/>
    <mergeCell ref="K50:K51"/>
    <mergeCell ref="L50:L51"/>
    <mergeCell ref="D45:E45"/>
    <mergeCell ref="B50:B51"/>
    <mergeCell ref="C50:C51"/>
    <mergeCell ref="D50:D51"/>
    <mergeCell ref="E50:E51"/>
    <mergeCell ref="F50:F51"/>
    <mergeCell ref="D35:E36"/>
    <mergeCell ref="J35:K35"/>
    <mergeCell ref="L36:N36"/>
    <mergeCell ref="D37:E38"/>
    <mergeCell ref="D39:E40"/>
    <mergeCell ref="D41:E42"/>
    <mergeCell ref="D43:E44"/>
    <mergeCell ref="M50:M51"/>
    <mergeCell ref="C4:D4"/>
    <mergeCell ref="M4:N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5:B46">
    <cfRule type="cellIs" dxfId="864" priority="138" operator="notBetween">
      <formula>#REF!</formula>
      <formula>#REF!</formula>
    </cfRule>
  </conditionalFormatting>
  <conditionalFormatting sqref="C49">
    <cfRule type="cellIs" dxfId="863" priority="170" stopIfTrue="1" operator="greaterThan">
      <formula>100</formula>
    </cfRule>
    <cfRule type="cellIs" dxfId="862" priority="169" stopIfTrue="1" operator="lessThan">
      <formula>96</formula>
    </cfRule>
  </conditionalFormatting>
  <conditionalFormatting sqref="C64">
    <cfRule type="cellIs" dxfId="861" priority="97" stopIfTrue="1" operator="greaterThan">
      <formula>$F64</formula>
    </cfRule>
  </conditionalFormatting>
  <conditionalFormatting sqref="C64:C65">
    <cfRule type="cellIs" dxfId="860" priority="98" stopIfTrue="1" operator="lessThanOrEqual">
      <formula>0</formula>
    </cfRule>
  </conditionalFormatting>
  <conditionalFormatting sqref="C65">
    <cfRule type="cellIs" dxfId="859" priority="173" stopIfTrue="1" operator="greaterThan">
      <formula>$F64</formula>
    </cfRule>
  </conditionalFormatting>
  <conditionalFormatting sqref="C66:C68">
    <cfRule type="cellIs" dxfId="858" priority="105" stopIfTrue="1" operator="greaterThan">
      <formula>$F66</formula>
    </cfRule>
  </conditionalFormatting>
  <conditionalFormatting sqref="C66:C69">
    <cfRule type="cellIs" dxfId="857" priority="116" stopIfTrue="1" operator="lessThanOrEqual">
      <formula>0</formula>
    </cfRule>
  </conditionalFormatting>
  <conditionalFormatting sqref="C69">
    <cfRule type="cellIs" dxfId="856" priority="115" stopIfTrue="1" operator="greaterThan">
      <formula>$J69</formula>
    </cfRule>
  </conditionalFormatting>
  <conditionalFormatting sqref="C73">
    <cfRule type="cellIs" dxfId="855" priority="83" stopIfTrue="1" operator="greaterThan">
      <formula>$J73</formula>
    </cfRule>
    <cfRule type="cellIs" dxfId="854" priority="84" stopIfTrue="1" operator="lessThanOrEqual">
      <formula>0</formula>
    </cfRule>
  </conditionalFormatting>
  <conditionalFormatting sqref="C76:C80">
    <cfRule type="cellIs" dxfId="853" priority="161" stopIfTrue="1" operator="lessThanOrEqual">
      <formula>0</formula>
    </cfRule>
  </conditionalFormatting>
  <conditionalFormatting sqref="C77:C80">
    <cfRule type="cellIs" dxfId="852" priority="160" stopIfTrue="1" operator="greaterThan">
      <formula>$F$76</formula>
    </cfRule>
  </conditionalFormatting>
  <conditionalFormatting sqref="C82">
    <cfRule type="cellIs" dxfId="851" priority="163" stopIfTrue="1" operator="lessThanOrEqual">
      <formula>0</formula>
    </cfRule>
    <cfRule type="cellIs" dxfId="850" priority="162" stopIfTrue="1" operator="greaterThan">
      <formula>$F$76</formula>
    </cfRule>
  </conditionalFormatting>
  <conditionalFormatting sqref="C76:D76 D78:D84">
    <cfRule type="cellIs" dxfId="849" priority="155" stopIfTrue="1" operator="greaterThan">
      <formula>4.5</formula>
    </cfRule>
  </conditionalFormatting>
  <conditionalFormatting sqref="D45:D46">
    <cfRule type="cellIs" dxfId="848" priority="139" operator="notBetween">
      <formula>#REF!</formula>
      <formula>#REF!</formula>
    </cfRule>
  </conditionalFormatting>
  <conditionalFormatting sqref="D64:D72">
    <cfRule type="cellIs" dxfId="847" priority="128" stopIfTrue="1" operator="lessThanOrEqual">
      <formula>0</formula>
    </cfRule>
  </conditionalFormatting>
  <conditionalFormatting sqref="D73">
    <cfRule type="cellIs" dxfId="846" priority="127" stopIfTrue="1" operator="lessThanOrEqual">
      <formula>0</formula>
    </cfRule>
  </conditionalFormatting>
  <conditionalFormatting sqref="D76 D78:D84">
    <cfRule type="cellIs" dxfId="845" priority="156" stopIfTrue="1" operator="lessThanOrEqual">
      <formula>0</formula>
    </cfRule>
  </conditionalFormatting>
  <conditionalFormatting sqref="D77">
    <cfRule type="cellIs" dxfId="844" priority="147" stopIfTrue="1" operator="greaterThan">
      <formula>$F$76</formula>
    </cfRule>
    <cfRule type="cellIs" dxfId="843" priority="148" stopIfTrue="1" operator="lessThanOrEqual">
      <formula>0</formula>
    </cfRule>
  </conditionalFormatting>
  <conditionalFormatting sqref="D64:E73">
    <cfRule type="cellIs" dxfId="842" priority="120" stopIfTrue="1" operator="greaterThan">
      <formula>$F64</formula>
    </cfRule>
  </conditionalFormatting>
  <conditionalFormatting sqref="E10:E20">
    <cfRule type="cellIs" dxfId="841" priority="51" operator="lessThan">
      <formula>48</formula>
    </cfRule>
  </conditionalFormatting>
  <conditionalFormatting sqref="E49">
    <cfRule type="cellIs" dxfId="840" priority="149" stopIfTrue="1" operator="lessThan">
      <formula>96.8</formula>
    </cfRule>
    <cfRule type="cellIs" dxfId="839" priority="150" stopIfTrue="1" operator="greaterThan">
      <formula>100</formula>
    </cfRule>
  </conditionalFormatting>
  <conditionalFormatting sqref="E64:E73">
    <cfRule type="cellIs" dxfId="838" priority="121" stopIfTrue="1" operator="lessThanOrEqual">
      <formula>0</formula>
    </cfRule>
  </conditionalFormatting>
  <conditionalFormatting sqref="E76:E84">
    <cfRule type="cellIs" dxfId="837" priority="141" stopIfTrue="1" operator="greaterThan">
      <formula>4.5</formula>
    </cfRule>
    <cfRule type="cellIs" dxfId="836" priority="142" stopIfTrue="1" operator="lessThanOrEqual">
      <formula>0</formula>
    </cfRule>
  </conditionalFormatting>
  <conditionalFormatting sqref="E48:F49">
    <cfRule type="cellIs" dxfId="835" priority="151" stopIfTrue="1" operator="lessThan">
      <formula>96.5</formula>
    </cfRule>
    <cfRule type="cellIs" dxfId="834" priority="152" stopIfTrue="1" operator="greaterThan">
      <formula>100</formula>
    </cfRule>
  </conditionalFormatting>
  <conditionalFormatting sqref="F10:F20">
    <cfRule type="cellIs" dxfId="833" priority="53" operator="greaterThan">
      <formula>60</formula>
    </cfRule>
  </conditionalFormatting>
  <conditionalFormatting sqref="F49">
    <cfRule type="cellIs" dxfId="832" priority="167" stopIfTrue="1" operator="lessThan">
      <formula>96.8</formula>
    </cfRule>
    <cfRule type="cellIs" dxfId="831" priority="168" stopIfTrue="1" operator="greaterThan">
      <formula>100</formula>
    </cfRule>
  </conditionalFormatting>
  <conditionalFormatting sqref="F73">
    <cfRule type="cellIs" dxfId="830" priority="123" stopIfTrue="1" operator="lessThanOrEqual">
      <formula>0</formula>
    </cfRule>
    <cfRule type="cellIs" dxfId="829" priority="122" stopIfTrue="1" operator="greaterThan">
      <formula>$F73</formula>
    </cfRule>
  </conditionalFormatting>
  <conditionalFormatting sqref="G64:G65 C70:C72">
    <cfRule type="cellIs" dxfId="828" priority="130" stopIfTrue="1" operator="lessThanOrEqual">
      <formula>0</formula>
    </cfRule>
    <cfRule type="cellIs" dxfId="827" priority="129" stopIfTrue="1" operator="greaterThan">
      <formula>$F64</formula>
    </cfRule>
  </conditionalFormatting>
  <conditionalFormatting sqref="G64:G65">
    <cfRule type="cellIs" dxfId="826" priority="100" stopIfTrue="1" operator="greaterThan">
      <formula>$F64</formula>
    </cfRule>
    <cfRule type="cellIs" dxfId="825" priority="101" stopIfTrue="1" operator="lessThanOrEqual">
      <formula>0</formula>
    </cfRule>
  </conditionalFormatting>
  <conditionalFormatting sqref="G66">
    <cfRule type="cellIs" dxfId="824" priority="171" stopIfTrue="1" operator="greaterThan">
      <formula>$F65</formula>
    </cfRule>
    <cfRule type="cellIs" dxfId="823" priority="172" stopIfTrue="1" operator="lessThanOrEqual">
      <formula>0</formula>
    </cfRule>
  </conditionalFormatting>
  <conditionalFormatting sqref="G67">
    <cfRule type="cellIs" dxfId="822" priority="125" stopIfTrue="1" operator="lessThanOrEqual">
      <formula>0</formula>
    </cfRule>
    <cfRule type="cellIs" dxfId="821" priority="124" stopIfTrue="1" operator="greaterThan">
      <formula>$F67</formula>
    </cfRule>
  </conditionalFormatting>
  <conditionalFormatting sqref="G68:G73">
    <cfRule type="cellIs" dxfId="820" priority="131" stopIfTrue="1" operator="greaterThan">
      <formula>$J68</formula>
    </cfRule>
    <cfRule type="cellIs" dxfId="819" priority="132" stopIfTrue="1" operator="lessThanOrEqual">
      <formula>0</formula>
    </cfRule>
  </conditionalFormatting>
  <conditionalFormatting sqref="G78:G83 C81 C83">
    <cfRule type="cellIs" dxfId="818" priority="164" stopIfTrue="1" operator="greaterThan">
      <formula>4.5</formula>
    </cfRule>
    <cfRule type="cellIs" dxfId="817" priority="165" stopIfTrue="1" operator="lessThanOrEqual">
      <formula>0</formula>
    </cfRule>
  </conditionalFormatting>
  <conditionalFormatting sqref="G10:H20">
    <cfRule type="expression" dxfId="816" priority="44">
      <formula>IF(+(IF(G10&lt;#REF!,0,IF(G10&gt;#REF!,0,1)))=0,1)</formula>
    </cfRule>
  </conditionalFormatting>
  <conditionalFormatting sqref="G77:H77">
    <cfRule type="cellIs" dxfId="815" priority="145" stopIfTrue="1" operator="greaterThan">
      <formula>$F$76</formula>
    </cfRule>
    <cfRule type="cellIs" dxfId="814" priority="146" stopIfTrue="1" operator="lessThanOrEqual">
      <formula>0</formula>
    </cfRule>
  </conditionalFormatting>
  <conditionalFormatting sqref="H24:H47 G35:G46">
    <cfRule type="cellIs" dxfId="813" priority="143" stopIfTrue="1" operator="greaterThan">
      <formula>0</formula>
    </cfRule>
  </conditionalFormatting>
  <conditionalFormatting sqref="H52">
    <cfRule type="cellIs" dxfId="812" priority="12" stopIfTrue="1" operator="lessThanOrEqual">
      <formula>0</formula>
    </cfRule>
    <cfRule type="cellIs" dxfId="811" priority="14" stopIfTrue="1" operator="lessThanOrEqual">
      <formula>0</formula>
    </cfRule>
    <cfRule type="cellIs" dxfId="810" priority="13" stopIfTrue="1" operator="greaterThan">
      <formula>$F$63</formula>
    </cfRule>
    <cfRule type="cellIs" dxfId="809" priority="11" stopIfTrue="1" operator="greaterThan">
      <formula>$F$65</formula>
    </cfRule>
    <cfRule type="cellIs" dxfId="808" priority="3" stopIfTrue="1" operator="greaterThan">
      <formula>$F$62</formula>
    </cfRule>
    <cfRule type="cellIs" dxfId="807" priority="2" stopIfTrue="1" operator="lessThanOrEqual">
      <formula>0</formula>
    </cfRule>
  </conditionalFormatting>
  <conditionalFormatting sqref="H53 H55 H57">
    <cfRule type="cellIs" dxfId="806" priority="57" stopIfTrue="1" operator="lessThanOrEqual">
      <formula>0</formula>
    </cfRule>
    <cfRule type="cellIs" dxfId="805" priority="66" stopIfTrue="1" operator="greaterThan">
      <formula>$F$66</formula>
    </cfRule>
    <cfRule type="cellIs" dxfId="804" priority="68" stopIfTrue="1" operator="greaterThan">
      <formula>$F$64</formula>
    </cfRule>
    <cfRule type="cellIs" dxfId="803" priority="69" stopIfTrue="1" operator="lessThanOrEqual">
      <formula>0</formula>
    </cfRule>
    <cfRule type="cellIs" dxfId="802" priority="58" stopIfTrue="1" operator="greaterThan">
      <formula>$F$63</formula>
    </cfRule>
    <cfRule type="cellIs" dxfId="801" priority="67" stopIfTrue="1" operator="lessThanOrEqual">
      <formula>0</formula>
    </cfRule>
  </conditionalFormatting>
  <conditionalFormatting sqref="H54">
    <cfRule type="cellIs" dxfId="800" priority="31" stopIfTrue="1" operator="greaterThan">
      <formula>$F$62</formula>
    </cfRule>
    <cfRule type="cellIs" dxfId="799" priority="30" stopIfTrue="1" operator="lessThanOrEqual">
      <formula>0</formula>
    </cfRule>
    <cfRule type="cellIs" dxfId="798" priority="39" stopIfTrue="1" operator="greaterThan">
      <formula>$F$65</formula>
    </cfRule>
    <cfRule type="cellIs" dxfId="797" priority="40" stopIfTrue="1" operator="lessThanOrEqual">
      <formula>0</formula>
    </cfRule>
    <cfRule type="cellIs" dxfId="796" priority="41" stopIfTrue="1" operator="greaterThan">
      <formula>$F$63</formula>
    </cfRule>
    <cfRule type="cellIs" dxfId="795" priority="42" stopIfTrue="1" operator="lessThanOrEqual">
      <formula>0</formula>
    </cfRule>
  </conditionalFormatting>
  <conditionalFormatting sqref="H56">
    <cfRule type="cellIs" dxfId="794" priority="28" stopIfTrue="1" operator="lessThanOrEqual">
      <formula>0</formula>
    </cfRule>
    <cfRule type="cellIs" dxfId="793" priority="27" stopIfTrue="1" operator="greaterThan">
      <formula>$F$63</formula>
    </cfRule>
    <cfRule type="cellIs" dxfId="792" priority="26" stopIfTrue="1" operator="lessThanOrEqual">
      <formula>0</formula>
    </cfRule>
    <cfRule type="cellIs" dxfId="791" priority="25" stopIfTrue="1" operator="greaterThan">
      <formula>$F$65</formula>
    </cfRule>
    <cfRule type="cellIs" dxfId="790" priority="17" stopIfTrue="1" operator="greaterThan">
      <formula>$F$62</formula>
    </cfRule>
    <cfRule type="cellIs" dxfId="789" priority="16" stopIfTrue="1" operator="lessThanOrEqual">
      <formula>0</formula>
    </cfRule>
  </conditionalFormatting>
  <conditionalFormatting sqref="H58">
    <cfRule type="cellIs" dxfId="788" priority="96" stopIfTrue="1" operator="lessThanOrEqual">
      <formula>0</formula>
    </cfRule>
    <cfRule type="cellIs" dxfId="787" priority="86" stopIfTrue="1" operator="lessThanOrEqual">
      <formula>0</formula>
    </cfRule>
    <cfRule type="cellIs" dxfId="786" priority="87" stopIfTrue="1" operator="greaterThan">
      <formula>#REF!</formula>
    </cfRule>
    <cfRule type="cellIs" dxfId="785" priority="95" stopIfTrue="1" operator="greaterThan">
      <formula>#REF!</formula>
    </cfRule>
  </conditionalFormatting>
  <conditionalFormatting sqref="H59">
    <cfRule type="cellIs" dxfId="784" priority="80" stopIfTrue="1" operator="greaterThan">
      <formula>$F$65</formula>
    </cfRule>
    <cfRule type="cellIs" dxfId="783" priority="79" stopIfTrue="1" operator="lessThanOrEqual">
      <formula>0</formula>
    </cfRule>
    <cfRule type="cellIs" dxfId="782" priority="71" stopIfTrue="1" operator="lessThanOrEqual">
      <formula>0</formula>
    </cfRule>
    <cfRule type="cellIs" dxfId="781" priority="81" stopIfTrue="1" operator="lessThanOrEqual">
      <formula>0</formula>
    </cfRule>
    <cfRule type="cellIs" dxfId="780" priority="78" stopIfTrue="1" operator="greaterThan">
      <formula>$F$67</formula>
    </cfRule>
  </conditionalFormatting>
  <conditionalFormatting sqref="H60">
    <cfRule type="cellIs" dxfId="779" priority="137" stopIfTrue="1" operator="lessThanOrEqual">
      <formula>0</formula>
    </cfRule>
    <cfRule type="cellIs" dxfId="778" priority="134" stopIfTrue="1" operator="greaterThan">
      <formula>$F$61</formula>
    </cfRule>
    <cfRule type="cellIs" dxfId="777" priority="135" stopIfTrue="1" operator="lessThanOrEqual">
      <formula>0</formula>
    </cfRule>
    <cfRule type="cellIs" dxfId="776" priority="136" stopIfTrue="1" operator="greaterThan">
      <formula>$F$58</formula>
    </cfRule>
  </conditionalFormatting>
  <conditionalFormatting sqref="H64:H72">
    <cfRule type="cellIs" dxfId="775" priority="114" stopIfTrue="1" operator="lessThanOrEqual">
      <formula>0</formula>
    </cfRule>
    <cfRule type="cellIs" dxfId="774" priority="113" stopIfTrue="1" operator="greaterThan">
      <formula>$J64</formula>
    </cfRule>
  </conditionalFormatting>
  <conditionalFormatting sqref="H73">
    <cfRule type="cellIs" dxfId="773" priority="117" operator="greaterThan">
      <formula>5.3</formula>
    </cfRule>
  </conditionalFormatting>
  <conditionalFormatting sqref="H76 H78:H84">
    <cfRule type="cellIs" dxfId="772" priority="157" stopIfTrue="1" operator="greaterThan">
      <formula>4.5</formula>
    </cfRule>
    <cfRule type="cellIs" dxfId="771" priority="158" stopIfTrue="1" operator="lessThanOrEqual">
      <formula>0</formula>
    </cfRule>
  </conditionalFormatting>
  <conditionalFormatting sqref="H52:I52">
    <cfRule type="cellIs" dxfId="770" priority="4" stopIfTrue="1" operator="lessThanOrEqual">
      <formula>0</formula>
    </cfRule>
    <cfRule type="cellIs" dxfId="769" priority="1" stopIfTrue="1" operator="greaterThan">
      <formula>$F$64</formula>
    </cfRule>
  </conditionalFormatting>
  <conditionalFormatting sqref="H53:I53 H55:I55 H57:I57">
    <cfRule type="cellIs" dxfId="768" priority="56" stopIfTrue="1" operator="greaterThan">
      <formula>$F$65</formula>
    </cfRule>
    <cfRule type="cellIs" dxfId="767" priority="59" stopIfTrue="1" operator="lessThanOrEqual">
      <formula>0</formula>
    </cfRule>
  </conditionalFormatting>
  <conditionalFormatting sqref="H54:I54">
    <cfRule type="cellIs" dxfId="766" priority="29" stopIfTrue="1" operator="greaterThan">
      <formula>$F$64</formula>
    </cfRule>
    <cfRule type="cellIs" dxfId="765" priority="32" stopIfTrue="1" operator="lessThanOrEqual">
      <formula>0</formula>
    </cfRule>
  </conditionalFormatting>
  <conditionalFormatting sqref="H56:I56">
    <cfRule type="cellIs" dxfId="764" priority="18" stopIfTrue="1" operator="lessThanOrEqual">
      <formula>0</formula>
    </cfRule>
    <cfRule type="cellIs" dxfId="763" priority="15" stopIfTrue="1" operator="greaterThan">
      <formula>$F$64</formula>
    </cfRule>
  </conditionalFormatting>
  <conditionalFormatting sqref="H58:I58">
    <cfRule type="cellIs" dxfId="762" priority="85" stopIfTrue="1" operator="greaterThan">
      <formula>#REF!</formula>
    </cfRule>
    <cfRule type="cellIs" dxfId="761" priority="88" stopIfTrue="1" operator="lessThanOrEqual">
      <formula>0</formula>
    </cfRule>
    <cfRule type="cellIs" dxfId="760" priority="91" stopIfTrue="1" operator="greaterThan">
      <formula>#REF!</formula>
    </cfRule>
  </conditionalFormatting>
  <conditionalFormatting sqref="H58:I59">
    <cfRule type="cellIs" dxfId="759" priority="94" stopIfTrue="1" operator="lessThanOrEqual">
      <formula>0</formula>
    </cfRule>
  </conditionalFormatting>
  <conditionalFormatting sqref="H59:I59">
    <cfRule type="cellIs" dxfId="758" priority="72" stopIfTrue="1" operator="greaterThan">
      <formula>$F$64</formula>
    </cfRule>
    <cfRule type="cellIs" dxfId="757" priority="70" stopIfTrue="1" operator="greaterThan">
      <formula>$F$66</formula>
    </cfRule>
  </conditionalFormatting>
  <conditionalFormatting sqref="I52">
    <cfRule type="cellIs" dxfId="756" priority="5" stopIfTrue="1" operator="greaterThan">
      <formula>$F$62</formula>
    </cfRule>
    <cfRule type="cellIs" dxfId="755" priority="6" stopIfTrue="1" operator="lessThanOrEqual">
      <formula>0</formula>
    </cfRule>
    <cfRule type="cellIs" dxfId="754" priority="7" stopIfTrue="1" operator="greaterThan">
      <formula>$F$64</formula>
    </cfRule>
    <cfRule type="cellIs" dxfId="753" priority="8" stopIfTrue="1" operator="lessThanOrEqual">
      <formula>0</formula>
    </cfRule>
    <cfRule type="cellIs" dxfId="752" priority="9" stopIfTrue="1" operator="greaterThan">
      <formula>$F$62</formula>
    </cfRule>
    <cfRule type="cellIs" dxfId="751" priority="10" stopIfTrue="1" operator="lessThanOrEqual">
      <formula>0</formula>
    </cfRule>
  </conditionalFormatting>
  <conditionalFormatting sqref="I53 I55 I57">
    <cfRule type="cellIs" dxfId="750" priority="65" stopIfTrue="1" operator="lessThanOrEqual">
      <formula>0</formula>
    </cfRule>
    <cfRule type="cellIs" dxfId="749" priority="64" stopIfTrue="1" operator="greaterThan">
      <formula>$F$63</formula>
    </cfRule>
    <cfRule type="cellIs" dxfId="748" priority="63" stopIfTrue="1" operator="lessThanOrEqual">
      <formula>0</formula>
    </cfRule>
    <cfRule type="cellIs" dxfId="747" priority="60" stopIfTrue="1" operator="greaterThan">
      <formula>$F$63</formula>
    </cfRule>
    <cfRule type="cellIs" dxfId="746" priority="62" stopIfTrue="1" operator="greaterThan">
      <formula>$F$65</formula>
    </cfRule>
    <cfRule type="cellIs" dxfId="745" priority="61" stopIfTrue="1" operator="lessThanOrEqual">
      <formula>0</formula>
    </cfRule>
  </conditionalFormatting>
  <conditionalFormatting sqref="I54">
    <cfRule type="cellIs" dxfId="744" priority="35" stopIfTrue="1" operator="greaterThan">
      <formula>$F$64</formula>
    </cfRule>
    <cfRule type="cellIs" dxfId="743" priority="38" stopIfTrue="1" operator="lessThanOrEqual">
      <formula>0</formula>
    </cfRule>
    <cfRule type="cellIs" dxfId="742" priority="37" stopIfTrue="1" operator="greaterThan">
      <formula>$F$62</formula>
    </cfRule>
    <cfRule type="cellIs" dxfId="741" priority="36" stopIfTrue="1" operator="lessThanOrEqual">
      <formula>0</formula>
    </cfRule>
    <cfRule type="cellIs" dxfId="740" priority="34" stopIfTrue="1" operator="lessThanOrEqual">
      <formula>0</formula>
    </cfRule>
    <cfRule type="cellIs" dxfId="739" priority="33" stopIfTrue="1" operator="greaterThan">
      <formula>$F$62</formula>
    </cfRule>
  </conditionalFormatting>
  <conditionalFormatting sqref="I56">
    <cfRule type="cellIs" dxfId="738" priority="24" stopIfTrue="1" operator="lessThanOrEqual">
      <formula>0</formula>
    </cfRule>
    <cfRule type="cellIs" dxfId="737" priority="22" stopIfTrue="1" operator="lessThanOrEqual">
      <formula>0</formula>
    </cfRule>
    <cfRule type="cellIs" dxfId="736" priority="23" stopIfTrue="1" operator="greaterThan">
      <formula>$F$62</formula>
    </cfRule>
    <cfRule type="cellIs" dxfId="735" priority="21" stopIfTrue="1" operator="greaterThan">
      <formula>$F$64</formula>
    </cfRule>
    <cfRule type="cellIs" dxfId="734" priority="20" stopIfTrue="1" operator="lessThanOrEqual">
      <formula>0</formula>
    </cfRule>
    <cfRule type="cellIs" dxfId="733" priority="19" stopIfTrue="1" operator="greaterThan">
      <formula>$F$62</formula>
    </cfRule>
  </conditionalFormatting>
  <conditionalFormatting sqref="I58">
    <cfRule type="cellIs" dxfId="732" priority="90" stopIfTrue="1" operator="lessThanOrEqual">
      <formula>0</formula>
    </cfRule>
    <cfRule type="cellIs" dxfId="731" priority="93" stopIfTrue="1" operator="greaterThan">
      <formula>#REF!</formula>
    </cfRule>
    <cfRule type="cellIs" dxfId="730" priority="89" stopIfTrue="1" operator="greaterThan">
      <formula>#REF!</formula>
    </cfRule>
    <cfRule type="cellIs" dxfId="729" priority="92" stopIfTrue="1" operator="lessThanOrEqual">
      <formula>0</formula>
    </cfRule>
  </conditionalFormatting>
  <conditionalFormatting sqref="I59">
    <cfRule type="cellIs" dxfId="728" priority="76" stopIfTrue="1" operator="greaterThan">
      <formula>$F$64</formula>
    </cfRule>
    <cfRule type="cellIs" dxfId="727" priority="75" stopIfTrue="1" operator="lessThanOrEqual">
      <formula>0</formula>
    </cfRule>
    <cfRule type="cellIs" dxfId="726" priority="74" stopIfTrue="1" operator="greaterThan">
      <formula>$F$66</formula>
    </cfRule>
    <cfRule type="cellIs" dxfId="725" priority="77" stopIfTrue="1" operator="lessThanOrEqual">
      <formula>0</formula>
    </cfRule>
    <cfRule type="cellIs" dxfId="724" priority="73" stopIfTrue="1" operator="lessThanOrEqual">
      <formula>0</formula>
    </cfRule>
  </conditionalFormatting>
  <conditionalFormatting sqref="I64:I73">
    <cfRule type="cellIs" dxfId="723" priority="119" stopIfTrue="1" operator="lessThanOrEqual">
      <formula>0</formula>
    </cfRule>
    <cfRule type="cellIs" dxfId="722" priority="118" stopIfTrue="1" operator="greaterThan">
      <formula>$J64</formula>
    </cfRule>
  </conditionalFormatting>
  <conditionalFormatting sqref="I76:I84">
    <cfRule type="cellIs" dxfId="721" priority="154" stopIfTrue="1" operator="lessThanOrEqual">
      <formula>0</formula>
    </cfRule>
    <cfRule type="cellIs" dxfId="720" priority="153" stopIfTrue="1" operator="greaterThan">
      <formula>4.5</formula>
    </cfRule>
  </conditionalFormatting>
  <conditionalFormatting sqref="I10:J20">
    <cfRule type="cellIs" dxfId="719" priority="54" operator="lessThan">
      <formula>97.9</formula>
    </cfRule>
  </conditionalFormatting>
  <conditionalFormatting sqref="J23">
    <cfRule type="cellIs" dxfId="718" priority="55" operator="lessThan">
      <formula>97.9</formula>
    </cfRule>
  </conditionalFormatting>
  <conditionalFormatting sqref="J24:J25">
    <cfRule type="cellIs" dxfId="717" priority="108" operator="lessThan">
      <formula>98</formula>
    </cfRule>
    <cfRule type="cellIs" dxfId="716" priority="106" stopIfTrue="1" operator="lessThan">
      <formula>96.8</formula>
    </cfRule>
    <cfRule type="cellIs" dxfId="715" priority="107" stopIfTrue="1" operator="greaterThan">
      <formula>100</formula>
    </cfRule>
  </conditionalFormatting>
  <conditionalFormatting sqref="J24:J27">
    <cfRule type="cellIs" dxfId="714" priority="99" operator="lessThan">
      <formula>97.4</formula>
    </cfRule>
  </conditionalFormatting>
  <conditionalFormatting sqref="J28">
    <cfRule type="cellIs" dxfId="713" priority="109" operator="lessThan">
      <formula>98</formula>
    </cfRule>
  </conditionalFormatting>
  <conditionalFormatting sqref="J29:J31">
    <cfRule type="cellIs" dxfId="712" priority="110" stopIfTrue="1" operator="lessThan">
      <formula>96.8</formula>
    </cfRule>
    <cfRule type="cellIs" dxfId="711" priority="111" stopIfTrue="1" operator="greaterThan">
      <formula>100</formula>
    </cfRule>
  </conditionalFormatting>
  <conditionalFormatting sqref="J29:J32">
    <cfRule type="cellIs" dxfId="710" priority="112" operator="lessThan">
      <formula>98</formula>
    </cfRule>
  </conditionalFormatting>
  <conditionalFormatting sqref="K10:K20">
    <cfRule type="cellIs" dxfId="709" priority="52" operator="greaterThan">
      <formula>6.4</formula>
    </cfRule>
    <cfRule type="cellIs" dxfId="708" priority="47" operator="greaterThan">
      <formula>6</formula>
    </cfRule>
    <cfRule type="cellIs" dxfId="707" priority="48" operator="lessThan">
      <formula>4</formula>
    </cfRule>
  </conditionalFormatting>
  <conditionalFormatting sqref="K37:K46">
    <cfRule type="cellIs" dxfId="706" priority="126" operator="notEqual">
      <formula>#REF!</formula>
    </cfRule>
  </conditionalFormatting>
  <conditionalFormatting sqref="K52:K60">
    <cfRule type="cellIs" dxfId="705" priority="43" stopIfTrue="1" operator="lessThan">
      <formula>100%</formula>
    </cfRule>
  </conditionalFormatting>
  <conditionalFormatting sqref="K76:K81">
    <cfRule type="cellIs" dxfId="704" priority="159" stopIfTrue="1" operator="lessThan">
      <formula>100%</formula>
    </cfRule>
  </conditionalFormatting>
  <conditionalFormatting sqref="K83:K84">
    <cfRule type="cellIs" dxfId="703" priority="166" stopIfTrue="1" operator="lessThan">
      <formula>100%</formula>
    </cfRule>
  </conditionalFormatting>
  <conditionalFormatting sqref="K64:N73">
    <cfRule type="cellIs" dxfId="702" priority="133" stopIfTrue="1" operator="lessThan">
      <formula>100%</formula>
    </cfRule>
  </conditionalFormatting>
  <conditionalFormatting sqref="L10:L20">
    <cfRule type="cellIs" dxfId="701" priority="49" operator="between">
      <formula>61</formula>
      <formula>65</formula>
    </cfRule>
    <cfRule type="cellIs" dxfId="700" priority="50" operator="greaterThan">
      <formula>65</formula>
    </cfRule>
  </conditionalFormatting>
  <conditionalFormatting sqref="L23:M34">
    <cfRule type="cellIs" dxfId="699" priority="82" operator="lessThan">
      <formula>98</formula>
    </cfRule>
  </conditionalFormatting>
  <conditionalFormatting sqref="L38:N38">
    <cfRule type="cellIs" dxfId="698" priority="102" operator="notEqual">
      <formula>#REF!</formula>
    </cfRule>
  </conditionalFormatting>
  <conditionalFormatting sqref="L76:N84">
    <cfRule type="cellIs" dxfId="697" priority="144" stopIfTrue="1" operator="lessThan">
      <formula>100%</formula>
    </cfRule>
  </conditionalFormatting>
  <conditionalFormatting sqref="M10:M20">
    <cfRule type="expression" dxfId="696" priority="45">
      <formula>IF(+(IF(M10&lt;V10,0,IF(M10&gt;W10,0,1)))=0,1)</formula>
    </cfRule>
  </conditionalFormatting>
  <conditionalFormatting sqref="M6:N6">
    <cfRule type="cellIs" dxfId="695" priority="104" operator="greaterThanOrEqual">
      <formula>19</formula>
    </cfRule>
    <cfRule type="cellIs" dxfId="694" priority="103" operator="greaterThanOrEqual">
      <formula>15</formula>
    </cfRule>
  </conditionalFormatting>
  <conditionalFormatting sqref="N10:N20">
    <cfRule type="expression" dxfId="693" priority="46">
      <formula>IF(+(IF(N10&lt;X10,0,IF(N10&gt;Y10,0,1)))=0,1)</formula>
    </cfRule>
  </conditionalFormatting>
  <conditionalFormatting sqref="P6">
    <cfRule type="cellIs" dxfId="692" priority="140" operator="greaterThanOrEqual">
      <formula>19</formula>
    </cfRule>
  </conditionalFormatting>
  <dataValidations count="1">
    <dataValidation type="list" allowBlank="1" showInputMessage="1" showErrorMessage="1" sqref="S8" xr:uid="{2CD352E8-EAE0-4DAF-9DED-B177C147487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301A-F335-4427-BED4-E02B3972AEEF}">
  <sheetPr>
    <pageSetUpPr fitToPage="1"/>
  </sheetPr>
  <dimension ref="A1:BF87"/>
  <sheetViews>
    <sheetView topLeftCell="A27" zoomScale="83" zoomScaleNormal="70" workbookViewId="0">
      <selection activeCell="E10" sqref="E10:E17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45714</v>
      </c>
      <c r="D4" s="471"/>
      <c r="J4" s="402" t="s">
        <v>190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191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6" customHeight="1">
      <c r="B10" s="29" t="s">
        <v>6</v>
      </c>
      <c r="C10" s="366" t="str">
        <f>[22]Brewhouse!$A236</f>
        <v>CA134</v>
      </c>
      <c r="D10" s="279">
        <f>[22]Brewhouse!$AF236</f>
        <v>54.9</v>
      </c>
      <c r="E10" s="279">
        <f>[22]Brewhouse!$AI236</f>
        <v>51.4</v>
      </c>
      <c r="F10" s="278">
        <f>[22]Brewhouse!$V236</f>
        <v>60</v>
      </c>
      <c r="G10" s="279">
        <f>[22]Brewhouse!$AG236</f>
        <v>11.7</v>
      </c>
      <c r="H10" s="396">
        <v>11.8</v>
      </c>
      <c r="I10" s="368">
        <f>[22]Brewhouse!$AU236</f>
        <v>91.887467769179437</v>
      </c>
      <c r="J10" s="368">
        <f>[22]Brewhouse!$AV236</f>
        <v>95.603025502648677</v>
      </c>
      <c r="K10" s="281">
        <f>[22]Brewhouse!$Q236</f>
        <v>5.1086956521739131</v>
      </c>
      <c r="L10" s="276">
        <f>[22]Brewhouse!$P236</f>
        <v>60</v>
      </c>
      <c r="M10" s="397">
        <f>[22]Brewhouse!$U236-[22]Brewhouse!$T236</f>
        <v>0.10972222222222219</v>
      </c>
      <c r="N10" s="370">
        <f>[22]Brewhouse!$Z236</f>
        <v>0.27569444444444441</v>
      </c>
      <c r="O10" s="371" t="str">
        <f>[22]Brewhouse!$AX236</f>
        <v>K.Benjamin</v>
      </c>
      <c r="P10" s="369"/>
      <c r="Q10" s="347"/>
      <c r="S10" s="277" t="str">
        <f t="shared" ref="S10:S18" si="0">B10</f>
        <v>CARIB</v>
      </c>
      <c r="T10" s="296">
        <f t="shared" ref="T10:T18" si="1">VLOOKUP($B10,$S$3:$Y$9,2,FALSE)</f>
        <v>11.6</v>
      </c>
      <c r="U10" s="296">
        <f t="shared" ref="U10:U18" si="2">VLOOKUP($B10,$S$3:$Y$9,3,FALSE)</f>
        <v>12</v>
      </c>
      <c r="V10" s="297">
        <f t="shared" ref="V10:V18" si="3">VLOOKUP($B10,$S$3:$Y$9,4,FALSE)</f>
        <v>0</v>
      </c>
      <c r="W10" s="297">
        <f t="shared" ref="W10:W18" si="4">VLOOKUP($B10,$S$3:$Y$9,5,FALSE)</f>
        <v>0.118055555555556</v>
      </c>
      <c r="X10" s="297">
        <f t="shared" ref="X10:X18" si="5">VLOOKUP($B10,$S$3:$Y$9,6,FALSE)</f>
        <v>0.22569444444444445</v>
      </c>
      <c r="Y10" s="297">
        <f t="shared" ref="Y10:Y18" si="6">VLOOKUP($B10,$S$3:$Y$9,7,FALSE)</f>
        <v>0.2638888888888889</v>
      </c>
      <c r="Z10" s="297">
        <f t="shared" ref="Z10:Z18" si="7">VLOOKUP($B10,$S$3:$AA$9,8,FALSE)</f>
        <v>0</v>
      </c>
      <c r="AA10" s="296">
        <f t="shared" ref="AA10:AA18" si="8">VLOOKUP($B10,$S$3:$AA$9,9,FALSE)</f>
        <v>60</v>
      </c>
    </row>
    <row r="11" spans="2:30" ht="15.6" customHeight="1">
      <c r="B11" s="29" t="s">
        <v>6</v>
      </c>
      <c r="C11" s="366" t="str">
        <f>[22]Brewhouse!$A237</f>
        <v>CA135</v>
      </c>
      <c r="D11" s="279">
        <f>[22]Brewhouse!$AF237</f>
        <v>54.1</v>
      </c>
      <c r="E11" s="279">
        <f>[22]Brewhouse!$AI237</f>
        <v>50.7</v>
      </c>
      <c r="F11" s="278">
        <f>[22]Brewhouse!$V237</f>
        <v>64</v>
      </c>
      <c r="G11" s="279">
        <f>[22]Brewhouse!$AG237</f>
        <v>11.7</v>
      </c>
      <c r="H11" s="396">
        <v>11.8</v>
      </c>
      <c r="I11" s="368">
        <f>[22]Brewhouse!$AU237</f>
        <v>94.651122076969358</v>
      </c>
      <c r="J11" s="368">
        <f>[22]Brewhouse!$AV237</f>
        <v>98.628469993579458</v>
      </c>
      <c r="K11" s="281">
        <f>[22]Brewhouse!$Q237</f>
        <v>5.6890459363957575</v>
      </c>
      <c r="L11" s="276">
        <f>[22]Brewhouse!$P237</f>
        <v>61</v>
      </c>
      <c r="M11" s="397">
        <f>[22]Brewhouse!$U237-[22]Brewhouse!$T237</f>
        <v>0.11249999999999999</v>
      </c>
      <c r="N11" s="370">
        <f>[22]Brewhouse!$Z237</f>
        <v>0.27847222222222223</v>
      </c>
      <c r="O11" s="371" t="str">
        <f>[22]Brewhouse!$AX237</f>
        <v>R.Regis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6" customHeight="1">
      <c r="B12" s="29" t="s">
        <v>6</v>
      </c>
      <c r="C12" s="366" t="str">
        <f>[22]Brewhouse!$A238</f>
        <v>CA136</v>
      </c>
      <c r="D12" s="279">
        <f>[22]Brewhouse!$AF238</f>
        <v>53.3</v>
      </c>
      <c r="E12" s="279">
        <f>[22]Brewhouse!$AI238</f>
        <v>50.6</v>
      </c>
      <c r="F12" s="278">
        <f>[22]Brewhouse!$V238</f>
        <v>62</v>
      </c>
      <c r="G12" s="279">
        <f>[22]Brewhouse!$AG238</f>
        <v>11.6</v>
      </c>
      <c r="H12" s="396">
        <v>11.6</v>
      </c>
      <c r="I12" s="368">
        <f>[22]Brewhouse!$AU238</f>
        <v>94.196420875147751</v>
      </c>
      <c r="J12" s="368">
        <f>[22]Brewhouse!$AV238</f>
        <v>98.153581065397105</v>
      </c>
      <c r="K12" s="281">
        <f>[22]Brewhouse!$Q238</f>
        <v>7.1024734982332207</v>
      </c>
      <c r="L12" s="276">
        <f>[22]Brewhouse!$P238</f>
        <v>61</v>
      </c>
      <c r="M12" s="397">
        <f>[22]Brewhouse!$U238-[22]Brewhouse!$T238</f>
        <v>0.11388888888888893</v>
      </c>
      <c r="N12" s="370">
        <f>[22]Brewhouse!$Z238</f>
        <v>0.27361111111111114</v>
      </c>
      <c r="O12" s="371" t="str">
        <f>[22]Brewhouse!$AX238</f>
        <v>R.Regis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6" customHeight="1">
      <c r="B13" s="29" t="s">
        <v>6</v>
      </c>
      <c r="C13" s="366" t="str">
        <f>[22]Brewhouse!$A239</f>
        <v>CA137</v>
      </c>
      <c r="D13" s="279">
        <f>[22]Brewhouse!$AF239</f>
        <v>53.6</v>
      </c>
      <c r="E13" s="279">
        <f>[22]Brewhouse!$AI239</f>
        <v>50.3</v>
      </c>
      <c r="F13" s="278">
        <f>[22]Brewhouse!$V239</f>
        <v>63</v>
      </c>
      <c r="G13" s="279">
        <f>[22]Brewhouse!$AG239</f>
        <v>11.8</v>
      </c>
      <c r="H13" s="396">
        <v>11.5</v>
      </c>
      <c r="I13" s="368">
        <f>[22]Brewhouse!$AU239</f>
        <v>94.983564269611392</v>
      </c>
      <c r="J13" s="368">
        <f>[22]Brewhouse!$AV239</f>
        <v>98.974447523767111</v>
      </c>
      <c r="K13" s="281">
        <f>[22]Brewhouse!$Q239</f>
        <v>5.2329749103942556</v>
      </c>
      <c r="L13" s="276">
        <f>[22]Brewhouse!$P239</f>
        <v>60</v>
      </c>
      <c r="M13" s="397">
        <f>[22]Brewhouse!$U239-[22]Brewhouse!$T239</f>
        <v>0.1166666666666667</v>
      </c>
      <c r="N13" s="370">
        <f>[22]Brewhouse!$Z239</f>
        <v>0.25694444444444448</v>
      </c>
      <c r="O13" s="371" t="str">
        <f>[22]Brewhouse!$AX239</f>
        <v>R.Regis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6" customHeight="1">
      <c r="B14" s="29" t="s">
        <v>6</v>
      </c>
      <c r="C14" s="366" t="str">
        <f>[22]Brewhouse!$A240</f>
        <v>CA138</v>
      </c>
      <c r="D14" s="279">
        <f>[22]Brewhouse!$AF240</f>
        <v>53.9</v>
      </c>
      <c r="E14" s="279">
        <f>[22]Brewhouse!$AI240</f>
        <v>50.9</v>
      </c>
      <c r="F14" s="278">
        <f>[22]Brewhouse!$V240</f>
        <v>63</v>
      </c>
      <c r="G14" s="279">
        <f>[22]Brewhouse!$AG240</f>
        <v>11.69</v>
      </c>
      <c r="H14" s="396">
        <v>11.6</v>
      </c>
      <c r="I14" s="368">
        <f>[22]Brewhouse!$AU240</f>
        <v>95.614884373859567</v>
      </c>
      <c r="J14" s="368">
        <f>[22]Brewhouse!$AV240</f>
        <v>99.631633742086976</v>
      </c>
      <c r="K14" s="281">
        <f>[22]Brewhouse!$Q240</f>
        <v>4.352517985611513</v>
      </c>
      <c r="L14" s="276">
        <f>[22]Brewhouse!$P240</f>
        <v>58</v>
      </c>
      <c r="M14" s="397">
        <f>[22]Brewhouse!$U240-[22]Brewhouse!$T240</f>
        <v>0.11041666666666672</v>
      </c>
      <c r="N14" s="370">
        <f>[22]Brewhouse!$Z240</f>
        <v>0.25347222222222221</v>
      </c>
      <c r="O14" s="371" t="str">
        <f>[22]Brewhouse!$AX240</f>
        <v>R.Sookram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6" customHeight="1">
      <c r="B15" s="29" t="s">
        <v>6</v>
      </c>
      <c r="C15" s="366" t="str">
        <f>[22]Brewhouse!$A241</f>
        <v>CA139</v>
      </c>
      <c r="D15" s="279">
        <f>[22]Brewhouse!$AF241</f>
        <v>52.9</v>
      </c>
      <c r="E15" s="279">
        <f>[22]Brewhouse!$AI241</f>
        <v>49.4</v>
      </c>
      <c r="F15" s="278">
        <f>[22]Brewhouse!$V241</f>
        <v>61</v>
      </c>
      <c r="G15" s="279">
        <f>[22]Brewhouse!$AG241</f>
        <v>11.65</v>
      </c>
      <c r="H15" s="396">
        <v>11.5</v>
      </c>
      <c r="I15" s="368">
        <f>[22]Brewhouse!$AU241</f>
        <v>92.238813509883116</v>
      </c>
      <c r="J15" s="368">
        <f>[22]Brewhouse!$AV241</f>
        <v>95.954538536813487</v>
      </c>
      <c r="K15" s="281">
        <f>[22]Brewhouse!$Q241</f>
        <v>5.4809437386569932</v>
      </c>
      <c r="L15" s="276">
        <f>[22]Brewhouse!$P241</f>
        <v>64</v>
      </c>
      <c r="M15" s="397">
        <f>[22]Brewhouse!$U241-[22]Brewhouse!$T241</f>
        <v>0.11736111111111103</v>
      </c>
      <c r="N15" s="370">
        <f>[22]Brewhouse!$Z241</f>
        <v>0.26388888888888884</v>
      </c>
      <c r="O15" s="371" t="str">
        <f>[22]Brewhouse!$AX241</f>
        <v>R.Sookram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6" customHeight="1">
      <c r="B16" s="29" t="s">
        <v>6</v>
      </c>
      <c r="C16" s="366" t="str">
        <f>[22]Brewhouse!$A242</f>
        <v>CA140</v>
      </c>
      <c r="D16" s="279">
        <f>[22]Brewhouse!$AF242</f>
        <v>53</v>
      </c>
      <c r="E16" s="279">
        <f>[22]Brewhouse!$AI242</f>
        <v>49.3</v>
      </c>
      <c r="F16" s="278">
        <f>[22]Brewhouse!$V242</f>
        <v>57</v>
      </c>
      <c r="G16" s="279">
        <f>[22]Brewhouse!$AG242</f>
        <v>11.9</v>
      </c>
      <c r="H16" s="396">
        <v>11.9</v>
      </c>
      <c r="I16" s="368">
        <f>[22]Brewhouse!$AU242</f>
        <v>98.233595160056836</v>
      </c>
      <c r="J16" s="368">
        <f>[22]Brewhouse!$AV242</f>
        <v>97.482887761590547</v>
      </c>
      <c r="K16" s="281">
        <f>[22]Brewhouse!$Q242</f>
        <v>5.4611211573236815</v>
      </c>
      <c r="L16" s="276">
        <f>[22]Brewhouse!$P242</f>
        <v>57</v>
      </c>
      <c r="M16" s="397">
        <f>[22]Brewhouse!$U242-[22]Brewhouse!$T242</f>
        <v>0.10763888888888895</v>
      </c>
      <c r="N16" s="370">
        <f>[22]Brewhouse!$Z242</f>
        <v>0.29513888888888895</v>
      </c>
      <c r="O16" s="371" t="str">
        <f>[22]Brewhouse!$AX242</f>
        <v>R.Sookram</v>
      </c>
      <c r="P16" s="369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6" customHeight="1">
      <c r="B17" s="29" t="s">
        <v>6</v>
      </c>
      <c r="C17" s="366" t="str">
        <f>[22]Brewhouse!$A243</f>
        <v>CA141</v>
      </c>
      <c r="D17" s="279">
        <f>[22]Brewhouse!$AF243</f>
        <v>53.3</v>
      </c>
      <c r="E17" s="279">
        <f>[22]Brewhouse!$AI243</f>
        <v>49.7</v>
      </c>
      <c r="F17" s="278">
        <f>[22]Brewhouse!$V243</f>
        <v>54</v>
      </c>
      <c r="G17" s="279">
        <f>[22]Brewhouse!$AG243</f>
        <v>11.8</v>
      </c>
      <c r="H17" s="396">
        <v>11.8</v>
      </c>
      <c r="I17" s="368">
        <f>[22]Brewhouse!$AU243</f>
        <v>97.914776616343687</v>
      </c>
      <c r="J17" s="368">
        <f>[22]Brewhouse!$AV243</f>
        <v>97.166342019440094</v>
      </c>
      <c r="K17" s="281">
        <f>[22]Brewhouse!$Q243</f>
        <v>6.9380530973451355</v>
      </c>
      <c r="L17" s="276">
        <f>[22]Brewhouse!$P243</f>
        <v>62</v>
      </c>
      <c r="M17" s="397">
        <f>[22]Brewhouse!$U243-[22]Brewhouse!$T243</f>
        <v>0.1131944444444446</v>
      </c>
      <c r="N17" s="370">
        <f>[22]Brewhouse!$Z243</f>
        <v>0.28472222222222232</v>
      </c>
      <c r="O17" s="371" t="str">
        <f>[22]Brewhouse!$AX243</f>
        <v>K.Benjamin</v>
      </c>
      <c r="P17" s="369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6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6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ref="S19:S22" si="9">B19</f>
        <v>0</v>
      </c>
      <c r="T19" s="296" t="e">
        <f t="shared" ref="T19:T22" si="10">VLOOKUP($B19,$S$3:$Y$9,2,FALSE)</f>
        <v>#N/A</v>
      </c>
      <c r="U19" s="296" t="e">
        <f t="shared" ref="U19:U22" si="11">VLOOKUP($B19,$S$3:$Y$9,3,FALSE)</f>
        <v>#N/A</v>
      </c>
      <c r="V19" s="297" t="e">
        <f t="shared" ref="V19:V22" si="12">VLOOKUP($B19,$S$3:$Y$9,4,FALSE)</f>
        <v>#N/A</v>
      </c>
      <c r="W19" s="297" t="e">
        <f t="shared" ref="W19:W22" si="13">VLOOKUP($B19,$S$3:$Y$9,5,FALSE)</f>
        <v>#N/A</v>
      </c>
      <c r="X19" s="297" t="e">
        <f t="shared" ref="X19:X22" si="14">VLOOKUP($B19,$S$3:$Y$9,6,FALSE)</f>
        <v>#N/A</v>
      </c>
      <c r="Y19" s="297" t="e">
        <f t="shared" ref="Y19:Y22" si="15">VLOOKUP($B19,$S$3:$Y$9,7,FALSE)</f>
        <v>#N/A</v>
      </c>
      <c r="Z19" s="297" t="e">
        <f t="shared" ref="Z19:Z22" si="16">VLOOKUP($B19,$S$3:$AA$9,8,FALSE)</f>
        <v>#N/A</v>
      </c>
      <c r="AA19" s="296" t="e">
        <f t="shared" ref="AA19:AA22" si="17">VLOOKUP($B19,$S$3:$AA$9,9,FALSE)</f>
        <v>#N/A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17"/>
      <c r="J20" s="417"/>
      <c r="K20" s="398"/>
      <c r="L20" s="276"/>
      <c r="M20" s="374"/>
      <c r="N20" s="370"/>
      <c r="O20" s="418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>
      <c r="B21" s="34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00" t="s">
        <v>34</v>
      </c>
      <c r="J22" s="500"/>
      <c r="K22" s="500"/>
      <c r="L22" s="500"/>
      <c r="M22" s="500"/>
      <c r="N22" s="500"/>
      <c r="O22" s="1"/>
      <c r="P22" s="12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" thickBot="1">
      <c r="B23" s="388" t="s">
        <v>145</v>
      </c>
      <c r="C23" s="388"/>
      <c r="D23" s="478" t="s">
        <v>35</v>
      </c>
      <c r="E23" s="479"/>
      <c r="F23" s="294"/>
      <c r="G23" s="294"/>
      <c r="H23" s="23"/>
      <c r="I23" s="24" t="s">
        <v>17</v>
      </c>
      <c r="J23" s="25" t="s">
        <v>146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66" t="s">
        <v>6</v>
      </c>
      <c r="C24" s="450" cm="1">
        <f t="array" ref="C24:C31" xml:space="preserve"> [22]Process!$D$185:$D$192</f>
        <v>12</v>
      </c>
      <c r="D24" s="555">
        <v>11.6</v>
      </c>
      <c r="E24" s="556"/>
      <c r="F24" s="294"/>
      <c r="G24" s="294"/>
      <c r="H24" s="294"/>
      <c r="I24" s="29" t="s">
        <v>6</v>
      </c>
      <c r="J24" s="368">
        <f>AVERAGE(I10:I17)</f>
        <v>94.965080581381386</v>
      </c>
      <c r="K24" s="284">
        <f>COUNTA([22]Brewhouse!$A$173:$A$243)</f>
        <v>71</v>
      </c>
      <c r="L24" s="302">
        <f>AVERAGE([22]Brewhouse!$AU$173:$AU$243)</f>
        <v>95.932459658968384</v>
      </c>
      <c r="M24" s="302">
        <f>AVERAGE([22]Brewhouse!$AU$102:$AU$171,[22]Brewhouse!$AU$173:$AU$243)</f>
        <v>95.259061840890126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67"/>
      <c r="C25" s="349">
        <v>11.6</v>
      </c>
      <c r="D25" s="519"/>
      <c r="E25" s="507"/>
      <c r="F25" s="294"/>
      <c r="G25" s="294"/>
      <c r="H25" s="32"/>
      <c r="I25" s="33" t="s">
        <v>9</v>
      </c>
      <c r="J25" s="323"/>
      <c r="K25" s="284">
        <f>COUNTA([24]Brewhouse!$A$66:$A$90)</f>
        <v>25</v>
      </c>
      <c r="L25" s="302">
        <f>AVERAGE([24]Brewhouse!$AS$66:$AS$90)</f>
        <v>95.697328944126696</v>
      </c>
      <c r="M25" s="302">
        <f>AVERAGE([24]Brewhouse!$AS$15:$AS$64,[24]Brewhouse!$AS$66:$AS$90)</f>
        <v>95.950664395120555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4.7" customHeight="1">
      <c r="A26" s="28"/>
      <c r="B26" s="567"/>
      <c r="C26" s="349">
        <v>11.6</v>
      </c>
      <c r="D26" s="555">
        <v>11.61</v>
      </c>
      <c r="E26" s="556"/>
      <c r="F26" s="294"/>
      <c r="G26" s="294"/>
      <c r="H26" s="32"/>
      <c r="I26" s="34" t="s">
        <v>12</v>
      </c>
      <c r="J26" s="280"/>
      <c r="K26" s="284">
        <f>COUNTA([23]Brewhouse!$A$9:$A$22)</f>
        <v>14</v>
      </c>
      <c r="L26" s="302">
        <f>AVERAGE([23]Brewhouse!$AU$9:$AU$22)</f>
        <v>95.97048596821466</v>
      </c>
      <c r="M26" s="302">
        <f>AVERAGE([23]Brewhouse!$AU$4:$AU$7,[23]Brewhouse!$AU$9:$AU$22)</f>
        <v>96.221919722068549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67"/>
      <c r="C27" s="349">
        <v>11.65</v>
      </c>
      <c r="D27" s="519"/>
      <c r="E27" s="507"/>
      <c r="F27" s="294"/>
      <c r="G27" s="294"/>
      <c r="H27" s="32"/>
      <c r="I27" s="22" t="s">
        <v>33</v>
      </c>
      <c r="J27" s="280"/>
      <c r="K27" s="284">
        <f>COUNTA([25]Brewhouse!$A$16:$A$19)</f>
        <v>4</v>
      </c>
      <c r="L27" s="302">
        <f>AVERAGE([25]Brewhouse!$AV$16:$AV$19)</f>
        <v>99.193666402492596</v>
      </c>
      <c r="M27" s="302">
        <f>AVERAGE([25]Brewhouse!$AV$5:$AV$14,[25]Brewhouse!$AV$16:$AV$19)</f>
        <v>98.139385615971563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67"/>
      <c r="C28" s="349">
        <v>11.9</v>
      </c>
      <c r="D28" s="555">
        <v>11.68</v>
      </c>
      <c r="E28" s="556"/>
      <c r="F28" s="294"/>
      <c r="G28" s="294"/>
      <c r="H28" s="32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S28" s="23"/>
    </row>
    <row r="29" spans="1:27" ht="14.7" customHeight="1">
      <c r="A29" s="28"/>
      <c r="B29" s="567"/>
      <c r="C29" s="349">
        <v>11.7</v>
      </c>
      <c r="D29" s="519"/>
      <c r="E29" s="507"/>
      <c r="F29" s="294"/>
      <c r="G29" s="294"/>
      <c r="H29" s="32"/>
      <c r="I29" s="36" t="s">
        <v>15</v>
      </c>
      <c r="J29" s="323"/>
      <c r="K29" s="284"/>
      <c r="L29" s="302"/>
      <c r="M29" s="302">
        <f>AVERAGE([26]Brewhouse!$AT$4:$AT$11)</f>
        <v>94.812616598822359</v>
      </c>
      <c r="N29" s="30">
        <v>98</v>
      </c>
      <c r="O29" s="11"/>
      <c r="P29" s="31"/>
      <c r="S29" s="23"/>
    </row>
    <row r="30" spans="1:27" ht="14.7" customHeight="1">
      <c r="A30" s="28"/>
      <c r="B30" s="567"/>
      <c r="C30" s="349">
        <v>11.82</v>
      </c>
      <c r="D30" s="555">
        <v>11.63</v>
      </c>
      <c r="E30" s="556"/>
      <c r="F30" s="294"/>
      <c r="G30" s="294"/>
      <c r="H30" s="32"/>
      <c r="I30" s="37" t="s">
        <v>16</v>
      </c>
      <c r="J30" s="323"/>
      <c r="K30" s="284">
        <f>COUNTA([27]Brewhouse!$A$15:$A$20)</f>
        <v>6</v>
      </c>
      <c r="L30" s="302">
        <f>AVERAGE([27]Brewhouse!$AY$15:$AY$20)</f>
        <v>95.874175970347281</v>
      </c>
      <c r="M30" s="302">
        <f>AVERAGE([27]Brewhouse!$AY$6:$AY$13,[27]Brewhouse!$AY$15:$AY$20)</f>
        <v>94.285964321968933</v>
      </c>
      <c r="N30" s="30">
        <v>98</v>
      </c>
      <c r="O30" s="11"/>
      <c r="P30" s="31" t="s">
        <v>41</v>
      </c>
      <c r="S30" s="23"/>
      <c r="X30" s="275" t="s">
        <v>41</v>
      </c>
    </row>
    <row r="31" spans="1:27" ht="14.7" customHeight="1">
      <c r="A31" s="28"/>
      <c r="B31" s="567"/>
      <c r="C31" s="349">
        <v>11.6</v>
      </c>
      <c r="D31" s="519"/>
      <c r="E31" s="507"/>
      <c r="F31" s="294"/>
      <c r="G31" s="294"/>
      <c r="H31" s="32"/>
      <c r="I31" s="416" t="s">
        <v>158</v>
      </c>
      <c r="J31" s="326"/>
      <c r="K31" s="284"/>
      <c r="L31" s="305"/>
      <c r="M31" s="305">
        <f>AVERAGE([28]Brewhouse!$AU$5:$AU$8)</f>
        <v>91.006888337619571</v>
      </c>
      <c r="N31" s="30">
        <v>98</v>
      </c>
      <c r="O31" s="11"/>
      <c r="P31" s="31"/>
      <c r="S31" s="23"/>
    </row>
    <row r="32" spans="1:27" ht="14.7" customHeight="1">
      <c r="A32" s="28"/>
      <c r="B32" s="567"/>
      <c r="C32" s="349"/>
      <c r="D32" s="555"/>
      <c r="E32" s="556"/>
      <c r="F32" s="294"/>
      <c r="G32" s="294"/>
      <c r="H32" s="32"/>
      <c r="I32" s="415" t="s">
        <v>157</v>
      </c>
      <c r="J32" s="326"/>
      <c r="K32" s="284"/>
      <c r="L32" s="305"/>
      <c r="M32" s="305"/>
      <c r="N32" s="30"/>
      <c r="O32" s="11"/>
      <c r="P32" s="31"/>
      <c r="S32" s="23"/>
    </row>
    <row r="33" spans="1:57" ht="15" customHeight="1" thickBot="1">
      <c r="A33" s="28"/>
      <c r="B33" s="567"/>
      <c r="C33" s="349"/>
      <c r="D33" s="519"/>
      <c r="E33" s="507"/>
      <c r="F33" s="294"/>
      <c r="G33" s="294"/>
      <c r="H33" s="32"/>
      <c r="I33" s="411" t="s">
        <v>156</v>
      </c>
      <c r="J33" s="327"/>
      <c r="K33" s="412"/>
      <c r="L33" s="413"/>
      <c r="M33" s="413"/>
      <c r="N33" s="414">
        <v>98</v>
      </c>
      <c r="O33" s="11"/>
      <c r="P33" s="31"/>
      <c r="S33" s="23"/>
    </row>
    <row r="34" spans="1:57" ht="15" customHeight="1" thickBot="1">
      <c r="A34" s="28"/>
      <c r="B34" s="567"/>
      <c r="C34" s="349"/>
      <c r="D34" s="504"/>
      <c r="E34" s="505"/>
      <c r="F34" s="294"/>
      <c r="G34" s="294"/>
      <c r="H34" s="32"/>
      <c r="I34" s="1"/>
      <c r="J34" s="39"/>
      <c r="K34" s="409">
        <f>SUM(K24:K33)</f>
        <v>120</v>
      </c>
      <c r="L34" s="410">
        <f>((L24*K24)+(L25*K25)+(L26*K26)+(L27*K27)+(L28*K28)+(K31*L31)+(L29*K29)+(L30*K30)+(L33*K33))/(K34)</f>
        <v>95.993703203141507</v>
      </c>
      <c r="M34" s="410">
        <f>AVERAGE('[29]Jan 31st'!$L$65,L34)</f>
        <v>95.584712332388989</v>
      </c>
      <c r="N34" s="40">
        <v>98</v>
      </c>
      <c r="O34" s="11"/>
      <c r="P34" s="31"/>
      <c r="S34" s="23"/>
    </row>
    <row r="35" spans="1:57" ht="15" thickBot="1">
      <c r="B35" s="578"/>
      <c r="C35" s="350"/>
      <c r="D35" s="506"/>
      <c r="E35" s="507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S35" s="23"/>
    </row>
    <row r="36" spans="1:57" ht="15" thickBot="1">
      <c r="B36" s="593"/>
      <c r="C36" s="362"/>
      <c r="D36" s="517"/>
      <c r="E36" s="518"/>
      <c r="F36" s="43"/>
      <c r="G36" s="41"/>
      <c r="H36" s="41"/>
      <c r="I36" s="42"/>
      <c r="J36" s="587" t="s">
        <v>129</v>
      </c>
      <c r="K36" s="588"/>
      <c r="L36" s="294"/>
      <c r="M36" s="294"/>
      <c r="N36" s="294"/>
      <c r="O36" s="294"/>
      <c r="P36" s="12"/>
      <c r="S36" s="23" t="s">
        <v>41</v>
      </c>
    </row>
    <row r="37" spans="1:57" ht="13.5" customHeight="1" thickBot="1">
      <c r="B37" s="552"/>
      <c r="C37" s="349"/>
      <c r="D37" s="519"/>
      <c r="E37" s="507"/>
      <c r="F37" s="43"/>
      <c r="G37" s="41"/>
      <c r="H37" s="41"/>
      <c r="I37" s="42"/>
      <c r="J37" s="453" t="s">
        <v>17</v>
      </c>
      <c r="K37" s="454" t="s">
        <v>147</v>
      </c>
      <c r="L37" s="521" t="s">
        <v>136</v>
      </c>
      <c r="M37" s="521"/>
      <c r="N37" s="522"/>
      <c r="O37" s="294"/>
      <c r="P37" s="12"/>
      <c r="S37" s="23"/>
    </row>
    <row r="38" spans="1:57" ht="15" customHeight="1" thickBot="1">
      <c r="B38" s="552"/>
      <c r="C38" s="349"/>
      <c r="D38" s="523"/>
      <c r="E38" s="505"/>
      <c r="F38" s="43"/>
      <c r="G38" s="41"/>
      <c r="H38" s="41"/>
      <c r="I38" s="42"/>
      <c r="J38" s="455" t="s">
        <v>6</v>
      </c>
      <c r="K38" s="456">
        <f>COUNTA(C10:C17)</f>
        <v>8</v>
      </c>
      <c r="L38" s="343" t="s">
        <v>37</v>
      </c>
      <c r="M38" s="307" t="s">
        <v>38</v>
      </c>
      <c r="N38" s="307" t="s">
        <v>84</v>
      </c>
      <c r="O38" s="294"/>
      <c r="P38" s="12"/>
      <c r="S38" s="23"/>
    </row>
    <row r="39" spans="1:57" ht="15.75" customHeight="1" thickBot="1">
      <c r="B39" s="552"/>
      <c r="C39" s="349"/>
      <c r="D39" s="519"/>
      <c r="E39" s="507"/>
      <c r="F39" s="43"/>
      <c r="G39" s="41"/>
      <c r="H39" s="41"/>
      <c r="I39" s="42"/>
      <c r="J39" s="457" t="s">
        <v>9</v>
      </c>
      <c r="K39" s="456"/>
      <c r="L39" s="344">
        <f>AVERAGE('Feb 3rd'!K79,'Feb 4th'!K77,'Feb 5th'!L68,'Feb 6th'!K75,'Feb 10th'!K69,'Feb 11th'!K68,'Feb 12th'!K70,'Feb 13th'!K69,'Feb 14th'!K47,'Feb 14th'!K47,'Feb 17th'!K47,'Feb 18th'!K47,'Feb 19th '!L38,'Feb 20th'!K49,'Feb 21st'!K45,'Feb 23rd'!K43,'Feb 24th'!K47,'Feb 25th'!K48)</f>
        <v>6.9572649572649574</v>
      </c>
      <c r="M39" s="325">
        <f>AVERAGE('[29]Jan 29th '!$M$70,L39)</f>
        <v>6.7286324786324787</v>
      </c>
      <c r="N39" s="401"/>
      <c r="O39" s="294"/>
      <c r="P39" s="12"/>
      <c r="S39" s="23"/>
    </row>
    <row r="40" spans="1:57" ht="15" customHeight="1">
      <c r="B40" s="552"/>
      <c r="C40" s="349"/>
      <c r="D40" s="523"/>
      <c r="E40" s="505"/>
      <c r="F40" s="43"/>
      <c r="G40" s="41"/>
      <c r="H40" s="41"/>
      <c r="I40" s="42"/>
      <c r="J40" s="458" t="s">
        <v>40</v>
      </c>
      <c r="K40" s="456"/>
      <c r="L40" s="294"/>
      <c r="M40" s="294"/>
      <c r="N40" s="294"/>
      <c r="O40" s="294"/>
      <c r="P40" s="12"/>
      <c r="S40" s="23"/>
    </row>
    <row r="41" spans="1:57" ht="15" customHeight="1">
      <c r="B41" s="552"/>
      <c r="C41" s="349"/>
      <c r="D41" s="519"/>
      <c r="E41" s="507"/>
      <c r="F41" s="43"/>
      <c r="G41" s="41"/>
      <c r="H41" s="41"/>
      <c r="I41" s="42"/>
      <c r="J41" s="459" t="s">
        <v>33</v>
      </c>
      <c r="K41" s="456"/>
      <c r="L41" s="294"/>
      <c r="M41" s="294"/>
      <c r="N41" s="294"/>
      <c r="O41" s="294"/>
      <c r="P41" s="12"/>
      <c r="S41" s="23"/>
    </row>
    <row r="42" spans="1:57" ht="14.4">
      <c r="B42" s="552"/>
      <c r="C42" s="349"/>
      <c r="D42" s="523"/>
      <c r="E42" s="505"/>
      <c r="F42" s="43"/>
      <c r="G42" s="41"/>
      <c r="H42" s="41"/>
      <c r="I42" s="42"/>
      <c r="J42" s="460" t="s">
        <v>16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52"/>
      <c r="C43" s="349"/>
      <c r="D43" s="519"/>
      <c r="E43" s="507"/>
      <c r="F43" s="43"/>
      <c r="G43" s="41"/>
      <c r="H43" s="41"/>
      <c r="I43" s="42"/>
      <c r="J43" s="461" t="s">
        <v>15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52"/>
      <c r="C44" s="349"/>
      <c r="D44" s="524"/>
      <c r="E44" s="509"/>
      <c r="F44" s="43"/>
      <c r="G44" s="41"/>
      <c r="H44" s="41"/>
      <c r="I44" s="42"/>
      <c r="J44" s="461" t="s">
        <v>149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5" thickBot="1">
      <c r="B45" s="553"/>
      <c r="C45" s="350"/>
      <c r="D45" s="525"/>
      <c r="E45" s="526"/>
      <c r="F45" s="43"/>
      <c r="G45" s="41"/>
      <c r="H45" s="41"/>
      <c r="I45" s="42"/>
      <c r="J45" s="461" t="s">
        <v>148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 thickBot="1">
      <c r="B46" s="312" t="s">
        <v>139</v>
      </c>
      <c r="C46" s="313"/>
      <c r="D46" s="527">
        <f>AVERAGE(D24:E45)</f>
        <v>11.63</v>
      </c>
      <c r="E46" s="528"/>
      <c r="F46" s="43"/>
      <c r="G46" s="41"/>
      <c r="H46" s="41"/>
      <c r="I46" s="42"/>
      <c r="J46" s="462" t="s">
        <v>134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>
      <c r="B47" s="363"/>
      <c r="C47" s="364"/>
      <c r="D47" s="365"/>
      <c r="E47" s="365"/>
      <c r="F47" s="43"/>
      <c r="G47" s="41"/>
      <c r="H47" s="41"/>
      <c r="I47" s="42"/>
      <c r="J47" s="462" t="s">
        <v>131</v>
      </c>
      <c r="K47" s="456"/>
      <c r="L47" s="294"/>
      <c r="M47" s="294"/>
      <c r="N47" s="294"/>
      <c r="O47" s="294"/>
      <c r="P47" s="12"/>
      <c r="S47" s="23"/>
      <c r="BD47" s="44"/>
      <c r="BE47" s="44"/>
    </row>
    <row r="48" spans="1:57" ht="15.75" customHeight="1" thickBot="1">
      <c r="B48" s="45"/>
      <c r="C48" s="11"/>
      <c r="D48" s="11"/>
      <c r="E48" s="46"/>
      <c r="F48" s="23"/>
      <c r="G48" s="11"/>
      <c r="H48" s="41"/>
      <c r="I48" s="42"/>
      <c r="J48" s="463" t="s">
        <v>130</v>
      </c>
      <c r="K48" s="464">
        <f>SUM(K38:K47)</f>
        <v>8</v>
      </c>
      <c r="L48" s="294"/>
      <c r="M48" s="294"/>
      <c r="N48" s="294"/>
      <c r="O48" s="294"/>
      <c r="P48" s="12"/>
    </row>
    <row r="49" spans="2:58" ht="20.25" customHeight="1">
      <c r="B49" s="15" t="s">
        <v>42</v>
      </c>
      <c r="C49" s="1" t="s">
        <v>43</v>
      </c>
      <c r="D49" s="1"/>
      <c r="E49" s="1"/>
      <c r="I49" s="42"/>
      <c r="L49" s="294"/>
      <c r="P49" s="334"/>
    </row>
    <row r="50" spans="2:58" ht="15" customHeight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48"/>
      <c r="P50" s="49"/>
      <c r="X50" s="275" t="s">
        <v>41</v>
      </c>
    </row>
    <row r="51" spans="2:58" ht="15" customHeight="1" thickBot="1">
      <c r="B51" s="529" t="s">
        <v>17</v>
      </c>
      <c r="C51" s="529" t="s">
        <v>44</v>
      </c>
      <c r="D51" s="531" t="s">
        <v>45</v>
      </c>
      <c r="E51" s="486" t="s">
        <v>46</v>
      </c>
      <c r="F51" s="546" t="s">
        <v>47</v>
      </c>
      <c r="G51" s="540" t="s">
        <v>48</v>
      </c>
      <c r="H51" s="529" t="s">
        <v>49</v>
      </c>
      <c r="I51" s="529" t="s">
        <v>50</v>
      </c>
      <c r="J51" s="534" t="s">
        <v>28</v>
      </c>
      <c r="K51" s="484" t="s">
        <v>51</v>
      </c>
      <c r="L51" s="496" t="s">
        <v>52</v>
      </c>
      <c r="M51" s="534" t="s">
        <v>53</v>
      </c>
      <c r="N51" s="77"/>
      <c r="O51" s="13"/>
      <c r="P51" s="50"/>
    </row>
    <row r="52" spans="2:58" ht="28.5" customHeight="1" thickTop="1" thickBot="1">
      <c r="B52" s="530"/>
      <c r="C52" s="530"/>
      <c r="D52" s="532"/>
      <c r="E52" s="533"/>
      <c r="F52" s="547"/>
      <c r="G52" s="541"/>
      <c r="H52" s="530"/>
      <c r="I52" s="530"/>
      <c r="J52" s="535"/>
      <c r="K52" s="544"/>
      <c r="L52" s="545"/>
      <c r="M52" s="535"/>
      <c r="N52" s="77"/>
      <c r="O52" s="13"/>
      <c r="P52" s="50"/>
      <c r="Q52" s="355"/>
      <c r="R52" s="355"/>
      <c r="S52" s="355"/>
      <c r="T52" s="355"/>
      <c r="U52" s="51">
        <v>43466</v>
      </c>
      <c r="V52" s="51">
        <v>43467</v>
      </c>
      <c r="W52" s="51">
        <v>43468</v>
      </c>
      <c r="X52" s="51">
        <v>43469</v>
      </c>
      <c r="Y52" s="51">
        <v>43470</v>
      </c>
      <c r="Z52" s="51">
        <v>43471</v>
      </c>
      <c r="AA52" s="51">
        <v>43472</v>
      </c>
      <c r="AB52" s="51">
        <v>43473</v>
      </c>
      <c r="AC52" s="51">
        <v>43474</v>
      </c>
      <c r="AD52" s="51">
        <v>43475</v>
      </c>
      <c r="AE52" s="51">
        <v>43476</v>
      </c>
      <c r="AF52" s="51">
        <v>43477</v>
      </c>
      <c r="AG52" s="51">
        <v>43478</v>
      </c>
      <c r="AH52" s="51">
        <v>43479</v>
      </c>
      <c r="AI52" s="51">
        <v>43480</v>
      </c>
      <c r="AJ52" s="51">
        <v>43481</v>
      </c>
      <c r="AK52" s="51">
        <v>43482</v>
      </c>
      <c r="AL52" s="51">
        <v>43483</v>
      </c>
      <c r="AM52" s="51">
        <v>43484</v>
      </c>
      <c r="AN52" s="51">
        <v>43485</v>
      </c>
      <c r="AO52" s="51">
        <v>43486</v>
      </c>
      <c r="AP52" s="51">
        <v>43487</v>
      </c>
      <c r="AQ52" s="51">
        <v>43488</v>
      </c>
      <c r="AR52" s="51">
        <v>43489</v>
      </c>
      <c r="AS52" s="51">
        <v>43490</v>
      </c>
      <c r="AT52" s="51">
        <v>43491</v>
      </c>
      <c r="AU52" s="51">
        <v>43492</v>
      </c>
      <c r="AV52" s="51">
        <v>43493</v>
      </c>
      <c r="AW52" s="51">
        <v>43494</v>
      </c>
      <c r="AX52" s="51">
        <v>43495</v>
      </c>
      <c r="AY52" s="51">
        <v>43496</v>
      </c>
    </row>
    <row r="53" spans="2:58" s="54" customFormat="1" ht="42" customHeight="1">
      <c r="B53" s="387" t="str">
        <f>B65</f>
        <v>CARIB</v>
      </c>
      <c r="C53" s="283">
        <v>45713</v>
      </c>
      <c r="D53" s="279">
        <f>[30]February_2025!$AB$3</f>
        <v>411.4</v>
      </c>
      <c r="E53" s="279"/>
      <c r="F53" s="279">
        <f>SUM([31]CARIB!$L$73:$L$80)</f>
        <v>399.4</v>
      </c>
      <c r="G53" s="279">
        <f>[30]February_2025!$AB$7</f>
        <v>389.4</v>
      </c>
      <c r="H53" s="320">
        <f>(D53-F53)/D53*100</f>
        <v>2.9168692270296548</v>
      </c>
      <c r="I53" s="322">
        <f>((F53+E53)-G53)/(F53+E53)*100</f>
        <v>2.5037556334501754</v>
      </c>
      <c r="J53" s="470" t="s">
        <v>150</v>
      </c>
      <c r="K53" s="437">
        <f>[32]February_2025!$AB$18</f>
        <v>0.97349999999999992</v>
      </c>
      <c r="L53" s="314">
        <f>(((D53+E53)-G53)/(D53+E53))*100</f>
        <v>5.3475935828877015</v>
      </c>
      <c r="M53" s="281" t="s">
        <v>168</v>
      </c>
      <c r="N53" s="13"/>
      <c r="O53" s="13"/>
      <c r="P53" s="50"/>
      <c r="T53" s="272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277"/>
      <c r="AZ53" s="277"/>
      <c r="BA53" s="277"/>
      <c r="BB53" s="277"/>
      <c r="BC53" s="277"/>
      <c r="BD53" s="277"/>
      <c r="BE53" s="277"/>
      <c r="BF53" s="277"/>
    </row>
    <row r="54" spans="2:58" s="54" customFormat="1" ht="7.95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7"/>
      <c r="L54" s="314"/>
      <c r="M54" s="281"/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45.75" hidden="1" customHeight="1">
      <c r="B55" s="448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281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s="54" customFormat="1" ht="10.95" hidden="1" customHeight="1">
      <c r="B56" s="387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281"/>
      <c r="N56" s="13"/>
      <c r="O56" s="13"/>
      <c r="P56" s="50"/>
      <c r="T56" s="272" t="s">
        <v>51</v>
      </c>
      <c r="U56" s="57">
        <f>[20]January_2019!D6</f>
        <v>0</v>
      </c>
      <c r="V56" s="57">
        <f>[20]January_2019!E6</f>
        <v>0</v>
      </c>
      <c r="W56" s="57">
        <f>[20]January_2019!F6</f>
        <v>0</v>
      </c>
      <c r="X56" s="57">
        <f>[20]January_2019!G6</f>
        <v>0</v>
      </c>
      <c r="Y56" s="57">
        <f>[20]January_2019!H6</f>
        <v>0</v>
      </c>
      <c r="Z56" s="57">
        <f>[20]January_2019!I6</f>
        <v>0</v>
      </c>
      <c r="AA56" s="57">
        <f>[20]January_2019!J6</f>
        <v>0</v>
      </c>
      <c r="AB56" s="57">
        <f>[20]January_2019!K6</f>
        <v>0</v>
      </c>
      <c r="AC56" s="57">
        <f>[20]January_2019!L6</f>
        <v>0</v>
      </c>
      <c r="AD56" s="57">
        <f>[20]January_2019!M6</f>
        <v>0</v>
      </c>
      <c r="AE56" s="57">
        <f>[20]January_2019!N6</f>
        <v>0</v>
      </c>
      <c r="AF56" s="57">
        <f>[20]January_2019!O6</f>
        <v>0</v>
      </c>
      <c r="AG56" s="57">
        <f>[20]January_2019!P6</f>
        <v>0</v>
      </c>
      <c r="AH56" s="57">
        <f>[20]January_2019!Q6</f>
        <v>0</v>
      </c>
      <c r="AI56" s="57">
        <f>[20]January_2019!R6</f>
        <v>0</v>
      </c>
      <c r="AJ56" s="57">
        <f>[20]January_2019!S6</f>
        <v>0</v>
      </c>
      <c r="AK56" s="57">
        <f>[20]January_2019!T6</f>
        <v>0</v>
      </c>
      <c r="AL56" s="57">
        <f>[20]January_2019!U6</f>
        <v>0</v>
      </c>
      <c r="AM56" s="57">
        <f>[20]January_2019!V6</f>
        <v>0</v>
      </c>
      <c r="AN56" s="57">
        <f>[20]January_2019!W6</f>
        <v>0</v>
      </c>
      <c r="AO56" s="57">
        <f>[20]January_2019!X6</f>
        <v>0</v>
      </c>
      <c r="AP56" s="57">
        <f>[20]January_2019!Y6</f>
        <v>0</v>
      </c>
      <c r="AQ56" s="57">
        <f>[20]January_2019!Z6</f>
        <v>0</v>
      </c>
      <c r="AR56" s="57">
        <f>[20]January_2019!AA6</f>
        <v>0</v>
      </c>
      <c r="AS56" s="57">
        <f>[20]January_2019!AB6</f>
        <v>0</v>
      </c>
      <c r="AT56" s="57">
        <f>[20]January_2019!AC6</f>
        <v>0</v>
      </c>
      <c r="AU56" s="57">
        <f>[20]January_2019!AD6</f>
        <v>0</v>
      </c>
      <c r="AV56" s="57">
        <f>[20]January_2019!AE6</f>
        <v>0</v>
      </c>
      <c r="AW56" s="57">
        <f>[20]January_2019!AF6</f>
        <v>0</v>
      </c>
      <c r="AX56" s="57">
        <f>[20]January_2019!AG6</f>
        <v>0</v>
      </c>
      <c r="AY56" s="277">
        <f>[20]January_2019!AH6</f>
        <v>0</v>
      </c>
      <c r="AZ56" s="277"/>
      <c r="BA56" s="277"/>
      <c r="BB56" s="277"/>
      <c r="BC56" s="277"/>
      <c r="BD56" s="277"/>
      <c r="BE56" s="277"/>
      <c r="BF56" s="277"/>
    </row>
    <row r="57" spans="2:58" s="54" customFormat="1" ht="56.4" hidden="1" customHeight="1">
      <c r="B57" s="448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281"/>
      <c r="N57" s="13"/>
      <c r="O57" s="13"/>
      <c r="P57" s="50"/>
      <c r="T57" s="272" t="s">
        <v>54</v>
      </c>
      <c r="U57" s="279"/>
      <c r="V57" s="279"/>
      <c r="W57" s="279"/>
      <c r="X57" s="279"/>
      <c r="Y57" s="279"/>
      <c r="Z57" s="279"/>
      <c r="AA57" s="279"/>
      <c r="AB57" s="279"/>
      <c r="AC57" s="279"/>
      <c r="AD57" s="279"/>
      <c r="AE57" s="279"/>
      <c r="AF57" s="279"/>
      <c r="AG57" s="279"/>
      <c r="AH57" s="279"/>
      <c r="AI57" s="279"/>
      <c r="AJ57" s="279"/>
      <c r="AK57" s="279"/>
      <c r="AL57" s="279"/>
      <c r="AM57" s="279"/>
      <c r="AN57" s="279"/>
      <c r="AO57" s="279"/>
      <c r="AP57" s="279"/>
      <c r="AQ57" s="279"/>
      <c r="AR57" s="279"/>
      <c r="AS57" s="279"/>
      <c r="AT57" s="279"/>
      <c r="AU57" s="279"/>
      <c r="AV57" s="279"/>
      <c r="AW57" s="279"/>
      <c r="AX57" s="279"/>
    </row>
    <row r="58" spans="2:58" s="54" customFormat="1" ht="7.95" hidden="1" customHeight="1">
      <c r="B58" s="387"/>
      <c r="C58" s="283"/>
      <c r="D58" s="279"/>
      <c r="E58" s="279"/>
      <c r="F58" s="279"/>
      <c r="G58" s="279"/>
      <c r="H58" s="320"/>
      <c r="I58" s="322"/>
      <c r="J58" s="389"/>
      <c r="K58" s="437"/>
      <c r="L58" s="314"/>
      <c r="M58" s="281"/>
      <c r="N58" s="13"/>
      <c r="O58" s="13"/>
      <c r="P58" s="50"/>
      <c r="T58" s="272" t="s">
        <v>51</v>
      </c>
      <c r="U58" s="57" t="e">
        <f>[20]January_2019!D8</f>
        <v>#DIV/0!</v>
      </c>
      <c r="V58" s="57">
        <f>[20]January_2019!E8</f>
        <v>1.0319298245614037</v>
      </c>
      <c r="W58" s="57">
        <f>[20]January_2019!F8</f>
        <v>1.7789473684210526</v>
      </c>
      <c r="X58" s="57">
        <f>[20]January_2019!G8</f>
        <v>0.51929824561403504</v>
      </c>
      <c r="Y58" s="57" t="e">
        <f>[20]January_2019!H8</f>
        <v>#DIV/0!</v>
      </c>
      <c r="Z58" s="57" t="e">
        <f>[20]January_2019!I8</f>
        <v>#DIV/0!</v>
      </c>
      <c r="AA58" s="57">
        <f>[20]January_2019!J8</f>
        <v>1.365263157894737</v>
      </c>
      <c r="AB58" s="57" t="e">
        <f>[20]January_2019!K8</f>
        <v>#DIV/0!</v>
      </c>
      <c r="AC58" s="57">
        <f>[20]January_2019!L8</f>
        <v>1.0028070175438597</v>
      </c>
      <c r="AD58" s="57">
        <f>[20]January_2019!M8</f>
        <v>1.7828070175438597</v>
      </c>
      <c r="AE58" s="57" t="e">
        <f>[20]January_2019!N8</f>
        <v>#DIV/0!</v>
      </c>
      <c r="AF58" s="57" t="e">
        <f>[20]January_2019!O8</f>
        <v>#DIV/0!</v>
      </c>
      <c r="AG58" s="57">
        <f>[20]January_2019!P8</f>
        <v>0.19222222222222221</v>
      </c>
      <c r="AH58" s="57">
        <f>[20]January_2019!Q8</f>
        <v>0.52219298245614032</v>
      </c>
      <c r="AI58" s="57">
        <f>[20]January_2019!R8</f>
        <v>0.42912280701754385</v>
      </c>
      <c r="AJ58" s="57" t="e">
        <f>[20]January_2019!S8</f>
        <v>#DIV/0!</v>
      </c>
      <c r="AK58" s="57">
        <f>[20]January_2019!T8</f>
        <v>1.0340350877192983</v>
      </c>
      <c r="AL58" s="57">
        <f>[20]January_2019!U8</f>
        <v>0.98421052631578942</v>
      </c>
      <c r="AM58" s="57" t="e">
        <f>[20]January_2019!V8</f>
        <v>#DIV/0!</v>
      </c>
      <c r="AN58" s="57" t="e">
        <f>[20]January_2019!W8</f>
        <v>#DIV/0!</v>
      </c>
      <c r="AO58" s="57">
        <f>[20]January_2019!X8</f>
        <v>0.66052631578947374</v>
      </c>
      <c r="AP58" s="57">
        <f>[20]January_2019!Y8</f>
        <v>1.0375438596491227</v>
      </c>
      <c r="AQ58" s="57">
        <f>[20]January_2019!Z8</f>
        <v>0.90456140350877201</v>
      </c>
      <c r="AR58" s="57">
        <f>[20]January_2019!AA8</f>
        <v>1.0217543859649123</v>
      </c>
      <c r="AS58" s="57">
        <f>[20]January_2019!AB8</f>
        <v>0.65614035087719302</v>
      </c>
      <c r="AT58" s="57" t="e">
        <f>[20]January_2019!AC8</f>
        <v>#DIV/0!</v>
      </c>
      <c r="AU58" s="57" t="e">
        <f>[20]January_2019!AD8</f>
        <v>#DIV/0!</v>
      </c>
      <c r="AV58" s="57">
        <f>[20]January_2019!AE8</f>
        <v>1.7021052631578948</v>
      </c>
      <c r="AW58" s="57">
        <f>[20]January_2019!AF8</f>
        <v>0.60192982456140354</v>
      </c>
      <c r="AX58" s="57">
        <f>[20]January_2019!AG8</f>
        <v>1.4870175438596491</v>
      </c>
      <c r="AY58" s="277" t="e">
        <f>[20]January_2019!AH8</f>
        <v>#DIV/0!</v>
      </c>
      <c r="AZ58" s="277"/>
      <c r="BA58" s="277"/>
      <c r="BB58" s="277"/>
      <c r="BC58" s="277"/>
      <c r="BD58" s="277"/>
      <c r="BE58" s="277"/>
      <c r="BF58" s="277"/>
    </row>
    <row r="59" spans="2:58" s="54" customFormat="1" hidden="1">
      <c r="B59" s="361"/>
      <c r="C59" s="283"/>
      <c r="D59" s="304"/>
      <c r="E59" s="279"/>
      <c r="F59" s="279"/>
      <c r="G59" s="279"/>
      <c r="H59" s="381"/>
      <c r="I59" s="381"/>
      <c r="J59" s="389"/>
      <c r="K59" s="437"/>
      <c r="L59" s="314"/>
      <c r="M59" s="339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s="54" customFormat="1" ht="9" hidden="1" customHeight="1">
      <c r="B60" s="387"/>
      <c r="C60" s="283"/>
      <c r="D60" s="279"/>
      <c r="E60" s="279"/>
      <c r="F60" s="279"/>
      <c r="G60" s="279"/>
      <c r="H60" s="320"/>
      <c r="I60" s="322"/>
      <c r="J60" s="281"/>
      <c r="K60" s="286"/>
      <c r="L60" s="314"/>
      <c r="M60" s="339"/>
      <c r="N60" s="13"/>
      <c r="O60" s="13"/>
      <c r="P60" s="50"/>
      <c r="T60" s="272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277"/>
      <c r="AZ60" s="277"/>
      <c r="BA60" s="277"/>
      <c r="BB60" s="277"/>
      <c r="BC60" s="277"/>
      <c r="BD60" s="277"/>
      <c r="BE60" s="277"/>
      <c r="BF60" s="277"/>
    </row>
    <row r="61" spans="2:58" ht="11.4" customHeight="1" thickBot="1">
      <c r="B61" s="33"/>
      <c r="C61" s="310"/>
      <c r="D61" s="279"/>
      <c r="E61" s="279"/>
      <c r="F61" s="279"/>
      <c r="G61" s="279"/>
      <c r="H61" s="352"/>
      <c r="I61" s="353"/>
      <c r="J61" s="281"/>
      <c r="K61" s="52"/>
      <c r="L61" s="53"/>
      <c r="M61" s="55"/>
      <c r="N61" s="77"/>
      <c r="O61" s="13"/>
      <c r="P61" s="56"/>
    </row>
    <row r="62" spans="2:58" ht="14.4" thickBot="1">
      <c r="B62" s="58"/>
      <c r="C62" s="309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9"/>
      <c r="O62" s="56"/>
      <c r="P62" s="60"/>
    </row>
    <row r="63" spans="2:58" ht="14.4" thickBot="1">
      <c r="B63" s="536" t="s">
        <v>55</v>
      </c>
      <c r="C63" s="537"/>
      <c r="D63" s="537"/>
      <c r="E63" s="537"/>
      <c r="F63" s="538"/>
      <c r="G63" s="536" t="s">
        <v>56</v>
      </c>
      <c r="H63" s="537"/>
      <c r="I63" s="537"/>
      <c r="J63" s="538"/>
      <c r="K63" s="536" t="s">
        <v>51</v>
      </c>
      <c r="L63" s="537"/>
      <c r="M63" s="537"/>
      <c r="N63" s="539"/>
      <c r="O63" s="56"/>
      <c r="P63" s="50"/>
    </row>
    <row r="64" spans="2:58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>
        <f>L53</f>
        <v>5.3475935828877015</v>
      </c>
      <c r="D65" s="76">
        <v>6.4376467924955785</v>
      </c>
      <c r="E65" s="76">
        <v>7.1220493723347031</v>
      </c>
      <c r="F65" s="66">
        <v>4.8</v>
      </c>
      <c r="G65" s="65">
        <f>[30]February_2025!$AB$11</f>
        <v>6.1968402962549245</v>
      </c>
      <c r="H65" s="76">
        <v>7.1108556002104875</v>
      </c>
      <c r="I65" s="76">
        <v>7.5837209260441814</v>
      </c>
      <c r="J65" s="66">
        <v>4.8</v>
      </c>
      <c r="K65" s="67">
        <f>K53</f>
        <v>0.97349999999999992</v>
      </c>
      <c r="L65" s="194">
        <v>0.71837532368678325</v>
      </c>
      <c r="M65" s="194">
        <v>0.85350203980371619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6.6506917442806524</v>
      </c>
      <c r="E66" s="76">
        <v>6.7094493445838745</v>
      </c>
      <c r="F66" s="66">
        <v>4.8</v>
      </c>
      <c r="G66" s="65"/>
      <c r="H66" s="76">
        <v>6.6366408822664829</v>
      </c>
      <c r="I66" s="76">
        <v>6.7469218033369263</v>
      </c>
      <c r="J66" s="66">
        <v>4.8</v>
      </c>
      <c r="K66" s="67"/>
      <c r="L66" s="194">
        <v>0.61831958958273703</v>
      </c>
      <c r="M66" s="194">
        <v>0.73782172499320109</v>
      </c>
      <c r="N66" s="68">
        <v>1</v>
      </c>
      <c r="P66" s="69"/>
    </row>
    <row r="67" spans="2:16">
      <c r="B67" s="34" t="s">
        <v>40</v>
      </c>
      <c r="C67" s="65"/>
      <c r="D67" s="76">
        <v>18.104405775638647</v>
      </c>
      <c r="E67" s="76">
        <v>14.176156170113877</v>
      </c>
      <c r="F67" s="66">
        <v>5.5</v>
      </c>
      <c r="G67" s="65"/>
      <c r="H67" s="76">
        <v>20.086278780699747</v>
      </c>
      <c r="I67" s="76">
        <v>15.811420854943506</v>
      </c>
      <c r="J67" s="66">
        <v>5.5</v>
      </c>
      <c r="K67" s="67"/>
      <c r="L67" s="194">
        <v>0.31152046783625731</v>
      </c>
      <c r="M67" s="194">
        <v>0.4570760233918128</v>
      </c>
      <c r="N67" s="68">
        <v>1</v>
      </c>
      <c r="P67" s="69"/>
    </row>
    <row r="68" spans="2:16">
      <c r="B68" s="22" t="s">
        <v>33</v>
      </c>
      <c r="C68" s="65"/>
      <c r="D68" s="76">
        <v>4.9603174603174329</v>
      </c>
      <c r="E68" s="76">
        <v>3.9190537266638161</v>
      </c>
      <c r="F68" s="66">
        <v>3.3</v>
      </c>
      <c r="G68" s="65"/>
      <c r="H68" s="76">
        <v>5.7667082440308048</v>
      </c>
      <c r="I68" s="76">
        <v>5.345661717473071</v>
      </c>
      <c r="J68" s="66">
        <v>3.3</v>
      </c>
      <c r="K68" s="67"/>
      <c r="L68" s="194">
        <v>0.67228070175438603</v>
      </c>
      <c r="M68" s="194">
        <v>0.78853801169590654</v>
      </c>
      <c r="N68" s="68">
        <v>1</v>
      </c>
      <c r="P68" s="69"/>
    </row>
    <row r="69" spans="2:16">
      <c r="B69" s="469" t="s">
        <v>181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8.7664670658682695</v>
      </c>
      <c r="F70" s="70">
        <f>[21]May_2022!$M$43</f>
        <v>3.4878406700073312</v>
      </c>
      <c r="G70" s="282"/>
      <c r="H70" s="76"/>
      <c r="I70" s="76">
        <v>10.607235567685406</v>
      </c>
      <c r="J70" s="70">
        <v>5.5</v>
      </c>
      <c r="K70" s="67"/>
      <c r="L70" s="194"/>
      <c r="M70" s="194">
        <v>0.66824561403508764</v>
      </c>
      <c r="N70" s="68">
        <v>1</v>
      </c>
      <c r="P70" s="69"/>
    </row>
    <row r="71" spans="2:16">
      <c r="B71" s="37" t="s">
        <v>16</v>
      </c>
      <c r="C71" s="65"/>
      <c r="D71" s="76">
        <v>3.3333333333333082</v>
      </c>
      <c r="E71" s="76">
        <v>2.2765363128491556</v>
      </c>
      <c r="F71" s="66">
        <v>3.3</v>
      </c>
      <c r="G71" s="282"/>
      <c r="H71" s="76">
        <v>5.2583423035521699</v>
      </c>
      <c r="I71" s="76">
        <v>4.5833713915368151</v>
      </c>
      <c r="J71" s="70">
        <v>3.3</v>
      </c>
      <c r="K71" s="67"/>
      <c r="L71" s="194">
        <v>1.0053333333333334</v>
      </c>
      <c r="M71" s="194">
        <v>0.8042528735632184</v>
      </c>
      <c r="N71" s="71">
        <v>1</v>
      </c>
      <c r="P71" s="69"/>
    </row>
    <row r="72" spans="2:16" ht="14.4" thickBot="1">
      <c r="B72" s="468" t="s">
        <v>127</v>
      </c>
      <c r="C72" s="65"/>
      <c r="D72" s="76"/>
      <c r="E72" s="76"/>
      <c r="F72" s="70">
        <v>7.5</v>
      </c>
      <c r="G72" s="282"/>
      <c r="H72" s="76"/>
      <c r="I72" s="76"/>
      <c r="J72" s="72">
        <v>7.5</v>
      </c>
      <c r="K72" s="67"/>
      <c r="L72" s="194"/>
      <c r="M72" s="194"/>
      <c r="N72" s="71">
        <v>1</v>
      </c>
      <c r="P72" s="69"/>
    </row>
    <row r="73" spans="2:16" ht="14.4" thickBot="1">
      <c r="B73" s="435" t="s">
        <v>134</v>
      </c>
      <c r="C73" s="434"/>
      <c r="D73" s="76">
        <v>4.8792508624938291</v>
      </c>
      <c r="E73" s="76">
        <v>7.2475917346863756</v>
      </c>
      <c r="F73" s="66">
        <v>5.5</v>
      </c>
      <c r="G73" s="282"/>
      <c r="H73" s="76">
        <v>6.2003723782925313</v>
      </c>
      <c r="I73" s="76">
        <v>6.2003723782925313</v>
      </c>
      <c r="J73" s="433">
        <v>5.5</v>
      </c>
      <c r="K73" s="67"/>
      <c r="L73" s="194">
        <v>0.33859649122807017</v>
      </c>
      <c r="M73" s="194">
        <v>0.33859649122807017</v>
      </c>
      <c r="N73" s="71">
        <v>1</v>
      </c>
      <c r="P73" s="69"/>
    </row>
    <row r="74" spans="2:16">
      <c r="C74" s="282"/>
      <c r="D74" s="76">
        <v>7.2475917346863756</v>
      </c>
      <c r="E74" s="76">
        <v>7.0936291945532766</v>
      </c>
      <c r="F74" s="341">
        <v>4.5</v>
      </c>
      <c r="G74" s="282"/>
      <c r="H74" s="76">
        <v>8.2067859541186028</v>
      </c>
      <c r="I74" s="76">
        <v>7.8487568794345277</v>
      </c>
      <c r="J74" s="342">
        <v>5</v>
      </c>
      <c r="K74" s="67"/>
      <c r="L74" s="194">
        <v>0.62325428194993415</v>
      </c>
      <c r="M74" s="194">
        <v>0.7593326118326118</v>
      </c>
      <c r="N74" s="386">
        <v>1</v>
      </c>
      <c r="O74" s="74"/>
      <c r="P74" s="75"/>
    </row>
    <row r="79" spans="2:16">
      <c r="F79" s="315"/>
    </row>
    <row r="87" spans="30:30">
      <c r="AD87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B24:B35"/>
    <mergeCell ref="D24:E25"/>
    <mergeCell ref="D26:E27"/>
    <mergeCell ref="D28:E29"/>
    <mergeCell ref="D30:E31"/>
    <mergeCell ref="D32:E33"/>
    <mergeCell ref="D34:E35"/>
    <mergeCell ref="D42:E43"/>
    <mergeCell ref="D44:E45"/>
    <mergeCell ref="M51:M52"/>
    <mergeCell ref="I22:N22"/>
    <mergeCell ref="D23:E23"/>
    <mergeCell ref="D36:E37"/>
    <mergeCell ref="J36:K36"/>
    <mergeCell ref="L37:N37"/>
    <mergeCell ref="D38:E39"/>
    <mergeCell ref="D40:E41"/>
    <mergeCell ref="B63:F63"/>
    <mergeCell ref="G63:J63"/>
    <mergeCell ref="K63:N63"/>
    <mergeCell ref="B36:B45"/>
    <mergeCell ref="G51:G52"/>
    <mergeCell ref="H51:H52"/>
    <mergeCell ref="I51:I52"/>
    <mergeCell ref="J51:J52"/>
    <mergeCell ref="K51:K52"/>
    <mergeCell ref="L51:L52"/>
    <mergeCell ref="D46:E46"/>
    <mergeCell ref="B51:B52"/>
    <mergeCell ref="C51:C52"/>
    <mergeCell ref="D51:D52"/>
    <mergeCell ref="E51:E52"/>
    <mergeCell ref="F51:F52"/>
  </mergeCells>
  <conditionalFormatting sqref="B46:B47">
    <cfRule type="cellIs" dxfId="691" priority="138" operator="notBetween">
      <formula>#REF!</formula>
      <formula>#REF!</formula>
    </cfRule>
  </conditionalFormatting>
  <conditionalFormatting sqref="C50">
    <cfRule type="cellIs" dxfId="690" priority="170" stopIfTrue="1" operator="greaterThan">
      <formula>100</formula>
    </cfRule>
    <cfRule type="cellIs" dxfId="689" priority="169" stopIfTrue="1" operator="lessThan">
      <formula>96</formula>
    </cfRule>
  </conditionalFormatting>
  <conditionalFormatting sqref="C65">
    <cfRule type="cellIs" dxfId="688" priority="97" stopIfTrue="1" operator="greaterThan">
      <formula>$F65</formula>
    </cfRule>
  </conditionalFormatting>
  <conditionalFormatting sqref="C65:C66">
    <cfRule type="cellIs" dxfId="687" priority="98" stopIfTrue="1" operator="lessThanOrEqual">
      <formula>0</formula>
    </cfRule>
  </conditionalFormatting>
  <conditionalFormatting sqref="C66">
    <cfRule type="cellIs" dxfId="686" priority="173" stopIfTrue="1" operator="greaterThan">
      <formula>$F65</formula>
    </cfRule>
  </conditionalFormatting>
  <conditionalFormatting sqref="C67:C69">
    <cfRule type="cellIs" dxfId="685" priority="105" stopIfTrue="1" operator="greaterThan">
      <formula>$F67</formula>
    </cfRule>
  </conditionalFormatting>
  <conditionalFormatting sqref="C67:C70">
    <cfRule type="cellIs" dxfId="684" priority="116" stopIfTrue="1" operator="lessThanOrEqual">
      <formula>0</formula>
    </cfRule>
  </conditionalFormatting>
  <conditionalFormatting sqref="C70">
    <cfRule type="cellIs" dxfId="683" priority="115" stopIfTrue="1" operator="greaterThan">
      <formula>$J70</formula>
    </cfRule>
  </conditionalFormatting>
  <conditionalFormatting sqref="C74">
    <cfRule type="cellIs" dxfId="682" priority="83" stopIfTrue="1" operator="greaterThan">
      <formula>$J74</formula>
    </cfRule>
    <cfRule type="cellIs" dxfId="681" priority="84" stopIfTrue="1" operator="lessThanOrEqual">
      <formula>0</formula>
    </cfRule>
  </conditionalFormatting>
  <conditionalFormatting sqref="C77:C81">
    <cfRule type="cellIs" dxfId="680" priority="161" stopIfTrue="1" operator="lessThanOrEqual">
      <formula>0</formula>
    </cfRule>
  </conditionalFormatting>
  <conditionalFormatting sqref="C78:C81">
    <cfRule type="cellIs" dxfId="679" priority="160" stopIfTrue="1" operator="greaterThan">
      <formula>$F$77</formula>
    </cfRule>
  </conditionalFormatting>
  <conditionalFormatting sqref="C83">
    <cfRule type="cellIs" dxfId="678" priority="163" stopIfTrue="1" operator="lessThanOrEqual">
      <formula>0</formula>
    </cfRule>
    <cfRule type="cellIs" dxfId="677" priority="162" stopIfTrue="1" operator="greaterThan">
      <formula>$F$77</formula>
    </cfRule>
  </conditionalFormatting>
  <conditionalFormatting sqref="C77:D77 D79:D85">
    <cfRule type="cellIs" dxfId="676" priority="155" stopIfTrue="1" operator="greaterThan">
      <formula>4.5</formula>
    </cfRule>
  </conditionalFormatting>
  <conditionalFormatting sqref="D46:D47">
    <cfRule type="cellIs" dxfId="675" priority="139" operator="notBetween">
      <formula>#REF!</formula>
      <formula>#REF!</formula>
    </cfRule>
  </conditionalFormatting>
  <conditionalFormatting sqref="D65:D73">
    <cfRule type="cellIs" dxfId="674" priority="128" stopIfTrue="1" operator="lessThanOrEqual">
      <formula>0</formula>
    </cfRule>
  </conditionalFormatting>
  <conditionalFormatting sqref="D74">
    <cfRule type="cellIs" dxfId="673" priority="127" stopIfTrue="1" operator="lessThanOrEqual">
      <formula>0</formula>
    </cfRule>
  </conditionalFormatting>
  <conditionalFormatting sqref="D77 D79:D85">
    <cfRule type="cellIs" dxfId="672" priority="156" stopIfTrue="1" operator="lessThanOrEqual">
      <formula>0</formula>
    </cfRule>
  </conditionalFormatting>
  <conditionalFormatting sqref="D78">
    <cfRule type="cellIs" dxfId="671" priority="147" stopIfTrue="1" operator="greaterThan">
      <formula>$F$77</formula>
    </cfRule>
    <cfRule type="cellIs" dxfId="670" priority="148" stopIfTrue="1" operator="lessThanOrEqual">
      <formula>0</formula>
    </cfRule>
  </conditionalFormatting>
  <conditionalFormatting sqref="D65:E74">
    <cfRule type="cellIs" dxfId="669" priority="120" stopIfTrue="1" operator="greaterThan">
      <formula>$F65</formula>
    </cfRule>
  </conditionalFormatting>
  <conditionalFormatting sqref="E10:E21">
    <cfRule type="cellIs" dxfId="668" priority="51" operator="lessThan">
      <formula>48</formula>
    </cfRule>
  </conditionalFormatting>
  <conditionalFormatting sqref="E50">
    <cfRule type="cellIs" dxfId="667" priority="149" stopIfTrue="1" operator="lessThan">
      <formula>96.8</formula>
    </cfRule>
    <cfRule type="cellIs" dxfId="666" priority="150" stopIfTrue="1" operator="greaterThan">
      <formula>100</formula>
    </cfRule>
  </conditionalFormatting>
  <conditionalFormatting sqref="E65:E74">
    <cfRule type="cellIs" dxfId="665" priority="121" stopIfTrue="1" operator="lessThanOrEqual">
      <formula>0</formula>
    </cfRule>
  </conditionalFormatting>
  <conditionalFormatting sqref="E77:E85">
    <cfRule type="cellIs" dxfId="664" priority="141" stopIfTrue="1" operator="greaterThan">
      <formula>4.5</formula>
    </cfRule>
    <cfRule type="cellIs" dxfId="663" priority="142" stopIfTrue="1" operator="lessThanOrEqual">
      <formula>0</formula>
    </cfRule>
  </conditionalFormatting>
  <conditionalFormatting sqref="E49:F50">
    <cfRule type="cellIs" dxfId="662" priority="151" stopIfTrue="1" operator="lessThan">
      <formula>96.5</formula>
    </cfRule>
    <cfRule type="cellIs" dxfId="661" priority="152" stopIfTrue="1" operator="greaterThan">
      <formula>100</formula>
    </cfRule>
  </conditionalFormatting>
  <conditionalFormatting sqref="F10:F21">
    <cfRule type="cellIs" dxfId="660" priority="53" operator="greaterThan">
      <formula>60</formula>
    </cfRule>
  </conditionalFormatting>
  <conditionalFormatting sqref="F50">
    <cfRule type="cellIs" dxfId="659" priority="167" stopIfTrue="1" operator="lessThan">
      <formula>96.8</formula>
    </cfRule>
    <cfRule type="cellIs" dxfId="658" priority="168" stopIfTrue="1" operator="greaterThan">
      <formula>100</formula>
    </cfRule>
  </conditionalFormatting>
  <conditionalFormatting sqref="F74">
    <cfRule type="cellIs" dxfId="657" priority="123" stopIfTrue="1" operator="lessThanOrEqual">
      <formula>0</formula>
    </cfRule>
    <cfRule type="cellIs" dxfId="656" priority="122" stopIfTrue="1" operator="greaterThan">
      <formula>$F74</formula>
    </cfRule>
  </conditionalFormatting>
  <conditionalFormatting sqref="G65:G66 C71:C73">
    <cfRule type="cellIs" dxfId="655" priority="130" stopIfTrue="1" operator="lessThanOrEqual">
      <formula>0</formula>
    </cfRule>
    <cfRule type="cellIs" dxfId="654" priority="129" stopIfTrue="1" operator="greaterThan">
      <formula>$F65</formula>
    </cfRule>
  </conditionalFormatting>
  <conditionalFormatting sqref="G65:G66">
    <cfRule type="cellIs" dxfId="653" priority="100" stopIfTrue="1" operator="greaterThan">
      <formula>$F65</formula>
    </cfRule>
    <cfRule type="cellIs" dxfId="652" priority="101" stopIfTrue="1" operator="lessThanOrEqual">
      <formula>0</formula>
    </cfRule>
  </conditionalFormatting>
  <conditionalFormatting sqref="G67">
    <cfRule type="cellIs" dxfId="651" priority="171" stopIfTrue="1" operator="greaterThan">
      <formula>$F66</formula>
    </cfRule>
    <cfRule type="cellIs" dxfId="650" priority="172" stopIfTrue="1" operator="lessThanOrEqual">
      <formula>0</formula>
    </cfRule>
  </conditionalFormatting>
  <conditionalFormatting sqref="G68">
    <cfRule type="cellIs" dxfId="649" priority="125" stopIfTrue="1" operator="lessThanOrEqual">
      <formula>0</formula>
    </cfRule>
    <cfRule type="cellIs" dxfId="648" priority="124" stopIfTrue="1" operator="greaterThan">
      <formula>$F68</formula>
    </cfRule>
  </conditionalFormatting>
  <conditionalFormatting sqref="G69:G74">
    <cfRule type="cellIs" dxfId="647" priority="131" stopIfTrue="1" operator="greaterThan">
      <formula>$J69</formula>
    </cfRule>
    <cfRule type="cellIs" dxfId="646" priority="132" stopIfTrue="1" operator="lessThanOrEqual">
      <formula>0</formula>
    </cfRule>
  </conditionalFormatting>
  <conditionalFormatting sqref="G79:G84 C82 C84">
    <cfRule type="cellIs" dxfId="645" priority="164" stopIfTrue="1" operator="greaterThan">
      <formula>4.5</formula>
    </cfRule>
    <cfRule type="cellIs" dxfId="644" priority="165" stopIfTrue="1" operator="lessThanOrEqual">
      <formula>0</formula>
    </cfRule>
  </conditionalFormatting>
  <conditionalFormatting sqref="G10:H21">
    <cfRule type="expression" dxfId="643" priority="44">
      <formula>IF(+(IF(G10&lt;#REF!,0,IF(G10&gt;#REF!,0,1)))=0,1)</formula>
    </cfRule>
  </conditionalFormatting>
  <conditionalFormatting sqref="G78:H78">
    <cfRule type="cellIs" dxfId="642" priority="145" stopIfTrue="1" operator="greaterThan">
      <formula>$F$77</formula>
    </cfRule>
    <cfRule type="cellIs" dxfId="641" priority="146" stopIfTrue="1" operator="lessThanOrEqual">
      <formula>0</formula>
    </cfRule>
  </conditionalFormatting>
  <conditionalFormatting sqref="H25:H48 G36:G47">
    <cfRule type="cellIs" dxfId="640" priority="143" stopIfTrue="1" operator="greaterThan">
      <formula>0</formula>
    </cfRule>
  </conditionalFormatting>
  <conditionalFormatting sqref="H53">
    <cfRule type="cellIs" dxfId="639" priority="12" stopIfTrue="1" operator="lessThanOrEqual">
      <formula>0</formula>
    </cfRule>
    <cfRule type="cellIs" dxfId="638" priority="14" stopIfTrue="1" operator="lessThanOrEqual">
      <formula>0</formula>
    </cfRule>
    <cfRule type="cellIs" dxfId="637" priority="13" stopIfTrue="1" operator="greaterThan">
      <formula>$F$64</formula>
    </cfRule>
    <cfRule type="cellIs" dxfId="636" priority="11" stopIfTrue="1" operator="greaterThan">
      <formula>$F$66</formula>
    </cfRule>
    <cfRule type="cellIs" dxfId="635" priority="3" stopIfTrue="1" operator="greaterThan">
      <formula>$F$63</formula>
    </cfRule>
    <cfRule type="cellIs" dxfId="634" priority="2" stopIfTrue="1" operator="lessThanOrEqual">
      <formula>0</formula>
    </cfRule>
  </conditionalFormatting>
  <conditionalFormatting sqref="H54 H56 H58">
    <cfRule type="cellIs" dxfId="633" priority="57" stopIfTrue="1" operator="lessThanOrEqual">
      <formula>0</formula>
    </cfRule>
    <cfRule type="cellIs" dxfId="632" priority="66" stopIfTrue="1" operator="greaterThan">
      <formula>$F$67</formula>
    </cfRule>
    <cfRule type="cellIs" dxfId="631" priority="68" stopIfTrue="1" operator="greaterThan">
      <formula>$F$65</formula>
    </cfRule>
    <cfRule type="cellIs" dxfId="630" priority="69" stopIfTrue="1" operator="lessThanOrEqual">
      <formula>0</formula>
    </cfRule>
    <cfRule type="cellIs" dxfId="629" priority="58" stopIfTrue="1" operator="greaterThan">
      <formula>$F$64</formula>
    </cfRule>
    <cfRule type="cellIs" dxfId="628" priority="67" stopIfTrue="1" operator="lessThanOrEqual">
      <formula>0</formula>
    </cfRule>
  </conditionalFormatting>
  <conditionalFormatting sqref="H55">
    <cfRule type="cellIs" dxfId="627" priority="31" stopIfTrue="1" operator="greaterThan">
      <formula>$F$63</formula>
    </cfRule>
    <cfRule type="cellIs" dxfId="626" priority="30" stopIfTrue="1" operator="lessThanOrEqual">
      <formula>0</formula>
    </cfRule>
    <cfRule type="cellIs" dxfId="625" priority="39" stopIfTrue="1" operator="greaterThan">
      <formula>$F$66</formula>
    </cfRule>
    <cfRule type="cellIs" dxfId="624" priority="40" stopIfTrue="1" operator="lessThanOrEqual">
      <formula>0</formula>
    </cfRule>
    <cfRule type="cellIs" dxfId="623" priority="41" stopIfTrue="1" operator="greaterThan">
      <formula>$F$64</formula>
    </cfRule>
    <cfRule type="cellIs" dxfId="622" priority="42" stopIfTrue="1" operator="lessThanOrEqual">
      <formula>0</formula>
    </cfRule>
  </conditionalFormatting>
  <conditionalFormatting sqref="H57">
    <cfRule type="cellIs" dxfId="621" priority="28" stopIfTrue="1" operator="lessThanOrEqual">
      <formula>0</formula>
    </cfRule>
    <cfRule type="cellIs" dxfId="620" priority="27" stopIfTrue="1" operator="greaterThan">
      <formula>$F$64</formula>
    </cfRule>
    <cfRule type="cellIs" dxfId="619" priority="26" stopIfTrue="1" operator="lessThanOrEqual">
      <formula>0</formula>
    </cfRule>
    <cfRule type="cellIs" dxfId="618" priority="25" stopIfTrue="1" operator="greaterThan">
      <formula>$F$66</formula>
    </cfRule>
    <cfRule type="cellIs" dxfId="617" priority="17" stopIfTrue="1" operator="greaterThan">
      <formula>$F$63</formula>
    </cfRule>
    <cfRule type="cellIs" dxfId="616" priority="16" stopIfTrue="1" operator="lessThanOrEqual">
      <formula>0</formula>
    </cfRule>
  </conditionalFormatting>
  <conditionalFormatting sqref="H59">
    <cfRule type="cellIs" dxfId="615" priority="96" stopIfTrue="1" operator="lessThanOrEqual">
      <formula>0</formula>
    </cfRule>
    <cfRule type="cellIs" dxfId="614" priority="86" stopIfTrue="1" operator="lessThanOrEqual">
      <formula>0</formula>
    </cfRule>
    <cfRule type="cellIs" dxfId="613" priority="87" stopIfTrue="1" operator="greaterThan">
      <formula>#REF!</formula>
    </cfRule>
    <cfRule type="cellIs" dxfId="612" priority="95" stopIfTrue="1" operator="greaterThan">
      <formula>#REF!</formula>
    </cfRule>
  </conditionalFormatting>
  <conditionalFormatting sqref="H60">
    <cfRule type="cellIs" dxfId="611" priority="80" stopIfTrue="1" operator="greaterThan">
      <formula>$F$66</formula>
    </cfRule>
    <cfRule type="cellIs" dxfId="610" priority="79" stopIfTrue="1" operator="lessThanOrEqual">
      <formula>0</formula>
    </cfRule>
    <cfRule type="cellIs" dxfId="609" priority="71" stopIfTrue="1" operator="lessThanOrEqual">
      <formula>0</formula>
    </cfRule>
    <cfRule type="cellIs" dxfId="608" priority="81" stopIfTrue="1" operator="lessThanOrEqual">
      <formula>0</formula>
    </cfRule>
    <cfRule type="cellIs" dxfId="607" priority="78" stopIfTrue="1" operator="greaterThan">
      <formula>$F$68</formula>
    </cfRule>
  </conditionalFormatting>
  <conditionalFormatting sqref="H61">
    <cfRule type="cellIs" dxfId="606" priority="137" stopIfTrue="1" operator="lessThanOrEqual">
      <formula>0</formula>
    </cfRule>
    <cfRule type="cellIs" dxfId="605" priority="134" stopIfTrue="1" operator="greaterThan">
      <formula>$F$62</formula>
    </cfRule>
    <cfRule type="cellIs" dxfId="604" priority="135" stopIfTrue="1" operator="lessThanOrEqual">
      <formula>0</formula>
    </cfRule>
    <cfRule type="cellIs" dxfId="603" priority="136" stopIfTrue="1" operator="greaterThan">
      <formula>$F$59</formula>
    </cfRule>
  </conditionalFormatting>
  <conditionalFormatting sqref="H65:H73">
    <cfRule type="cellIs" dxfId="602" priority="114" stopIfTrue="1" operator="lessThanOrEqual">
      <formula>0</formula>
    </cfRule>
    <cfRule type="cellIs" dxfId="601" priority="113" stopIfTrue="1" operator="greaterThan">
      <formula>$J65</formula>
    </cfRule>
  </conditionalFormatting>
  <conditionalFormatting sqref="H74">
    <cfRule type="cellIs" dxfId="600" priority="117" operator="greaterThan">
      <formula>5.3</formula>
    </cfRule>
  </conditionalFormatting>
  <conditionalFormatting sqref="H77 H79:H85">
    <cfRule type="cellIs" dxfId="599" priority="157" stopIfTrue="1" operator="greaterThan">
      <formula>4.5</formula>
    </cfRule>
    <cfRule type="cellIs" dxfId="598" priority="158" stopIfTrue="1" operator="lessThanOrEqual">
      <formula>0</formula>
    </cfRule>
  </conditionalFormatting>
  <conditionalFormatting sqref="H53:I53">
    <cfRule type="cellIs" dxfId="597" priority="4" stopIfTrue="1" operator="lessThanOrEqual">
      <formula>0</formula>
    </cfRule>
    <cfRule type="cellIs" dxfId="596" priority="1" stopIfTrue="1" operator="greaterThan">
      <formula>$F$65</formula>
    </cfRule>
  </conditionalFormatting>
  <conditionalFormatting sqref="H54:I54 H56:I56 H58:I58">
    <cfRule type="cellIs" dxfId="595" priority="56" stopIfTrue="1" operator="greaterThan">
      <formula>$F$66</formula>
    </cfRule>
    <cfRule type="cellIs" dxfId="594" priority="59" stopIfTrue="1" operator="lessThanOrEqual">
      <formula>0</formula>
    </cfRule>
  </conditionalFormatting>
  <conditionalFormatting sqref="H55:I55">
    <cfRule type="cellIs" dxfId="593" priority="29" stopIfTrue="1" operator="greaterThan">
      <formula>$F$65</formula>
    </cfRule>
    <cfRule type="cellIs" dxfId="592" priority="32" stopIfTrue="1" operator="lessThanOrEqual">
      <formula>0</formula>
    </cfRule>
  </conditionalFormatting>
  <conditionalFormatting sqref="H57:I57">
    <cfRule type="cellIs" dxfId="591" priority="18" stopIfTrue="1" operator="lessThanOrEqual">
      <formula>0</formula>
    </cfRule>
    <cfRule type="cellIs" dxfId="590" priority="15" stopIfTrue="1" operator="greaterThan">
      <formula>$F$65</formula>
    </cfRule>
  </conditionalFormatting>
  <conditionalFormatting sqref="H59:I59">
    <cfRule type="cellIs" dxfId="589" priority="85" stopIfTrue="1" operator="greaterThan">
      <formula>#REF!</formula>
    </cfRule>
    <cfRule type="cellIs" dxfId="588" priority="88" stopIfTrue="1" operator="lessThanOrEqual">
      <formula>0</formula>
    </cfRule>
    <cfRule type="cellIs" dxfId="587" priority="91" stopIfTrue="1" operator="greaterThan">
      <formula>#REF!</formula>
    </cfRule>
  </conditionalFormatting>
  <conditionalFormatting sqref="H59:I60">
    <cfRule type="cellIs" dxfId="586" priority="94" stopIfTrue="1" operator="lessThanOrEqual">
      <formula>0</formula>
    </cfRule>
  </conditionalFormatting>
  <conditionalFormatting sqref="H60:I60">
    <cfRule type="cellIs" dxfId="585" priority="72" stopIfTrue="1" operator="greaterThan">
      <formula>$F$65</formula>
    </cfRule>
    <cfRule type="cellIs" dxfId="584" priority="70" stopIfTrue="1" operator="greaterThan">
      <formula>$F$67</formula>
    </cfRule>
  </conditionalFormatting>
  <conditionalFormatting sqref="I53">
    <cfRule type="cellIs" dxfId="583" priority="5" stopIfTrue="1" operator="greaterThan">
      <formula>$F$63</formula>
    </cfRule>
    <cfRule type="cellIs" dxfId="582" priority="6" stopIfTrue="1" operator="lessThanOrEqual">
      <formula>0</formula>
    </cfRule>
    <cfRule type="cellIs" dxfId="581" priority="7" stopIfTrue="1" operator="greaterThan">
      <formula>$F$65</formula>
    </cfRule>
    <cfRule type="cellIs" dxfId="580" priority="8" stopIfTrue="1" operator="lessThanOrEqual">
      <formula>0</formula>
    </cfRule>
    <cfRule type="cellIs" dxfId="579" priority="9" stopIfTrue="1" operator="greaterThan">
      <formula>$F$63</formula>
    </cfRule>
    <cfRule type="cellIs" dxfId="578" priority="10" stopIfTrue="1" operator="lessThanOrEqual">
      <formula>0</formula>
    </cfRule>
  </conditionalFormatting>
  <conditionalFormatting sqref="I54 I56 I58">
    <cfRule type="cellIs" dxfId="577" priority="65" stopIfTrue="1" operator="lessThanOrEqual">
      <formula>0</formula>
    </cfRule>
    <cfRule type="cellIs" dxfId="576" priority="64" stopIfTrue="1" operator="greaterThan">
      <formula>$F$64</formula>
    </cfRule>
    <cfRule type="cellIs" dxfId="575" priority="63" stopIfTrue="1" operator="lessThanOrEqual">
      <formula>0</formula>
    </cfRule>
    <cfRule type="cellIs" dxfId="574" priority="60" stopIfTrue="1" operator="greaterThan">
      <formula>$F$64</formula>
    </cfRule>
    <cfRule type="cellIs" dxfId="573" priority="62" stopIfTrue="1" operator="greaterThan">
      <formula>$F$66</formula>
    </cfRule>
    <cfRule type="cellIs" dxfId="572" priority="61" stopIfTrue="1" operator="lessThanOrEqual">
      <formula>0</formula>
    </cfRule>
  </conditionalFormatting>
  <conditionalFormatting sqref="I55">
    <cfRule type="cellIs" dxfId="571" priority="35" stopIfTrue="1" operator="greaterThan">
      <formula>$F$65</formula>
    </cfRule>
    <cfRule type="cellIs" dxfId="570" priority="38" stopIfTrue="1" operator="lessThanOrEqual">
      <formula>0</formula>
    </cfRule>
    <cfRule type="cellIs" dxfId="569" priority="37" stopIfTrue="1" operator="greaterThan">
      <formula>$F$63</formula>
    </cfRule>
    <cfRule type="cellIs" dxfId="568" priority="36" stopIfTrue="1" operator="lessThanOrEqual">
      <formula>0</formula>
    </cfRule>
    <cfRule type="cellIs" dxfId="567" priority="34" stopIfTrue="1" operator="lessThanOrEqual">
      <formula>0</formula>
    </cfRule>
    <cfRule type="cellIs" dxfId="566" priority="33" stopIfTrue="1" operator="greaterThan">
      <formula>$F$63</formula>
    </cfRule>
  </conditionalFormatting>
  <conditionalFormatting sqref="I57">
    <cfRule type="cellIs" dxfId="565" priority="24" stopIfTrue="1" operator="lessThanOrEqual">
      <formula>0</formula>
    </cfRule>
    <cfRule type="cellIs" dxfId="564" priority="22" stopIfTrue="1" operator="lessThanOrEqual">
      <formula>0</formula>
    </cfRule>
    <cfRule type="cellIs" dxfId="563" priority="23" stopIfTrue="1" operator="greaterThan">
      <formula>$F$63</formula>
    </cfRule>
    <cfRule type="cellIs" dxfId="562" priority="21" stopIfTrue="1" operator="greaterThan">
      <formula>$F$65</formula>
    </cfRule>
    <cfRule type="cellIs" dxfId="561" priority="20" stopIfTrue="1" operator="lessThanOrEqual">
      <formula>0</formula>
    </cfRule>
    <cfRule type="cellIs" dxfId="560" priority="19" stopIfTrue="1" operator="greaterThan">
      <formula>$F$63</formula>
    </cfRule>
  </conditionalFormatting>
  <conditionalFormatting sqref="I59">
    <cfRule type="cellIs" dxfId="559" priority="90" stopIfTrue="1" operator="lessThanOrEqual">
      <formula>0</formula>
    </cfRule>
    <cfRule type="cellIs" dxfId="558" priority="93" stopIfTrue="1" operator="greaterThan">
      <formula>#REF!</formula>
    </cfRule>
    <cfRule type="cellIs" dxfId="557" priority="89" stopIfTrue="1" operator="greaterThan">
      <formula>#REF!</formula>
    </cfRule>
    <cfRule type="cellIs" dxfId="556" priority="92" stopIfTrue="1" operator="lessThanOrEqual">
      <formula>0</formula>
    </cfRule>
  </conditionalFormatting>
  <conditionalFormatting sqref="I60">
    <cfRule type="cellIs" dxfId="555" priority="76" stopIfTrue="1" operator="greaterThan">
      <formula>$F$65</formula>
    </cfRule>
    <cfRule type="cellIs" dxfId="554" priority="75" stopIfTrue="1" operator="lessThanOrEqual">
      <formula>0</formula>
    </cfRule>
    <cfRule type="cellIs" dxfId="553" priority="74" stopIfTrue="1" operator="greaterThan">
      <formula>$F$67</formula>
    </cfRule>
    <cfRule type="cellIs" dxfId="552" priority="77" stopIfTrue="1" operator="lessThanOrEqual">
      <formula>0</formula>
    </cfRule>
    <cfRule type="cellIs" dxfId="551" priority="73" stopIfTrue="1" operator="lessThanOrEqual">
      <formula>0</formula>
    </cfRule>
  </conditionalFormatting>
  <conditionalFormatting sqref="I65:I74">
    <cfRule type="cellIs" dxfId="550" priority="119" stopIfTrue="1" operator="lessThanOrEqual">
      <formula>0</formula>
    </cfRule>
    <cfRule type="cellIs" dxfId="549" priority="118" stopIfTrue="1" operator="greaterThan">
      <formula>$J65</formula>
    </cfRule>
  </conditionalFormatting>
  <conditionalFormatting sqref="I77:I85">
    <cfRule type="cellIs" dxfId="548" priority="154" stopIfTrue="1" operator="lessThanOrEqual">
      <formula>0</formula>
    </cfRule>
    <cfRule type="cellIs" dxfId="547" priority="153" stopIfTrue="1" operator="greaterThan">
      <formula>4.5</formula>
    </cfRule>
  </conditionalFormatting>
  <conditionalFormatting sqref="I10:J21">
    <cfRule type="cellIs" dxfId="546" priority="54" operator="lessThan">
      <formula>97.9</formula>
    </cfRule>
  </conditionalFormatting>
  <conditionalFormatting sqref="J24">
    <cfRule type="cellIs" dxfId="545" priority="55" operator="lessThan">
      <formula>97.9</formula>
    </cfRule>
  </conditionalFormatting>
  <conditionalFormatting sqref="J25:J26">
    <cfRule type="cellIs" dxfId="544" priority="108" operator="lessThan">
      <formula>98</formula>
    </cfRule>
    <cfRule type="cellIs" dxfId="543" priority="106" stopIfTrue="1" operator="lessThan">
      <formula>96.8</formula>
    </cfRule>
    <cfRule type="cellIs" dxfId="542" priority="107" stopIfTrue="1" operator="greaterThan">
      <formula>100</formula>
    </cfRule>
  </conditionalFormatting>
  <conditionalFormatting sqref="J25:J28">
    <cfRule type="cellIs" dxfId="541" priority="99" operator="lessThan">
      <formula>97.4</formula>
    </cfRule>
  </conditionalFormatting>
  <conditionalFormatting sqref="J29">
    <cfRule type="cellIs" dxfId="540" priority="109" operator="lessThan">
      <formula>98</formula>
    </cfRule>
  </conditionalFormatting>
  <conditionalFormatting sqref="J30:J32">
    <cfRule type="cellIs" dxfId="539" priority="110" stopIfTrue="1" operator="lessThan">
      <formula>96.8</formula>
    </cfRule>
    <cfRule type="cellIs" dxfId="538" priority="111" stopIfTrue="1" operator="greaterThan">
      <formula>100</formula>
    </cfRule>
  </conditionalFormatting>
  <conditionalFormatting sqref="J30:J33">
    <cfRule type="cellIs" dxfId="537" priority="112" operator="lessThan">
      <formula>98</formula>
    </cfRule>
  </conditionalFormatting>
  <conditionalFormatting sqref="K10:K21">
    <cfRule type="cellIs" dxfId="536" priority="52" operator="greaterThan">
      <formula>6.4</formula>
    </cfRule>
    <cfRule type="cellIs" dxfId="535" priority="47" operator="greaterThan">
      <formula>6</formula>
    </cfRule>
    <cfRule type="cellIs" dxfId="534" priority="48" operator="lessThan">
      <formula>4</formula>
    </cfRule>
  </conditionalFormatting>
  <conditionalFormatting sqref="K38:K47">
    <cfRule type="cellIs" dxfId="533" priority="126" operator="notEqual">
      <formula>#REF!</formula>
    </cfRule>
  </conditionalFormatting>
  <conditionalFormatting sqref="K53:K61">
    <cfRule type="cellIs" dxfId="532" priority="43" stopIfTrue="1" operator="lessThan">
      <formula>100%</formula>
    </cfRule>
  </conditionalFormatting>
  <conditionalFormatting sqref="K77:K82">
    <cfRule type="cellIs" dxfId="531" priority="159" stopIfTrue="1" operator="lessThan">
      <formula>100%</formula>
    </cfRule>
  </conditionalFormatting>
  <conditionalFormatting sqref="K84:K85">
    <cfRule type="cellIs" dxfId="530" priority="166" stopIfTrue="1" operator="lessThan">
      <formula>100%</formula>
    </cfRule>
  </conditionalFormatting>
  <conditionalFormatting sqref="K65:N74">
    <cfRule type="cellIs" dxfId="529" priority="133" stopIfTrue="1" operator="lessThan">
      <formula>100%</formula>
    </cfRule>
  </conditionalFormatting>
  <conditionalFormatting sqref="L10:L21">
    <cfRule type="cellIs" dxfId="528" priority="49" operator="between">
      <formula>61</formula>
      <formula>65</formula>
    </cfRule>
    <cfRule type="cellIs" dxfId="527" priority="50" operator="greaterThan">
      <formula>65</formula>
    </cfRule>
  </conditionalFormatting>
  <conditionalFormatting sqref="L24:M35">
    <cfRule type="cellIs" dxfId="526" priority="82" operator="lessThan">
      <formula>98</formula>
    </cfRule>
  </conditionalFormatting>
  <conditionalFormatting sqref="L39:N39">
    <cfRule type="cellIs" dxfId="525" priority="102" operator="notEqual">
      <formula>#REF!</formula>
    </cfRule>
  </conditionalFormatting>
  <conditionalFormatting sqref="L77:N85">
    <cfRule type="cellIs" dxfId="524" priority="144" stopIfTrue="1" operator="lessThan">
      <formula>100%</formula>
    </cfRule>
  </conditionalFormatting>
  <conditionalFormatting sqref="M10:M21">
    <cfRule type="expression" dxfId="523" priority="45">
      <formula>IF(+(IF(M10&lt;V10,0,IF(M10&gt;W10,0,1)))=0,1)</formula>
    </cfRule>
  </conditionalFormatting>
  <conditionalFormatting sqref="M6:N6">
    <cfRule type="cellIs" dxfId="522" priority="104" operator="greaterThanOrEqual">
      <formula>19</formula>
    </cfRule>
    <cfRule type="cellIs" dxfId="521" priority="103" operator="greaterThanOrEqual">
      <formula>15</formula>
    </cfRule>
  </conditionalFormatting>
  <conditionalFormatting sqref="N10:N21">
    <cfRule type="expression" dxfId="520" priority="46">
      <formula>IF(+(IF(N10&lt;X10,0,IF(N10&gt;Y10,0,1)))=0,1)</formula>
    </cfRule>
  </conditionalFormatting>
  <conditionalFormatting sqref="P6">
    <cfRule type="cellIs" dxfId="519" priority="140" operator="greaterThanOrEqual">
      <formula>19</formula>
    </cfRule>
  </conditionalFormatting>
  <dataValidations count="1">
    <dataValidation type="list" allowBlank="1" showInputMessage="1" showErrorMessage="1" sqref="S8" xr:uid="{5F80DEEC-07D0-49F2-8EA5-3D0311AD265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8842-B9CD-4141-88D3-ECEDC6A19F72}">
  <sheetPr>
    <pageSetUpPr fitToPage="1"/>
  </sheetPr>
  <dimension ref="A1:BF88"/>
  <sheetViews>
    <sheetView topLeftCell="A8" zoomScale="83" zoomScaleNormal="70" workbookViewId="0">
      <selection activeCell="H11" sqref="H11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58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45715</v>
      </c>
      <c r="D4" s="471"/>
      <c r="J4" s="402" t="s">
        <v>190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191</v>
      </c>
      <c r="K6" s="405"/>
      <c r="L6" s="311" t="s">
        <v>14</v>
      </c>
      <c r="M6" s="340">
        <v>22</v>
      </c>
      <c r="N6" s="340">
        <v>22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6" customHeight="1">
      <c r="B10" s="29" t="s">
        <v>6</v>
      </c>
      <c r="C10" s="366" t="str">
        <f>[22]Brewhouse!$A244</f>
        <v>CA142</v>
      </c>
      <c r="D10" s="279">
        <f>[22]Brewhouse!$AF244</f>
        <v>55.2</v>
      </c>
      <c r="E10" s="279">
        <f>[22]Brewhouse!$AI244</f>
        <v>51.5</v>
      </c>
      <c r="F10" s="278">
        <f>[22]Brewhouse!$V244</f>
        <v>58</v>
      </c>
      <c r="G10" s="279">
        <f>[22]Brewhouse!$AG244</f>
        <v>11.8</v>
      </c>
      <c r="H10" s="396">
        <v>11.8</v>
      </c>
      <c r="I10" s="368">
        <f>[22]Brewhouse!$AU244</f>
        <v>102.78475439772893</v>
      </c>
      <c r="J10" s="368">
        <f>[22]Brewhouse!$AV244</f>
        <v>101.96570353213137</v>
      </c>
      <c r="K10" s="281">
        <f>[22]Brewhouse!$Q244</f>
        <v>5.7092198581560263</v>
      </c>
      <c r="L10" s="276">
        <f>[22]Brewhouse!$P244</f>
        <v>60</v>
      </c>
      <c r="M10" s="397">
        <f>[22]Brewhouse!$U244-[22]Brewhouse!$T244</f>
        <v>0.125</v>
      </c>
      <c r="N10" s="370">
        <f>[22]Brewhouse!$Z244</f>
        <v>0.28194444444444455</v>
      </c>
      <c r="O10" s="371" t="str">
        <f>[22]Brewhouse!$AX244</f>
        <v>K.Benjamin</v>
      </c>
      <c r="P10" s="369"/>
      <c r="Q10" s="347"/>
      <c r="S10" s="277" t="str">
        <f t="shared" ref="S10:S16" si="0">B10</f>
        <v>CARIB</v>
      </c>
      <c r="T10" s="296">
        <f t="shared" ref="T10:T16" si="1">VLOOKUP($B10,$S$3:$Y$9,2,FALSE)</f>
        <v>11.6</v>
      </c>
      <c r="U10" s="296">
        <f t="shared" ref="U10:U16" si="2">VLOOKUP($B10,$S$3:$Y$9,3,FALSE)</f>
        <v>12</v>
      </c>
      <c r="V10" s="297">
        <f t="shared" ref="V10:V16" si="3">VLOOKUP($B10,$S$3:$Y$9,4,FALSE)</f>
        <v>0</v>
      </c>
      <c r="W10" s="297">
        <f t="shared" ref="W10:W16" si="4">VLOOKUP($B10,$S$3:$Y$9,5,FALSE)</f>
        <v>0.118055555555556</v>
      </c>
      <c r="X10" s="297">
        <f t="shared" ref="X10:X16" si="5">VLOOKUP($B10,$S$3:$Y$9,6,FALSE)</f>
        <v>0.22569444444444445</v>
      </c>
      <c r="Y10" s="297">
        <f t="shared" ref="Y10:Y16" si="6">VLOOKUP($B10,$S$3:$Y$9,7,FALSE)</f>
        <v>0.2638888888888889</v>
      </c>
      <c r="Z10" s="297">
        <f t="shared" ref="Z10:Z16" si="7">VLOOKUP($B10,$S$3:$AA$9,8,FALSE)</f>
        <v>0</v>
      </c>
      <c r="AA10" s="296">
        <f t="shared" ref="AA10:AA16" si="8">VLOOKUP($B10,$S$3:$AA$9,9,FALSE)</f>
        <v>60</v>
      </c>
    </row>
    <row r="11" spans="2:30" ht="15.6" customHeight="1">
      <c r="B11" s="29" t="s">
        <v>6</v>
      </c>
      <c r="C11" s="366" t="str">
        <f>[22]Brewhouse!$A245</f>
        <v>CA143</v>
      </c>
      <c r="D11" s="279">
        <f>[22]Brewhouse!$AF245</f>
        <v>53.9</v>
      </c>
      <c r="E11" s="279">
        <f>[22]Brewhouse!$AI245</f>
        <v>50.1</v>
      </c>
      <c r="F11" s="278">
        <f>[22]Brewhouse!$V245</f>
        <v>59</v>
      </c>
      <c r="G11" s="279">
        <f>[22]Brewhouse!$AG245</f>
        <v>11.7</v>
      </c>
      <c r="H11" s="396">
        <v>11.7</v>
      </c>
      <c r="I11" s="368">
        <f>[22]Brewhouse!$AU245</f>
        <v>98.608987287762162</v>
      </c>
      <c r="J11" s="368">
        <f>[22]Brewhouse!$AV245</f>
        <v>97.823038695674683</v>
      </c>
      <c r="K11" s="281">
        <f>[22]Brewhouse!$Q245</f>
        <v>5.3676470588235192</v>
      </c>
      <c r="L11" s="276">
        <f>[22]Brewhouse!$P245</f>
        <v>60</v>
      </c>
      <c r="M11" s="397">
        <f>[22]Brewhouse!$U245-[22]Brewhouse!$T245</f>
        <v>0.11041666666666672</v>
      </c>
      <c r="N11" s="370">
        <f>[22]Brewhouse!$Z245</f>
        <v>0.25347222222222221</v>
      </c>
      <c r="O11" s="371" t="str">
        <f>[22]Brewhouse!$AX245</f>
        <v>K.Benjamin</v>
      </c>
      <c r="P11" s="36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6" customHeight="1">
      <c r="B12" s="29" t="s">
        <v>6</v>
      </c>
      <c r="C12" s="366" t="str">
        <f>[22]Brewhouse!$A246</f>
        <v>CA144</v>
      </c>
      <c r="D12" s="279">
        <f>[22]Brewhouse!$AF246</f>
        <v>53.6</v>
      </c>
      <c r="E12" s="279">
        <f>[22]Brewhouse!$AI246</f>
        <v>50.4</v>
      </c>
      <c r="F12" s="278">
        <f>[22]Brewhouse!$V246</f>
        <v>64</v>
      </c>
      <c r="G12" s="279">
        <f>[22]Brewhouse!$AG246</f>
        <v>11.8</v>
      </c>
      <c r="H12" s="396">
        <v>11.6</v>
      </c>
      <c r="I12" s="368">
        <f>[22]Brewhouse!$AU246</f>
        <v>99.968040047087285</v>
      </c>
      <c r="J12" s="368">
        <f>[22]Brewhouse!$AV246</f>
        <v>99.17121580910262</v>
      </c>
      <c r="K12" s="281">
        <f>[22]Brewhouse!$Q246</f>
        <v>4.720720720720716</v>
      </c>
      <c r="L12" s="276">
        <f>[22]Brewhouse!$P246</f>
        <v>61</v>
      </c>
      <c r="M12" s="397">
        <f>[22]Brewhouse!$U246-[22]Brewhouse!$T246</f>
        <v>0.11249999999999999</v>
      </c>
      <c r="N12" s="370">
        <f>[22]Brewhouse!$Z246</f>
        <v>0.26041666666666663</v>
      </c>
      <c r="O12" s="371" t="str">
        <f>[22]Brewhouse!$AX246</f>
        <v>R.Regis</v>
      </c>
      <c r="P12" s="369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6" customHeight="1">
      <c r="B13" s="29" t="s">
        <v>6</v>
      </c>
      <c r="C13" s="366" t="str">
        <f>[22]Brewhouse!$A247</f>
        <v>CA145</v>
      </c>
      <c r="D13" s="279">
        <f>[22]Brewhouse!$AF247</f>
        <v>54.6</v>
      </c>
      <c r="E13" s="279">
        <f>[22]Brewhouse!$AI247</f>
        <v>51.4</v>
      </c>
      <c r="F13" s="278">
        <f>[22]Brewhouse!$V247</f>
        <v>60</v>
      </c>
      <c r="G13" s="279">
        <f>[22]Brewhouse!$AG247</f>
        <v>11.64</v>
      </c>
      <c r="H13" s="396">
        <v>11.6</v>
      </c>
      <c r="I13" s="368">
        <f>[22]Brewhouse!$AU247</f>
        <v>100.63117662235325</v>
      </c>
      <c r="J13" s="368">
        <f>[22]Brewhouse!$AV247</f>
        <v>99.829242523588263</v>
      </c>
      <c r="K13" s="281">
        <f>[22]Brewhouse!$Q247</f>
        <v>5.2612612612612644</v>
      </c>
      <c r="L13" s="276">
        <f>[22]Brewhouse!$P247</f>
        <v>60</v>
      </c>
      <c r="M13" s="397">
        <f>[22]Brewhouse!$U247-[22]Brewhouse!$T247</f>
        <v>0.11805555555555558</v>
      </c>
      <c r="N13" s="370">
        <f>[22]Brewhouse!$Z247</f>
        <v>0.26041666666666669</v>
      </c>
      <c r="O13" s="371" t="str">
        <f>[22]Brewhouse!$AX247</f>
        <v>R.Regis</v>
      </c>
      <c r="P13" s="369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6" customHeight="1">
      <c r="B14" s="29" t="s">
        <v>6</v>
      </c>
      <c r="C14" s="366" t="str">
        <f>[22]Brewhouse!$A248</f>
        <v>CA146</v>
      </c>
      <c r="D14" s="279">
        <f>[22]Brewhouse!$AF248</f>
        <v>54.3</v>
      </c>
      <c r="E14" s="279">
        <f>[22]Brewhouse!$AI248</f>
        <v>51.5</v>
      </c>
      <c r="F14" s="278">
        <f>[22]Brewhouse!$V248</f>
        <v>75</v>
      </c>
      <c r="G14" s="279">
        <f>[22]Brewhouse!$AG248</f>
        <v>11.75</v>
      </c>
      <c r="H14" s="396">
        <v>11.6</v>
      </c>
      <c r="I14" s="368">
        <f>[22]Brewhouse!$AU248</f>
        <v>102.40288760061762</v>
      </c>
      <c r="J14" s="368">
        <f>[22]Brewhouse!$AV248</f>
        <v>101.58674496164525</v>
      </c>
      <c r="K14" s="281">
        <f>[22]Brewhouse!$Q248</f>
        <v>5.1681415929203567</v>
      </c>
      <c r="L14" s="276">
        <f>[22]Brewhouse!$P248</f>
        <v>60</v>
      </c>
      <c r="M14" s="397">
        <f>[22]Brewhouse!$U248-[22]Brewhouse!$T248</f>
        <v>0.11527777777777781</v>
      </c>
      <c r="N14" s="370">
        <f>[22]Brewhouse!$Z248</f>
        <v>0.26041666666666669</v>
      </c>
      <c r="O14" s="371" t="str">
        <f>[22]Brewhouse!$AX248</f>
        <v>R.Regis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6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369"/>
      <c r="Q15" s="347"/>
      <c r="S15" s="277">
        <f>B15</f>
        <v>0</v>
      </c>
      <c r="T15" s="296" t="e">
        <f>VLOOKUP($B15,$S$3:$Y$9,2,FALSE)</f>
        <v>#N/A</v>
      </c>
      <c r="U15" s="296" t="e">
        <f>VLOOKUP($B15,$S$3:$Y$9,3,FALSE)</f>
        <v>#N/A</v>
      </c>
      <c r="V15" s="297" t="e">
        <f>VLOOKUP($B15,$S$3:$Y$9,4,FALSE)</f>
        <v>#N/A</v>
      </c>
      <c r="W15" s="297" t="e">
        <f>VLOOKUP($B15,$S$3:$Y$9,5,FALSE)</f>
        <v>#N/A</v>
      </c>
      <c r="X15" s="297" t="e">
        <f>VLOOKUP($B15,$S$3:$Y$9,6,FALSE)</f>
        <v>#N/A</v>
      </c>
      <c r="Y15" s="297" t="e">
        <f>VLOOKUP($B15,$S$3:$Y$9,7,FALSE)</f>
        <v>#N/A</v>
      </c>
      <c r="Z15" s="297" t="e">
        <f>VLOOKUP($B15,$S$3:$AA$9,8,FALSE)</f>
        <v>#N/A</v>
      </c>
      <c r="AA15" s="296" t="e">
        <f>VLOOKUP($B15,$S$3:$AA$9,9,FALSE)</f>
        <v>#N/A</v>
      </c>
    </row>
    <row r="16" spans="2:30" ht="15.6" customHeight="1">
      <c r="B16" s="33" t="s">
        <v>9</v>
      </c>
      <c r="C16" s="366" t="str">
        <f>[24]Brewhouse!$A92</f>
        <v>ST077</v>
      </c>
      <c r="D16" s="279">
        <f>[24]Brewhouse!$AD92</f>
        <v>52.1</v>
      </c>
      <c r="E16" s="279">
        <f>[24]Brewhouse!$AG92</f>
        <v>48</v>
      </c>
      <c r="F16" s="278">
        <f>[24]Brewhouse!$V92</f>
        <v>58</v>
      </c>
      <c r="G16" s="279">
        <f>[24]Brewhouse!$AE92</f>
        <v>11.8</v>
      </c>
      <c r="H16" s="396">
        <v>11.8</v>
      </c>
      <c r="I16" s="417">
        <f>[24]Brewhouse!$AS92</f>
        <v>92.550439614588157</v>
      </c>
      <c r="J16" s="417">
        <f>[24]Brewhouse!$AT92</f>
        <v>95.765791331462665</v>
      </c>
      <c r="K16" s="398">
        <f>[24]Brewhouse!$Q92</f>
        <v>6.2271062271062245</v>
      </c>
      <c r="L16" s="276">
        <f>[24]Brewhouse!$P92</f>
        <v>59</v>
      </c>
      <c r="M16" s="374">
        <f>[24]Brewhouse!$U92-[24]Brewhouse!$T92</f>
        <v>6.8749999999999978E-2</v>
      </c>
      <c r="N16" s="370">
        <f>[24]Brewhouse!$AW92</f>
        <v>0.20694444444444449</v>
      </c>
      <c r="O16" s="418" t="str">
        <f>[24]Brewhouse!$AV92</f>
        <v>R.Sookram</v>
      </c>
      <c r="P16" s="369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6" customHeight="1">
      <c r="B17" s="33" t="s">
        <v>9</v>
      </c>
      <c r="C17" s="366" t="str">
        <f>[24]Brewhouse!$A93</f>
        <v>ST078</v>
      </c>
      <c r="D17" s="279">
        <f>[24]Brewhouse!$AD93</f>
        <v>53.1</v>
      </c>
      <c r="E17" s="279">
        <f>[24]Brewhouse!$AG93</f>
        <v>49.8</v>
      </c>
      <c r="F17" s="278">
        <f>[24]Brewhouse!$V93</f>
        <v>58</v>
      </c>
      <c r="G17" s="279">
        <f>[24]Brewhouse!$AE93</f>
        <v>11.9</v>
      </c>
      <c r="H17" s="396">
        <v>11.8</v>
      </c>
      <c r="I17" s="417">
        <f>[24]Brewhouse!$AS93</f>
        <v>96.999636851732902</v>
      </c>
      <c r="J17" s="417">
        <f>[24]Brewhouse!$AT93</f>
        <v>100.36844987444104</v>
      </c>
      <c r="K17" s="398">
        <f>[24]Brewhouse!$Q93</f>
        <v>4.1431261770244872</v>
      </c>
      <c r="L17" s="276">
        <f>[24]Brewhouse!$P93</f>
        <v>57</v>
      </c>
      <c r="M17" s="374">
        <f>[24]Brewhouse!$U93-[24]Brewhouse!$T93</f>
        <v>0.10555555555555551</v>
      </c>
      <c r="N17" s="370">
        <f>[24]Brewhouse!$AW93</f>
        <v>0.26944444444444438</v>
      </c>
      <c r="O17" s="418" t="str">
        <f>[24]Brewhouse!$AV93</f>
        <v>R.Sookram</v>
      </c>
      <c r="P17" s="369"/>
      <c r="Q17" s="347"/>
      <c r="S17" s="277" t="str">
        <f t="shared" ref="S17:S23" si="9">B17</f>
        <v>STAG</v>
      </c>
      <c r="T17" s="296">
        <f t="shared" ref="T17:T23" si="10">VLOOKUP($B17,$S$3:$Y$9,2,FALSE)</f>
        <v>11.6</v>
      </c>
      <c r="U17" s="296">
        <f t="shared" ref="U17:U23" si="11">VLOOKUP($B17,$S$3:$Y$9,3,FALSE)</f>
        <v>12</v>
      </c>
      <c r="V17" s="297">
        <f t="shared" ref="V17:V23" si="12">VLOOKUP($B17,$S$3:$Y$9,4,FALSE)</f>
        <v>0</v>
      </c>
      <c r="W17" s="297">
        <f t="shared" ref="W17:W23" si="13">VLOOKUP($B17,$S$3:$Y$9,5,FALSE)</f>
        <v>0.118055555555556</v>
      </c>
      <c r="X17" s="297">
        <f t="shared" ref="X17:X23" si="14">VLOOKUP($B17,$S$3:$Y$9,6,FALSE)</f>
        <v>0.22569444444444445</v>
      </c>
      <c r="Y17" s="297">
        <f t="shared" ref="Y17:Y23" si="15">VLOOKUP($B17,$S$3:$Y$9,7,FALSE)</f>
        <v>0.2638888888888889</v>
      </c>
      <c r="Z17" s="297">
        <f t="shared" ref="Z17:Z23" si="16">VLOOKUP($B17,$S$3:$AA$9,8,FALSE)</f>
        <v>0</v>
      </c>
      <c r="AA17" s="296">
        <f t="shared" ref="AA17:AA23" si="17">VLOOKUP($B17,$S$3:$AA$9,9,FALSE)</f>
        <v>60</v>
      </c>
    </row>
    <row r="18" spans="1:27" ht="15.6" customHeight="1">
      <c r="B18" s="33" t="s">
        <v>9</v>
      </c>
      <c r="C18" s="366" t="str">
        <f>[24]Brewhouse!$A94</f>
        <v>ST079</v>
      </c>
      <c r="D18" s="279">
        <f>[24]Brewhouse!$AD94</f>
        <v>52.2</v>
      </c>
      <c r="E18" s="279">
        <f>[24]Brewhouse!$AG94</f>
        <v>48.8</v>
      </c>
      <c r="F18" s="278">
        <f>[24]Brewhouse!$V94</f>
        <v>58</v>
      </c>
      <c r="G18" s="279">
        <f>[24]Brewhouse!$AE94</f>
        <v>12</v>
      </c>
      <c r="H18" s="396">
        <v>11.8</v>
      </c>
      <c r="I18" s="417">
        <f>[24]Brewhouse!$AS94</f>
        <v>95.770454909660813</v>
      </c>
      <c r="J18" s="417">
        <f>[24]Brewhouse!$AT94</f>
        <v>99.097675157365543</v>
      </c>
      <c r="K18" s="398">
        <f>[24]Brewhouse!$Q94</f>
        <v>4.2910447761193975</v>
      </c>
      <c r="L18" s="276">
        <f>[24]Brewhouse!$P94</f>
        <v>60</v>
      </c>
      <c r="M18" s="374">
        <f>[24]Brewhouse!$U94-[24]Brewhouse!$T94</f>
        <v>0.10555555555555562</v>
      </c>
      <c r="N18" s="370">
        <f>[24]Brewhouse!$AW94</f>
        <v>0.27500000000000002</v>
      </c>
      <c r="O18" s="418" t="str">
        <f>[24]Brewhouse!$AV94</f>
        <v>K. Benjamin</v>
      </c>
      <c r="P18" s="369"/>
      <c r="Q18" s="347"/>
      <c r="S18" s="277" t="str">
        <f t="shared" si="9"/>
        <v>STAG</v>
      </c>
      <c r="T18" s="296">
        <f t="shared" si="10"/>
        <v>11.6</v>
      </c>
      <c r="U18" s="296">
        <f t="shared" si="11"/>
        <v>12</v>
      </c>
      <c r="V18" s="297">
        <f t="shared" si="12"/>
        <v>0</v>
      </c>
      <c r="W18" s="297">
        <f t="shared" si="13"/>
        <v>0.118055555555556</v>
      </c>
      <c r="X18" s="297">
        <f t="shared" si="14"/>
        <v>0.22569444444444445</v>
      </c>
      <c r="Y18" s="297">
        <f t="shared" si="15"/>
        <v>0.2638888888888889</v>
      </c>
      <c r="Z18" s="297">
        <f t="shared" si="16"/>
        <v>0</v>
      </c>
      <c r="AA18" s="296">
        <f t="shared" si="17"/>
        <v>60</v>
      </c>
    </row>
    <row r="19" spans="1:27" ht="15.6" customHeight="1">
      <c r="B19" s="33" t="s">
        <v>9</v>
      </c>
      <c r="C19" s="366" t="str">
        <f>[24]Brewhouse!$A95</f>
        <v>ST080</v>
      </c>
      <c r="D19" s="279">
        <f>[24]Brewhouse!$AD95</f>
        <v>53.2</v>
      </c>
      <c r="E19" s="279">
        <f>[24]Brewhouse!$AG95</f>
        <v>49.8</v>
      </c>
      <c r="F19" s="278">
        <f>[24]Brewhouse!$V95</f>
        <v>127</v>
      </c>
      <c r="G19" s="279">
        <f>[24]Brewhouse!$AE95</f>
        <v>11.6</v>
      </c>
      <c r="H19" s="396">
        <v>11.5</v>
      </c>
      <c r="I19" s="417">
        <f>[24]Brewhouse!$AS95</f>
        <v>94.428562140000224</v>
      </c>
      <c r="J19" s="417">
        <f>[24]Brewhouse!$AT95</f>
        <v>97.70808132355225</v>
      </c>
      <c r="K19" s="398">
        <f>[24]Brewhouse!$Q95</f>
        <v>3.3271719038816956</v>
      </c>
      <c r="L19" s="276">
        <f>[24]Brewhouse!$P95</f>
        <v>62</v>
      </c>
      <c r="M19" s="374">
        <f>[24]Brewhouse!$U95-[24]Brewhouse!$T95</f>
        <v>0.15763888888888888</v>
      </c>
      <c r="N19" s="370">
        <f>[24]Brewhouse!$AW95</f>
        <v>0.30069444444444438</v>
      </c>
      <c r="O19" s="418" t="str">
        <f>[24]Brewhouse!$AV95</f>
        <v>K. Benjamin</v>
      </c>
      <c r="P19" s="369" t="s">
        <v>193</v>
      </c>
      <c r="Q19" s="347"/>
      <c r="S19" s="277" t="str">
        <f t="shared" ref="S19:S20" si="18">B19</f>
        <v>STAG</v>
      </c>
      <c r="T19" s="296">
        <f t="shared" si="10"/>
        <v>11.6</v>
      </c>
      <c r="U19" s="296">
        <f t="shared" si="11"/>
        <v>12</v>
      </c>
      <c r="V19" s="297">
        <f t="shared" si="12"/>
        <v>0</v>
      </c>
      <c r="W19" s="297">
        <f t="shared" si="13"/>
        <v>0.118055555555556</v>
      </c>
      <c r="X19" s="297">
        <f t="shared" si="14"/>
        <v>0.22569444444444445</v>
      </c>
      <c r="Y19" s="297">
        <f t="shared" si="15"/>
        <v>0.2638888888888889</v>
      </c>
      <c r="Z19" s="297">
        <f t="shared" si="16"/>
        <v>0</v>
      </c>
      <c r="AA19" s="296">
        <f t="shared" si="17"/>
        <v>60</v>
      </c>
    </row>
    <row r="20" spans="1:27" ht="15.6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18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17"/>
      <c r="J21" s="417"/>
      <c r="K21" s="398"/>
      <c r="L21" s="276"/>
      <c r="M21" s="374"/>
      <c r="N21" s="370"/>
      <c r="O21" s="418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5.75" customHeight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" thickBot="1">
      <c r="B24" s="388" t="s">
        <v>145</v>
      </c>
      <c r="C24" s="388"/>
      <c r="D24" s="478" t="s">
        <v>35</v>
      </c>
      <c r="E24" s="479"/>
      <c r="F24" s="294"/>
      <c r="G24" s="294"/>
      <c r="H24" s="23"/>
      <c r="I24" s="24" t="s">
        <v>17</v>
      </c>
      <c r="J24" s="25" t="s">
        <v>146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66" t="s">
        <v>6</v>
      </c>
      <c r="C25" s="450" cm="1">
        <f t="array" ref="C25:C32">[22]Process!$D$193:$D$200</f>
        <v>12.01</v>
      </c>
      <c r="D25" s="555">
        <v>11.69</v>
      </c>
      <c r="E25" s="556"/>
      <c r="F25" s="294"/>
      <c r="G25" s="294"/>
      <c r="H25" s="294"/>
      <c r="I25" s="29" t="s">
        <v>6</v>
      </c>
      <c r="J25" s="368">
        <f>AVERAGE(I10:I14)</f>
        <v>100.87916919110985</v>
      </c>
      <c r="K25" s="284">
        <f>COUNTA([22]Brewhouse!$A$173:$A$248)</f>
        <v>76</v>
      </c>
      <c r="L25" s="302">
        <f>AVERAGE([22]Brewhouse!$AU$28:$AU$248)</f>
        <v>96.685542233654289</v>
      </c>
      <c r="M25" s="302">
        <f>AVERAGE([22]Brewhouse!$AU$102:$AU$171,[22]Brewhouse!$AU$173:$AU$248)</f>
        <v>95.451531270692172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67"/>
      <c r="C26" s="349">
        <v>11.9</v>
      </c>
      <c r="D26" s="519"/>
      <c r="E26" s="507"/>
      <c r="F26" s="294"/>
      <c r="G26" s="294"/>
      <c r="H26" s="32"/>
      <c r="I26" s="33" t="s">
        <v>9</v>
      </c>
      <c r="J26" s="323">
        <f>AVERAGE(I16:I19)</f>
        <v>94.937273378995528</v>
      </c>
      <c r="K26" s="284">
        <f>COUNTA([24]Brewhouse!$A$66:$A$95)</f>
        <v>30</v>
      </c>
      <c r="L26" s="302">
        <f>AVERAGE([24]Brewhouse!$AS$66:$AS$95)</f>
        <v>95.873048892274667</v>
      </c>
      <c r="M26" s="302">
        <f>AVERAGE([24]Brewhouse!$AS$15:$AS$64,[24]Brewhouse!$AS$66:$AS$95)</f>
        <v>96.00072590998893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67"/>
      <c r="C27" s="349">
        <v>11.9</v>
      </c>
      <c r="D27" s="555">
        <v>11.67</v>
      </c>
      <c r="E27" s="556"/>
      <c r="F27" s="294"/>
      <c r="G27" s="294"/>
      <c r="H27" s="32"/>
      <c r="I27" s="34" t="s">
        <v>12</v>
      </c>
      <c r="J27" s="280"/>
      <c r="K27" s="284">
        <f>COUNTA([23]Brewhouse!$A$9:$A$22)</f>
        <v>14</v>
      </c>
      <c r="L27" s="302">
        <f>AVERAGE([23]Brewhouse!$AU$9:$AU$22)</f>
        <v>95.97048596821466</v>
      </c>
      <c r="M27" s="302">
        <f>AVERAGE([23]Brewhouse!$AU$4:$AU$7,[23]Brewhouse!$AU$9:$AU$22)</f>
        <v>96.221919722068549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67"/>
      <c r="C28" s="349">
        <v>11.7</v>
      </c>
      <c r="D28" s="519"/>
      <c r="E28" s="507"/>
      <c r="F28" s="294"/>
      <c r="G28" s="294"/>
      <c r="H28" s="32"/>
      <c r="I28" s="22" t="s">
        <v>33</v>
      </c>
      <c r="J28" s="280"/>
      <c r="K28" s="284">
        <f>COUNTA([25]Brewhouse!$A$16:$A$19)</f>
        <v>4</v>
      </c>
      <c r="L28" s="302">
        <f>AVERAGE([25]Brewhouse!$AV$16:$AV$19)</f>
        <v>99.193666402492596</v>
      </c>
      <c r="M28" s="302">
        <f>AVERAGE([25]Brewhouse!$AV$5:$AV$14,[25]Brewhouse!$AV$16:$AV$19)</f>
        <v>98.139385615971563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67"/>
      <c r="C29" s="349">
        <v>11.7</v>
      </c>
      <c r="D29" s="555">
        <v>11.88</v>
      </c>
      <c r="E29" s="556"/>
      <c r="F29" s="294"/>
      <c r="G29" s="294"/>
      <c r="H29" s="32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67"/>
      <c r="C30" s="349">
        <v>11.8</v>
      </c>
      <c r="D30" s="519"/>
      <c r="E30" s="507"/>
      <c r="F30" s="294"/>
      <c r="G30" s="294"/>
      <c r="H30" s="32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67"/>
      <c r="C31" s="349">
        <v>11.7</v>
      </c>
      <c r="D31" s="555">
        <v>11.84</v>
      </c>
      <c r="E31" s="556"/>
      <c r="F31" s="294"/>
      <c r="G31" s="294"/>
      <c r="H31" s="32"/>
      <c r="I31" s="37" t="s">
        <v>16</v>
      </c>
      <c r="J31" s="323"/>
      <c r="K31" s="284">
        <f>COUNTA([27]Brewhouse!$A$15:$A$20)</f>
        <v>6</v>
      </c>
      <c r="L31" s="302">
        <f>AVERAGE([27]Brewhouse!$AY$15:$AY$20)</f>
        <v>95.874175970347281</v>
      </c>
      <c r="M31" s="302">
        <f>AVERAGE([27]Brewhouse!$AY$6:$AY$13,[27]Brewhouse!$AY$15:$AY$20)</f>
        <v>94.285964321968933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67"/>
      <c r="C32" s="349">
        <v>11.7</v>
      </c>
      <c r="D32" s="519"/>
      <c r="E32" s="507"/>
      <c r="F32" s="294"/>
      <c r="G32" s="294"/>
      <c r="H32" s="32"/>
      <c r="I32" s="416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67"/>
      <c r="C33" s="349"/>
      <c r="D33" s="555"/>
      <c r="E33" s="556"/>
      <c r="F33" s="294"/>
      <c r="G33" s="294"/>
      <c r="H33" s="32"/>
      <c r="I33" s="415" t="s">
        <v>157</v>
      </c>
      <c r="J33" s="326"/>
      <c r="K33" s="284"/>
      <c r="L33" s="305"/>
      <c r="M33" s="305"/>
      <c r="N33" s="30"/>
      <c r="O33" s="11"/>
      <c r="P33" s="31"/>
      <c r="S33" s="23"/>
    </row>
    <row r="34" spans="1:57" ht="15" customHeight="1" thickBot="1">
      <c r="A34" s="28"/>
      <c r="B34" s="567"/>
      <c r="C34" s="349"/>
      <c r="D34" s="519"/>
      <c r="E34" s="507"/>
      <c r="F34" s="294"/>
      <c r="G34" s="294"/>
      <c r="H34" s="32"/>
      <c r="I34" s="411" t="s">
        <v>156</v>
      </c>
      <c r="J34" s="327"/>
      <c r="K34" s="412"/>
      <c r="L34" s="413"/>
      <c r="M34" s="413"/>
      <c r="N34" s="414">
        <v>98</v>
      </c>
      <c r="O34" s="11"/>
      <c r="P34" s="31"/>
      <c r="S34" s="23"/>
    </row>
    <row r="35" spans="1:57" ht="15" customHeight="1" thickBot="1">
      <c r="A35" s="28"/>
      <c r="B35" s="567"/>
      <c r="C35" s="349"/>
      <c r="D35" s="504"/>
      <c r="E35" s="505"/>
      <c r="F35" s="294"/>
      <c r="G35" s="294"/>
      <c r="H35" s="32"/>
      <c r="I35" s="1"/>
      <c r="J35" s="39"/>
      <c r="K35" s="409">
        <f>SUM(K25:K34)</f>
        <v>130</v>
      </c>
      <c r="L35" s="410">
        <f>((L25*K25)+(L26*K26)+(L27*K27)+(L28*K28)+(L29*K29)+(K32*L32)+(L30*K30)+(L31*K31)+(L34*K34))/(K35)</f>
        <v>96.46076308856172</v>
      </c>
      <c r="M35" s="410">
        <f>AVERAGE('[29]Jan 31st'!$L$65,L35)</f>
        <v>95.818242275099095</v>
      </c>
      <c r="N35" s="40">
        <v>98</v>
      </c>
      <c r="O35" s="11"/>
      <c r="P35" s="31"/>
      <c r="S35" s="23"/>
    </row>
    <row r="36" spans="1:57" ht="15" thickBot="1">
      <c r="B36" s="578"/>
      <c r="C36" s="350"/>
      <c r="D36" s="506"/>
      <c r="E36" s="507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94" t="s">
        <v>12</v>
      </c>
      <c r="C37" s="362" cm="1">
        <f t="array" ref="C37:C38">[23]Process!$D$27:$D$28</f>
        <v>17.7</v>
      </c>
      <c r="D37" s="517">
        <v>17.38</v>
      </c>
      <c r="E37" s="518"/>
      <c r="F37" s="43"/>
      <c r="G37" s="41"/>
      <c r="H37" s="41"/>
      <c r="I37" s="42"/>
      <c r="J37" s="587" t="s">
        <v>129</v>
      </c>
      <c r="K37" s="58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76"/>
      <c r="C38" s="349">
        <v>17.600000000000001</v>
      </c>
      <c r="D38" s="519"/>
      <c r="E38" s="507"/>
      <c r="F38" s="43"/>
      <c r="G38" s="41"/>
      <c r="H38" s="41"/>
      <c r="I38" s="42"/>
      <c r="J38" s="453" t="s">
        <v>17</v>
      </c>
      <c r="K38" s="454" t="s">
        <v>147</v>
      </c>
      <c r="L38" s="521" t="s">
        <v>136</v>
      </c>
      <c r="M38" s="521"/>
      <c r="N38" s="522"/>
      <c r="O38" s="294"/>
      <c r="P38" s="12"/>
      <c r="S38" s="23"/>
    </row>
    <row r="39" spans="1:57" ht="15" customHeight="1" thickBot="1">
      <c r="B39" s="576"/>
      <c r="C39" s="349" cm="1">
        <f t="array" ref="C39:C40">[23]Process!$D$31:$D$32</f>
        <v>17.5</v>
      </c>
      <c r="D39" s="523">
        <v>17.329999999999998</v>
      </c>
      <c r="E39" s="505"/>
      <c r="F39" s="43"/>
      <c r="G39" s="41"/>
      <c r="H39" s="41"/>
      <c r="I39" s="42"/>
      <c r="J39" s="455" t="s">
        <v>6</v>
      </c>
      <c r="K39" s="456">
        <f>COUNTA(B10:B14)</f>
        <v>5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76"/>
      <c r="C40" s="349">
        <v>17.399999999999999</v>
      </c>
      <c r="D40" s="519"/>
      <c r="E40" s="507"/>
      <c r="F40" s="43"/>
      <c r="G40" s="41"/>
      <c r="H40" s="41"/>
      <c r="I40" s="42"/>
      <c r="J40" s="457" t="s">
        <v>9</v>
      </c>
      <c r="K40" s="456">
        <f>COUNTA(B16:B19)</f>
        <v>4</v>
      </c>
      <c r="L40" s="344">
        <f>AVERAGE('Feb 3rd'!K79,'Feb 4th'!K77,'Feb 5th'!L68,'Feb 6th'!K75,'Feb 10th'!K69,'Feb 11th'!K68,'Feb 12th'!K70,'Feb 13th'!K69,'Feb 14th'!K47,'Feb 14th'!K47,'Feb 17th'!K47,'Feb 18th'!K47,'Feb 19th '!L38,'Feb 20th'!K49,'Feb 21st'!K45,'Feb 23rd'!K43,'Feb 24th'!K47,'Feb 25th'!K48,'Feb 26th'!K49)</f>
        <v>7.0647773279352224</v>
      </c>
      <c r="M40" s="325">
        <f>AVERAGE('[29]Jan 29th '!$M$70,L40)</f>
        <v>6.7823886639676108</v>
      </c>
      <c r="N40" s="401"/>
      <c r="O40" s="294"/>
      <c r="P40" s="12"/>
      <c r="S40" s="23"/>
    </row>
    <row r="41" spans="1:57" ht="15" customHeight="1">
      <c r="B41" s="576"/>
      <c r="C41" s="349"/>
      <c r="D41" s="523"/>
      <c r="E41" s="505"/>
      <c r="F41" s="43"/>
      <c r="G41" s="41"/>
      <c r="H41" s="41"/>
      <c r="I41" s="42"/>
      <c r="J41" s="458" t="s">
        <v>40</v>
      </c>
      <c r="K41" s="456"/>
      <c r="L41" s="294"/>
      <c r="M41" s="294"/>
      <c r="N41" s="294"/>
      <c r="O41" s="294"/>
      <c r="P41" s="12"/>
      <c r="S41" s="23"/>
    </row>
    <row r="42" spans="1:57" ht="15" customHeight="1">
      <c r="B42" s="576"/>
      <c r="C42" s="349"/>
      <c r="D42" s="519"/>
      <c r="E42" s="507"/>
      <c r="F42" s="43"/>
      <c r="G42" s="41"/>
      <c r="H42" s="41"/>
      <c r="I42" s="42"/>
      <c r="J42" s="459" t="s">
        <v>33</v>
      </c>
      <c r="K42" s="456"/>
      <c r="L42" s="294"/>
      <c r="M42" s="294"/>
      <c r="N42" s="294"/>
      <c r="O42" s="294"/>
      <c r="P42" s="12"/>
      <c r="S42" s="23"/>
    </row>
    <row r="43" spans="1:57" ht="14.4">
      <c r="B43" s="576"/>
      <c r="C43" s="349"/>
      <c r="D43" s="523"/>
      <c r="E43" s="505"/>
      <c r="F43" s="43"/>
      <c r="G43" s="41"/>
      <c r="H43" s="41"/>
      <c r="I43" s="42"/>
      <c r="J43" s="460" t="s">
        <v>16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76"/>
      <c r="C44" s="349"/>
      <c r="D44" s="519"/>
      <c r="E44" s="507"/>
      <c r="F44" s="43"/>
      <c r="G44" s="41"/>
      <c r="H44" s="41"/>
      <c r="I44" s="42"/>
      <c r="J44" s="461" t="s">
        <v>15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76"/>
      <c r="C45" s="349"/>
      <c r="D45" s="524"/>
      <c r="E45" s="509"/>
      <c r="F45" s="43"/>
      <c r="G45" s="41"/>
      <c r="H45" s="41"/>
      <c r="I45" s="42"/>
      <c r="J45" s="461" t="s">
        <v>149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77"/>
      <c r="C46" s="350"/>
      <c r="D46" s="525"/>
      <c r="E46" s="526"/>
      <c r="F46" s="43"/>
      <c r="G46" s="41"/>
      <c r="H46" s="41"/>
      <c r="I46" s="42"/>
      <c r="J46" s="461" t="s">
        <v>148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27">
        <f>AVERAGE(D25:E46)</f>
        <v>13.631666666666666</v>
      </c>
      <c r="E47" s="528"/>
      <c r="F47" s="43"/>
      <c r="G47" s="41"/>
      <c r="H47" s="41"/>
      <c r="I47" s="42"/>
      <c r="J47" s="462" t="s">
        <v>134</v>
      </c>
      <c r="K47" s="456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62" t="s">
        <v>131</v>
      </c>
      <c r="K48" s="456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 thickBot="1">
      <c r="B49" s="45"/>
      <c r="C49" s="11"/>
      <c r="D49" s="11"/>
      <c r="E49" s="46"/>
      <c r="F49" s="23"/>
      <c r="G49" s="11"/>
      <c r="H49" s="41"/>
      <c r="I49" s="42"/>
      <c r="J49" s="463" t="s">
        <v>130</v>
      </c>
      <c r="K49" s="464">
        <f>SUM(K39:K48)</f>
        <v>9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29" t="s">
        <v>17</v>
      </c>
      <c r="C52" s="529" t="s">
        <v>44</v>
      </c>
      <c r="D52" s="531" t="s">
        <v>45</v>
      </c>
      <c r="E52" s="486" t="s">
        <v>46</v>
      </c>
      <c r="F52" s="546" t="s">
        <v>47</v>
      </c>
      <c r="G52" s="540" t="s">
        <v>48</v>
      </c>
      <c r="H52" s="529" t="s">
        <v>49</v>
      </c>
      <c r="I52" s="529" t="s">
        <v>50</v>
      </c>
      <c r="J52" s="534" t="s">
        <v>28</v>
      </c>
      <c r="K52" s="484" t="s">
        <v>51</v>
      </c>
      <c r="L52" s="496" t="s">
        <v>52</v>
      </c>
      <c r="M52" s="534" t="s">
        <v>53</v>
      </c>
      <c r="N52" s="77"/>
      <c r="O52" s="13"/>
      <c r="P52" s="50"/>
    </row>
    <row r="53" spans="2:58" ht="28.5" customHeight="1" thickTop="1" thickBot="1">
      <c r="B53" s="530"/>
      <c r="C53" s="530"/>
      <c r="D53" s="532"/>
      <c r="E53" s="533"/>
      <c r="F53" s="547"/>
      <c r="G53" s="541"/>
      <c r="H53" s="530"/>
      <c r="I53" s="530"/>
      <c r="J53" s="535"/>
      <c r="K53" s="544"/>
      <c r="L53" s="545"/>
      <c r="M53" s="535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42" customHeight="1">
      <c r="B54" s="387" t="str">
        <f>B66</f>
        <v>CARIB</v>
      </c>
      <c r="C54" s="283">
        <v>45714</v>
      </c>
      <c r="D54" s="279">
        <f>[30]February_2025!$AC$3</f>
        <v>408.1</v>
      </c>
      <c r="E54" s="279"/>
      <c r="F54" s="279">
        <f>SUM([31]CARIB!$L$81:$L$88)</f>
        <v>397.7</v>
      </c>
      <c r="G54" s="279">
        <f>[30]February_2025!$AC$7</f>
        <v>386.2</v>
      </c>
      <c r="H54" s="320">
        <f>(D54-F54)/D54*100</f>
        <v>2.5483950012251984</v>
      </c>
      <c r="I54" s="322">
        <f>((F54+E54)-G54)/(F54+E54)*100</f>
        <v>2.8916268544128743</v>
      </c>
      <c r="J54" s="470" t="s">
        <v>150</v>
      </c>
      <c r="K54" s="437">
        <f>[32]February_2025!$AC$18</f>
        <v>0.96550000000000002</v>
      </c>
      <c r="L54" s="314">
        <f>(((D54+E54)-G54)/(D54+E54))*100</f>
        <v>5.3663317814261289</v>
      </c>
      <c r="M54" s="281" t="s">
        <v>165</v>
      </c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7.95" customHeigh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281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s="54" customFormat="1" ht="45.75" customHeight="1">
      <c r="B56" s="431" t="s">
        <v>12</v>
      </c>
      <c r="C56" s="283">
        <v>45714</v>
      </c>
      <c r="D56" s="279">
        <f>[30]February_2025!$AC$23</f>
        <v>209.39999999999998</v>
      </c>
      <c r="E56" s="279"/>
      <c r="F56" s="279">
        <f>SUM([31]GUINNESS!$L$32:$L$33,[31]GUINNESS!$L$38:$L$39)</f>
        <v>200</v>
      </c>
      <c r="G56" s="279">
        <f>[30]February_2025!$AC$28</f>
        <v>189.1</v>
      </c>
      <c r="H56" s="320">
        <f>(D56-F56)/D56*100</f>
        <v>4.4890162368672293</v>
      </c>
      <c r="I56" s="322">
        <f>((F56+E56)-G56)/(F56+E56)*100</f>
        <v>5.4500000000000028</v>
      </c>
      <c r="J56" s="470" t="s">
        <v>150</v>
      </c>
      <c r="K56" s="437">
        <f>[32]February_2025!$AC$32</f>
        <v>0.94550000000000001</v>
      </c>
      <c r="L56" s="314">
        <f>(((D56+E56)-G56)/(D56+E56))*100</f>
        <v>9.6943648519579675</v>
      </c>
      <c r="M56" s="281" t="s">
        <v>192</v>
      </c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10.95" customHeight="1" thickBot="1">
      <c r="B57" s="387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281"/>
      <c r="N57" s="13"/>
      <c r="O57" s="13"/>
      <c r="P57" s="50"/>
      <c r="T57" s="272" t="s">
        <v>51</v>
      </c>
      <c r="U57" s="57">
        <f>[20]January_2019!D6</f>
        <v>0</v>
      </c>
      <c r="V57" s="57">
        <f>[20]January_2019!E6</f>
        <v>0</v>
      </c>
      <c r="W57" s="57">
        <f>[20]January_2019!F6</f>
        <v>0</v>
      </c>
      <c r="X57" s="57">
        <f>[20]January_2019!G6</f>
        <v>0</v>
      </c>
      <c r="Y57" s="57">
        <f>[20]January_2019!H6</f>
        <v>0</v>
      </c>
      <c r="Z57" s="57">
        <f>[20]January_2019!I6</f>
        <v>0</v>
      </c>
      <c r="AA57" s="57">
        <f>[20]January_2019!J6</f>
        <v>0</v>
      </c>
      <c r="AB57" s="57">
        <f>[20]January_2019!K6</f>
        <v>0</v>
      </c>
      <c r="AC57" s="57">
        <f>[20]January_2019!L6</f>
        <v>0</v>
      </c>
      <c r="AD57" s="57">
        <f>[20]January_2019!M6</f>
        <v>0</v>
      </c>
      <c r="AE57" s="57">
        <f>[20]January_2019!N6</f>
        <v>0</v>
      </c>
      <c r="AF57" s="57">
        <f>[20]January_2019!O6</f>
        <v>0</v>
      </c>
      <c r="AG57" s="57">
        <f>[20]January_2019!P6</f>
        <v>0</v>
      </c>
      <c r="AH57" s="57">
        <f>[20]January_2019!Q6</f>
        <v>0</v>
      </c>
      <c r="AI57" s="57">
        <f>[20]January_2019!R6</f>
        <v>0</v>
      </c>
      <c r="AJ57" s="57">
        <f>[20]January_2019!S6</f>
        <v>0</v>
      </c>
      <c r="AK57" s="57">
        <f>[20]January_2019!T6</f>
        <v>0</v>
      </c>
      <c r="AL57" s="57">
        <f>[20]January_2019!U6</f>
        <v>0</v>
      </c>
      <c r="AM57" s="57">
        <f>[20]January_2019!V6</f>
        <v>0</v>
      </c>
      <c r="AN57" s="57">
        <f>[20]January_2019!W6</f>
        <v>0</v>
      </c>
      <c r="AO57" s="57">
        <f>[20]January_2019!X6</f>
        <v>0</v>
      </c>
      <c r="AP57" s="57">
        <f>[20]January_2019!Y6</f>
        <v>0</v>
      </c>
      <c r="AQ57" s="57">
        <f>[20]January_2019!Z6</f>
        <v>0</v>
      </c>
      <c r="AR57" s="57">
        <f>[20]January_2019!AA6</f>
        <v>0</v>
      </c>
      <c r="AS57" s="57">
        <f>[20]January_2019!AB6</f>
        <v>0</v>
      </c>
      <c r="AT57" s="57">
        <f>[20]January_2019!AC6</f>
        <v>0</v>
      </c>
      <c r="AU57" s="57">
        <f>[20]January_2019!AD6</f>
        <v>0</v>
      </c>
      <c r="AV57" s="57">
        <f>[20]January_2019!AE6</f>
        <v>0</v>
      </c>
      <c r="AW57" s="57">
        <f>[20]January_2019!AF6</f>
        <v>0</v>
      </c>
      <c r="AX57" s="57">
        <f>[20]January_2019!AG6</f>
        <v>0</v>
      </c>
      <c r="AY57" s="277">
        <f>[20]January_2019!AH6</f>
        <v>0</v>
      </c>
      <c r="AZ57" s="277"/>
      <c r="BA57" s="277"/>
      <c r="BB57" s="277"/>
      <c r="BC57" s="277"/>
      <c r="BD57" s="277"/>
      <c r="BE57" s="277"/>
      <c r="BF57" s="277"/>
    </row>
    <row r="58" spans="2:58" s="54" customFormat="1" ht="56.4" hidden="1" customHeight="1">
      <c r="B58" s="448"/>
      <c r="C58" s="283"/>
      <c r="D58" s="279"/>
      <c r="E58" s="279"/>
      <c r="F58" s="279"/>
      <c r="G58" s="279"/>
      <c r="H58" s="320"/>
      <c r="I58" s="322"/>
      <c r="J58" s="389"/>
      <c r="K58" s="437"/>
      <c r="L58" s="314"/>
      <c r="M58" s="281"/>
      <c r="N58" s="13"/>
      <c r="O58" s="13"/>
      <c r="P58" s="50"/>
      <c r="T58" s="272" t="s">
        <v>54</v>
      </c>
      <c r="U58" s="279"/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  <c r="AG58" s="279"/>
      <c r="AH58" s="279"/>
      <c r="AI58" s="279"/>
      <c r="AJ58" s="279"/>
      <c r="AK58" s="279"/>
      <c r="AL58" s="279"/>
      <c r="AM58" s="279"/>
      <c r="AN58" s="279"/>
      <c r="AO58" s="279"/>
      <c r="AP58" s="279"/>
      <c r="AQ58" s="279"/>
      <c r="AR58" s="279"/>
      <c r="AS58" s="279"/>
      <c r="AT58" s="279"/>
      <c r="AU58" s="279"/>
      <c r="AV58" s="279"/>
      <c r="AW58" s="279"/>
      <c r="AX58" s="279"/>
    </row>
    <row r="59" spans="2:58" s="54" customFormat="1" ht="7.95" hidden="1" customHeight="1">
      <c r="B59" s="387"/>
      <c r="C59" s="283"/>
      <c r="D59" s="279"/>
      <c r="E59" s="279"/>
      <c r="F59" s="279"/>
      <c r="G59" s="279"/>
      <c r="H59" s="320"/>
      <c r="I59" s="322"/>
      <c r="J59" s="389"/>
      <c r="K59" s="437"/>
      <c r="L59" s="314"/>
      <c r="M59" s="281"/>
      <c r="N59" s="13"/>
      <c r="O59" s="13"/>
      <c r="P59" s="50"/>
      <c r="T59" s="272" t="s">
        <v>51</v>
      </c>
      <c r="U59" s="57" t="e">
        <f>[20]January_2019!D8</f>
        <v>#DIV/0!</v>
      </c>
      <c r="V59" s="57">
        <f>[20]January_2019!E8</f>
        <v>1.0319298245614037</v>
      </c>
      <c r="W59" s="57">
        <f>[20]January_2019!F8</f>
        <v>1.7789473684210526</v>
      </c>
      <c r="X59" s="57">
        <f>[20]January_2019!G8</f>
        <v>0.51929824561403504</v>
      </c>
      <c r="Y59" s="57" t="e">
        <f>[20]January_2019!H8</f>
        <v>#DIV/0!</v>
      </c>
      <c r="Z59" s="57" t="e">
        <f>[20]January_2019!I8</f>
        <v>#DIV/0!</v>
      </c>
      <c r="AA59" s="57">
        <f>[20]January_2019!J8</f>
        <v>1.365263157894737</v>
      </c>
      <c r="AB59" s="57" t="e">
        <f>[20]January_2019!K8</f>
        <v>#DIV/0!</v>
      </c>
      <c r="AC59" s="57">
        <f>[20]January_2019!L8</f>
        <v>1.0028070175438597</v>
      </c>
      <c r="AD59" s="57">
        <f>[20]January_2019!M8</f>
        <v>1.7828070175438597</v>
      </c>
      <c r="AE59" s="57" t="e">
        <f>[20]January_2019!N8</f>
        <v>#DIV/0!</v>
      </c>
      <c r="AF59" s="57" t="e">
        <f>[20]January_2019!O8</f>
        <v>#DIV/0!</v>
      </c>
      <c r="AG59" s="57">
        <f>[20]January_2019!P8</f>
        <v>0.19222222222222221</v>
      </c>
      <c r="AH59" s="57">
        <f>[20]January_2019!Q8</f>
        <v>0.52219298245614032</v>
      </c>
      <c r="AI59" s="57">
        <f>[20]January_2019!R8</f>
        <v>0.42912280701754385</v>
      </c>
      <c r="AJ59" s="57" t="e">
        <f>[20]January_2019!S8</f>
        <v>#DIV/0!</v>
      </c>
      <c r="AK59" s="57">
        <f>[20]January_2019!T8</f>
        <v>1.0340350877192983</v>
      </c>
      <c r="AL59" s="57">
        <f>[20]January_2019!U8</f>
        <v>0.98421052631578942</v>
      </c>
      <c r="AM59" s="57" t="e">
        <f>[20]January_2019!V8</f>
        <v>#DIV/0!</v>
      </c>
      <c r="AN59" s="57" t="e">
        <f>[20]January_2019!W8</f>
        <v>#DIV/0!</v>
      </c>
      <c r="AO59" s="57">
        <f>[20]January_2019!X8</f>
        <v>0.66052631578947374</v>
      </c>
      <c r="AP59" s="57">
        <f>[20]January_2019!Y8</f>
        <v>1.0375438596491227</v>
      </c>
      <c r="AQ59" s="57">
        <f>[20]January_2019!Z8</f>
        <v>0.90456140350877201</v>
      </c>
      <c r="AR59" s="57">
        <f>[20]January_2019!AA8</f>
        <v>1.0217543859649123</v>
      </c>
      <c r="AS59" s="57">
        <f>[20]January_2019!AB8</f>
        <v>0.65614035087719302</v>
      </c>
      <c r="AT59" s="57" t="e">
        <f>[20]January_2019!AC8</f>
        <v>#DIV/0!</v>
      </c>
      <c r="AU59" s="57" t="e">
        <f>[20]January_2019!AD8</f>
        <v>#DIV/0!</v>
      </c>
      <c r="AV59" s="57">
        <f>[20]January_2019!AE8</f>
        <v>1.7021052631578948</v>
      </c>
      <c r="AW59" s="57">
        <f>[20]January_2019!AF8</f>
        <v>0.60192982456140354</v>
      </c>
      <c r="AX59" s="57">
        <f>[20]January_2019!AG8</f>
        <v>1.4870175438596491</v>
      </c>
      <c r="AY59" s="277" t="e">
        <f>[20]January_2019!AH8</f>
        <v>#DIV/0!</v>
      </c>
      <c r="AZ59" s="277"/>
      <c r="BA59" s="277"/>
      <c r="BB59" s="277"/>
      <c r="BC59" s="277"/>
      <c r="BD59" s="277"/>
      <c r="BE59" s="277"/>
      <c r="BF59" s="277"/>
    </row>
    <row r="60" spans="2:58" s="54" customFormat="1" hidden="1">
      <c r="B60" s="361"/>
      <c r="C60" s="283"/>
      <c r="D60" s="304"/>
      <c r="E60" s="279"/>
      <c r="F60" s="279"/>
      <c r="G60" s="279"/>
      <c r="H60" s="381"/>
      <c r="I60" s="381"/>
      <c r="J60" s="389"/>
      <c r="K60" s="437"/>
      <c r="L60" s="314"/>
      <c r="M60" s="339"/>
      <c r="N60" s="13"/>
      <c r="O60" s="13"/>
      <c r="P60" s="50"/>
      <c r="T60" s="272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277"/>
      <c r="AZ60" s="277"/>
      <c r="BA60" s="277"/>
      <c r="BB60" s="277"/>
      <c r="BC60" s="277"/>
      <c r="BD60" s="277"/>
      <c r="BE60" s="277"/>
      <c r="BF60" s="277"/>
    </row>
    <row r="61" spans="2:58" s="54" customFormat="1" ht="9" hidden="1" customHeight="1">
      <c r="B61" s="387"/>
      <c r="C61" s="283"/>
      <c r="D61" s="279"/>
      <c r="E61" s="279"/>
      <c r="F61" s="279"/>
      <c r="G61" s="279"/>
      <c r="H61" s="320"/>
      <c r="I61" s="322"/>
      <c r="J61" s="281"/>
      <c r="K61" s="286"/>
      <c r="L61" s="314"/>
      <c r="M61" s="339"/>
      <c r="N61" s="13"/>
      <c r="O61" s="13"/>
      <c r="P61" s="50"/>
      <c r="T61" s="272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277"/>
      <c r="AZ61" s="277"/>
      <c r="BA61" s="277"/>
      <c r="BB61" s="277"/>
      <c r="BC61" s="277"/>
      <c r="BD61" s="277"/>
      <c r="BE61" s="277"/>
      <c r="BF61" s="277"/>
    </row>
    <row r="62" spans="2:58" ht="11.4" hidden="1" customHeight="1" thickBot="1">
      <c r="B62" s="33"/>
      <c r="C62" s="310"/>
      <c r="D62" s="279"/>
      <c r="E62" s="279"/>
      <c r="F62" s="279"/>
      <c r="G62" s="279"/>
      <c r="H62" s="352"/>
      <c r="I62" s="353"/>
      <c r="J62" s="281"/>
      <c r="K62" s="52"/>
      <c r="L62" s="53"/>
      <c r="M62" s="55"/>
      <c r="N62" s="77"/>
      <c r="O62" s="13"/>
      <c r="P62" s="56"/>
    </row>
    <row r="63" spans="2:58" ht="14.4" thickBot="1">
      <c r="B63" s="58"/>
      <c r="C63" s="309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9"/>
      <c r="O63" s="56"/>
      <c r="P63" s="60"/>
    </row>
    <row r="64" spans="2:58" ht="14.4" thickBot="1">
      <c r="B64" s="536" t="s">
        <v>55</v>
      </c>
      <c r="C64" s="537"/>
      <c r="D64" s="537"/>
      <c r="E64" s="537"/>
      <c r="F64" s="538"/>
      <c r="G64" s="536" t="s">
        <v>56</v>
      </c>
      <c r="H64" s="537"/>
      <c r="I64" s="537"/>
      <c r="J64" s="538"/>
      <c r="K64" s="536" t="s">
        <v>51</v>
      </c>
      <c r="L64" s="537"/>
      <c r="M64" s="537"/>
      <c r="N64" s="539"/>
      <c r="O64" s="56"/>
      <c r="P64" s="50"/>
    </row>
    <row r="65" spans="2:16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>
      <c r="B66" s="29" t="s">
        <v>6</v>
      </c>
      <c r="C66" s="65">
        <f>L54</f>
        <v>5.3663317814261289</v>
      </c>
      <c r="D66" s="76">
        <v>6.3267376966007456</v>
      </c>
      <c r="E66" s="76">
        <v>7.0206715055817517</v>
      </c>
      <c r="F66" s="66">
        <v>4.8</v>
      </c>
      <c r="G66" s="65">
        <f>[30]February_2025!$AC$11</f>
        <v>6.3632829052846827</v>
      </c>
      <c r="H66" s="76">
        <v>7.0336020566242867</v>
      </c>
      <c r="I66" s="76">
        <v>7.5132485140706278</v>
      </c>
      <c r="J66" s="66">
        <v>4.8</v>
      </c>
      <c r="K66" s="67">
        <f>K54</f>
        <v>0.96550000000000002</v>
      </c>
      <c r="L66" s="194">
        <v>0.74471727094612972</v>
      </c>
      <c r="M66" s="194">
        <v>0.86000639711725602</v>
      </c>
      <c r="N66" s="68">
        <v>1</v>
      </c>
      <c r="O66" s="56"/>
      <c r="P66" s="69"/>
    </row>
    <row r="67" spans="2:16">
      <c r="B67" s="33" t="s">
        <v>9</v>
      </c>
      <c r="C67" s="65"/>
      <c r="D67" s="76">
        <v>6.6506917442806524</v>
      </c>
      <c r="E67" s="76">
        <v>6.7094493445838745</v>
      </c>
      <c r="F67" s="66">
        <v>4.8</v>
      </c>
      <c r="G67" s="65"/>
      <c r="H67" s="76">
        <v>6.6366408822664829</v>
      </c>
      <c r="I67" s="76">
        <v>6.7469218033369263</v>
      </c>
      <c r="J67" s="66">
        <v>4.8</v>
      </c>
      <c r="K67" s="67"/>
      <c r="L67" s="194">
        <v>0.61831958958273703</v>
      </c>
      <c r="M67" s="194">
        <v>0.73782172499320109</v>
      </c>
      <c r="N67" s="68">
        <v>1</v>
      </c>
      <c r="P67" s="69"/>
    </row>
    <row r="68" spans="2:16">
      <c r="B68" s="34" t="s">
        <v>40</v>
      </c>
      <c r="C68" s="65">
        <f>L56</f>
        <v>9.6943648519579675</v>
      </c>
      <c r="D68" s="76">
        <v>16.313278558176496</v>
      </c>
      <c r="E68" s="76">
        <v>13.702325581395328</v>
      </c>
      <c r="F68" s="66">
        <v>5.5</v>
      </c>
      <c r="G68" s="65">
        <f>[30]February_2025!$AC$32</f>
        <v>14.306363462342325</v>
      </c>
      <c r="H68" s="76">
        <v>18.437919359340089</v>
      </c>
      <c r="I68" s="76">
        <v>15.508495449554314</v>
      </c>
      <c r="J68" s="66">
        <v>5.5</v>
      </c>
      <c r="K68" s="67">
        <f>K56</f>
        <v>0.94550000000000001</v>
      </c>
      <c r="L68" s="194">
        <v>0.40614427860696517</v>
      </c>
      <c r="M68" s="194">
        <v>0.51718974358974368</v>
      </c>
      <c r="N68" s="68">
        <v>1</v>
      </c>
      <c r="P68" s="69"/>
    </row>
    <row r="69" spans="2:16">
      <c r="B69" s="22" t="s">
        <v>33</v>
      </c>
      <c r="C69" s="65"/>
      <c r="D69" s="76">
        <v>4.9603174603174329</v>
      </c>
      <c r="E69" s="76">
        <v>3.9190537266638161</v>
      </c>
      <c r="F69" s="66">
        <v>3.3</v>
      </c>
      <c r="G69" s="65"/>
      <c r="H69" s="76">
        <v>5.7667082440308048</v>
      </c>
      <c r="I69" s="76">
        <v>5.345661717473071</v>
      </c>
      <c r="J69" s="66">
        <v>3.3</v>
      </c>
      <c r="K69" s="67"/>
      <c r="L69" s="194">
        <v>0.67228070175438603</v>
      </c>
      <c r="M69" s="194">
        <v>0.78853801169590654</v>
      </c>
      <c r="N69" s="68">
        <v>1</v>
      </c>
      <c r="P69" s="69"/>
    </row>
    <row r="70" spans="2:16">
      <c r="B70" s="469" t="s">
        <v>181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>
      <c r="B71" s="36" t="s">
        <v>15</v>
      </c>
      <c r="C71" s="282"/>
      <c r="D71" s="76"/>
      <c r="E71" s="76">
        <v>8.7664670658682695</v>
      </c>
      <c r="F71" s="70">
        <f>[21]May_2022!$M$43</f>
        <v>3.4878406700073312</v>
      </c>
      <c r="G71" s="282"/>
      <c r="H71" s="76"/>
      <c r="I71" s="76">
        <v>10.607235567685406</v>
      </c>
      <c r="J71" s="70">
        <v>5.5</v>
      </c>
      <c r="K71" s="67"/>
      <c r="L71" s="194"/>
      <c r="M71" s="194">
        <v>0.66824561403508764</v>
      </c>
      <c r="N71" s="68">
        <v>1</v>
      </c>
      <c r="P71" s="69"/>
    </row>
    <row r="72" spans="2:16">
      <c r="B72" s="37" t="s">
        <v>16</v>
      </c>
      <c r="C72" s="65"/>
      <c r="D72" s="76">
        <v>3.3333333333333082</v>
      </c>
      <c r="E72" s="76">
        <v>2.2765363128491556</v>
      </c>
      <c r="F72" s="66">
        <v>3.3</v>
      </c>
      <c r="G72" s="282"/>
      <c r="H72" s="76">
        <v>5.2583423035521699</v>
      </c>
      <c r="I72" s="76">
        <v>4.5833713915368151</v>
      </c>
      <c r="J72" s="70">
        <v>3.3</v>
      </c>
      <c r="K72" s="67"/>
      <c r="L72" s="194">
        <v>1.0053333333333334</v>
      </c>
      <c r="M72" s="194">
        <v>0.8042528735632184</v>
      </c>
      <c r="N72" s="71">
        <v>1</v>
      </c>
      <c r="P72" s="69"/>
    </row>
    <row r="73" spans="2:16" ht="14.4" thickBot="1">
      <c r="B73" s="468" t="s">
        <v>127</v>
      </c>
      <c r="C73" s="65"/>
      <c r="D73" s="76"/>
      <c r="E73" s="76"/>
      <c r="F73" s="70">
        <v>7.5</v>
      </c>
      <c r="G73" s="282"/>
      <c r="H73" s="76"/>
      <c r="I73" s="76"/>
      <c r="J73" s="72">
        <v>7.5</v>
      </c>
      <c r="K73" s="67"/>
      <c r="L73" s="194"/>
      <c r="M73" s="194"/>
      <c r="N73" s="71">
        <v>1</v>
      </c>
      <c r="P73" s="69"/>
    </row>
    <row r="74" spans="2:16" ht="14.4" thickBot="1">
      <c r="B74" s="435" t="s">
        <v>134</v>
      </c>
      <c r="C74" s="434"/>
      <c r="D74" s="76">
        <v>4.8792508624938291</v>
      </c>
      <c r="E74" s="76">
        <v>7.2756669361358117</v>
      </c>
      <c r="F74" s="66">
        <v>5.5</v>
      </c>
      <c r="G74" s="282"/>
      <c r="H74" s="76">
        <v>6.2003723782925313</v>
      </c>
      <c r="I74" s="76">
        <v>6.2003723782925313</v>
      </c>
      <c r="J74" s="433">
        <v>5.5</v>
      </c>
      <c r="K74" s="67"/>
      <c r="L74" s="194">
        <v>0.33859649122807017</v>
      </c>
      <c r="M74" s="194">
        <v>0.33859649122807017</v>
      </c>
      <c r="N74" s="71">
        <v>1</v>
      </c>
      <c r="P74" s="69"/>
    </row>
    <row r="75" spans="2:16">
      <c r="C75" s="282"/>
      <c r="D75" s="76">
        <v>7.2756669361358117</v>
      </c>
      <c r="E75" s="76">
        <v>7.1163691515118614</v>
      </c>
      <c r="F75" s="341">
        <v>4.5</v>
      </c>
      <c r="G75" s="282"/>
      <c r="H75" s="76">
        <v>8.3600153719153578</v>
      </c>
      <c r="I75" s="76">
        <v>7.9516541615039698</v>
      </c>
      <c r="J75" s="342">
        <v>5</v>
      </c>
      <c r="K75" s="67"/>
      <c r="L75" s="194">
        <v>0.64783882783882785</v>
      </c>
      <c r="M75" s="194">
        <v>0.76761065006915641</v>
      </c>
      <c r="N75" s="386">
        <v>1</v>
      </c>
      <c r="O75" s="74"/>
      <c r="P75" s="75"/>
    </row>
    <row r="80" spans="2:16">
      <c r="F80" s="315"/>
    </row>
    <row r="88" spans="30:30">
      <c r="AD88" s="275" t="s">
        <v>57</v>
      </c>
    </row>
  </sheetData>
  <mergeCells count="52">
    <mergeCell ref="M52:M53"/>
    <mergeCell ref="B64:F64"/>
    <mergeCell ref="G64:J64"/>
    <mergeCell ref="K64:N64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C4:D4"/>
    <mergeCell ref="M4:N4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7:B48">
    <cfRule type="cellIs" dxfId="518" priority="163" operator="notBetween">
      <formula>#REF!</formula>
      <formula>#REF!</formula>
    </cfRule>
  </conditionalFormatting>
  <conditionalFormatting sqref="C51">
    <cfRule type="cellIs" dxfId="517" priority="195" stopIfTrue="1" operator="greaterThan">
      <formula>100</formula>
    </cfRule>
    <cfRule type="cellIs" dxfId="516" priority="194" stopIfTrue="1" operator="lessThan">
      <formula>96</formula>
    </cfRule>
  </conditionalFormatting>
  <conditionalFormatting sqref="C66">
    <cfRule type="cellIs" dxfId="515" priority="122" stopIfTrue="1" operator="greaterThan">
      <formula>$F66</formula>
    </cfRule>
  </conditionalFormatting>
  <conditionalFormatting sqref="C66:C67">
    <cfRule type="cellIs" dxfId="514" priority="123" stopIfTrue="1" operator="lessThanOrEqual">
      <formula>0</formula>
    </cfRule>
  </conditionalFormatting>
  <conditionalFormatting sqref="C67">
    <cfRule type="cellIs" dxfId="513" priority="198" stopIfTrue="1" operator="greaterThan">
      <formula>$F66</formula>
    </cfRule>
  </conditionalFormatting>
  <conditionalFormatting sqref="C68:C70">
    <cfRule type="cellIs" dxfId="512" priority="130" stopIfTrue="1" operator="greaterThan">
      <formula>$F68</formula>
    </cfRule>
  </conditionalFormatting>
  <conditionalFormatting sqref="C68:C71">
    <cfRule type="cellIs" dxfId="511" priority="141" stopIfTrue="1" operator="lessThanOrEqual">
      <formula>0</formula>
    </cfRule>
  </conditionalFormatting>
  <conditionalFormatting sqref="C71">
    <cfRule type="cellIs" dxfId="510" priority="140" stopIfTrue="1" operator="greaterThan">
      <formula>$J71</formula>
    </cfRule>
  </conditionalFormatting>
  <conditionalFormatting sqref="C75">
    <cfRule type="cellIs" dxfId="509" priority="108" stopIfTrue="1" operator="greaterThan">
      <formula>$J75</formula>
    </cfRule>
    <cfRule type="cellIs" dxfId="508" priority="109" stopIfTrue="1" operator="lessThanOrEqual">
      <formula>0</formula>
    </cfRule>
  </conditionalFormatting>
  <conditionalFormatting sqref="C78:C82">
    <cfRule type="cellIs" dxfId="507" priority="186" stopIfTrue="1" operator="lessThanOrEqual">
      <formula>0</formula>
    </cfRule>
  </conditionalFormatting>
  <conditionalFormatting sqref="C79:C82">
    <cfRule type="cellIs" dxfId="506" priority="185" stopIfTrue="1" operator="greaterThan">
      <formula>$F$78</formula>
    </cfRule>
  </conditionalFormatting>
  <conditionalFormatting sqref="C84">
    <cfRule type="cellIs" dxfId="505" priority="188" stopIfTrue="1" operator="lessThanOrEqual">
      <formula>0</formula>
    </cfRule>
    <cfRule type="cellIs" dxfId="504" priority="187" stopIfTrue="1" operator="greaterThan">
      <formula>$F$78</formula>
    </cfRule>
  </conditionalFormatting>
  <conditionalFormatting sqref="C78:D78 D80:D86">
    <cfRule type="cellIs" dxfId="503" priority="180" stopIfTrue="1" operator="greaterThan">
      <formula>4.5</formula>
    </cfRule>
  </conditionalFormatting>
  <conditionalFormatting sqref="D47:D48">
    <cfRule type="cellIs" dxfId="502" priority="164" operator="notBetween">
      <formula>#REF!</formula>
      <formula>#REF!</formula>
    </cfRule>
  </conditionalFormatting>
  <conditionalFormatting sqref="D66:D74">
    <cfRule type="cellIs" dxfId="501" priority="153" stopIfTrue="1" operator="lessThanOrEqual">
      <formula>0</formula>
    </cfRule>
  </conditionalFormatting>
  <conditionalFormatting sqref="D75">
    <cfRule type="cellIs" dxfId="500" priority="152" stopIfTrue="1" operator="lessThanOrEqual">
      <formula>0</formula>
    </cfRule>
  </conditionalFormatting>
  <conditionalFormatting sqref="D78 D80:D86">
    <cfRule type="cellIs" dxfId="499" priority="181" stopIfTrue="1" operator="lessThanOrEqual">
      <formula>0</formula>
    </cfRule>
  </conditionalFormatting>
  <conditionalFormatting sqref="D79">
    <cfRule type="cellIs" dxfId="498" priority="172" stopIfTrue="1" operator="greaterThan">
      <formula>$F$78</formula>
    </cfRule>
    <cfRule type="cellIs" dxfId="497" priority="173" stopIfTrue="1" operator="lessThanOrEqual">
      <formula>0</formula>
    </cfRule>
  </conditionalFormatting>
  <conditionalFormatting sqref="D66:E75">
    <cfRule type="cellIs" dxfId="496" priority="145" stopIfTrue="1" operator="greaterThan">
      <formula>$F66</formula>
    </cfRule>
  </conditionalFormatting>
  <conditionalFormatting sqref="E10:E22">
    <cfRule type="cellIs" dxfId="495" priority="76" operator="lessThan">
      <formula>48</formula>
    </cfRule>
  </conditionalFormatting>
  <conditionalFormatting sqref="E51">
    <cfRule type="cellIs" dxfId="494" priority="175" stopIfTrue="1" operator="greaterThan">
      <formula>100</formula>
    </cfRule>
    <cfRule type="cellIs" dxfId="493" priority="174" stopIfTrue="1" operator="lessThan">
      <formula>96.8</formula>
    </cfRule>
  </conditionalFormatting>
  <conditionalFormatting sqref="E66:E75">
    <cfRule type="cellIs" dxfId="492" priority="146" stopIfTrue="1" operator="lessThanOrEqual">
      <formula>0</formula>
    </cfRule>
  </conditionalFormatting>
  <conditionalFormatting sqref="E78:E86">
    <cfRule type="cellIs" dxfId="491" priority="166" stopIfTrue="1" operator="greaterThan">
      <formula>4.5</formula>
    </cfRule>
    <cfRule type="cellIs" dxfId="490" priority="167" stopIfTrue="1" operator="lessThanOrEqual">
      <formula>0</formula>
    </cfRule>
  </conditionalFormatting>
  <conditionalFormatting sqref="E50:F51">
    <cfRule type="cellIs" dxfId="489" priority="176" stopIfTrue="1" operator="lessThan">
      <formula>96.5</formula>
    </cfRule>
    <cfRule type="cellIs" dxfId="488" priority="177" stopIfTrue="1" operator="greaterThan">
      <formula>100</formula>
    </cfRule>
  </conditionalFormatting>
  <conditionalFormatting sqref="F10:F22">
    <cfRule type="cellIs" dxfId="487" priority="78" operator="greaterThan">
      <formula>60</formula>
    </cfRule>
  </conditionalFormatting>
  <conditionalFormatting sqref="F51">
    <cfRule type="cellIs" dxfId="486" priority="193" stopIfTrue="1" operator="greaterThan">
      <formula>100</formula>
    </cfRule>
    <cfRule type="cellIs" dxfId="485" priority="192" stopIfTrue="1" operator="lessThan">
      <formula>96.8</formula>
    </cfRule>
  </conditionalFormatting>
  <conditionalFormatting sqref="F75">
    <cfRule type="cellIs" dxfId="484" priority="148" stopIfTrue="1" operator="lessThanOrEqual">
      <formula>0</formula>
    </cfRule>
    <cfRule type="cellIs" dxfId="483" priority="147" stopIfTrue="1" operator="greaterThan">
      <formula>$F75</formula>
    </cfRule>
  </conditionalFormatting>
  <conditionalFormatting sqref="G66:G67 C72:C74">
    <cfRule type="cellIs" dxfId="482" priority="155" stopIfTrue="1" operator="lessThanOrEqual">
      <formula>0</formula>
    </cfRule>
    <cfRule type="cellIs" dxfId="481" priority="154" stopIfTrue="1" operator="greaterThan">
      <formula>$F66</formula>
    </cfRule>
  </conditionalFormatting>
  <conditionalFormatting sqref="G66:G67">
    <cfRule type="cellIs" dxfId="480" priority="125" stopIfTrue="1" operator="greaterThan">
      <formula>$F66</formula>
    </cfRule>
    <cfRule type="cellIs" dxfId="479" priority="126" stopIfTrue="1" operator="lessThanOrEqual">
      <formula>0</formula>
    </cfRule>
  </conditionalFormatting>
  <conditionalFormatting sqref="G68">
    <cfRule type="cellIs" dxfId="478" priority="196" stopIfTrue="1" operator="greaterThan">
      <formula>$F67</formula>
    </cfRule>
    <cfRule type="cellIs" dxfId="477" priority="197" stopIfTrue="1" operator="lessThanOrEqual">
      <formula>0</formula>
    </cfRule>
  </conditionalFormatting>
  <conditionalFormatting sqref="G69">
    <cfRule type="cellIs" dxfId="476" priority="150" stopIfTrue="1" operator="lessThanOrEqual">
      <formula>0</formula>
    </cfRule>
    <cfRule type="cellIs" dxfId="475" priority="149" stopIfTrue="1" operator="greaterThan">
      <formula>$F69</formula>
    </cfRule>
  </conditionalFormatting>
  <conditionalFormatting sqref="G70:G75">
    <cfRule type="cellIs" dxfId="474" priority="156" stopIfTrue="1" operator="greaterThan">
      <formula>$J70</formula>
    </cfRule>
    <cfRule type="cellIs" dxfId="473" priority="157" stopIfTrue="1" operator="lessThanOrEqual">
      <formula>0</formula>
    </cfRule>
  </conditionalFormatting>
  <conditionalFormatting sqref="G80:G85 C83 C85">
    <cfRule type="cellIs" dxfId="472" priority="189" stopIfTrue="1" operator="greaterThan">
      <formula>4.5</formula>
    </cfRule>
    <cfRule type="cellIs" dxfId="471" priority="190" stopIfTrue="1" operator="lessThanOrEqual">
      <formula>0</formula>
    </cfRule>
  </conditionalFormatting>
  <conditionalFormatting sqref="G10:H22">
    <cfRule type="expression" dxfId="470" priority="69">
      <formula>IF(+(IF(G10&lt;#REF!,0,IF(G10&gt;#REF!,0,1)))=0,1)</formula>
    </cfRule>
  </conditionalFormatting>
  <conditionalFormatting sqref="G79:H79">
    <cfRule type="cellIs" dxfId="469" priority="170" stopIfTrue="1" operator="greaterThan">
      <formula>$F$78</formula>
    </cfRule>
    <cfRule type="cellIs" dxfId="468" priority="171" stopIfTrue="1" operator="lessThanOrEqual">
      <formula>0</formula>
    </cfRule>
  </conditionalFormatting>
  <conditionalFormatting sqref="H26:H49 G37:G48">
    <cfRule type="cellIs" dxfId="467" priority="168" stopIfTrue="1" operator="greaterThan">
      <formula>0</formula>
    </cfRule>
  </conditionalFormatting>
  <conditionalFormatting sqref="H54">
    <cfRule type="cellIs" dxfId="466" priority="37" stopIfTrue="1" operator="lessThanOrEqual">
      <formula>0</formula>
    </cfRule>
    <cfRule type="cellIs" dxfId="465" priority="36" stopIfTrue="1" operator="greaterThan">
      <formula>$F$67</formula>
    </cfRule>
    <cfRule type="cellIs" dxfId="464" priority="28" stopIfTrue="1" operator="greaterThan">
      <formula>$F$64</formula>
    </cfRule>
    <cfRule type="cellIs" dxfId="463" priority="39" stopIfTrue="1" operator="lessThanOrEqual">
      <formula>0</formula>
    </cfRule>
    <cfRule type="cellIs" dxfId="462" priority="27" stopIfTrue="1" operator="lessThanOrEqual">
      <formula>0</formula>
    </cfRule>
    <cfRule type="cellIs" dxfId="461" priority="38" stopIfTrue="1" operator="greaterThan">
      <formula>$F$65</formula>
    </cfRule>
  </conditionalFormatting>
  <conditionalFormatting sqref="H55 H57 H59">
    <cfRule type="cellIs" dxfId="460" priority="82" stopIfTrue="1" operator="lessThanOrEqual">
      <formula>0</formula>
    </cfRule>
    <cfRule type="cellIs" dxfId="459" priority="91" stopIfTrue="1" operator="greaterThan">
      <formula>$F$68</formula>
    </cfRule>
    <cfRule type="cellIs" dxfId="458" priority="93" stopIfTrue="1" operator="greaterThan">
      <formula>$F$66</formula>
    </cfRule>
    <cfRule type="cellIs" dxfId="457" priority="94" stopIfTrue="1" operator="lessThanOrEqual">
      <formula>0</formula>
    </cfRule>
    <cfRule type="cellIs" dxfId="456" priority="83" stopIfTrue="1" operator="greaterThan">
      <formula>$F$65</formula>
    </cfRule>
    <cfRule type="cellIs" dxfId="455" priority="92" stopIfTrue="1" operator="lessThanOrEqual">
      <formula>0</formula>
    </cfRule>
  </conditionalFormatting>
  <conditionalFormatting sqref="H56">
    <cfRule type="cellIs" dxfId="454" priority="14" stopIfTrue="1" operator="lessThanOrEqual">
      <formula>0</formula>
    </cfRule>
    <cfRule type="cellIs" dxfId="453" priority="13" stopIfTrue="1" operator="greaterThan">
      <formula>$F$65</formula>
    </cfRule>
    <cfRule type="cellIs" dxfId="452" priority="12" stopIfTrue="1" operator="lessThanOrEqual">
      <formula>0</formula>
    </cfRule>
    <cfRule type="cellIs" dxfId="451" priority="11" stopIfTrue="1" operator="greaterThan">
      <formula>$F$67</formula>
    </cfRule>
    <cfRule type="cellIs" dxfId="450" priority="3" stopIfTrue="1" operator="greaterThan">
      <formula>$F$64</formula>
    </cfRule>
    <cfRule type="cellIs" dxfId="449" priority="2" stopIfTrue="1" operator="lessThanOrEqual">
      <formula>0</formula>
    </cfRule>
  </conditionalFormatting>
  <conditionalFormatting sqref="H58">
    <cfRule type="cellIs" dxfId="448" priority="42" stopIfTrue="1" operator="greaterThan">
      <formula>$F$64</formula>
    </cfRule>
    <cfRule type="cellIs" dxfId="447" priority="41" stopIfTrue="1" operator="lessThanOrEqual">
      <formula>0</formula>
    </cfRule>
    <cfRule type="cellIs" dxfId="446" priority="50" stopIfTrue="1" operator="greaterThan">
      <formula>$F$67</formula>
    </cfRule>
    <cfRule type="cellIs" dxfId="445" priority="51" stopIfTrue="1" operator="lessThanOrEqual">
      <formula>0</formula>
    </cfRule>
    <cfRule type="cellIs" dxfId="444" priority="52" stopIfTrue="1" operator="greaterThan">
      <formula>$F$65</formula>
    </cfRule>
    <cfRule type="cellIs" dxfId="443" priority="53" stopIfTrue="1" operator="lessThanOrEqual">
      <formula>0</formula>
    </cfRule>
  </conditionalFormatting>
  <conditionalFormatting sqref="H60">
    <cfRule type="cellIs" dxfId="442" priority="121" stopIfTrue="1" operator="lessThanOrEqual">
      <formula>0</formula>
    </cfRule>
    <cfRule type="cellIs" dxfId="441" priority="111" stopIfTrue="1" operator="lessThanOrEqual">
      <formula>0</formula>
    </cfRule>
    <cfRule type="cellIs" dxfId="440" priority="112" stopIfTrue="1" operator="greaterThan">
      <formula>#REF!</formula>
    </cfRule>
    <cfRule type="cellIs" dxfId="439" priority="120" stopIfTrue="1" operator="greaterThan">
      <formula>#REF!</formula>
    </cfRule>
  </conditionalFormatting>
  <conditionalFormatting sqref="H61">
    <cfRule type="cellIs" dxfId="438" priority="103" stopIfTrue="1" operator="greaterThan">
      <formula>$F$69</formula>
    </cfRule>
    <cfRule type="cellIs" dxfId="437" priority="104" stopIfTrue="1" operator="lessThanOrEqual">
      <formula>0</formula>
    </cfRule>
    <cfRule type="cellIs" dxfId="436" priority="106" stopIfTrue="1" operator="lessThanOrEqual">
      <formula>0</formula>
    </cfRule>
    <cfRule type="cellIs" dxfId="435" priority="105" stopIfTrue="1" operator="greaterThan">
      <formula>$F$67</formula>
    </cfRule>
    <cfRule type="cellIs" dxfId="434" priority="96" stopIfTrue="1" operator="lessThanOrEqual">
      <formula>0</formula>
    </cfRule>
  </conditionalFormatting>
  <conditionalFormatting sqref="H62">
    <cfRule type="cellIs" dxfId="433" priority="159" stopIfTrue="1" operator="greaterThan">
      <formula>$F$63</formula>
    </cfRule>
    <cfRule type="cellIs" dxfId="432" priority="160" stopIfTrue="1" operator="lessThanOrEqual">
      <formula>0</formula>
    </cfRule>
    <cfRule type="cellIs" dxfId="431" priority="161" stopIfTrue="1" operator="greaterThan">
      <formula>$F$60</formula>
    </cfRule>
    <cfRule type="cellIs" dxfId="430" priority="162" stopIfTrue="1" operator="lessThanOrEqual">
      <formula>0</formula>
    </cfRule>
  </conditionalFormatting>
  <conditionalFormatting sqref="H66:H74">
    <cfRule type="cellIs" dxfId="429" priority="139" stopIfTrue="1" operator="lessThanOrEqual">
      <formula>0</formula>
    </cfRule>
    <cfRule type="cellIs" dxfId="428" priority="138" stopIfTrue="1" operator="greaterThan">
      <formula>$J66</formula>
    </cfRule>
  </conditionalFormatting>
  <conditionalFormatting sqref="H75">
    <cfRule type="cellIs" dxfId="427" priority="142" operator="greaterThan">
      <formula>5.3</formula>
    </cfRule>
  </conditionalFormatting>
  <conditionalFormatting sqref="H78 H80:H86">
    <cfRule type="cellIs" dxfId="426" priority="182" stopIfTrue="1" operator="greaterThan">
      <formula>4.5</formula>
    </cfRule>
    <cfRule type="cellIs" dxfId="425" priority="183" stopIfTrue="1" operator="lessThanOrEqual">
      <formula>0</formula>
    </cfRule>
  </conditionalFormatting>
  <conditionalFormatting sqref="H54:I54">
    <cfRule type="cellIs" dxfId="424" priority="26" stopIfTrue="1" operator="greaterThan">
      <formula>$F$66</formula>
    </cfRule>
    <cfRule type="cellIs" dxfId="423" priority="29" stopIfTrue="1" operator="lessThanOrEqual">
      <formula>0</formula>
    </cfRule>
  </conditionalFormatting>
  <conditionalFormatting sqref="H55:I55 H57:I57 H59:I59">
    <cfRule type="cellIs" dxfId="422" priority="81" stopIfTrue="1" operator="greaterThan">
      <formula>$F$67</formula>
    </cfRule>
    <cfRule type="cellIs" dxfId="421" priority="84" stopIfTrue="1" operator="lessThanOrEqual">
      <formula>0</formula>
    </cfRule>
  </conditionalFormatting>
  <conditionalFormatting sqref="H56:I56">
    <cfRule type="cellIs" dxfId="420" priority="1" stopIfTrue="1" operator="greaterThan">
      <formula>$F$66</formula>
    </cfRule>
    <cfRule type="cellIs" dxfId="419" priority="4" stopIfTrue="1" operator="lessThanOrEqual">
      <formula>0</formula>
    </cfRule>
  </conditionalFormatting>
  <conditionalFormatting sqref="H58:I58">
    <cfRule type="cellIs" dxfId="418" priority="40" stopIfTrue="1" operator="greaterThan">
      <formula>$F$66</formula>
    </cfRule>
    <cfRule type="cellIs" dxfId="417" priority="43" stopIfTrue="1" operator="lessThanOrEqual">
      <formula>0</formula>
    </cfRule>
  </conditionalFormatting>
  <conditionalFormatting sqref="H60:I60">
    <cfRule type="cellIs" dxfId="416" priority="110" stopIfTrue="1" operator="greaterThan">
      <formula>#REF!</formula>
    </cfRule>
    <cfRule type="cellIs" dxfId="415" priority="116" stopIfTrue="1" operator="greaterThan">
      <formula>#REF!</formula>
    </cfRule>
    <cfRule type="cellIs" dxfId="414" priority="113" stopIfTrue="1" operator="lessThanOrEqual">
      <formula>0</formula>
    </cfRule>
  </conditionalFormatting>
  <conditionalFormatting sqref="H60:I61">
    <cfRule type="cellIs" dxfId="413" priority="119" stopIfTrue="1" operator="lessThanOrEqual">
      <formula>0</formula>
    </cfRule>
  </conditionalFormatting>
  <conditionalFormatting sqref="H61:I61">
    <cfRule type="cellIs" dxfId="412" priority="95" stopIfTrue="1" operator="greaterThan">
      <formula>$F$68</formula>
    </cfRule>
    <cfRule type="cellIs" dxfId="411" priority="97" stopIfTrue="1" operator="greaterThan">
      <formula>$F$66</formula>
    </cfRule>
  </conditionalFormatting>
  <conditionalFormatting sqref="I54">
    <cfRule type="cellIs" dxfId="410" priority="32" stopIfTrue="1" operator="greaterThan">
      <formula>$F$66</formula>
    </cfRule>
    <cfRule type="cellIs" dxfId="409" priority="33" stopIfTrue="1" operator="lessThanOrEqual">
      <formula>0</formula>
    </cfRule>
    <cfRule type="cellIs" dxfId="408" priority="35" stopIfTrue="1" operator="lessThanOrEqual">
      <formula>0</formula>
    </cfRule>
    <cfRule type="cellIs" dxfId="407" priority="31" stopIfTrue="1" operator="lessThanOrEqual">
      <formula>0</formula>
    </cfRule>
    <cfRule type="cellIs" dxfId="406" priority="30" stopIfTrue="1" operator="greaterThan">
      <formula>$F$64</formula>
    </cfRule>
    <cfRule type="cellIs" dxfId="405" priority="34" stopIfTrue="1" operator="greaterThan">
      <formula>$F$64</formula>
    </cfRule>
  </conditionalFormatting>
  <conditionalFormatting sqref="I55 I57 I59">
    <cfRule type="cellIs" dxfId="404" priority="85" stopIfTrue="1" operator="greaterThan">
      <formula>$F$65</formula>
    </cfRule>
    <cfRule type="cellIs" dxfId="403" priority="86" stopIfTrue="1" operator="lessThanOrEqual">
      <formula>0</formula>
    </cfRule>
    <cfRule type="cellIs" dxfId="402" priority="87" stopIfTrue="1" operator="greaterThan">
      <formula>$F$67</formula>
    </cfRule>
    <cfRule type="cellIs" dxfId="401" priority="88" stopIfTrue="1" operator="lessThanOrEqual">
      <formula>0</formula>
    </cfRule>
    <cfRule type="cellIs" dxfId="400" priority="89" stopIfTrue="1" operator="greaterThan">
      <formula>$F$65</formula>
    </cfRule>
    <cfRule type="cellIs" dxfId="399" priority="90" stopIfTrue="1" operator="lessThanOrEqual">
      <formula>0</formula>
    </cfRule>
  </conditionalFormatting>
  <conditionalFormatting sqref="I56">
    <cfRule type="cellIs" dxfId="398" priority="8" stopIfTrue="1" operator="lessThanOrEqual">
      <formula>0</formula>
    </cfRule>
    <cfRule type="cellIs" dxfId="397" priority="10" stopIfTrue="1" operator="lessThanOrEqual">
      <formula>0</formula>
    </cfRule>
    <cfRule type="cellIs" dxfId="396" priority="9" stopIfTrue="1" operator="greaterThan">
      <formula>$F$64</formula>
    </cfRule>
    <cfRule type="cellIs" dxfId="395" priority="7" stopIfTrue="1" operator="greaterThan">
      <formula>$F$66</formula>
    </cfRule>
    <cfRule type="cellIs" dxfId="394" priority="6" stopIfTrue="1" operator="lessThanOrEqual">
      <formula>0</formula>
    </cfRule>
    <cfRule type="cellIs" dxfId="393" priority="5" stopIfTrue="1" operator="greaterThan">
      <formula>$F$64</formula>
    </cfRule>
  </conditionalFormatting>
  <conditionalFormatting sqref="I58">
    <cfRule type="cellIs" dxfId="392" priority="46" stopIfTrue="1" operator="greaterThan">
      <formula>$F$66</formula>
    </cfRule>
    <cfRule type="cellIs" dxfId="391" priority="49" stopIfTrue="1" operator="lessThanOrEqual">
      <formula>0</formula>
    </cfRule>
    <cfRule type="cellIs" dxfId="390" priority="48" stopIfTrue="1" operator="greaterThan">
      <formula>$F$64</formula>
    </cfRule>
    <cfRule type="cellIs" dxfId="389" priority="47" stopIfTrue="1" operator="lessThanOrEqual">
      <formula>0</formula>
    </cfRule>
    <cfRule type="cellIs" dxfId="388" priority="45" stopIfTrue="1" operator="lessThanOrEqual">
      <formula>0</formula>
    </cfRule>
    <cfRule type="cellIs" dxfId="387" priority="44" stopIfTrue="1" operator="greaterThan">
      <formula>$F$64</formula>
    </cfRule>
  </conditionalFormatting>
  <conditionalFormatting sqref="I60">
    <cfRule type="cellIs" dxfId="386" priority="117" stopIfTrue="1" operator="lessThanOrEqual">
      <formula>0</formula>
    </cfRule>
    <cfRule type="cellIs" dxfId="385" priority="114" stopIfTrue="1" operator="greaterThan">
      <formula>#REF!</formula>
    </cfRule>
    <cfRule type="cellIs" dxfId="384" priority="118" stopIfTrue="1" operator="greaterThan">
      <formula>#REF!</formula>
    </cfRule>
    <cfRule type="cellIs" dxfId="383" priority="115" stopIfTrue="1" operator="lessThanOrEqual">
      <formula>0</formula>
    </cfRule>
  </conditionalFormatting>
  <conditionalFormatting sqref="I61">
    <cfRule type="cellIs" dxfId="382" priority="102" stopIfTrue="1" operator="lessThanOrEqual">
      <formula>0</formula>
    </cfRule>
    <cfRule type="cellIs" dxfId="381" priority="98" stopIfTrue="1" operator="lessThanOrEqual">
      <formula>0</formula>
    </cfRule>
    <cfRule type="cellIs" dxfId="380" priority="99" stopIfTrue="1" operator="greaterThan">
      <formula>$F$68</formula>
    </cfRule>
    <cfRule type="cellIs" dxfId="379" priority="100" stopIfTrue="1" operator="lessThanOrEqual">
      <formula>0</formula>
    </cfRule>
    <cfRule type="cellIs" dxfId="378" priority="101" stopIfTrue="1" operator="greaterThan">
      <formula>$F$66</formula>
    </cfRule>
  </conditionalFormatting>
  <conditionalFormatting sqref="I66:I75">
    <cfRule type="cellIs" dxfId="377" priority="144" stopIfTrue="1" operator="lessThanOrEqual">
      <formula>0</formula>
    </cfRule>
    <cfRule type="cellIs" dxfId="376" priority="143" stopIfTrue="1" operator="greaterThan">
      <formula>$J66</formula>
    </cfRule>
  </conditionalFormatting>
  <conditionalFormatting sqref="I78:I86">
    <cfRule type="cellIs" dxfId="375" priority="178" stopIfTrue="1" operator="greaterThan">
      <formula>4.5</formula>
    </cfRule>
    <cfRule type="cellIs" dxfId="374" priority="179" stopIfTrue="1" operator="lessThanOrEqual">
      <formula>0</formula>
    </cfRule>
  </conditionalFormatting>
  <conditionalFormatting sqref="I10:J22">
    <cfRule type="cellIs" dxfId="373" priority="79" operator="lessThan">
      <formula>97.9</formula>
    </cfRule>
  </conditionalFormatting>
  <conditionalFormatting sqref="J25">
    <cfRule type="cellIs" dxfId="372" priority="80" operator="lessThan">
      <formula>97.9</formula>
    </cfRule>
  </conditionalFormatting>
  <conditionalFormatting sqref="J26:J27">
    <cfRule type="cellIs" dxfId="371" priority="131" stopIfTrue="1" operator="lessThan">
      <formula>96.8</formula>
    </cfRule>
    <cfRule type="cellIs" dxfId="370" priority="133" operator="lessThan">
      <formula>98</formula>
    </cfRule>
    <cfRule type="cellIs" dxfId="369" priority="132" stopIfTrue="1" operator="greaterThan">
      <formula>100</formula>
    </cfRule>
  </conditionalFormatting>
  <conditionalFormatting sqref="J26:J29">
    <cfRule type="cellIs" dxfId="368" priority="124" operator="lessThan">
      <formula>97.4</formula>
    </cfRule>
  </conditionalFormatting>
  <conditionalFormatting sqref="J30">
    <cfRule type="cellIs" dxfId="367" priority="134" operator="lessThan">
      <formula>98</formula>
    </cfRule>
  </conditionalFormatting>
  <conditionalFormatting sqref="J31:J33">
    <cfRule type="cellIs" dxfId="366" priority="136" stopIfTrue="1" operator="greaterThan">
      <formula>100</formula>
    </cfRule>
    <cfRule type="cellIs" dxfId="365" priority="135" stopIfTrue="1" operator="lessThan">
      <formula>96.8</formula>
    </cfRule>
  </conditionalFormatting>
  <conditionalFormatting sqref="J31:J34">
    <cfRule type="cellIs" dxfId="364" priority="137" operator="lessThan">
      <formula>98</formula>
    </cfRule>
  </conditionalFormatting>
  <conditionalFormatting sqref="K10:K22">
    <cfRule type="cellIs" dxfId="363" priority="77" operator="greaterThan">
      <formula>6.4</formula>
    </cfRule>
    <cfRule type="cellIs" dxfId="362" priority="73" operator="lessThan">
      <formula>4</formula>
    </cfRule>
    <cfRule type="cellIs" dxfId="361" priority="72" operator="greaterThan">
      <formula>6</formula>
    </cfRule>
  </conditionalFormatting>
  <conditionalFormatting sqref="K39:K48">
    <cfRule type="cellIs" dxfId="360" priority="151" operator="notEqual">
      <formula>#REF!</formula>
    </cfRule>
  </conditionalFormatting>
  <conditionalFormatting sqref="K54:K62">
    <cfRule type="cellIs" dxfId="359" priority="68" stopIfTrue="1" operator="lessThan">
      <formula>100%</formula>
    </cfRule>
  </conditionalFormatting>
  <conditionalFormatting sqref="K78:K83">
    <cfRule type="cellIs" dxfId="358" priority="184" stopIfTrue="1" operator="lessThan">
      <formula>100%</formula>
    </cfRule>
  </conditionalFormatting>
  <conditionalFormatting sqref="K85:K86">
    <cfRule type="cellIs" dxfId="357" priority="191" stopIfTrue="1" operator="lessThan">
      <formula>100%</formula>
    </cfRule>
  </conditionalFormatting>
  <conditionalFormatting sqref="K66:N75">
    <cfRule type="cellIs" dxfId="356" priority="158" stopIfTrue="1" operator="lessThan">
      <formula>100%</formula>
    </cfRule>
  </conditionalFormatting>
  <conditionalFormatting sqref="L10:L22">
    <cfRule type="cellIs" dxfId="355" priority="74" operator="between">
      <formula>61</formula>
      <formula>65</formula>
    </cfRule>
    <cfRule type="cellIs" dxfId="354" priority="75" operator="greaterThan">
      <formula>65</formula>
    </cfRule>
  </conditionalFormatting>
  <conditionalFormatting sqref="L25:M36">
    <cfRule type="cellIs" dxfId="353" priority="107" operator="lessThan">
      <formula>98</formula>
    </cfRule>
  </conditionalFormatting>
  <conditionalFormatting sqref="L40:N40">
    <cfRule type="cellIs" dxfId="352" priority="127" operator="notEqual">
      <formula>#REF!</formula>
    </cfRule>
  </conditionalFormatting>
  <conditionalFormatting sqref="L78:N86">
    <cfRule type="cellIs" dxfId="351" priority="169" stopIfTrue="1" operator="lessThan">
      <formula>100%</formula>
    </cfRule>
  </conditionalFormatting>
  <conditionalFormatting sqref="M10:M22">
    <cfRule type="expression" dxfId="350" priority="70">
      <formula>IF(+(IF(M10&lt;V10,0,IF(M10&gt;W10,0,1)))=0,1)</formula>
    </cfRule>
  </conditionalFormatting>
  <conditionalFormatting sqref="M6:N6">
    <cfRule type="cellIs" dxfId="349" priority="129" operator="greaterThanOrEqual">
      <formula>19</formula>
    </cfRule>
    <cfRule type="cellIs" dxfId="348" priority="128" operator="greaterThanOrEqual">
      <formula>15</formula>
    </cfRule>
  </conditionalFormatting>
  <conditionalFormatting sqref="N10:N22">
    <cfRule type="expression" dxfId="347" priority="71">
      <formula>IF(+(IF(N10&lt;X10,0,IF(N10&gt;Y10,0,1)))=0,1)</formula>
    </cfRule>
  </conditionalFormatting>
  <conditionalFormatting sqref="P6">
    <cfRule type="cellIs" dxfId="346" priority="165" operator="greaterThanOrEqual">
      <formula>19</formula>
    </cfRule>
  </conditionalFormatting>
  <dataValidations count="1">
    <dataValidation type="list" allowBlank="1" showInputMessage="1" showErrorMessage="1" sqref="S8" xr:uid="{6E7C0D01-8B6B-41C0-9312-9E0F7B18059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F339-0CEC-472D-A400-FFAEB6878F6C}">
  <sheetPr>
    <pageSetUpPr fitToPage="1"/>
  </sheetPr>
  <dimension ref="A1:BF86"/>
  <sheetViews>
    <sheetView topLeftCell="A14" zoomScale="83" zoomScaleNormal="70" workbookViewId="0">
      <selection activeCell="G27" sqref="G27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77.109375" style="6" customWidth="1"/>
    <col min="17" max="17" width="0.6640625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45716</v>
      </c>
      <c r="D4" s="471"/>
      <c r="J4" s="402" t="s">
        <v>190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191</v>
      </c>
      <c r="K6" s="405"/>
      <c r="L6" s="311" t="s">
        <v>14</v>
      </c>
      <c r="M6" s="340">
        <v>2</v>
      </c>
      <c r="N6" s="340">
        <v>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6" customHeight="1">
      <c r="B10" s="33" t="s">
        <v>9</v>
      </c>
      <c r="C10" s="366" t="str">
        <f>[24]Brewhouse!$A96</f>
        <v>ST081</v>
      </c>
      <c r="D10" s="279">
        <f>[24]Brewhouse!$AD96</f>
        <v>53</v>
      </c>
      <c r="E10" s="279">
        <f>[24]Brewhouse!$AG96</f>
        <v>49.5</v>
      </c>
      <c r="F10" s="278">
        <f>[24]Brewhouse!$V96</f>
        <v>61</v>
      </c>
      <c r="G10" s="279">
        <f>[24]Brewhouse!$AE96</f>
        <v>11.6</v>
      </c>
      <c r="H10" s="396">
        <v>11.7</v>
      </c>
      <c r="I10" s="417">
        <f>[24]Brewhouse!$AS96</f>
        <v>93.741070270083767</v>
      </c>
      <c r="J10" s="417">
        <f>[24]Brewhouse!$AT96</f>
        <v>96.997786418486157</v>
      </c>
      <c r="K10" s="398">
        <f>[24]Brewhouse!$Q96</f>
        <v>4.7531992687385758</v>
      </c>
      <c r="L10" s="276">
        <f>[24]Brewhouse!$P96</f>
        <v>62</v>
      </c>
      <c r="M10" s="374">
        <f>[24]Brewhouse!$U96-[24]Brewhouse!$T96</f>
        <v>0.12361111111111109</v>
      </c>
      <c r="N10" s="370">
        <f>[24]Brewhouse!$AW96</f>
        <v>0.27638888888888885</v>
      </c>
      <c r="O10" s="418" t="str">
        <f>[24]Brewhouse!$AV96</f>
        <v>K. Benjamin</v>
      </c>
      <c r="P10" s="369" t="s">
        <v>194</v>
      </c>
      <c r="Q10" s="347"/>
      <c r="S10" s="277" t="str">
        <f t="shared" ref="S10:S18" si="0">B10</f>
        <v>STAG</v>
      </c>
      <c r="T10" s="296">
        <f t="shared" ref="T10:T21" si="1">VLOOKUP($B10,$S$3:$Y$9,2,FALSE)</f>
        <v>11.6</v>
      </c>
      <c r="U10" s="296">
        <f t="shared" ref="U10:U21" si="2">VLOOKUP($B10,$S$3:$Y$9,3,FALSE)</f>
        <v>12</v>
      </c>
      <c r="V10" s="297">
        <f t="shared" ref="V10:V21" si="3">VLOOKUP($B10,$S$3:$Y$9,4,FALSE)</f>
        <v>0</v>
      </c>
      <c r="W10" s="297">
        <f t="shared" ref="W10:W21" si="4">VLOOKUP($B10,$S$3:$Y$9,5,FALSE)</f>
        <v>0.118055555555556</v>
      </c>
      <c r="X10" s="297">
        <f t="shared" ref="X10:X21" si="5">VLOOKUP($B10,$S$3:$Y$9,6,FALSE)</f>
        <v>0.22569444444444445</v>
      </c>
      <c r="Y10" s="297">
        <f t="shared" ref="Y10:Y21" si="6">VLOOKUP($B10,$S$3:$Y$9,7,FALSE)</f>
        <v>0.2638888888888889</v>
      </c>
      <c r="Z10" s="297">
        <f t="shared" ref="Z10:Z21" si="7">VLOOKUP($B10,$S$3:$AA$9,8,FALSE)</f>
        <v>0</v>
      </c>
      <c r="AA10" s="296">
        <f t="shared" ref="AA10:AA21" si="8">VLOOKUP($B10,$S$3:$AA$9,9,FALSE)</f>
        <v>60</v>
      </c>
    </row>
    <row r="11" spans="2:30" ht="26.4" customHeight="1">
      <c r="B11" s="33" t="s">
        <v>9</v>
      </c>
      <c r="C11" s="366" t="str">
        <f>[24]Brewhouse!$A97</f>
        <v>ST082</v>
      </c>
      <c r="D11" s="279">
        <f>[24]Brewhouse!$AD97</f>
        <v>53.3</v>
      </c>
      <c r="E11" s="279">
        <f>[24]Brewhouse!$AG97</f>
        <v>50</v>
      </c>
      <c r="F11" s="278">
        <f>[24]Brewhouse!$V97</f>
        <v>68</v>
      </c>
      <c r="G11" s="279">
        <f>[24]Brewhouse!$AE97</f>
        <v>11.6</v>
      </c>
      <c r="H11" s="396">
        <v>11.7</v>
      </c>
      <c r="I11" s="417">
        <f>[24]Brewhouse!$AS97</f>
        <v>94.687949767761395</v>
      </c>
      <c r="J11" s="417">
        <f>[24]Brewhouse!$AT97</f>
        <v>97.977562038874908</v>
      </c>
      <c r="K11" s="398">
        <f>[24]Brewhouse!$Q97</f>
        <v>4.3875685557586808</v>
      </c>
      <c r="L11" s="276">
        <f>[24]Brewhouse!$P97</f>
        <v>60</v>
      </c>
      <c r="M11" s="374">
        <f>[24]Brewhouse!$U97-[24]Brewhouse!$T97</f>
        <v>0.11388888888888887</v>
      </c>
      <c r="N11" s="370">
        <f>[24]Brewhouse!$AW97</f>
        <v>0.32569444444444445</v>
      </c>
      <c r="O11" s="418" t="str">
        <f>[24]Brewhouse!$AV97</f>
        <v>R. Regis</v>
      </c>
      <c r="P11" s="369" t="s">
        <v>195</v>
      </c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6" customHeight="1">
      <c r="B12" s="33" t="s">
        <v>9</v>
      </c>
      <c r="C12" s="366" t="str">
        <f>[24]Brewhouse!$A98</f>
        <v>ST083</v>
      </c>
      <c r="D12" s="279">
        <f>[24]Brewhouse!$AD98</f>
        <v>53.1</v>
      </c>
      <c r="E12" s="279">
        <f>[24]Brewhouse!$AG98</f>
        <v>50</v>
      </c>
      <c r="F12" s="278">
        <f>[24]Brewhouse!$V98</f>
        <v>72</v>
      </c>
      <c r="G12" s="279">
        <f>[24]Brewhouse!$AE98</f>
        <v>11.8</v>
      </c>
      <c r="H12" s="396">
        <v>11.9</v>
      </c>
      <c r="I12" s="417">
        <f>[24]Brewhouse!$AS98</f>
        <v>96.284997099590015</v>
      </c>
      <c r="J12" s="417">
        <f>[24]Brewhouse!$AT98</f>
        <v>99.631193418928518</v>
      </c>
      <c r="K12" s="398">
        <f>[24]Brewhouse!$Q98</f>
        <v>5.0909090909090855</v>
      </c>
      <c r="L12" s="276">
        <f>[24]Brewhouse!$P98</f>
        <v>60</v>
      </c>
      <c r="M12" s="374">
        <f>[24]Brewhouse!$U98-[24]Brewhouse!$T98</f>
        <v>0.12291666666666667</v>
      </c>
      <c r="N12" s="370">
        <f>[24]Brewhouse!$AW98</f>
        <v>0.28125</v>
      </c>
      <c r="O12" s="418" t="str">
        <f>[24]Brewhouse!$AV98</f>
        <v>R. Regis</v>
      </c>
      <c r="P12" s="369" t="s">
        <v>196</v>
      </c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6" customHeight="1">
      <c r="B13" s="33" t="s">
        <v>9</v>
      </c>
      <c r="C13" s="366" t="str">
        <f>[24]Brewhouse!$A99</f>
        <v>ST084</v>
      </c>
      <c r="D13" s="279">
        <f>[24]Brewhouse!$AD99</f>
        <v>54</v>
      </c>
      <c r="E13" s="279">
        <f>[24]Brewhouse!$AG99</f>
        <v>51</v>
      </c>
      <c r="F13" s="278">
        <f>[24]Brewhouse!$V99</f>
        <v>64</v>
      </c>
      <c r="G13" s="279">
        <f>[24]Brewhouse!$AE99</f>
        <v>11.6</v>
      </c>
      <c r="H13" s="396">
        <v>11.8</v>
      </c>
      <c r="I13" s="417">
        <f>[24]Brewhouse!$AS99</f>
        <v>97.212508885391316</v>
      </c>
      <c r="J13" s="417">
        <f>[24]Brewhouse!$AT99</f>
        <v>100.59204692405379</v>
      </c>
      <c r="K13" s="398">
        <f>[24]Brewhouse!$Q99</f>
        <v>3.9783001808318188</v>
      </c>
      <c r="L13" s="276">
        <f>[24]Brewhouse!$P99</f>
        <v>64</v>
      </c>
      <c r="M13" s="374">
        <f>[24]Brewhouse!$U99-[24]Brewhouse!$T99</f>
        <v>0.11319444444444449</v>
      </c>
      <c r="N13" s="370">
        <f>[24]Brewhouse!$AW99</f>
        <v>0.28263888888888894</v>
      </c>
      <c r="O13" s="418" t="str">
        <f>[24]Brewhouse!$AV99</f>
        <v>R. Regis</v>
      </c>
      <c r="P13" s="369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6" customHeight="1">
      <c r="B14" s="33" t="s">
        <v>9</v>
      </c>
      <c r="C14" s="366" t="str">
        <f>[24]Brewhouse!$A100</f>
        <v>ST085</v>
      </c>
      <c r="D14" s="279">
        <f>[24]Brewhouse!$AD100</f>
        <v>52.2</v>
      </c>
      <c r="E14" s="279">
        <f>[24]Brewhouse!$AG100</f>
        <v>49</v>
      </c>
      <c r="F14" s="278">
        <f>[24]Brewhouse!$V100</f>
        <v>62</v>
      </c>
      <c r="G14" s="279">
        <f>[24]Brewhouse!$AE100</f>
        <v>11.7</v>
      </c>
      <c r="H14" s="396">
        <v>11.8</v>
      </c>
      <c r="I14" s="417">
        <f>[24]Brewhouse!$AS100</f>
        <v>93.636382272815794</v>
      </c>
      <c r="J14" s="417">
        <f>[24]Brewhouse!$AT100</f>
        <v>96.889461391149439</v>
      </c>
      <c r="K14" s="398">
        <f>[24]Brewhouse!$Q100</f>
        <v>7.7338129496402823</v>
      </c>
      <c r="L14" s="276">
        <f>[24]Brewhouse!$P100</f>
        <v>59</v>
      </c>
      <c r="M14" s="374">
        <f>[24]Brewhouse!$U100-[24]Brewhouse!$T100</f>
        <v>0.11249999999999993</v>
      </c>
      <c r="N14" s="370">
        <f>[24]Brewhouse!$AW100</f>
        <v>0.25555555555555554</v>
      </c>
      <c r="O14" s="418" t="str">
        <f>[24]Brewhouse!$AV100</f>
        <v>R.Sookram</v>
      </c>
      <c r="P14" s="369"/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6" customHeight="1">
      <c r="B15" s="33" t="s">
        <v>9</v>
      </c>
      <c r="C15" s="366" t="str">
        <f>[24]Brewhouse!$A101</f>
        <v>ST086</v>
      </c>
      <c r="D15" s="279">
        <f>[24]Brewhouse!$AD101</f>
        <v>52.3</v>
      </c>
      <c r="E15" s="279">
        <f>[24]Brewhouse!$AG101</f>
        <v>49.1</v>
      </c>
      <c r="F15" s="278">
        <f>[24]Brewhouse!$V101</f>
        <v>61</v>
      </c>
      <c r="G15" s="279">
        <f>[24]Brewhouse!$AE101</f>
        <v>11.8</v>
      </c>
      <c r="H15" s="367"/>
      <c r="I15" s="417">
        <f>[24]Brewhouse!$AS101</f>
        <v>94.671387189089145</v>
      </c>
      <c r="J15" s="417">
        <f>[24]Brewhouse!$AT101</f>
        <v>97.960424049475364</v>
      </c>
      <c r="K15" s="398">
        <f>[24]Brewhouse!$Q101</f>
        <v>6.355140186915885</v>
      </c>
      <c r="L15" s="276">
        <f>[24]Brewhouse!$P101</f>
        <v>61</v>
      </c>
      <c r="M15" s="374">
        <f>[24]Brewhouse!$U101-[24]Brewhouse!$T101</f>
        <v>0.11458333333333348</v>
      </c>
      <c r="N15" s="370">
        <f>[24]Brewhouse!$AW101</f>
        <v>0.27847222222222234</v>
      </c>
      <c r="O15" s="418" t="str">
        <f>[24]Brewhouse!$AV101</f>
        <v>R.Sookram</v>
      </c>
      <c r="P15" s="369"/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6" customHeight="1">
      <c r="B16" s="33" t="s">
        <v>9</v>
      </c>
      <c r="C16" s="366" t="str">
        <f>[24]Brewhouse!$A102</f>
        <v>ST087</v>
      </c>
      <c r="D16" s="279">
        <f>[24]Brewhouse!$AD102</f>
        <v>52.7</v>
      </c>
      <c r="E16" s="279">
        <f>[24]Brewhouse!$AG102</f>
        <v>49.3</v>
      </c>
      <c r="F16" s="278">
        <f>[24]Brewhouse!$V102</f>
        <v>57</v>
      </c>
      <c r="G16" s="279">
        <f>[24]Brewhouse!$AE102</f>
        <v>11.6</v>
      </c>
      <c r="H16" s="367"/>
      <c r="I16" s="417">
        <f>[24]Brewhouse!$AS102</f>
        <v>93.244451097177674</v>
      </c>
      <c r="J16" s="417">
        <f>[24]Brewhouse!$AT102</f>
        <v>96.484979200817648</v>
      </c>
      <c r="K16" s="398">
        <f>[24]Brewhouse!$Q102</f>
        <v>6.1594202898550696</v>
      </c>
      <c r="L16" s="276">
        <f>[24]Brewhouse!$P102</f>
        <v>61</v>
      </c>
      <c r="M16" s="374">
        <f>[24]Brewhouse!$U102-[24]Brewhouse!$T102</f>
        <v>0.11527777777777781</v>
      </c>
      <c r="N16" s="370">
        <f>[24]Brewhouse!$AW102</f>
        <v>0.27083333333333326</v>
      </c>
      <c r="O16" s="418" t="str">
        <f>[24]Brewhouse!$AV102</f>
        <v>K. Benjamin</v>
      </c>
      <c r="P16" s="369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6" customHeight="1">
      <c r="B17" s="33"/>
      <c r="C17" s="366"/>
      <c r="D17" s="279"/>
      <c r="E17" s="279"/>
      <c r="F17" s="278"/>
      <c r="G17" s="279"/>
      <c r="H17" s="396"/>
      <c r="I17" s="417"/>
      <c r="J17" s="417"/>
      <c r="K17" s="398"/>
      <c r="L17" s="276"/>
      <c r="M17" s="374"/>
      <c r="N17" s="370"/>
      <c r="O17" s="418"/>
      <c r="P17" s="36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6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6" customHeight="1">
      <c r="B19" s="33"/>
      <c r="C19" s="366"/>
      <c r="D19" s="279"/>
      <c r="E19" s="279"/>
      <c r="F19" s="278"/>
      <c r="G19" s="279"/>
      <c r="H19" s="396"/>
      <c r="I19" s="417"/>
      <c r="J19" s="417"/>
      <c r="K19" s="398"/>
      <c r="L19" s="276"/>
      <c r="M19" s="374"/>
      <c r="N19" s="370"/>
      <c r="O19" s="418"/>
      <c r="P19" s="369"/>
      <c r="Q19" s="347"/>
      <c r="S19" s="277">
        <f t="shared" ref="S19:S21" si="9">B19</f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34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00" t="s">
        <v>34</v>
      </c>
      <c r="J21" s="500"/>
      <c r="K21" s="500"/>
      <c r="L21" s="500"/>
      <c r="M21" s="500"/>
      <c r="N21" s="500"/>
      <c r="O21" s="1"/>
      <c r="P21" s="12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" thickBot="1">
      <c r="B22" s="388" t="s">
        <v>145</v>
      </c>
      <c r="C22" s="388"/>
      <c r="D22" s="478" t="s">
        <v>35</v>
      </c>
      <c r="E22" s="479"/>
      <c r="F22" s="294"/>
      <c r="G22" s="294"/>
      <c r="H22" s="23"/>
      <c r="I22" s="24" t="s">
        <v>17</v>
      </c>
      <c r="J22" s="25" t="s">
        <v>146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5" customHeight="1">
      <c r="A23" s="28"/>
      <c r="B23" s="566" t="s">
        <v>6</v>
      </c>
      <c r="C23" s="450" cm="1">
        <f t="array" ref="C23:C30">[22]Process!$D$201:$D$208</f>
        <v>11.9</v>
      </c>
      <c r="D23" s="555">
        <v>11.93</v>
      </c>
      <c r="E23" s="556"/>
      <c r="F23" s="294"/>
      <c r="G23" s="294"/>
      <c r="H23" s="294"/>
      <c r="I23" s="29" t="s">
        <v>6</v>
      </c>
      <c r="J23" s="368"/>
      <c r="K23" s="284">
        <f>COUNTA([22]Brewhouse!$A$173:$A$248)</f>
        <v>76</v>
      </c>
      <c r="L23" s="302">
        <f>AVERAGE([22]Brewhouse!$AU$28:$AU$248)</f>
        <v>96.685542233654289</v>
      </c>
      <c r="M23" s="302">
        <f>AVERAGE([22]Brewhouse!$AU$102:$AU$171,[22]Brewhouse!$AU$173:$AU$248)</f>
        <v>95.451531270692172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67"/>
      <c r="C24" s="349">
        <v>12</v>
      </c>
      <c r="D24" s="519"/>
      <c r="E24" s="507"/>
      <c r="F24" s="294"/>
      <c r="G24" s="294"/>
      <c r="H24" s="32"/>
      <c r="I24" s="33" t="s">
        <v>9</v>
      </c>
      <c r="J24" s="323">
        <f>AVERAGE(I10:I16)</f>
        <v>94.782678083129881</v>
      </c>
      <c r="K24" s="284">
        <f>COUNTA([24]Brewhouse!$A$66:$A$102)</f>
        <v>37</v>
      </c>
      <c r="L24" s="302">
        <f>AVERAGE([24]Brewhouse!$AS$66:$AS$102)</f>
        <v>95.666762522976995</v>
      </c>
      <c r="M24" s="302">
        <f>AVERAGE([24]Brewhouse!$AS$15:$AS$64,[24]Brewhouse!$AS$66:$AS$102)</f>
        <v>95.902722061850838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67"/>
      <c r="C25" s="349">
        <v>12</v>
      </c>
      <c r="D25" s="555">
        <v>11.93</v>
      </c>
      <c r="E25" s="556"/>
      <c r="F25" s="294"/>
      <c r="G25" s="294"/>
      <c r="H25" s="32"/>
      <c r="I25" s="34" t="s">
        <v>12</v>
      </c>
      <c r="J25" s="280"/>
      <c r="K25" s="284">
        <f>COUNTA([23]Brewhouse!$A$9:$A$22)</f>
        <v>14</v>
      </c>
      <c r="L25" s="302">
        <f>AVERAGE([23]Brewhouse!$AU$9:$AU$22)</f>
        <v>95.97048596821466</v>
      </c>
      <c r="M25" s="302">
        <f>AVERAGE([23]Brewhouse!$AU$4:$AU$7,[23]Brewhouse!$AU$9:$AU$22)</f>
        <v>96.221919722068549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67"/>
      <c r="C26" s="349">
        <v>11.8</v>
      </c>
      <c r="D26" s="519"/>
      <c r="E26" s="507"/>
      <c r="F26" s="294"/>
      <c r="G26" s="294"/>
      <c r="H26" s="32"/>
      <c r="I26" s="22" t="s">
        <v>33</v>
      </c>
      <c r="J26" s="280"/>
      <c r="K26" s="284">
        <f>COUNTA([25]Brewhouse!$A$16:$A$19)</f>
        <v>4</v>
      </c>
      <c r="L26" s="302">
        <f>AVERAGE([25]Brewhouse!$AV$16:$AV$19)</f>
        <v>99.193666402492596</v>
      </c>
      <c r="M26" s="302">
        <f>AVERAGE([25]Brewhouse!$AV$5:$AV$14,[25]Brewhouse!$AV$16:$AV$19)</f>
        <v>98.139385615971563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67"/>
      <c r="C27" s="349">
        <v>11.9</v>
      </c>
      <c r="D27" s="555">
        <v>11.94</v>
      </c>
      <c r="E27" s="556"/>
      <c r="F27" s="294"/>
      <c r="G27" s="294"/>
      <c r="H27" s="32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67"/>
      <c r="C28" s="349">
        <v>11.79</v>
      </c>
      <c r="D28" s="519"/>
      <c r="E28" s="507"/>
      <c r="F28" s="294"/>
      <c r="G28" s="294"/>
      <c r="H28" s="32"/>
      <c r="I28" s="36" t="s">
        <v>15</v>
      </c>
      <c r="J28" s="323"/>
      <c r="K28" s="284"/>
      <c r="L28" s="302"/>
      <c r="M28" s="302">
        <f>AVERAGE([26]Brewhouse!$AT$4:$AT$11)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67"/>
      <c r="C29" s="349">
        <v>11.8</v>
      </c>
      <c r="D29" s="555">
        <v>11.88</v>
      </c>
      <c r="E29" s="556"/>
      <c r="F29" s="294"/>
      <c r="G29" s="294"/>
      <c r="H29" s="32"/>
      <c r="I29" s="37" t="s">
        <v>16</v>
      </c>
      <c r="J29" s="323"/>
      <c r="K29" s="284">
        <f>COUNTA([27]Brewhouse!$A$15:$A$20)</f>
        <v>6</v>
      </c>
      <c r="L29" s="302">
        <f>AVERAGE([27]Brewhouse!$AY$15:$AY$20)</f>
        <v>95.874175970347281</v>
      </c>
      <c r="M29" s="302">
        <f>AVERAGE([27]Brewhouse!$AY$6:$AY$13,[27]Brewhouse!$AY$15:$AY$20)</f>
        <v>94.285964321968933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67"/>
      <c r="C30" s="349">
        <v>11.9</v>
      </c>
      <c r="D30" s="519"/>
      <c r="E30" s="507"/>
      <c r="F30" s="294"/>
      <c r="G30" s="294"/>
      <c r="H30" s="32"/>
      <c r="I30" s="416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67"/>
      <c r="C31" s="349"/>
      <c r="D31" s="555"/>
      <c r="E31" s="556"/>
      <c r="F31" s="294"/>
      <c r="G31" s="294"/>
      <c r="H31" s="32"/>
      <c r="I31" s="415" t="s">
        <v>157</v>
      </c>
      <c r="J31" s="326"/>
      <c r="K31" s="284"/>
      <c r="L31" s="305"/>
      <c r="M31" s="305"/>
      <c r="N31" s="30"/>
      <c r="O31" s="11"/>
      <c r="P31" s="31"/>
      <c r="S31" s="23"/>
    </row>
    <row r="32" spans="1:27" ht="15" customHeight="1" thickBot="1">
      <c r="A32" s="28"/>
      <c r="B32" s="567"/>
      <c r="C32" s="349"/>
      <c r="D32" s="519"/>
      <c r="E32" s="507"/>
      <c r="F32" s="294"/>
      <c r="G32" s="294"/>
      <c r="H32" s="32"/>
      <c r="I32" s="411" t="s">
        <v>156</v>
      </c>
      <c r="J32" s="327"/>
      <c r="K32" s="412"/>
      <c r="L32" s="413"/>
      <c r="M32" s="413"/>
      <c r="N32" s="414">
        <v>98</v>
      </c>
      <c r="O32" s="11"/>
      <c r="P32" s="31"/>
      <c r="S32" s="23"/>
    </row>
    <row r="33" spans="1:57" ht="15" customHeight="1" thickBot="1">
      <c r="A33" s="28"/>
      <c r="B33" s="567"/>
      <c r="C33" s="349"/>
      <c r="D33" s="504"/>
      <c r="E33" s="505"/>
      <c r="F33" s="294"/>
      <c r="G33" s="294"/>
      <c r="H33" s="32"/>
      <c r="I33" s="1"/>
      <c r="J33" s="39"/>
      <c r="K33" s="409">
        <f>SUM(K23:K32)</f>
        <v>137</v>
      </c>
      <c r="L33" s="410">
        <f>((L23*K23)+(L24*K24)+(L25*K25)+(L26*K26)+(L27*K27)+(K30*L30)+(L28*K28)+(L29*K29)+(L32*K32))/(K33)</f>
        <v>96.375021518941125</v>
      </c>
      <c r="M33" s="410">
        <f>AVERAGE('[29]Jan 31st'!$L$65,L33)</f>
        <v>95.775371490288805</v>
      </c>
      <c r="N33" s="40">
        <v>98</v>
      </c>
      <c r="O33" s="11"/>
      <c r="P33" s="31"/>
      <c r="S33" s="23"/>
    </row>
    <row r="34" spans="1:57" ht="15" thickBot="1">
      <c r="B34" s="578"/>
      <c r="C34" s="350"/>
      <c r="D34" s="506"/>
      <c r="E34" s="50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94"/>
      <c r="C35" s="362"/>
      <c r="D35" s="517"/>
      <c r="E35" s="518"/>
      <c r="F35" s="43"/>
      <c r="G35" s="41"/>
      <c r="H35" s="41"/>
      <c r="I35" s="42"/>
      <c r="J35" s="587" t="s">
        <v>129</v>
      </c>
      <c r="K35" s="588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76"/>
      <c r="C36" s="349"/>
      <c r="D36" s="519"/>
      <c r="E36" s="507"/>
      <c r="F36" s="43"/>
      <c r="G36" s="41"/>
      <c r="H36" s="41"/>
      <c r="I36" s="42"/>
      <c r="J36" s="453" t="s">
        <v>17</v>
      </c>
      <c r="K36" s="454" t="s">
        <v>147</v>
      </c>
      <c r="L36" s="521" t="s">
        <v>136</v>
      </c>
      <c r="M36" s="521"/>
      <c r="N36" s="522"/>
      <c r="O36" s="294"/>
      <c r="P36" s="12"/>
      <c r="S36" s="23"/>
    </row>
    <row r="37" spans="1:57" ht="15" customHeight="1" thickBot="1">
      <c r="B37" s="576"/>
      <c r="C37" s="349"/>
      <c r="D37" s="523"/>
      <c r="E37" s="505"/>
      <c r="F37" s="43"/>
      <c r="G37" s="41"/>
      <c r="H37" s="41"/>
      <c r="I37" s="42"/>
      <c r="J37" s="455" t="s">
        <v>6</v>
      </c>
      <c r="K37" s="456"/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76"/>
      <c r="C38" s="349"/>
      <c r="D38" s="519"/>
      <c r="E38" s="507"/>
      <c r="F38" s="43"/>
      <c r="G38" s="41"/>
      <c r="H38" s="41"/>
      <c r="I38" s="42"/>
      <c r="J38" s="457" t="s">
        <v>9</v>
      </c>
      <c r="K38" s="456">
        <f>COUNTA(B10:B16)</f>
        <v>7</v>
      </c>
      <c r="L38" s="344">
        <f>AVERAGE('Feb 3rd'!K79,'Feb 4th'!K77,'Feb 5th'!L68,'Feb 6th'!K75,'Feb 10th'!K69,'Feb 11th'!K68,'Feb 12th'!K70,'Feb 13th'!K69,'Feb 14th'!K47,'Feb 14th'!K47,'Feb 17th'!K47,'Feb 18th'!K47,'Feb 19th '!L38,'Feb 20th'!K49,'Feb 21st'!K45,'Feb 23rd'!K43,'Feb 24th'!K47,'Feb 25th'!K48,'Feb 26th'!K49,'Feb 27th'!K47)</f>
        <v>7.0615384615384613</v>
      </c>
      <c r="M38" s="325">
        <f>AVERAGE('[29]Jan 29th '!$M$70,L38)</f>
        <v>6.7807692307692307</v>
      </c>
      <c r="N38" s="401"/>
      <c r="O38" s="294"/>
      <c r="P38" s="12"/>
      <c r="S38" s="23"/>
    </row>
    <row r="39" spans="1:57" ht="15" customHeight="1">
      <c r="B39" s="576"/>
      <c r="C39" s="349"/>
      <c r="D39" s="523"/>
      <c r="E39" s="505"/>
      <c r="F39" s="43"/>
      <c r="G39" s="41"/>
      <c r="H39" s="41"/>
      <c r="I39" s="42"/>
      <c r="J39" s="458" t="s">
        <v>40</v>
      </c>
      <c r="K39" s="456"/>
      <c r="L39" s="294"/>
      <c r="M39" s="294"/>
      <c r="N39" s="294"/>
      <c r="O39" s="294"/>
      <c r="P39" s="12"/>
      <c r="S39" s="23"/>
    </row>
    <row r="40" spans="1:57" ht="15" customHeight="1">
      <c r="B40" s="576"/>
      <c r="C40" s="349"/>
      <c r="D40" s="519"/>
      <c r="E40" s="507"/>
      <c r="F40" s="43"/>
      <c r="G40" s="41"/>
      <c r="H40" s="41"/>
      <c r="I40" s="42"/>
      <c r="J40" s="459" t="s">
        <v>33</v>
      </c>
      <c r="K40" s="456"/>
      <c r="L40" s="294"/>
      <c r="M40" s="294"/>
      <c r="N40" s="294"/>
      <c r="O40" s="294"/>
      <c r="P40" s="12"/>
      <c r="S40" s="23"/>
    </row>
    <row r="41" spans="1:57" ht="14.4">
      <c r="B41" s="576"/>
      <c r="C41" s="349"/>
      <c r="D41" s="523"/>
      <c r="E41" s="505"/>
      <c r="F41" s="43"/>
      <c r="G41" s="41"/>
      <c r="H41" s="41"/>
      <c r="I41" s="42"/>
      <c r="J41" s="460" t="s">
        <v>16</v>
      </c>
      <c r="K41" s="456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76"/>
      <c r="C42" s="349"/>
      <c r="D42" s="519"/>
      <c r="E42" s="507"/>
      <c r="F42" s="43"/>
      <c r="G42" s="41"/>
      <c r="H42" s="41"/>
      <c r="I42" s="42"/>
      <c r="J42" s="461" t="s">
        <v>15</v>
      </c>
      <c r="K42" s="456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76"/>
      <c r="C43" s="349"/>
      <c r="D43" s="524"/>
      <c r="E43" s="509"/>
      <c r="F43" s="43"/>
      <c r="G43" s="41"/>
      <c r="H43" s="41"/>
      <c r="I43" s="42"/>
      <c r="J43" s="461" t="s">
        <v>149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77"/>
      <c r="C44" s="350"/>
      <c r="D44" s="525"/>
      <c r="E44" s="526"/>
      <c r="F44" s="43"/>
      <c r="G44" s="41"/>
      <c r="H44" s="41"/>
      <c r="I44" s="42"/>
      <c r="J44" s="461" t="s">
        <v>148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27">
        <f>AVERAGE(D23:E44)</f>
        <v>11.92</v>
      </c>
      <c r="E45" s="528"/>
      <c r="F45" s="43"/>
      <c r="G45" s="41"/>
      <c r="H45" s="41"/>
      <c r="I45" s="42"/>
      <c r="J45" s="462" t="s">
        <v>134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2"/>
      <c r="J46" s="462" t="s">
        <v>131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 thickBot="1">
      <c r="B47" s="45"/>
      <c r="C47" s="11"/>
      <c r="D47" s="11"/>
      <c r="E47" s="46"/>
      <c r="F47" s="23"/>
      <c r="G47" s="11"/>
      <c r="H47" s="41"/>
      <c r="I47" s="42"/>
      <c r="J47" s="463" t="s">
        <v>130</v>
      </c>
      <c r="K47" s="464">
        <f>SUM(K37:K46)</f>
        <v>7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29" t="s">
        <v>17</v>
      </c>
      <c r="C50" s="529" t="s">
        <v>44</v>
      </c>
      <c r="D50" s="531" t="s">
        <v>45</v>
      </c>
      <c r="E50" s="486" t="s">
        <v>46</v>
      </c>
      <c r="F50" s="546" t="s">
        <v>47</v>
      </c>
      <c r="G50" s="540" t="s">
        <v>48</v>
      </c>
      <c r="H50" s="529" t="s">
        <v>49</v>
      </c>
      <c r="I50" s="529" t="s">
        <v>50</v>
      </c>
      <c r="J50" s="534" t="s">
        <v>28</v>
      </c>
      <c r="K50" s="484" t="s">
        <v>51</v>
      </c>
      <c r="L50" s="496" t="s">
        <v>52</v>
      </c>
      <c r="M50" s="534" t="s">
        <v>53</v>
      </c>
      <c r="N50" s="77"/>
      <c r="O50" s="13"/>
      <c r="P50" s="50"/>
    </row>
    <row r="51" spans="2:58" ht="28.5" customHeight="1" thickTop="1" thickBot="1">
      <c r="B51" s="530"/>
      <c r="C51" s="530"/>
      <c r="D51" s="532"/>
      <c r="E51" s="533"/>
      <c r="F51" s="547"/>
      <c r="G51" s="541"/>
      <c r="H51" s="530"/>
      <c r="I51" s="530"/>
      <c r="J51" s="535"/>
      <c r="K51" s="544"/>
      <c r="L51" s="545"/>
      <c r="M51" s="535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42" customHeight="1">
      <c r="B52" s="387" t="str">
        <f>B64</f>
        <v>CARIB</v>
      </c>
      <c r="C52" s="283">
        <v>45715</v>
      </c>
      <c r="D52" s="279">
        <f>[30]February_2025!$AD$3</f>
        <v>391.70000000000005</v>
      </c>
      <c r="E52" s="279"/>
      <c r="F52" s="279">
        <f>SUM([31]CARIB!$L$89:$L$96)</f>
        <v>385.5</v>
      </c>
      <c r="G52" s="279">
        <f>[30]February_2025!$AD$7</f>
        <v>365.7</v>
      </c>
      <c r="H52" s="320">
        <f>(D52-F52)/D52*100</f>
        <v>1.5828440132754775</v>
      </c>
      <c r="I52" s="322">
        <f>((F52+E52)-G52)/(F52+E52)*100</f>
        <v>5.1361867704280186</v>
      </c>
      <c r="J52" s="470" t="s">
        <v>188</v>
      </c>
      <c r="K52" s="437">
        <f>[32]February_2025!$AD$18</f>
        <v>0.457125</v>
      </c>
      <c r="L52" s="314">
        <f>(((D52+E52)-G52)/(D52+E52))*100</f>
        <v>6.6377329588971286</v>
      </c>
      <c r="M52" s="281" t="s">
        <v>168</v>
      </c>
      <c r="N52" s="13"/>
      <c r="O52" s="13"/>
      <c r="P52" s="50"/>
      <c r="T52" s="272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277"/>
      <c r="AZ52" s="277"/>
      <c r="BA52" s="277"/>
      <c r="BB52" s="277"/>
      <c r="BC52" s="277"/>
      <c r="BD52" s="277"/>
      <c r="BE52" s="277"/>
      <c r="BF52" s="277"/>
    </row>
    <row r="53" spans="2:58" s="54" customFormat="1" ht="7.95" customHeight="1" thickBot="1">
      <c r="B53" s="387"/>
      <c r="C53" s="283"/>
      <c r="D53" s="279"/>
      <c r="E53" s="279"/>
      <c r="F53" s="279"/>
      <c r="G53" s="279"/>
      <c r="H53" s="320"/>
      <c r="I53" s="322"/>
      <c r="J53" s="389"/>
      <c r="K53" s="437"/>
      <c r="L53" s="314"/>
      <c r="M53" s="281"/>
      <c r="N53" s="13"/>
      <c r="O53" s="13"/>
      <c r="P53" s="50"/>
      <c r="T53" s="272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277"/>
      <c r="AZ53" s="277"/>
      <c r="BA53" s="277"/>
      <c r="BB53" s="277"/>
      <c r="BC53" s="277"/>
      <c r="BD53" s="277"/>
      <c r="BE53" s="277"/>
      <c r="BF53" s="277"/>
    </row>
    <row r="54" spans="2:58" s="54" customFormat="1" ht="45.75" hidden="1" customHeight="1">
      <c r="B54" s="431"/>
      <c r="C54" s="283"/>
      <c r="D54" s="279"/>
      <c r="E54" s="279"/>
      <c r="F54" s="279"/>
      <c r="G54" s="279"/>
      <c r="H54" s="320"/>
      <c r="I54" s="322"/>
      <c r="J54" s="389"/>
      <c r="K54" s="437"/>
      <c r="L54" s="314"/>
      <c r="M54" s="281"/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10.95" hidden="1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281"/>
      <c r="N55" s="13"/>
      <c r="O55" s="13"/>
      <c r="P55" s="50"/>
      <c r="T55" s="272" t="s">
        <v>51</v>
      </c>
      <c r="U55" s="57">
        <f>[20]January_2019!D6</f>
        <v>0</v>
      </c>
      <c r="V55" s="57">
        <f>[20]January_2019!E6</f>
        <v>0</v>
      </c>
      <c r="W55" s="57">
        <f>[20]January_2019!F6</f>
        <v>0</v>
      </c>
      <c r="X55" s="57">
        <f>[20]January_2019!G6</f>
        <v>0</v>
      </c>
      <c r="Y55" s="57">
        <f>[20]January_2019!H6</f>
        <v>0</v>
      </c>
      <c r="Z55" s="57">
        <f>[20]January_2019!I6</f>
        <v>0</v>
      </c>
      <c r="AA55" s="57">
        <f>[20]January_2019!J6</f>
        <v>0</v>
      </c>
      <c r="AB55" s="57">
        <f>[20]January_2019!K6</f>
        <v>0</v>
      </c>
      <c r="AC55" s="57">
        <f>[20]January_2019!L6</f>
        <v>0</v>
      </c>
      <c r="AD55" s="57">
        <f>[20]January_2019!M6</f>
        <v>0</v>
      </c>
      <c r="AE55" s="57">
        <f>[20]January_2019!N6</f>
        <v>0</v>
      </c>
      <c r="AF55" s="57">
        <f>[20]January_2019!O6</f>
        <v>0</v>
      </c>
      <c r="AG55" s="57">
        <f>[20]January_2019!P6</f>
        <v>0</v>
      </c>
      <c r="AH55" s="57">
        <f>[20]January_2019!Q6</f>
        <v>0</v>
      </c>
      <c r="AI55" s="57">
        <f>[20]January_2019!R6</f>
        <v>0</v>
      </c>
      <c r="AJ55" s="57">
        <f>[20]January_2019!S6</f>
        <v>0</v>
      </c>
      <c r="AK55" s="57">
        <f>[20]January_2019!T6</f>
        <v>0</v>
      </c>
      <c r="AL55" s="57">
        <f>[20]January_2019!U6</f>
        <v>0</v>
      </c>
      <c r="AM55" s="57">
        <f>[20]January_2019!V6</f>
        <v>0</v>
      </c>
      <c r="AN55" s="57">
        <f>[20]January_2019!W6</f>
        <v>0</v>
      </c>
      <c r="AO55" s="57">
        <f>[20]January_2019!X6</f>
        <v>0</v>
      </c>
      <c r="AP55" s="57">
        <f>[20]January_2019!Y6</f>
        <v>0</v>
      </c>
      <c r="AQ55" s="57">
        <f>[20]January_2019!Z6</f>
        <v>0</v>
      </c>
      <c r="AR55" s="57">
        <f>[20]January_2019!AA6</f>
        <v>0</v>
      </c>
      <c r="AS55" s="57">
        <f>[20]January_2019!AB6</f>
        <v>0</v>
      </c>
      <c r="AT55" s="57">
        <f>[20]January_2019!AC6</f>
        <v>0</v>
      </c>
      <c r="AU55" s="57">
        <f>[20]January_2019!AD6</f>
        <v>0</v>
      </c>
      <c r="AV55" s="57">
        <f>[20]January_2019!AE6</f>
        <v>0</v>
      </c>
      <c r="AW55" s="57">
        <f>[20]January_2019!AF6</f>
        <v>0</v>
      </c>
      <c r="AX55" s="57">
        <f>[20]January_2019!AG6</f>
        <v>0</v>
      </c>
      <c r="AY55" s="277">
        <f>[20]January_2019!AH6</f>
        <v>0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56.4" hidden="1" customHeight="1">
      <c r="B56" s="448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281"/>
      <c r="N56" s="13"/>
      <c r="O56" s="13"/>
      <c r="P56" s="50"/>
      <c r="T56" s="272" t="s">
        <v>54</v>
      </c>
      <c r="U56" s="279"/>
      <c r="V56" s="279"/>
      <c r="W56" s="279"/>
      <c r="X56" s="279"/>
      <c r="Y56" s="279"/>
      <c r="Z56" s="279"/>
      <c r="AA56" s="279"/>
      <c r="AB56" s="279"/>
      <c r="AC56" s="279"/>
      <c r="AD56" s="279"/>
      <c r="AE56" s="279"/>
      <c r="AF56" s="279"/>
      <c r="AG56" s="279"/>
      <c r="AH56" s="279"/>
      <c r="AI56" s="279"/>
      <c r="AJ56" s="279"/>
      <c r="AK56" s="279"/>
      <c r="AL56" s="279"/>
      <c r="AM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</row>
    <row r="57" spans="2:58" s="54" customFormat="1" ht="7.95" hidden="1" customHeight="1">
      <c r="B57" s="387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281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s="54" customFormat="1" ht="14.4" hidden="1" thickBot="1">
      <c r="B58" s="361"/>
      <c r="C58" s="283"/>
      <c r="D58" s="304"/>
      <c r="E58" s="279"/>
      <c r="F58" s="279"/>
      <c r="G58" s="279"/>
      <c r="H58" s="381"/>
      <c r="I58" s="381"/>
      <c r="J58" s="389"/>
      <c r="K58" s="437"/>
      <c r="L58" s="314"/>
      <c r="M58" s="339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s="54" customFormat="1" ht="9" hidden="1" customHeight="1">
      <c r="B59" s="387"/>
      <c r="C59" s="283"/>
      <c r="D59" s="279"/>
      <c r="E59" s="279"/>
      <c r="F59" s="279"/>
      <c r="G59" s="279"/>
      <c r="H59" s="320"/>
      <c r="I59" s="322"/>
      <c r="J59" s="281"/>
      <c r="K59" s="286"/>
      <c r="L59" s="314"/>
      <c r="M59" s="339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ht="11.4" hidden="1" customHeight="1" thickBot="1">
      <c r="B60" s="33"/>
      <c r="C60" s="310"/>
      <c r="D60" s="279"/>
      <c r="E60" s="279"/>
      <c r="F60" s="279"/>
      <c r="G60" s="279"/>
      <c r="H60" s="352"/>
      <c r="I60" s="353"/>
      <c r="J60" s="281"/>
      <c r="K60" s="52"/>
      <c r="L60" s="53"/>
      <c r="M60" s="55"/>
      <c r="N60" s="77"/>
      <c r="O60" s="13"/>
      <c r="P60" s="56"/>
    </row>
    <row r="61" spans="2:58" ht="14.4" thickBot="1">
      <c r="B61" s="58"/>
      <c r="C61" s="309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9"/>
      <c r="O61" s="56"/>
      <c r="P61" s="60"/>
    </row>
    <row r="62" spans="2:58" ht="14.4" thickBot="1">
      <c r="B62" s="536" t="s">
        <v>55</v>
      </c>
      <c r="C62" s="537"/>
      <c r="D62" s="537"/>
      <c r="E62" s="537"/>
      <c r="F62" s="538"/>
      <c r="G62" s="536" t="s">
        <v>56</v>
      </c>
      <c r="H62" s="537"/>
      <c r="I62" s="537"/>
      <c r="J62" s="538"/>
      <c r="K62" s="536" t="s">
        <v>51</v>
      </c>
      <c r="L62" s="537"/>
      <c r="M62" s="537"/>
      <c r="N62" s="539"/>
      <c r="O62" s="56"/>
      <c r="P62" s="50"/>
    </row>
    <row r="63" spans="2:58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8">
      <c r="B64" s="29" t="s">
        <v>6</v>
      </c>
      <c r="C64" s="65">
        <f>L52</f>
        <v>6.6377329588971286</v>
      </c>
      <c r="D64" s="76">
        <v>6.3548468975702361</v>
      </c>
      <c r="E64" s="76">
        <v>7.0005630479663319</v>
      </c>
      <c r="F64" s="66">
        <v>4.8</v>
      </c>
      <c r="G64" s="65">
        <f>[30]February_2025!$AD$11</f>
        <v>6.4125827972224299</v>
      </c>
      <c r="H64" s="76">
        <v>6.9771508208940123</v>
      </c>
      <c r="I64" s="76">
        <v>7.4550060558068161</v>
      </c>
      <c r="J64" s="66">
        <v>4.8</v>
      </c>
      <c r="K64" s="67">
        <f>K52</f>
        <v>0.457125</v>
      </c>
      <c r="L64" s="194">
        <v>0.71701465651190999</v>
      </c>
      <c r="M64" s="194">
        <v>0.8378930358185499</v>
      </c>
      <c r="N64" s="68">
        <v>1</v>
      </c>
      <c r="O64" s="56"/>
      <c r="P64" s="69"/>
    </row>
    <row r="65" spans="2:16">
      <c r="B65" s="33" t="s">
        <v>9</v>
      </c>
      <c r="C65" s="65"/>
      <c r="D65" s="76">
        <v>6.6506917442806524</v>
      </c>
      <c r="E65" s="76">
        <v>6.7094493445838745</v>
      </c>
      <c r="F65" s="66">
        <v>4.8</v>
      </c>
      <c r="G65" s="65"/>
      <c r="H65" s="76">
        <v>6.6366408822664829</v>
      </c>
      <c r="I65" s="76">
        <v>6.7469218033369263</v>
      </c>
      <c r="J65" s="66">
        <v>4.8</v>
      </c>
      <c r="K65" s="67"/>
      <c r="L65" s="194">
        <v>0.61831958958273703</v>
      </c>
      <c r="M65" s="194">
        <v>0.73782172499320109</v>
      </c>
      <c r="N65" s="68">
        <v>1</v>
      </c>
      <c r="P65" s="69"/>
    </row>
    <row r="66" spans="2:16">
      <c r="B66" s="34" t="s">
        <v>40</v>
      </c>
      <c r="C66" s="65"/>
      <c r="D66" s="76">
        <v>16.313278558176496</v>
      </c>
      <c r="E66" s="76">
        <v>13.702325581395328</v>
      </c>
      <c r="F66" s="66">
        <v>5.5</v>
      </c>
      <c r="G66" s="65"/>
      <c r="H66" s="76">
        <v>18.437919359340089</v>
      </c>
      <c r="I66" s="76">
        <v>15.508495449554314</v>
      </c>
      <c r="J66" s="66">
        <v>5.5</v>
      </c>
      <c r="K66" s="67"/>
      <c r="L66" s="194">
        <v>0.40614427860696517</v>
      </c>
      <c r="M66" s="194">
        <v>0.51718974358974368</v>
      </c>
      <c r="N66" s="68">
        <v>1</v>
      </c>
      <c r="P66" s="69"/>
    </row>
    <row r="67" spans="2:16">
      <c r="B67" s="22" t="s">
        <v>33</v>
      </c>
      <c r="C67" s="65"/>
      <c r="D67" s="76">
        <v>4.9603174603174329</v>
      </c>
      <c r="E67" s="76">
        <v>3.9190537266638161</v>
      </c>
      <c r="F67" s="66">
        <v>3.3</v>
      </c>
      <c r="G67" s="65"/>
      <c r="H67" s="76">
        <v>5.7667082440308048</v>
      </c>
      <c r="I67" s="76">
        <v>5.345661717473071</v>
      </c>
      <c r="J67" s="66">
        <v>3.3</v>
      </c>
      <c r="K67" s="67"/>
      <c r="L67" s="194">
        <v>0.67228070175438603</v>
      </c>
      <c r="M67" s="194">
        <v>0.78853801169590654</v>
      </c>
      <c r="N67" s="68">
        <v>1</v>
      </c>
      <c r="P67" s="69"/>
    </row>
    <row r="68" spans="2:16">
      <c r="B68" s="469" t="s">
        <v>181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282"/>
      <c r="D69" s="76"/>
      <c r="E69" s="76">
        <v>8.7664670658682695</v>
      </c>
      <c r="F69" s="70">
        <f>[21]May_2022!$M$43</f>
        <v>3.4878406700073312</v>
      </c>
      <c r="G69" s="282"/>
      <c r="H69" s="76"/>
      <c r="I69" s="76">
        <v>10.607235567685406</v>
      </c>
      <c r="J69" s="70">
        <v>5.5</v>
      </c>
      <c r="K69" s="67"/>
      <c r="L69" s="194"/>
      <c r="M69" s="194">
        <v>0.66824561403508764</v>
      </c>
      <c r="N69" s="68">
        <v>1</v>
      </c>
      <c r="P69" s="69"/>
    </row>
    <row r="70" spans="2:16">
      <c r="B70" s="37" t="s">
        <v>16</v>
      </c>
      <c r="C70" s="65"/>
      <c r="D70" s="76">
        <v>3.3333333333333082</v>
      </c>
      <c r="E70" s="76">
        <v>2.2765363128491556</v>
      </c>
      <c r="F70" s="66">
        <v>3.3</v>
      </c>
      <c r="G70" s="282"/>
      <c r="H70" s="76">
        <v>5.2583423035521699</v>
      </c>
      <c r="I70" s="76">
        <v>4.5833713915368151</v>
      </c>
      <c r="J70" s="70">
        <v>3.3</v>
      </c>
      <c r="K70" s="67"/>
      <c r="L70" s="194">
        <v>1.0053333333333334</v>
      </c>
      <c r="M70" s="194">
        <v>0.8042528735632184</v>
      </c>
      <c r="N70" s="71">
        <v>1</v>
      </c>
      <c r="P70" s="69"/>
    </row>
    <row r="71" spans="2:16" ht="14.4" thickBot="1">
      <c r="B71" s="468" t="s">
        <v>127</v>
      </c>
      <c r="C71" s="65"/>
      <c r="D71" s="76"/>
      <c r="E71" s="76"/>
      <c r="F71" s="70">
        <v>7.5</v>
      </c>
      <c r="G71" s="282"/>
      <c r="H71" s="76"/>
      <c r="I71" s="76"/>
      <c r="J71" s="72">
        <v>7.5</v>
      </c>
      <c r="K71" s="67"/>
      <c r="L71" s="194"/>
      <c r="M71" s="194"/>
      <c r="N71" s="71">
        <v>1</v>
      </c>
      <c r="P71" s="69"/>
    </row>
    <row r="72" spans="2:16" ht="14.4" thickBot="1">
      <c r="B72" s="435" t="s">
        <v>134</v>
      </c>
      <c r="C72" s="434"/>
      <c r="D72" s="76">
        <v>4.8792508624938291</v>
      </c>
      <c r="E72" s="76">
        <v>7.2436873696200363</v>
      </c>
      <c r="F72" s="66">
        <v>5.5</v>
      </c>
      <c r="G72" s="282"/>
      <c r="H72" s="76">
        <v>6.2003723782925313</v>
      </c>
      <c r="I72" s="76">
        <v>6.2003723782925313</v>
      </c>
      <c r="J72" s="433">
        <v>5.5</v>
      </c>
      <c r="K72" s="67"/>
      <c r="L72" s="194">
        <v>0.33859649122807017</v>
      </c>
      <c r="M72" s="194">
        <v>0.33859649122807017</v>
      </c>
      <c r="N72" s="71">
        <v>1</v>
      </c>
      <c r="P72" s="69"/>
    </row>
    <row r="73" spans="2:16">
      <c r="C73" s="282"/>
      <c r="D73" s="76">
        <v>7.2436873696200363</v>
      </c>
      <c r="E73" s="76">
        <v>7.1027536487643701</v>
      </c>
      <c r="F73" s="341">
        <v>4.5</v>
      </c>
      <c r="G73" s="282"/>
      <c r="H73" s="76">
        <v>8.2715937497851133</v>
      </c>
      <c r="I73" s="76">
        <v>7.9120170477686891</v>
      </c>
      <c r="J73" s="342">
        <v>5</v>
      </c>
      <c r="K73" s="67"/>
      <c r="L73" s="194">
        <v>0.63895809080325972</v>
      </c>
      <c r="M73" s="194">
        <v>0.75925302826379537</v>
      </c>
      <c r="N73" s="386">
        <v>1</v>
      </c>
      <c r="O73" s="74"/>
      <c r="P73" s="75"/>
    </row>
    <row r="78" spans="2:16">
      <c r="F78" s="315"/>
    </row>
    <row r="86" spans="30:30">
      <c r="AD86" s="275" t="s">
        <v>57</v>
      </c>
    </row>
  </sheetData>
  <mergeCells count="52">
    <mergeCell ref="M50:M51"/>
    <mergeCell ref="B62:F62"/>
    <mergeCell ref="G62:J62"/>
    <mergeCell ref="K62:N62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C4:D4"/>
    <mergeCell ref="M4:N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5:B46">
    <cfRule type="cellIs" dxfId="345" priority="138" operator="notBetween">
      <formula>#REF!</formula>
      <formula>#REF!</formula>
    </cfRule>
  </conditionalFormatting>
  <conditionalFormatting sqref="C49">
    <cfRule type="cellIs" dxfId="344" priority="170" stopIfTrue="1" operator="greaterThan">
      <formula>100</formula>
    </cfRule>
    <cfRule type="cellIs" dxfId="343" priority="169" stopIfTrue="1" operator="lessThan">
      <formula>96</formula>
    </cfRule>
  </conditionalFormatting>
  <conditionalFormatting sqref="C64">
    <cfRule type="cellIs" dxfId="342" priority="97" stopIfTrue="1" operator="greaterThan">
      <formula>$F64</formula>
    </cfRule>
  </conditionalFormatting>
  <conditionalFormatting sqref="C64:C65">
    <cfRule type="cellIs" dxfId="341" priority="98" stopIfTrue="1" operator="lessThanOrEqual">
      <formula>0</formula>
    </cfRule>
  </conditionalFormatting>
  <conditionalFormatting sqref="C65">
    <cfRule type="cellIs" dxfId="340" priority="173" stopIfTrue="1" operator="greaterThan">
      <formula>$F64</formula>
    </cfRule>
  </conditionalFormatting>
  <conditionalFormatting sqref="C66:C68">
    <cfRule type="cellIs" dxfId="339" priority="105" stopIfTrue="1" operator="greaterThan">
      <formula>$F66</formula>
    </cfRule>
  </conditionalFormatting>
  <conditionalFormatting sqref="C66:C69">
    <cfRule type="cellIs" dxfId="338" priority="116" stopIfTrue="1" operator="lessThanOrEqual">
      <formula>0</formula>
    </cfRule>
  </conditionalFormatting>
  <conditionalFormatting sqref="C69">
    <cfRule type="cellIs" dxfId="337" priority="115" stopIfTrue="1" operator="greaterThan">
      <formula>$J69</formula>
    </cfRule>
  </conditionalFormatting>
  <conditionalFormatting sqref="C73">
    <cfRule type="cellIs" dxfId="336" priority="83" stopIfTrue="1" operator="greaterThan">
      <formula>$J73</formula>
    </cfRule>
    <cfRule type="cellIs" dxfId="335" priority="84" stopIfTrue="1" operator="lessThanOrEqual">
      <formula>0</formula>
    </cfRule>
  </conditionalFormatting>
  <conditionalFormatting sqref="C76:C80">
    <cfRule type="cellIs" dxfId="334" priority="161" stopIfTrue="1" operator="lessThanOrEqual">
      <formula>0</formula>
    </cfRule>
  </conditionalFormatting>
  <conditionalFormatting sqref="C77:C80">
    <cfRule type="cellIs" dxfId="333" priority="160" stopIfTrue="1" operator="greaterThan">
      <formula>$F$76</formula>
    </cfRule>
  </conditionalFormatting>
  <conditionalFormatting sqref="C82">
    <cfRule type="cellIs" dxfId="332" priority="163" stopIfTrue="1" operator="lessThanOrEqual">
      <formula>0</formula>
    </cfRule>
    <cfRule type="cellIs" dxfId="331" priority="162" stopIfTrue="1" operator="greaterThan">
      <formula>$F$76</formula>
    </cfRule>
  </conditionalFormatting>
  <conditionalFormatting sqref="C76:D76 D78:D84">
    <cfRule type="cellIs" dxfId="330" priority="155" stopIfTrue="1" operator="greaterThan">
      <formula>4.5</formula>
    </cfRule>
  </conditionalFormatting>
  <conditionalFormatting sqref="D45:D46">
    <cfRule type="cellIs" dxfId="329" priority="139" operator="notBetween">
      <formula>#REF!</formula>
      <formula>#REF!</formula>
    </cfRule>
  </conditionalFormatting>
  <conditionalFormatting sqref="D64:D72">
    <cfRule type="cellIs" dxfId="328" priority="128" stopIfTrue="1" operator="lessThanOrEqual">
      <formula>0</formula>
    </cfRule>
  </conditionalFormatting>
  <conditionalFormatting sqref="D73">
    <cfRule type="cellIs" dxfId="327" priority="127" stopIfTrue="1" operator="lessThanOrEqual">
      <formula>0</formula>
    </cfRule>
  </conditionalFormatting>
  <conditionalFormatting sqref="D76 D78:D84">
    <cfRule type="cellIs" dxfId="326" priority="156" stopIfTrue="1" operator="lessThanOrEqual">
      <formula>0</formula>
    </cfRule>
  </conditionalFormatting>
  <conditionalFormatting sqref="D77">
    <cfRule type="cellIs" dxfId="325" priority="147" stopIfTrue="1" operator="greaterThan">
      <formula>$F$76</formula>
    </cfRule>
    <cfRule type="cellIs" dxfId="324" priority="148" stopIfTrue="1" operator="lessThanOrEqual">
      <formula>0</formula>
    </cfRule>
  </conditionalFormatting>
  <conditionalFormatting sqref="D64:E73">
    <cfRule type="cellIs" dxfId="323" priority="120" stopIfTrue="1" operator="greaterThan">
      <formula>$F64</formula>
    </cfRule>
  </conditionalFormatting>
  <conditionalFormatting sqref="E10:E20">
    <cfRule type="cellIs" dxfId="322" priority="51" operator="lessThan">
      <formula>48</formula>
    </cfRule>
  </conditionalFormatting>
  <conditionalFormatting sqref="E49">
    <cfRule type="cellIs" dxfId="321" priority="150" stopIfTrue="1" operator="greaterThan">
      <formula>100</formula>
    </cfRule>
    <cfRule type="cellIs" dxfId="320" priority="149" stopIfTrue="1" operator="lessThan">
      <formula>96.8</formula>
    </cfRule>
  </conditionalFormatting>
  <conditionalFormatting sqref="E64:E73">
    <cfRule type="cellIs" dxfId="319" priority="121" stopIfTrue="1" operator="lessThanOrEqual">
      <formula>0</formula>
    </cfRule>
  </conditionalFormatting>
  <conditionalFormatting sqref="E76:E84">
    <cfRule type="cellIs" dxfId="318" priority="141" stopIfTrue="1" operator="greaterThan">
      <formula>4.5</formula>
    </cfRule>
    <cfRule type="cellIs" dxfId="317" priority="142" stopIfTrue="1" operator="lessThanOrEqual">
      <formula>0</formula>
    </cfRule>
  </conditionalFormatting>
  <conditionalFormatting sqref="E48:F49">
    <cfRule type="cellIs" dxfId="316" priority="151" stopIfTrue="1" operator="lessThan">
      <formula>96.5</formula>
    </cfRule>
    <cfRule type="cellIs" dxfId="315" priority="152" stopIfTrue="1" operator="greaterThan">
      <formula>100</formula>
    </cfRule>
  </conditionalFormatting>
  <conditionalFormatting sqref="F10:F20">
    <cfRule type="cellIs" dxfId="314" priority="53" operator="greaterThan">
      <formula>60</formula>
    </cfRule>
  </conditionalFormatting>
  <conditionalFormatting sqref="F49">
    <cfRule type="cellIs" dxfId="313" priority="168" stopIfTrue="1" operator="greaterThan">
      <formula>100</formula>
    </cfRule>
    <cfRule type="cellIs" dxfId="312" priority="167" stopIfTrue="1" operator="lessThan">
      <formula>96.8</formula>
    </cfRule>
  </conditionalFormatting>
  <conditionalFormatting sqref="F73">
    <cfRule type="cellIs" dxfId="311" priority="123" stopIfTrue="1" operator="lessThanOrEqual">
      <formula>0</formula>
    </cfRule>
    <cfRule type="cellIs" dxfId="310" priority="122" stopIfTrue="1" operator="greaterThan">
      <formula>$F73</formula>
    </cfRule>
  </conditionalFormatting>
  <conditionalFormatting sqref="G64:G65 C70:C72">
    <cfRule type="cellIs" dxfId="309" priority="130" stopIfTrue="1" operator="lessThanOrEqual">
      <formula>0</formula>
    </cfRule>
    <cfRule type="cellIs" dxfId="308" priority="129" stopIfTrue="1" operator="greaterThan">
      <formula>$F64</formula>
    </cfRule>
  </conditionalFormatting>
  <conditionalFormatting sqref="G64:G65">
    <cfRule type="cellIs" dxfId="307" priority="100" stopIfTrue="1" operator="greaterThan">
      <formula>$F64</formula>
    </cfRule>
    <cfRule type="cellIs" dxfId="306" priority="101" stopIfTrue="1" operator="lessThanOrEqual">
      <formula>0</formula>
    </cfRule>
  </conditionalFormatting>
  <conditionalFormatting sqref="G66">
    <cfRule type="cellIs" dxfId="305" priority="171" stopIfTrue="1" operator="greaterThan">
      <formula>$F65</formula>
    </cfRule>
    <cfRule type="cellIs" dxfId="304" priority="172" stopIfTrue="1" operator="lessThanOrEqual">
      <formula>0</formula>
    </cfRule>
  </conditionalFormatting>
  <conditionalFormatting sqref="G67">
    <cfRule type="cellIs" dxfId="303" priority="125" stopIfTrue="1" operator="lessThanOrEqual">
      <formula>0</formula>
    </cfRule>
    <cfRule type="cellIs" dxfId="302" priority="124" stopIfTrue="1" operator="greaterThan">
      <formula>$F67</formula>
    </cfRule>
  </conditionalFormatting>
  <conditionalFormatting sqref="G68:G73">
    <cfRule type="cellIs" dxfId="301" priority="131" stopIfTrue="1" operator="greaterThan">
      <formula>$J68</formula>
    </cfRule>
    <cfRule type="cellIs" dxfId="300" priority="132" stopIfTrue="1" operator="lessThanOrEqual">
      <formula>0</formula>
    </cfRule>
  </conditionalFormatting>
  <conditionalFormatting sqref="G78:G83 C81 C83">
    <cfRule type="cellIs" dxfId="299" priority="164" stopIfTrue="1" operator="greaterThan">
      <formula>4.5</formula>
    </cfRule>
    <cfRule type="cellIs" dxfId="298" priority="165" stopIfTrue="1" operator="lessThanOrEqual">
      <formula>0</formula>
    </cfRule>
  </conditionalFormatting>
  <conditionalFormatting sqref="G10:H20">
    <cfRule type="expression" dxfId="297" priority="44">
      <formula>IF(+(IF(G10&lt;#REF!,0,IF(G10&gt;#REF!,0,1)))=0,1)</formula>
    </cfRule>
  </conditionalFormatting>
  <conditionalFormatting sqref="G77:H77">
    <cfRule type="cellIs" dxfId="296" priority="145" stopIfTrue="1" operator="greaterThan">
      <formula>$F$76</formula>
    </cfRule>
    <cfRule type="cellIs" dxfId="295" priority="146" stopIfTrue="1" operator="lessThanOrEqual">
      <formula>0</formula>
    </cfRule>
  </conditionalFormatting>
  <conditionalFormatting sqref="H24:H47 G35:G46">
    <cfRule type="cellIs" dxfId="294" priority="143" stopIfTrue="1" operator="greaterThan">
      <formula>0</formula>
    </cfRule>
  </conditionalFormatting>
  <conditionalFormatting sqref="H52">
    <cfRule type="cellIs" dxfId="293" priority="26" stopIfTrue="1" operator="lessThanOrEqual">
      <formula>0</formula>
    </cfRule>
    <cfRule type="cellIs" dxfId="292" priority="25" stopIfTrue="1" operator="greaterThan">
      <formula>$F$65</formula>
    </cfRule>
    <cfRule type="cellIs" dxfId="291" priority="17" stopIfTrue="1" operator="greaterThan">
      <formula>$F$62</formula>
    </cfRule>
    <cfRule type="cellIs" dxfId="290" priority="28" stopIfTrue="1" operator="lessThanOrEqual">
      <formula>0</formula>
    </cfRule>
    <cfRule type="cellIs" dxfId="289" priority="16" stopIfTrue="1" operator="lessThanOrEqual">
      <formula>0</formula>
    </cfRule>
    <cfRule type="cellIs" dxfId="288" priority="27" stopIfTrue="1" operator="greaterThan">
      <formula>$F$63</formula>
    </cfRule>
  </conditionalFormatting>
  <conditionalFormatting sqref="H53 H55 H57">
    <cfRule type="cellIs" dxfId="287" priority="57" stopIfTrue="1" operator="lessThanOrEqual">
      <formula>0</formula>
    </cfRule>
    <cfRule type="cellIs" dxfId="286" priority="66" stopIfTrue="1" operator="greaterThan">
      <formula>$F$66</formula>
    </cfRule>
    <cfRule type="cellIs" dxfId="285" priority="68" stopIfTrue="1" operator="greaterThan">
      <formula>$F$64</formula>
    </cfRule>
    <cfRule type="cellIs" dxfId="284" priority="69" stopIfTrue="1" operator="lessThanOrEqual">
      <formula>0</formula>
    </cfRule>
    <cfRule type="cellIs" dxfId="283" priority="58" stopIfTrue="1" operator="greaterThan">
      <formula>$F$63</formula>
    </cfRule>
    <cfRule type="cellIs" dxfId="282" priority="67" stopIfTrue="1" operator="lessThanOrEqual">
      <formula>0</formula>
    </cfRule>
  </conditionalFormatting>
  <conditionalFormatting sqref="H54">
    <cfRule type="cellIs" dxfId="281" priority="14" stopIfTrue="1" operator="lessThanOrEqual">
      <formula>0</formula>
    </cfRule>
    <cfRule type="cellIs" dxfId="280" priority="13" stopIfTrue="1" operator="greaterThan">
      <formula>$F$63</formula>
    </cfRule>
    <cfRule type="cellIs" dxfId="279" priority="12" stopIfTrue="1" operator="lessThanOrEqual">
      <formula>0</formula>
    </cfRule>
    <cfRule type="cellIs" dxfId="278" priority="11" stopIfTrue="1" operator="greaterThan">
      <formula>$F$65</formula>
    </cfRule>
    <cfRule type="cellIs" dxfId="277" priority="3" stopIfTrue="1" operator="greaterThan">
      <formula>$F$62</formula>
    </cfRule>
    <cfRule type="cellIs" dxfId="276" priority="2" stopIfTrue="1" operator="lessThanOrEqual">
      <formula>0</formula>
    </cfRule>
  </conditionalFormatting>
  <conditionalFormatting sqref="H56">
    <cfRule type="cellIs" dxfId="275" priority="31" stopIfTrue="1" operator="greaterThan">
      <formula>$F$62</formula>
    </cfRule>
    <cfRule type="cellIs" dxfId="274" priority="30" stopIfTrue="1" operator="lessThanOrEqual">
      <formula>0</formula>
    </cfRule>
    <cfRule type="cellIs" dxfId="273" priority="39" stopIfTrue="1" operator="greaterThan">
      <formula>$F$65</formula>
    </cfRule>
    <cfRule type="cellIs" dxfId="272" priority="40" stopIfTrue="1" operator="lessThanOrEqual">
      <formula>0</formula>
    </cfRule>
    <cfRule type="cellIs" dxfId="271" priority="41" stopIfTrue="1" operator="greaterThan">
      <formula>$F$63</formula>
    </cfRule>
    <cfRule type="cellIs" dxfId="270" priority="42" stopIfTrue="1" operator="lessThanOrEqual">
      <formula>0</formula>
    </cfRule>
  </conditionalFormatting>
  <conditionalFormatting sqref="H58">
    <cfRule type="cellIs" dxfId="269" priority="96" stopIfTrue="1" operator="lessThanOrEqual">
      <formula>0</formula>
    </cfRule>
    <cfRule type="cellIs" dxfId="268" priority="86" stopIfTrue="1" operator="lessThanOrEqual">
      <formula>0</formula>
    </cfRule>
    <cfRule type="cellIs" dxfId="267" priority="87" stopIfTrue="1" operator="greaterThan">
      <formula>#REF!</formula>
    </cfRule>
    <cfRule type="cellIs" dxfId="266" priority="95" stopIfTrue="1" operator="greaterThan">
      <formula>#REF!</formula>
    </cfRule>
  </conditionalFormatting>
  <conditionalFormatting sqref="H59">
    <cfRule type="cellIs" dxfId="265" priority="78" stopIfTrue="1" operator="greaterThan">
      <formula>$F$67</formula>
    </cfRule>
    <cfRule type="cellIs" dxfId="264" priority="79" stopIfTrue="1" operator="lessThanOrEqual">
      <formula>0</formula>
    </cfRule>
    <cfRule type="cellIs" dxfId="263" priority="81" stopIfTrue="1" operator="lessThanOrEqual">
      <formula>0</formula>
    </cfRule>
    <cfRule type="cellIs" dxfId="262" priority="80" stopIfTrue="1" operator="greaterThan">
      <formula>$F$65</formula>
    </cfRule>
    <cfRule type="cellIs" dxfId="261" priority="71" stopIfTrue="1" operator="lessThanOrEqual">
      <formula>0</formula>
    </cfRule>
  </conditionalFormatting>
  <conditionalFormatting sqref="H60">
    <cfRule type="cellIs" dxfId="260" priority="134" stopIfTrue="1" operator="greaterThan">
      <formula>$F$61</formula>
    </cfRule>
    <cfRule type="cellIs" dxfId="259" priority="135" stopIfTrue="1" operator="lessThanOrEqual">
      <formula>0</formula>
    </cfRule>
    <cfRule type="cellIs" dxfId="258" priority="136" stopIfTrue="1" operator="greaterThan">
      <formula>$F$58</formula>
    </cfRule>
    <cfRule type="cellIs" dxfId="257" priority="137" stopIfTrue="1" operator="lessThanOrEqual">
      <formula>0</formula>
    </cfRule>
  </conditionalFormatting>
  <conditionalFormatting sqref="H64:H72">
    <cfRule type="cellIs" dxfId="256" priority="114" stopIfTrue="1" operator="lessThanOrEqual">
      <formula>0</formula>
    </cfRule>
    <cfRule type="cellIs" dxfId="255" priority="113" stopIfTrue="1" operator="greaterThan">
      <formula>$J64</formula>
    </cfRule>
  </conditionalFormatting>
  <conditionalFormatting sqref="H73">
    <cfRule type="cellIs" dxfId="254" priority="117" operator="greaterThan">
      <formula>5.3</formula>
    </cfRule>
  </conditionalFormatting>
  <conditionalFormatting sqref="H76 H78:H84">
    <cfRule type="cellIs" dxfId="253" priority="157" stopIfTrue="1" operator="greaterThan">
      <formula>4.5</formula>
    </cfRule>
    <cfRule type="cellIs" dxfId="252" priority="158" stopIfTrue="1" operator="lessThanOrEqual">
      <formula>0</formula>
    </cfRule>
  </conditionalFormatting>
  <conditionalFormatting sqref="H52:I52">
    <cfRule type="cellIs" dxfId="251" priority="15" stopIfTrue="1" operator="greaterThan">
      <formula>$F$64</formula>
    </cfRule>
    <cfRule type="cellIs" dxfId="250" priority="18" stopIfTrue="1" operator="lessThanOrEqual">
      <formula>0</formula>
    </cfRule>
  </conditionalFormatting>
  <conditionalFormatting sqref="H53:I53 H55:I55 H57:I57">
    <cfRule type="cellIs" dxfId="249" priority="56" stopIfTrue="1" operator="greaterThan">
      <formula>$F$65</formula>
    </cfRule>
    <cfRule type="cellIs" dxfId="248" priority="59" stopIfTrue="1" operator="lessThanOrEqual">
      <formula>0</formula>
    </cfRule>
  </conditionalFormatting>
  <conditionalFormatting sqref="H54:I54">
    <cfRule type="cellIs" dxfId="247" priority="1" stopIfTrue="1" operator="greaterThan">
      <formula>$F$64</formula>
    </cfRule>
    <cfRule type="cellIs" dxfId="246" priority="4" stopIfTrue="1" operator="lessThanOrEqual">
      <formula>0</formula>
    </cfRule>
  </conditionalFormatting>
  <conditionalFormatting sqref="H56:I56">
    <cfRule type="cellIs" dxfId="245" priority="29" stopIfTrue="1" operator="greaterThan">
      <formula>$F$64</formula>
    </cfRule>
    <cfRule type="cellIs" dxfId="244" priority="32" stopIfTrue="1" operator="lessThanOrEqual">
      <formula>0</formula>
    </cfRule>
  </conditionalFormatting>
  <conditionalFormatting sqref="H58:I58">
    <cfRule type="cellIs" dxfId="243" priority="85" stopIfTrue="1" operator="greaterThan">
      <formula>#REF!</formula>
    </cfRule>
    <cfRule type="cellIs" dxfId="242" priority="91" stopIfTrue="1" operator="greaterThan">
      <formula>#REF!</formula>
    </cfRule>
    <cfRule type="cellIs" dxfId="241" priority="88" stopIfTrue="1" operator="lessThanOrEqual">
      <formula>0</formula>
    </cfRule>
  </conditionalFormatting>
  <conditionalFormatting sqref="H58:I59">
    <cfRule type="cellIs" dxfId="240" priority="94" stopIfTrue="1" operator="lessThanOrEqual">
      <formula>0</formula>
    </cfRule>
  </conditionalFormatting>
  <conditionalFormatting sqref="H59:I59">
    <cfRule type="cellIs" dxfId="239" priority="70" stopIfTrue="1" operator="greaterThan">
      <formula>$F$66</formula>
    </cfRule>
    <cfRule type="cellIs" dxfId="238" priority="72" stopIfTrue="1" operator="greaterThan">
      <formula>$F$64</formula>
    </cfRule>
  </conditionalFormatting>
  <conditionalFormatting sqref="I52">
    <cfRule type="cellIs" dxfId="237" priority="21" stopIfTrue="1" operator="greaterThan">
      <formula>$F$64</formula>
    </cfRule>
    <cfRule type="cellIs" dxfId="236" priority="22" stopIfTrue="1" operator="lessThanOrEqual">
      <formula>0</formula>
    </cfRule>
    <cfRule type="cellIs" dxfId="235" priority="24" stopIfTrue="1" operator="lessThanOrEqual">
      <formula>0</formula>
    </cfRule>
    <cfRule type="cellIs" dxfId="234" priority="20" stopIfTrue="1" operator="lessThanOrEqual">
      <formula>0</formula>
    </cfRule>
    <cfRule type="cellIs" dxfId="233" priority="19" stopIfTrue="1" operator="greaterThan">
      <formula>$F$62</formula>
    </cfRule>
    <cfRule type="cellIs" dxfId="232" priority="23" stopIfTrue="1" operator="greaterThan">
      <formula>$F$62</formula>
    </cfRule>
  </conditionalFormatting>
  <conditionalFormatting sqref="I53 I55 I57">
    <cfRule type="cellIs" dxfId="231" priority="60" stopIfTrue="1" operator="greaterThan">
      <formula>$F$63</formula>
    </cfRule>
    <cfRule type="cellIs" dxfId="230" priority="61" stopIfTrue="1" operator="lessThanOrEqual">
      <formula>0</formula>
    </cfRule>
    <cfRule type="cellIs" dxfId="229" priority="62" stopIfTrue="1" operator="greaterThan">
      <formula>$F$65</formula>
    </cfRule>
    <cfRule type="cellIs" dxfId="228" priority="63" stopIfTrue="1" operator="lessThanOrEqual">
      <formula>0</formula>
    </cfRule>
    <cfRule type="cellIs" dxfId="227" priority="64" stopIfTrue="1" operator="greaterThan">
      <formula>$F$63</formula>
    </cfRule>
    <cfRule type="cellIs" dxfId="226" priority="65" stopIfTrue="1" operator="lessThanOrEqual">
      <formula>0</formula>
    </cfRule>
  </conditionalFormatting>
  <conditionalFormatting sqref="I54">
    <cfRule type="cellIs" dxfId="225" priority="8" stopIfTrue="1" operator="lessThanOrEqual">
      <formula>0</formula>
    </cfRule>
    <cfRule type="cellIs" dxfId="224" priority="10" stopIfTrue="1" operator="lessThanOrEqual">
      <formula>0</formula>
    </cfRule>
    <cfRule type="cellIs" dxfId="223" priority="9" stopIfTrue="1" operator="greaterThan">
      <formula>$F$62</formula>
    </cfRule>
    <cfRule type="cellIs" dxfId="222" priority="7" stopIfTrue="1" operator="greaterThan">
      <formula>$F$64</formula>
    </cfRule>
    <cfRule type="cellIs" dxfId="221" priority="6" stopIfTrue="1" operator="lessThanOrEqual">
      <formula>0</formula>
    </cfRule>
    <cfRule type="cellIs" dxfId="220" priority="5" stopIfTrue="1" operator="greaterThan">
      <formula>$F$62</formula>
    </cfRule>
  </conditionalFormatting>
  <conditionalFormatting sqref="I56">
    <cfRule type="cellIs" dxfId="219" priority="35" stopIfTrue="1" operator="greaterThan">
      <formula>$F$64</formula>
    </cfRule>
    <cfRule type="cellIs" dxfId="218" priority="38" stopIfTrue="1" operator="lessThanOrEqual">
      <formula>0</formula>
    </cfRule>
    <cfRule type="cellIs" dxfId="217" priority="37" stopIfTrue="1" operator="greaterThan">
      <formula>$F$62</formula>
    </cfRule>
    <cfRule type="cellIs" dxfId="216" priority="36" stopIfTrue="1" operator="lessThanOrEqual">
      <formula>0</formula>
    </cfRule>
    <cfRule type="cellIs" dxfId="215" priority="34" stopIfTrue="1" operator="lessThanOrEqual">
      <formula>0</formula>
    </cfRule>
    <cfRule type="cellIs" dxfId="214" priority="33" stopIfTrue="1" operator="greaterThan">
      <formula>$F$62</formula>
    </cfRule>
  </conditionalFormatting>
  <conditionalFormatting sqref="I58">
    <cfRule type="cellIs" dxfId="213" priority="92" stopIfTrue="1" operator="lessThanOrEqual">
      <formula>0</formula>
    </cfRule>
    <cfRule type="cellIs" dxfId="212" priority="89" stopIfTrue="1" operator="greaterThan">
      <formula>#REF!</formula>
    </cfRule>
    <cfRule type="cellIs" dxfId="211" priority="93" stopIfTrue="1" operator="greaterThan">
      <formula>#REF!</formula>
    </cfRule>
    <cfRule type="cellIs" dxfId="210" priority="90" stopIfTrue="1" operator="lessThanOrEqual">
      <formula>0</formula>
    </cfRule>
  </conditionalFormatting>
  <conditionalFormatting sqref="I59">
    <cfRule type="cellIs" dxfId="209" priority="77" stopIfTrue="1" operator="lessThanOrEqual">
      <formula>0</formula>
    </cfRule>
    <cfRule type="cellIs" dxfId="208" priority="73" stopIfTrue="1" operator="lessThanOrEqual">
      <formula>0</formula>
    </cfRule>
    <cfRule type="cellIs" dxfId="207" priority="74" stopIfTrue="1" operator="greaterThan">
      <formula>$F$66</formula>
    </cfRule>
    <cfRule type="cellIs" dxfId="206" priority="75" stopIfTrue="1" operator="lessThanOrEqual">
      <formula>0</formula>
    </cfRule>
    <cfRule type="cellIs" dxfId="205" priority="76" stopIfTrue="1" operator="greaterThan">
      <formula>$F$64</formula>
    </cfRule>
  </conditionalFormatting>
  <conditionalFormatting sqref="I64:I73">
    <cfRule type="cellIs" dxfId="204" priority="119" stopIfTrue="1" operator="lessThanOrEqual">
      <formula>0</formula>
    </cfRule>
    <cfRule type="cellIs" dxfId="203" priority="118" stopIfTrue="1" operator="greaterThan">
      <formula>$J64</formula>
    </cfRule>
  </conditionalFormatting>
  <conditionalFormatting sqref="I76:I84">
    <cfRule type="cellIs" dxfId="202" priority="153" stopIfTrue="1" operator="greaterThan">
      <formula>4.5</formula>
    </cfRule>
    <cfRule type="cellIs" dxfId="201" priority="154" stopIfTrue="1" operator="lessThanOrEqual">
      <formula>0</formula>
    </cfRule>
  </conditionalFormatting>
  <conditionalFormatting sqref="I10:J20">
    <cfRule type="cellIs" dxfId="200" priority="54" operator="lessThan">
      <formula>97.9</formula>
    </cfRule>
  </conditionalFormatting>
  <conditionalFormatting sqref="J23">
    <cfRule type="cellIs" dxfId="199" priority="55" operator="lessThan">
      <formula>97.9</formula>
    </cfRule>
  </conditionalFormatting>
  <conditionalFormatting sqref="J24:J25">
    <cfRule type="cellIs" dxfId="198" priority="106" stopIfTrue="1" operator="lessThan">
      <formula>96.8</formula>
    </cfRule>
    <cfRule type="cellIs" dxfId="197" priority="108" operator="lessThan">
      <formula>98</formula>
    </cfRule>
    <cfRule type="cellIs" dxfId="196" priority="107" stopIfTrue="1" operator="greaterThan">
      <formula>100</formula>
    </cfRule>
  </conditionalFormatting>
  <conditionalFormatting sqref="J24:J27">
    <cfRule type="cellIs" dxfId="195" priority="99" operator="lessThan">
      <formula>97.4</formula>
    </cfRule>
  </conditionalFormatting>
  <conditionalFormatting sqref="J28">
    <cfRule type="cellIs" dxfId="194" priority="109" operator="lessThan">
      <formula>98</formula>
    </cfRule>
  </conditionalFormatting>
  <conditionalFormatting sqref="J29:J31">
    <cfRule type="cellIs" dxfId="193" priority="111" stopIfTrue="1" operator="greaterThan">
      <formula>100</formula>
    </cfRule>
    <cfRule type="cellIs" dxfId="192" priority="110" stopIfTrue="1" operator="lessThan">
      <formula>96.8</formula>
    </cfRule>
  </conditionalFormatting>
  <conditionalFormatting sqref="J29:J32">
    <cfRule type="cellIs" dxfId="191" priority="112" operator="lessThan">
      <formula>98</formula>
    </cfRule>
  </conditionalFormatting>
  <conditionalFormatting sqref="K10:K20">
    <cfRule type="cellIs" dxfId="190" priority="52" operator="greaterThan">
      <formula>6.4</formula>
    </cfRule>
    <cfRule type="cellIs" dxfId="189" priority="48" operator="lessThan">
      <formula>4</formula>
    </cfRule>
    <cfRule type="cellIs" dxfId="188" priority="47" operator="greaterThan">
      <formula>6</formula>
    </cfRule>
  </conditionalFormatting>
  <conditionalFormatting sqref="K37:K46">
    <cfRule type="cellIs" dxfId="187" priority="126" operator="notEqual">
      <formula>#REF!</formula>
    </cfRule>
  </conditionalFormatting>
  <conditionalFormatting sqref="K52:K60">
    <cfRule type="cellIs" dxfId="186" priority="43" stopIfTrue="1" operator="lessThan">
      <formula>100%</formula>
    </cfRule>
  </conditionalFormatting>
  <conditionalFormatting sqref="K76:K81">
    <cfRule type="cellIs" dxfId="185" priority="159" stopIfTrue="1" operator="lessThan">
      <formula>100%</formula>
    </cfRule>
  </conditionalFormatting>
  <conditionalFormatting sqref="K83:K84">
    <cfRule type="cellIs" dxfId="184" priority="166" stopIfTrue="1" operator="lessThan">
      <formula>100%</formula>
    </cfRule>
  </conditionalFormatting>
  <conditionalFormatting sqref="K64:N73">
    <cfRule type="cellIs" dxfId="183" priority="133" stopIfTrue="1" operator="lessThan">
      <formula>100%</formula>
    </cfRule>
  </conditionalFormatting>
  <conditionalFormatting sqref="L10:L20">
    <cfRule type="cellIs" dxfId="182" priority="49" operator="between">
      <formula>61</formula>
      <formula>65</formula>
    </cfRule>
    <cfRule type="cellIs" dxfId="181" priority="50" operator="greaterThan">
      <formula>65</formula>
    </cfRule>
  </conditionalFormatting>
  <conditionalFormatting sqref="L23:M34">
    <cfRule type="cellIs" dxfId="180" priority="82" operator="lessThan">
      <formula>98</formula>
    </cfRule>
  </conditionalFormatting>
  <conditionalFormatting sqref="L38:N38">
    <cfRule type="cellIs" dxfId="179" priority="102" operator="notEqual">
      <formula>#REF!</formula>
    </cfRule>
  </conditionalFormatting>
  <conditionalFormatting sqref="L76:N84">
    <cfRule type="cellIs" dxfId="178" priority="144" stopIfTrue="1" operator="lessThan">
      <formula>100%</formula>
    </cfRule>
  </conditionalFormatting>
  <conditionalFormatting sqref="M10:M20">
    <cfRule type="expression" dxfId="177" priority="45">
      <formula>IF(+(IF(M10&lt;V10,0,IF(M10&gt;W10,0,1)))=0,1)</formula>
    </cfRule>
  </conditionalFormatting>
  <conditionalFormatting sqref="M6:N6">
    <cfRule type="cellIs" dxfId="176" priority="104" operator="greaterThanOrEqual">
      <formula>19</formula>
    </cfRule>
    <cfRule type="cellIs" dxfId="175" priority="103" operator="greaterThanOrEqual">
      <formula>15</formula>
    </cfRule>
  </conditionalFormatting>
  <conditionalFormatting sqref="N10:N20">
    <cfRule type="expression" dxfId="174" priority="46">
      <formula>IF(+(IF(N10&lt;X10,0,IF(N10&gt;Y10,0,1)))=0,1)</formula>
    </cfRule>
  </conditionalFormatting>
  <conditionalFormatting sqref="P6">
    <cfRule type="cellIs" dxfId="173" priority="140" operator="greaterThanOrEqual">
      <formula>19</formula>
    </cfRule>
  </conditionalFormatting>
  <dataValidations count="1">
    <dataValidation type="list" allowBlank="1" showInputMessage="1" showErrorMessage="1" sqref="S8" xr:uid="{5209CFA5-67DA-46B2-B939-5C4EDCEB56C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D1B1-8CC4-4D5F-ABFB-DEED5C807D60}">
  <sheetPr>
    <pageSetUpPr fitToPage="1"/>
  </sheetPr>
  <dimension ref="A1:BF88"/>
  <sheetViews>
    <sheetView tabSelected="1" topLeftCell="A13" zoomScale="83" zoomScaleNormal="70" workbookViewId="0">
      <selection activeCell="M35" sqref="M35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77.109375" style="6" customWidth="1"/>
    <col min="17" max="17" width="0.6640625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6" t="s">
        <v>0</v>
      </c>
      <c r="U1" s="476"/>
      <c r="V1" s="476" t="s">
        <v>1</v>
      </c>
      <c r="W1" s="476"/>
      <c r="X1" s="476" t="s">
        <v>2</v>
      </c>
      <c r="Y1" s="476"/>
      <c r="Z1" s="476" t="s">
        <v>124</v>
      </c>
      <c r="AA1" s="476"/>
    </row>
    <row r="2" spans="2:30" ht="14.4">
      <c r="B2" s="477" t="s">
        <v>3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71">
        <v>45719</v>
      </c>
      <c r="D4" s="471"/>
      <c r="J4" s="402" t="s">
        <v>190</v>
      </c>
      <c r="K4" s="402"/>
      <c r="L4" s="11"/>
      <c r="M4" s="474" t="s">
        <v>8</v>
      </c>
      <c r="N4" s="47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8"/>
      <c r="K5" s="40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4" t="s">
        <v>191</v>
      </c>
      <c r="K6" s="405"/>
      <c r="L6" s="311" t="s">
        <v>14</v>
      </c>
      <c r="M6" s="340">
        <v>2</v>
      </c>
      <c r="N6" s="340">
        <v>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6"/>
      <c r="K7" s="40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86" t="s">
        <v>18</v>
      </c>
      <c r="D8" s="486" t="s">
        <v>19</v>
      </c>
      <c r="E8" s="356" t="s">
        <v>20</v>
      </c>
      <c r="F8" s="356" t="s">
        <v>21</v>
      </c>
      <c r="G8" s="486" t="s">
        <v>22</v>
      </c>
      <c r="H8" s="488" t="s">
        <v>144</v>
      </c>
      <c r="I8" s="486" t="s">
        <v>159</v>
      </c>
      <c r="J8" s="490" t="s">
        <v>23</v>
      </c>
      <c r="K8" s="492" t="s">
        <v>142</v>
      </c>
      <c r="L8" s="494" t="s">
        <v>24</v>
      </c>
      <c r="M8" s="359" t="s">
        <v>25</v>
      </c>
      <c r="N8" s="17" t="s">
        <v>26</v>
      </c>
      <c r="O8" s="486" t="s">
        <v>155</v>
      </c>
      <c r="P8" s="496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85"/>
      <c r="C9" s="487"/>
      <c r="D9" s="487"/>
      <c r="E9" s="357" t="s">
        <v>30</v>
      </c>
      <c r="F9" s="357" t="s">
        <v>31</v>
      </c>
      <c r="G9" s="487"/>
      <c r="H9" s="489"/>
      <c r="I9" s="487"/>
      <c r="J9" s="491"/>
      <c r="K9" s="493"/>
      <c r="L9" s="495"/>
      <c r="M9" s="20" t="s">
        <v>32</v>
      </c>
      <c r="N9" s="21" t="s">
        <v>41</v>
      </c>
      <c r="O9" s="487"/>
      <c r="P9" s="497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6" customHeight="1">
      <c r="B10" s="33" t="s">
        <v>9</v>
      </c>
      <c r="C10" s="366" t="str">
        <f>[24]Brewhouse!$A103</f>
        <v>ST088</v>
      </c>
      <c r="D10" s="279">
        <f>[24]Brewhouse!$AD103</f>
        <v>52.7</v>
      </c>
      <c r="E10" s="279">
        <f>[24]Brewhouse!$AG103</f>
        <v>49</v>
      </c>
      <c r="F10" s="278">
        <f>[24]Brewhouse!$V103</f>
        <v>61</v>
      </c>
      <c r="G10" s="279">
        <f>[24]Brewhouse!$AE103</f>
        <v>11.8</v>
      </c>
      <c r="H10" s="367"/>
      <c r="I10" s="417">
        <f>[24]Brewhouse!$AS103</f>
        <v>94.598152318138133</v>
      </c>
      <c r="J10" s="417">
        <f>[24]Brewhouse!$AT103</f>
        <v>97.883561395912224</v>
      </c>
      <c r="K10" s="398">
        <f>[24]Brewhouse!$Q103</f>
        <v>5.9891107078039871</v>
      </c>
      <c r="L10" s="276">
        <f>[24]Brewhouse!$P103</f>
        <v>60</v>
      </c>
      <c r="M10" s="374">
        <f>[24]Brewhouse!$U103-[24]Brewhouse!$T103</f>
        <v>0.12708333333333344</v>
      </c>
      <c r="N10" s="370">
        <f>[24]Brewhouse!$AW103</f>
        <v>0.27638888888888902</v>
      </c>
      <c r="O10" s="418" t="str">
        <f>[24]Brewhouse!$AV103</f>
        <v>K. Benjamin</v>
      </c>
      <c r="P10" s="369"/>
      <c r="Q10" s="347"/>
      <c r="S10" s="277" t="str">
        <f t="shared" ref="S10:S23" si="0">B10</f>
        <v>STAG</v>
      </c>
      <c r="T10" s="296">
        <f t="shared" ref="T10:T23" si="1">VLOOKUP($B10,$S$3:$Y$9,2,FALSE)</f>
        <v>11.6</v>
      </c>
      <c r="U10" s="296">
        <f t="shared" ref="U10:U23" si="2">VLOOKUP($B10,$S$3:$Y$9,3,FALSE)</f>
        <v>12</v>
      </c>
      <c r="V10" s="297">
        <f t="shared" ref="V10:V23" si="3">VLOOKUP($B10,$S$3:$Y$9,4,FALSE)</f>
        <v>0</v>
      </c>
      <c r="W10" s="297">
        <f t="shared" ref="W10:W23" si="4">VLOOKUP($B10,$S$3:$Y$9,5,FALSE)</f>
        <v>0.118055555555556</v>
      </c>
      <c r="X10" s="297">
        <f t="shared" ref="X10:X23" si="5">VLOOKUP($B10,$S$3:$Y$9,6,FALSE)</f>
        <v>0.22569444444444445</v>
      </c>
      <c r="Y10" s="297">
        <f t="shared" ref="Y10:Y23" si="6">VLOOKUP($B10,$S$3:$Y$9,7,FALSE)</f>
        <v>0.2638888888888889</v>
      </c>
      <c r="Z10" s="297">
        <f t="shared" ref="Z10:Z23" si="7">VLOOKUP($B10,$S$3:$AA$9,8,FALSE)</f>
        <v>0</v>
      </c>
      <c r="AA10" s="296">
        <f t="shared" ref="AA10:AA23" si="8">VLOOKUP($B10,$S$3:$AA$9,9,FALSE)</f>
        <v>60</v>
      </c>
    </row>
    <row r="11" spans="2:30" ht="15.6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369"/>
      <c r="Q11" s="347"/>
      <c r="S11" s="277">
        <f t="shared" ref="S11:S19" si="9">B11</f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.6" customHeight="1">
      <c r="B12" s="29" t="s">
        <v>6</v>
      </c>
      <c r="C12" s="366" t="str">
        <f>[22]Brewhouse!$A249</f>
        <v>CA147</v>
      </c>
      <c r="D12" s="279">
        <f>[22]Brewhouse!$AF249</f>
        <v>52.9</v>
      </c>
      <c r="E12" s="279">
        <f>[22]Brewhouse!$AI249</f>
        <v>49.5</v>
      </c>
      <c r="F12" s="278">
        <f>[22]Brewhouse!$V249</f>
        <v>65</v>
      </c>
      <c r="G12" s="279">
        <f>[22]Brewhouse!$AG249</f>
        <v>11.9</v>
      </c>
      <c r="H12" s="396">
        <v>11.9</v>
      </c>
      <c r="I12" s="368">
        <f>[22]Brewhouse!$AU249</f>
        <v>98.753578648455701</v>
      </c>
      <c r="J12" s="368">
        <f>[22]Brewhouse!$AV249</f>
        <v>97.998980324008727</v>
      </c>
      <c r="K12" s="281">
        <f>[22]Brewhouse!$Q249</f>
        <v>6.0254083484573506</v>
      </c>
      <c r="L12" s="276">
        <f>[22]Brewhouse!$P249</f>
        <v>62</v>
      </c>
      <c r="M12" s="397">
        <f>[22]Brewhouse!$U249-[22]Brewhouse!$T249</f>
        <v>0.11874999999999997</v>
      </c>
      <c r="N12" s="370">
        <f>[22]Brewhouse!$Z249</f>
        <v>0.28611111111111109</v>
      </c>
      <c r="O12" s="371" t="str">
        <f>[22]Brewhouse!$AX249</f>
        <v>K.Benjamin</v>
      </c>
      <c r="P12" s="369" t="s">
        <v>197</v>
      </c>
      <c r="Q12" s="347"/>
      <c r="S12" s="277" t="str">
        <f t="shared" si="9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6" customHeight="1">
      <c r="B13" s="29" t="s">
        <v>6</v>
      </c>
      <c r="C13" s="366" t="str">
        <f>[22]Brewhouse!$A250</f>
        <v>CA148</v>
      </c>
      <c r="D13" s="279">
        <f>[22]Brewhouse!$AF250</f>
        <v>53.3</v>
      </c>
      <c r="E13" s="279">
        <f>[22]Brewhouse!$AI250</f>
        <v>49.7</v>
      </c>
      <c r="F13" s="278">
        <f>[22]Brewhouse!$V250</f>
        <v>57</v>
      </c>
      <c r="G13" s="279">
        <f>[22]Brewhouse!$AG250</f>
        <v>11.7</v>
      </c>
      <c r="H13" s="396">
        <v>11.8</v>
      </c>
      <c r="I13" s="368">
        <f>[22]Brewhouse!$AU250</f>
        <v>98.30806761549934</v>
      </c>
      <c r="J13" s="368">
        <f>[22]Brewhouse!$AV250</f>
        <v>97.524689688028417</v>
      </c>
      <c r="K13" s="281">
        <f>[22]Brewhouse!$Q250</f>
        <v>5.7706093189964145</v>
      </c>
      <c r="L13" s="276">
        <f>[22]Brewhouse!$P250</f>
        <v>61</v>
      </c>
      <c r="M13" s="397">
        <f>[22]Brewhouse!$U250-[22]Brewhouse!$T250</f>
        <v>0.10555555555555557</v>
      </c>
      <c r="N13" s="370">
        <f>[22]Brewhouse!$Z250</f>
        <v>0.28680555555555554</v>
      </c>
      <c r="O13" s="371" t="str">
        <f>[22]Brewhouse!$AX250</f>
        <v>R.Regis</v>
      </c>
      <c r="P13" s="369" t="s">
        <v>198</v>
      </c>
      <c r="Q13" s="347"/>
      <c r="S13" s="277" t="str">
        <f t="shared" si="9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6" customHeight="1">
      <c r="B14" s="29" t="s">
        <v>6</v>
      </c>
      <c r="C14" s="366" t="str">
        <f>[22]Brewhouse!$A251</f>
        <v>CA149</v>
      </c>
      <c r="D14" s="279">
        <f>[22]Brewhouse!$AF251</f>
        <v>53.5</v>
      </c>
      <c r="E14" s="279">
        <f>[22]Brewhouse!$AI251</f>
        <v>50.2</v>
      </c>
      <c r="F14" s="278">
        <f>[22]Brewhouse!$V251</f>
        <v>67</v>
      </c>
      <c r="G14" s="279">
        <f>[22]Brewhouse!$AG251</f>
        <v>11.78</v>
      </c>
      <c r="H14" s="396">
        <v>11.8</v>
      </c>
      <c r="I14" s="368">
        <f>[22]Brewhouse!$AU251</f>
        <v>100.19018778186395</v>
      </c>
      <c r="J14" s="368">
        <f>[22]Brewhouse!$AV251</f>
        <v>99.391811986660102</v>
      </c>
      <c r="K14" s="281">
        <f>[22]Brewhouse!$Q251</f>
        <v>5.7499999999999982</v>
      </c>
      <c r="L14" s="276">
        <f>[22]Brewhouse!$P251</f>
        <v>60</v>
      </c>
      <c r="M14" s="397">
        <f>[22]Brewhouse!$U251-[22]Brewhouse!$T251</f>
        <v>0.11319444444444449</v>
      </c>
      <c r="N14" s="370">
        <f>[22]Brewhouse!$Z251</f>
        <v>0.25833333333333336</v>
      </c>
      <c r="O14" s="371" t="str">
        <f>[22]Brewhouse!$AX251</f>
        <v>R.Regis</v>
      </c>
      <c r="P14" s="369"/>
      <c r="Q14" s="347"/>
      <c r="S14" s="277" t="str">
        <f t="shared" si="9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6" customHeight="1">
      <c r="B15" s="29" t="s">
        <v>6</v>
      </c>
      <c r="C15" s="366" t="str">
        <f>[22]Brewhouse!$A252</f>
        <v>CA150</v>
      </c>
      <c r="D15" s="279">
        <f>[22]Brewhouse!$AF252</f>
        <v>53.3</v>
      </c>
      <c r="E15" s="279">
        <f>[22]Brewhouse!$AI252</f>
        <v>49.8</v>
      </c>
      <c r="F15" s="278">
        <f>[22]Brewhouse!$V252</f>
        <v>67</v>
      </c>
      <c r="G15" s="279">
        <f>[22]Brewhouse!$AG252</f>
        <v>11.8</v>
      </c>
      <c r="H15" s="396">
        <v>11.7</v>
      </c>
      <c r="I15" s="368">
        <f>[22]Brewhouse!$AU252</f>
        <v>98.900119917031091</v>
      </c>
      <c r="J15" s="368">
        <f>[22]Brewhouse!$AV252</f>
        <v>98.111850894662581</v>
      </c>
      <c r="K15" s="281">
        <f>[22]Brewhouse!$Q252</f>
        <v>5.6014362657091645</v>
      </c>
      <c r="L15" s="276">
        <f>[22]Brewhouse!$P252</f>
        <v>67</v>
      </c>
      <c r="M15" s="397">
        <f>[22]Brewhouse!$U252-[22]Brewhouse!$T252</f>
        <v>0.11458333333333326</v>
      </c>
      <c r="N15" s="370">
        <f>[22]Brewhouse!$Z252</f>
        <v>0.27152777777777776</v>
      </c>
      <c r="O15" s="371" t="str">
        <f>[22]Brewhouse!$AX252</f>
        <v>R.Sookram</v>
      </c>
      <c r="P15" s="369"/>
      <c r="Q15" s="347"/>
      <c r="S15" s="277" t="str">
        <f t="shared" si="9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6" customHeight="1">
      <c r="B16" s="29" t="s">
        <v>6</v>
      </c>
      <c r="C16" s="366" t="str">
        <f>[22]Brewhouse!$A253</f>
        <v>CA151</v>
      </c>
      <c r="D16" s="279">
        <f>[22]Brewhouse!$AF253</f>
        <v>56.1</v>
      </c>
      <c r="E16" s="279">
        <f>[22]Brewhouse!$AI253</f>
        <v>52.6</v>
      </c>
      <c r="F16" s="278">
        <f>[22]Brewhouse!$V253</f>
        <v>62</v>
      </c>
      <c r="G16" s="279">
        <f>[22]Brewhouse!$AG253</f>
        <v>11.8</v>
      </c>
      <c r="H16" s="396">
        <v>11.9</v>
      </c>
      <c r="I16" s="368">
        <f>[22]Brewhouse!$AU253</f>
        <v>104.59013374354345</v>
      </c>
      <c r="J16" s="368">
        <f>[22]Brewhouse!$AV253</f>
        <v>103.75655893169984</v>
      </c>
      <c r="K16" s="281">
        <f>[22]Brewhouse!$Q253</f>
        <v>5.0719424460431659</v>
      </c>
      <c r="L16" s="276">
        <f>[22]Brewhouse!$P253</f>
        <v>60</v>
      </c>
      <c r="M16" s="397">
        <f>[22]Brewhouse!$U253-[22]Brewhouse!$T253</f>
        <v>0.13263888888888886</v>
      </c>
      <c r="N16" s="370">
        <f>[22]Brewhouse!$Z253</f>
        <v>0.29236111111111107</v>
      </c>
      <c r="O16" s="371" t="str">
        <f>[22]Brewhouse!$AX253</f>
        <v>R.Sookram</v>
      </c>
      <c r="P16" s="369"/>
      <c r="Q16" s="347"/>
      <c r="S16" s="277" t="str">
        <f t="shared" si="9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6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369"/>
      <c r="Q17" s="347"/>
      <c r="S17" s="277">
        <f t="shared" si="9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6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6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6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17"/>
      <c r="J21" s="417"/>
      <c r="K21" s="398"/>
      <c r="L21" s="276"/>
      <c r="M21" s="374"/>
      <c r="N21" s="370"/>
      <c r="O21" s="418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.75" customHeight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78" t="s">
        <v>35</v>
      </c>
      <c r="E24" s="479"/>
      <c r="F24" s="294"/>
      <c r="G24" s="294"/>
      <c r="H24" s="23"/>
      <c r="I24" s="24" t="s">
        <v>17</v>
      </c>
      <c r="J24" s="25" t="s">
        <v>146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92" t="s">
        <v>9</v>
      </c>
      <c r="C25" s="450" cm="1">
        <f t="array" ref="C25:C32">[24]Process!$D$74:$D$81</f>
        <v>12.2</v>
      </c>
      <c r="D25" s="555">
        <v>11.86</v>
      </c>
      <c r="E25" s="556"/>
      <c r="F25" s="294"/>
      <c r="G25" s="294"/>
      <c r="H25" s="294"/>
      <c r="I25" s="29" t="s">
        <v>6</v>
      </c>
      <c r="J25" s="368">
        <f>AVERAGE(I12:I16)</f>
        <v>100.1484175412787</v>
      </c>
      <c r="K25" s="284">
        <f>COUNTA([22]Brewhouse!$A$173:$A$253)</f>
        <v>81</v>
      </c>
      <c r="L25" s="302">
        <f>AVERAGE([22]Brewhouse!$AU$173:$AU$253)</f>
        <v>96.49805641294688</v>
      </c>
      <c r="M25" s="302">
        <f>AVERAGE([22]Brewhouse!$AU$102:$AU$171,[22]Brewhouse!$AU$173:$AU$253)</f>
        <v>95.607057306142053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79"/>
      <c r="C26" s="349">
        <v>12</v>
      </c>
      <c r="D26" s="519"/>
      <c r="E26" s="507"/>
      <c r="F26" s="294"/>
      <c r="G26" s="294"/>
      <c r="H26" s="32"/>
      <c r="I26" s="33" t="s">
        <v>9</v>
      </c>
      <c r="J26" s="323">
        <f>AVERAGE(I10)</f>
        <v>94.598152318138133</v>
      </c>
      <c r="K26" s="284">
        <f>COUNTA([24]Brewhouse!$A$66:$A$103)</f>
        <v>38</v>
      </c>
      <c r="L26" s="302">
        <f>AVERAGE([24]Brewhouse!$AS$66:$AS$103)</f>
        <v>95.638641201797029</v>
      </c>
      <c r="M26" s="302">
        <f>AVERAGE([24]Brewhouse!$AS$15:$AS$64,[24]Brewhouse!$AS$66:$AS$103)</f>
        <v>95.887897405672277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79"/>
      <c r="C27" s="349">
        <v>12</v>
      </c>
      <c r="D27" s="555">
        <v>11.98</v>
      </c>
      <c r="E27" s="556"/>
      <c r="F27" s="294"/>
      <c r="G27" s="294"/>
      <c r="H27" s="32"/>
      <c r="I27" s="34" t="s">
        <v>12</v>
      </c>
      <c r="J27" s="280"/>
      <c r="K27" s="284">
        <f>COUNTA([23]Brewhouse!$A$9:$A$22)</f>
        <v>14</v>
      </c>
      <c r="L27" s="302">
        <f>AVERAGE([23]Brewhouse!$AU$9:$AU$22)</f>
        <v>95.97048596821466</v>
      </c>
      <c r="M27" s="302">
        <f>AVERAGE([23]Brewhouse!$AU$4:$AU$7,[23]Brewhouse!$AU$9:$AU$22)</f>
        <v>96.221919722068549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79"/>
      <c r="C28" s="349">
        <v>12</v>
      </c>
      <c r="D28" s="519"/>
      <c r="E28" s="507"/>
      <c r="F28" s="294"/>
      <c r="G28" s="294"/>
      <c r="H28" s="32"/>
      <c r="I28" s="22" t="s">
        <v>33</v>
      </c>
      <c r="J28" s="280"/>
      <c r="K28" s="284">
        <f>COUNTA([25]Brewhouse!$A$16:$A$19)</f>
        <v>4</v>
      </c>
      <c r="L28" s="302">
        <f>AVERAGE([25]Brewhouse!$AV$16:$AV$19)</f>
        <v>99.193666402492596</v>
      </c>
      <c r="M28" s="302">
        <f>AVERAGE([25]Brewhouse!$AV$5:$AV$14,[25]Brewhouse!$AV$16:$AV$19)</f>
        <v>98.139385615971563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79"/>
      <c r="C29" s="349">
        <v>12</v>
      </c>
      <c r="D29" s="555">
        <v>11.86</v>
      </c>
      <c r="E29" s="556"/>
      <c r="F29" s="294"/>
      <c r="G29" s="294"/>
      <c r="H29" s="32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79"/>
      <c r="C30" s="349">
        <v>11.9</v>
      </c>
      <c r="D30" s="519"/>
      <c r="E30" s="507"/>
      <c r="F30" s="294"/>
      <c r="G30" s="294"/>
      <c r="H30" s="32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79"/>
      <c r="C31" s="349">
        <v>12</v>
      </c>
      <c r="D31" s="555">
        <v>11.92</v>
      </c>
      <c r="E31" s="556"/>
      <c r="F31" s="294"/>
      <c r="G31" s="294"/>
      <c r="H31" s="32"/>
      <c r="I31" s="37" t="s">
        <v>16</v>
      </c>
      <c r="J31" s="323"/>
      <c r="K31" s="284">
        <f>COUNTA([27]Brewhouse!$A$15:$A$20)</f>
        <v>6</v>
      </c>
      <c r="L31" s="302">
        <f>AVERAGE([27]Brewhouse!$AY$15:$AY$20)</f>
        <v>95.874175970347281</v>
      </c>
      <c r="M31" s="302">
        <f>AVERAGE([27]Brewhouse!$AY$6:$AY$13,[27]Brewhouse!$AY$15:$AY$20)</f>
        <v>94.285964321968933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79"/>
      <c r="C32" s="349">
        <v>11.9</v>
      </c>
      <c r="D32" s="519"/>
      <c r="E32" s="507"/>
      <c r="F32" s="294"/>
      <c r="G32" s="294"/>
      <c r="H32" s="32"/>
      <c r="I32" s="416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79"/>
      <c r="C33" s="349"/>
      <c r="D33" s="555"/>
      <c r="E33" s="556"/>
      <c r="F33" s="294"/>
      <c r="G33" s="294"/>
      <c r="H33" s="32"/>
      <c r="I33" s="415" t="s">
        <v>157</v>
      </c>
      <c r="J33" s="326"/>
      <c r="K33" s="284"/>
      <c r="L33" s="305"/>
      <c r="M33" s="305"/>
      <c r="N33" s="30"/>
      <c r="O33" s="11"/>
      <c r="P33" s="31"/>
      <c r="S33" s="23"/>
    </row>
    <row r="34" spans="1:57" ht="15" customHeight="1" thickBot="1">
      <c r="A34" s="28"/>
      <c r="B34" s="579"/>
      <c r="C34" s="349"/>
      <c r="D34" s="519"/>
      <c r="E34" s="507"/>
      <c r="F34" s="294"/>
      <c r="G34" s="294"/>
      <c r="H34" s="32"/>
      <c r="I34" s="411" t="s">
        <v>156</v>
      </c>
      <c r="J34" s="327"/>
      <c r="K34" s="412"/>
      <c r="L34" s="413"/>
      <c r="M34" s="413"/>
      <c r="N34" s="414">
        <v>98</v>
      </c>
      <c r="O34" s="11"/>
      <c r="P34" s="31"/>
      <c r="S34" s="23"/>
    </row>
    <row r="35" spans="1:57" ht="15" customHeight="1" thickBot="1">
      <c r="A35" s="28"/>
      <c r="B35" s="579"/>
      <c r="C35" s="349"/>
      <c r="D35" s="504"/>
      <c r="E35" s="505"/>
      <c r="F35" s="294"/>
      <c r="G35" s="294"/>
      <c r="H35" s="32"/>
      <c r="I35" s="1"/>
      <c r="J35" s="39"/>
      <c r="K35" s="409">
        <f>SUM(K25:K34)</f>
        <v>143</v>
      </c>
      <c r="L35" s="410">
        <f>((L25*K25)+(L26*K26)+(L27*K27)+(L28*K28)+(L29*K29)+(K32*L32)+(L30*K30)+(L31*K31)+(L34*K34))/(K35)</f>
        <v>96.267254965762547</v>
      </c>
      <c r="M35" s="410">
        <f>AVERAGE('[29]Jan 31st'!$L$65,L35)</f>
        <v>95.721488213699516</v>
      </c>
      <c r="N35" s="40">
        <v>98</v>
      </c>
      <c r="O35" s="11"/>
      <c r="P35" s="31"/>
      <c r="S35" s="23"/>
    </row>
    <row r="36" spans="1:57" ht="15" thickBot="1">
      <c r="B36" s="580"/>
      <c r="C36" s="350"/>
      <c r="D36" s="506"/>
      <c r="E36" s="507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94"/>
      <c r="C37" s="362"/>
      <c r="D37" s="517"/>
      <c r="E37" s="518"/>
      <c r="F37" s="43"/>
      <c r="G37" s="41"/>
      <c r="H37" s="41"/>
      <c r="I37" s="42"/>
      <c r="J37" s="587" t="s">
        <v>129</v>
      </c>
      <c r="K37" s="58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76"/>
      <c r="C38" s="349"/>
      <c r="D38" s="519"/>
      <c r="E38" s="507"/>
      <c r="F38" s="43"/>
      <c r="G38" s="41"/>
      <c r="H38" s="41"/>
      <c r="I38" s="42"/>
      <c r="J38" s="453" t="s">
        <v>17</v>
      </c>
      <c r="K38" s="454" t="s">
        <v>147</v>
      </c>
      <c r="L38" s="521" t="s">
        <v>136</v>
      </c>
      <c r="M38" s="521"/>
      <c r="N38" s="522"/>
      <c r="O38" s="294"/>
      <c r="P38" s="12"/>
      <c r="S38" s="23"/>
    </row>
    <row r="39" spans="1:57" ht="15" customHeight="1" thickBot="1">
      <c r="B39" s="576"/>
      <c r="C39" s="349"/>
      <c r="D39" s="523"/>
      <c r="E39" s="505"/>
      <c r="F39" s="43"/>
      <c r="G39" s="41"/>
      <c r="H39" s="41"/>
      <c r="I39" s="42"/>
      <c r="J39" s="455" t="s">
        <v>6</v>
      </c>
      <c r="K39" s="456">
        <f>COUNTA(B12:B16)</f>
        <v>5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76"/>
      <c r="C40" s="349"/>
      <c r="D40" s="519"/>
      <c r="E40" s="507"/>
      <c r="F40" s="43"/>
      <c r="G40" s="41"/>
      <c r="H40" s="41"/>
      <c r="I40" s="42"/>
      <c r="J40" s="457" t="s">
        <v>9</v>
      </c>
      <c r="K40" s="456">
        <f>COUNTA(#REF!)</f>
        <v>1</v>
      </c>
      <c r="L40" s="344">
        <f>AVERAGE('Feb 3rd'!K79,'Feb 4th'!K77,'Feb 5th'!L68,'Feb 6th'!K75,'Feb 10th'!K69,'Feb 11th'!K68,'Feb 12th'!K70,'Feb 13th'!K69,'Feb 14th'!K47,'Feb 14th'!K47,'Feb 17th'!K47,'Feb 18th'!K47,'Feb 19th '!L38,'Feb 20th'!K49,'Feb 21st'!K45,'Feb 23rd'!K43,'Feb 24th'!K47,'Feb 25th'!K48,'Feb 26th'!K49,'Feb 27th'!K47,'Feb 28th'!K49)</f>
        <v>7.0109890109890109</v>
      </c>
      <c r="M40" s="325">
        <f>AVERAGE('[29]Jan 29th '!$M$70,L40)</f>
        <v>6.7554945054945055</v>
      </c>
      <c r="N40" s="401"/>
      <c r="O40" s="294"/>
      <c r="P40" s="12"/>
      <c r="S40" s="23"/>
    </row>
    <row r="41" spans="1:57" ht="15" customHeight="1">
      <c r="B41" s="576"/>
      <c r="C41" s="349"/>
      <c r="D41" s="523"/>
      <c r="E41" s="505"/>
      <c r="F41" s="43"/>
      <c r="G41" s="41"/>
      <c r="H41" s="41"/>
      <c r="I41" s="42"/>
      <c r="J41" s="458" t="s">
        <v>40</v>
      </c>
      <c r="K41" s="456"/>
      <c r="L41" s="294"/>
      <c r="M41" s="294"/>
      <c r="N41" s="294"/>
      <c r="O41" s="294"/>
      <c r="P41" s="12"/>
      <c r="S41" s="23"/>
    </row>
    <row r="42" spans="1:57" ht="15" customHeight="1">
      <c r="B42" s="576"/>
      <c r="C42" s="349"/>
      <c r="D42" s="519"/>
      <c r="E42" s="507"/>
      <c r="F42" s="43"/>
      <c r="G42" s="41"/>
      <c r="H42" s="41"/>
      <c r="I42" s="42"/>
      <c r="J42" s="459" t="s">
        <v>33</v>
      </c>
      <c r="K42" s="456"/>
      <c r="L42" s="294"/>
      <c r="M42" s="294"/>
      <c r="N42" s="294"/>
      <c r="O42" s="294"/>
      <c r="P42" s="12"/>
      <c r="S42" s="23"/>
    </row>
    <row r="43" spans="1:57" ht="14.4">
      <c r="B43" s="576"/>
      <c r="C43" s="349"/>
      <c r="D43" s="523"/>
      <c r="E43" s="505"/>
      <c r="F43" s="43"/>
      <c r="G43" s="41"/>
      <c r="H43" s="41"/>
      <c r="I43" s="42"/>
      <c r="J43" s="460" t="s">
        <v>16</v>
      </c>
      <c r="K43" s="456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76"/>
      <c r="C44" s="349"/>
      <c r="D44" s="519"/>
      <c r="E44" s="507"/>
      <c r="F44" s="43"/>
      <c r="G44" s="41"/>
      <c r="H44" s="41"/>
      <c r="I44" s="42"/>
      <c r="J44" s="461" t="s">
        <v>15</v>
      </c>
      <c r="K44" s="456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76"/>
      <c r="C45" s="349"/>
      <c r="D45" s="524"/>
      <c r="E45" s="509"/>
      <c r="F45" s="43"/>
      <c r="G45" s="41"/>
      <c r="H45" s="41"/>
      <c r="I45" s="42"/>
      <c r="J45" s="461" t="s">
        <v>149</v>
      </c>
      <c r="K45" s="456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77"/>
      <c r="C46" s="350"/>
      <c r="D46" s="525"/>
      <c r="E46" s="526"/>
      <c r="F46" s="43"/>
      <c r="G46" s="41"/>
      <c r="H46" s="41"/>
      <c r="I46" s="42"/>
      <c r="J46" s="461" t="s">
        <v>148</v>
      </c>
      <c r="K46" s="456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27">
        <f>AVERAGE(D25:E46)</f>
        <v>11.905000000000001</v>
      </c>
      <c r="E47" s="528"/>
      <c r="F47" s="43"/>
      <c r="G47" s="41"/>
      <c r="H47" s="41"/>
      <c r="I47" s="42"/>
      <c r="J47" s="462" t="s">
        <v>134</v>
      </c>
      <c r="K47" s="456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62" t="s">
        <v>131</v>
      </c>
      <c r="K48" s="456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 thickBot="1">
      <c r="B49" s="45"/>
      <c r="C49" s="11"/>
      <c r="D49" s="11"/>
      <c r="E49" s="46"/>
      <c r="F49" s="23"/>
      <c r="G49" s="11"/>
      <c r="H49" s="41"/>
      <c r="I49" s="42"/>
      <c r="J49" s="463" t="s">
        <v>130</v>
      </c>
      <c r="K49" s="464">
        <f>SUM(K39:K48)</f>
        <v>6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29" t="s">
        <v>17</v>
      </c>
      <c r="C52" s="529" t="s">
        <v>44</v>
      </c>
      <c r="D52" s="531" t="s">
        <v>45</v>
      </c>
      <c r="E52" s="486" t="s">
        <v>46</v>
      </c>
      <c r="F52" s="546" t="s">
        <v>47</v>
      </c>
      <c r="G52" s="540" t="s">
        <v>48</v>
      </c>
      <c r="H52" s="529" t="s">
        <v>49</v>
      </c>
      <c r="I52" s="529" t="s">
        <v>50</v>
      </c>
      <c r="J52" s="534" t="s">
        <v>28</v>
      </c>
      <c r="K52" s="484" t="s">
        <v>51</v>
      </c>
      <c r="L52" s="496" t="s">
        <v>52</v>
      </c>
      <c r="M52" s="534" t="s">
        <v>53</v>
      </c>
      <c r="N52" s="77"/>
      <c r="O52" s="13"/>
      <c r="P52" s="50"/>
    </row>
    <row r="53" spans="2:58" ht="28.5" customHeight="1" thickTop="1" thickBot="1">
      <c r="B53" s="530"/>
      <c r="C53" s="530"/>
      <c r="D53" s="532"/>
      <c r="E53" s="533"/>
      <c r="F53" s="547"/>
      <c r="G53" s="541"/>
      <c r="H53" s="530"/>
      <c r="I53" s="530"/>
      <c r="J53" s="535"/>
      <c r="K53" s="544"/>
      <c r="L53" s="545"/>
      <c r="M53" s="535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42" customHeight="1">
      <c r="B54" s="448" t="str">
        <f>I26</f>
        <v>STAG</v>
      </c>
      <c r="C54" s="283">
        <v>45716</v>
      </c>
      <c r="D54" s="279">
        <f>[30]February_2025!$AE$13</f>
        <v>399.70000000000005</v>
      </c>
      <c r="E54" s="279"/>
      <c r="F54" s="279">
        <f>SUM([31]STAG!$L$51:$L$58)</f>
        <v>391</v>
      </c>
      <c r="G54" s="279">
        <f>[30]February_2025!$AE$17</f>
        <v>369.1</v>
      </c>
      <c r="H54" s="320">
        <f>(D54-F54)/D54*100</f>
        <v>2.1766324743557779</v>
      </c>
      <c r="I54" s="322">
        <f>((F54+E54)-G54)/(F54+E54)*100</f>
        <v>5.6010230179028078</v>
      </c>
      <c r="J54" s="470" t="s">
        <v>188</v>
      </c>
      <c r="K54" s="437">
        <f>[32]February_2025!$AE$25</f>
        <v>0.46137500000000004</v>
      </c>
      <c r="L54" s="314">
        <f>(((D54+E54)-G54)/(D54+E54))*100</f>
        <v>7.6557418063547713</v>
      </c>
      <c r="M54" s="281" t="s">
        <v>165</v>
      </c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7.9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7"/>
      <c r="L55" s="314"/>
      <c r="M55" s="281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s="54" customFormat="1" ht="45.75" hidden="1" customHeight="1">
      <c r="B56" s="431"/>
      <c r="C56" s="283"/>
      <c r="D56" s="279"/>
      <c r="E56" s="279"/>
      <c r="F56" s="279"/>
      <c r="G56" s="279"/>
      <c r="H56" s="320"/>
      <c r="I56" s="322"/>
      <c r="J56" s="389"/>
      <c r="K56" s="437"/>
      <c r="L56" s="314"/>
      <c r="M56" s="281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10.95" hidden="1" customHeight="1" thickBot="1">
      <c r="B57" s="387"/>
      <c r="C57" s="283"/>
      <c r="D57" s="279"/>
      <c r="E57" s="279"/>
      <c r="F57" s="279"/>
      <c r="G57" s="279"/>
      <c r="H57" s="320"/>
      <c r="I57" s="322"/>
      <c r="J57" s="389"/>
      <c r="K57" s="437"/>
      <c r="L57" s="314"/>
      <c r="M57" s="281"/>
      <c r="N57" s="13"/>
      <c r="O57" s="13"/>
      <c r="P57" s="50"/>
      <c r="T57" s="272" t="s">
        <v>51</v>
      </c>
      <c r="U57" s="57">
        <f>[20]January_2019!D6</f>
        <v>0</v>
      </c>
      <c r="V57" s="57">
        <f>[20]January_2019!E6</f>
        <v>0</v>
      </c>
      <c r="W57" s="57">
        <f>[20]January_2019!F6</f>
        <v>0</v>
      </c>
      <c r="X57" s="57">
        <f>[20]January_2019!G6</f>
        <v>0</v>
      </c>
      <c r="Y57" s="57">
        <f>[20]January_2019!H6</f>
        <v>0</v>
      </c>
      <c r="Z57" s="57">
        <f>[20]January_2019!I6</f>
        <v>0</v>
      </c>
      <c r="AA57" s="57">
        <f>[20]January_2019!J6</f>
        <v>0</v>
      </c>
      <c r="AB57" s="57">
        <f>[20]January_2019!K6</f>
        <v>0</v>
      </c>
      <c r="AC57" s="57">
        <f>[20]January_2019!L6</f>
        <v>0</v>
      </c>
      <c r="AD57" s="57">
        <f>[20]January_2019!M6</f>
        <v>0</v>
      </c>
      <c r="AE57" s="57">
        <f>[20]January_2019!N6</f>
        <v>0</v>
      </c>
      <c r="AF57" s="57">
        <f>[20]January_2019!O6</f>
        <v>0</v>
      </c>
      <c r="AG57" s="57">
        <f>[20]January_2019!P6</f>
        <v>0</v>
      </c>
      <c r="AH57" s="57">
        <f>[20]January_2019!Q6</f>
        <v>0</v>
      </c>
      <c r="AI57" s="57">
        <f>[20]January_2019!R6</f>
        <v>0</v>
      </c>
      <c r="AJ57" s="57">
        <f>[20]January_2019!S6</f>
        <v>0</v>
      </c>
      <c r="AK57" s="57">
        <f>[20]January_2019!T6</f>
        <v>0</v>
      </c>
      <c r="AL57" s="57">
        <f>[20]January_2019!U6</f>
        <v>0</v>
      </c>
      <c r="AM57" s="57">
        <f>[20]January_2019!V6</f>
        <v>0</v>
      </c>
      <c r="AN57" s="57">
        <f>[20]January_2019!W6</f>
        <v>0</v>
      </c>
      <c r="AO57" s="57">
        <f>[20]January_2019!X6</f>
        <v>0</v>
      </c>
      <c r="AP57" s="57">
        <f>[20]January_2019!Y6</f>
        <v>0</v>
      </c>
      <c r="AQ57" s="57">
        <f>[20]January_2019!Z6</f>
        <v>0</v>
      </c>
      <c r="AR57" s="57">
        <f>[20]January_2019!AA6</f>
        <v>0</v>
      </c>
      <c r="AS57" s="57">
        <f>[20]January_2019!AB6</f>
        <v>0</v>
      </c>
      <c r="AT57" s="57">
        <f>[20]January_2019!AC6</f>
        <v>0</v>
      </c>
      <c r="AU57" s="57">
        <f>[20]January_2019!AD6</f>
        <v>0</v>
      </c>
      <c r="AV57" s="57">
        <f>[20]January_2019!AE6</f>
        <v>0</v>
      </c>
      <c r="AW57" s="57">
        <f>[20]January_2019!AF6</f>
        <v>0</v>
      </c>
      <c r="AX57" s="57">
        <f>[20]January_2019!AG6</f>
        <v>0</v>
      </c>
      <c r="AY57" s="277">
        <f>[20]January_2019!AH6</f>
        <v>0</v>
      </c>
      <c r="AZ57" s="277"/>
      <c r="BA57" s="277"/>
      <c r="BB57" s="277"/>
      <c r="BC57" s="277"/>
      <c r="BD57" s="277"/>
      <c r="BE57" s="277"/>
      <c r="BF57" s="277"/>
    </row>
    <row r="58" spans="2:58" s="54" customFormat="1" ht="56.4" hidden="1" customHeight="1">
      <c r="B58" s="448"/>
      <c r="C58" s="283"/>
      <c r="D58" s="279"/>
      <c r="E58" s="279"/>
      <c r="F58" s="279"/>
      <c r="G58" s="279"/>
      <c r="H58" s="320"/>
      <c r="I58" s="322"/>
      <c r="J58" s="389"/>
      <c r="K58" s="437"/>
      <c r="L58" s="314"/>
      <c r="M58" s="281"/>
      <c r="N58" s="13"/>
      <c r="O58" s="13"/>
      <c r="P58" s="50"/>
      <c r="T58" s="272" t="s">
        <v>54</v>
      </c>
      <c r="U58" s="279"/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  <c r="AG58" s="279"/>
      <c r="AH58" s="279"/>
      <c r="AI58" s="279"/>
      <c r="AJ58" s="279"/>
      <c r="AK58" s="279"/>
      <c r="AL58" s="279"/>
      <c r="AM58" s="279"/>
      <c r="AN58" s="279"/>
      <c r="AO58" s="279"/>
      <c r="AP58" s="279"/>
      <c r="AQ58" s="279"/>
      <c r="AR58" s="279"/>
      <c r="AS58" s="279"/>
      <c r="AT58" s="279"/>
      <c r="AU58" s="279"/>
      <c r="AV58" s="279"/>
      <c r="AW58" s="279"/>
      <c r="AX58" s="279"/>
    </row>
    <row r="59" spans="2:58" s="54" customFormat="1" ht="7.95" hidden="1" customHeight="1">
      <c r="B59" s="387"/>
      <c r="C59" s="283"/>
      <c r="D59" s="279"/>
      <c r="E59" s="279"/>
      <c r="F59" s="279"/>
      <c r="G59" s="279"/>
      <c r="H59" s="320"/>
      <c r="I59" s="322"/>
      <c r="J59" s="389"/>
      <c r="K59" s="437"/>
      <c r="L59" s="314"/>
      <c r="M59" s="281"/>
      <c r="N59" s="13"/>
      <c r="O59" s="13"/>
      <c r="P59" s="50"/>
      <c r="T59" s="272" t="s">
        <v>51</v>
      </c>
      <c r="U59" s="57" t="e">
        <f>[20]January_2019!D8</f>
        <v>#DIV/0!</v>
      </c>
      <c r="V59" s="57">
        <f>[20]January_2019!E8</f>
        <v>1.0319298245614037</v>
      </c>
      <c r="W59" s="57">
        <f>[20]January_2019!F8</f>
        <v>1.7789473684210526</v>
      </c>
      <c r="X59" s="57">
        <f>[20]January_2019!G8</f>
        <v>0.51929824561403504</v>
      </c>
      <c r="Y59" s="57" t="e">
        <f>[20]January_2019!H8</f>
        <v>#DIV/0!</v>
      </c>
      <c r="Z59" s="57" t="e">
        <f>[20]January_2019!I8</f>
        <v>#DIV/0!</v>
      </c>
      <c r="AA59" s="57">
        <f>[20]January_2019!J8</f>
        <v>1.365263157894737</v>
      </c>
      <c r="AB59" s="57" t="e">
        <f>[20]January_2019!K8</f>
        <v>#DIV/0!</v>
      </c>
      <c r="AC59" s="57">
        <f>[20]January_2019!L8</f>
        <v>1.0028070175438597</v>
      </c>
      <c r="AD59" s="57">
        <f>[20]January_2019!M8</f>
        <v>1.7828070175438597</v>
      </c>
      <c r="AE59" s="57" t="e">
        <f>[20]January_2019!N8</f>
        <v>#DIV/0!</v>
      </c>
      <c r="AF59" s="57" t="e">
        <f>[20]January_2019!O8</f>
        <v>#DIV/0!</v>
      </c>
      <c r="AG59" s="57">
        <f>[20]January_2019!P8</f>
        <v>0.19222222222222221</v>
      </c>
      <c r="AH59" s="57">
        <f>[20]January_2019!Q8</f>
        <v>0.52219298245614032</v>
      </c>
      <c r="AI59" s="57">
        <f>[20]January_2019!R8</f>
        <v>0.42912280701754385</v>
      </c>
      <c r="AJ59" s="57" t="e">
        <f>[20]January_2019!S8</f>
        <v>#DIV/0!</v>
      </c>
      <c r="AK59" s="57">
        <f>[20]January_2019!T8</f>
        <v>1.0340350877192983</v>
      </c>
      <c r="AL59" s="57">
        <f>[20]January_2019!U8</f>
        <v>0.98421052631578942</v>
      </c>
      <c r="AM59" s="57" t="e">
        <f>[20]January_2019!V8</f>
        <v>#DIV/0!</v>
      </c>
      <c r="AN59" s="57" t="e">
        <f>[20]January_2019!W8</f>
        <v>#DIV/0!</v>
      </c>
      <c r="AO59" s="57">
        <f>[20]January_2019!X8</f>
        <v>0.66052631578947374</v>
      </c>
      <c r="AP59" s="57">
        <f>[20]January_2019!Y8</f>
        <v>1.0375438596491227</v>
      </c>
      <c r="AQ59" s="57">
        <f>[20]January_2019!Z8</f>
        <v>0.90456140350877201</v>
      </c>
      <c r="AR59" s="57">
        <f>[20]January_2019!AA8</f>
        <v>1.0217543859649123</v>
      </c>
      <c r="AS59" s="57">
        <f>[20]January_2019!AB8</f>
        <v>0.65614035087719302</v>
      </c>
      <c r="AT59" s="57" t="e">
        <f>[20]January_2019!AC8</f>
        <v>#DIV/0!</v>
      </c>
      <c r="AU59" s="57" t="e">
        <f>[20]January_2019!AD8</f>
        <v>#DIV/0!</v>
      </c>
      <c r="AV59" s="57">
        <f>[20]January_2019!AE8</f>
        <v>1.7021052631578948</v>
      </c>
      <c r="AW59" s="57">
        <f>[20]January_2019!AF8</f>
        <v>0.60192982456140354</v>
      </c>
      <c r="AX59" s="57">
        <f>[20]January_2019!AG8</f>
        <v>1.4870175438596491</v>
      </c>
      <c r="AY59" s="277" t="e">
        <f>[20]January_2019!AH8</f>
        <v>#DIV/0!</v>
      </c>
      <c r="AZ59" s="277"/>
      <c r="BA59" s="277"/>
      <c r="BB59" s="277"/>
      <c r="BC59" s="277"/>
      <c r="BD59" s="277"/>
      <c r="BE59" s="277"/>
      <c r="BF59" s="277"/>
    </row>
    <row r="60" spans="2:58" s="54" customFormat="1" ht="14.4" hidden="1" thickBot="1">
      <c r="B60" s="361"/>
      <c r="C60" s="283"/>
      <c r="D60" s="304"/>
      <c r="E60" s="279"/>
      <c r="F60" s="279"/>
      <c r="G60" s="279"/>
      <c r="H60" s="381"/>
      <c r="I60" s="381"/>
      <c r="J60" s="389"/>
      <c r="K60" s="437"/>
      <c r="L60" s="314"/>
      <c r="M60" s="339"/>
      <c r="N60" s="13"/>
      <c r="O60" s="13"/>
      <c r="P60" s="50"/>
      <c r="T60" s="272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277"/>
      <c r="AZ60" s="277"/>
      <c r="BA60" s="277"/>
      <c r="BB60" s="277"/>
      <c r="BC60" s="277"/>
      <c r="BD60" s="277"/>
      <c r="BE60" s="277"/>
      <c r="BF60" s="277"/>
    </row>
    <row r="61" spans="2:58" s="54" customFormat="1" ht="9" hidden="1" customHeight="1">
      <c r="B61" s="387"/>
      <c r="C61" s="283"/>
      <c r="D61" s="279"/>
      <c r="E61" s="279"/>
      <c r="F61" s="279"/>
      <c r="G61" s="279"/>
      <c r="H61" s="320"/>
      <c r="I61" s="322"/>
      <c r="J61" s="281"/>
      <c r="K61" s="286"/>
      <c r="L61" s="314"/>
      <c r="M61" s="339"/>
      <c r="N61" s="13"/>
      <c r="O61" s="13"/>
      <c r="P61" s="50"/>
      <c r="T61" s="272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277"/>
      <c r="AZ61" s="277"/>
      <c r="BA61" s="277"/>
      <c r="BB61" s="277"/>
      <c r="BC61" s="277"/>
      <c r="BD61" s="277"/>
      <c r="BE61" s="277"/>
      <c r="BF61" s="277"/>
    </row>
    <row r="62" spans="2:58" ht="11.4" hidden="1" customHeight="1" thickBot="1">
      <c r="B62" s="33"/>
      <c r="C62" s="310"/>
      <c r="D62" s="279"/>
      <c r="E62" s="279"/>
      <c r="F62" s="279"/>
      <c r="G62" s="279"/>
      <c r="H62" s="352"/>
      <c r="I62" s="353"/>
      <c r="J62" s="281"/>
      <c r="K62" s="52"/>
      <c r="L62" s="53"/>
      <c r="M62" s="55"/>
      <c r="N62" s="77"/>
      <c r="O62" s="13"/>
      <c r="P62" s="56"/>
    </row>
    <row r="63" spans="2:58" ht="14.4" thickBot="1">
      <c r="B63" s="58"/>
      <c r="C63" s="309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9"/>
      <c r="O63" s="56"/>
      <c r="P63" s="60"/>
    </row>
    <row r="64" spans="2:58" ht="14.4" thickBot="1">
      <c r="B64" s="536" t="s">
        <v>55</v>
      </c>
      <c r="C64" s="537"/>
      <c r="D64" s="537"/>
      <c r="E64" s="537"/>
      <c r="F64" s="538"/>
      <c r="G64" s="536" t="s">
        <v>56</v>
      </c>
      <c r="H64" s="537"/>
      <c r="I64" s="537"/>
      <c r="J64" s="538"/>
      <c r="K64" s="536" t="s">
        <v>51</v>
      </c>
      <c r="L64" s="537"/>
      <c r="M64" s="537"/>
      <c r="N64" s="539"/>
      <c r="O64" s="56"/>
      <c r="P64" s="50"/>
    </row>
    <row r="65" spans="2:16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>
      <c r="B66" s="29" t="s">
        <v>6</v>
      </c>
      <c r="C66" s="65"/>
      <c r="D66" s="76">
        <v>6.3548468975702361</v>
      </c>
      <c r="E66" s="76">
        <v>7.0005630479663319</v>
      </c>
      <c r="F66" s="66">
        <v>4.8</v>
      </c>
      <c r="G66" s="65"/>
      <c r="H66" s="76">
        <v>6.9771508208940123</v>
      </c>
      <c r="I66" s="76">
        <v>7.4550060558068161</v>
      </c>
      <c r="J66" s="66">
        <v>4.8</v>
      </c>
      <c r="K66" s="67"/>
      <c r="L66" s="194">
        <v>0.71701465651190999</v>
      </c>
      <c r="M66" s="194">
        <v>0.8378930358185499</v>
      </c>
      <c r="N66" s="68">
        <v>1</v>
      </c>
      <c r="O66" s="56"/>
      <c r="P66" s="69"/>
    </row>
    <row r="67" spans="2:16">
      <c r="B67" s="33" t="s">
        <v>9</v>
      </c>
      <c r="C67" s="65">
        <f>L54</f>
        <v>7.6557418063547713</v>
      </c>
      <c r="D67" s="76">
        <v>6.8045184759716228</v>
      </c>
      <c r="E67" s="76">
        <v>6.8089888231841726</v>
      </c>
      <c r="F67" s="66">
        <v>4.8</v>
      </c>
      <c r="G67" s="65">
        <f>[30]February_2025!$AE$21</f>
        <v>8.3909667919729607</v>
      </c>
      <c r="H67" s="76">
        <v>6.9089374894937619</v>
      </c>
      <c r="I67" s="76">
        <v>6.9224235081969541</v>
      </c>
      <c r="J67" s="66">
        <v>4.8</v>
      </c>
      <c r="K67" s="67">
        <f>K54</f>
        <v>0.46137500000000004</v>
      </c>
      <c r="L67" s="194">
        <v>0.59442638692356009</v>
      </c>
      <c r="M67" s="194">
        <v>0.70847053742306432</v>
      </c>
      <c r="N67" s="68">
        <v>1</v>
      </c>
      <c r="P67" s="69"/>
    </row>
    <row r="68" spans="2:16">
      <c r="B68" s="34" t="s">
        <v>40</v>
      </c>
      <c r="C68" s="65"/>
      <c r="D68" s="76">
        <v>16.313278558176496</v>
      </c>
      <c r="E68" s="76">
        <v>13.702325581395328</v>
      </c>
      <c r="F68" s="66">
        <v>5.5</v>
      </c>
      <c r="G68" s="65"/>
      <c r="H68" s="76">
        <v>18.437919359340089</v>
      </c>
      <c r="I68" s="76">
        <v>15.508495449554314</v>
      </c>
      <c r="J68" s="66">
        <v>5.5</v>
      </c>
      <c r="K68" s="67"/>
      <c r="L68" s="194">
        <v>0.40614427860696517</v>
      </c>
      <c r="M68" s="194">
        <v>0.51718974358974368</v>
      </c>
      <c r="N68" s="68">
        <v>1</v>
      </c>
      <c r="P68" s="69"/>
    </row>
    <row r="69" spans="2:16">
      <c r="B69" s="22" t="s">
        <v>33</v>
      </c>
      <c r="C69" s="65"/>
      <c r="D69" s="76">
        <v>4.9603174603174329</v>
      </c>
      <c r="E69" s="76">
        <v>3.9190537266638161</v>
      </c>
      <c r="F69" s="66">
        <v>3.3</v>
      </c>
      <c r="G69" s="65"/>
      <c r="H69" s="76">
        <v>5.7667082440308048</v>
      </c>
      <c r="I69" s="76">
        <v>5.345661717473071</v>
      </c>
      <c r="J69" s="66">
        <v>3.3</v>
      </c>
      <c r="K69" s="67"/>
      <c r="L69" s="194">
        <v>0.67228070175438603</v>
      </c>
      <c r="M69" s="194">
        <v>0.78853801169590654</v>
      </c>
      <c r="N69" s="68">
        <v>1</v>
      </c>
      <c r="P69" s="69"/>
    </row>
    <row r="70" spans="2:16">
      <c r="B70" s="469" t="s">
        <v>181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>
      <c r="B71" s="36" t="s">
        <v>15</v>
      </c>
      <c r="C71" s="282"/>
      <c r="D71" s="76"/>
      <c r="E71" s="76">
        <v>8.7664670658682695</v>
      </c>
      <c r="F71" s="70">
        <f>[21]May_2022!$M$43</f>
        <v>3.4878406700073312</v>
      </c>
      <c r="G71" s="282"/>
      <c r="H71" s="76"/>
      <c r="I71" s="76">
        <v>10.607235567685406</v>
      </c>
      <c r="J71" s="70">
        <v>5.5</v>
      </c>
      <c r="K71" s="67"/>
      <c r="L71" s="194"/>
      <c r="M71" s="194">
        <v>0.66824561403508764</v>
      </c>
      <c r="N71" s="68">
        <v>1</v>
      </c>
      <c r="P71" s="69"/>
    </row>
    <row r="72" spans="2:16">
      <c r="B72" s="37" t="s">
        <v>16</v>
      </c>
      <c r="C72" s="65"/>
      <c r="D72" s="76">
        <v>3.3333333333333082</v>
      </c>
      <c r="E72" s="76">
        <v>2.2765363128491556</v>
      </c>
      <c r="F72" s="66">
        <v>3.3</v>
      </c>
      <c r="G72" s="282"/>
      <c r="H72" s="76">
        <v>5.2583423035521699</v>
      </c>
      <c r="I72" s="76">
        <v>4.5833713915368151</v>
      </c>
      <c r="J72" s="70">
        <v>3.3</v>
      </c>
      <c r="K72" s="67"/>
      <c r="L72" s="194">
        <v>1.0053333333333334</v>
      </c>
      <c r="M72" s="194">
        <v>0.8042528735632184</v>
      </c>
      <c r="N72" s="71">
        <v>1</v>
      </c>
      <c r="P72" s="69"/>
    </row>
    <row r="73" spans="2:16" ht="14.4" thickBot="1">
      <c r="B73" s="468" t="s">
        <v>127</v>
      </c>
      <c r="C73" s="65"/>
      <c r="D73" s="76"/>
      <c r="E73" s="76"/>
      <c r="F73" s="70">
        <v>7.5</v>
      </c>
      <c r="G73" s="282"/>
      <c r="H73" s="76"/>
      <c r="I73" s="76"/>
      <c r="J73" s="72">
        <v>7.5</v>
      </c>
      <c r="K73" s="67"/>
      <c r="L73" s="194"/>
      <c r="M73" s="194"/>
      <c r="N73" s="71">
        <v>1</v>
      </c>
      <c r="P73" s="69"/>
    </row>
    <row r="74" spans="2:16" ht="14.4" thickBot="1">
      <c r="B74" s="435" t="s">
        <v>134</v>
      </c>
      <c r="C74" s="434"/>
      <c r="D74" s="76">
        <v>4.8792508624938291</v>
      </c>
      <c r="E74" s="76">
        <v>7.2637397423722039</v>
      </c>
      <c r="F74" s="66">
        <v>5.5</v>
      </c>
      <c r="G74" s="282"/>
      <c r="H74" s="76">
        <v>6.2003723782925313</v>
      </c>
      <c r="I74" s="76">
        <v>6.2003723782925313</v>
      </c>
      <c r="J74" s="433">
        <v>5.5</v>
      </c>
      <c r="K74" s="67"/>
      <c r="L74" s="194">
        <v>0.33859649122807017</v>
      </c>
      <c r="M74" s="194">
        <v>0.33859649122807017</v>
      </c>
      <c r="N74" s="71">
        <v>1</v>
      </c>
      <c r="P74" s="69"/>
    </row>
    <row r="75" spans="2:16">
      <c r="C75" s="282"/>
      <c r="D75" s="76">
        <v>7.2637397423722039</v>
      </c>
      <c r="E75" s="76">
        <v>7.1183526789715552</v>
      </c>
      <c r="F75" s="341">
        <v>4.5</v>
      </c>
      <c r="G75" s="282"/>
      <c r="H75" s="76">
        <v>8.2769282946210936</v>
      </c>
      <c r="I75" s="76">
        <v>7.9243967431061328</v>
      </c>
      <c r="J75" s="342">
        <v>5</v>
      </c>
      <c r="K75" s="67"/>
      <c r="L75" s="194">
        <v>0.63105672969966642</v>
      </c>
      <c r="M75" s="194">
        <v>0.75144495412844048</v>
      </c>
      <c r="N75" s="386">
        <v>1</v>
      </c>
      <c r="O75" s="74"/>
      <c r="P75" s="75"/>
    </row>
    <row r="80" spans="2:16">
      <c r="F80" s="315"/>
    </row>
    <row r="88" spans="30:30">
      <c r="AD88" s="275" t="s">
        <v>57</v>
      </c>
    </row>
  </sheetData>
  <mergeCells count="52">
    <mergeCell ref="M52:M53"/>
    <mergeCell ref="B64:F64"/>
    <mergeCell ref="G64:J64"/>
    <mergeCell ref="K64:N64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C4:D4"/>
    <mergeCell ref="M4:N4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7:B48">
    <cfRule type="cellIs" dxfId="172" priority="149" operator="notBetween">
      <formula>#REF!</formula>
      <formula>#REF!</formula>
    </cfRule>
  </conditionalFormatting>
  <conditionalFormatting sqref="C51">
    <cfRule type="cellIs" dxfId="171" priority="181" stopIfTrue="1" operator="greaterThan">
      <formula>100</formula>
    </cfRule>
    <cfRule type="cellIs" dxfId="170" priority="180" stopIfTrue="1" operator="lessThan">
      <formula>96</formula>
    </cfRule>
  </conditionalFormatting>
  <conditionalFormatting sqref="C66">
    <cfRule type="cellIs" dxfId="169" priority="108" stopIfTrue="1" operator="greaterThan">
      <formula>$F66</formula>
    </cfRule>
  </conditionalFormatting>
  <conditionalFormatting sqref="C66:C67">
    <cfRule type="cellIs" dxfId="168" priority="109" stopIfTrue="1" operator="lessThanOrEqual">
      <formula>0</formula>
    </cfRule>
  </conditionalFormatting>
  <conditionalFormatting sqref="C67">
    <cfRule type="cellIs" dxfId="167" priority="184" stopIfTrue="1" operator="greaterThan">
      <formula>$F66</formula>
    </cfRule>
  </conditionalFormatting>
  <conditionalFormatting sqref="C68:C70">
    <cfRule type="cellIs" dxfId="166" priority="116" stopIfTrue="1" operator="greaterThan">
      <formula>$F68</formula>
    </cfRule>
  </conditionalFormatting>
  <conditionalFormatting sqref="C68:C71">
    <cfRule type="cellIs" dxfId="165" priority="127" stopIfTrue="1" operator="lessThanOrEqual">
      <formula>0</formula>
    </cfRule>
  </conditionalFormatting>
  <conditionalFormatting sqref="C71">
    <cfRule type="cellIs" dxfId="164" priority="126" stopIfTrue="1" operator="greaterThan">
      <formula>$J71</formula>
    </cfRule>
  </conditionalFormatting>
  <conditionalFormatting sqref="C75">
    <cfRule type="cellIs" dxfId="163" priority="94" stopIfTrue="1" operator="greaterThan">
      <formula>$J75</formula>
    </cfRule>
    <cfRule type="cellIs" dxfId="162" priority="95" stopIfTrue="1" operator="lessThanOrEqual">
      <formula>0</formula>
    </cfRule>
  </conditionalFormatting>
  <conditionalFormatting sqref="C78:C82">
    <cfRule type="cellIs" dxfId="161" priority="172" stopIfTrue="1" operator="lessThanOrEqual">
      <formula>0</formula>
    </cfRule>
  </conditionalFormatting>
  <conditionalFormatting sqref="C79:C82">
    <cfRule type="cellIs" dxfId="160" priority="171" stopIfTrue="1" operator="greaterThan">
      <formula>$F$78</formula>
    </cfRule>
  </conditionalFormatting>
  <conditionalFormatting sqref="C84">
    <cfRule type="cellIs" dxfId="159" priority="174" stopIfTrue="1" operator="lessThanOrEqual">
      <formula>0</formula>
    </cfRule>
    <cfRule type="cellIs" dxfId="158" priority="173" stopIfTrue="1" operator="greaterThan">
      <formula>$F$78</formula>
    </cfRule>
  </conditionalFormatting>
  <conditionalFormatting sqref="C78:D78 D80:D86">
    <cfRule type="cellIs" dxfId="157" priority="166" stopIfTrue="1" operator="greaterThan">
      <formula>4.5</formula>
    </cfRule>
  </conditionalFormatting>
  <conditionalFormatting sqref="D47:D48">
    <cfRule type="cellIs" dxfId="156" priority="150" operator="notBetween">
      <formula>#REF!</formula>
      <formula>#REF!</formula>
    </cfRule>
  </conditionalFormatting>
  <conditionalFormatting sqref="D66:D74">
    <cfRule type="cellIs" dxfId="155" priority="139" stopIfTrue="1" operator="lessThanOrEqual">
      <formula>0</formula>
    </cfRule>
  </conditionalFormatting>
  <conditionalFormatting sqref="D75">
    <cfRule type="cellIs" dxfId="154" priority="138" stopIfTrue="1" operator="lessThanOrEqual">
      <formula>0</formula>
    </cfRule>
  </conditionalFormatting>
  <conditionalFormatting sqref="D78 D80:D86">
    <cfRule type="cellIs" dxfId="153" priority="167" stopIfTrue="1" operator="lessThanOrEqual">
      <formula>0</formula>
    </cfRule>
  </conditionalFormatting>
  <conditionalFormatting sqref="D79">
    <cfRule type="cellIs" dxfId="152" priority="158" stopIfTrue="1" operator="greaterThan">
      <formula>$F$78</formula>
    </cfRule>
    <cfRule type="cellIs" dxfId="151" priority="159" stopIfTrue="1" operator="lessThanOrEqual">
      <formula>0</formula>
    </cfRule>
  </conditionalFormatting>
  <conditionalFormatting sqref="D66:E75">
    <cfRule type="cellIs" dxfId="150" priority="131" stopIfTrue="1" operator="greaterThan">
      <formula>$F66</formula>
    </cfRule>
  </conditionalFormatting>
  <conditionalFormatting sqref="E10:E22">
    <cfRule type="cellIs" dxfId="149" priority="62" operator="lessThan">
      <formula>48</formula>
    </cfRule>
  </conditionalFormatting>
  <conditionalFormatting sqref="E51">
    <cfRule type="cellIs" dxfId="148" priority="161" stopIfTrue="1" operator="greaterThan">
      <formula>100</formula>
    </cfRule>
    <cfRule type="cellIs" dxfId="147" priority="160" stopIfTrue="1" operator="lessThan">
      <formula>96.8</formula>
    </cfRule>
  </conditionalFormatting>
  <conditionalFormatting sqref="E66:E75">
    <cfRule type="cellIs" dxfId="146" priority="132" stopIfTrue="1" operator="lessThanOrEqual">
      <formula>0</formula>
    </cfRule>
  </conditionalFormatting>
  <conditionalFormatting sqref="E78:E86">
    <cfRule type="cellIs" dxfId="145" priority="152" stopIfTrue="1" operator="greaterThan">
      <formula>4.5</formula>
    </cfRule>
    <cfRule type="cellIs" dxfId="144" priority="153" stopIfTrue="1" operator="lessThanOrEqual">
      <formula>0</formula>
    </cfRule>
  </conditionalFormatting>
  <conditionalFormatting sqref="E50:F51">
    <cfRule type="cellIs" dxfId="143" priority="162" stopIfTrue="1" operator="lessThan">
      <formula>96.5</formula>
    </cfRule>
    <cfRule type="cellIs" dxfId="142" priority="163" stopIfTrue="1" operator="greaterThan">
      <formula>100</formula>
    </cfRule>
  </conditionalFormatting>
  <conditionalFormatting sqref="F10:F22">
    <cfRule type="cellIs" dxfId="141" priority="64" operator="greaterThan">
      <formula>60</formula>
    </cfRule>
  </conditionalFormatting>
  <conditionalFormatting sqref="F51">
    <cfRule type="cellIs" dxfId="140" priority="179" stopIfTrue="1" operator="greaterThan">
      <formula>100</formula>
    </cfRule>
    <cfRule type="cellIs" dxfId="139" priority="178" stopIfTrue="1" operator="lessThan">
      <formula>96.8</formula>
    </cfRule>
  </conditionalFormatting>
  <conditionalFormatting sqref="F75">
    <cfRule type="cellIs" dxfId="138" priority="134" stopIfTrue="1" operator="lessThanOrEqual">
      <formula>0</formula>
    </cfRule>
    <cfRule type="cellIs" dxfId="137" priority="133" stopIfTrue="1" operator="greaterThan">
      <formula>$F75</formula>
    </cfRule>
  </conditionalFormatting>
  <conditionalFormatting sqref="G66:G67 C72:C74">
    <cfRule type="cellIs" dxfId="136" priority="141" stopIfTrue="1" operator="lessThanOrEqual">
      <formula>0</formula>
    </cfRule>
    <cfRule type="cellIs" dxfId="135" priority="140" stopIfTrue="1" operator="greaterThan">
      <formula>$F66</formula>
    </cfRule>
  </conditionalFormatting>
  <conditionalFormatting sqref="G66:G67">
    <cfRule type="cellIs" dxfId="134" priority="111" stopIfTrue="1" operator="greaterThan">
      <formula>$F66</formula>
    </cfRule>
    <cfRule type="cellIs" dxfId="133" priority="112" stopIfTrue="1" operator="lessThanOrEqual">
      <formula>0</formula>
    </cfRule>
  </conditionalFormatting>
  <conditionalFormatting sqref="G68">
    <cfRule type="cellIs" dxfId="132" priority="182" stopIfTrue="1" operator="greaterThan">
      <formula>$F67</formula>
    </cfRule>
    <cfRule type="cellIs" dxfId="131" priority="183" stopIfTrue="1" operator="lessThanOrEqual">
      <formula>0</formula>
    </cfRule>
  </conditionalFormatting>
  <conditionalFormatting sqref="G69">
    <cfRule type="cellIs" dxfId="130" priority="136" stopIfTrue="1" operator="lessThanOrEqual">
      <formula>0</formula>
    </cfRule>
    <cfRule type="cellIs" dxfId="129" priority="135" stopIfTrue="1" operator="greaterThan">
      <formula>$F69</formula>
    </cfRule>
  </conditionalFormatting>
  <conditionalFormatting sqref="G70:G75">
    <cfRule type="cellIs" dxfId="128" priority="142" stopIfTrue="1" operator="greaterThan">
      <formula>$J70</formula>
    </cfRule>
    <cfRule type="cellIs" dxfId="127" priority="143" stopIfTrue="1" operator="lessThanOrEqual">
      <formula>0</formula>
    </cfRule>
  </conditionalFormatting>
  <conditionalFormatting sqref="G80:G85 C83 C85">
    <cfRule type="cellIs" dxfId="126" priority="175" stopIfTrue="1" operator="greaterThan">
      <formula>4.5</formula>
    </cfRule>
    <cfRule type="cellIs" dxfId="125" priority="176" stopIfTrue="1" operator="lessThanOrEqual">
      <formula>0</formula>
    </cfRule>
  </conditionalFormatting>
  <conditionalFormatting sqref="G10:H22">
    <cfRule type="expression" dxfId="124" priority="55">
      <formula>IF(+(IF(G10&lt;#REF!,0,IF(G10&gt;#REF!,0,1)))=0,1)</formula>
    </cfRule>
  </conditionalFormatting>
  <conditionalFormatting sqref="G79:H79">
    <cfRule type="cellIs" dxfId="123" priority="156" stopIfTrue="1" operator="greaterThan">
      <formula>$F$78</formula>
    </cfRule>
    <cfRule type="cellIs" dxfId="122" priority="157" stopIfTrue="1" operator="lessThanOrEqual">
      <formula>0</formula>
    </cfRule>
  </conditionalFormatting>
  <conditionalFormatting sqref="H26:H49 G37:G48">
    <cfRule type="cellIs" dxfId="121" priority="154" stopIfTrue="1" operator="greaterThan">
      <formula>0</formula>
    </cfRule>
  </conditionalFormatting>
  <conditionalFormatting sqref="H54">
    <cfRule type="cellIs" dxfId="120" priority="37" stopIfTrue="1" operator="lessThanOrEqual">
      <formula>0</formula>
    </cfRule>
    <cfRule type="cellIs" dxfId="119" priority="36" stopIfTrue="1" operator="greaterThan">
      <formula>$F$67</formula>
    </cfRule>
    <cfRule type="cellIs" dxfId="118" priority="28" stopIfTrue="1" operator="greaterThan">
      <formula>$F$64</formula>
    </cfRule>
    <cfRule type="cellIs" dxfId="117" priority="39" stopIfTrue="1" operator="lessThanOrEqual">
      <formula>0</formula>
    </cfRule>
    <cfRule type="cellIs" dxfId="116" priority="27" stopIfTrue="1" operator="lessThanOrEqual">
      <formula>0</formula>
    </cfRule>
    <cfRule type="cellIs" dxfId="115" priority="38" stopIfTrue="1" operator="greaterThan">
      <formula>$F$65</formula>
    </cfRule>
  </conditionalFormatting>
  <conditionalFormatting sqref="H55 H57 H59">
    <cfRule type="cellIs" dxfId="114" priority="68" stopIfTrue="1" operator="lessThanOrEqual">
      <formula>0</formula>
    </cfRule>
    <cfRule type="cellIs" dxfId="113" priority="77" stopIfTrue="1" operator="greaterThan">
      <formula>$F$68</formula>
    </cfRule>
    <cfRule type="cellIs" dxfId="112" priority="79" stopIfTrue="1" operator="greaterThan">
      <formula>$F$66</formula>
    </cfRule>
    <cfRule type="cellIs" dxfId="111" priority="80" stopIfTrue="1" operator="lessThanOrEqual">
      <formula>0</formula>
    </cfRule>
    <cfRule type="cellIs" dxfId="110" priority="69" stopIfTrue="1" operator="greaterThan">
      <formula>$F$65</formula>
    </cfRule>
    <cfRule type="cellIs" dxfId="109" priority="78" stopIfTrue="1" operator="lessThanOrEqual">
      <formula>0</formula>
    </cfRule>
  </conditionalFormatting>
  <conditionalFormatting sqref="H56">
    <cfRule type="cellIs" dxfId="108" priority="25" stopIfTrue="1" operator="lessThanOrEqual">
      <formula>0</formula>
    </cfRule>
    <cfRule type="cellIs" dxfId="107" priority="24" stopIfTrue="1" operator="greaterThan">
      <formula>$F$65</formula>
    </cfRule>
    <cfRule type="cellIs" dxfId="106" priority="23" stopIfTrue="1" operator="lessThanOrEqual">
      <formula>0</formula>
    </cfRule>
    <cfRule type="cellIs" dxfId="105" priority="22" stopIfTrue="1" operator="greaterThan">
      <formula>$F$67</formula>
    </cfRule>
    <cfRule type="cellIs" dxfId="104" priority="14" stopIfTrue="1" operator="greaterThan">
      <formula>$F$64</formula>
    </cfRule>
    <cfRule type="cellIs" dxfId="103" priority="13" stopIfTrue="1" operator="lessThanOrEqual">
      <formula>0</formula>
    </cfRule>
  </conditionalFormatting>
  <conditionalFormatting sqref="H58">
    <cfRule type="cellIs" dxfId="102" priority="42" stopIfTrue="1" operator="greaterThan">
      <formula>$F$64</formula>
    </cfRule>
    <cfRule type="cellIs" dxfId="101" priority="41" stopIfTrue="1" operator="lessThanOrEqual">
      <formula>0</formula>
    </cfRule>
    <cfRule type="cellIs" dxfId="100" priority="50" stopIfTrue="1" operator="greaterThan">
      <formula>$F$67</formula>
    </cfRule>
    <cfRule type="cellIs" dxfId="99" priority="51" stopIfTrue="1" operator="lessThanOrEqual">
      <formula>0</formula>
    </cfRule>
    <cfRule type="cellIs" dxfId="98" priority="52" stopIfTrue="1" operator="greaterThan">
      <formula>$F$65</formula>
    </cfRule>
    <cfRule type="cellIs" dxfId="97" priority="53" stopIfTrue="1" operator="lessThanOrEqual">
      <formula>0</formula>
    </cfRule>
  </conditionalFormatting>
  <conditionalFormatting sqref="H60">
    <cfRule type="cellIs" dxfId="96" priority="107" stopIfTrue="1" operator="lessThanOrEqual">
      <formula>0</formula>
    </cfRule>
    <cfRule type="cellIs" dxfId="95" priority="97" stopIfTrue="1" operator="lessThanOrEqual">
      <formula>0</formula>
    </cfRule>
    <cfRule type="cellIs" dxfId="94" priority="98" stopIfTrue="1" operator="greaterThan">
      <formula>#REF!</formula>
    </cfRule>
    <cfRule type="cellIs" dxfId="93" priority="106" stopIfTrue="1" operator="greaterThan">
      <formula>#REF!</formula>
    </cfRule>
  </conditionalFormatting>
  <conditionalFormatting sqref="H61">
    <cfRule type="cellIs" dxfId="92" priority="89" stopIfTrue="1" operator="greaterThan">
      <formula>$F$69</formula>
    </cfRule>
    <cfRule type="cellIs" dxfId="91" priority="90" stopIfTrue="1" operator="lessThanOrEqual">
      <formula>0</formula>
    </cfRule>
    <cfRule type="cellIs" dxfId="90" priority="92" stopIfTrue="1" operator="lessThanOrEqual">
      <formula>0</formula>
    </cfRule>
    <cfRule type="cellIs" dxfId="89" priority="91" stopIfTrue="1" operator="greaterThan">
      <formula>$F$67</formula>
    </cfRule>
    <cfRule type="cellIs" dxfId="88" priority="82" stopIfTrue="1" operator="lessThanOrEqual">
      <formula>0</formula>
    </cfRule>
  </conditionalFormatting>
  <conditionalFormatting sqref="H62">
    <cfRule type="cellIs" dxfId="87" priority="145" stopIfTrue="1" operator="greaterThan">
      <formula>$F$63</formula>
    </cfRule>
    <cfRule type="cellIs" dxfId="86" priority="146" stopIfTrue="1" operator="lessThanOrEqual">
      <formula>0</formula>
    </cfRule>
    <cfRule type="cellIs" dxfId="85" priority="147" stopIfTrue="1" operator="greaterThan">
      <formula>$F$60</formula>
    </cfRule>
    <cfRule type="cellIs" dxfId="84" priority="148" stopIfTrue="1" operator="lessThanOrEqual">
      <formula>0</formula>
    </cfRule>
  </conditionalFormatting>
  <conditionalFormatting sqref="H66:H74">
    <cfRule type="cellIs" dxfId="83" priority="125" stopIfTrue="1" operator="lessThanOrEqual">
      <formula>0</formula>
    </cfRule>
    <cfRule type="cellIs" dxfId="82" priority="124" stopIfTrue="1" operator="greaterThan">
      <formula>$J66</formula>
    </cfRule>
  </conditionalFormatting>
  <conditionalFormatting sqref="H75">
    <cfRule type="cellIs" dxfId="81" priority="128" operator="greaterThan">
      <formula>5.3</formula>
    </cfRule>
  </conditionalFormatting>
  <conditionalFormatting sqref="H78 H80:H86">
    <cfRule type="cellIs" dxfId="80" priority="168" stopIfTrue="1" operator="greaterThan">
      <formula>4.5</formula>
    </cfRule>
    <cfRule type="cellIs" dxfId="79" priority="169" stopIfTrue="1" operator="lessThanOrEqual">
      <formula>0</formula>
    </cfRule>
  </conditionalFormatting>
  <conditionalFormatting sqref="H54:I54">
    <cfRule type="cellIs" dxfId="78" priority="26" stopIfTrue="1" operator="greaterThan">
      <formula>$F$66</formula>
    </cfRule>
    <cfRule type="cellIs" dxfId="77" priority="29" stopIfTrue="1" operator="lessThanOrEqual">
      <formula>0</formula>
    </cfRule>
  </conditionalFormatting>
  <conditionalFormatting sqref="H55:I55 H57:I57 H59:I59">
    <cfRule type="cellIs" dxfId="76" priority="67" stopIfTrue="1" operator="greaterThan">
      <formula>$F$67</formula>
    </cfRule>
    <cfRule type="cellIs" dxfId="75" priority="70" stopIfTrue="1" operator="lessThanOrEqual">
      <formula>0</formula>
    </cfRule>
  </conditionalFormatting>
  <conditionalFormatting sqref="H56:I56">
    <cfRule type="cellIs" dxfId="74" priority="12" stopIfTrue="1" operator="greaterThan">
      <formula>$F$66</formula>
    </cfRule>
    <cfRule type="cellIs" dxfId="73" priority="15" stopIfTrue="1" operator="lessThanOrEqual">
      <formula>0</formula>
    </cfRule>
  </conditionalFormatting>
  <conditionalFormatting sqref="H58:I58">
    <cfRule type="cellIs" dxfId="72" priority="40" stopIfTrue="1" operator="greaterThan">
      <formula>$F$66</formula>
    </cfRule>
    <cfRule type="cellIs" dxfId="71" priority="43" stopIfTrue="1" operator="lessThanOrEqual">
      <formula>0</formula>
    </cfRule>
  </conditionalFormatting>
  <conditionalFormatting sqref="H60:I60">
    <cfRule type="cellIs" dxfId="70" priority="96" stopIfTrue="1" operator="greaterThan">
      <formula>#REF!</formula>
    </cfRule>
    <cfRule type="cellIs" dxfId="69" priority="102" stopIfTrue="1" operator="greaterThan">
      <formula>#REF!</formula>
    </cfRule>
    <cfRule type="cellIs" dxfId="68" priority="99" stopIfTrue="1" operator="lessThanOrEqual">
      <formula>0</formula>
    </cfRule>
  </conditionalFormatting>
  <conditionalFormatting sqref="H60:I61">
    <cfRule type="cellIs" dxfId="67" priority="105" stopIfTrue="1" operator="lessThanOrEqual">
      <formula>0</formula>
    </cfRule>
  </conditionalFormatting>
  <conditionalFormatting sqref="H61:I61">
    <cfRule type="cellIs" dxfId="66" priority="81" stopIfTrue="1" operator="greaterThan">
      <formula>$F$68</formula>
    </cfRule>
    <cfRule type="cellIs" dxfId="65" priority="83" stopIfTrue="1" operator="greaterThan">
      <formula>$F$66</formula>
    </cfRule>
  </conditionalFormatting>
  <conditionalFormatting sqref="I54">
    <cfRule type="cellIs" dxfId="64" priority="32" stopIfTrue="1" operator="greaterThan">
      <formula>$F$66</formula>
    </cfRule>
    <cfRule type="cellIs" dxfId="63" priority="33" stopIfTrue="1" operator="lessThanOrEqual">
      <formula>0</formula>
    </cfRule>
    <cfRule type="cellIs" dxfId="62" priority="35" stopIfTrue="1" operator="lessThanOrEqual">
      <formula>0</formula>
    </cfRule>
    <cfRule type="cellIs" dxfId="61" priority="31" stopIfTrue="1" operator="lessThanOrEqual">
      <formula>0</formula>
    </cfRule>
    <cfRule type="cellIs" dxfId="60" priority="30" stopIfTrue="1" operator="greaterThan">
      <formula>$F$64</formula>
    </cfRule>
    <cfRule type="cellIs" dxfId="59" priority="34" stopIfTrue="1" operator="greaterThan">
      <formula>$F$64</formula>
    </cfRule>
  </conditionalFormatting>
  <conditionalFormatting sqref="I55 I57 I59">
    <cfRule type="cellIs" dxfId="58" priority="71" stopIfTrue="1" operator="greaterThan">
      <formula>$F$65</formula>
    </cfRule>
    <cfRule type="cellIs" dxfId="57" priority="72" stopIfTrue="1" operator="lessThanOrEqual">
      <formula>0</formula>
    </cfRule>
    <cfRule type="cellIs" dxfId="56" priority="73" stopIfTrue="1" operator="greaterThan">
      <formula>$F$67</formula>
    </cfRule>
    <cfRule type="cellIs" dxfId="55" priority="74" stopIfTrue="1" operator="lessThanOrEqual">
      <formula>0</formula>
    </cfRule>
    <cfRule type="cellIs" dxfId="54" priority="75" stopIfTrue="1" operator="greaterThan">
      <formula>$F$65</formula>
    </cfRule>
    <cfRule type="cellIs" dxfId="53" priority="76" stopIfTrue="1" operator="lessThanOrEqual">
      <formula>0</formula>
    </cfRule>
  </conditionalFormatting>
  <conditionalFormatting sqref="I56">
    <cfRule type="cellIs" dxfId="52" priority="19" stopIfTrue="1" operator="lessThanOrEqual">
      <formula>0</formula>
    </cfRule>
    <cfRule type="cellIs" dxfId="51" priority="21" stopIfTrue="1" operator="lessThanOrEqual">
      <formula>0</formula>
    </cfRule>
    <cfRule type="cellIs" dxfId="50" priority="20" stopIfTrue="1" operator="greaterThan">
      <formula>$F$64</formula>
    </cfRule>
    <cfRule type="cellIs" dxfId="49" priority="18" stopIfTrue="1" operator="greaterThan">
      <formula>$F$66</formula>
    </cfRule>
    <cfRule type="cellIs" dxfId="48" priority="17" stopIfTrue="1" operator="lessThanOrEqual">
      <formula>0</formula>
    </cfRule>
    <cfRule type="cellIs" dxfId="47" priority="16" stopIfTrue="1" operator="greaterThan">
      <formula>$F$64</formula>
    </cfRule>
  </conditionalFormatting>
  <conditionalFormatting sqref="I58">
    <cfRule type="cellIs" dxfId="46" priority="46" stopIfTrue="1" operator="greaterThan">
      <formula>$F$66</formula>
    </cfRule>
    <cfRule type="cellIs" dxfId="45" priority="49" stopIfTrue="1" operator="lessThanOrEqual">
      <formula>0</formula>
    </cfRule>
    <cfRule type="cellIs" dxfId="44" priority="48" stopIfTrue="1" operator="greaterThan">
      <formula>$F$64</formula>
    </cfRule>
    <cfRule type="cellIs" dxfId="43" priority="47" stopIfTrue="1" operator="lessThanOrEqual">
      <formula>0</formula>
    </cfRule>
    <cfRule type="cellIs" dxfId="42" priority="45" stopIfTrue="1" operator="lessThanOrEqual">
      <formula>0</formula>
    </cfRule>
    <cfRule type="cellIs" dxfId="41" priority="44" stopIfTrue="1" operator="greaterThan">
      <formula>$F$64</formula>
    </cfRule>
  </conditionalFormatting>
  <conditionalFormatting sqref="I60">
    <cfRule type="cellIs" dxfId="40" priority="103" stopIfTrue="1" operator="lessThanOrEqual">
      <formula>0</formula>
    </cfRule>
    <cfRule type="cellIs" dxfId="39" priority="100" stopIfTrue="1" operator="greaterThan">
      <formula>#REF!</formula>
    </cfRule>
    <cfRule type="cellIs" dxfId="38" priority="104" stopIfTrue="1" operator="greaterThan">
      <formula>#REF!</formula>
    </cfRule>
    <cfRule type="cellIs" dxfId="37" priority="101" stopIfTrue="1" operator="lessThanOrEqual">
      <formula>0</formula>
    </cfRule>
  </conditionalFormatting>
  <conditionalFormatting sqref="I61">
    <cfRule type="cellIs" dxfId="36" priority="88" stopIfTrue="1" operator="lessThanOrEqual">
      <formula>0</formula>
    </cfRule>
    <cfRule type="cellIs" dxfId="35" priority="84" stopIfTrue="1" operator="lessThanOrEqual">
      <formula>0</formula>
    </cfRule>
    <cfRule type="cellIs" dxfId="34" priority="85" stopIfTrue="1" operator="greaterThan">
      <formula>$F$68</formula>
    </cfRule>
    <cfRule type="cellIs" dxfId="33" priority="86" stopIfTrue="1" operator="lessThanOrEqual">
      <formula>0</formula>
    </cfRule>
    <cfRule type="cellIs" dxfId="32" priority="87" stopIfTrue="1" operator="greaterThan">
      <formula>$F$66</formula>
    </cfRule>
  </conditionalFormatting>
  <conditionalFormatting sqref="I66:I75">
    <cfRule type="cellIs" dxfId="31" priority="130" stopIfTrue="1" operator="lessThanOrEqual">
      <formula>0</formula>
    </cfRule>
    <cfRule type="cellIs" dxfId="30" priority="129" stopIfTrue="1" operator="greaterThan">
      <formula>$J66</formula>
    </cfRule>
  </conditionalFormatting>
  <conditionalFormatting sqref="I78:I86">
    <cfRule type="cellIs" dxfId="29" priority="164" stopIfTrue="1" operator="greaterThan">
      <formula>4.5</formula>
    </cfRule>
    <cfRule type="cellIs" dxfId="28" priority="165" stopIfTrue="1" operator="lessThanOrEqual">
      <formula>0</formula>
    </cfRule>
  </conditionalFormatting>
  <conditionalFormatting sqref="I10:J22">
    <cfRule type="cellIs" dxfId="27" priority="65" operator="lessThan">
      <formula>97.9</formula>
    </cfRule>
  </conditionalFormatting>
  <conditionalFormatting sqref="J25">
    <cfRule type="cellIs" dxfId="26" priority="66" operator="lessThan">
      <formula>97.9</formula>
    </cfRule>
  </conditionalFormatting>
  <conditionalFormatting sqref="J26:J27">
    <cfRule type="cellIs" dxfId="25" priority="117" stopIfTrue="1" operator="lessThan">
      <formula>96.8</formula>
    </cfRule>
    <cfRule type="cellIs" dxfId="24" priority="119" operator="lessThan">
      <formula>98</formula>
    </cfRule>
    <cfRule type="cellIs" dxfId="23" priority="118" stopIfTrue="1" operator="greaterThan">
      <formula>100</formula>
    </cfRule>
  </conditionalFormatting>
  <conditionalFormatting sqref="J26:J29">
    <cfRule type="cellIs" dxfId="22" priority="110" operator="lessThan">
      <formula>97.4</formula>
    </cfRule>
  </conditionalFormatting>
  <conditionalFormatting sqref="J30">
    <cfRule type="cellIs" dxfId="21" priority="120" operator="lessThan">
      <formula>98</formula>
    </cfRule>
  </conditionalFormatting>
  <conditionalFormatting sqref="J31:J33">
    <cfRule type="cellIs" dxfId="20" priority="122" stopIfTrue="1" operator="greaterThan">
      <formula>100</formula>
    </cfRule>
    <cfRule type="cellIs" dxfId="19" priority="121" stopIfTrue="1" operator="lessThan">
      <formula>96.8</formula>
    </cfRule>
  </conditionalFormatting>
  <conditionalFormatting sqref="J31:J34">
    <cfRule type="cellIs" dxfId="18" priority="123" operator="lessThan">
      <formula>98</formula>
    </cfRule>
  </conditionalFormatting>
  <conditionalFormatting sqref="K10:K22">
    <cfRule type="cellIs" dxfId="17" priority="63" operator="greaterThan">
      <formula>6.4</formula>
    </cfRule>
    <cfRule type="cellIs" dxfId="16" priority="59" operator="lessThan">
      <formula>4</formula>
    </cfRule>
    <cfRule type="cellIs" dxfId="15" priority="58" operator="greaterThan">
      <formula>6</formula>
    </cfRule>
  </conditionalFormatting>
  <conditionalFormatting sqref="K39:K48">
    <cfRule type="cellIs" dxfId="14" priority="137" operator="notEqual">
      <formula>#REF!</formula>
    </cfRule>
  </conditionalFormatting>
  <conditionalFormatting sqref="K54:K62">
    <cfRule type="cellIs" dxfId="13" priority="54" stopIfTrue="1" operator="lessThan">
      <formula>100%</formula>
    </cfRule>
  </conditionalFormatting>
  <conditionalFormatting sqref="K78:K83">
    <cfRule type="cellIs" dxfId="12" priority="170" stopIfTrue="1" operator="lessThan">
      <formula>100%</formula>
    </cfRule>
  </conditionalFormatting>
  <conditionalFormatting sqref="K85:K86">
    <cfRule type="cellIs" dxfId="11" priority="177" stopIfTrue="1" operator="lessThan">
      <formula>100%</formula>
    </cfRule>
  </conditionalFormatting>
  <conditionalFormatting sqref="K66:N75">
    <cfRule type="cellIs" dxfId="10" priority="144" stopIfTrue="1" operator="lessThan">
      <formula>100%</formula>
    </cfRule>
  </conditionalFormatting>
  <conditionalFormatting sqref="L10:L22">
    <cfRule type="cellIs" dxfId="9" priority="60" operator="between">
      <formula>61</formula>
      <formula>65</formula>
    </cfRule>
    <cfRule type="cellIs" dxfId="8" priority="61" operator="greaterThan">
      <formula>65</formula>
    </cfRule>
  </conditionalFormatting>
  <conditionalFormatting sqref="L25:M36">
    <cfRule type="cellIs" dxfId="7" priority="93" operator="lessThan">
      <formula>98</formula>
    </cfRule>
  </conditionalFormatting>
  <conditionalFormatting sqref="L40:N40">
    <cfRule type="cellIs" dxfId="6" priority="113" operator="notEqual">
      <formula>#REF!</formula>
    </cfRule>
  </conditionalFormatting>
  <conditionalFormatting sqref="L78:N86">
    <cfRule type="cellIs" dxfId="5" priority="155" stopIfTrue="1" operator="lessThan">
      <formula>100%</formula>
    </cfRule>
  </conditionalFormatting>
  <conditionalFormatting sqref="M10:M22">
    <cfRule type="expression" dxfId="4" priority="56">
      <formula>IF(+(IF(M10&lt;V10,0,IF(M10&gt;W10,0,1)))=0,1)</formula>
    </cfRule>
  </conditionalFormatting>
  <conditionalFormatting sqref="M6:N6">
    <cfRule type="cellIs" dxfId="3" priority="115" operator="greaterThanOrEqual">
      <formula>19</formula>
    </cfRule>
    <cfRule type="cellIs" dxfId="2" priority="114" operator="greaterThanOrEqual">
      <formula>15</formula>
    </cfRule>
  </conditionalFormatting>
  <conditionalFormatting sqref="N10:N22">
    <cfRule type="expression" dxfId="1" priority="57">
      <formula>IF(+(IF(N10&lt;X10,0,IF(N10&gt;Y10,0,1)))=0,1)</formula>
    </cfRule>
  </conditionalFormatting>
  <conditionalFormatting sqref="P6">
    <cfRule type="cellIs" dxfId="0" priority="151" operator="greaterThanOrEqual">
      <formula>19</formula>
    </cfRule>
  </conditionalFormatting>
  <dataValidations count="1">
    <dataValidation type="list" allowBlank="1" showInputMessage="1" showErrorMessage="1" sqref="S8" xr:uid="{88478BB2-8B4C-4E46-A58F-3C3682B8E5A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95" t="s">
        <v>58</v>
      </c>
      <c r="C2" s="595"/>
      <c r="D2" s="595"/>
      <c r="E2" s="595"/>
      <c r="F2" s="595"/>
      <c r="G2" s="595"/>
      <c r="H2" s="595"/>
      <c r="I2" s="595"/>
      <c r="J2" s="595"/>
      <c r="K2" s="595"/>
    </row>
    <row r="3" spans="2:14" ht="15.6" hidden="1" thickBot="1">
      <c r="B3" s="79"/>
    </row>
    <row r="4" spans="2:14" ht="13.8" hidden="1" thickBot="1">
      <c r="B4" s="78" t="s">
        <v>7</v>
      </c>
      <c r="C4" s="596">
        <v>41431</v>
      </c>
      <c r="D4" s="596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97" t="s">
        <v>17</v>
      </c>
      <c r="C8" s="599" t="s">
        <v>18</v>
      </c>
      <c r="D8" s="599" t="s">
        <v>59</v>
      </c>
      <c r="E8" s="80" t="s">
        <v>20</v>
      </c>
      <c r="F8" s="81" t="s">
        <v>21</v>
      </c>
      <c r="G8" s="599" t="s">
        <v>60</v>
      </c>
      <c r="H8" s="599" t="s">
        <v>61</v>
      </c>
      <c r="I8" s="601" t="s">
        <v>62</v>
      </c>
      <c r="J8" s="82" t="s">
        <v>25</v>
      </c>
      <c r="K8" s="603" t="s">
        <v>28</v>
      </c>
    </row>
    <row r="9" spans="2:14" ht="27" hidden="1" thickBot="1">
      <c r="B9" s="598"/>
      <c r="C9" s="600"/>
      <c r="D9" s="600"/>
      <c r="E9" s="83" t="s">
        <v>30</v>
      </c>
      <c r="F9" s="84" t="s">
        <v>63</v>
      </c>
      <c r="G9" s="600"/>
      <c r="H9" s="600"/>
      <c r="I9" s="602"/>
      <c r="J9" s="85" t="s">
        <v>32</v>
      </c>
      <c r="K9" s="604"/>
      <c r="L9" s="86"/>
      <c r="M9" s="86"/>
      <c r="N9" s="86"/>
    </row>
    <row r="10" spans="2:14" ht="13.8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8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8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05" t="s">
        <v>69</v>
      </c>
      <c r="G21" s="60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97" t="s">
        <v>17</v>
      </c>
      <c r="C43" s="599" t="s">
        <v>18</v>
      </c>
      <c r="D43" s="599" t="s">
        <v>44</v>
      </c>
      <c r="E43" s="599" t="s">
        <v>79</v>
      </c>
      <c r="F43" s="599" t="s">
        <v>51</v>
      </c>
      <c r="G43" s="599" t="s">
        <v>48</v>
      </c>
      <c r="H43" s="614" t="s">
        <v>28</v>
      </c>
      <c r="I43" s="615"/>
      <c r="J43" s="615"/>
      <c r="K43" s="603" t="s">
        <v>27</v>
      </c>
    </row>
    <row r="44" spans="2:15" ht="15.75" hidden="1" customHeight="1" thickBot="1">
      <c r="B44" s="610"/>
      <c r="C44" s="611"/>
      <c r="D44" s="611"/>
      <c r="E44" s="611"/>
      <c r="F44" s="611"/>
      <c r="G44" s="611"/>
      <c r="H44" s="616"/>
      <c r="I44" s="617"/>
      <c r="J44" s="617"/>
      <c r="K44" s="60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8"/>
      <c r="I45" s="609"/>
      <c r="J45" s="609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18"/>
      <c r="I46" s="619"/>
      <c r="J46" s="619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18"/>
      <c r="I47" s="619"/>
      <c r="J47" s="619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18"/>
      <c r="I48" s="619"/>
      <c r="J48" s="619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12"/>
      <c r="I49" s="613"/>
      <c r="J49" s="613"/>
      <c r="K49" s="172"/>
    </row>
    <row r="50" spans="2:11" ht="13.8" hidden="1" thickBot="1">
      <c r="B50" s="173"/>
      <c r="C50" s="160"/>
      <c r="E50" s="168"/>
      <c r="F50" s="168"/>
      <c r="G50" s="145"/>
      <c r="H50" s="612"/>
      <c r="I50" s="613"/>
      <c r="J50" s="613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12"/>
      <c r="I51" s="613"/>
      <c r="J51" s="613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20"/>
      <c r="I52" s="621"/>
      <c r="J52" s="621"/>
      <c r="K52" s="183"/>
    </row>
    <row r="53" spans="2:11" ht="13.8" thickBot="1">
      <c r="B53" s="184"/>
      <c r="C53" s="117"/>
      <c r="D53" s="622" t="s">
        <v>80</v>
      </c>
      <c r="E53" s="622"/>
      <c r="F53" s="622"/>
      <c r="G53" s="622"/>
      <c r="H53" s="622"/>
      <c r="I53" s="622"/>
      <c r="J53" s="622"/>
      <c r="K53" s="185"/>
    </row>
    <row r="54" spans="2:11" ht="13.8" thickBot="1">
      <c r="B54" s="623" t="s">
        <v>55</v>
      </c>
      <c r="C54" s="624"/>
      <c r="D54" s="624"/>
      <c r="E54" s="625"/>
      <c r="F54" s="623" t="s">
        <v>56</v>
      </c>
      <c r="G54" s="624"/>
      <c r="H54" s="625"/>
      <c r="I54" s="626" t="s">
        <v>81</v>
      </c>
      <c r="J54" s="627"/>
      <c r="K54" s="628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[31]MTD!E5</f>
        <v>6.3548468975702361</v>
      </c>
      <c r="E56" s="192">
        <v>5</v>
      </c>
      <c r="F56" s="191"/>
      <c r="G56" s="76">
        <f>[30]February_2025!AN3</f>
        <v>6.9771508208940123</v>
      </c>
      <c r="H56" s="192">
        <v>5</v>
      </c>
      <c r="I56" s="193"/>
      <c r="J56" s="194">
        <f>[32]February_2025!AN13</f>
        <v>0.71701465651190999</v>
      </c>
      <c r="K56" s="195">
        <v>1</v>
      </c>
    </row>
    <row r="57" spans="2:11" ht="13.8">
      <c r="B57" s="33" t="s">
        <v>72</v>
      </c>
      <c r="C57" s="191"/>
      <c r="D57" s="76">
        <f>[31]MTD!E6</f>
        <v>6.8045184759716228</v>
      </c>
      <c r="E57" s="192">
        <v>5</v>
      </c>
      <c r="F57" s="191"/>
      <c r="G57" s="76">
        <f>[30]February_2025!AN4</f>
        <v>6.9089374894937619</v>
      </c>
      <c r="H57" s="192">
        <v>5</v>
      </c>
      <c r="I57" s="196"/>
      <c r="J57" s="194">
        <f>[32]February_2025!AN14</f>
        <v>0.59442638692356009</v>
      </c>
      <c r="K57" s="195">
        <v>1</v>
      </c>
    </row>
    <row r="58" spans="2:11" ht="13.8">
      <c r="B58" s="34" t="s">
        <v>73</v>
      </c>
      <c r="C58" s="191"/>
      <c r="D58" s="76">
        <f>[31]MTD!E7</f>
        <v>16.313278558176496</v>
      </c>
      <c r="E58" s="192">
        <v>5</v>
      </c>
      <c r="F58" s="191"/>
      <c r="G58" s="76">
        <f>[30]February_2025!AN5</f>
        <v>18.437919359340089</v>
      </c>
      <c r="H58" s="192">
        <v>5</v>
      </c>
      <c r="I58" s="196"/>
      <c r="J58" s="194">
        <f>[32]February_2025!AN15</f>
        <v>0.40614427860696517</v>
      </c>
      <c r="K58" s="195">
        <v>1</v>
      </c>
    </row>
    <row r="59" spans="2:11" ht="13.8">
      <c r="B59" s="197" t="s">
        <v>74</v>
      </c>
      <c r="C59" s="191"/>
      <c r="D59" s="76">
        <f>[31]MTD!E8</f>
        <v>4.9603174603174329</v>
      </c>
      <c r="E59" s="192">
        <v>3.5</v>
      </c>
      <c r="F59" s="191"/>
      <c r="G59" s="76">
        <f>[30]February_2025!AN6</f>
        <v>5.7667082440308048</v>
      </c>
      <c r="H59" s="192">
        <v>3.5</v>
      </c>
      <c r="I59" s="196"/>
      <c r="J59" s="194">
        <f>[32]February_2025!AN16</f>
        <v>0.67228070175438603</v>
      </c>
      <c r="K59" s="195">
        <v>1</v>
      </c>
    </row>
    <row r="60" spans="2:11" ht="14.4" thickBot="1">
      <c r="B60" s="38" t="s">
        <v>181</v>
      </c>
      <c r="C60" s="191"/>
      <c r="D60" s="76" t="e">
        <f>[31]MTD!E9</f>
        <v>#DIV/0!</v>
      </c>
      <c r="E60" s="192">
        <v>3.5</v>
      </c>
      <c r="F60" s="198"/>
      <c r="G60" s="76" t="e">
        <f>[30]February_2025!AN7</f>
        <v>#DIV/0!</v>
      </c>
      <c r="H60" s="192">
        <v>3.5</v>
      </c>
      <c r="I60" s="196"/>
      <c r="J60" s="194" t="e">
        <f>[32]February_2025!AN17</f>
        <v>#DIV/0!</v>
      </c>
      <c r="K60" s="195">
        <v>1</v>
      </c>
    </row>
    <row r="61" spans="2:11" ht="13.8">
      <c r="B61" s="199" t="s">
        <v>76</v>
      </c>
      <c r="C61" s="191"/>
      <c r="D61" s="76" t="e">
        <f>[31]MTD!E10</f>
        <v>#DIV/0!</v>
      </c>
      <c r="E61" s="200">
        <v>5</v>
      </c>
      <c r="F61" s="191"/>
      <c r="G61" s="76" t="e">
        <f>[30]February_2025!AN8</f>
        <v>#DIV/0!</v>
      </c>
      <c r="H61" s="200">
        <v>5</v>
      </c>
      <c r="I61" s="196"/>
      <c r="J61" s="194" t="e">
        <f>[32]February_2025!AN18</f>
        <v>#DIV/0!</v>
      </c>
      <c r="K61" s="195">
        <v>1</v>
      </c>
    </row>
    <row r="62" spans="2:11" ht="13.8">
      <c r="B62" s="201" t="s">
        <v>82</v>
      </c>
      <c r="C62" s="202"/>
      <c r="D62" s="76">
        <f>[31]MTD!E11</f>
        <v>3.3333333333333082</v>
      </c>
      <c r="E62" s="200">
        <v>3.3</v>
      </c>
      <c r="F62" s="202"/>
      <c r="G62" s="76">
        <f>[30]February_2025!AN9</f>
        <v>5.2583423035521699</v>
      </c>
      <c r="H62" s="200">
        <v>3.3</v>
      </c>
      <c r="I62" s="203"/>
      <c r="J62" s="194">
        <f>[32]February_2025!AN19</f>
        <v>1.0053333333333334</v>
      </c>
      <c r="K62" s="204">
        <v>1</v>
      </c>
    </row>
    <row r="63" spans="2:11" ht="14.4" thickBot="1">
      <c r="B63" s="38" t="s">
        <v>128</v>
      </c>
      <c r="C63" s="205"/>
      <c r="D63" s="76" t="e">
        <f>[31]MTD!E12</f>
        <v>#DIV/0!</v>
      </c>
      <c r="E63" s="206">
        <v>3.5</v>
      </c>
      <c r="F63" s="205"/>
      <c r="G63" s="76" t="e">
        <f>[30]February_2025!AN10</f>
        <v>#DIV/0!</v>
      </c>
      <c r="H63" s="206">
        <v>3.5</v>
      </c>
      <c r="I63" s="207"/>
      <c r="J63" s="194" t="e">
        <f>[32]February_2025!AN20</f>
        <v>#DIV/0!</v>
      </c>
      <c r="K63" s="208">
        <v>1</v>
      </c>
    </row>
    <row r="64" spans="2:11" ht="14.4" thickBot="1">
      <c r="B64" s="436" t="s">
        <v>170</v>
      </c>
      <c r="C64" s="198"/>
      <c r="D64" s="76">
        <f>[31]MTD!E13</f>
        <v>4.8792508624938291</v>
      </c>
      <c r="E64" s="192">
        <v>5</v>
      </c>
      <c r="F64" s="198"/>
      <c r="G64" s="76">
        <f>[30]February_2025!AN11</f>
        <v>6.2003723782925313</v>
      </c>
      <c r="H64" s="192">
        <v>5</v>
      </c>
      <c r="I64" s="432"/>
      <c r="J64" s="194">
        <f>[32]February_2025!AN21</f>
        <v>0.33859649122807017</v>
      </c>
      <c r="K64" s="208">
        <v>1</v>
      </c>
    </row>
    <row r="65" spans="2:11">
      <c r="B65" s="209"/>
      <c r="C65" s="210"/>
      <c r="D65" s="76">
        <f>[31]MTD!E14</f>
        <v>7.2637397423722039</v>
      </c>
      <c r="E65" s="210"/>
      <c r="F65" s="210"/>
      <c r="G65" s="76">
        <f>[30]February_2025!$AN$12</f>
        <v>8.2769282946210936</v>
      </c>
      <c r="H65" s="211"/>
      <c r="I65" s="212"/>
      <c r="J65" s="194">
        <f>[32]February_2025!AN22</f>
        <v>0.63105672969966642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95" t="s">
        <v>58</v>
      </c>
      <c r="C2" s="595"/>
      <c r="D2" s="595"/>
      <c r="E2" s="595"/>
      <c r="F2" s="595"/>
      <c r="G2" s="595"/>
      <c r="H2" s="595"/>
      <c r="I2" s="595"/>
      <c r="J2" s="595"/>
      <c r="K2" s="595"/>
    </row>
    <row r="3" spans="2:14" ht="15.6" hidden="1" thickBot="1">
      <c r="B3" s="79"/>
    </row>
    <row r="4" spans="2:14" ht="13.8" hidden="1" thickBot="1">
      <c r="B4" s="78" t="s">
        <v>7</v>
      </c>
      <c r="C4" s="596">
        <v>41431</v>
      </c>
      <c r="D4" s="596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97" t="s">
        <v>17</v>
      </c>
      <c r="C8" s="599" t="s">
        <v>18</v>
      </c>
      <c r="D8" s="599" t="s">
        <v>59</v>
      </c>
      <c r="E8" s="80" t="s">
        <v>20</v>
      </c>
      <c r="F8" s="81" t="s">
        <v>21</v>
      </c>
      <c r="G8" s="599" t="s">
        <v>60</v>
      </c>
      <c r="H8" s="599" t="s">
        <v>61</v>
      </c>
      <c r="I8" s="601" t="s">
        <v>62</v>
      </c>
      <c r="J8" s="82" t="s">
        <v>25</v>
      </c>
      <c r="K8" s="603" t="s">
        <v>28</v>
      </c>
    </row>
    <row r="9" spans="2:14" ht="27" hidden="1" thickBot="1">
      <c r="B9" s="598"/>
      <c r="C9" s="600"/>
      <c r="D9" s="600"/>
      <c r="E9" s="83" t="s">
        <v>30</v>
      </c>
      <c r="F9" s="84" t="s">
        <v>63</v>
      </c>
      <c r="G9" s="600"/>
      <c r="H9" s="600"/>
      <c r="I9" s="602"/>
      <c r="J9" s="85" t="s">
        <v>32</v>
      </c>
      <c r="K9" s="604"/>
      <c r="L9" s="86"/>
      <c r="M9" s="86"/>
      <c r="N9" s="86"/>
    </row>
    <row r="10" spans="2:14" ht="13.8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8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8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05" t="s">
        <v>69</v>
      </c>
      <c r="G21" s="60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97" t="s">
        <v>17</v>
      </c>
      <c r="C43" s="599" t="s">
        <v>18</v>
      </c>
      <c r="D43" s="599" t="s">
        <v>44</v>
      </c>
      <c r="E43" s="599" t="s">
        <v>79</v>
      </c>
      <c r="F43" s="599" t="s">
        <v>51</v>
      </c>
      <c r="G43" s="599" t="s">
        <v>48</v>
      </c>
      <c r="H43" s="614" t="s">
        <v>28</v>
      </c>
      <c r="I43" s="615"/>
      <c r="J43" s="615"/>
      <c r="K43" s="603" t="s">
        <v>27</v>
      </c>
    </row>
    <row r="44" spans="2:15" ht="15.75" hidden="1" customHeight="1" thickBot="1">
      <c r="B44" s="610"/>
      <c r="C44" s="611"/>
      <c r="D44" s="611"/>
      <c r="E44" s="611"/>
      <c r="F44" s="611"/>
      <c r="G44" s="611"/>
      <c r="H44" s="616"/>
      <c r="I44" s="617"/>
      <c r="J44" s="617"/>
      <c r="K44" s="60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8"/>
      <c r="I45" s="609"/>
      <c r="J45" s="609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18"/>
      <c r="I46" s="619"/>
      <c r="J46" s="619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18"/>
      <c r="I47" s="619"/>
      <c r="J47" s="619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18"/>
      <c r="I48" s="619"/>
      <c r="J48" s="619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12"/>
      <c r="I49" s="613"/>
      <c r="J49" s="613"/>
      <c r="K49" s="172"/>
    </row>
    <row r="50" spans="2:11" ht="13.8" hidden="1" thickBot="1">
      <c r="B50" s="173"/>
      <c r="C50" s="160"/>
      <c r="E50" s="168"/>
      <c r="F50" s="168"/>
      <c r="G50" s="145"/>
      <c r="H50" s="612"/>
      <c r="I50" s="613"/>
      <c r="J50" s="613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12"/>
      <c r="I51" s="613"/>
      <c r="J51" s="613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20"/>
      <c r="I52" s="621"/>
      <c r="J52" s="621"/>
      <c r="K52" s="183"/>
    </row>
    <row r="53" spans="2:11" ht="13.8" thickBot="1">
      <c r="B53" s="184"/>
      <c r="C53" s="117"/>
      <c r="D53" s="622" t="s">
        <v>80</v>
      </c>
      <c r="E53" s="622"/>
      <c r="F53" s="622"/>
      <c r="G53" s="622"/>
      <c r="H53" s="622"/>
      <c r="I53" s="622"/>
      <c r="J53" s="622"/>
      <c r="K53" s="185"/>
    </row>
    <row r="54" spans="2:11" ht="13.8" thickBot="1">
      <c r="B54" s="623" t="s">
        <v>55</v>
      </c>
      <c r="C54" s="624"/>
      <c r="D54" s="624"/>
      <c r="E54" s="625"/>
      <c r="F54" s="623" t="s">
        <v>56</v>
      </c>
      <c r="G54" s="624"/>
      <c r="H54" s="625"/>
      <c r="I54" s="626" t="s">
        <v>81</v>
      </c>
      <c r="J54" s="627"/>
      <c r="K54" s="628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'[31]YTD 2024'!$E5</f>
        <v>7.0005630479663319</v>
      </c>
      <c r="E56" s="192">
        <v>5</v>
      </c>
      <c r="F56" s="191"/>
      <c r="G56" s="76">
        <f>[30]February_2025!AQ3</f>
        <v>7.4550060558068161</v>
      </c>
      <c r="H56" s="192">
        <v>5</v>
      </c>
      <c r="I56" s="193"/>
      <c r="J56" s="194">
        <f>[32]February_2025!AQ13</f>
        <v>0.8378930358185499</v>
      </c>
      <c r="K56" s="195">
        <v>1</v>
      </c>
    </row>
    <row r="57" spans="2:11" ht="13.8">
      <c r="B57" s="33" t="s">
        <v>72</v>
      </c>
      <c r="C57" s="191"/>
      <c r="D57" s="76">
        <f>'[31]YTD 2024'!$E6</f>
        <v>6.8089888231841726</v>
      </c>
      <c r="E57" s="192">
        <v>5</v>
      </c>
      <c r="F57" s="191"/>
      <c r="G57" s="76">
        <f>[30]February_2025!AQ4</f>
        <v>6.9224235081969541</v>
      </c>
      <c r="H57" s="192">
        <v>5</v>
      </c>
      <c r="I57" s="196"/>
      <c r="J57" s="194">
        <f>[32]February_2025!AQ14</f>
        <v>0.70847053742306432</v>
      </c>
      <c r="K57" s="195">
        <v>1</v>
      </c>
    </row>
    <row r="58" spans="2:11" ht="13.8">
      <c r="B58" s="34" t="s">
        <v>73</v>
      </c>
      <c r="C58" s="191"/>
      <c r="D58" s="76">
        <f>'[31]YTD 2024'!$E7</f>
        <v>13.702325581395328</v>
      </c>
      <c r="E58" s="192">
        <v>5</v>
      </c>
      <c r="F58" s="191"/>
      <c r="G58" s="76">
        <f>[30]February_2025!AQ5</f>
        <v>15.508495449554314</v>
      </c>
      <c r="H58" s="192">
        <v>5</v>
      </c>
      <c r="I58" s="196"/>
      <c r="J58" s="194">
        <f>[32]February_2025!AQ15</f>
        <v>0.51718974358974368</v>
      </c>
      <c r="K58" s="195">
        <v>1</v>
      </c>
    </row>
    <row r="59" spans="2:11" ht="13.8">
      <c r="B59" s="197" t="s">
        <v>74</v>
      </c>
      <c r="C59" s="191"/>
      <c r="D59" s="76">
        <f>'[31]YTD 2024'!$E8</f>
        <v>3.9190537266638161</v>
      </c>
      <c r="E59" s="192">
        <v>3.5</v>
      </c>
      <c r="F59" s="191"/>
      <c r="G59" s="76">
        <f>[30]February_2025!AQ6</f>
        <v>5.345661717473071</v>
      </c>
      <c r="H59" s="192">
        <v>3.5</v>
      </c>
      <c r="I59" s="196"/>
      <c r="J59" s="194">
        <f>[32]February_2025!AQ16</f>
        <v>0.78853801169590654</v>
      </c>
      <c r="K59" s="195">
        <v>1</v>
      </c>
    </row>
    <row r="60" spans="2:11" ht="14.4" thickBot="1">
      <c r="B60" s="38" t="s">
        <v>181</v>
      </c>
      <c r="C60" s="191"/>
      <c r="D60" s="76" t="e">
        <f>'[31]YTD 2024'!$E9</f>
        <v>#DIV/0!</v>
      </c>
      <c r="E60" s="192">
        <v>3.5</v>
      </c>
      <c r="F60" s="198"/>
      <c r="G60" s="76" t="e">
        <f>[30]February_2025!AQ7</f>
        <v>#DIV/0!</v>
      </c>
      <c r="H60" s="192">
        <v>3.5</v>
      </c>
      <c r="I60" s="196"/>
      <c r="J60" s="194" t="e">
        <f>[32]February_2025!AQ17</f>
        <v>#DIV/0!</v>
      </c>
      <c r="K60" s="195">
        <v>1</v>
      </c>
    </row>
    <row r="61" spans="2:11" ht="13.8">
      <c r="B61" s="199" t="s">
        <v>76</v>
      </c>
      <c r="C61" s="191"/>
      <c r="D61" s="76">
        <f>'[31]YTD 2024'!$E10</f>
        <v>8.7664670658682695</v>
      </c>
      <c r="E61" s="200">
        <v>5</v>
      </c>
      <c r="F61" s="191"/>
      <c r="G61" s="76">
        <f>[30]February_2025!AQ8</f>
        <v>10.607235567685406</v>
      </c>
      <c r="H61" s="200">
        <v>5</v>
      </c>
      <c r="I61" s="196"/>
      <c r="J61" s="194">
        <f>[32]February_2025!AQ18</f>
        <v>0.66824561403508764</v>
      </c>
      <c r="K61" s="195">
        <v>1</v>
      </c>
    </row>
    <row r="62" spans="2:11" ht="13.8">
      <c r="B62" s="201" t="s">
        <v>82</v>
      </c>
      <c r="C62" s="202"/>
      <c r="D62" s="76">
        <f>'[31]YTD 2024'!$E11</f>
        <v>2.2765363128491556</v>
      </c>
      <c r="E62" s="200">
        <v>3.3</v>
      </c>
      <c r="F62" s="202"/>
      <c r="G62" s="76">
        <f>[30]February_2025!AQ9</f>
        <v>4.5833713915368151</v>
      </c>
      <c r="H62" s="200">
        <v>3.3</v>
      </c>
      <c r="I62" s="203"/>
      <c r="J62" s="194">
        <f>[32]February_2025!AQ19</f>
        <v>0.8042528735632184</v>
      </c>
      <c r="K62" s="204">
        <v>1</v>
      </c>
    </row>
    <row r="63" spans="2:11" ht="14.4" thickBot="1">
      <c r="B63" s="38" t="s">
        <v>128</v>
      </c>
      <c r="C63" s="205"/>
      <c r="D63" s="76" t="e">
        <f>'[31]YTD 2024'!$E12</f>
        <v>#DIV/0!</v>
      </c>
      <c r="E63" s="206">
        <v>3.5</v>
      </c>
      <c r="F63" s="205"/>
      <c r="G63" s="76" t="e">
        <f>[30]February_2025!AQ10</f>
        <v>#DIV/0!</v>
      </c>
      <c r="H63" s="206">
        <v>3.5</v>
      </c>
      <c r="I63" s="207"/>
      <c r="J63" s="194" t="e">
        <f>[32]February_2025!AQ20</f>
        <v>#DIV/0!</v>
      </c>
      <c r="K63" s="208">
        <v>1</v>
      </c>
    </row>
    <row r="64" spans="2:11" ht="14.4" thickBot="1">
      <c r="B64" s="436" t="s">
        <v>170</v>
      </c>
      <c r="C64" s="205"/>
      <c r="D64" s="76">
        <f>'[31]YTD 2024'!$E13</f>
        <v>7.2637397423722039</v>
      </c>
      <c r="E64" s="206">
        <v>5</v>
      </c>
      <c r="F64" s="205"/>
      <c r="G64" s="76">
        <f>[30]February_2025!AQ11</f>
        <v>6.2003723782925313</v>
      </c>
      <c r="H64" s="206">
        <v>5</v>
      </c>
      <c r="I64" s="207"/>
      <c r="J64" s="194">
        <f>[32]February_2025!AQ21</f>
        <v>0.33859649122807017</v>
      </c>
      <c r="K64" s="208">
        <v>1</v>
      </c>
    </row>
    <row r="65" spans="2:11">
      <c r="B65" s="209"/>
      <c r="C65" s="210"/>
      <c r="D65" s="76">
        <f>'[31]YTD 2024'!$E14</f>
        <v>7.1183526789715552</v>
      </c>
      <c r="E65" s="210"/>
      <c r="F65" s="210"/>
      <c r="G65" s="76">
        <f>[30]February_2025!AQ12</f>
        <v>7.9243967431061328</v>
      </c>
      <c r="H65" s="211"/>
      <c r="I65" s="212"/>
      <c r="J65" s="194">
        <f>[32]February_2025!AQ22</f>
        <v>0.75144495412844048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629" t="s">
        <v>34</v>
      </c>
      <c r="C2" s="629"/>
      <c r="D2" s="629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629" t="s">
        <v>100</v>
      </c>
      <c r="C14" s="629"/>
      <c r="D14" s="629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629" t="s">
        <v>101</v>
      </c>
      <c r="C27" s="629"/>
      <c r="D27" s="629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31" t="s">
        <v>102</v>
      </c>
      <c r="D3" s="632"/>
      <c r="E3" s="633">
        <f ca="1">TODAY()</f>
        <v>45720</v>
      </c>
      <c r="F3" s="633"/>
      <c r="G3" s="633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4" t="s">
        <v>143</v>
      </c>
      <c r="D14" s="634"/>
      <c r="E14" s="634"/>
      <c r="F14" s="634"/>
      <c r="G14" s="634"/>
      <c r="H14" s="634"/>
    </row>
    <row r="15" spans="3:23" ht="15" customHeight="1">
      <c r="C15" s="634"/>
      <c r="D15" s="634"/>
      <c r="E15" s="634"/>
      <c r="F15" s="634"/>
      <c r="G15" s="634"/>
      <c r="H15" s="634"/>
    </row>
    <row r="16" spans="3:23" ht="15" customHeight="1">
      <c r="C16" s="634"/>
      <c r="D16" s="634"/>
      <c r="E16" s="634"/>
      <c r="F16" s="634"/>
      <c r="G16" s="634"/>
      <c r="H16" s="634"/>
    </row>
    <row r="17" spans="3:8" ht="15" customHeight="1">
      <c r="C17" s="634"/>
      <c r="D17" s="634"/>
      <c r="E17" s="634"/>
      <c r="F17" s="634"/>
      <c r="G17" s="634"/>
      <c r="H17" s="634"/>
    </row>
    <row r="18" spans="3:8" ht="15" customHeight="1">
      <c r="C18" s="634"/>
      <c r="D18" s="634"/>
      <c r="E18" s="634"/>
      <c r="F18" s="634"/>
      <c r="G18" s="634"/>
      <c r="H18" s="634"/>
    </row>
    <row r="19" spans="3:8" ht="15" customHeight="1">
      <c r="C19" s="634"/>
      <c r="D19" s="634"/>
      <c r="E19" s="634"/>
      <c r="F19" s="634"/>
      <c r="G19" s="634"/>
      <c r="H19" s="634"/>
    </row>
    <row r="20" spans="3:8" ht="15" customHeight="1">
      <c r="C20" s="634"/>
      <c r="D20" s="634"/>
      <c r="E20" s="634"/>
      <c r="F20" s="634"/>
      <c r="G20" s="634"/>
      <c r="H20" s="634"/>
    </row>
    <row r="21" spans="3:8" ht="15" customHeight="1">
      <c r="C21" s="634"/>
      <c r="D21" s="634"/>
      <c r="E21" s="634"/>
      <c r="F21" s="634"/>
      <c r="G21" s="634"/>
      <c r="H21" s="634"/>
    </row>
    <row r="22" spans="3:8" ht="15" customHeight="1">
      <c r="C22" s="634"/>
      <c r="D22" s="634"/>
      <c r="E22" s="634"/>
      <c r="F22" s="634"/>
      <c r="G22" s="634"/>
      <c r="H22" s="634"/>
    </row>
    <row r="23" spans="3:8" ht="15" customHeight="1">
      <c r="C23" s="634"/>
      <c r="D23" s="634"/>
      <c r="E23" s="634"/>
      <c r="F23" s="634"/>
      <c r="G23" s="634"/>
      <c r="H23" s="634"/>
    </row>
    <row r="24" spans="3:8" ht="15" customHeight="1">
      <c r="C24" s="634"/>
      <c r="D24" s="634"/>
      <c r="E24" s="634"/>
      <c r="F24" s="634"/>
      <c r="G24" s="634"/>
      <c r="H24" s="634"/>
    </row>
    <row r="25" spans="3:8" ht="15" customHeight="1">
      <c r="C25" s="634"/>
      <c r="D25" s="634"/>
      <c r="E25" s="634"/>
      <c r="F25" s="634"/>
      <c r="G25" s="634"/>
      <c r="H25" s="634"/>
    </row>
    <row r="26" spans="3:8" ht="15" customHeight="1">
      <c r="C26" s="634"/>
      <c r="D26" s="634"/>
      <c r="E26" s="634"/>
      <c r="F26" s="634"/>
      <c r="G26" s="634"/>
      <c r="H26" s="634"/>
    </row>
    <row r="27" spans="3:8" ht="15" customHeight="1">
      <c r="C27" s="634"/>
      <c r="D27" s="634"/>
      <c r="E27" s="634"/>
      <c r="F27" s="634"/>
      <c r="G27" s="634"/>
      <c r="H27" s="634"/>
    </row>
    <row r="28" spans="3:8" ht="15" customHeight="1">
      <c r="C28" s="634"/>
      <c r="D28" s="634"/>
      <c r="E28" s="634"/>
      <c r="F28" s="634"/>
      <c r="G28" s="634"/>
      <c r="H28" s="634"/>
    </row>
    <row r="29" spans="3:8" ht="15" customHeight="1">
      <c r="C29" s="634"/>
      <c r="D29" s="634"/>
      <c r="E29" s="634"/>
      <c r="F29" s="634"/>
      <c r="G29" s="634"/>
      <c r="H29" s="634"/>
    </row>
    <row r="30" spans="3:8" ht="15" customHeight="1">
      <c r="C30" s="634"/>
      <c r="D30" s="634"/>
      <c r="E30" s="634"/>
      <c r="F30" s="634"/>
      <c r="G30" s="634"/>
      <c r="H30" s="634"/>
    </row>
    <row r="31" spans="3:8" ht="15" customHeight="1">
      <c r="C31" s="634"/>
      <c r="D31" s="634"/>
      <c r="E31" s="634"/>
      <c r="F31" s="634"/>
      <c r="G31" s="634"/>
      <c r="H31" s="634"/>
    </row>
    <row r="36" spans="2:17" ht="15" customHeight="1"/>
    <row r="37" spans="2:17" ht="15" customHeight="1"/>
    <row r="38" spans="2:17" ht="30.75" customHeight="1" thickBot="1">
      <c r="C38" s="635" t="s">
        <v>109</v>
      </c>
      <c r="D38" s="635"/>
      <c r="E38" s="635"/>
      <c r="F38" s="636">
        <f ca="1">TODAY()</f>
        <v>45720</v>
      </c>
      <c r="G38" s="636"/>
      <c r="H38" s="636"/>
      <c r="I38" s="636"/>
      <c r="J38" s="637" t="s">
        <v>110</v>
      </c>
      <c r="K38" s="637"/>
      <c r="L38" s="637"/>
      <c r="M38" s="637"/>
      <c r="N38" s="637"/>
      <c r="O38" s="637"/>
      <c r="P38" s="637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'[37]Brewer Performance'!D40</f>
        <v>96.507822129582451</v>
      </c>
      <c r="E40" s="259">
        <f>AVERAGE('[38]Feb. 1'!I12:I13,'[38]Feb. 2'!I11:I14,[38]Feb.4!I13,[38]Feb.8!I14:I16,[38]Feb.9!I14,[38]Feb.9!I17:I18,[38]Feb10!I13:I16,[38]Feb14!I17,[38]Feb14!I15:I17,[38]Feb17!I10,[38]Feb17!I19:I21,'[38]Feb 21'!I10:I12,'[38]Feb 22'!I11:I13,'[38]Feb 23'!I14:I16,'[38]Feb 24'!I10:I12,'[38]Feb 25'!I13:I15,'[38]Feb 28'!I15:I18)</f>
        <v>98.284801217583563</v>
      </c>
      <c r="F40" s="259">
        <v>98.226686244092193</v>
      </c>
      <c r="G40" s="259">
        <v>98.210530202427222</v>
      </c>
      <c r="H40" s="259">
        <f>'[39]Brewer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'[37]Brewer Performance'!D41</f>
        <v>97.99738587335284</v>
      </c>
      <c r="E41" s="259">
        <f>AVERAGE('[38]Feb. 1'!I10:I11,'[38]Feb. 2'!I10,[38]Feb.3!I11:I13,[38]Feb.4!I10:I12,[38]Feb.8!I10,[38]Feb.8!I13,[38]Feb.9!I10:I13,[38]Feb10!I10:I12,[38]Feb11!I11:I13,[38]Feb14!I13:I14,[38]Feb17!I16:I18,[38]Feb18!I13:I15,'[38]Feb 21'!I17:I19,'[38]Feb 22'!I10,'[38]Feb 22'!I20:I22,'[38]Feb 23'!I10:I11,'[38]Feb 23'!I21,'[38]Feb 25'!I10:I12,'[38]Feb 28'!I11:I14)</f>
        <v>97.918121549662388</v>
      </c>
      <c r="F41" s="259">
        <v>98.070081368185257</v>
      </c>
      <c r="G41" s="259">
        <v>97.79453968977019</v>
      </c>
      <c r="H41" s="259">
        <f>'[39]Brewer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'[37]Brewer Performance'!D43</f>
        <v>98.304611060419475</v>
      </c>
      <c r="E44" s="259">
        <f>AVERAGE('[38]Feb. 2'!I15,[38]Feb.3!I10,[38]Feb.4!I16:I17,[38]Feb.8!I19:I21,[38]Feb.9!I19:I20,[38]Feb10!I17:I18,[38]Feb11!I10,[38]Feb14!I10:I12,[38]Feb17!I11:I13,[38]Feb18!I10:I12,'[38]Feb 21'!I13,'[38]Feb 21'!I16,'[38]Feb 22'!I16:I19,'[38]Feb 23'!I17:I20,'[38]Feb 24'!I15:I18,'[38]Feb 25'!I16:I17,'[38]Feb 28'!I10,'[38]Feb 28'!I19:I20)</f>
        <v>97.289162940824014</v>
      </c>
      <c r="F44" s="259">
        <v>98.163642226187022</v>
      </c>
      <c r="G44" s="259">
        <v>97.964054285784258</v>
      </c>
      <c r="H44" s="259">
        <f>'[39]Brewer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'[37]Brewer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'[37]Brewer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30" t="s">
        <v>123</v>
      </c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0"/>
      <c r="P48" s="630"/>
      <c r="Q48" s="630"/>
    </row>
    <row r="49" spans="2:17" ht="15" customHeight="1">
      <c r="B49" s="630"/>
      <c r="C49" s="630"/>
      <c r="D49" s="630"/>
      <c r="E49" s="630"/>
      <c r="F49" s="630"/>
      <c r="G49" s="630"/>
      <c r="H49" s="630"/>
      <c r="I49" s="630"/>
      <c r="J49" s="630"/>
      <c r="K49" s="630"/>
      <c r="L49" s="630"/>
      <c r="M49" s="630"/>
      <c r="N49" s="630"/>
      <c r="O49" s="630"/>
      <c r="P49" s="630"/>
      <c r="Q49" s="630"/>
    </row>
    <row r="50" spans="2:17" ht="15" customHeight="1"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</row>
    <row r="51" spans="2:17" ht="15" customHeight="1">
      <c r="B51" s="630"/>
      <c r="C51" s="630"/>
      <c r="D51" s="630"/>
      <c r="E51" s="630"/>
      <c r="F51" s="630"/>
      <c r="G51" s="630"/>
      <c r="H51" s="630"/>
      <c r="I51" s="630"/>
      <c r="J51" s="630"/>
      <c r="K51" s="630"/>
      <c r="L51" s="630"/>
      <c r="M51" s="630"/>
      <c r="N51" s="630"/>
      <c r="O51" s="630"/>
      <c r="P51" s="630"/>
      <c r="Q51" s="630"/>
    </row>
    <row r="52" spans="2:17" ht="15" customHeight="1">
      <c r="B52" s="630"/>
      <c r="C52" s="630"/>
      <c r="D52" s="630"/>
      <c r="E52" s="630"/>
      <c r="F52" s="630"/>
      <c r="G52" s="630"/>
      <c r="H52" s="630"/>
      <c r="I52" s="630"/>
      <c r="J52" s="630"/>
      <c r="K52" s="630"/>
      <c r="L52" s="630"/>
      <c r="M52" s="630"/>
      <c r="N52" s="630"/>
      <c r="O52" s="630"/>
      <c r="P52" s="630"/>
      <c r="Q52" s="630"/>
    </row>
    <row r="53" spans="2:17" ht="15" customHeight="1">
      <c r="B53" s="630"/>
      <c r="C53" s="630"/>
      <c r="D53" s="630"/>
      <c r="E53" s="630"/>
      <c r="F53" s="630"/>
      <c r="G53" s="630"/>
      <c r="H53" s="630"/>
      <c r="I53" s="630"/>
      <c r="J53" s="630"/>
      <c r="K53" s="630"/>
      <c r="L53" s="630"/>
      <c r="M53" s="630"/>
      <c r="N53" s="630"/>
      <c r="O53" s="630"/>
      <c r="P53" s="630"/>
      <c r="Q53" s="630"/>
    </row>
    <row r="54" spans="2:17" ht="15" customHeight="1">
      <c r="B54" s="630"/>
      <c r="C54" s="630"/>
      <c r="D54" s="630"/>
      <c r="E54" s="630"/>
      <c r="F54" s="630"/>
      <c r="G54" s="630"/>
      <c r="H54" s="630"/>
      <c r="I54" s="630"/>
      <c r="J54" s="630"/>
      <c r="K54" s="630"/>
      <c r="L54" s="630"/>
      <c r="M54" s="630"/>
      <c r="N54" s="630"/>
      <c r="O54" s="630"/>
      <c r="P54" s="630"/>
      <c r="Q54" s="630"/>
    </row>
    <row r="55" spans="2:17" ht="15" customHeight="1"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  <c r="M55" s="630"/>
      <c r="N55" s="630"/>
      <c r="O55" s="630"/>
      <c r="P55" s="630"/>
      <c r="Q55" s="630"/>
    </row>
    <row r="56" spans="2:17" ht="15" customHeight="1"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  <c r="M56" s="630"/>
      <c r="N56" s="630"/>
      <c r="O56" s="630"/>
      <c r="P56" s="630"/>
      <c r="Q56" s="630"/>
    </row>
    <row r="57" spans="2:17" ht="15" customHeight="1"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0"/>
      <c r="P57" s="630"/>
      <c r="Q57" s="630"/>
    </row>
    <row r="58" spans="2:17" ht="15" customHeight="1"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</row>
    <row r="59" spans="2:17" ht="15" customHeight="1"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0"/>
      <c r="P59" s="630"/>
      <c r="Q59" s="630"/>
    </row>
    <row r="60" spans="2:17" ht="15" customHeight="1"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0"/>
      <c r="P60" s="630"/>
      <c r="Q60" s="630"/>
    </row>
    <row r="61" spans="2:17" ht="15" customHeight="1">
      <c r="B61" s="630"/>
      <c r="C61" s="630"/>
      <c r="D61" s="630"/>
      <c r="E61" s="630"/>
      <c r="F61" s="630"/>
      <c r="G61" s="630"/>
      <c r="H61" s="630"/>
      <c r="I61" s="630"/>
      <c r="J61" s="630"/>
      <c r="K61" s="630"/>
      <c r="L61" s="630"/>
      <c r="M61" s="630"/>
      <c r="N61" s="630"/>
      <c r="O61" s="630"/>
      <c r="P61" s="630"/>
      <c r="Q61" s="630"/>
    </row>
    <row r="62" spans="2:17" ht="15" customHeight="1">
      <c r="B62" s="630"/>
      <c r="C62" s="630"/>
      <c r="D62" s="630"/>
      <c r="E62" s="630"/>
      <c r="F62" s="630"/>
      <c r="G62" s="630"/>
      <c r="H62" s="630"/>
      <c r="I62" s="630"/>
      <c r="J62" s="630"/>
      <c r="K62" s="630"/>
      <c r="L62" s="630"/>
      <c r="M62" s="630"/>
      <c r="N62" s="630"/>
      <c r="O62" s="630"/>
      <c r="P62" s="630"/>
      <c r="Q62" s="630"/>
    </row>
    <row r="63" spans="2:17" ht="1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0"/>
      <c r="P63" s="630"/>
      <c r="Q63" s="630"/>
    </row>
    <row r="64" spans="2:17" ht="15" customHeight="1"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0"/>
      <c r="Q64" s="630"/>
    </row>
    <row r="65" spans="2:17" ht="15" customHeight="1">
      <c r="B65" s="630"/>
      <c r="C65" s="630"/>
      <c r="D65" s="630"/>
      <c r="E65" s="630"/>
      <c r="F65" s="630"/>
      <c r="G65" s="630"/>
      <c r="H65" s="630"/>
      <c r="I65" s="630"/>
      <c r="J65" s="630"/>
      <c r="K65" s="630"/>
      <c r="L65" s="630"/>
      <c r="M65" s="630"/>
      <c r="N65" s="630"/>
      <c r="O65" s="630"/>
      <c r="P65" s="630"/>
      <c r="Q65" s="630"/>
    </row>
    <row r="66" spans="2:17" ht="15" customHeight="1"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0"/>
      <c r="P66" s="630"/>
      <c r="Q66" s="630"/>
    </row>
    <row r="67" spans="2:17" ht="15" customHeight="1"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0"/>
      <c r="Q67" s="630"/>
    </row>
    <row r="68" spans="2:17" ht="15" customHeight="1">
      <c r="B68" s="630"/>
      <c r="C68" s="630"/>
      <c r="D68" s="630"/>
      <c r="E68" s="630"/>
      <c r="F68" s="630"/>
      <c r="G68" s="630"/>
      <c r="H68" s="630"/>
      <c r="I68" s="630"/>
      <c r="J68" s="630"/>
      <c r="K68" s="630"/>
      <c r="L68" s="630"/>
      <c r="M68" s="630"/>
      <c r="N68" s="630"/>
      <c r="O68" s="630"/>
      <c r="P68" s="630"/>
      <c r="Q68" s="630"/>
    </row>
    <row r="69" spans="2:17" ht="15" customHeight="1"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</row>
    <row r="70" spans="2:17" ht="15" customHeight="1"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0"/>
      <c r="P70" s="630"/>
      <c r="Q70" s="630"/>
    </row>
    <row r="71" spans="2:17" ht="15" customHeight="1">
      <c r="B71" s="630"/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0"/>
      <c r="P71" s="630"/>
      <c r="Q71" s="630"/>
    </row>
    <row r="72" spans="2:17" ht="15" customHeight="1">
      <c r="B72" s="630"/>
      <c r="C72" s="630"/>
      <c r="D72" s="630"/>
      <c r="E72" s="630"/>
      <c r="F72" s="630"/>
      <c r="G72" s="630"/>
      <c r="H72" s="630"/>
      <c r="I72" s="630"/>
      <c r="J72" s="630"/>
      <c r="K72" s="630"/>
      <c r="L72" s="630"/>
      <c r="M72" s="630"/>
      <c r="N72" s="630"/>
      <c r="O72" s="630"/>
      <c r="P72" s="630"/>
      <c r="Q72" s="630"/>
    </row>
    <row r="73" spans="2:17" ht="15" customHeight="1">
      <c r="B73" s="630"/>
      <c r="C73" s="630"/>
      <c r="D73" s="630"/>
      <c r="E73" s="630"/>
      <c r="F73" s="630"/>
      <c r="G73" s="630"/>
      <c r="H73" s="630"/>
      <c r="I73" s="630"/>
      <c r="J73" s="630"/>
      <c r="K73" s="630"/>
      <c r="L73" s="630"/>
      <c r="M73" s="630"/>
      <c r="N73" s="630"/>
      <c r="O73" s="630"/>
      <c r="P73" s="630"/>
      <c r="Q73" s="630"/>
    </row>
    <row r="74" spans="2:17" ht="15" customHeight="1">
      <c r="B74" s="630"/>
      <c r="C74" s="630"/>
      <c r="D74" s="630"/>
      <c r="E74" s="630"/>
      <c r="F74" s="630"/>
      <c r="G74" s="630"/>
      <c r="H74" s="630"/>
      <c r="I74" s="630"/>
      <c r="J74" s="630"/>
      <c r="K74" s="630"/>
      <c r="L74" s="630"/>
      <c r="M74" s="630"/>
      <c r="N74" s="630"/>
      <c r="O74" s="630"/>
      <c r="P74" s="630"/>
      <c r="Q74" s="630"/>
    </row>
    <row r="75" spans="2:17" ht="15" customHeight="1">
      <c r="B75" s="630"/>
      <c r="C75" s="630"/>
      <c r="D75" s="630"/>
      <c r="E75" s="630"/>
      <c r="F75" s="630"/>
      <c r="G75" s="630"/>
      <c r="H75" s="630"/>
      <c r="I75" s="630"/>
      <c r="J75" s="630"/>
      <c r="K75" s="630"/>
      <c r="L75" s="630"/>
      <c r="M75" s="630"/>
      <c r="N75" s="630"/>
      <c r="O75" s="630"/>
      <c r="P75" s="630"/>
      <c r="Q75" s="630"/>
    </row>
    <row r="76" spans="2:17"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Feb 3rd</vt:lpstr>
      <vt:lpstr>Feb 4th</vt:lpstr>
      <vt:lpstr>Feb 5th</vt:lpstr>
      <vt:lpstr>Feb 6th</vt:lpstr>
      <vt:lpstr>Feb 10th</vt:lpstr>
      <vt:lpstr>Feb 11th</vt:lpstr>
      <vt:lpstr>Feb 12th</vt:lpstr>
      <vt:lpstr>Feb 13th</vt:lpstr>
      <vt:lpstr>Feb 14th</vt:lpstr>
      <vt:lpstr>Feb 17th</vt:lpstr>
      <vt:lpstr>Feb 18th</vt:lpstr>
      <vt:lpstr>Feb 19th </vt:lpstr>
      <vt:lpstr>Feb 20th</vt:lpstr>
      <vt:lpstr>Feb 21st</vt:lpstr>
      <vt:lpstr>Feb 23rd</vt:lpstr>
      <vt:lpstr>Feb 24th</vt:lpstr>
      <vt:lpstr>Feb 25th</vt:lpstr>
      <vt:lpstr>Feb 26th</vt:lpstr>
      <vt:lpstr>Feb 27th</vt:lpstr>
      <vt:lpstr>Feb 28th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2025-03-04T19:10:37Z</dcterms:modified>
</cp:coreProperties>
</file>