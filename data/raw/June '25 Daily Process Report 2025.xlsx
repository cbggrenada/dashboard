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drawings/drawing1.xml" ContentType="application/vnd.openxmlformats-officedocument.drawing+xml"/>
  <Override PartName="/xl/comments2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5 Daily Process Report\"/>
    </mc:Choice>
  </mc:AlternateContent>
  <xr:revisionPtr revIDLastSave="0" documentId="13_ncr:1_{D9202A9E-9AEC-4CC3-8F52-AF19CF14961E}" xr6:coauthVersionLast="47" xr6:coauthVersionMax="47" xr10:uidLastSave="{00000000-0000-0000-0000-000000000000}"/>
  <bookViews>
    <workbookView xWindow="-108" yWindow="-108" windowWidth="23256" windowHeight="12456" tabRatio="599" firstSheet="3" activeTab="5" xr2:uid="{1120807F-7390-4E10-A66F-84111922E872}"/>
  </bookViews>
  <sheets>
    <sheet name="Dec 18th" sheetId="658" state="hidden" r:id="rId1"/>
    <sheet name="June 2nd" sheetId="763" r:id="rId2"/>
    <sheet name="June 3rd" sheetId="764" r:id="rId3"/>
    <sheet name="June 4th" sheetId="765" r:id="rId4"/>
    <sheet name="June 5th " sheetId="766" r:id="rId5"/>
    <sheet name="June 6th" sheetId="767" r:id="rId6"/>
    <sheet name="June 10th" sheetId="768" r:id="rId7"/>
    <sheet name="June 11th" sheetId="769" r:id="rId8"/>
    <sheet name="June 12th " sheetId="770" r:id="rId9"/>
    <sheet name="June 13th" sheetId="771" r:id="rId10"/>
    <sheet name="June 16th" sheetId="772" r:id="rId11"/>
    <sheet name="June 17th " sheetId="773" r:id="rId12"/>
    <sheet name="June 18th" sheetId="774" r:id="rId13"/>
    <sheet name="June 20th " sheetId="775" r:id="rId14"/>
    <sheet name="June 23rd" sheetId="776" r:id="rId15"/>
    <sheet name="June 24th" sheetId="777" r:id="rId16"/>
    <sheet name="June 25th " sheetId="778" r:id="rId17"/>
    <sheet name="June 26th " sheetId="779" r:id="rId18"/>
    <sheet name="June 27th-29th" sheetId="780" r:id="rId19"/>
    <sheet name="June 30th" sheetId="781" r:id="rId20"/>
    <sheet name="MTD_Links" sheetId="18" r:id="rId21"/>
    <sheet name="YTD_Links" sheetId="19" r:id="rId22"/>
    <sheet name="KPIs" sheetId="20" state="hidden" r:id="rId23"/>
    <sheet name="Brewer Performance" sheetId="21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</externalReferences>
  <definedNames>
    <definedName name="_xlnm.Print_Area" localSheetId="23">'Brewer Performance'!$B$2:$K$35</definedName>
    <definedName name="_xlnm.Print_Area" localSheetId="20">MTD_Links!$B$2:$K$65</definedName>
    <definedName name="_xlnm.Print_Area" localSheetId="21">YTD_Links!$B$2:$K$65</definedName>
    <definedName name="ProductList" localSheetId="23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53" i="781" l="1"/>
  <c r="L53" i="781"/>
  <c r="L62" i="781"/>
  <c r="K47" i="781" l="1"/>
  <c r="C47" i="781"/>
  <c r="C48" i="781"/>
  <c r="C49" i="781"/>
  <c r="C50" i="781"/>
  <c r="C51" i="781"/>
  <c r="C52" i="781"/>
  <c r="C53" i="781"/>
  <c r="C54" i="781"/>
  <c r="C60" i="781"/>
  <c r="C59" i="781"/>
  <c r="B59" i="781"/>
  <c r="B47" i="781"/>
  <c r="C11" i="781"/>
  <c r="D11" i="781"/>
  <c r="E11" i="781"/>
  <c r="F11" i="781"/>
  <c r="G11" i="781"/>
  <c r="L11" i="781"/>
  <c r="M11" i="781"/>
  <c r="O11" i="781"/>
  <c r="C12" i="781"/>
  <c r="D12" i="781"/>
  <c r="E12" i="781"/>
  <c r="F12" i="781"/>
  <c r="G12" i="781"/>
  <c r="L12" i="781"/>
  <c r="M12" i="781"/>
  <c r="O12" i="781"/>
  <c r="C13" i="781"/>
  <c r="D13" i="781"/>
  <c r="E13" i="781"/>
  <c r="F13" i="781"/>
  <c r="G13" i="781"/>
  <c r="L13" i="781"/>
  <c r="M13" i="781"/>
  <c r="O13" i="781"/>
  <c r="C14" i="781"/>
  <c r="D14" i="781"/>
  <c r="E14" i="781"/>
  <c r="F14" i="781"/>
  <c r="G14" i="781"/>
  <c r="L14" i="781"/>
  <c r="M14" i="781"/>
  <c r="O14" i="781"/>
  <c r="D15" i="781"/>
  <c r="E15" i="781"/>
  <c r="F15" i="781"/>
  <c r="G15" i="781"/>
  <c r="L15" i="781"/>
  <c r="M15" i="781"/>
  <c r="N15" i="781"/>
  <c r="O15" i="781"/>
  <c r="C16" i="781"/>
  <c r="D16" i="781"/>
  <c r="E16" i="781"/>
  <c r="F16" i="781"/>
  <c r="G16" i="781"/>
  <c r="L16" i="781"/>
  <c r="M16" i="781"/>
  <c r="N16" i="781"/>
  <c r="O16" i="781"/>
  <c r="D17" i="781"/>
  <c r="E17" i="781"/>
  <c r="F17" i="781"/>
  <c r="G17" i="781"/>
  <c r="L17" i="781"/>
  <c r="M17" i="781"/>
  <c r="O17" i="781"/>
  <c r="D18" i="781"/>
  <c r="E18" i="781"/>
  <c r="F18" i="781"/>
  <c r="G18" i="781"/>
  <c r="L18" i="781"/>
  <c r="M18" i="781"/>
  <c r="N18" i="781"/>
  <c r="O18" i="781"/>
  <c r="C19" i="781"/>
  <c r="D19" i="781"/>
  <c r="E19" i="781"/>
  <c r="F19" i="781"/>
  <c r="G19" i="781"/>
  <c r="L19" i="781"/>
  <c r="M19" i="781"/>
  <c r="O19" i="781"/>
  <c r="O10" i="781"/>
  <c r="N10" i="781"/>
  <c r="M10" i="781"/>
  <c r="L10" i="781"/>
  <c r="K10" i="781"/>
  <c r="J10" i="781"/>
  <c r="I10" i="781"/>
  <c r="G10" i="781"/>
  <c r="F10" i="781"/>
  <c r="E10" i="781"/>
  <c r="D10" i="781"/>
  <c r="C10" i="781"/>
  <c r="K78" i="781"/>
  <c r="K76" i="781"/>
  <c r="N11" i="781"/>
  <c r="N12" i="781"/>
  <c r="N13" i="781"/>
  <c r="N14" i="781"/>
  <c r="N17" i="781"/>
  <c r="N19" i="781"/>
  <c r="C15" i="781"/>
  <c r="C17" i="781"/>
  <c r="K11" i="781"/>
  <c r="K12" i="781"/>
  <c r="K13" i="781"/>
  <c r="K14" i="781"/>
  <c r="K15" i="781"/>
  <c r="K16" i="781"/>
  <c r="K17" i="781"/>
  <c r="K18" i="781"/>
  <c r="K19" i="781"/>
  <c r="M53" i="781" l="1"/>
  <c r="J14" i="781"/>
  <c r="C18" i="781"/>
  <c r="J19" i="781"/>
  <c r="J18" i="781"/>
  <c r="J17" i="781"/>
  <c r="J16" i="781"/>
  <c r="J15" i="781"/>
  <c r="J13" i="781"/>
  <c r="J12" i="781"/>
  <c r="J11" i="781"/>
  <c r="I17" i="781" l="1"/>
  <c r="I15" i="781"/>
  <c r="I14" i="781"/>
  <c r="I12" i="781"/>
  <c r="I16" i="781"/>
  <c r="I13" i="781"/>
  <c r="I11" i="781"/>
  <c r="I18" i="781"/>
  <c r="I19" i="781"/>
  <c r="J47" i="781" l="1"/>
  <c r="M47" i="781"/>
  <c r="L47" i="781"/>
  <c r="K84" i="781" l="1"/>
  <c r="K83" i="781"/>
  <c r="B76" i="781"/>
  <c r="F88" i="781"/>
  <c r="AX78" i="781"/>
  <c r="AW78" i="781"/>
  <c r="AV78" i="781"/>
  <c r="AU78" i="781"/>
  <c r="AT78" i="781"/>
  <c r="AS78" i="781"/>
  <c r="AR78" i="781"/>
  <c r="AQ78" i="781"/>
  <c r="AP78" i="781"/>
  <c r="AO78" i="781"/>
  <c r="AN78" i="781"/>
  <c r="AM78" i="781"/>
  <c r="AL78" i="781"/>
  <c r="AK78" i="781"/>
  <c r="AJ78" i="781"/>
  <c r="AI78" i="781"/>
  <c r="AH78" i="781"/>
  <c r="AG78" i="781"/>
  <c r="AF78" i="781"/>
  <c r="AE78" i="781"/>
  <c r="AD78" i="781"/>
  <c r="AC78" i="781"/>
  <c r="AB78" i="781"/>
  <c r="B78" i="781"/>
  <c r="K71" i="781"/>
  <c r="M62" i="781" s="1"/>
  <c r="D69" i="781"/>
  <c r="M56" i="781"/>
  <c r="L56" i="781"/>
  <c r="K56" i="781"/>
  <c r="M55" i="781"/>
  <c r="L55" i="781"/>
  <c r="K55" i="781"/>
  <c r="M54" i="781"/>
  <c r="L54" i="781"/>
  <c r="K54" i="781"/>
  <c r="L52" i="781"/>
  <c r="K52" i="781"/>
  <c r="M50" i="781"/>
  <c r="L50" i="781"/>
  <c r="K50" i="781"/>
  <c r="M49" i="781"/>
  <c r="M48" i="781"/>
  <c r="L48" i="781"/>
  <c r="K48" i="781"/>
  <c r="Z46" i="781"/>
  <c r="Y46" i="781"/>
  <c r="X46" i="781"/>
  <c r="W46" i="781"/>
  <c r="V46" i="781"/>
  <c r="U46" i="781"/>
  <c r="T46" i="781"/>
  <c r="S46" i="781"/>
  <c r="R46" i="781"/>
  <c r="Z45" i="781"/>
  <c r="Y45" i="781"/>
  <c r="X45" i="781"/>
  <c r="W45" i="781"/>
  <c r="V45" i="781"/>
  <c r="U45" i="781"/>
  <c r="T45" i="781"/>
  <c r="S45" i="781"/>
  <c r="R45" i="781"/>
  <c r="Z44" i="781"/>
  <c r="Y44" i="781"/>
  <c r="X44" i="781"/>
  <c r="W44" i="781"/>
  <c r="V44" i="781"/>
  <c r="U44" i="781"/>
  <c r="T44" i="781"/>
  <c r="S44" i="781"/>
  <c r="R44" i="781"/>
  <c r="Z43" i="781"/>
  <c r="Y43" i="781"/>
  <c r="X43" i="781"/>
  <c r="W43" i="781"/>
  <c r="V43" i="781"/>
  <c r="U43" i="781"/>
  <c r="T43" i="781"/>
  <c r="S43" i="781"/>
  <c r="R43" i="781"/>
  <c r="Z42" i="781"/>
  <c r="Y42" i="781"/>
  <c r="X42" i="781"/>
  <c r="W42" i="781"/>
  <c r="V42" i="781"/>
  <c r="U42" i="781"/>
  <c r="T42" i="781"/>
  <c r="S42" i="781"/>
  <c r="R42" i="781"/>
  <c r="Z41" i="781"/>
  <c r="Y41" i="781"/>
  <c r="X41" i="781"/>
  <c r="W41" i="781"/>
  <c r="V41" i="781"/>
  <c r="U41" i="781"/>
  <c r="T41" i="781"/>
  <c r="S41" i="781"/>
  <c r="R41" i="781"/>
  <c r="Z40" i="781"/>
  <c r="Y40" i="781"/>
  <c r="X40" i="781"/>
  <c r="W40" i="781"/>
  <c r="V40" i="781"/>
  <c r="U40" i="781"/>
  <c r="T40" i="781"/>
  <c r="S40" i="781"/>
  <c r="R40" i="781"/>
  <c r="Z39" i="781"/>
  <c r="Y39" i="781"/>
  <c r="X39" i="781"/>
  <c r="W39" i="781"/>
  <c r="V39" i="781"/>
  <c r="U39" i="781"/>
  <c r="T39" i="781"/>
  <c r="S39" i="781"/>
  <c r="R39" i="781"/>
  <c r="Z38" i="781"/>
  <c r="Y38" i="781"/>
  <c r="X38" i="781"/>
  <c r="W38" i="781"/>
  <c r="V38" i="781"/>
  <c r="U38" i="781"/>
  <c r="T38" i="781"/>
  <c r="S38" i="781"/>
  <c r="R38" i="781"/>
  <c r="Z37" i="781"/>
  <c r="Y37" i="781"/>
  <c r="X37" i="781"/>
  <c r="W37" i="781"/>
  <c r="V37" i="781"/>
  <c r="U37" i="781"/>
  <c r="T37" i="781"/>
  <c r="S37" i="781"/>
  <c r="R37" i="781"/>
  <c r="Z36" i="781"/>
  <c r="Y36" i="781"/>
  <c r="X36" i="781"/>
  <c r="W36" i="781"/>
  <c r="V36" i="781"/>
  <c r="U36" i="781"/>
  <c r="T36" i="781"/>
  <c r="S36" i="781"/>
  <c r="R36" i="781"/>
  <c r="Z35" i="781"/>
  <c r="Y35" i="781"/>
  <c r="X35" i="781"/>
  <c r="W35" i="781"/>
  <c r="V35" i="781"/>
  <c r="U35" i="781"/>
  <c r="T35" i="781"/>
  <c r="S35" i="781"/>
  <c r="R35" i="781"/>
  <c r="Z34" i="781"/>
  <c r="Y34" i="781"/>
  <c r="X34" i="781"/>
  <c r="W34" i="781"/>
  <c r="V34" i="781"/>
  <c r="U34" i="781"/>
  <c r="T34" i="781"/>
  <c r="S34" i="781"/>
  <c r="R34" i="781"/>
  <c r="Z33" i="781"/>
  <c r="Y33" i="781"/>
  <c r="X33" i="781"/>
  <c r="W33" i="781"/>
  <c r="V33" i="781"/>
  <c r="U33" i="781"/>
  <c r="T33" i="781"/>
  <c r="S33" i="781"/>
  <c r="R33" i="781"/>
  <c r="Z32" i="781"/>
  <c r="Y32" i="781"/>
  <c r="X32" i="781"/>
  <c r="W32" i="781"/>
  <c r="V32" i="781"/>
  <c r="U32" i="781"/>
  <c r="T32" i="781"/>
  <c r="S32" i="781"/>
  <c r="R32" i="781"/>
  <c r="Z30" i="781"/>
  <c r="Y30" i="781"/>
  <c r="X30" i="781"/>
  <c r="W30" i="781"/>
  <c r="V30" i="781"/>
  <c r="U30" i="781"/>
  <c r="T30" i="781"/>
  <c r="S30" i="781"/>
  <c r="R30" i="781"/>
  <c r="Z29" i="781"/>
  <c r="Y29" i="781"/>
  <c r="X29" i="781"/>
  <c r="W29" i="781"/>
  <c r="V29" i="781"/>
  <c r="U29" i="781"/>
  <c r="T29" i="781"/>
  <c r="S29" i="781"/>
  <c r="R29" i="781"/>
  <c r="Z28" i="781"/>
  <c r="Y28" i="781"/>
  <c r="X28" i="781"/>
  <c r="W28" i="781"/>
  <c r="V28" i="781"/>
  <c r="U28" i="781"/>
  <c r="T28" i="781"/>
  <c r="S28" i="781"/>
  <c r="R28" i="781"/>
  <c r="Z27" i="781"/>
  <c r="Y27" i="781"/>
  <c r="X27" i="781"/>
  <c r="W27" i="781"/>
  <c r="V27" i="781"/>
  <c r="U27" i="781"/>
  <c r="T27" i="781"/>
  <c r="S27" i="781"/>
  <c r="R27" i="781"/>
  <c r="Z26" i="781"/>
  <c r="Y26" i="781"/>
  <c r="X26" i="781"/>
  <c r="W26" i="781"/>
  <c r="V26" i="781"/>
  <c r="U26" i="781"/>
  <c r="T26" i="781"/>
  <c r="S26" i="781"/>
  <c r="R26" i="781"/>
  <c r="Z25" i="781"/>
  <c r="Y25" i="781"/>
  <c r="X25" i="781"/>
  <c r="W25" i="781"/>
  <c r="V25" i="781"/>
  <c r="U25" i="781"/>
  <c r="T25" i="781"/>
  <c r="S25" i="781"/>
  <c r="R25" i="781"/>
  <c r="Z24" i="781"/>
  <c r="Y24" i="781"/>
  <c r="X24" i="781"/>
  <c r="W24" i="781"/>
  <c r="V24" i="781"/>
  <c r="U24" i="781"/>
  <c r="T24" i="781"/>
  <c r="S24" i="781"/>
  <c r="R24" i="781"/>
  <c r="Z23" i="781"/>
  <c r="Y23" i="781"/>
  <c r="X23" i="781"/>
  <c r="W23" i="781"/>
  <c r="V23" i="781"/>
  <c r="U23" i="781"/>
  <c r="T23" i="781"/>
  <c r="S23" i="781"/>
  <c r="R23" i="781"/>
  <c r="Z22" i="781"/>
  <c r="Y22" i="781"/>
  <c r="X22" i="781"/>
  <c r="W22" i="781"/>
  <c r="V22" i="781"/>
  <c r="U22" i="781"/>
  <c r="T22" i="781"/>
  <c r="S22" i="781"/>
  <c r="R22" i="781"/>
  <c r="Z21" i="781"/>
  <c r="Y21" i="781"/>
  <c r="X21" i="781"/>
  <c r="W21" i="781"/>
  <c r="V21" i="781"/>
  <c r="U21" i="781"/>
  <c r="T21" i="781"/>
  <c r="S21" i="781"/>
  <c r="R21" i="781"/>
  <c r="Z19" i="781"/>
  <c r="Y19" i="781"/>
  <c r="X19" i="781"/>
  <c r="W19" i="781"/>
  <c r="V19" i="781"/>
  <c r="U19" i="781"/>
  <c r="T19" i="781"/>
  <c r="S19" i="781"/>
  <c r="R19" i="781"/>
  <c r="Z18" i="781"/>
  <c r="Y18" i="781"/>
  <c r="X18" i="781"/>
  <c r="W18" i="781"/>
  <c r="V18" i="781"/>
  <c r="U18" i="781"/>
  <c r="T18" i="781"/>
  <c r="S18" i="781"/>
  <c r="R18" i="781"/>
  <c r="Z17" i="781"/>
  <c r="Y17" i="781"/>
  <c r="X17" i="781"/>
  <c r="W17" i="781"/>
  <c r="V17" i="781"/>
  <c r="U17" i="781"/>
  <c r="T17" i="781"/>
  <c r="S17" i="781"/>
  <c r="R17" i="781"/>
  <c r="Z16" i="781"/>
  <c r="Y16" i="781"/>
  <c r="X16" i="781"/>
  <c r="W16" i="781"/>
  <c r="V16" i="781"/>
  <c r="U16" i="781"/>
  <c r="T16" i="781"/>
  <c r="S16" i="781"/>
  <c r="R16" i="781"/>
  <c r="Z15" i="781"/>
  <c r="Y15" i="781"/>
  <c r="X15" i="781"/>
  <c r="W15" i="781"/>
  <c r="V15" i="781"/>
  <c r="U15" i="781"/>
  <c r="T15" i="781"/>
  <c r="S15" i="781"/>
  <c r="R15" i="781"/>
  <c r="Z14" i="781"/>
  <c r="Y14" i="781"/>
  <c r="X14" i="781"/>
  <c r="W14" i="781"/>
  <c r="V14" i="781"/>
  <c r="U14" i="781"/>
  <c r="T14" i="781"/>
  <c r="S14" i="781"/>
  <c r="R14" i="781"/>
  <c r="Z13" i="781"/>
  <c r="Y13" i="781"/>
  <c r="X13" i="781"/>
  <c r="W13" i="781"/>
  <c r="V13" i="781"/>
  <c r="U13" i="781"/>
  <c r="T13" i="781"/>
  <c r="S13" i="781"/>
  <c r="R13" i="781"/>
  <c r="Z12" i="781"/>
  <c r="Y12" i="781"/>
  <c r="X12" i="781"/>
  <c r="W12" i="781"/>
  <c r="V12" i="781"/>
  <c r="U12" i="781"/>
  <c r="T12" i="781"/>
  <c r="S12" i="781"/>
  <c r="R12" i="781"/>
  <c r="Z11" i="781"/>
  <c r="Y11" i="781"/>
  <c r="X11" i="781"/>
  <c r="W11" i="781"/>
  <c r="V11" i="781"/>
  <c r="U11" i="781"/>
  <c r="T11" i="781"/>
  <c r="S11" i="781"/>
  <c r="R11" i="781"/>
  <c r="Z10" i="781"/>
  <c r="Y10" i="781"/>
  <c r="X10" i="781"/>
  <c r="W10" i="781"/>
  <c r="V10" i="781"/>
  <c r="U10" i="781"/>
  <c r="T10" i="781"/>
  <c r="S10" i="781"/>
  <c r="R10" i="781"/>
  <c r="L63" i="780"/>
  <c r="H72" i="780"/>
  <c r="I72" i="780"/>
  <c r="M57" i="780"/>
  <c r="L57" i="780"/>
  <c r="K57" i="780"/>
  <c r="M56" i="780"/>
  <c r="L56" i="780"/>
  <c r="K56" i="780"/>
  <c r="M49" i="780"/>
  <c r="L49" i="780"/>
  <c r="K49" i="780"/>
  <c r="M48" i="780"/>
  <c r="L48" i="780"/>
  <c r="K48" i="780"/>
  <c r="I27" i="780"/>
  <c r="J27" i="780"/>
  <c r="K27" i="780"/>
  <c r="L27" i="780"/>
  <c r="M27" i="780"/>
  <c r="N27" i="780"/>
  <c r="O27" i="780"/>
  <c r="I28" i="780"/>
  <c r="J28" i="780"/>
  <c r="K28" i="780"/>
  <c r="L28" i="780"/>
  <c r="M28" i="780"/>
  <c r="N28" i="780"/>
  <c r="O28" i="780"/>
  <c r="I29" i="780"/>
  <c r="J29" i="780"/>
  <c r="K29" i="780"/>
  <c r="L29" i="780"/>
  <c r="M29" i="780"/>
  <c r="N29" i="780"/>
  <c r="O29" i="780"/>
  <c r="I30" i="780"/>
  <c r="J30" i="780"/>
  <c r="K30" i="780"/>
  <c r="L30" i="780"/>
  <c r="M30" i="780"/>
  <c r="N30" i="780"/>
  <c r="O30" i="780"/>
  <c r="I31" i="780"/>
  <c r="J31" i="780"/>
  <c r="K31" i="780"/>
  <c r="L31" i="780"/>
  <c r="M31" i="780"/>
  <c r="N31" i="780"/>
  <c r="O31" i="780"/>
  <c r="I33" i="780"/>
  <c r="J33" i="780"/>
  <c r="K33" i="780"/>
  <c r="L33" i="780"/>
  <c r="M33" i="780"/>
  <c r="N33" i="780"/>
  <c r="O33" i="780"/>
  <c r="I34" i="780"/>
  <c r="J34" i="780"/>
  <c r="K34" i="780"/>
  <c r="L34" i="780"/>
  <c r="M34" i="780"/>
  <c r="N34" i="780"/>
  <c r="O34" i="780"/>
  <c r="I35" i="780"/>
  <c r="J35" i="780"/>
  <c r="K35" i="780"/>
  <c r="L35" i="780"/>
  <c r="M35" i="780"/>
  <c r="N35" i="780"/>
  <c r="O35" i="780"/>
  <c r="I36" i="780"/>
  <c r="J36" i="780"/>
  <c r="K36" i="780"/>
  <c r="L36" i="780"/>
  <c r="M36" i="780"/>
  <c r="N36" i="780"/>
  <c r="O36" i="780"/>
  <c r="C27" i="780"/>
  <c r="D27" i="780"/>
  <c r="E27" i="780"/>
  <c r="F27" i="780"/>
  <c r="G27" i="780"/>
  <c r="C28" i="780"/>
  <c r="D28" i="780"/>
  <c r="E28" i="780"/>
  <c r="F28" i="780"/>
  <c r="G28" i="780"/>
  <c r="C29" i="780"/>
  <c r="D29" i="780"/>
  <c r="E29" i="780"/>
  <c r="F29" i="780"/>
  <c r="G29" i="780"/>
  <c r="C30" i="780"/>
  <c r="D30" i="780"/>
  <c r="E30" i="780"/>
  <c r="F30" i="780"/>
  <c r="G30" i="780"/>
  <c r="C31" i="780"/>
  <c r="D31" i="780"/>
  <c r="E31" i="780"/>
  <c r="F31" i="780"/>
  <c r="G31" i="780"/>
  <c r="C33" i="780"/>
  <c r="D33" i="780"/>
  <c r="E33" i="780"/>
  <c r="F33" i="780"/>
  <c r="G33" i="780"/>
  <c r="C34" i="780"/>
  <c r="D34" i="780"/>
  <c r="E34" i="780"/>
  <c r="F34" i="780"/>
  <c r="G34" i="780"/>
  <c r="C35" i="780"/>
  <c r="D35" i="780"/>
  <c r="E35" i="780"/>
  <c r="F35" i="780"/>
  <c r="G35" i="780"/>
  <c r="C36" i="780"/>
  <c r="D36" i="780"/>
  <c r="E36" i="780"/>
  <c r="F36" i="780"/>
  <c r="G36" i="780"/>
  <c r="O26" i="780"/>
  <c r="N26" i="780"/>
  <c r="M26" i="780"/>
  <c r="L26" i="780"/>
  <c r="K26" i="780"/>
  <c r="J26" i="780"/>
  <c r="I26" i="780"/>
  <c r="G26" i="780"/>
  <c r="F26" i="780"/>
  <c r="E26" i="780"/>
  <c r="D26" i="780"/>
  <c r="C26" i="780"/>
  <c r="K57" i="781" l="1"/>
  <c r="L57" i="781" s="1"/>
  <c r="C22" i="780"/>
  <c r="D22" i="780"/>
  <c r="E22" i="780"/>
  <c r="F22" i="780"/>
  <c r="G22" i="780"/>
  <c r="I22" i="780"/>
  <c r="J22" i="780"/>
  <c r="L22" i="780"/>
  <c r="M22" i="780"/>
  <c r="N22" i="780"/>
  <c r="O22" i="780"/>
  <c r="C23" i="780"/>
  <c r="D23" i="780"/>
  <c r="E23" i="780"/>
  <c r="F23" i="780"/>
  <c r="G23" i="780"/>
  <c r="I23" i="780"/>
  <c r="J23" i="780"/>
  <c r="L23" i="780"/>
  <c r="M23" i="780"/>
  <c r="N23" i="780"/>
  <c r="O23" i="780"/>
  <c r="C24" i="780"/>
  <c r="D24" i="780"/>
  <c r="E24" i="780"/>
  <c r="F24" i="780"/>
  <c r="G24" i="780"/>
  <c r="I24" i="780"/>
  <c r="J24" i="780"/>
  <c r="L24" i="780"/>
  <c r="M24" i="780"/>
  <c r="N24" i="780"/>
  <c r="O24" i="780"/>
  <c r="O20" i="780"/>
  <c r="N20" i="780"/>
  <c r="M20" i="780"/>
  <c r="L20" i="780"/>
  <c r="J20" i="780"/>
  <c r="I20" i="780"/>
  <c r="G20" i="780"/>
  <c r="F20" i="780"/>
  <c r="E20" i="780"/>
  <c r="D20" i="780"/>
  <c r="C20" i="780"/>
  <c r="C15" i="780"/>
  <c r="D15" i="780"/>
  <c r="E15" i="780"/>
  <c r="F15" i="780"/>
  <c r="G15" i="780"/>
  <c r="I15" i="780"/>
  <c r="J15" i="780"/>
  <c r="K15" i="780"/>
  <c r="L15" i="780"/>
  <c r="M15" i="780"/>
  <c r="N15" i="780"/>
  <c r="O15" i="780"/>
  <c r="O14" i="780"/>
  <c r="N14" i="780"/>
  <c r="M14" i="780"/>
  <c r="L14" i="780"/>
  <c r="K14" i="780"/>
  <c r="J14" i="780"/>
  <c r="I14" i="780"/>
  <c r="G14" i="780"/>
  <c r="F14" i="780"/>
  <c r="E14" i="780"/>
  <c r="D14" i="780"/>
  <c r="C14" i="780"/>
  <c r="R23" i="780"/>
  <c r="S23" i="780"/>
  <c r="T23" i="780"/>
  <c r="U23" i="780"/>
  <c r="V23" i="780"/>
  <c r="W23" i="780"/>
  <c r="X23" i="780"/>
  <c r="Y23" i="780"/>
  <c r="Z23" i="780"/>
  <c r="R24" i="780"/>
  <c r="S24" i="780"/>
  <c r="T24" i="780"/>
  <c r="U24" i="780"/>
  <c r="V24" i="780"/>
  <c r="W24" i="780"/>
  <c r="X24" i="780"/>
  <c r="Y24" i="780"/>
  <c r="Z24" i="780"/>
  <c r="R25" i="780"/>
  <c r="S25" i="780"/>
  <c r="T25" i="780"/>
  <c r="U25" i="780"/>
  <c r="V25" i="780"/>
  <c r="W25" i="780"/>
  <c r="X25" i="780"/>
  <c r="Y25" i="780"/>
  <c r="Z25" i="780"/>
  <c r="R26" i="780"/>
  <c r="S26" i="780"/>
  <c r="T26" i="780"/>
  <c r="U26" i="780"/>
  <c r="V26" i="780"/>
  <c r="W26" i="780"/>
  <c r="X26" i="780"/>
  <c r="Y26" i="780"/>
  <c r="Z26" i="780"/>
  <c r="R27" i="780"/>
  <c r="S27" i="780"/>
  <c r="T27" i="780"/>
  <c r="U27" i="780"/>
  <c r="V27" i="780"/>
  <c r="W27" i="780"/>
  <c r="X27" i="780"/>
  <c r="Y27" i="780"/>
  <c r="Z27" i="780"/>
  <c r="R13" i="780"/>
  <c r="S13" i="780"/>
  <c r="T13" i="780"/>
  <c r="U13" i="780"/>
  <c r="V13" i="780"/>
  <c r="W13" i="780"/>
  <c r="X13" i="780"/>
  <c r="Y13" i="780"/>
  <c r="Z13" i="780"/>
  <c r="R14" i="780"/>
  <c r="S14" i="780"/>
  <c r="T14" i="780"/>
  <c r="U14" i="780"/>
  <c r="V14" i="780"/>
  <c r="W14" i="780"/>
  <c r="X14" i="780"/>
  <c r="Y14" i="780"/>
  <c r="Z14" i="780"/>
  <c r="R15" i="780"/>
  <c r="S15" i="780"/>
  <c r="T15" i="780"/>
  <c r="U15" i="780"/>
  <c r="V15" i="780"/>
  <c r="W15" i="780"/>
  <c r="X15" i="780"/>
  <c r="Y15" i="780"/>
  <c r="Z15" i="780"/>
  <c r="R16" i="780"/>
  <c r="S16" i="780"/>
  <c r="T16" i="780"/>
  <c r="U16" i="780"/>
  <c r="V16" i="780"/>
  <c r="W16" i="780"/>
  <c r="X16" i="780"/>
  <c r="Y16" i="780"/>
  <c r="Z16" i="780"/>
  <c r="R17" i="780"/>
  <c r="S17" i="780"/>
  <c r="T17" i="780"/>
  <c r="U17" i="780"/>
  <c r="V17" i="780"/>
  <c r="W17" i="780"/>
  <c r="X17" i="780"/>
  <c r="Y17" i="780"/>
  <c r="Z17" i="780"/>
  <c r="R18" i="780"/>
  <c r="S18" i="780"/>
  <c r="T18" i="780"/>
  <c r="U18" i="780"/>
  <c r="V18" i="780"/>
  <c r="W18" i="780"/>
  <c r="X18" i="780"/>
  <c r="Y18" i="780"/>
  <c r="Z18" i="780"/>
  <c r="R19" i="780"/>
  <c r="S19" i="780"/>
  <c r="T19" i="780"/>
  <c r="U19" i="780"/>
  <c r="V19" i="780"/>
  <c r="W19" i="780"/>
  <c r="X19" i="780"/>
  <c r="Y19" i="780"/>
  <c r="Z19" i="780"/>
  <c r="R20" i="780"/>
  <c r="S20" i="780"/>
  <c r="T20" i="780"/>
  <c r="U20" i="780"/>
  <c r="V20" i="780"/>
  <c r="W20" i="780"/>
  <c r="X20" i="780"/>
  <c r="Y20" i="780"/>
  <c r="Z20" i="780"/>
  <c r="R22" i="780"/>
  <c r="S22" i="780"/>
  <c r="T22" i="780"/>
  <c r="U22" i="780"/>
  <c r="V22" i="780"/>
  <c r="W22" i="780"/>
  <c r="X22" i="780"/>
  <c r="Y22" i="780"/>
  <c r="Z22" i="780"/>
  <c r="C18" i="780"/>
  <c r="E18" i="780"/>
  <c r="F18" i="780"/>
  <c r="G18" i="780"/>
  <c r="I18" i="780"/>
  <c r="J18" i="780"/>
  <c r="L18" i="780"/>
  <c r="M18" i="780"/>
  <c r="N18" i="780"/>
  <c r="O18" i="780"/>
  <c r="O17" i="780"/>
  <c r="N17" i="780"/>
  <c r="M17" i="780"/>
  <c r="L17" i="780"/>
  <c r="K17" i="780"/>
  <c r="J17" i="780"/>
  <c r="I17" i="780"/>
  <c r="G17" i="780"/>
  <c r="F17" i="780"/>
  <c r="E17" i="780"/>
  <c r="D17" i="780"/>
  <c r="C17" i="780"/>
  <c r="J56" i="780" l="1"/>
  <c r="M57" i="781"/>
  <c r="J49" i="780"/>
  <c r="J57" i="780"/>
  <c r="C12" i="780"/>
  <c r="D12" i="780"/>
  <c r="E12" i="780"/>
  <c r="F12" i="780"/>
  <c r="G12" i="780"/>
  <c r="I12" i="780"/>
  <c r="J12" i="780"/>
  <c r="K12" i="780"/>
  <c r="L12" i="780"/>
  <c r="M12" i="780"/>
  <c r="N12" i="780"/>
  <c r="O12" i="780"/>
  <c r="O11" i="780"/>
  <c r="N11" i="780"/>
  <c r="M11" i="780"/>
  <c r="L11" i="780"/>
  <c r="K11" i="780"/>
  <c r="J11" i="780"/>
  <c r="I11" i="780"/>
  <c r="G11" i="780"/>
  <c r="F11" i="780"/>
  <c r="E11" i="780"/>
  <c r="D11" i="780"/>
  <c r="C11" i="780"/>
  <c r="F89" i="780"/>
  <c r="AX79" i="780"/>
  <c r="AW79" i="780"/>
  <c r="AV79" i="780"/>
  <c r="AU79" i="780"/>
  <c r="AT79" i="780"/>
  <c r="AS79" i="780"/>
  <c r="AR79" i="780"/>
  <c r="AQ79" i="780"/>
  <c r="AP79" i="780"/>
  <c r="AO79" i="780"/>
  <c r="AN79" i="780"/>
  <c r="AM79" i="780"/>
  <c r="AL79" i="780"/>
  <c r="AK79" i="780"/>
  <c r="AJ79" i="780"/>
  <c r="AI79" i="780"/>
  <c r="AH79" i="780"/>
  <c r="AG79" i="780"/>
  <c r="AF79" i="780"/>
  <c r="AE79" i="780"/>
  <c r="AD79" i="780"/>
  <c r="AC79" i="780"/>
  <c r="AB79" i="780"/>
  <c r="L79" i="780"/>
  <c r="I79" i="780"/>
  <c r="H79" i="780"/>
  <c r="B79" i="780"/>
  <c r="B77" i="780"/>
  <c r="K72" i="780"/>
  <c r="D70" i="780"/>
  <c r="M55" i="780"/>
  <c r="L55" i="780"/>
  <c r="K55" i="780"/>
  <c r="M54" i="780"/>
  <c r="L54" i="780"/>
  <c r="K54" i="780"/>
  <c r="L53" i="780"/>
  <c r="K53" i="780"/>
  <c r="M51" i="780"/>
  <c r="L51" i="780"/>
  <c r="K51" i="780"/>
  <c r="M50" i="780"/>
  <c r="Z47" i="780"/>
  <c r="Y47" i="780"/>
  <c r="X47" i="780"/>
  <c r="W47" i="780"/>
  <c r="V47" i="780"/>
  <c r="U47" i="780"/>
  <c r="T47" i="780"/>
  <c r="S47" i="780"/>
  <c r="R47" i="780"/>
  <c r="Z46" i="780"/>
  <c r="Y46" i="780"/>
  <c r="X46" i="780"/>
  <c r="W46" i="780"/>
  <c r="V46" i="780"/>
  <c r="U46" i="780"/>
  <c r="T46" i="780"/>
  <c r="S46" i="780"/>
  <c r="R46" i="780"/>
  <c r="Z45" i="780"/>
  <c r="Y45" i="780"/>
  <c r="X45" i="780"/>
  <c r="W45" i="780"/>
  <c r="V45" i="780"/>
  <c r="U45" i="780"/>
  <c r="T45" i="780"/>
  <c r="S45" i="780"/>
  <c r="R45" i="780"/>
  <c r="Z44" i="780"/>
  <c r="Y44" i="780"/>
  <c r="X44" i="780"/>
  <c r="W44" i="780"/>
  <c r="V44" i="780"/>
  <c r="U44" i="780"/>
  <c r="T44" i="780"/>
  <c r="S44" i="780"/>
  <c r="R44" i="780"/>
  <c r="Z43" i="780"/>
  <c r="Y43" i="780"/>
  <c r="X43" i="780"/>
  <c r="W43" i="780"/>
  <c r="V43" i="780"/>
  <c r="U43" i="780"/>
  <c r="T43" i="780"/>
  <c r="S43" i="780"/>
  <c r="R43" i="780"/>
  <c r="Z42" i="780"/>
  <c r="Y42" i="780"/>
  <c r="X42" i="780"/>
  <c r="W42" i="780"/>
  <c r="V42" i="780"/>
  <c r="U42" i="780"/>
  <c r="T42" i="780"/>
  <c r="S42" i="780"/>
  <c r="R42" i="780"/>
  <c r="Z41" i="780"/>
  <c r="Y41" i="780"/>
  <c r="X41" i="780"/>
  <c r="W41" i="780"/>
  <c r="V41" i="780"/>
  <c r="U41" i="780"/>
  <c r="T41" i="780"/>
  <c r="S41" i="780"/>
  <c r="R41" i="780"/>
  <c r="Z40" i="780"/>
  <c r="Y40" i="780"/>
  <c r="X40" i="780"/>
  <c r="W40" i="780"/>
  <c r="V40" i="780"/>
  <c r="U40" i="780"/>
  <c r="T40" i="780"/>
  <c r="S40" i="780"/>
  <c r="R40" i="780"/>
  <c r="Z39" i="780"/>
  <c r="Y39" i="780"/>
  <c r="X39" i="780"/>
  <c r="W39" i="780"/>
  <c r="V39" i="780"/>
  <c r="U39" i="780"/>
  <c r="T39" i="780"/>
  <c r="S39" i="780"/>
  <c r="R39" i="780"/>
  <c r="Z38" i="780"/>
  <c r="Y38" i="780"/>
  <c r="X38" i="780"/>
  <c r="W38" i="780"/>
  <c r="V38" i="780"/>
  <c r="U38" i="780"/>
  <c r="T38" i="780"/>
  <c r="S38" i="780"/>
  <c r="R38" i="780"/>
  <c r="Z37" i="780"/>
  <c r="Y37" i="780"/>
  <c r="X37" i="780"/>
  <c r="W37" i="780"/>
  <c r="V37" i="780"/>
  <c r="U37" i="780"/>
  <c r="T37" i="780"/>
  <c r="S37" i="780"/>
  <c r="R37" i="780"/>
  <c r="Z36" i="780"/>
  <c r="Y36" i="780"/>
  <c r="X36" i="780"/>
  <c r="W36" i="780"/>
  <c r="V36" i="780"/>
  <c r="U36" i="780"/>
  <c r="T36" i="780"/>
  <c r="S36" i="780"/>
  <c r="R36" i="780"/>
  <c r="Z35" i="780"/>
  <c r="Y35" i="780"/>
  <c r="X35" i="780"/>
  <c r="W35" i="780"/>
  <c r="V35" i="780"/>
  <c r="U35" i="780"/>
  <c r="T35" i="780"/>
  <c r="S35" i="780"/>
  <c r="R35" i="780"/>
  <c r="Z34" i="780"/>
  <c r="Y34" i="780"/>
  <c r="X34" i="780"/>
  <c r="W34" i="780"/>
  <c r="V34" i="780"/>
  <c r="U34" i="780"/>
  <c r="T34" i="780"/>
  <c r="S34" i="780"/>
  <c r="R34" i="780"/>
  <c r="Z33" i="780"/>
  <c r="Y33" i="780"/>
  <c r="X33" i="780"/>
  <c r="W33" i="780"/>
  <c r="V33" i="780"/>
  <c r="U33" i="780"/>
  <c r="T33" i="780"/>
  <c r="S33" i="780"/>
  <c r="R33" i="780"/>
  <c r="Z31" i="780"/>
  <c r="Y31" i="780"/>
  <c r="X31" i="780"/>
  <c r="W31" i="780"/>
  <c r="V31" i="780"/>
  <c r="U31" i="780"/>
  <c r="T31" i="780"/>
  <c r="S31" i="780"/>
  <c r="R31" i="780"/>
  <c r="Z30" i="780"/>
  <c r="Y30" i="780"/>
  <c r="X30" i="780"/>
  <c r="W30" i="780"/>
  <c r="V30" i="780"/>
  <c r="U30" i="780"/>
  <c r="T30" i="780"/>
  <c r="S30" i="780"/>
  <c r="R30" i="780"/>
  <c r="Z29" i="780"/>
  <c r="Y29" i="780"/>
  <c r="X29" i="780"/>
  <c r="W29" i="780"/>
  <c r="V29" i="780"/>
  <c r="U29" i="780"/>
  <c r="T29" i="780"/>
  <c r="S29" i="780"/>
  <c r="R29" i="780"/>
  <c r="Z28" i="780"/>
  <c r="Y28" i="780"/>
  <c r="X28" i="780"/>
  <c r="W28" i="780"/>
  <c r="V28" i="780"/>
  <c r="U28" i="780"/>
  <c r="T28" i="780"/>
  <c r="S28" i="780"/>
  <c r="R28" i="780"/>
  <c r="Z12" i="780"/>
  <c r="Y12" i="780"/>
  <c r="X12" i="780"/>
  <c r="W12" i="780"/>
  <c r="V12" i="780"/>
  <c r="U12" i="780"/>
  <c r="T12" i="780"/>
  <c r="S12" i="780"/>
  <c r="R12" i="780"/>
  <c r="Z11" i="780"/>
  <c r="Y11" i="780"/>
  <c r="X11" i="780"/>
  <c r="W11" i="780"/>
  <c r="V11" i="780"/>
  <c r="U11" i="780"/>
  <c r="T11" i="780"/>
  <c r="S11" i="780"/>
  <c r="R11" i="780"/>
  <c r="R22" i="779"/>
  <c r="S22" i="779"/>
  <c r="T22" i="779"/>
  <c r="U22" i="779"/>
  <c r="V22" i="779"/>
  <c r="W22" i="779"/>
  <c r="X22" i="779"/>
  <c r="Y22" i="779"/>
  <c r="Z22" i="779"/>
  <c r="R23" i="779"/>
  <c r="S23" i="779"/>
  <c r="T23" i="779"/>
  <c r="U23" i="779"/>
  <c r="V23" i="779"/>
  <c r="W23" i="779"/>
  <c r="X23" i="779"/>
  <c r="Y23" i="779"/>
  <c r="Z23" i="779"/>
  <c r="M44" i="779"/>
  <c r="L44" i="779"/>
  <c r="K44" i="779"/>
  <c r="K43" i="779"/>
  <c r="F29" i="779"/>
  <c r="G29" i="779"/>
  <c r="I29" i="779"/>
  <c r="J29" i="779"/>
  <c r="K29" i="779"/>
  <c r="L29" i="779"/>
  <c r="M29" i="779"/>
  <c r="N29" i="779"/>
  <c r="O29" i="779"/>
  <c r="F30" i="779"/>
  <c r="G30" i="779"/>
  <c r="I30" i="779"/>
  <c r="J30" i="779"/>
  <c r="K30" i="779"/>
  <c r="L30" i="779"/>
  <c r="M30" i="779"/>
  <c r="N30" i="779"/>
  <c r="O30" i="779"/>
  <c r="F31" i="779"/>
  <c r="G31" i="779"/>
  <c r="I31" i="779"/>
  <c r="J31" i="779"/>
  <c r="K31" i="779"/>
  <c r="L31" i="779"/>
  <c r="M31" i="779"/>
  <c r="N31" i="779"/>
  <c r="O31" i="779"/>
  <c r="F32" i="779"/>
  <c r="G32" i="779"/>
  <c r="I32" i="779"/>
  <c r="J32" i="779"/>
  <c r="K32" i="779"/>
  <c r="L32" i="779"/>
  <c r="M32" i="779"/>
  <c r="N32" i="779"/>
  <c r="O32" i="779"/>
  <c r="F33" i="779"/>
  <c r="G33" i="779"/>
  <c r="K33" i="779"/>
  <c r="L33" i="779"/>
  <c r="M33" i="779"/>
  <c r="N33" i="779"/>
  <c r="O33" i="779"/>
  <c r="F34" i="779"/>
  <c r="G34" i="779"/>
  <c r="K34" i="779"/>
  <c r="L34" i="779"/>
  <c r="M34" i="779"/>
  <c r="N34" i="779"/>
  <c r="O34" i="779"/>
  <c r="O28" i="779"/>
  <c r="N28" i="779"/>
  <c r="M28" i="779"/>
  <c r="L28" i="779"/>
  <c r="K28" i="779"/>
  <c r="J28" i="779"/>
  <c r="I28" i="779"/>
  <c r="G28" i="779"/>
  <c r="F28" i="779"/>
  <c r="D29" i="779"/>
  <c r="D30" i="779"/>
  <c r="D31" i="779"/>
  <c r="D32" i="779"/>
  <c r="D33" i="779"/>
  <c r="D34" i="779"/>
  <c r="D28" i="779"/>
  <c r="J48" i="780" l="1"/>
  <c r="M63" i="780"/>
  <c r="L77" i="780"/>
  <c r="I77" i="780"/>
  <c r="H77" i="780"/>
  <c r="K58" i="780"/>
  <c r="L58" i="780" s="1"/>
  <c r="C29" i="779"/>
  <c r="C30" i="779"/>
  <c r="C31" i="779"/>
  <c r="C32" i="779"/>
  <c r="C33" i="779"/>
  <c r="C34" i="779"/>
  <c r="C28" i="779"/>
  <c r="E29" i="779"/>
  <c r="E30" i="779"/>
  <c r="E31" i="779"/>
  <c r="E32" i="779"/>
  <c r="E33" i="779"/>
  <c r="E34" i="779"/>
  <c r="E28" i="779"/>
  <c r="I33" i="779" l="1"/>
  <c r="J33" i="779"/>
  <c r="C25" i="779"/>
  <c r="D25" i="779"/>
  <c r="E25" i="779"/>
  <c r="F25" i="779"/>
  <c r="G25" i="779"/>
  <c r="I25" i="779"/>
  <c r="J25" i="779"/>
  <c r="L25" i="779"/>
  <c r="M25" i="779"/>
  <c r="N25" i="779"/>
  <c r="O25" i="779"/>
  <c r="K72" i="779" l="1"/>
  <c r="K79" i="779" s="1"/>
  <c r="I23" i="779" l="1"/>
  <c r="C24" i="779"/>
  <c r="D24" i="779"/>
  <c r="E24" i="779"/>
  <c r="F24" i="779"/>
  <c r="G24" i="779"/>
  <c r="I24" i="779"/>
  <c r="J24" i="779"/>
  <c r="L24" i="779"/>
  <c r="M24" i="779"/>
  <c r="N24" i="779"/>
  <c r="O24" i="779"/>
  <c r="C22" i="779"/>
  <c r="D22" i="779"/>
  <c r="E22" i="779"/>
  <c r="F22" i="779"/>
  <c r="G22" i="779"/>
  <c r="I22" i="779"/>
  <c r="J44" i="779" s="1"/>
  <c r="J22" i="779"/>
  <c r="L22" i="779"/>
  <c r="M22" i="779"/>
  <c r="N22" i="779"/>
  <c r="O22" i="779"/>
  <c r="C23" i="779"/>
  <c r="D23" i="779"/>
  <c r="E23" i="779"/>
  <c r="F23" i="779"/>
  <c r="G23" i="779"/>
  <c r="J23" i="779"/>
  <c r="L23" i="779"/>
  <c r="M23" i="779"/>
  <c r="N23" i="779"/>
  <c r="O23" i="779"/>
  <c r="C43" i="779"/>
  <c r="C44" i="779"/>
  <c r="C45" i="779"/>
  <c r="C46" i="779"/>
  <c r="C47" i="779"/>
  <c r="C48" i="779"/>
  <c r="C49" i="779"/>
  <c r="C50" i="779"/>
  <c r="B43" i="779" l="1"/>
  <c r="B72" i="779"/>
  <c r="F84" i="779"/>
  <c r="AX74" i="779"/>
  <c r="AW74" i="779"/>
  <c r="AV74" i="779"/>
  <c r="AU74" i="779"/>
  <c r="AT74" i="779"/>
  <c r="AS74" i="779"/>
  <c r="AR74" i="779"/>
  <c r="AQ74" i="779"/>
  <c r="AP74" i="779"/>
  <c r="AO74" i="779"/>
  <c r="AN74" i="779"/>
  <c r="AM74" i="779"/>
  <c r="AL74" i="779"/>
  <c r="AK74" i="779"/>
  <c r="AJ74" i="779"/>
  <c r="AI74" i="779"/>
  <c r="AH74" i="779"/>
  <c r="AG74" i="779"/>
  <c r="AF74" i="779"/>
  <c r="AE74" i="779"/>
  <c r="AD74" i="779"/>
  <c r="AC74" i="779"/>
  <c r="AB74" i="779"/>
  <c r="I74" i="779"/>
  <c r="L74" i="779"/>
  <c r="B74" i="779"/>
  <c r="K67" i="779"/>
  <c r="L58" i="779" s="1"/>
  <c r="M58" i="779" s="1"/>
  <c r="D65" i="779"/>
  <c r="M50" i="779"/>
  <c r="L50" i="779"/>
  <c r="K50" i="779"/>
  <c r="M49" i="779"/>
  <c r="L49" i="779"/>
  <c r="K49" i="779"/>
  <c r="L48" i="779"/>
  <c r="K48" i="779"/>
  <c r="M46" i="779"/>
  <c r="L46" i="779"/>
  <c r="K46" i="779"/>
  <c r="M45" i="779"/>
  <c r="Z42" i="779"/>
  <c r="Y42" i="779"/>
  <c r="X42" i="779"/>
  <c r="W42" i="779"/>
  <c r="V42" i="779"/>
  <c r="U42" i="779"/>
  <c r="T42" i="779"/>
  <c r="S42" i="779"/>
  <c r="R42" i="779"/>
  <c r="Z41" i="779"/>
  <c r="Y41" i="779"/>
  <c r="X41" i="779"/>
  <c r="W41" i="779"/>
  <c r="V41" i="779"/>
  <c r="U41" i="779"/>
  <c r="T41" i="779"/>
  <c r="S41" i="779"/>
  <c r="R41" i="779"/>
  <c r="Z40" i="779"/>
  <c r="Y40" i="779"/>
  <c r="X40" i="779"/>
  <c r="W40" i="779"/>
  <c r="V40" i="779"/>
  <c r="U40" i="779"/>
  <c r="T40" i="779"/>
  <c r="S40" i="779"/>
  <c r="R40" i="779"/>
  <c r="Z39" i="779"/>
  <c r="Y39" i="779"/>
  <c r="X39" i="779"/>
  <c r="W39" i="779"/>
  <c r="V39" i="779"/>
  <c r="U39" i="779"/>
  <c r="T39" i="779"/>
  <c r="S39" i="779"/>
  <c r="R39" i="779"/>
  <c r="Z38" i="779"/>
  <c r="Y38" i="779"/>
  <c r="X38" i="779"/>
  <c r="W38" i="779"/>
  <c r="V38" i="779"/>
  <c r="U38" i="779"/>
  <c r="T38" i="779"/>
  <c r="S38" i="779"/>
  <c r="R38" i="779"/>
  <c r="Z37" i="779"/>
  <c r="Y37" i="779"/>
  <c r="X37" i="779"/>
  <c r="W37" i="779"/>
  <c r="V37" i="779"/>
  <c r="U37" i="779"/>
  <c r="T37" i="779"/>
  <c r="S37" i="779"/>
  <c r="R37" i="779"/>
  <c r="Z36" i="779"/>
  <c r="Y36" i="779"/>
  <c r="X36" i="779"/>
  <c r="W36" i="779"/>
  <c r="V36" i="779"/>
  <c r="U36" i="779"/>
  <c r="T36" i="779"/>
  <c r="S36" i="779"/>
  <c r="R36" i="779"/>
  <c r="Z35" i="779"/>
  <c r="Y35" i="779"/>
  <c r="X35" i="779"/>
  <c r="W35" i="779"/>
  <c r="V35" i="779"/>
  <c r="U35" i="779"/>
  <c r="T35" i="779"/>
  <c r="S35" i="779"/>
  <c r="R35" i="779"/>
  <c r="Z34" i="779"/>
  <c r="Y34" i="779"/>
  <c r="X34" i="779"/>
  <c r="W34" i="779"/>
  <c r="V34" i="779"/>
  <c r="U34" i="779"/>
  <c r="T34" i="779"/>
  <c r="S34" i="779"/>
  <c r="R34" i="779"/>
  <c r="Z33" i="779"/>
  <c r="Y33" i="779"/>
  <c r="X33" i="779"/>
  <c r="W33" i="779"/>
  <c r="V33" i="779"/>
  <c r="U33" i="779"/>
  <c r="T33" i="779"/>
  <c r="S33" i="779"/>
  <c r="R33" i="779"/>
  <c r="Z32" i="779"/>
  <c r="Y32" i="779"/>
  <c r="X32" i="779"/>
  <c r="W32" i="779"/>
  <c r="V32" i="779"/>
  <c r="U32" i="779"/>
  <c r="T32" i="779"/>
  <c r="S32" i="779"/>
  <c r="R32" i="779"/>
  <c r="Z31" i="779"/>
  <c r="Y31" i="779"/>
  <c r="X31" i="779"/>
  <c r="W31" i="779"/>
  <c r="V31" i="779"/>
  <c r="U31" i="779"/>
  <c r="T31" i="779"/>
  <c r="S31" i="779"/>
  <c r="R31" i="779"/>
  <c r="Z30" i="779"/>
  <c r="Y30" i="779"/>
  <c r="X30" i="779"/>
  <c r="W30" i="779"/>
  <c r="V30" i="779"/>
  <c r="U30" i="779"/>
  <c r="T30" i="779"/>
  <c r="S30" i="779"/>
  <c r="R30" i="779"/>
  <c r="Z29" i="779"/>
  <c r="Y29" i="779"/>
  <c r="X29" i="779"/>
  <c r="W29" i="779"/>
  <c r="V29" i="779"/>
  <c r="U29" i="779"/>
  <c r="T29" i="779"/>
  <c r="S29" i="779"/>
  <c r="R29" i="779"/>
  <c r="Z28" i="779"/>
  <c r="Y28" i="779"/>
  <c r="X28" i="779"/>
  <c r="W28" i="779"/>
  <c r="V28" i="779"/>
  <c r="U28" i="779"/>
  <c r="T28" i="779"/>
  <c r="S28" i="779"/>
  <c r="R28" i="779"/>
  <c r="Z27" i="779"/>
  <c r="Y27" i="779"/>
  <c r="X27" i="779"/>
  <c r="W27" i="779"/>
  <c r="V27" i="779"/>
  <c r="U27" i="779"/>
  <c r="T27" i="779"/>
  <c r="S27" i="779"/>
  <c r="R27" i="779"/>
  <c r="Z26" i="779"/>
  <c r="Y26" i="779"/>
  <c r="X26" i="779"/>
  <c r="W26" i="779"/>
  <c r="V26" i="779"/>
  <c r="U26" i="779"/>
  <c r="T26" i="779"/>
  <c r="S26" i="779"/>
  <c r="R26" i="779"/>
  <c r="Z25" i="779"/>
  <c r="Y25" i="779"/>
  <c r="X25" i="779"/>
  <c r="W25" i="779"/>
  <c r="V25" i="779"/>
  <c r="U25" i="779"/>
  <c r="T25" i="779"/>
  <c r="S25" i="779"/>
  <c r="R25" i="779"/>
  <c r="Z24" i="779"/>
  <c r="Y24" i="779"/>
  <c r="X24" i="779"/>
  <c r="W24" i="779"/>
  <c r="V24" i="779"/>
  <c r="U24" i="779"/>
  <c r="T24" i="779"/>
  <c r="S24" i="779"/>
  <c r="R24" i="779"/>
  <c r="Z19" i="779"/>
  <c r="Y19" i="779"/>
  <c r="X19" i="779"/>
  <c r="W19" i="779"/>
  <c r="V19" i="779"/>
  <c r="U19" i="779"/>
  <c r="T19" i="779"/>
  <c r="S19" i="779"/>
  <c r="R19" i="779"/>
  <c r="Z18" i="779"/>
  <c r="Y18" i="779"/>
  <c r="X18" i="779"/>
  <c r="W18" i="779"/>
  <c r="V18" i="779"/>
  <c r="U18" i="779"/>
  <c r="T18" i="779"/>
  <c r="S18" i="779"/>
  <c r="R18" i="779"/>
  <c r="Z17" i="779"/>
  <c r="Y17" i="779"/>
  <c r="X17" i="779"/>
  <c r="W17" i="779"/>
  <c r="V17" i="779"/>
  <c r="U17" i="779"/>
  <c r="T17" i="779"/>
  <c r="S17" i="779"/>
  <c r="R17" i="779"/>
  <c r="Z16" i="779"/>
  <c r="Y16" i="779"/>
  <c r="X16" i="779"/>
  <c r="W16" i="779"/>
  <c r="V16" i="779"/>
  <c r="U16" i="779"/>
  <c r="T16" i="779"/>
  <c r="S16" i="779"/>
  <c r="R16" i="779"/>
  <c r="Z15" i="779"/>
  <c r="Y15" i="779"/>
  <c r="X15" i="779"/>
  <c r="W15" i="779"/>
  <c r="V15" i="779"/>
  <c r="U15" i="779"/>
  <c r="T15" i="779"/>
  <c r="S15" i="779"/>
  <c r="R15" i="779"/>
  <c r="Z14" i="779"/>
  <c r="Y14" i="779"/>
  <c r="X14" i="779"/>
  <c r="W14" i="779"/>
  <c r="V14" i="779"/>
  <c r="U14" i="779"/>
  <c r="T14" i="779"/>
  <c r="S14" i="779"/>
  <c r="R14" i="779"/>
  <c r="Z13" i="779"/>
  <c r="Y13" i="779"/>
  <c r="X13" i="779"/>
  <c r="W13" i="779"/>
  <c r="V13" i="779"/>
  <c r="U13" i="779"/>
  <c r="T13" i="779"/>
  <c r="S13" i="779"/>
  <c r="R13" i="779"/>
  <c r="Z12" i="779"/>
  <c r="Y12" i="779"/>
  <c r="X12" i="779"/>
  <c r="W12" i="779"/>
  <c r="V12" i="779"/>
  <c r="U12" i="779"/>
  <c r="T12" i="779"/>
  <c r="S12" i="779"/>
  <c r="R12" i="779"/>
  <c r="Z11" i="779"/>
  <c r="Y11" i="779"/>
  <c r="X11" i="779"/>
  <c r="W11" i="779"/>
  <c r="V11" i="779"/>
  <c r="U11" i="779"/>
  <c r="T11" i="779"/>
  <c r="S11" i="779"/>
  <c r="R11" i="779"/>
  <c r="Z10" i="779"/>
  <c r="Y10" i="779"/>
  <c r="X10" i="779"/>
  <c r="W10" i="779"/>
  <c r="V10" i="779"/>
  <c r="U10" i="779"/>
  <c r="T10" i="779"/>
  <c r="S10" i="779"/>
  <c r="R10" i="779"/>
  <c r="C22" i="778"/>
  <c r="D22" i="778"/>
  <c r="E22" i="778"/>
  <c r="F22" i="778"/>
  <c r="G22" i="778"/>
  <c r="I22" i="778"/>
  <c r="J22" i="778"/>
  <c r="L22" i="778"/>
  <c r="M22" i="778"/>
  <c r="N22" i="778"/>
  <c r="O22" i="778"/>
  <c r="G19" i="778"/>
  <c r="G20" i="778"/>
  <c r="K53" i="779" l="1"/>
  <c r="H74" i="779"/>
  <c r="C59" i="778"/>
  <c r="C60" i="778"/>
  <c r="C61" i="778"/>
  <c r="C62" i="778"/>
  <c r="C55" i="778"/>
  <c r="C56" i="778"/>
  <c r="C57" i="778"/>
  <c r="C58" i="778"/>
  <c r="B55" i="778"/>
  <c r="M44" i="778"/>
  <c r="L44" i="778"/>
  <c r="K44" i="778"/>
  <c r="K74" i="778" l="1"/>
  <c r="K79" i="778" s="1"/>
  <c r="B74" i="778"/>
  <c r="D18" i="778" l="1"/>
  <c r="E18" i="778"/>
  <c r="F18" i="778"/>
  <c r="G18" i="778"/>
  <c r="L18" i="778"/>
  <c r="M18" i="778"/>
  <c r="O18" i="778"/>
  <c r="D19" i="778"/>
  <c r="E19" i="778"/>
  <c r="F19" i="778"/>
  <c r="L19" i="778"/>
  <c r="M19" i="778"/>
  <c r="O19" i="778"/>
  <c r="D20" i="778"/>
  <c r="E20" i="778"/>
  <c r="F20" i="778"/>
  <c r="L20" i="778"/>
  <c r="M20" i="778"/>
  <c r="O20" i="778"/>
  <c r="O17" i="778"/>
  <c r="M17" i="778"/>
  <c r="L17" i="778"/>
  <c r="G17" i="778"/>
  <c r="F17" i="778"/>
  <c r="E17" i="778"/>
  <c r="D17" i="778"/>
  <c r="K43" i="778"/>
  <c r="C14" i="778"/>
  <c r="D14" i="778"/>
  <c r="E14" i="778"/>
  <c r="F14" i="778"/>
  <c r="G14" i="778"/>
  <c r="L14" i="778"/>
  <c r="M14" i="778"/>
  <c r="O14" i="778"/>
  <c r="C43" i="778"/>
  <c r="C44" i="778"/>
  <c r="C45" i="778"/>
  <c r="C46" i="778"/>
  <c r="K72" i="778"/>
  <c r="R34" i="777" l="1"/>
  <c r="S34" i="777"/>
  <c r="T34" i="777"/>
  <c r="U34" i="777"/>
  <c r="V34" i="777"/>
  <c r="W34" i="777"/>
  <c r="X34" i="777"/>
  <c r="Y34" i="777"/>
  <c r="Z34" i="777"/>
  <c r="B43" i="778" l="1"/>
  <c r="K80" i="778"/>
  <c r="B72" i="778"/>
  <c r="C11" i="778"/>
  <c r="D11" i="778"/>
  <c r="E11" i="778"/>
  <c r="F11" i="778"/>
  <c r="G11" i="778"/>
  <c r="I11" i="778"/>
  <c r="J11" i="778"/>
  <c r="K11" i="778"/>
  <c r="L11" i="778"/>
  <c r="M11" i="778"/>
  <c r="N11" i="778"/>
  <c r="O11" i="778"/>
  <c r="C12" i="778"/>
  <c r="D12" i="778"/>
  <c r="E12" i="778"/>
  <c r="F12" i="778"/>
  <c r="G12" i="778"/>
  <c r="I12" i="778"/>
  <c r="J12" i="778"/>
  <c r="K12" i="778"/>
  <c r="L12" i="778"/>
  <c r="M12" i="778"/>
  <c r="N12" i="778"/>
  <c r="O12" i="778"/>
  <c r="C13" i="778"/>
  <c r="D13" i="778"/>
  <c r="E13" i="778"/>
  <c r="F13" i="778"/>
  <c r="G13" i="778"/>
  <c r="L13" i="778"/>
  <c r="M13" i="778"/>
  <c r="O13" i="778"/>
  <c r="O10" i="778"/>
  <c r="N10" i="778"/>
  <c r="M10" i="778"/>
  <c r="L10" i="778"/>
  <c r="K10" i="778"/>
  <c r="J10" i="778"/>
  <c r="I10" i="778"/>
  <c r="G10" i="778"/>
  <c r="F10" i="778"/>
  <c r="E10" i="778"/>
  <c r="D10" i="778"/>
  <c r="C10" i="778"/>
  <c r="F84" i="778"/>
  <c r="AX74" i="778"/>
  <c r="AW74" i="778"/>
  <c r="AV74" i="778"/>
  <c r="AU74" i="778"/>
  <c r="AT74" i="778"/>
  <c r="AS74" i="778"/>
  <c r="AR74" i="778"/>
  <c r="AQ74" i="778"/>
  <c r="AP74" i="778"/>
  <c r="AO74" i="778"/>
  <c r="AN74" i="778"/>
  <c r="AM74" i="778"/>
  <c r="AL74" i="778"/>
  <c r="AK74" i="778"/>
  <c r="AJ74" i="778"/>
  <c r="AI74" i="778"/>
  <c r="AH74" i="778"/>
  <c r="AG74" i="778"/>
  <c r="AF74" i="778"/>
  <c r="AE74" i="778"/>
  <c r="AD74" i="778"/>
  <c r="AC74" i="778"/>
  <c r="AB74" i="778"/>
  <c r="K67" i="778"/>
  <c r="L58" i="778" s="1"/>
  <c r="D65" i="778"/>
  <c r="M50" i="778"/>
  <c r="L50" i="778"/>
  <c r="K50" i="778"/>
  <c r="M49" i="778"/>
  <c r="L49" i="778"/>
  <c r="K49" i="778"/>
  <c r="L48" i="778"/>
  <c r="K48" i="778"/>
  <c r="M46" i="778"/>
  <c r="L46" i="778"/>
  <c r="K46" i="778"/>
  <c r="M45" i="778"/>
  <c r="Z42" i="778"/>
  <c r="Y42" i="778"/>
  <c r="X42" i="778"/>
  <c r="W42" i="778"/>
  <c r="V42" i="778"/>
  <c r="U42" i="778"/>
  <c r="T42" i="778"/>
  <c r="S42" i="778"/>
  <c r="R42" i="778"/>
  <c r="Z41" i="778"/>
  <c r="Y41" i="778"/>
  <c r="X41" i="778"/>
  <c r="W41" i="778"/>
  <c r="V41" i="778"/>
  <c r="U41" i="778"/>
  <c r="T41" i="778"/>
  <c r="S41" i="778"/>
  <c r="R41" i="778"/>
  <c r="Z40" i="778"/>
  <c r="Y40" i="778"/>
  <c r="X40" i="778"/>
  <c r="W40" i="778"/>
  <c r="V40" i="778"/>
  <c r="U40" i="778"/>
  <c r="T40" i="778"/>
  <c r="S40" i="778"/>
  <c r="R40" i="778"/>
  <c r="Z39" i="778"/>
  <c r="Y39" i="778"/>
  <c r="X39" i="778"/>
  <c r="W39" i="778"/>
  <c r="V39" i="778"/>
  <c r="U39" i="778"/>
  <c r="T39" i="778"/>
  <c r="S39" i="778"/>
  <c r="R39" i="778"/>
  <c r="Z38" i="778"/>
  <c r="Y38" i="778"/>
  <c r="X38" i="778"/>
  <c r="W38" i="778"/>
  <c r="V38" i="778"/>
  <c r="U38" i="778"/>
  <c r="T38" i="778"/>
  <c r="S38" i="778"/>
  <c r="R38" i="778"/>
  <c r="Z37" i="778"/>
  <c r="Y37" i="778"/>
  <c r="X37" i="778"/>
  <c r="W37" i="778"/>
  <c r="V37" i="778"/>
  <c r="U37" i="778"/>
  <c r="T37" i="778"/>
  <c r="S37" i="778"/>
  <c r="R37" i="778"/>
  <c r="Z36" i="778"/>
  <c r="Y36" i="778"/>
  <c r="X36" i="778"/>
  <c r="W36" i="778"/>
  <c r="V36" i="778"/>
  <c r="U36" i="778"/>
  <c r="T36" i="778"/>
  <c r="S36" i="778"/>
  <c r="R36" i="778"/>
  <c r="Z35" i="778"/>
  <c r="Y35" i="778"/>
  <c r="X35" i="778"/>
  <c r="W35" i="778"/>
  <c r="V35" i="778"/>
  <c r="U35" i="778"/>
  <c r="T35" i="778"/>
  <c r="S35" i="778"/>
  <c r="R35" i="778"/>
  <c r="Z34" i="778"/>
  <c r="Y34" i="778"/>
  <c r="X34" i="778"/>
  <c r="W34" i="778"/>
  <c r="V34" i="778"/>
  <c r="U34" i="778"/>
  <c r="T34" i="778"/>
  <c r="S34" i="778"/>
  <c r="R34" i="778"/>
  <c r="Z33" i="778"/>
  <c r="Y33" i="778"/>
  <c r="X33" i="778"/>
  <c r="W33" i="778"/>
  <c r="V33" i="778"/>
  <c r="U33" i="778"/>
  <c r="T33" i="778"/>
  <c r="S33" i="778"/>
  <c r="R33" i="778"/>
  <c r="Z32" i="778"/>
  <c r="Y32" i="778"/>
  <c r="X32" i="778"/>
  <c r="W32" i="778"/>
  <c r="V32" i="778"/>
  <c r="U32" i="778"/>
  <c r="T32" i="778"/>
  <c r="S32" i="778"/>
  <c r="R32" i="778"/>
  <c r="Z31" i="778"/>
  <c r="Y31" i="778"/>
  <c r="X31" i="778"/>
  <c r="W31" i="778"/>
  <c r="V31" i="778"/>
  <c r="U31" i="778"/>
  <c r="T31" i="778"/>
  <c r="S31" i="778"/>
  <c r="R31" i="778"/>
  <c r="Z30" i="778"/>
  <c r="Y30" i="778"/>
  <c r="X30" i="778"/>
  <c r="W30" i="778"/>
  <c r="V30" i="778"/>
  <c r="U30" i="778"/>
  <c r="T30" i="778"/>
  <c r="S30" i="778"/>
  <c r="R30" i="778"/>
  <c r="Z29" i="778"/>
  <c r="Y29" i="778"/>
  <c r="X29" i="778"/>
  <c r="W29" i="778"/>
  <c r="V29" i="778"/>
  <c r="U29" i="778"/>
  <c r="T29" i="778"/>
  <c r="S29" i="778"/>
  <c r="R29" i="778"/>
  <c r="Z28" i="778"/>
  <c r="Y28" i="778"/>
  <c r="X28" i="778"/>
  <c r="W28" i="778"/>
  <c r="V28" i="778"/>
  <c r="U28" i="778"/>
  <c r="T28" i="778"/>
  <c r="S28" i="778"/>
  <c r="R28" i="778"/>
  <c r="Z27" i="778"/>
  <c r="Y27" i="778"/>
  <c r="X27" i="778"/>
  <c r="W27" i="778"/>
  <c r="V27" i="778"/>
  <c r="U27" i="778"/>
  <c r="T27" i="778"/>
  <c r="S27" i="778"/>
  <c r="R27" i="778"/>
  <c r="Z26" i="778"/>
  <c r="Y26" i="778"/>
  <c r="X26" i="778"/>
  <c r="W26" i="778"/>
  <c r="V26" i="778"/>
  <c r="U26" i="778"/>
  <c r="T26" i="778"/>
  <c r="S26" i="778"/>
  <c r="R26" i="778"/>
  <c r="Z25" i="778"/>
  <c r="Y25" i="778"/>
  <c r="X25" i="778"/>
  <c r="W25" i="778"/>
  <c r="V25" i="778"/>
  <c r="U25" i="778"/>
  <c r="T25" i="778"/>
  <c r="S25" i="778"/>
  <c r="R25" i="778"/>
  <c r="Z24" i="778"/>
  <c r="Y24" i="778"/>
  <c r="X24" i="778"/>
  <c r="W24" i="778"/>
  <c r="V24" i="778"/>
  <c r="U24" i="778"/>
  <c r="T24" i="778"/>
  <c r="S24" i="778"/>
  <c r="R24" i="778"/>
  <c r="Z19" i="778"/>
  <c r="Y19" i="778"/>
  <c r="X19" i="778"/>
  <c r="W19" i="778"/>
  <c r="V19" i="778"/>
  <c r="U19" i="778"/>
  <c r="T19" i="778"/>
  <c r="S19" i="778"/>
  <c r="R19" i="778"/>
  <c r="Z18" i="778"/>
  <c r="Y18" i="778"/>
  <c r="X18" i="778"/>
  <c r="W18" i="778"/>
  <c r="V18" i="778"/>
  <c r="U18" i="778"/>
  <c r="T18" i="778"/>
  <c r="S18" i="778"/>
  <c r="R18" i="778"/>
  <c r="Z17" i="778"/>
  <c r="Y17" i="778"/>
  <c r="X17" i="778"/>
  <c r="W17" i="778"/>
  <c r="V17" i="778"/>
  <c r="U17" i="778"/>
  <c r="T17" i="778"/>
  <c r="S17" i="778"/>
  <c r="R17" i="778"/>
  <c r="Z16" i="778"/>
  <c r="Y16" i="778"/>
  <c r="X16" i="778"/>
  <c r="W16" i="778"/>
  <c r="V16" i="778"/>
  <c r="U16" i="778"/>
  <c r="T16" i="778"/>
  <c r="S16" i="778"/>
  <c r="R16" i="778"/>
  <c r="Z15" i="778"/>
  <c r="Y15" i="778"/>
  <c r="X15" i="778"/>
  <c r="W15" i="778"/>
  <c r="V15" i="778"/>
  <c r="U15" i="778"/>
  <c r="T15" i="778"/>
  <c r="S15" i="778"/>
  <c r="R15" i="778"/>
  <c r="Z14" i="778"/>
  <c r="Y14" i="778"/>
  <c r="X14" i="778"/>
  <c r="W14" i="778"/>
  <c r="V14" i="778"/>
  <c r="U14" i="778"/>
  <c r="T14" i="778"/>
  <c r="S14" i="778"/>
  <c r="R14" i="778"/>
  <c r="Z13" i="778"/>
  <c r="Y13" i="778"/>
  <c r="X13" i="778"/>
  <c r="W13" i="778"/>
  <c r="V13" i="778"/>
  <c r="U13" i="778"/>
  <c r="T13" i="778"/>
  <c r="S13" i="778"/>
  <c r="R13" i="778"/>
  <c r="Z12" i="778"/>
  <c r="Y12" i="778"/>
  <c r="X12" i="778"/>
  <c r="W12" i="778"/>
  <c r="V12" i="778"/>
  <c r="U12" i="778"/>
  <c r="T12" i="778"/>
  <c r="S12" i="778"/>
  <c r="R12" i="778"/>
  <c r="Z11" i="778"/>
  <c r="Y11" i="778"/>
  <c r="X11" i="778"/>
  <c r="W11" i="778"/>
  <c r="V11" i="778"/>
  <c r="U11" i="778"/>
  <c r="T11" i="778"/>
  <c r="S11" i="778"/>
  <c r="R11" i="778"/>
  <c r="Z10" i="778"/>
  <c r="Y10" i="778"/>
  <c r="X10" i="778"/>
  <c r="W10" i="778"/>
  <c r="V10" i="778"/>
  <c r="U10" i="778"/>
  <c r="T10" i="778"/>
  <c r="S10" i="778"/>
  <c r="R10" i="778"/>
  <c r="C59" i="777"/>
  <c r="C60" i="777"/>
  <c r="C61" i="777"/>
  <c r="C62" i="777"/>
  <c r="C57" i="777"/>
  <c r="C58" i="777"/>
  <c r="C55" i="777"/>
  <c r="C56" i="777"/>
  <c r="B55" i="777"/>
  <c r="C47" i="777"/>
  <c r="C43" i="777"/>
  <c r="C44" i="777"/>
  <c r="C45" i="777"/>
  <c r="C46" i="777"/>
  <c r="B43" i="777"/>
  <c r="M43" i="777"/>
  <c r="L43" i="777"/>
  <c r="K43" i="777"/>
  <c r="K53" i="778" l="1"/>
  <c r="K74" i="777"/>
  <c r="K80" i="777" s="1"/>
  <c r="B74" i="777"/>
  <c r="B72" i="777"/>
  <c r="R23" i="777"/>
  <c r="S23" i="777"/>
  <c r="T23" i="777"/>
  <c r="U23" i="777"/>
  <c r="V23" i="777"/>
  <c r="W23" i="777"/>
  <c r="X23" i="777"/>
  <c r="Y23" i="777"/>
  <c r="Z23" i="777"/>
  <c r="R24" i="777"/>
  <c r="S24" i="777"/>
  <c r="T24" i="777"/>
  <c r="U24" i="777"/>
  <c r="V24" i="777"/>
  <c r="W24" i="777"/>
  <c r="X24" i="777"/>
  <c r="Y24" i="777"/>
  <c r="Z24" i="777"/>
  <c r="R26" i="777"/>
  <c r="S26" i="777"/>
  <c r="T26" i="777"/>
  <c r="U26" i="777"/>
  <c r="V26" i="777"/>
  <c r="W26" i="777"/>
  <c r="X26" i="777"/>
  <c r="Y26" i="777"/>
  <c r="Z26" i="777"/>
  <c r="R27" i="777"/>
  <c r="S27" i="777"/>
  <c r="T27" i="777"/>
  <c r="U27" i="777"/>
  <c r="V27" i="777"/>
  <c r="W27" i="777"/>
  <c r="X27" i="777"/>
  <c r="Y27" i="777"/>
  <c r="Z27" i="777"/>
  <c r="R28" i="777"/>
  <c r="S28" i="777"/>
  <c r="T28" i="777"/>
  <c r="U28" i="777"/>
  <c r="V28" i="777"/>
  <c r="W28" i="777"/>
  <c r="X28" i="777"/>
  <c r="Y28" i="777"/>
  <c r="Z28" i="777"/>
  <c r="R29" i="777"/>
  <c r="S29" i="777"/>
  <c r="T29" i="777"/>
  <c r="U29" i="777"/>
  <c r="V29" i="777"/>
  <c r="W29" i="777"/>
  <c r="X29" i="777"/>
  <c r="Y29" i="777"/>
  <c r="Z29" i="777"/>
  <c r="R30" i="777"/>
  <c r="S30" i="777"/>
  <c r="T30" i="777"/>
  <c r="U30" i="777"/>
  <c r="V30" i="777"/>
  <c r="W30" i="777"/>
  <c r="X30" i="777"/>
  <c r="Y30" i="777"/>
  <c r="Z30" i="777"/>
  <c r="R31" i="777"/>
  <c r="S31" i="777"/>
  <c r="T31" i="777"/>
  <c r="U31" i="777"/>
  <c r="V31" i="777"/>
  <c r="W31" i="777"/>
  <c r="X31" i="777"/>
  <c r="Y31" i="777"/>
  <c r="Z31" i="777"/>
  <c r="R32" i="777"/>
  <c r="S32" i="777"/>
  <c r="T32" i="777"/>
  <c r="U32" i="777"/>
  <c r="V32" i="777"/>
  <c r="W32" i="777"/>
  <c r="X32" i="777"/>
  <c r="Y32" i="777"/>
  <c r="Z32" i="777"/>
  <c r="R33" i="777"/>
  <c r="S33" i="777"/>
  <c r="T33" i="777"/>
  <c r="U33" i="777"/>
  <c r="V33" i="777"/>
  <c r="W33" i="777"/>
  <c r="X33" i="777"/>
  <c r="Y33" i="777"/>
  <c r="Z33" i="777"/>
  <c r="R35" i="777"/>
  <c r="S35" i="777"/>
  <c r="T35" i="777"/>
  <c r="U35" i="777"/>
  <c r="V35" i="777"/>
  <c r="W35" i="777"/>
  <c r="X35" i="777"/>
  <c r="Y35" i="777"/>
  <c r="Z35" i="777"/>
  <c r="R36" i="777"/>
  <c r="S36" i="777"/>
  <c r="T36" i="777"/>
  <c r="U36" i="777"/>
  <c r="V36" i="777"/>
  <c r="W36" i="777"/>
  <c r="X36" i="777"/>
  <c r="Y36" i="777"/>
  <c r="Z36" i="777"/>
  <c r="R37" i="777"/>
  <c r="S37" i="777"/>
  <c r="T37" i="777"/>
  <c r="U37" i="777"/>
  <c r="V37" i="777"/>
  <c r="W37" i="777"/>
  <c r="X37" i="777"/>
  <c r="Y37" i="777"/>
  <c r="Z37" i="777"/>
  <c r="R38" i="777"/>
  <c r="S38" i="777"/>
  <c r="T38" i="777"/>
  <c r="U38" i="777"/>
  <c r="V38" i="777"/>
  <c r="W38" i="777"/>
  <c r="X38" i="777"/>
  <c r="Y38" i="777"/>
  <c r="Z38" i="777"/>
  <c r="R39" i="777"/>
  <c r="S39" i="777"/>
  <c r="T39" i="777"/>
  <c r="U39" i="777"/>
  <c r="V39" i="777"/>
  <c r="W39" i="777"/>
  <c r="X39" i="777"/>
  <c r="Y39" i="777"/>
  <c r="Z39" i="777"/>
  <c r="R40" i="777"/>
  <c r="S40" i="777"/>
  <c r="T40" i="777"/>
  <c r="U40" i="777"/>
  <c r="V40" i="777"/>
  <c r="W40" i="777"/>
  <c r="X40" i="777"/>
  <c r="Y40" i="777"/>
  <c r="Z40" i="777"/>
  <c r="R41" i="777"/>
  <c r="S41" i="777"/>
  <c r="T41" i="777"/>
  <c r="U41" i="777"/>
  <c r="V41" i="777"/>
  <c r="W41" i="777"/>
  <c r="X41" i="777"/>
  <c r="Y41" i="777"/>
  <c r="Z41" i="777"/>
  <c r="C27" i="777"/>
  <c r="D27" i="777"/>
  <c r="E27" i="777"/>
  <c r="F27" i="777"/>
  <c r="G27" i="777"/>
  <c r="L27" i="777"/>
  <c r="M27" i="777"/>
  <c r="O27" i="777"/>
  <c r="C28" i="777"/>
  <c r="D28" i="777"/>
  <c r="E28" i="777"/>
  <c r="F28" i="777"/>
  <c r="G28" i="777"/>
  <c r="L28" i="777"/>
  <c r="M28" i="777"/>
  <c r="O28" i="777"/>
  <c r="C29" i="777"/>
  <c r="D29" i="777"/>
  <c r="E29" i="777"/>
  <c r="F29" i="777"/>
  <c r="G29" i="777"/>
  <c r="L29" i="777"/>
  <c r="M29" i="777"/>
  <c r="O29" i="777"/>
  <c r="C30" i="777"/>
  <c r="D30" i="777"/>
  <c r="E30" i="777"/>
  <c r="F30" i="777"/>
  <c r="G30" i="777"/>
  <c r="L30" i="777"/>
  <c r="M30" i="777"/>
  <c r="O30" i="777"/>
  <c r="D31" i="777"/>
  <c r="E31" i="777"/>
  <c r="F31" i="777"/>
  <c r="G31" i="777"/>
  <c r="L31" i="777"/>
  <c r="M31" i="777"/>
  <c r="O31" i="777"/>
  <c r="D32" i="777"/>
  <c r="E32" i="777"/>
  <c r="F32" i="777"/>
  <c r="G32" i="777"/>
  <c r="L32" i="777"/>
  <c r="M32" i="777"/>
  <c r="O32" i="777"/>
  <c r="D33" i="777"/>
  <c r="E33" i="777"/>
  <c r="F33" i="777"/>
  <c r="G33" i="777"/>
  <c r="L33" i="777"/>
  <c r="M33" i="777"/>
  <c r="O33" i="777"/>
  <c r="D35" i="777"/>
  <c r="E35" i="777"/>
  <c r="F35" i="777"/>
  <c r="G35" i="777"/>
  <c r="L35" i="777"/>
  <c r="M35" i="777"/>
  <c r="O35" i="777"/>
  <c r="K27" i="777" l="1"/>
  <c r="K28" i="777"/>
  <c r="K29" i="777"/>
  <c r="K30" i="777"/>
  <c r="C31" i="777"/>
  <c r="K31" i="777"/>
  <c r="C32" i="777"/>
  <c r="I32" i="777"/>
  <c r="K32" i="777"/>
  <c r="C33" i="777"/>
  <c r="K33" i="777"/>
  <c r="C35" i="777"/>
  <c r="K35" i="777"/>
  <c r="N27" i="777"/>
  <c r="N28" i="777"/>
  <c r="N29" i="777"/>
  <c r="N30" i="777"/>
  <c r="N31" i="777"/>
  <c r="N32" i="777"/>
  <c r="N33" i="777"/>
  <c r="N35" i="777"/>
  <c r="J32" i="777" l="1"/>
  <c r="J31" i="777"/>
  <c r="J33" i="777"/>
  <c r="I35" i="777"/>
  <c r="J35" i="777"/>
  <c r="I31" i="777"/>
  <c r="I33" i="777"/>
  <c r="J30" i="777" l="1"/>
  <c r="J29" i="777"/>
  <c r="J28" i="777"/>
  <c r="J27" i="777"/>
  <c r="I30" i="777" l="1"/>
  <c r="I29" i="777"/>
  <c r="I28" i="777"/>
  <c r="I27" i="777"/>
  <c r="J43" i="777" s="1"/>
  <c r="F84" i="777" l="1"/>
  <c r="AX74" i="777"/>
  <c r="AW74" i="777"/>
  <c r="AV74" i="777"/>
  <c r="AU74" i="777"/>
  <c r="AT74" i="777"/>
  <c r="AS74" i="777"/>
  <c r="AR74" i="777"/>
  <c r="AQ74" i="777"/>
  <c r="AP74" i="777"/>
  <c r="AO74" i="777"/>
  <c r="AN74" i="777"/>
  <c r="AM74" i="777"/>
  <c r="AL74" i="777"/>
  <c r="AK74" i="777"/>
  <c r="AJ74" i="777"/>
  <c r="AI74" i="777"/>
  <c r="AH74" i="777"/>
  <c r="AG74" i="777"/>
  <c r="AF74" i="777"/>
  <c r="AE74" i="777"/>
  <c r="AD74" i="777"/>
  <c r="AC74" i="777"/>
  <c r="AB74" i="777"/>
  <c r="K67" i="777"/>
  <c r="D65" i="777"/>
  <c r="M50" i="777"/>
  <c r="L50" i="777"/>
  <c r="K50" i="777"/>
  <c r="M49" i="777"/>
  <c r="L49" i="777"/>
  <c r="K49" i="777"/>
  <c r="L48" i="777"/>
  <c r="K48" i="777"/>
  <c r="M46" i="777"/>
  <c r="L46" i="777"/>
  <c r="K46" i="777"/>
  <c r="M45" i="777"/>
  <c r="K44" i="777"/>
  <c r="Z42" i="777"/>
  <c r="Y42" i="777"/>
  <c r="X42" i="777"/>
  <c r="W42" i="777"/>
  <c r="V42" i="777"/>
  <c r="U42" i="777"/>
  <c r="T42" i="777"/>
  <c r="S42" i="777"/>
  <c r="R42" i="777"/>
  <c r="Z25" i="777"/>
  <c r="Y25" i="777"/>
  <c r="X25" i="777"/>
  <c r="W25" i="777"/>
  <c r="V25" i="777"/>
  <c r="U25" i="777"/>
  <c r="T25" i="777"/>
  <c r="S25" i="777"/>
  <c r="R25" i="777"/>
  <c r="Z19" i="777"/>
  <c r="Y19" i="777"/>
  <c r="X19" i="777"/>
  <c r="W19" i="777"/>
  <c r="V19" i="777"/>
  <c r="U19" i="777"/>
  <c r="T19" i="777"/>
  <c r="S19" i="777"/>
  <c r="R19" i="777"/>
  <c r="Z18" i="777"/>
  <c r="Y18" i="777"/>
  <c r="X18" i="777"/>
  <c r="W18" i="777"/>
  <c r="V18" i="777"/>
  <c r="U18" i="777"/>
  <c r="T18" i="777"/>
  <c r="S18" i="777"/>
  <c r="R18" i="777"/>
  <c r="Z17" i="777"/>
  <c r="Y17" i="777"/>
  <c r="X17" i="777"/>
  <c r="W17" i="777"/>
  <c r="V17" i="777"/>
  <c r="U17" i="777"/>
  <c r="T17" i="777"/>
  <c r="S17" i="777"/>
  <c r="R17" i="777"/>
  <c r="Z16" i="777"/>
  <c r="Y16" i="777"/>
  <c r="X16" i="777"/>
  <c r="W16" i="777"/>
  <c r="V16" i="777"/>
  <c r="U16" i="777"/>
  <c r="T16" i="777"/>
  <c r="S16" i="777"/>
  <c r="R16" i="777"/>
  <c r="Z15" i="777"/>
  <c r="Y15" i="777"/>
  <c r="X15" i="777"/>
  <c r="W15" i="777"/>
  <c r="V15" i="777"/>
  <c r="U15" i="777"/>
  <c r="T15" i="777"/>
  <c r="S15" i="777"/>
  <c r="R15" i="777"/>
  <c r="Z14" i="777"/>
  <c r="Y14" i="777"/>
  <c r="X14" i="777"/>
  <c r="W14" i="777"/>
  <c r="V14" i="777"/>
  <c r="U14" i="777"/>
  <c r="T14" i="777"/>
  <c r="S14" i="777"/>
  <c r="R14" i="777"/>
  <c r="Z13" i="777"/>
  <c r="Y13" i="777"/>
  <c r="X13" i="777"/>
  <c r="W13" i="777"/>
  <c r="V13" i="777"/>
  <c r="U13" i="777"/>
  <c r="T13" i="777"/>
  <c r="S13" i="777"/>
  <c r="R13" i="777"/>
  <c r="Z12" i="777"/>
  <c r="Y12" i="777"/>
  <c r="X12" i="777"/>
  <c r="W12" i="777"/>
  <c r="V12" i="777"/>
  <c r="U12" i="777"/>
  <c r="T12" i="777"/>
  <c r="S12" i="777"/>
  <c r="R12" i="777"/>
  <c r="Z11" i="777"/>
  <c r="Y11" i="777"/>
  <c r="X11" i="777"/>
  <c r="W11" i="777"/>
  <c r="V11" i="777"/>
  <c r="U11" i="777"/>
  <c r="T11" i="777"/>
  <c r="S11" i="777"/>
  <c r="R11" i="777"/>
  <c r="Z10" i="777"/>
  <c r="Y10" i="777"/>
  <c r="X10" i="777"/>
  <c r="W10" i="777"/>
  <c r="V10" i="777"/>
  <c r="U10" i="777"/>
  <c r="T10" i="777"/>
  <c r="S10" i="777"/>
  <c r="R10" i="777"/>
  <c r="L58" i="777" l="1"/>
  <c r="M58" i="777" s="1"/>
  <c r="M58" i="778"/>
  <c r="K53" i="777"/>
  <c r="K36" i="776"/>
  <c r="C26" i="776"/>
  <c r="D26" i="776"/>
  <c r="E26" i="776"/>
  <c r="F26" i="776"/>
  <c r="G26" i="776"/>
  <c r="L26" i="776"/>
  <c r="M26" i="776"/>
  <c r="O26" i="776"/>
  <c r="C23" i="776"/>
  <c r="D23" i="776"/>
  <c r="E23" i="776"/>
  <c r="F23" i="776"/>
  <c r="G23" i="776"/>
  <c r="L23" i="776"/>
  <c r="M23" i="776"/>
  <c r="O23" i="776"/>
  <c r="C24" i="776"/>
  <c r="D24" i="776"/>
  <c r="E24" i="776"/>
  <c r="F24" i="776"/>
  <c r="G24" i="776"/>
  <c r="L24" i="776"/>
  <c r="M24" i="776"/>
  <c r="O24" i="776"/>
  <c r="C25" i="776"/>
  <c r="D25" i="776"/>
  <c r="E25" i="776"/>
  <c r="F25" i="776"/>
  <c r="G25" i="776"/>
  <c r="K25" i="776"/>
  <c r="L25" i="776"/>
  <c r="M25" i="776"/>
  <c r="O25" i="776"/>
  <c r="K26" i="776"/>
  <c r="N26" i="776"/>
  <c r="J64" i="19"/>
  <c r="J63" i="19"/>
  <c r="J62" i="19"/>
  <c r="J61" i="19"/>
  <c r="J60" i="19"/>
  <c r="J59" i="19"/>
  <c r="J58" i="19"/>
  <c r="E65" i="776"/>
  <c r="C52" i="776"/>
  <c r="C53" i="776"/>
  <c r="C54" i="776"/>
  <c r="C55" i="776"/>
  <c r="C48" i="776"/>
  <c r="C49" i="776"/>
  <c r="C50" i="776"/>
  <c r="C51" i="776"/>
  <c r="C36" i="776"/>
  <c r="C37" i="776"/>
  <c r="C38" i="776"/>
  <c r="C39" i="776"/>
  <c r="B48" i="776"/>
  <c r="B36" i="776"/>
  <c r="K65" i="776" l="1"/>
  <c r="K74" i="776" s="1"/>
  <c r="B67" i="776" l="1"/>
  <c r="B65" i="776"/>
  <c r="F77" i="776"/>
  <c r="AX67" i="776"/>
  <c r="AW67" i="776"/>
  <c r="AV67" i="776"/>
  <c r="AU67" i="776"/>
  <c r="AT67" i="776"/>
  <c r="AS67" i="776"/>
  <c r="AR67" i="776"/>
  <c r="AQ67" i="776"/>
  <c r="AP67" i="776"/>
  <c r="AO67" i="776"/>
  <c r="AN67" i="776"/>
  <c r="AM67" i="776"/>
  <c r="AL67" i="776"/>
  <c r="AK67" i="776"/>
  <c r="AJ67" i="776"/>
  <c r="AI67" i="776"/>
  <c r="AH67" i="776"/>
  <c r="AG67" i="776"/>
  <c r="AF67" i="776"/>
  <c r="AE67" i="776"/>
  <c r="AD67" i="776"/>
  <c r="AC67" i="776"/>
  <c r="AB67" i="776"/>
  <c r="K60" i="776"/>
  <c r="D58" i="776"/>
  <c r="L51" i="776"/>
  <c r="M51" i="776" s="1"/>
  <c r="M43" i="776"/>
  <c r="L43" i="776"/>
  <c r="K43" i="776"/>
  <c r="M42" i="776"/>
  <c r="L42" i="776"/>
  <c r="K42" i="776"/>
  <c r="L41" i="776"/>
  <c r="K41" i="776"/>
  <c r="M39" i="776"/>
  <c r="L39" i="776"/>
  <c r="K39" i="776"/>
  <c r="M38" i="776"/>
  <c r="K37" i="776"/>
  <c r="Z35" i="776"/>
  <c r="Y35" i="776"/>
  <c r="X35" i="776"/>
  <c r="W35" i="776"/>
  <c r="V35" i="776"/>
  <c r="U35" i="776"/>
  <c r="T35" i="776"/>
  <c r="S35" i="776"/>
  <c r="R35" i="776"/>
  <c r="Z34" i="776"/>
  <c r="Y34" i="776"/>
  <c r="X34" i="776"/>
  <c r="W34" i="776"/>
  <c r="V34" i="776"/>
  <c r="U34" i="776"/>
  <c r="T34" i="776"/>
  <c r="S34" i="776"/>
  <c r="R34" i="776"/>
  <c r="Z33" i="776"/>
  <c r="Y33" i="776"/>
  <c r="X33" i="776"/>
  <c r="W33" i="776"/>
  <c r="V33" i="776"/>
  <c r="U33" i="776"/>
  <c r="T33" i="776"/>
  <c r="S33" i="776"/>
  <c r="R33" i="776"/>
  <c r="Z32" i="776"/>
  <c r="Y32" i="776"/>
  <c r="X32" i="776"/>
  <c r="W32" i="776"/>
  <c r="V32" i="776"/>
  <c r="U32" i="776"/>
  <c r="T32" i="776"/>
  <c r="S32" i="776"/>
  <c r="R32" i="776"/>
  <c r="Z31" i="776"/>
  <c r="Y31" i="776"/>
  <c r="X31" i="776"/>
  <c r="W31" i="776"/>
  <c r="V31" i="776"/>
  <c r="U31" i="776"/>
  <c r="T31" i="776"/>
  <c r="S31" i="776"/>
  <c r="R31" i="776"/>
  <c r="Z30" i="776"/>
  <c r="Y30" i="776"/>
  <c r="X30" i="776"/>
  <c r="W30" i="776"/>
  <c r="V30" i="776"/>
  <c r="U30" i="776"/>
  <c r="T30" i="776"/>
  <c r="S30" i="776"/>
  <c r="R30" i="776"/>
  <c r="Z29" i="776"/>
  <c r="Y29" i="776"/>
  <c r="X29" i="776"/>
  <c r="W29" i="776"/>
  <c r="V29" i="776"/>
  <c r="U29" i="776"/>
  <c r="T29" i="776"/>
  <c r="S29" i="776"/>
  <c r="R29" i="776"/>
  <c r="Z28" i="776"/>
  <c r="Y28" i="776"/>
  <c r="X28" i="776"/>
  <c r="W28" i="776"/>
  <c r="V28" i="776"/>
  <c r="U28" i="776"/>
  <c r="T28" i="776"/>
  <c r="S28" i="776"/>
  <c r="R28" i="776"/>
  <c r="Z27" i="776"/>
  <c r="Y27" i="776"/>
  <c r="X27" i="776"/>
  <c r="W27" i="776"/>
  <c r="V27" i="776"/>
  <c r="U27" i="776"/>
  <c r="T27" i="776"/>
  <c r="S27" i="776"/>
  <c r="R27" i="776"/>
  <c r="Z26" i="776"/>
  <c r="Y26" i="776"/>
  <c r="X26" i="776"/>
  <c r="W26" i="776"/>
  <c r="V26" i="776"/>
  <c r="U26" i="776"/>
  <c r="T26" i="776"/>
  <c r="S26" i="776"/>
  <c r="R26" i="776"/>
  <c r="Z25" i="776"/>
  <c r="Y25" i="776"/>
  <c r="X25" i="776"/>
  <c r="W25" i="776"/>
  <c r="V25" i="776"/>
  <c r="U25" i="776"/>
  <c r="T25" i="776"/>
  <c r="S25" i="776"/>
  <c r="R25" i="776"/>
  <c r="Z19" i="776"/>
  <c r="Y19" i="776"/>
  <c r="X19" i="776"/>
  <c r="W19" i="776"/>
  <c r="V19" i="776"/>
  <c r="U19" i="776"/>
  <c r="T19" i="776"/>
  <c r="S19" i="776"/>
  <c r="R19" i="776"/>
  <c r="Z18" i="776"/>
  <c r="Y18" i="776"/>
  <c r="X18" i="776"/>
  <c r="W18" i="776"/>
  <c r="V18" i="776"/>
  <c r="U18" i="776"/>
  <c r="T18" i="776"/>
  <c r="S18" i="776"/>
  <c r="R18" i="776"/>
  <c r="Z17" i="776"/>
  <c r="Y17" i="776"/>
  <c r="X17" i="776"/>
  <c r="W17" i="776"/>
  <c r="V17" i="776"/>
  <c r="U17" i="776"/>
  <c r="T17" i="776"/>
  <c r="S17" i="776"/>
  <c r="R17" i="776"/>
  <c r="Z16" i="776"/>
  <c r="Y16" i="776"/>
  <c r="X16" i="776"/>
  <c r="W16" i="776"/>
  <c r="V16" i="776"/>
  <c r="U16" i="776"/>
  <c r="T16" i="776"/>
  <c r="S16" i="776"/>
  <c r="R16" i="776"/>
  <c r="Z15" i="776"/>
  <c r="Y15" i="776"/>
  <c r="X15" i="776"/>
  <c r="W15" i="776"/>
  <c r="V15" i="776"/>
  <c r="U15" i="776"/>
  <c r="T15" i="776"/>
  <c r="S15" i="776"/>
  <c r="R15" i="776"/>
  <c r="Z14" i="776"/>
  <c r="Y14" i="776"/>
  <c r="X14" i="776"/>
  <c r="W14" i="776"/>
  <c r="V14" i="776"/>
  <c r="U14" i="776"/>
  <c r="T14" i="776"/>
  <c r="S14" i="776"/>
  <c r="R14" i="776"/>
  <c r="Z13" i="776"/>
  <c r="Y13" i="776"/>
  <c r="X13" i="776"/>
  <c r="W13" i="776"/>
  <c r="V13" i="776"/>
  <c r="U13" i="776"/>
  <c r="T13" i="776"/>
  <c r="S13" i="776"/>
  <c r="R13" i="776"/>
  <c r="Z12" i="776"/>
  <c r="Y12" i="776"/>
  <c r="X12" i="776"/>
  <c r="W12" i="776"/>
  <c r="V12" i="776"/>
  <c r="U12" i="776"/>
  <c r="T12" i="776"/>
  <c r="S12" i="776"/>
  <c r="R12" i="776"/>
  <c r="Z11" i="776"/>
  <c r="Y11" i="776"/>
  <c r="X11" i="776"/>
  <c r="W11" i="776"/>
  <c r="V11" i="776"/>
  <c r="U11" i="776"/>
  <c r="T11" i="776"/>
  <c r="S11" i="776"/>
  <c r="R11" i="776"/>
  <c r="Z10" i="776"/>
  <c r="Y10" i="776"/>
  <c r="X10" i="776"/>
  <c r="W10" i="776"/>
  <c r="V10" i="776"/>
  <c r="U10" i="776"/>
  <c r="T10" i="776"/>
  <c r="S10" i="776"/>
  <c r="R10" i="776"/>
  <c r="K74" i="775"/>
  <c r="K65" i="775"/>
  <c r="K78" i="775" s="1"/>
  <c r="E67" i="775"/>
  <c r="C48" i="775"/>
  <c r="C49" i="775"/>
  <c r="C50" i="775"/>
  <c r="C51" i="775"/>
  <c r="C36" i="775"/>
  <c r="C37" i="775"/>
  <c r="C38" i="775"/>
  <c r="C39" i="775"/>
  <c r="B48" i="775"/>
  <c r="K67" i="775"/>
  <c r="K46" i="776" l="1"/>
  <c r="B67" i="775"/>
  <c r="B65" i="775"/>
  <c r="L51" i="775"/>
  <c r="B36" i="775"/>
  <c r="F77" i="775"/>
  <c r="AX67" i="775"/>
  <c r="AW67" i="775"/>
  <c r="AV67" i="775"/>
  <c r="AU67" i="775"/>
  <c r="AT67" i="775"/>
  <c r="AS67" i="775"/>
  <c r="AR67" i="775"/>
  <c r="AQ67" i="775"/>
  <c r="AP67" i="775"/>
  <c r="AO67" i="775"/>
  <c r="AN67" i="775"/>
  <c r="AM67" i="775"/>
  <c r="AL67" i="775"/>
  <c r="AK67" i="775"/>
  <c r="AJ67" i="775"/>
  <c r="AI67" i="775"/>
  <c r="AH67" i="775"/>
  <c r="AG67" i="775"/>
  <c r="AF67" i="775"/>
  <c r="AE67" i="775"/>
  <c r="AD67" i="775"/>
  <c r="AC67" i="775"/>
  <c r="AB67" i="775"/>
  <c r="K60" i="775"/>
  <c r="D58" i="775"/>
  <c r="M51" i="775"/>
  <c r="M43" i="775"/>
  <c r="L43" i="775"/>
  <c r="K43" i="775"/>
  <c r="M42" i="775"/>
  <c r="L42" i="775"/>
  <c r="K42" i="775"/>
  <c r="L41" i="775"/>
  <c r="K41" i="775"/>
  <c r="M39" i="775"/>
  <c r="L39" i="775"/>
  <c r="K39" i="775"/>
  <c r="K37" i="775"/>
  <c r="M36" i="775"/>
  <c r="L36" i="775"/>
  <c r="K36" i="775"/>
  <c r="Z35" i="775"/>
  <c r="Y35" i="775"/>
  <c r="X35" i="775"/>
  <c r="W35" i="775"/>
  <c r="V35" i="775"/>
  <c r="U35" i="775"/>
  <c r="T35" i="775"/>
  <c r="S35" i="775"/>
  <c r="R35" i="775"/>
  <c r="Z34" i="775"/>
  <c r="Y34" i="775"/>
  <c r="X34" i="775"/>
  <c r="W34" i="775"/>
  <c r="V34" i="775"/>
  <c r="U34" i="775"/>
  <c r="T34" i="775"/>
  <c r="S34" i="775"/>
  <c r="R34" i="775"/>
  <c r="Z33" i="775"/>
  <c r="Y33" i="775"/>
  <c r="X33" i="775"/>
  <c r="W33" i="775"/>
  <c r="V33" i="775"/>
  <c r="U33" i="775"/>
  <c r="T33" i="775"/>
  <c r="S33" i="775"/>
  <c r="R33" i="775"/>
  <c r="Z32" i="775"/>
  <c r="Y32" i="775"/>
  <c r="X32" i="775"/>
  <c r="W32" i="775"/>
  <c r="V32" i="775"/>
  <c r="U32" i="775"/>
  <c r="T32" i="775"/>
  <c r="S32" i="775"/>
  <c r="R32" i="775"/>
  <c r="Z31" i="775"/>
  <c r="Y31" i="775"/>
  <c r="X31" i="775"/>
  <c r="W31" i="775"/>
  <c r="V31" i="775"/>
  <c r="U31" i="775"/>
  <c r="T31" i="775"/>
  <c r="S31" i="775"/>
  <c r="R31" i="775"/>
  <c r="Z30" i="775"/>
  <c r="Y30" i="775"/>
  <c r="X30" i="775"/>
  <c r="W30" i="775"/>
  <c r="V30" i="775"/>
  <c r="U30" i="775"/>
  <c r="T30" i="775"/>
  <c r="S30" i="775"/>
  <c r="R30" i="775"/>
  <c r="Z29" i="775"/>
  <c r="Y29" i="775"/>
  <c r="X29" i="775"/>
  <c r="W29" i="775"/>
  <c r="V29" i="775"/>
  <c r="U29" i="775"/>
  <c r="T29" i="775"/>
  <c r="S29" i="775"/>
  <c r="R29" i="775"/>
  <c r="Z28" i="775"/>
  <c r="Y28" i="775"/>
  <c r="X28" i="775"/>
  <c r="W28" i="775"/>
  <c r="V28" i="775"/>
  <c r="U28" i="775"/>
  <c r="T28" i="775"/>
  <c r="S28" i="775"/>
  <c r="R28" i="775"/>
  <c r="Z27" i="775"/>
  <c r="Y27" i="775"/>
  <c r="X27" i="775"/>
  <c r="W27" i="775"/>
  <c r="V27" i="775"/>
  <c r="U27" i="775"/>
  <c r="T27" i="775"/>
  <c r="S27" i="775"/>
  <c r="R27" i="775"/>
  <c r="Z26" i="775"/>
  <c r="Y26" i="775"/>
  <c r="X26" i="775"/>
  <c r="W26" i="775"/>
  <c r="V26" i="775"/>
  <c r="U26" i="775"/>
  <c r="T26" i="775"/>
  <c r="S26" i="775"/>
  <c r="R26" i="775"/>
  <c r="Z25" i="775"/>
  <c r="Y25" i="775"/>
  <c r="X25" i="775"/>
  <c r="W25" i="775"/>
  <c r="V25" i="775"/>
  <c r="U25" i="775"/>
  <c r="T25" i="775"/>
  <c r="S25" i="775"/>
  <c r="R25" i="775"/>
  <c r="Z19" i="775"/>
  <c r="Y19" i="775"/>
  <c r="X19" i="775"/>
  <c r="W19" i="775"/>
  <c r="V19" i="775"/>
  <c r="U19" i="775"/>
  <c r="T19" i="775"/>
  <c r="S19" i="775"/>
  <c r="R19" i="775"/>
  <c r="Z18" i="775"/>
  <c r="Y18" i="775"/>
  <c r="X18" i="775"/>
  <c r="W18" i="775"/>
  <c r="V18" i="775"/>
  <c r="U18" i="775"/>
  <c r="T18" i="775"/>
  <c r="S18" i="775"/>
  <c r="R18" i="775"/>
  <c r="Z17" i="775"/>
  <c r="Y17" i="775"/>
  <c r="X17" i="775"/>
  <c r="W17" i="775"/>
  <c r="V17" i="775"/>
  <c r="U17" i="775"/>
  <c r="T17" i="775"/>
  <c r="S17" i="775"/>
  <c r="R17" i="775"/>
  <c r="Z16" i="775"/>
  <c r="Y16" i="775"/>
  <c r="X16" i="775"/>
  <c r="W16" i="775"/>
  <c r="V16" i="775"/>
  <c r="U16" i="775"/>
  <c r="T16" i="775"/>
  <c r="S16" i="775"/>
  <c r="R16" i="775"/>
  <c r="Z15" i="775"/>
  <c r="Y15" i="775"/>
  <c r="X15" i="775"/>
  <c r="W15" i="775"/>
  <c r="V15" i="775"/>
  <c r="U15" i="775"/>
  <c r="T15" i="775"/>
  <c r="S15" i="775"/>
  <c r="R15" i="775"/>
  <c r="Z14" i="775"/>
  <c r="Y14" i="775"/>
  <c r="X14" i="775"/>
  <c r="W14" i="775"/>
  <c r="V14" i="775"/>
  <c r="U14" i="775"/>
  <c r="T14" i="775"/>
  <c r="S14" i="775"/>
  <c r="R14" i="775"/>
  <c r="Z13" i="775"/>
  <c r="Y13" i="775"/>
  <c r="X13" i="775"/>
  <c r="W13" i="775"/>
  <c r="V13" i="775"/>
  <c r="U13" i="775"/>
  <c r="T13" i="775"/>
  <c r="S13" i="775"/>
  <c r="R13" i="775"/>
  <c r="Z12" i="775"/>
  <c r="Y12" i="775"/>
  <c r="X12" i="775"/>
  <c r="W12" i="775"/>
  <c r="V12" i="775"/>
  <c r="U12" i="775"/>
  <c r="T12" i="775"/>
  <c r="S12" i="775"/>
  <c r="R12" i="775"/>
  <c r="Z11" i="775"/>
  <c r="Y11" i="775"/>
  <c r="X11" i="775"/>
  <c r="W11" i="775"/>
  <c r="V11" i="775"/>
  <c r="U11" i="775"/>
  <c r="T11" i="775"/>
  <c r="S11" i="775"/>
  <c r="R11" i="775"/>
  <c r="Z10" i="775"/>
  <c r="Y10" i="775"/>
  <c r="X10" i="775"/>
  <c r="W10" i="775"/>
  <c r="V10" i="775"/>
  <c r="U10" i="775"/>
  <c r="T10" i="775"/>
  <c r="S10" i="775"/>
  <c r="R10" i="775"/>
  <c r="M36" i="774"/>
  <c r="L36" i="774"/>
  <c r="I19" i="774"/>
  <c r="J19" i="774"/>
  <c r="K19" i="774"/>
  <c r="L19" i="774"/>
  <c r="M19" i="774"/>
  <c r="N19" i="774"/>
  <c r="O19" i="774"/>
  <c r="I20" i="774"/>
  <c r="J20" i="774"/>
  <c r="K20" i="774"/>
  <c r="L20" i="774"/>
  <c r="M20" i="774"/>
  <c r="N20" i="774"/>
  <c r="O20" i="774"/>
  <c r="I21" i="774"/>
  <c r="J21" i="774"/>
  <c r="K21" i="774"/>
  <c r="L21" i="774"/>
  <c r="M21" i="774"/>
  <c r="N21" i="774"/>
  <c r="O21" i="774"/>
  <c r="I22" i="774"/>
  <c r="J22" i="774"/>
  <c r="K22" i="774"/>
  <c r="L22" i="774"/>
  <c r="M22" i="774"/>
  <c r="N22" i="774"/>
  <c r="O22" i="774"/>
  <c r="D19" i="774"/>
  <c r="E19" i="774"/>
  <c r="F19" i="774"/>
  <c r="C20" i="774"/>
  <c r="D20" i="774"/>
  <c r="E20" i="774"/>
  <c r="F20" i="774"/>
  <c r="G20" i="774"/>
  <c r="C21" i="774"/>
  <c r="D21" i="774"/>
  <c r="E21" i="774"/>
  <c r="F21" i="774"/>
  <c r="G21" i="774"/>
  <c r="C22" i="774"/>
  <c r="D22" i="774"/>
  <c r="E22" i="774"/>
  <c r="F22" i="774"/>
  <c r="G22" i="774"/>
  <c r="C36" i="774"/>
  <c r="C37" i="774"/>
  <c r="C38" i="774"/>
  <c r="C39" i="774"/>
  <c r="C40" i="774"/>
  <c r="C41" i="774"/>
  <c r="B36" i="774"/>
  <c r="E65" i="774"/>
  <c r="J36" i="774" l="1"/>
  <c r="K46" i="775"/>
  <c r="L51" i="774"/>
  <c r="K36" i="774"/>
  <c r="C19" i="774"/>
  <c r="G19" i="774"/>
  <c r="B65" i="774"/>
  <c r="M51" i="774"/>
  <c r="F77" i="774"/>
  <c r="AX67" i="774"/>
  <c r="AW67" i="774"/>
  <c r="AV67" i="774"/>
  <c r="AU67" i="774"/>
  <c r="AT67" i="774"/>
  <c r="AS67" i="774"/>
  <c r="AR67" i="774"/>
  <c r="AQ67" i="774"/>
  <c r="AP67" i="774"/>
  <c r="AO67" i="774"/>
  <c r="AN67" i="774"/>
  <c r="AM67" i="774"/>
  <c r="AL67" i="774"/>
  <c r="AK67" i="774"/>
  <c r="AJ67" i="774"/>
  <c r="AI67" i="774"/>
  <c r="AH67" i="774"/>
  <c r="AG67" i="774"/>
  <c r="AF67" i="774"/>
  <c r="AE67" i="774"/>
  <c r="AD67" i="774"/>
  <c r="AC67" i="774"/>
  <c r="AB67" i="774"/>
  <c r="L67" i="774"/>
  <c r="K60" i="774"/>
  <c r="D58" i="774"/>
  <c r="M43" i="774"/>
  <c r="L43" i="774"/>
  <c r="K43" i="774"/>
  <c r="M42" i="774"/>
  <c r="L42" i="774"/>
  <c r="K42" i="774"/>
  <c r="L41" i="774"/>
  <c r="K41" i="774"/>
  <c r="M39" i="774"/>
  <c r="L39" i="774"/>
  <c r="K39" i="774"/>
  <c r="K37" i="774"/>
  <c r="Z35" i="774"/>
  <c r="Y35" i="774"/>
  <c r="X35" i="774"/>
  <c r="W35" i="774"/>
  <c r="V35" i="774"/>
  <c r="U35" i="774"/>
  <c r="T35" i="774"/>
  <c r="S35" i="774"/>
  <c r="R35" i="774"/>
  <c r="Z34" i="774"/>
  <c r="Y34" i="774"/>
  <c r="X34" i="774"/>
  <c r="W34" i="774"/>
  <c r="V34" i="774"/>
  <c r="U34" i="774"/>
  <c r="T34" i="774"/>
  <c r="S34" i="774"/>
  <c r="R34" i="774"/>
  <c r="Z33" i="774"/>
  <c r="Y33" i="774"/>
  <c r="X33" i="774"/>
  <c r="W33" i="774"/>
  <c r="V33" i="774"/>
  <c r="U33" i="774"/>
  <c r="T33" i="774"/>
  <c r="S33" i="774"/>
  <c r="R33" i="774"/>
  <c r="Z32" i="774"/>
  <c r="Y32" i="774"/>
  <c r="X32" i="774"/>
  <c r="W32" i="774"/>
  <c r="V32" i="774"/>
  <c r="U32" i="774"/>
  <c r="T32" i="774"/>
  <c r="S32" i="774"/>
  <c r="R32" i="774"/>
  <c r="Z31" i="774"/>
  <c r="Y31" i="774"/>
  <c r="X31" i="774"/>
  <c r="W31" i="774"/>
  <c r="V31" i="774"/>
  <c r="U31" i="774"/>
  <c r="T31" i="774"/>
  <c r="S31" i="774"/>
  <c r="R31" i="774"/>
  <c r="Z30" i="774"/>
  <c r="Y30" i="774"/>
  <c r="X30" i="774"/>
  <c r="W30" i="774"/>
  <c r="V30" i="774"/>
  <c r="U30" i="774"/>
  <c r="T30" i="774"/>
  <c r="S30" i="774"/>
  <c r="R30" i="774"/>
  <c r="Z29" i="774"/>
  <c r="Y29" i="774"/>
  <c r="X29" i="774"/>
  <c r="W29" i="774"/>
  <c r="V29" i="774"/>
  <c r="U29" i="774"/>
  <c r="T29" i="774"/>
  <c r="S29" i="774"/>
  <c r="R29" i="774"/>
  <c r="Z28" i="774"/>
  <c r="Y28" i="774"/>
  <c r="X28" i="774"/>
  <c r="W28" i="774"/>
  <c r="V28" i="774"/>
  <c r="U28" i="774"/>
  <c r="T28" i="774"/>
  <c r="S28" i="774"/>
  <c r="R28" i="774"/>
  <c r="Z27" i="774"/>
  <c r="Y27" i="774"/>
  <c r="X27" i="774"/>
  <c r="W27" i="774"/>
  <c r="V27" i="774"/>
  <c r="U27" i="774"/>
  <c r="T27" i="774"/>
  <c r="S27" i="774"/>
  <c r="R27" i="774"/>
  <c r="Z26" i="774"/>
  <c r="Y26" i="774"/>
  <c r="X26" i="774"/>
  <c r="W26" i="774"/>
  <c r="V26" i="774"/>
  <c r="U26" i="774"/>
  <c r="T26" i="774"/>
  <c r="S26" i="774"/>
  <c r="R26" i="774"/>
  <c r="Z25" i="774"/>
  <c r="Y25" i="774"/>
  <c r="X25" i="774"/>
  <c r="W25" i="774"/>
  <c r="V25" i="774"/>
  <c r="U25" i="774"/>
  <c r="T25" i="774"/>
  <c r="S25" i="774"/>
  <c r="R25" i="774"/>
  <c r="Z19" i="774"/>
  <c r="Y19" i="774"/>
  <c r="X19" i="774"/>
  <c r="W19" i="774"/>
  <c r="V19" i="774"/>
  <c r="U19" i="774"/>
  <c r="T19" i="774"/>
  <c r="S19" i="774"/>
  <c r="R19" i="774"/>
  <c r="Z18" i="774"/>
  <c r="Y18" i="774"/>
  <c r="X18" i="774"/>
  <c r="W18" i="774"/>
  <c r="V18" i="774"/>
  <c r="U18" i="774"/>
  <c r="T18" i="774"/>
  <c r="S18" i="774"/>
  <c r="R18" i="774"/>
  <c r="Z17" i="774"/>
  <c r="Y17" i="774"/>
  <c r="X17" i="774"/>
  <c r="W17" i="774"/>
  <c r="V17" i="774"/>
  <c r="U17" i="774"/>
  <c r="T17" i="774"/>
  <c r="S17" i="774"/>
  <c r="R17" i="774"/>
  <c r="Z16" i="774"/>
  <c r="Y16" i="774"/>
  <c r="X16" i="774"/>
  <c r="W16" i="774"/>
  <c r="V16" i="774"/>
  <c r="U16" i="774"/>
  <c r="T16" i="774"/>
  <c r="S16" i="774"/>
  <c r="R16" i="774"/>
  <c r="Z15" i="774"/>
  <c r="Y15" i="774"/>
  <c r="X15" i="774"/>
  <c r="W15" i="774"/>
  <c r="V15" i="774"/>
  <c r="U15" i="774"/>
  <c r="T15" i="774"/>
  <c r="S15" i="774"/>
  <c r="R15" i="774"/>
  <c r="Z14" i="774"/>
  <c r="Y14" i="774"/>
  <c r="X14" i="774"/>
  <c r="W14" i="774"/>
  <c r="V14" i="774"/>
  <c r="U14" i="774"/>
  <c r="T14" i="774"/>
  <c r="S14" i="774"/>
  <c r="R14" i="774"/>
  <c r="Z13" i="774"/>
  <c r="Y13" i="774"/>
  <c r="X13" i="774"/>
  <c r="W13" i="774"/>
  <c r="V13" i="774"/>
  <c r="U13" i="774"/>
  <c r="T13" i="774"/>
  <c r="S13" i="774"/>
  <c r="R13" i="774"/>
  <c r="Z12" i="774"/>
  <c r="Y12" i="774"/>
  <c r="X12" i="774"/>
  <c r="W12" i="774"/>
  <c r="V12" i="774"/>
  <c r="U12" i="774"/>
  <c r="T12" i="774"/>
  <c r="S12" i="774"/>
  <c r="R12" i="774"/>
  <c r="Z11" i="774"/>
  <c r="Y11" i="774"/>
  <c r="X11" i="774"/>
  <c r="W11" i="774"/>
  <c r="V11" i="774"/>
  <c r="U11" i="774"/>
  <c r="T11" i="774"/>
  <c r="S11" i="774"/>
  <c r="R11" i="774"/>
  <c r="Z10" i="774"/>
  <c r="Y10" i="774"/>
  <c r="X10" i="774"/>
  <c r="W10" i="774"/>
  <c r="V10" i="774"/>
  <c r="U10" i="774"/>
  <c r="T10" i="774"/>
  <c r="S10" i="774"/>
  <c r="R10" i="774"/>
  <c r="K46" i="774" l="1"/>
  <c r="K65" i="773"/>
  <c r="K73" i="773" s="1"/>
  <c r="M36" i="773" l="1"/>
  <c r="L36" i="773"/>
  <c r="K36" i="773"/>
  <c r="C48" i="773"/>
  <c r="C49" i="773"/>
  <c r="C50" i="773"/>
  <c r="C51" i="773"/>
  <c r="C52" i="773"/>
  <c r="C53" i="773"/>
  <c r="C54" i="773"/>
  <c r="C55" i="773"/>
  <c r="C38" i="773"/>
  <c r="C39" i="773"/>
  <c r="C36" i="773"/>
  <c r="C37" i="773"/>
  <c r="C16" i="773"/>
  <c r="D16" i="773"/>
  <c r="E16" i="773"/>
  <c r="F16" i="773"/>
  <c r="G16" i="773"/>
  <c r="I16" i="773"/>
  <c r="J16" i="773"/>
  <c r="K16" i="773"/>
  <c r="L16" i="773"/>
  <c r="M16" i="773"/>
  <c r="N16" i="773"/>
  <c r="O16" i="773"/>
  <c r="C17" i="773"/>
  <c r="D17" i="773"/>
  <c r="E17" i="773"/>
  <c r="F17" i="773"/>
  <c r="G17" i="773"/>
  <c r="I17" i="773"/>
  <c r="J17" i="773"/>
  <c r="K17" i="773"/>
  <c r="L17" i="773"/>
  <c r="M17" i="773"/>
  <c r="N17" i="773"/>
  <c r="O17" i="773"/>
  <c r="C18" i="773"/>
  <c r="D18" i="773"/>
  <c r="E18" i="773"/>
  <c r="F18" i="773"/>
  <c r="G18" i="773"/>
  <c r="I18" i="773"/>
  <c r="J18" i="773"/>
  <c r="K18" i="773"/>
  <c r="L18" i="773"/>
  <c r="M18" i="773"/>
  <c r="N18" i="773"/>
  <c r="O18" i="773"/>
  <c r="O15" i="773"/>
  <c r="N15" i="773"/>
  <c r="M15" i="773"/>
  <c r="L15" i="773"/>
  <c r="K15" i="773"/>
  <c r="G15" i="773"/>
  <c r="F15" i="773"/>
  <c r="E15" i="773"/>
  <c r="D15" i="773"/>
  <c r="C15" i="773"/>
  <c r="L51" i="773"/>
  <c r="M39" i="773"/>
  <c r="L39" i="773"/>
  <c r="K39" i="773"/>
  <c r="B48" i="773"/>
  <c r="B36" i="773"/>
  <c r="I11" i="773"/>
  <c r="J11" i="773"/>
  <c r="L11" i="773"/>
  <c r="M11" i="773"/>
  <c r="N11" i="773"/>
  <c r="O11" i="773"/>
  <c r="I12" i="773"/>
  <c r="J12" i="773"/>
  <c r="L12" i="773"/>
  <c r="M12" i="773"/>
  <c r="N12" i="773"/>
  <c r="O12" i="773"/>
  <c r="C11" i="773"/>
  <c r="D11" i="773"/>
  <c r="E11" i="773"/>
  <c r="F11" i="773"/>
  <c r="G11" i="773"/>
  <c r="C12" i="773"/>
  <c r="D12" i="773"/>
  <c r="E12" i="773"/>
  <c r="F12" i="773"/>
  <c r="G12" i="773"/>
  <c r="O10" i="773"/>
  <c r="N10" i="773"/>
  <c r="M10" i="773"/>
  <c r="L10" i="773"/>
  <c r="J10" i="773"/>
  <c r="I10" i="773"/>
  <c r="G10" i="773"/>
  <c r="F10" i="773"/>
  <c r="E10" i="773"/>
  <c r="D10" i="773"/>
  <c r="C10" i="773"/>
  <c r="B67" i="773"/>
  <c r="F77" i="773"/>
  <c r="AX67" i="773"/>
  <c r="AW67" i="773"/>
  <c r="AV67" i="773"/>
  <c r="AU67" i="773"/>
  <c r="AT67" i="773"/>
  <c r="AS67" i="773"/>
  <c r="AR67" i="773"/>
  <c r="AQ67" i="773"/>
  <c r="AP67" i="773"/>
  <c r="AO67" i="773"/>
  <c r="AN67" i="773"/>
  <c r="AM67" i="773"/>
  <c r="AL67" i="773"/>
  <c r="AK67" i="773"/>
  <c r="AJ67" i="773"/>
  <c r="AI67" i="773"/>
  <c r="AH67" i="773"/>
  <c r="AG67" i="773"/>
  <c r="AF67" i="773"/>
  <c r="AE67" i="773"/>
  <c r="AD67" i="773"/>
  <c r="AC67" i="773"/>
  <c r="AB67" i="773"/>
  <c r="B65" i="773"/>
  <c r="D58" i="773"/>
  <c r="K60" i="773"/>
  <c r="M51" i="773" s="1"/>
  <c r="M43" i="773"/>
  <c r="L43" i="773"/>
  <c r="K43" i="773"/>
  <c r="L42" i="773"/>
  <c r="K42" i="773"/>
  <c r="L41" i="773"/>
  <c r="K41" i="773"/>
  <c r="K37" i="773"/>
  <c r="Z35" i="773"/>
  <c r="Y35" i="773"/>
  <c r="X35" i="773"/>
  <c r="W35" i="773"/>
  <c r="V35" i="773"/>
  <c r="U35" i="773"/>
  <c r="T35" i="773"/>
  <c r="S35" i="773"/>
  <c r="R35" i="773"/>
  <c r="Z34" i="773"/>
  <c r="Y34" i="773"/>
  <c r="X34" i="773"/>
  <c r="W34" i="773"/>
  <c r="V34" i="773"/>
  <c r="U34" i="773"/>
  <c r="T34" i="773"/>
  <c r="S34" i="773"/>
  <c r="R34" i="773"/>
  <c r="Z33" i="773"/>
  <c r="Y33" i="773"/>
  <c r="X33" i="773"/>
  <c r="W33" i="773"/>
  <c r="V33" i="773"/>
  <c r="U33" i="773"/>
  <c r="T33" i="773"/>
  <c r="S33" i="773"/>
  <c r="R33" i="773"/>
  <c r="Z32" i="773"/>
  <c r="Y32" i="773"/>
  <c r="X32" i="773"/>
  <c r="W32" i="773"/>
  <c r="V32" i="773"/>
  <c r="U32" i="773"/>
  <c r="T32" i="773"/>
  <c r="S32" i="773"/>
  <c r="R32" i="773"/>
  <c r="Z31" i="773"/>
  <c r="Y31" i="773"/>
  <c r="X31" i="773"/>
  <c r="W31" i="773"/>
  <c r="V31" i="773"/>
  <c r="U31" i="773"/>
  <c r="T31" i="773"/>
  <c r="S31" i="773"/>
  <c r="R31" i="773"/>
  <c r="Z30" i="773"/>
  <c r="Y30" i="773"/>
  <c r="X30" i="773"/>
  <c r="W30" i="773"/>
  <c r="V30" i="773"/>
  <c r="U30" i="773"/>
  <c r="T30" i="773"/>
  <c r="S30" i="773"/>
  <c r="R30" i="773"/>
  <c r="Z29" i="773"/>
  <c r="Y29" i="773"/>
  <c r="X29" i="773"/>
  <c r="W29" i="773"/>
  <c r="V29" i="773"/>
  <c r="U29" i="773"/>
  <c r="T29" i="773"/>
  <c r="S29" i="773"/>
  <c r="R29" i="773"/>
  <c r="Z28" i="773"/>
  <c r="Y28" i="773"/>
  <c r="X28" i="773"/>
  <c r="W28" i="773"/>
  <c r="V28" i="773"/>
  <c r="U28" i="773"/>
  <c r="T28" i="773"/>
  <c r="S28" i="773"/>
  <c r="R28" i="773"/>
  <c r="Z27" i="773"/>
  <c r="Y27" i="773"/>
  <c r="X27" i="773"/>
  <c r="W27" i="773"/>
  <c r="V27" i="773"/>
  <c r="U27" i="773"/>
  <c r="T27" i="773"/>
  <c r="S27" i="773"/>
  <c r="R27" i="773"/>
  <c r="Z26" i="773"/>
  <c r="Y26" i="773"/>
  <c r="X26" i="773"/>
  <c r="W26" i="773"/>
  <c r="V26" i="773"/>
  <c r="U26" i="773"/>
  <c r="T26" i="773"/>
  <c r="S26" i="773"/>
  <c r="R26" i="773"/>
  <c r="Z25" i="773"/>
  <c r="Y25" i="773"/>
  <c r="X25" i="773"/>
  <c r="W25" i="773"/>
  <c r="V25" i="773"/>
  <c r="U25" i="773"/>
  <c r="T25" i="773"/>
  <c r="S25" i="773"/>
  <c r="R25" i="773"/>
  <c r="Z19" i="773"/>
  <c r="Y19" i="773"/>
  <c r="X19" i="773"/>
  <c r="W19" i="773"/>
  <c r="V19" i="773"/>
  <c r="U19" i="773"/>
  <c r="T19" i="773"/>
  <c r="S19" i="773"/>
  <c r="R19" i="773"/>
  <c r="Z18" i="773"/>
  <c r="Y18" i="773"/>
  <c r="X18" i="773"/>
  <c r="W18" i="773"/>
  <c r="V18" i="773"/>
  <c r="U18" i="773"/>
  <c r="T18" i="773"/>
  <c r="S18" i="773"/>
  <c r="R18" i="773"/>
  <c r="Z17" i="773"/>
  <c r="Y17" i="773"/>
  <c r="X17" i="773"/>
  <c r="W17" i="773"/>
  <c r="V17" i="773"/>
  <c r="U17" i="773"/>
  <c r="T17" i="773"/>
  <c r="S17" i="773"/>
  <c r="R17" i="773"/>
  <c r="Z16" i="773"/>
  <c r="Y16" i="773"/>
  <c r="X16" i="773"/>
  <c r="W16" i="773"/>
  <c r="V16" i="773"/>
  <c r="U16" i="773"/>
  <c r="T16" i="773"/>
  <c r="S16" i="773"/>
  <c r="R16" i="773"/>
  <c r="Z15" i="773"/>
  <c r="Y15" i="773"/>
  <c r="X15" i="773"/>
  <c r="W15" i="773"/>
  <c r="V15" i="773"/>
  <c r="U15" i="773"/>
  <c r="T15" i="773"/>
  <c r="S15" i="773"/>
  <c r="R15" i="773"/>
  <c r="Z14" i="773"/>
  <c r="Y14" i="773"/>
  <c r="X14" i="773"/>
  <c r="W14" i="773"/>
  <c r="V14" i="773"/>
  <c r="U14" i="773"/>
  <c r="T14" i="773"/>
  <c r="S14" i="773"/>
  <c r="R14" i="773"/>
  <c r="Z13" i="773"/>
  <c r="Y13" i="773"/>
  <c r="X13" i="773"/>
  <c r="W13" i="773"/>
  <c r="V13" i="773"/>
  <c r="U13" i="773"/>
  <c r="T13" i="773"/>
  <c r="S13" i="773"/>
  <c r="R13" i="773"/>
  <c r="Z12" i="773"/>
  <c r="Y12" i="773"/>
  <c r="X12" i="773"/>
  <c r="W12" i="773"/>
  <c r="V12" i="773"/>
  <c r="U12" i="773"/>
  <c r="T12" i="773"/>
  <c r="S12" i="773"/>
  <c r="R12" i="773"/>
  <c r="Z11" i="773"/>
  <c r="Y11" i="773"/>
  <c r="X11" i="773"/>
  <c r="W11" i="773"/>
  <c r="V11" i="773"/>
  <c r="U11" i="773"/>
  <c r="T11" i="773"/>
  <c r="S11" i="773"/>
  <c r="R11" i="773"/>
  <c r="Z10" i="773"/>
  <c r="Y10" i="773"/>
  <c r="X10" i="773"/>
  <c r="W10" i="773"/>
  <c r="V10" i="773"/>
  <c r="U10" i="773"/>
  <c r="T10" i="773"/>
  <c r="S10" i="773"/>
  <c r="R10" i="773"/>
  <c r="C40" i="772" a="1"/>
  <c r="C40" i="772" s="1"/>
  <c r="C38" i="772" a="1"/>
  <c r="C38" i="772" s="1"/>
  <c r="C36" i="772" a="1"/>
  <c r="C36" i="772" s="1"/>
  <c r="J39" i="773" l="1"/>
  <c r="K46" i="773"/>
  <c r="B65" i="772"/>
  <c r="L51" i="772"/>
  <c r="K53" i="772"/>
  <c r="K54" i="772"/>
  <c r="M39" i="772"/>
  <c r="L39" i="772"/>
  <c r="K39" i="772"/>
  <c r="C22" i="772"/>
  <c r="D22" i="772"/>
  <c r="E22" i="772"/>
  <c r="F22" i="772"/>
  <c r="G22" i="772"/>
  <c r="L22" i="772"/>
  <c r="M22" i="772"/>
  <c r="O22" i="772"/>
  <c r="C23" i="772"/>
  <c r="D23" i="772"/>
  <c r="E23" i="772"/>
  <c r="F23" i="772"/>
  <c r="G23" i="772"/>
  <c r="L23" i="772"/>
  <c r="M23" i="772"/>
  <c r="O23" i="772"/>
  <c r="C24" i="772"/>
  <c r="D24" i="772"/>
  <c r="E24" i="772"/>
  <c r="F24" i="772"/>
  <c r="G24" i="772"/>
  <c r="L24" i="772"/>
  <c r="M24" i="772"/>
  <c r="O24" i="772"/>
  <c r="M42" i="773" l="1"/>
  <c r="F19" i="772"/>
  <c r="C19" i="772"/>
  <c r="D19" i="772"/>
  <c r="E19" i="772"/>
  <c r="G19" i="772"/>
  <c r="I19" i="772"/>
  <c r="J19" i="772"/>
  <c r="L19" i="772"/>
  <c r="N19" i="772"/>
  <c r="O19" i="772"/>
  <c r="C17" i="772"/>
  <c r="D17" i="772"/>
  <c r="E17" i="772"/>
  <c r="F17" i="772"/>
  <c r="G17" i="772"/>
  <c r="I17" i="772"/>
  <c r="J17" i="772"/>
  <c r="L17" i="772"/>
  <c r="M17" i="772"/>
  <c r="N17" i="772"/>
  <c r="O17" i="772"/>
  <c r="C18" i="772"/>
  <c r="D18" i="772"/>
  <c r="E18" i="772"/>
  <c r="F18" i="772"/>
  <c r="G18" i="772"/>
  <c r="I18" i="772"/>
  <c r="J18" i="772"/>
  <c r="L18" i="772"/>
  <c r="M18" i="772"/>
  <c r="N18" i="772"/>
  <c r="O18" i="772"/>
  <c r="C16" i="772"/>
  <c r="D16" i="772"/>
  <c r="E16" i="772"/>
  <c r="F16" i="772"/>
  <c r="G16" i="772"/>
  <c r="I16" i="772"/>
  <c r="J16" i="772"/>
  <c r="L16" i="772"/>
  <c r="M16" i="772"/>
  <c r="N16" i="772"/>
  <c r="O16" i="772"/>
  <c r="F77" i="772"/>
  <c r="AX67" i="772"/>
  <c r="AW67" i="772"/>
  <c r="AV67" i="772"/>
  <c r="AU67" i="772"/>
  <c r="AT67" i="772"/>
  <c r="AS67" i="772"/>
  <c r="AR67" i="772"/>
  <c r="AQ67" i="772"/>
  <c r="AP67" i="772"/>
  <c r="AO67" i="772"/>
  <c r="AN67" i="772"/>
  <c r="AM67" i="772"/>
  <c r="AL67" i="772"/>
  <c r="AK67" i="772"/>
  <c r="AJ67" i="772"/>
  <c r="AI67" i="772"/>
  <c r="AH67" i="772"/>
  <c r="AG67" i="772"/>
  <c r="AF67" i="772"/>
  <c r="AE67" i="772"/>
  <c r="AD67" i="772"/>
  <c r="AC67" i="772"/>
  <c r="AB67" i="772"/>
  <c r="L67" i="772"/>
  <c r="B67" i="772"/>
  <c r="K60" i="772"/>
  <c r="M51" i="772" s="1"/>
  <c r="D58" i="772"/>
  <c r="M43" i="772"/>
  <c r="L43" i="772"/>
  <c r="K43" i="772"/>
  <c r="L42" i="772"/>
  <c r="K42" i="772"/>
  <c r="L41" i="772"/>
  <c r="K41" i="772"/>
  <c r="K37" i="772"/>
  <c r="M36" i="772"/>
  <c r="L36" i="772"/>
  <c r="K36" i="772"/>
  <c r="Z35" i="772"/>
  <c r="Y35" i="772"/>
  <c r="X35" i="772"/>
  <c r="W35" i="772"/>
  <c r="V35" i="772"/>
  <c r="U35" i="772"/>
  <c r="T35" i="772"/>
  <c r="S35" i="772"/>
  <c r="R35" i="772"/>
  <c r="Z34" i="772"/>
  <c r="Y34" i="772"/>
  <c r="X34" i="772"/>
  <c r="W34" i="772"/>
  <c r="V34" i="772"/>
  <c r="U34" i="772"/>
  <c r="T34" i="772"/>
  <c r="S34" i="772"/>
  <c r="R34" i="772"/>
  <c r="Z33" i="772"/>
  <c r="Y33" i="772"/>
  <c r="X33" i="772"/>
  <c r="W33" i="772"/>
  <c r="V33" i="772"/>
  <c r="U33" i="772"/>
  <c r="T33" i="772"/>
  <c r="S33" i="772"/>
  <c r="R33" i="772"/>
  <c r="Z32" i="772"/>
  <c r="Y32" i="772"/>
  <c r="X32" i="772"/>
  <c r="W32" i="772"/>
  <c r="V32" i="772"/>
  <c r="U32" i="772"/>
  <c r="T32" i="772"/>
  <c r="S32" i="772"/>
  <c r="R32" i="772"/>
  <c r="Z31" i="772"/>
  <c r="Y31" i="772"/>
  <c r="X31" i="772"/>
  <c r="W31" i="772"/>
  <c r="V31" i="772"/>
  <c r="U31" i="772"/>
  <c r="T31" i="772"/>
  <c r="S31" i="772"/>
  <c r="R31" i="772"/>
  <c r="Z30" i="772"/>
  <c r="Y30" i="772"/>
  <c r="X30" i="772"/>
  <c r="W30" i="772"/>
  <c r="V30" i="772"/>
  <c r="U30" i="772"/>
  <c r="T30" i="772"/>
  <c r="S30" i="772"/>
  <c r="R30" i="772"/>
  <c r="Z29" i="772"/>
  <c r="Y29" i="772"/>
  <c r="X29" i="772"/>
  <c r="W29" i="772"/>
  <c r="V29" i="772"/>
  <c r="U29" i="772"/>
  <c r="T29" i="772"/>
  <c r="S29" i="772"/>
  <c r="R29" i="772"/>
  <c r="Z28" i="772"/>
  <c r="Y28" i="772"/>
  <c r="X28" i="772"/>
  <c r="W28" i="772"/>
  <c r="V28" i="772"/>
  <c r="U28" i="772"/>
  <c r="T28" i="772"/>
  <c r="S28" i="772"/>
  <c r="R28" i="772"/>
  <c r="Z27" i="772"/>
  <c r="Y27" i="772"/>
  <c r="X27" i="772"/>
  <c r="W27" i="772"/>
  <c r="V27" i="772"/>
  <c r="U27" i="772"/>
  <c r="T27" i="772"/>
  <c r="S27" i="772"/>
  <c r="R27" i="772"/>
  <c r="Z26" i="772"/>
  <c r="Y26" i="772"/>
  <c r="X26" i="772"/>
  <c r="W26" i="772"/>
  <c r="V26" i="772"/>
  <c r="U26" i="772"/>
  <c r="T26" i="772"/>
  <c r="S26" i="772"/>
  <c r="R26" i="772"/>
  <c r="Z25" i="772"/>
  <c r="Y25" i="772"/>
  <c r="X25" i="772"/>
  <c r="W25" i="772"/>
  <c r="V25" i="772"/>
  <c r="U25" i="772"/>
  <c r="T25" i="772"/>
  <c r="S25" i="772"/>
  <c r="R25" i="772"/>
  <c r="Z19" i="772"/>
  <c r="Y19" i="772"/>
  <c r="X19" i="772"/>
  <c r="W19" i="772"/>
  <c r="V19" i="772"/>
  <c r="U19" i="772"/>
  <c r="T19" i="772"/>
  <c r="S19" i="772"/>
  <c r="R19" i="772"/>
  <c r="Z18" i="772"/>
  <c r="Y18" i="772"/>
  <c r="X18" i="772"/>
  <c r="W18" i="772"/>
  <c r="V18" i="772"/>
  <c r="U18" i="772"/>
  <c r="T18" i="772"/>
  <c r="S18" i="772"/>
  <c r="R18" i="772"/>
  <c r="Z17" i="772"/>
  <c r="Y17" i="772"/>
  <c r="X17" i="772"/>
  <c r="W17" i="772"/>
  <c r="V17" i="772"/>
  <c r="U17" i="772"/>
  <c r="T17" i="772"/>
  <c r="S17" i="772"/>
  <c r="R17" i="772"/>
  <c r="Z16" i="772"/>
  <c r="Y16" i="772"/>
  <c r="X16" i="772"/>
  <c r="W16" i="772"/>
  <c r="V16" i="772"/>
  <c r="U16" i="772"/>
  <c r="T16" i="772"/>
  <c r="S16" i="772"/>
  <c r="R16" i="772"/>
  <c r="Z15" i="772"/>
  <c r="Y15" i="772"/>
  <c r="X15" i="772"/>
  <c r="W15" i="772"/>
  <c r="V15" i="772"/>
  <c r="U15" i="772"/>
  <c r="T15" i="772"/>
  <c r="S15" i="772"/>
  <c r="R15" i="772"/>
  <c r="Z14" i="772"/>
  <c r="Y14" i="772"/>
  <c r="X14" i="772"/>
  <c r="W14" i="772"/>
  <c r="V14" i="772"/>
  <c r="U14" i="772"/>
  <c r="T14" i="772"/>
  <c r="S14" i="772"/>
  <c r="R14" i="772"/>
  <c r="Z13" i="772"/>
  <c r="Y13" i="772"/>
  <c r="X13" i="772"/>
  <c r="W13" i="772"/>
  <c r="V13" i="772"/>
  <c r="U13" i="772"/>
  <c r="T13" i="772"/>
  <c r="S13" i="772"/>
  <c r="R13" i="772"/>
  <c r="Z12" i="772"/>
  <c r="Y12" i="772"/>
  <c r="X12" i="772"/>
  <c r="W12" i="772"/>
  <c r="V12" i="772"/>
  <c r="U12" i="772"/>
  <c r="T12" i="772"/>
  <c r="S12" i="772"/>
  <c r="R12" i="772"/>
  <c r="Z11" i="772"/>
  <c r="Y11" i="772"/>
  <c r="X11" i="772"/>
  <c r="W11" i="772"/>
  <c r="V11" i="772"/>
  <c r="U11" i="772"/>
  <c r="T11" i="772"/>
  <c r="S11" i="772"/>
  <c r="R11" i="772"/>
  <c r="Z10" i="772"/>
  <c r="Y10" i="772"/>
  <c r="X10" i="772"/>
  <c r="W10" i="772"/>
  <c r="V10" i="772"/>
  <c r="U10" i="772"/>
  <c r="T10" i="772"/>
  <c r="S10" i="772"/>
  <c r="R10" i="772"/>
  <c r="N25" i="771"/>
  <c r="N26" i="771"/>
  <c r="N27" i="771"/>
  <c r="N24" i="771"/>
  <c r="K42" i="771"/>
  <c r="M48" i="771"/>
  <c r="L48" i="771"/>
  <c r="K48" i="771"/>
  <c r="R22" i="771"/>
  <c r="S22" i="771"/>
  <c r="T22" i="771"/>
  <c r="U22" i="771"/>
  <c r="V22" i="771"/>
  <c r="W22" i="771"/>
  <c r="X22" i="771"/>
  <c r="Y22" i="771"/>
  <c r="Z22" i="771"/>
  <c r="R23" i="771"/>
  <c r="S23" i="771"/>
  <c r="T23" i="771"/>
  <c r="U23" i="771"/>
  <c r="V23" i="771"/>
  <c r="W23" i="771"/>
  <c r="X23" i="771"/>
  <c r="Y23" i="771"/>
  <c r="Z23" i="771"/>
  <c r="R24" i="771"/>
  <c r="S24" i="771"/>
  <c r="T24" i="771"/>
  <c r="U24" i="771"/>
  <c r="V24" i="771"/>
  <c r="W24" i="771"/>
  <c r="X24" i="771"/>
  <c r="Y24" i="771"/>
  <c r="Z24" i="771"/>
  <c r="R25" i="771"/>
  <c r="S25" i="771"/>
  <c r="T25" i="771"/>
  <c r="U25" i="771"/>
  <c r="V25" i="771"/>
  <c r="W25" i="771"/>
  <c r="X25" i="771"/>
  <c r="Y25" i="771"/>
  <c r="Z25" i="771"/>
  <c r="R26" i="771"/>
  <c r="S26" i="771"/>
  <c r="T26" i="771"/>
  <c r="U26" i="771"/>
  <c r="V26" i="771"/>
  <c r="W26" i="771"/>
  <c r="X26" i="771"/>
  <c r="Y26" i="771"/>
  <c r="Z26" i="771"/>
  <c r="R27" i="771"/>
  <c r="S27" i="771"/>
  <c r="T27" i="771"/>
  <c r="U27" i="771"/>
  <c r="V27" i="771"/>
  <c r="W27" i="771"/>
  <c r="X27" i="771"/>
  <c r="Y27" i="771"/>
  <c r="Z27" i="771"/>
  <c r="R28" i="771"/>
  <c r="S28" i="771"/>
  <c r="T28" i="771"/>
  <c r="U28" i="771"/>
  <c r="V28" i="771"/>
  <c r="W28" i="771"/>
  <c r="X28" i="771"/>
  <c r="Y28" i="771"/>
  <c r="Z28" i="771"/>
  <c r="R29" i="771"/>
  <c r="S29" i="771"/>
  <c r="T29" i="771"/>
  <c r="U29" i="771"/>
  <c r="V29" i="771"/>
  <c r="W29" i="771"/>
  <c r="X29" i="771"/>
  <c r="Y29" i="771"/>
  <c r="Z29" i="771"/>
  <c r="R30" i="771"/>
  <c r="S30" i="771"/>
  <c r="T30" i="771"/>
  <c r="U30" i="771"/>
  <c r="V30" i="771"/>
  <c r="W30" i="771"/>
  <c r="X30" i="771"/>
  <c r="Y30" i="771"/>
  <c r="Z30" i="771"/>
  <c r="R31" i="771"/>
  <c r="S31" i="771"/>
  <c r="T31" i="771"/>
  <c r="U31" i="771"/>
  <c r="V31" i="771"/>
  <c r="W31" i="771"/>
  <c r="X31" i="771"/>
  <c r="Y31" i="771"/>
  <c r="Z31" i="771"/>
  <c r="R32" i="771"/>
  <c r="S32" i="771"/>
  <c r="T32" i="771"/>
  <c r="U32" i="771"/>
  <c r="V32" i="771"/>
  <c r="W32" i="771"/>
  <c r="X32" i="771"/>
  <c r="Y32" i="771"/>
  <c r="Z32" i="771"/>
  <c r="R33" i="771"/>
  <c r="S33" i="771"/>
  <c r="T33" i="771"/>
  <c r="U33" i="771"/>
  <c r="V33" i="771"/>
  <c r="W33" i="771"/>
  <c r="X33" i="771"/>
  <c r="Y33" i="771"/>
  <c r="Z33" i="771"/>
  <c r="R34" i="771"/>
  <c r="S34" i="771"/>
  <c r="T34" i="771"/>
  <c r="U34" i="771"/>
  <c r="V34" i="771"/>
  <c r="W34" i="771"/>
  <c r="X34" i="771"/>
  <c r="Y34" i="771"/>
  <c r="Z34" i="771"/>
  <c r="R35" i="771"/>
  <c r="S35" i="771"/>
  <c r="T35" i="771"/>
  <c r="U35" i="771"/>
  <c r="V35" i="771"/>
  <c r="W35" i="771"/>
  <c r="X35" i="771"/>
  <c r="Y35" i="771"/>
  <c r="Z35" i="771"/>
  <c r="C24" i="771"/>
  <c r="D24" i="771"/>
  <c r="E24" i="771"/>
  <c r="F24" i="771"/>
  <c r="G24" i="771"/>
  <c r="I24" i="771"/>
  <c r="J24" i="771"/>
  <c r="K24" i="771"/>
  <c r="L24" i="771"/>
  <c r="M24" i="771"/>
  <c r="O24" i="771"/>
  <c r="C25" i="771"/>
  <c r="D25" i="771"/>
  <c r="E25" i="771"/>
  <c r="F25" i="771"/>
  <c r="G25" i="771"/>
  <c r="I25" i="771"/>
  <c r="J25" i="771"/>
  <c r="K25" i="771"/>
  <c r="L25" i="771"/>
  <c r="M25" i="771"/>
  <c r="O25" i="771"/>
  <c r="C27" i="771"/>
  <c r="D27" i="771"/>
  <c r="E27" i="771"/>
  <c r="F27" i="771"/>
  <c r="G27" i="771"/>
  <c r="I27" i="771"/>
  <c r="J27" i="771"/>
  <c r="K27" i="771"/>
  <c r="L27" i="771"/>
  <c r="M27" i="771"/>
  <c r="O27" i="771"/>
  <c r="O26" i="771"/>
  <c r="M26" i="771"/>
  <c r="L26" i="771"/>
  <c r="K26" i="771"/>
  <c r="J26" i="771"/>
  <c r="I26" i="771"/>
  <c r="G26" i="771"/>
  <c r="F26" i="771"/>
  <c r="E26" i="771"/>
  <c r="D26" i="771"/>
  <c r="C26" i="771"/>
  <c r="J48" i="771" l="1"/>
  <c r="J42" i="772"/>
  <c r="K46" i="772"/>
  <c r="I65" i="771"/>
  <c r="K70" i="771"/>
  <c r="K82" i="771" s="1"/>
  <c r="J18" i="771" l="1"/>
  <c r="I19" i="771"/>
  <c r="I20" i="771"/>
  <c r="L19" i="771"/>
  <c r="C20" i="771"/>
  <c r="C18" i="771"/>
  <c r="D18" i="771"/>
  <c r="E18" i="771"/>
  <c r="F18" i="771"/>
  <c r="G18" i="771"/>
  <c r="L18" i="771"/>
  <c r="M18" i="771"/>
  <c r="O18" i="771"/>
  <c r="C19" i="771"/>
  <c r="D19" i="771"/>
  <c r="E19" i="771"/>
  <c r="F19" i="771"/>
  <c r="G19" i="771"/>
  <c r="M19" i="771"/>
  <c r="O19" i="771"/>
  <c r="D20" i="771"/>
  <c r="E20" i="771"/>
  <c r="F20" i="771"/>
  <c r="G20" i="771"/>
  <c r="L20" i="771"/>
  <c r="M20" i="771"/>
  <c r="O20" i="771"/>
  <c r="C21" i="771"/>
  <c r="D21" i="771"/>
  <c r="E21" i="771"/>
  <c r="F21" i="771"/>
  <c r="G21" i="771"/>
  <c r="L21" i="771"/>
  <c r="M21" i="771"/>
  <c r="O21" i="771"/>
  <c r="J20" i="771" l="1"/>
  <c r="J19" i="771"/>
  <c r="N17" i="771" l="1"/>
  <c r="N18" i="771"/>
  <c r="N19" i="771"/>
  <c r="N20" i="771"/>
  <c r="N21" i="771"/>
  <c r="C41" i="771"/>
  <c r="C42" i="771"/>
  <c r="C43" i="771"/>
  <c r="C44" i="771"/>
  <c r="B70" i="771"/>
  <c r="C17" i="771"/>
  <c r="D17" i="771"/>
  <c r="E17" i="771"/>
  <c r="F17" i="771"/>
  <c r="G17" i="771"/>
  <c r="L17" i="771"/>
  <c r="M17" i="771"/>
  <c r="O17" i="771"/>
  <c r="B41" i="771"/>
  <c r="B52" i="770"/>
  <c r="F82" i="771"/>
  <c r="AX72" i="771"/>
  <c r="AW72" i="771"/>
  <c r="AV72" i="771"/>
  <c r="AU72" i="771"/>
  <c r="AT72" i="771"/>
  <c r="AS72" i="771"/>
  <c r="AR72" i="771"/>
  <c r="AQ72" i="771"/>
  <c r="AP72" i="771"/>
  <c r="AO72" i="771"/>
  <c r="AN72" i="771"/>
  <c r="AM72" i="771"/>
  <c r="AL72" i="771"/>
  <c r="AK72" i="771"/>
  <c r="AJ72" i="771"/>
  <c r="AI72" i="771"/>
  <c r="AH72" i="771"/>
  <c r="AG72" i="771"/>
  <c r="AF72" i="771"/>
  <c r="AE72" i="771"/>
  <c r="AD72" i="771"/>
  <c r="AC72" i="771"/>
  <c r="AB72" i="771"/>
  <c r="L72" i="771"/>
  <c r="B72" i="771"/>
  <c r="K65" i="771"/>
  <c r="L56" i="771" s="1"/>
  <c r="D63" i="771"/>
  <c r="M56" i="771"/>
  <c r="L47" i="771"/>
  <c r="K47" i="771"/>
  <c r="L46" i="771"/>
  <c r="K46" i="771"/>
  <c r="M44" i="771"/>
  <c r="M41" i="771"/>
  <c r="L41" i="771"/>
  <c r="K41" i="771"/>
  <c r="Z40" i="771"/>
  <c r="Y40" i="771"/>
  <c r="X40" i="771"/>
  <c r="W40" i="771"/>
  <c r="V40" i="771"/>
  <c r="U40" i="771"/>
  <c r="T40" i="771"/>
  <c r="S40" i="771"/>
  <c r="R40" i="771"/>
  <c r="Z39" i="771"/>
  <c r="Y39" i="771"/>
  <c r="X39" i="771"/>
  <c r="W39" i="771"/>
  <c r="V39" i="771"/>
  <c r="U39" i="771"/>
  <c r="T39" i="771"/>
  <c r="S39" i="771"/>
  <c r="R39" i="771"/>
  <c r="Z38" i="771"/>
  <c r="Y38" i="771"/>
  <c r="X38" i="771"/>
  <c r="W38" i="771"/>
  <c r="V38" i="771"/>
  <c r="U38" i="771"/>
  <c r="T38" i="771"/>
  <c r="S38" i="771"/>
  <c r="R38" i="771"/>
  <c r="Z37" i="771"/>
  <c r="Y37" i="771"/>
  <c r="X37" i="771"/>
  <c r="W37" i="771"/>
  <c r="V37" i="771"/>
  <c r="U37" i="771"/>
  <c r="T37" i="771"/>
  <c r="S37" i="771"/>
  <c r="R37" i="771"/>
  <c r="Z36" i="771"/>
  <c r="Y36" i="771"/>
  <c r="X36" i="771"/>
  <c r="W36" i="771"/>
  <c r="V36" i="771"/>
  <c r="U36" i="771"/>
  <c r="T36" i="771"/>
  <c r="S36" i="771"/>
  <c r="R36" i="771"/>
  <c r="Z21" i="771"/>
  <c r="Y21" i="771"/>
  <c r="X21" i="771"/>
  <c r="W21" i="771"/>
  <c r="V21" i="771"/>
  <c r="U21" i="771"/>
  <c r="T21" i="771"/>
  <c r="S21" i="771"/>
  <c r="R21" i="771"/>
  <c r="Z20" i="771"/>
  <c r="Y20" i="771"/>
  <c r="X20" i="771"/>
  <c r="W20" i="771"/>
  <c r="V20" i="771"/>
  <c r="U20" i="771"/>
  <c r="T20" i="771"/>
  <c r="S20" i="771"/>
  <c r="R20" i="771"/>
  <c r="Z19" i="771"/>
  <c r="Y19" i="771"/>
  <c r="X19" i="771"/>
  <c r="W19" i="771"/>
  <c r="V19" i="771"/>
  <c r="U19" i="771"/>
  <c r="T19" i="771"/>
  <c r="S19" i="771"/>
  <c r="R19" i="771"/>
  <c r="Z18" i="771"/>
  <c r="Y18" i="771"/>
  <c r="X18" i="771"/>
  <c r="W18" i="771"/>
  <c r="V18" i="771"/>
  <c r="U18" i="771"/>
  <c r="T18" i="771"/>
  <c r="S18" i="771"/>
  <c r="R18" i="771"/>
  <c r="Z17" i="771"/>
  <c r="Y17" i="771"/>
  <c r="X17" i="771"/>
  <c r="W17" i="771"/>
  <c r="V17" i="771"/>
  <c r="U17" i="771"/>
  <c r="T17" i="771"/>
  <c r="S17" i="771"/>
  <c r="R17" i="771"/>
  <c r="Z16" i="771"/>
  <c r="Y16" i="771"/>
  <c r="X16" i="771"/>
  <c r="W16" i="771"/>
  <c r="V16" i="771"/>
  <c r="U16" i="771"/>
  <c r="T16" i="771"/>
  <c r="S16" i="771"/>
  <c r="R16" i="771"/>
  <c r="Z15" i="771"/>
  <c r="Y15" i="771"/>
  <c r="X15" i="771"/>
  <c r="W15" i="771"/>
  <c r="V15" i="771"/>
  <c r="U15" i="771"/>
  <c r="T15" i="771"/>
  <c r="S15" i="771"/>
  <c r="R15" i="771"/>
  <c r="Z14" i="771"/>
  <c r="Y14" i="771"/>
  <c r="X14" i="771"/>
  <c r="W14" i="771"/>
  <c r="V14" i="771"/>
  <c r="U14" i="771"/>
  <c r="T14" i="771"/>
  <c r="S14" i="771"/>
  <c r="R14" i="771"/>
  <c r="Z13" i="771"/>
  <c r="Y13" i="771"/>
  <c r="X13" i="771"/>
  <c r="W13" i="771"/>
  <c r="V13" i="771"/>
  <c r="U13" i="771"/>
  <c r="T13" i="771"/>
  <c r="S13" i="771"/>
  <c r="R13" i="771"/>
  <c r="Z12" i="771"/>
  <c r="Y12" i="771"/>
  <c r="X12" i="771"/>
  <c r="W12" i="771"/>
  <c r="V12" i="771"/>
  <c r="U12" i="771"/>
  <c r="T12" i="771"/>
  <c r="S12" i="771"/>
  <c r="R12" i="771"/>
  <c r="Z11" i="771"/>
  <c r="Y11" i="771"/>
  <c r="X11" i="771"/>
  <c r="W11" i="771"/>
  <c r="V11" i="771"/>
  <c r="U11" i="771"/>
  <c r="T11" i="771"/>
  <c r="S11" i="771"/>
  <c r="R11" i="771"/>
  <c r="Z10" i="771"/>
  <c r="Y10" i="771"/>
  <c r="X10" i="771"/>
  <c r="W10" i="771"/>
  <c r="V10" i="771"/>
  <c r="U10" i="771"/>
  <c r="T10" i="771"/>
  <c r="S10" i="771"/>
  <c r="R10" i="771"/>
  <c r="E70" i="770"/>
  <c r="I17" i="771" l="1"/>
  <c r="J17" i="771"/>
  <c r="K51" i="771"/>
  <c r="I18" i="771" l="1"/>
  <c r="K70" i="770"/>
  <c r="K77" i="770" s="1"/>
  <c r="L54" i="770" l="1"/>
  <c r="M40" i="770"/>
  <c r="L40" i="770"/>
  <c r="K40" i="770"/>
  <c r="B70" i="770"/>
  <c r="C44" i="770"/>
  <c r="C45" i="770"/>
  <c r="C46" i="770"/>
  <c r="C47" i="770"/>
  <c r="C48" i="770"/>
  <c r="C49" i="770"/>
  <c r="C50" i="770"/>
  <c r="C51" i="770"/>
  <c r="C39" i="770"/>
  <c r="C40" i="770"/>
  <c r="C41" i="770"/>
  <c r="C42" i="770"/>
  <c r="C43" i="770"/>
  <c r="B39" i="770" l="1"/>
  <c r="D11" i="770"/>
  <c r="E11" i="770"/>
  <c r="F11" i="770"/>
  <c r="G11" i="770"/>
  <c r="L11" i="770"/>
  <c r="M11" i="770"/>
  <c r="N11" i="770"/>
  <c r="O11" i="770"/>
  <c r="D12" i="770"/>
  <c r="E12" i="770"/>
  <c r="F12" i="770"/>
  <c r="G12" i="770"/>
  <c r="L12" i="770"/>
  <c r="M12" i="770"/>
  <c r="N12" i="770"/>
  <c r="O12" i="770"/>
  <c r="D13" i="770"/>
  <c r="E13" i="770"/>
  <c r="F13" i="770"/>
  <c r="G13" i="770"/>
  <c r="L13" i="770"/>
  <c r="M13" i="770"/>
  <c r="N13" i="770"/>
  <c r="O13" i="770"/>
  <c r="C14" i="770"/>
  <c r="D14" i="770"/>
  <c r="E14" i="770"/>
  <c r="F14" i="770"/>
  <c r="G14" i="770"/>
  <c r="I14" i="770"/>
  <c r="J14" i="770"/>
  <c r="L14" i="770"/>
  <c r="M14" i="770"/>
  <c r="N14" i="770"/>
  <c r="O14" i="770"/>
  <c r="D15" i="770"/>
  <c r="E15" i="770"/>
  <c r="F15" i="770"/>
  <c r="G15" i="770"/>
  <c r="I15" i="770"/>
  <c r="J15" i="770"/>
  <c r="L15" i="770"/>
  <c r="M15" i="770"/>
  <c r="N15" i="770"/>
  <c r="O15" i="770"/>
  <c r="D16" i="770"/>
  <c r="E16" i="770"/>
  <c r="F16" i="770"/>
  <c r="G16" i="770"/>
  <c r="I16" i="770"/>
  <c r="J16" i="770"/>
  <c r="L16" i="770"/>
  <c r="M16" i="770"/>
  <c r="N16" i="770"/>
  <c r="O16" i="770"/>
  <c r="O10" i="770"/>
  <c r="N10" i="770"/>
  <c r="M10" i="770"/>
  <c r="L10" i="770"/>
  <c r="G10" i="770"/>
  <c r="F10" i="770"/>
  <c r="E10" i="770"/>
  <c r="D10" i="770"/>
  <c r="J10" i="770"/>
  <c r="J12" i="770"/>
  <c r="J11" i="770"/>
  <c r="J13" i="770"/>
  <c r="C10" i="770"/>
  <c r="C11" i="770"/>
  <c r="C12" i="770"/>
  <c r="C13" i="770"/>
  <c r="C15" i="770"/>
  <c r="C16" i="770"/>
  <c r="F80" i="770"/>
  <c r="AX70" i="770"/>
  <c r="AW70" i="770"/>
  <c r="AV70" i="770"/>
  <c r="AU70" i="770"/>
  <c r="AT70" i="770"/>
  <c r="AS70" i="770"/>
  <c r="AR70" i="770"/>
  <c r="AQ70" i="770"/>
  <c r="AP70" i="770"/>
  <c r="AO70" i="770"/>
  <c r="AN70" i="770"/>
  <c r="AM70" i="770"/>
  <c r="AL70" i="770"/>
  <c r="AK70" i="770"/>
  <c r="AJ70" i="770"/>
  <c r="AI70" i="770"/>
  <c r="AH70" i="770"/>
  <c r="AG70" i="770"/>
  <c r="AF70" i="770"/>
  <c r="AE70" i="770"/>
  <c r="AD70" i="770"/>
  <c r="AC70" i="770"/>
  <c r="AB70" i="770"/>
  <c r="B68" i="770"/>
  <c r="K63" i="770"/>
  <c r="D61" i="770"/>
  <c r="M46" i="770"/>
  <c r="L45" i="770"/>
  <c r="K45" i="770"/>
  <c r="L44" i="770"/>
  <c r="K44" i="770"/>
  <c r="M42" i="770"/>
  <c r="M39" i="770"/>
  <c r="L39" i="770"/>
  <c r="K39" i="770"/>
  <c r="Z38" i="770"/>
  <c r="Y38" i="770"/>
  <c r="X38" i="770"/>
  <c r="W38" i="770"/>
  <c r="V38" i="770"/>
  <c r="U38" i="770"/>
  <c r="T38" i="770"/>
  <c r="S38" i="770"/>
  <c r="R38" i="770"/>
  <c r="Z37" i="770"/>
  <c r="Y37" i="770"/>
  <c r="X37" i="770"/>
  <c r="W37" i="770"/>
  <c r="V37" i="770"/>
  <c r="U37" i="770"/>
  <c r="T37" i="770"/>
  <c r="S37" i="770"/>
  <c r="R37" i="770"/>
  <c r="Z36" i="770"/>
  <c r="Y36" i="770"/>
  <c r="X36" i="770"/>
  <c r="W36" i="770"/>
  <c r="V36" i="770"/>
  <c r="U36" i="770"/>
  <c r="T36" i="770"/>
  <c r="S36" i="770"/>
  <c r="R36" i="770"/>
  <c r="Z35" i="770"/>
  <c r="Y35" i="770"/>
  <c r="X35" i="770"/>
  <c r="W35" i="770"/>
  <c r="V35" i="770"/>
  <c r="U35" i="770"/>
  <c r="T35" i="770"/>
  <c r="S35" i="770"/>
  <c r="R35" i="770"/>
  <c r="Z34" i="770"/>
  <c r="Y34" i="770"/>
  <c r="X34" i="770"/>
  <c r="W34" i="770"/>
  <c r="V34" i="770"/>
  <c r="U34" i="770"/>
  <c r="T34" i="770"/>
  <c r="S34" i="770"/>
  <c r="R34" i="770"/>
  <c r="Z33" i="770"/>
  <c r="Y33" i="770"/>
  <c r="X33" i="770"/>
  <c r="W33" i="770"/>
  <c r="V33" i="770"/>
  <c r="U33" i="770"/>
  <c r="T33" i="770"/>
  <c r="S33" i="770"/>
  <c r="R33" i="770"/>
  <c r="Z32" i="770"/>
  <c r="Y32" i="770"/>
  <c r="X32" i="770"/>
  <c r="W32" i="770"/>
  <c r="V32" i="770"/>
  <c r="U32" i="770"/>
  <c r="T32" i="770"/>
  <c r="S32" i="770"/>
  <c r="R32" i="770"/>
  <c r="Z31" i="770"/>
  <c r="Y31" i="770"/>
  <c r="X31" i="770"/>
  <c r="W31" i="770"/>
  <c r="V31" i="770"/>
  <c r="U31" i="770"/>
  <c r="T31" i="770"/>
  <c r="S31" i="770"/>
  <c r="R31" i="770"/>
  <c r="Z30" i="770"/>
  <c r="Y30" i="770"/>
  <c r="X30" i="770"/>
  <c r="W30" i="770"/>
  <c r="V30" i="770"/>
  <c r="U30" i="770"/>
  <c r="T30" i="770"/>
  <c r="S30" i="770"/>
  <c r="R30" i="770"/>
  <c r="Z29" i="770"/>
  <c r="Y29" i="770"/>
  <c r="X29" i="770"/>
  <c r="W29" i="770"/>
  <c r="V29" i="770"/>
  <c r="U29" i="770"/>
  <c r="T29" i="770"/>
  <c r="S29" i="770"/>
  <c r="R29" i="770"/>
  <c r="Z28" i="770"/>
  <c r="Y28" i="770"/>
  <c r="X28" i="770"/>
  <c r="W28" i="770"/>
  <c r="V28" i="770"/>
  <c r="U28" i="770"/>
  <c r="T28" i="770"/>
  <c r="S28" i="770"/>
  <c r="R28" i="770"/>
  <c r="Z27" i="770"/>
  <c r="Y27" i="770"/>
  <c r="X27" i="770"/>
  <c r="W27" i="770"/>
  <c r="V27" i="770"/>
  <c r="U27" i="770"/>
  <c r="T27" i="770"/>
  <c r="S27" i="770"/>
  <c r="R27" i="770"/>
  <c r="Z26" i="770"/>
  <c r="Y26" i="770"/>
  <c r="X26" i="770"/>
  <c r="W26" i="770"/>
  <c r="V26" i="770"/>
  <c r="U26" i="770"/>
  <c r="T26" i="770"/>
  <c r="S26" i="770"/>
  <c r="R26" i="770"/>
  <c r="Z25" i="770"/>
  <c r="Y25" i="770"/>
  <c r="X25" i="770"/>
  <c r="W25" i="770"/>
  <c r="V25" i="770"/>
  <c r="U25" i="770"/>
  <c r="T25" i="770"/>
  <c r="S25" i="770"/>
  <c r="R25" i="770"/>
  <c r="Z24" i="770"/>
  <c r="Y24" i="770"/>
  <c r="X24" i="770"/>
  <c r="W24" i="770"/>
  <c r="V24" i="770"/>
  <c r="U24" i="770"/>
  <c r="T24" i="770"/>
  <c r="S24" i="770"/>
  <c r="R24" i="770"/>
  <c r="Z23" i="770"/>
  <c r="Y23" i="770"/>
  <c r="X23" i="770"/>
  <c r="W23" i="770"/>
  <c r="V23" i="770"/>
  <c r="U23" i="770"/>
  <c r="T23" i="770"/>
  <c r="S23" i="770"/>
  <c r="R23" i="770"/>
  <c r="Z22" i="770"/>
  <c r="Y22" i="770"/>
  <c r="X22" i="770"/>
  <c r="W22" i="770"/>
  <c r="V22" i="770"/>
  <c r="U22" i="770"/>
  <c r="T22" i="770"/>
  <c r="S22" i="770"/>
  <c r="R22" i="770"/>
  <c r="Z21" i="770"/>
  <c r="Y21" i="770"/>
  <c r="X21" i="770"/>
  <c r="W21" i="770"/>
  <c r="V21" i="770"/>
  <c r="U21" i="770"/>
  <c r="T21" i="770"/>
  <c r="S21" i="770"/>
  <c r="R21" i="770"/>
  <c r="Z20" i="770"/>
  <c r="Y20" i="770"/>
  <c r="X20" i="770"/>
  <c r="W20" i="770"/>
  <c r="V20" i="770"/>
  <c r="U20" i="770"/>
  <c r="T20" i="770"/>
  <c r="S20" i="770"/>
  <c r="R20" i="770"/>
  <c r="Z19" i="770"/>
  <c r="Y19" i="770"/>
  <c r="X19" i="770"/>
  <c r="W19" i="770"/>
  <c r="V19" i="770"/>
  <c r="U19" i="770"/>
  <c r="T19" i="770"/>
  <c r="S19" i="770"/>
  <c r="R19" i="770"/>
  <c r="Z18" i="770"/>
  <c r="Y18" i="770"/>
  <c r="X18" i="770"/>
  <c r="W18" i="770"/>
  <c r="V18" i="770"/>
  <c r="U18" i="770"/>
  <c r="T18" i="770"/>
  <c r="S18" i="770"/>
  <c r="R18" i="770"/>
  <c r="Z17" i="770"/>
  <c r="Y17" i="770"/>
  <c r="X17" i="770"/>
  <c r="W17" i="770"/>
  <c r="V17" i="770"/>
  <c r="U17" i="770"/>
  <c r="T17" i="770"/>
  <c r="S17" i="770"/>
  <c r="R17" i="770"/>
  <c r="Z16" i="770"/>
  <c r="Y16" i="770"/>
  <c r="X16" i="770"/>
  <c r="W16" i="770"/>
  <c r="V16" i="770"/>
  <c r="U16" i="770"/>
  <c r="T16" i="770"/>
  <c r="S16" i="770"/>
  <c r="R16" i="770"/>
  <c r="Z15" i="770"/>
  <c r="Y15" i="770"/>
  <c r="X15" i="770"/>
  <c r="W15" i="770"/>
  <c r="V15" i="770"/>
  <c r="U15" i="770"/>
  <c r="T15" i="770"/>
  <c r="S15" i="770"/>
  <c r="R15" i="770"/>
  <c r="Z14" i="770"/>
  <c r="Y14" i="770"/>
  <c r="X14" i="770"/>
  <c r="W14" i="770"/>
  <c r="V14" i="770"/>
  <c r="U14" i="770"/>
  <c r="T14" i="770"/>
  <c r="S14" i="770"/>
  <c r="R14" i="770"/>
  <c r="Z13" i="770"/>
  <c r="Y13" i="770"/>
  <c r="X13" i="770"/>
  <c r="W13" i="770"/>
  <c r="V13" i="770"/>
  <c r="U13" i="770"/>
  <c r="T13" i="770"/>
  <c r="S13" i="770"/>
  <c r="R13" i="770"/>
  <c r="Z12" i="770"/>
  <c r="Y12" i="770"/>
  <c r="X12" i="770"/>
  <c r="W12" i="770"/>
  <c r="V12" i="770"/>
  <c r="U12" i="770"/>
  <c r="T12" i="770"/>
  <c r="S12" i="770"/>
  <c r="R12" i="770"/>
  <c r="Z11" i="770"/>
  <c r="Y11" i="770"/>
  <c r="X11" i="770"/>
  <c r="W11" i="770"/>
  <c r="V11" i="770"/>
  <c r="U11" i="770"/>
  <c r="T11" i="770"/>
  <c r="S11" i="770"/>
  <c r="R11" i="770"/>
  <c r="Z10" i="770"/>
  <c r="Y10" i="770"/>
  <c r="X10" i="770"/>
  <c r="W10" i="770"/>
  <c r="V10" i="770"/>
  <c r="U10" i="770"/>
  <c r="T10" i="770"/>
  <c r="S10" i="770"/>
  <c r="R10" i="770"/>
  <c r="L54" i="769"/>
  <c r="M54" i="769" s="1"/>
  <c r="M39" i="769"/>
  <c r="L39" i="769"/>
  <c r="K39" i="769"/>
  <c r="I17" i="769"/>
  <c r="J17" i="769"/>
  <c r="K17" i="769"/>
  <c r="L17" i="769"/>
  <c r="M17" i="769"/>
  <c r="N17" i="769"/>
  <c r="O17" i="769"/>
  <c r="I18" i="769"/>
  <c r="J18" i="769"/>
  <c r="K18" i="769"/>
  <c r="L18" i="769"/>
  <c r="M18" i="769"/>
  <c r="N18" i="769"/>
  <c r="O18" i="769"/>
  <c r="I19" i="769"/>
  <c r="J19" i="769"/>
  <c r="K19" i="769"/>
  <c r="L19" i="769"/>
  <c r="M19" i="769"/>
  <c r="N19" i="769"/>
  <c r="O19" i="769"/>
  <c r="I20" i="769"/>
  <c r="J20" i="769"/>
  <c r="K20" i="769"/>
  <c r="L20" i="769"/>
  <c r="M20" i="769"/>
  <c r="N20" i="769"/>
  <c r="O20" i="769"/>
  <c r="I21" i="769"/>
  <c r="J21" i="769"/>
  <c r="K21" i="769"/>
  <c r="L21" i="769"/>
  <c r="M21" i="769"/>
  <c r="N21" i="769"/>
  <c r="O21" i="769"/>
  <c r="I22" i="769"/>
  <c r="J22" i="769"/>
  <c r="K22" i="769"/>
  <c r="L22" i="769"/>
  <c r="M22" i="769"/>
  <c r="N22" i="769"/>
  <c r="O22" i="769"/>
  <c r="I23" i="769"/>
  <c r="J23" i="769"/>
  <c r="K23" i="769"/>
  <c r="L23" i="769"/>
  <c r="M23" i="769"/>
  <c r="N23" i="769"/>
  <c r="O23" i="769"/>
  <c r="I24" i="769"/>
  <c r="J24" i="769"/>
  <c r="K24" i="769"/>
  <c r="L24" i="769"/>
  <c r="M24" i="769"/>
  <c r="N24" i="769"/>
  <c r="O24" i="769"/>
  <c r="I25" i="769"/>
  <c r="J25" i="769"/>
  <c r="K25" i="769"/>
  <c r="L25" i="769"/>
  <c r="M25" i="769"/>
  <c r="N25" i="769"/>
  <c r="O25" i="769"/>
  <c r="C17" i="769"/>
  <c r="D17" i="769"/>
  <c r="E17" i="769"/>
  <c r="F17" i="769"/>
  <c r="G17" i="769"/>
  <c r="C18" i="769"/>
  <c r="D18" i="769"/>
  <c r="E18" i="769"/>
  <c r="F18" i="769"/>
  <c r="G18" i="769"/>
  <c r="C19" i="769"/>
  <c r="D19" i="769"/>
  <c r="E19" i="769"/>
  <c r="F19" i="769"/>
  <c r="G19" i="769"/>
  <c r="C20" i="769"/>
  <c r="D20" i="769"/>
  <c r="E20" i="769"/>
  <c r="F20" i="769"/>
  <c r="G20" i="769"/>
  <c r="C21" i="769"/>
  <c r="D21" i="769"/>
  <c r="E21" i="769"/>
  <c r="F21" i="769"/>
  <c r="G21" i="769"/>
  <c r="C22" i="769"/>
  <c r="D22" i="769"/>
  <c r="E22" i="769"/>
  <c r="F22" i="769"/>
  <c r="G22" i="769"/>
  <c r="C23" i="769"/>
  <c r="D23" i="769"/>
  <c r="E23" i="769"/>
  <c r="F23" i="769"/>
  <c r="G23" i="769"/>
  <c r="C24" i="769"/>
  <c r="D24" i="769"/>
  <c r="E24" i="769"/>
  <c r="F24" i="769"/>
  <c r="G24" i="769"/>
  <c r="C25" i="769"/>
  <c r="D25" i="769"/>
  <c r="E25" i="769"/>
  <c r="F25" i="769"/>
  <c r="G25" i="769"/>
  <c r="F80" i="769"/>
  <c r="AX70" i="769"/>
  <c r="AW70" i="769"/>
  <c r="AV70" i="769"/>
  <c r="AU70" i="769"/>
  <c r="AT70" i="769"/>
  <c r="AS70" i="769"/>
  <c r="AR70" i="769"/>
  <c r="AQ70" i="769"/>
  <c r="AP70" i="769"/>
  <c r="AO70" i="769"/>
  <c r="AN70" i="769"/>
  <c r="AM70" i="769"/>
  <c r="AL70" i="769"/>
  <c r="AK70" i="769"/>
  <c r="AJ70" i="769"/>
  <c r="AI70" i="769"/>
  <c r="AH70" i="769"/>
  <c r="AG70" i="769"/>
  <c r="AF70" i="769"/>
  <c r="AE70" i="769"/>
  <c r="AD70" i="769"/>
  <c r="AC70" i="769"/>
  <c r="AB70" i="769"/>
  <c r="L70" i="769"/>
  <c r="B70" i="769"/>
  <c r="L68" i="769"/>
  <c r="B68" i="769"/>
  <c r="K63" i="769"/>
  <c r="D61" i="769"/>
  <c r="M46" i="769"/>
  <c r="L45" i="769"/>
  <c r="K45" i="769"/>
  <c r="L44" i="769"/>
  <c r="K44" i="769"/>
  <c r="M42" i="769"/>
  <c r="M40" i="769"/>
  <c r="L40" i="769"/>
  <c r="K40" i="769"/>
  <c r="Z38" i="769"/>
  <c r="Y38" i="769"/>
  <c r="X38" i="769"/>
  <c r="W38" i="769"/>
  <c r="V38" i="769"/>
  <c r="U38" i="769"/>
  <c r="T38" i="769"/>
  <c r="S38" i="769"/>
  <c r="R38" i="769"/>
  <c r="Z37" i="769"/>
  <c r="Y37" i="769"/>
  <c r="X37" i="769"/>
  <c r="W37" i="769"/>
  <c r="V37" i="769"/>
  <c r="U37" i="769"/>
  <c r="T37" i="769"/>
  <c r="S37" i="769"/>
  <c r="R37" i="769"/>
  <c r="Z36" i="769"/>
  <c r="Y36" i="769"/>
  <c r="X36" i="769"/>
  <c r="W36" i="769"/>
  <c r="V36" i="769"/>
  <c r="U36" i="769"/>
  <c r="T36" i="769"/>
  <c r="S36" i="769"/>
  <c r="R36" i="769"/>
  <c r="Z35" i="769"/>
  <c r="Y35" i="769"/>
  <c r="X35" i="769"/>
  <c r="W35" i="769"/>
  <c r="V35" i="769"/>
  <c r="U35" i="769"/>
  <c r="T35" i="769"/>
  <c r="S35" i="769"/>
  <c r="R35" i="769"/>
  <c r="Z34" i="769"/>
  <c r="Y34" i="769"/>
  <c r="X34" i="769"/>
  <c r="W34" i="769"/>
  <c r="V34" i="769"/>
  <c r="U34" i="769"/>
  <c r="T34" i="769"/>
  <c r="S34" i="769"/>
  <c r="R34" i="769"/>
  <c r="Z33" i="769"/>
  <c r="Y33" i="769"/>
  <c r="X33" i="769"/>
  <c r="W33" i="769"/>
  <c r="V33" i="769"/>
  <c r="U33" i="769"/>
  <c r="T33" i="769"/>
  <c r="S33" i="769"/>
  <c r="R33" i="769"/>
  <c r="Z32" i="769"/>
  <c r="Y32" i="769"/>
  <c r="X32" i="769"/>
  <c r="W32" i="769"/>
  <c r="V32" i="769"/>
  <c r="U32" i="769"/>
  <c r="T32" i="769"/>
  <c r="S32" i="769"/>
  <c r="R32" i="769"/>
  <c r="Z31" i="769"/>
  <c r="Y31" i="769"/>
  <c r="X31" i="769"/>
  <c r="W31" i="769"/>
  <c r="V31" i="769"/>
  <c r="U31" i="769"/>
  <c r="T31" i="769"/>
  <c r="S31" i="769"/>
  <c r="R31" i="769"/>
  <c r="Z30" i="769"/>
  <c r="Y30" i="769"/>
  <c r="X30" i="769"/>
  <c r="W30" i="769"/>
  <c r="V30" i="769"/>
  <c r="U30" i="769"/>
  <c r="T30" i="769"/>
  <c r="S30" i="769"/>
  <c r="R30" i="769"/>
  <c r="Z29" i="769"/>
  <c r="Y29" i="769"/>
  <c r="X29" i="769"/>
  <c r="W29" i="769"/>
  <c r="V29" i="769"/>
  <c r="U29" i="769"/>
  <c r="T29" i="769"/>
  <c r="S29" i="769"/>
  <c r="R29" i="769"/>
  <c r="Z28" i="769"/>
  <c r="Y28" i="769"/>
  <c r="X28" i="769"/>
  <c r="W28" i="769"/>
  <c r="V28" i="769"/>
  <c r="U28" i="769"/>
  <c r="T28" i="769"/>
  <c r="S28" i="769"/>
  <c r="R28" i="769"/>
  <c r="Z27" i="769"/>
  <c r="Y27" i="769"/>
  <c r="X27" i="769"/>
  <c r="W27" i="769"/>
  <c r="V27" i="769"/>
  <c r="U27" i="769"/>
  <c r="T27" i="769"/>
  <c r="S27" i="769"/>
  <c r="R27" i="769"/>
  <c r="Z26" i="769"/>
  <c r="Y26" i="769"/>
  <c r="X26" i="769"/>
  <c r="W26" i="769"/>
  <c r="V26" i="769"/>
  <c r="U26" i="769"/>
  <c r="T26" i="769"/>
  <c r="S26" i="769"/>
  <c r="R26" i="769"/>
  <c r="Z25" i="769"/>
  <c r="Y25" i="769"/>
  <c r="X25" i="769"/>
  <c r="W25" i="769"/>
  <c r="V25" i="769"/>
  <c r="U25" i="769"/>
  <c r="T25" i="769"/>
  <c r="S25" i="769"/>
  <c r="R25" i="769"/>
  <c r="Z24" i="769"/>
  <c r="Y24" i="769"/>
  <c r="X24" i="769"/>
  <c r="W24" i="769"/>
  <c r="V24" i="769"/>
  <c r="U24" i="769"/>
  <c r="T24" i="769"/>
  <c r="S24" i="769"/>
  <c r="R24" i="769"/>
  <c r="Z23" i="769"/>
  <c r="Y23" i="769"/>
  <c r="X23" i="769"/>
  <c r="W23" i="769"/>
  <c r="V23" i="769"/>
  <c r="U23" i="769"/>
  <c r="T23" i="769"/>
  <c r="S23" i="769"/>
  <c r="R23" i="769"/>
  <c r="Z22" i="769"/>
  <c r="Y22" i="769"/>
  <c r="X22" i="769"/>
  <c r="W22" i="769"/>
  <c r="V22" i="769"/>
  <c r="U22" i="769"/>
  <c r="T22" i="769"/>
  <c r="S22" i="769"/>
  <c r="R22" i="769"/>
  <c r="Z21" i="769"/>
  <c r="Y21" i="769"/>
  <c r="X21" i="769"/>
  <c r="W21" i="769"/>
  <c r="V21" i="769"/>
  <c r="U21" i="769"/>
  <c r="T21" i="769"/>
  <c r="S21" i="769"/>
  <c r="R21" i="769"/>
  <c r="Z20" i="769"/>
  <c r="Y20" i="769"/>
  <c r="X20" i="769"/>
  <c r="W20" i="769"/>
  <c r="V20" i="769"/>
  <c r="U20" i="769"/>
  <c r="T20" i="769"/>
  <c r="S20" i="769"/>
  <c r="R20" i="769"/>
  <c r="Z19" i="769"/>
  <c r="Y19" i="769"/>
  <c r="X19" i="769"/>
  <c r="W19" i="769"/>
  <c r="V19" i="769"/>
  <c r="U19" i="769"/>
  <c r="T19" i="769"/>
  <c r="S19" i="769"/>
  <c r="R19" i="769"/>
  <c r="Z18" i="769"/>
  <c r="Y18" i="769"/>
  <c r="X18" i="769"/>
  <c r="W18" i="769"/>
  <c r="V18" i="769"/>
  <c r="U18" i="769"/>
  <c r="T18" i="769"/>
  <c r="S18" i="769"/>
  <c r="R18" i="769"/>
  <c r="Z17" i="769"/>
  <c r="Y17" i="769"/>
  <c r="X17" i="769"/>
  <c r="W17" i="769"/>
  <c r="V17" i="769"/>
  <c r="U17" i="769"/>
  <c r="T17" i="769"/>
  <c r="S17" i="769"/>
  <c r="R17" i="769"/>
  <c r="Z16" i="769"/>
  <c r="Y16" i="769"/>
  <c r="X16" i="769"/>
  <c r="W16" i="769"/>
  <c r="V16" i="769"/>
  <c r="U16" i="769"/>
  <c r="T16" i="769"/>
  <c r="S16" i="769"/>
  <c r="R16" i="769"/>
  <c r="Z15" i="769"/>
  <c r="Y15" i="769"/>
  <c r="X15" i="769"/>
  <c r="W15" i="769"/>
  <c r="V15" i="769"/>
  <c r="U15" i="769"/>
  <c r="T15" i="769"/>
  <c r="S15" i="769"/>
  <c r="R15" i="769"/>
  <c r="Z14" i="769"/>
  <c r="Y14" i="769"/>
  <c r="X14" i="769"/>
  <c r="W14" i="769"/>
  <c r="V14" i="769"/>
  <c r="U14" i="769"/>
  <c r="T14" i="769"/>
  <c r="S14" i="769"/>
  <c r="R14" i="769"/>
  <c r="Z13" i="769"/>
  <c r="Y13" i="769"/>
  <c r="X13" i="769"/>
  <c r="W13" i="769"/>
  <c r="V13" i="769"/>
  <c r="U13" i="769"/>
  <c r="T13" i="769"/>
  <c r="S13" i="769"/>
  <c r="R13" i="769"/>
  <c r="Z12" i="769"/>
  <c r="Y12" i="769"/>
  <c r="X12" i="769"/>
  <c r="W12" i="769"/>
  <c r="V12" i="769"/>
  <c r="U12" i="769"/>
  <c r="T12" i="769"/>
  <c r="S12" i="769"/>
  <c r="R12" i="769"/>
  <c r="Z11" i="769"/>
  <c r="Y11" i="769"/>
  <c r="X11" i="769"/>
  <c r="W11" i="769"/>
  <c r="V11" i="769"/>
  <c r="U11" i="769"/>
  <c r="T11" i="769"/>
  <c r="S11" i="769"/>
  <c r="R11" i="769"/>
  <c r="Z10" i="769"/>
  <c r="Y10" i="769"/>
  <c r="X10" i="769"/>
  <c r="W10" i="769"/>
  <c r="V10" i="769"/>
  <c r="U10" i="769"/>
  <c r="T10" i="769"/>
  <c r="S10" i="769"/>
  <c r="R10" i="769"/>
  <c r="C55" i="768"/>
  <c r="C56" i="768"/>
  <c r="C57" i="768"/>
  <c r="C58" i="768"/>
  <c r="C51" i="768"/>
  <c r="C52" i="768"/>
  <c r="C53" i="768"/>
  <c r="C54" i="768"/>
  <c r="C39" i="768"/>
  <c r="C40" i="768"/>
  <c r="C41" i="768"/>
  <c r="C42" i="768"/>
  <c r="M54" i="770" l="1"/>
  <c r="J39" i="769"/>
  <c r="K49" i="770"/>
  <c r="L49" i="770" s="1"/>
  <c r="M49" i="770" s="1"/>
  <c r="K49" i="769"/>
  <c r="L49" i="769" s="1"/>
  <c r="M49" i="769" s="1"/>
  <c r="I11" i="770"/>
  <c r="I12" i="770"/>
  <c r="I10" i="770"/>
  <c r="I13" i="770"/>
  <c r="J40" i="770" l="1"/>
  <c r="B70" i="768"/>
  <c r="B51" i="768"/>
  <c r="B39" i="768"/>
  <c r="M39" i="768"/>
  <c r="L39" i="768"/>
  <c r="K39" i="768"/>
  <c r="L54" i="768"/>
  <c r="C11" i="768"/>
  <c r="D11" i="768"/>
  <c r="E11" i="768"/>
  <c r="F11" i="768"/>
  <c r="G11" i="768"/>
  <c r="I11" i="768"/>
  <c r="J11" i="768"/>
  <c r="K11" i="768"/>
  <c r="L11" i="768"/>
  <c r="M11" i="768"/>
  <c r="O11" i="768"/>
  <c r="C12" i="768"/>
  <c r="D12" i="768"/>
  <c r="E12" i="768"/>
  <c r="F12" i="768"/>
  <c r="G12" i="768"/>
  <c r="I12" i="768"/>
  <c r="J12" i="768"/>
  <c r="K12" i="768"/>
  <c r="L12" i="768"/>
  <c r="M12" i="768"/>
  <c r="O12" i="768"/>
  <c r="C13" i="768"/>
  <c r="D13" i="768"/>
  <c r="E13" i="768"/>
  <c r="F13" i="768"/>
  <c r="G13" i="768"/>
  <c r="I13" i="768"/>
  <c r="J13" i="768"/>
  <c r="K13" i="768"/>
  <c r="L13" i="768"/>
  <c r="M13" i="768"/>
  <c r="O13" i="768"/>
  <c r="C14" i="768"/>
  <c r="D14" i="768"/>
  <c r="E14" i="768"/>
  <c r="F14" i="768"/>
  <c r="G14" i="768"/>
  <c r="I14" i="768"/>
  <c r="J14" i="768"/>
  <c r="K14" i="768"/>
  <c r="L14" i="768"/>
  <c r="M14" i="768"/>
  <c r="O14" i="768"/>
  <c r="C15" i="768"/>
  <c r="D15" i="768"/>
  <c r="E15" i="768"/>
  <c r="F15" i="768"/>
  <c r="G15" i="768"/>
  <c r="I15" i="768"/>
  <c r="J15" i="768"/>
  <c r="K15" i="768"/>
  <c r="L15" i="768"/>
  <c r="M15" i="768"/>
  <c r="O15" i="768"/>
  <c r="C16" i="768"/>
  <c r="D16" i="768"/>
  <c r="E16" i="768"/>
  <c r="F16" i="768"/>
  <c r="G16" i="768"/>
  <c r="I16" i="768"/>
  <c r="J16" i="768"/>
  <c r="K16" i="768"/>
  <c r="L16" i="768"/>
  <c r="M16" i="768"/>
  <c r="O16" i="768"/>
  <c r="O10" i="768"/>
  <c r="M10" i="768"/>
  <c r="L10" i="768"/>
  <c r="K10" i="768"/>
  <c r="J10" i="768"/>
  <c r="I10" i="768"/>
  <c r="G10" i="768"/>
  <c r="F10" i="768"/>
  <c r="E10" i="768"/>
  <c r="D10" i="768"/>
  <c r="C10" i="768"/>
  <c r="J39" i="768" l="1"/>
  <c r="F80" i="768"/>
  <c r="AX70" i="768"/>
  <c r="AW70" i="768"/>
  <c r="AV70" i="768"/>
  <c r="AU70" i="768"/>
  <c r="AT70" i="768"/>
  <c r="AS70" i="768"/>
  <c r="AR70" i="768"/>
  <c r="AQ70" i="768"/>
  <c r="AP70" i="768"/>
  <c r="AO70" i="768"/>
  <c r="AN70" i="768"/>
  <c r="AM70" i="768"/>
  <c r="AL70" i="768"/>
  <c r="AK70" i="768"/>
  <c r="AJ70" i="768"/>
  <c r="AI70" i="768"/>
  <c r="AH70" i="768"/>
  <c r="AG70" i="768"/>
  <c r="AF70" i="768"/>
  <c r="AE70" i="768"/>
  <c r="AD70" i="768"/>
  <c r="AC70" i="768"/>
  <c r="AB70" i="768"/>
  <c r="B68" i="768"/>
  <c r="K63" i="768"/>
  <c r="D61" i="768"/>
  <c r="M54" i="768"/>
  <c r="M46" i="768"/>
  <c r="L45" i="768"/>
  <c r="K45" i="768"/>
  <c r="L44" i="768"/>
  <c r="K44" i="768"/>
  <c r="M42" i="768"/>
  <c r="M40" i="768"/>
  <c r="L40" i="768"/>
  <c r="K40" i="768"/>
  <c r="Z38" i="768"/>
  <c r="Y38" i="768"/>
  <c r="X38" i="768"/>
  <c r="W38" i="768"/>
  <c r="V38" i="768"/>
  <c r="U38" i="768"/>
  <c r="T38" i="768"/>
  <c r="S38" i="768"/>
  <c r="R38" i="768"/>
  <c r="Z37" i="768"/>
  <c r="Y37" i="768"/>
  <c r="X37" i="768"/>
  <c r="W37" i="768"/>
  <c r="V37" i="768"/>
  <c r="U37" i="768"/>
  <c r="T37" i="768"/>
  <c r="S37" i="768"/>
  <c r="R37" i="768"/>
  <c r="Z36" i="768"/>
  <c r="Y36" i="768"/>
  <c r="X36" i="768"/>
  <c r="W36" i="768"/>
  <c r="V36" i="768"/>
  <c r="U36" i="768"/>
  <c r="T36" i="768"/>
  <c r="S36" i="768"/>
  <c r="R36" i="768"/>
  <c r="Z35" i="768"/>
  <c r="Y35" i="768"/>
  <c r="X35" i="768"/>
  <c r="W35" i="768"/>
  <c r="V35" i="768"/>
  <c r="U35" i="768"/>
  <c r="T35" i="768"/>
  <c r="S35" i="768"/>
  <c r="R35" i="768"/>
  <c r="Z34" i="768"/>
  <c r="Y34" i="768"/>
  <c r="X34" i="768"/>
  <c r="W34" i="768"/>
  <c r="V34" i="768"/>
  <c r="U34" i="768"/>
  <c r="T34" i="768"/>
  <c r="S34" i="768"/>
  <c r="R34" i="768"/>
  <c r="Z33" i="768"/>
  <c r="Y33" i="768"/>
  <c r="X33" i="768"/>
  <c r="W33" i="768"/>
  <c r="V33" i="768"/>
  <c r="U33" i="768"/>
  <c r="T33" i="768"/>
  <c r="S33" i="768"/>
  <c r="R33" i="768"/>
  <c r="Z32" i="768"/>
  <c r="Y32" i="768"/>
  <c r="X32" i="768"/>
  <c r="W32" i="768"/>
  <c r="V32" i="768"/>
  <c r="U32" i="768"/>
  <c r="T32" i="768"/>
  <c r="S32" i="768"/>
  <c r="R32" i="768"/>
  <c r="Z31" i="768"/>
  <c r="Y31" i="768"/>
  <c r="X31" i="768"/>
  <c r="W31" i="768"/>
  <c r="V31" i="768"/>
  <c r="U31" i="768"/>
  <c r="T31" i="768"/>
  <c r="S31" i="768"/>
  <c r="R31" i="768"/>
  <c r="Z30" i="768"/>
  <c r="Y30" i="768"/>
  <c r="X30" i="768"/>
  <c r="W30" i="768"/>
  <c r="V30" i="768"/>
  <c r="U30" i="768"/>
  <c r="T30" i="768"/>
  <c r="S30" i="768"/>
  <c r="R30" i="768"/>
  <c r="Z29" i="768"/>
  <c r="Y29" i="768"/>
  <c r="X29" i="768"/>
  <c r="W29" i="768"/>
  <c r="V29" i="768"/>
  <c r="U29" i="768"/>
  <c r="T29" i="768"/>
  <c r="S29" i="768"/>
  <c r="R29" i="768"/>
  <c r="Z28" i="768"/>
  <c r="Y28" i="768"/>
  <c r="X28" i="768"/>
  <c r="W28" i="768"/>
  <c r="V28" i="768"/>
  <c r="U28" i="768"/>
  <c r="T28" i="768"/>
  <c r="S28" i="768"/>
  <c r="R28" i="768"/>
  <c r="Z27" i="768"/>
  <c r="Y27" i="768"/>
  <c r="X27" i="768"/>
  <c r="W27" i="768"/>
  <c r="V27" i="768"/>
  <c r="U27" i="768"/>
  <c r="T27" i="768"/>
  <c r="S27" i="768"/>
  <c r="R27" i="768"/>
  <c r="Z26" i="768"/>
  <c r="Y26" i="768"/>
  <c r="X26" i="768"/>
  <c r="W26" i="768"/>
  <c r="V26" i="768"/>
  <c r="U26" i="768"/>
  <c r="T26" i="768"/>
  <c r="S26" i="768"/>
  <c r="R26" i="768"/>
  <c r="Z25" i="768"/>
  <c r="Y25" i="768"/>
  <c r="X25" i="768"/>
  <c r="W25" i="768"/>
  <c r="V25" i="768"/>
  <c r="U25" i="768"/>
  <c r="T25" i="768"/>
  <c r="S25" i="768"/>
  <c r="R25" i="768"/>
  <c r="Z24" i="768"/>
  <c r="Y24" i="768"/>
  <c r="X24" i="768"/>
  <c r="W24" i="768"/>
  <c r="V24" i="768"/>
  <c r="U24" i="768"/>
  <c r="T24" i="768"/>
  <c r="S24" i="768"/>
  <c r="R24" i="768"/>
  <c r="Z23" i="768"/>
  <c r="Y23" i="768"/>
  <c r="X23" i="768"/>
  <c r="W23" i="768"/>
  <c r="V23" i="768"/>
  <c r="U23" i="768"/>
  <c r="T23" i="768"/>
  <c r="S23" i="768"/>
  <c r="R23" i="768"/>
  <c r="Z22" i="768"/>
  <c r="Y22" i="768"/>
  <c r="X22" i="768"/>
  <c r="W22" i="768"/>
  <c r="V22" i="768"/>
  <c r="U22" i="768"/>
  <c r="T22" i="768"/>
  <c r="S22" i="768"/>
  <c r="R22" i="768"/>
  <c r="Z21" i="768"/>
  <c r="Y21" i="768"/>
  <c r="X21" i="768"/>
  <c r="W21" i="768"/>
  <c r="V21" i="768"/>
  <c r="U21" i="768"/>
  <c r="T21" i="768"/>
  <c r="S21" i="768"/>
  <c r="R21" i="768"/>
  <c r="Z20" i="768"/>
  <c r="Y20" i="768"/>
  <c r="X20" i="768"/>
  <c r="W20" i="768"/>
  <c r="V20" i="768"/>
  <c r="U20" i="768"/>
  <c r="T20" i="768"/>
  <c r="S20" i="768"/>
  <c r="R20" i="768"/>
  <c r="Z19" i="768"/>
  <c r="Y19" i="768"/>
  <c r="X19" i="768"/>
  <c r="W19" i="768"/>
  <c r="V19" i="768"/>
  <c r="U19" i="768"/>
  <c r="T19" i="768"/>
  <c r="S19" i="768"/>
  <c r="R19" i="768"/>
  <c r="Z18" i="768"/>
  <c r="Y18" i="768"/>
  <c r="X18" i="768"/>
  <c r="W18" i="768"/>
  <c r="V18" i="768"/>
  <c r="U18" i="768"/>
  <c r="T18" i="768"/>
  <c r="S18" i="768"/>
  <c r="R18" i="768"/>
  <c r="Z17" i="768"/>
  <c r="Y17" i="768"/>
  <c r="X17" i="768"/>
  <c r="W17" i="768"/>
  <c r="V17" i="768"/>
  <c r="U17" i="768"/>
  <c r="T17" i="768"/>
  <c r="S17" i="768"/>
  <c r="R17" i="768"/>
  <c r="Z16" i="768"/>
  <c r="Y16" i="768"/>
  <c r="X16" i="768"/>
  <c r="W16" i="768"/>
  <c r="V16" i="768"/>
  <c r="U16" i="768"/>
  <c r="T16" i="768"/>
  <c r="S16" i="768"/>
  <c r="R16" i="768"/>
  <c r="Z15" i="768"/>
  <c r="Y15" i="768"/>
  <c r="X15" i="768"/>
  <c r="W15" i="768"/>
  <c r="V15" i="768"/>
  <c r="U15" i="768"/>
  <c r="T15" i="768"/>
  <c r="S15" i="768"/>
  <c r="R15" i="768"/>
  <c r="Z14" i="768"/>
  <c r="Y14" i="768"/>
  <c r="X14" i="768"/>
  <c r="W14" i="768"/>
  <c r="V14" i="768"/>
  <c r="U14" i="768"/>
  <c r="T14" i="768"/>
  <c r="S14" i="768"/>
  <c r="R14" i="768"/>
  <c r="Z13" i="768"/>
  <c r="Y13" i="768"/>
  <c r="X13" i="768"/>
  <c r="W13" i="768"/>
  <c r="V13" i="768"/>
  <c r="U13" i="768"/>
  <c r="T13" i="768"/>
  <c r="S13" i="768"/>
  <c r="R13" i="768"/>
  <c r="Z12" i="768"/>
  <c r="Y12" i="768"/>
  <c r="X12" i="768"/>
  <c r="W12" i="768"/>
  <c r="V12" i="768"/>
  <c r="U12" i="768"/>
  <c r="T12" i="768"/>
  <c r="S12" i="768"/>
  <c r="R12" i="768"/>
  <c r="Z11" i="768"/>
  <c r="Y11" i="768"/>
  <c r="X11" i="768"/>
  <c r="W11" i="768"/>
  <c r="V11" i="768"/>
  <c r="U11" i="768"/>
  <c r="T11" i="768"/>
  <c r="S11" i="768"/>
  <c r="R11" i="768"/>
  <c r="Z10" i="768"/>
  <c r="Y10" i="768"/>
  <c r="X10" i="768"/>
  <c r="W10" i="768"/>
  <c r="V10" i="768"/>
  <c r="U10" i="768"/>
  <c r="T10" i="768"/>
  <c r="S10" i="768"/>
  <c r="R10" i="768"/>
  <c r="L54" i="767"/>
  <c r="L44" i="767"/>
  <c r="K44" i="767"/>
  <c r="K49" i="768" l="1"/>
  <c r="L49" i="768"/>
  <c r="M49" i="768" s="1"/>
  <c r="B39" i="767"/>
  <c r="B51" i="767"/>
  <c r="D61" i="767"/>
  <c r="L19" i="767" l="1"/>
  <c r="C18" i="767"/>
  <c r="D18" i="767"/>
  <c r="E18" i="767"/>
  <c r="F18" i="767"/>
  <c r="G18" i="767"/>
  <c r="I18" i="767"/>
  <c r="J18" i="767"/>
  <c r="L18" i="767"/>
  <c r="M18" i="767"/>
  <c r="N18" i="767"/>
  <c r="O18" i="767"/>
  <c r="C19" i="767"/>
  <c r="D19" i="767"/>
  <c r="E19" i="767"/>
  <c r="F19" i="767"/>
  <c r="G19" i="767"/>
  <c r="I19" i="767"/>
  <c r="J19" i="767"/>
  <c r="M19" i="767"/>
  <c r="N19" i="767"/>
  <c r="O19" i="767"/>
  <c r="C20" i="767"/>
  <c r="D20" i="767"/>
  <c r="E20" i="767"/>
  <c r="F20" i="767"/>
  <c r="G20" i="767"/>
  <c r="I20" i="767"/>
  <c r="J20" i="767"/>
  <c r="L20" i="767"/>
  <c r="M20" i="767"/>
  <c r="N20" i="767"/>
  <c r="O20" i="767"/>
  <c r="C21" i="767"/>
  <c r="D21" i="767"/>
  <c r="E21" i="767"/>
  <c r="F21" i="767"/>
  <c r="G21" i="767"/>
  <c r="I21" i="767"/>
  <c r="J21" i="767"/>
  <c r="L21" i="767"/>
  <c r="M21" i="767"/>
  <c r="N21" i="767"/>
  <c r="O21" i="767"/>
  <c r="J44" i="767" l="1"/>
  <c r="F80" i="767"/>
  <c r="AX70" i="767"/>
  <c r="AW70" i="767"/>
  <c r="AV70" i="767"/>
  <c r="AU70" i="767"/>
  <c r="AT70" i="767"/>
  <c r="AS70" i="767"/>
  <c r="AR70" i="767"/>
  <c r="AQ70" i="767"/>
  <c r="AP70" i="767"/>
  <c r="AO70" i="767"/>
  <c r="AN70" i="767"/>
  <c r="AM70" i="767"/>
  <c r="AL70" i="767"/>
  <c r="AK70" i="767"/>
  <c r="AJ70" i="767"/>
  <c r="AI70" i="767"/>
  <c r="AH70" i="767"/>
  <c r="AG70" i="767"/>
  <c r="AF70" i="767"/>
  <c r="AE70" i="767"/>
  <c r="AD70" i="767"/>
  <c r="AC70" i="767"/>
  <c r="AB70" i="767"/>
  <c r="L70" i="767"/>
  <c r="B70" i="767"/>
  <c r="B68" i="767"/>
  <c r="K63" i="767"/>
  <c r="M54" i="767" s="1"/>
  <c r="M46" i="767"/>
  <c r="L45" i="767"/>
  <c r="K45" i="767"/>
  <c r="M42" i="767"/>
  <c r="M40" i="767"/>
  <c r="L40" i="767"/>
  <c r="K40" i="767"/>
  <c r="M39" i="767"/>
  <c r="L39" i="767"/>
  <c r="K39" i="767"/>
  <c r="Z38" i="767"/>
  <c r="Y38" i="767"/>
  <c r="X38" i="767"/>
  <c r="W38" i="767"/>
  <c r="V38" i="767"/>
  <c r="U38" i="767"/>
  <c r="T38" i="767"/>
  <c r="S38" i="767"/>
  <c r="R38" i="767"/>
  <c r="Z37" i="767"/>
  <c r="Y37" i="767"/>
  <c r="X37" i="767"/>
  <c r="W37" i="767"/>
  <c r="V37" i="767"/>
  <c r="U37" i="767"/>
  <c r="T37" i="767"/>
  <c r="S37" i="767"/>
  <c r="R37" i="767"/>
  <c r="Z36" i="767"/>
  <c r="Y36" i="767"/>
  <c r="X36" i="767"/>
  <c r="W36" i="767"/>
  <c r="V36" i="767"/>
  <c r="U36" i="767"/>
  <c r="T36" i="767"/>
  <c r="S36" i="767"/>
  <c r="R36" i="767"/>
  <c r="Z35" i="767"/>
  <c r="Y35" i="767"/>
  <c r="X35" i="767"/>
  <c r="W35" i="767"/>
  <c r="V35" i="767"/>
  <c r="U35" i="767"/>
  <c r="T35" i="767"/>
  <c r="S35" i="767"/>
  <c r="R35" i="767"/>
  <c r="Z34" i="767"/>
  <c r="Y34" i="767"/>
  <c r="X34" i="767"/>
  <c r="W34" i="767"/>
  <c r="V34" i="767"/>
  <c r="U34" i="767"/>
  <c r="T34" i="767"/>
  <c r="S34" i="767"/>
  <c r="R34" i="767"/>
  <c r="Z33" i="767"/>
  <c r="Y33" i="767"/>
  <c r="X33" i="767"/>
  <c r="W33" i="767"/>
  <c r="V33" i="767"/>
  <c r="U33" i="767"/>
  <c r="T33" i="767"/>
  <c r="S33" i="767"/>
  <c r="R33" i="767"/>
  <c r="Z32" i="767"/>
  <c r="Y32" i="767"/>
  <c r="X32" i="767"/>
  <c r="W32" i="767"/>
  <c r="V32" i="767"/>
  <c r="U32" i="767"/>
  <c r="T32" i="767"/>
  <c r="S32" i="767"/>
  <c r="R32" i="767"/>
  <c r="Z31" i="767"/>
  <c r="Y31" i="767"/>
  <c r="X31" i="767"/>
  <c r="W31" i="767"/>
  <c r="V31" i="767"/>
  <c r="U31" i="767"/>
  <c r="T31" i="767"/>
  <c r="S31" i="767"/>
  <c r="R31" i="767"/>
  <c r="Z30" i="767"/>
  <c r="Y30" i="767"/>
  <c r="X30" i="767"/>
  <c r="W30" i="767"/>
  <c r="V30" i="767"/>
  <c r="U30" i="767"/>
  <c r="T30" i="767"/>
  <c r="S30" i="767"/>
  <c r="R30" i="767"/>
  <c r="Z29" i="767"/>
  <c r="Y29" i="767"/>
  <c r="X29" i="767"/>
  <c r="W29" i="767"/>
  <c r="V29" i="767"/>
  <c r="U29" i="767"/>
  <c r="T29" i="767"/>
  <c r="S29" i="767"/>
  <c r="R29" i="767"/>
  <c r="Z28" i="767"/>
  <c r="Y28" i="767"/>
  <c r="X28" i="767"/>
  <c r="W28" i="767"/>
  <c r="V28" i="767"/>
  <c r="U28" i="767"/>
  <c r="T28" i="767"/>
  <c r="S28" i="767"/>
  <c r="R28" i="767"/>
  <c r="Z27" i="767"/>
  <c r="Y27" i="767"/>
  <c r="X27" i="767"/>
  <c r="W27" i="767"/>
  <c r="V27" i="767"/>
  <c r="U27" i="767"/>
  <c r="T27" i="767"/>
  <c r="S27" i="767"/>
  <c r="R27" i="767"/>
  <c r="Z26" i="767"/>
  <c r="Y26" i="767"/>
  <c r="X26" i="767"/>
  <c r="W26" i="767"/>
  <c r="V26" i="767"/>
  <c r="U26" i="767"/>
  <c r="T26" i="767"/>
  <c r="S26" i="767"/>
  <c r="R26" i="767"/>
  <c r="Z25" i="767"/>
  <c r="Y25" i="767"/>
  <c r="X25" i="767"/>
  <c r="W25" i="767"/>
  <c r="V25" i="767"/>
  <c r="U25" i="767"/>
  <c r="T25" i="767"/>
  <c r="S25" i="767"/>
  <c r="R25" i="767"/>
  <c r="Z24" i="767"/>
  <c r="Y24" i="767"/>
  <c r="X24" i="767"/>
  <c r="W24" i="767"/>
  <c r="V24" i="767"/>
  <c r="U24" i="767"/>
  <c r="T24" i="767"/>
  <c r="S24" i="767"/>
  <c r="R24" i="767"/>
  <c r="Z23" i="767"/>
  <c r="Y23" i="767"/>
  <c r="X23" i="767"/>
  <c r="W23" i="767"/>
  <c r="V23" i="767"/>
  <c r="U23" i="767"/>
  <c r="T23" i="767"/>
  <c r="S23" i="767"/>
  <c r="R23" i="767"/>
  <c r="Z22" i="767"/>
  <c r="Y22" i="767"/>
  <c r="X22" i="767"/>
  <c r="W22" i="767"/>
  <c r="V22" i="767"/>
  <c r="U22" i="767"/>
  <c r="T22" i="767"/>
  <c r="S22" i="767"/>
  <c r="R22" i="767"/>
  <c r="Z21" i="767"/>
  <c r="Y21" i="767"/>
  <c r="X21" i="767"/>
  <c r="W21" i="767"/>
  <c r="V21" i="767"/>
  <c r="U21" i="767"/>
  <c r="T21" i="767"/>
  <c r="S21" i="767"/>
  <c r="R21" i="767"/>
  <c r="Z20" i="767"/>
  <c r="Y20" i="767"/>
  <c r="X20" i="767"/>
  <c r="W20" i="767"/>
  <c r="V20" i="767"/>
  <c r="U20" i="767"/>
  <c r="T20" i="767"/>
  <c r="S20" i="767"/>
  <c r="R20" i="767"/>
  <c r="Z19" i="767"/>
  <c r="Y19" i="767"/>
  <c r="X19" i="767"/>
  <c r="W19" i="767"/>
  <c r="V19" i="767"/>
  <c r="U19" i="767"/>
  <c r="T19" i="767"/>
  <c r="S19" i="767"/>
  <c r="R19" i="767"/>
  <c r="Z18" i="767"/>
  <c r="Y18" i="767"/>
  <c r="X18" i="767"/>
  <c r="W18" i="767"/>
  <c r="V18" i="767"/>
  <c r="U18" i="767"/>
  <c r="T18" i="767"/>
  <c r="S18" i="767"/>
  <c r="R18" i="767"/>
  <c r="Z17" i="767"/>
  <c r="Y17" i="767"/>
  <c r="X17" i="767"/>
  <c r="W17" i="767"/>
  <c r="V17" i="767"/>
  <c r="U17" i="767"/>
  <c r="T17" i="767"/>
  <c r="S17" i="767"/>
  <c r="R17" i="767"/>
  <c r="Z16" i="767"/>
  <c r="Y16" i="767"/>
  <c r="X16" i="767"/>
  <c r="W16" i="767"/>
  <c r="V16" i="767"/>
  <c r="U16" i="767"/>
  <c r="T16" i="767"/>
  <c r="S16" i="767"/>
  <c r="R16" i="767"/>
  <c r="Z15" i="767"/>
  <c r="Y15" i="767"/>
  <c r="X15" i="767"/>
  <c r="W15" i="767"/>
  <c r="V15" i="767"/>
  <c r="U15" i="767"/>
  <c r="T15" i="767"/>
  <c r="S15" i="767"/>
  <c r="R15" i="767"/>
  <c r="Z14" i="767"/>
  <c r="Y14" i="767"/>
  <c r="X14" i="767"/>
  <c r="W14" i="767"/>
  <c r="V14" i="767"/>
  <c r="U14" i="767"/>
  <c r="T14" i="767"/>
  <c r="S14" i="767"/>
  <c r="R14" i="767"/>
  <c r="Z13" i="767"/>
  <c r="Y13" i="767"/>
  <c r="X13" i="767"/>
  <c r="W13" i="767"/>
  <c r="V13" i="767"/>
  <c r="U13" i="767"/>
  <c r="T13" i="767"/>
  <c r="S13" i="767"/>
  <c r="R13" i="767"/>
  <c r="Z12" i="767"/>
  <c r="Y12" i="767"/>
  <c r="X12" i="767"/>
  <c r="W12" i="767"/>
  <c r="V12" i="767"/>
  <c r="U12" i="767"/>
  <c r="T12" i="767"/>
  <c r="S12" i="767"/>
  <c r="R12" i="767"/>
  <c r="Z11" i="767"/>
  <c r="Y11" i="767"/>
  <c r="X11" i="767"/>
  <c r="W11" i="767"/>
  <c r="V11" i="767"/>
  <c r="U11" i="767"/>
  <c r="T11" i="767"/>
  <c r="S11" i="767"/>
  <c r="R11" i="767"/>
  <c r="Z10" i="767"/>
  <c r="Y10" i="767"/>
  <c r="X10" i="767"/>
  <c r="W10" i="767"/>
  <c r="V10" i="767"/>
  <c r="U10" i="767"/>
  <c r="T10" i="767"/>
  <c r="S10" i="767"/>
  <c r="R10" i="767"/>
  <c r="L54" i="766"/>
  <c r="K40" i="766"/>
  <c r="M39" i="766"/>
  <c r="L39" i="766"/>
  <c r="K39" i="766"/>
  <c r="K49" i="767" l="1"/>
  <c r="L49" i="767" s="1"/>
  <c r="M49" i="767" s="1"/>
  <c r="J27" i="766"/>
  <c r="I29" i="766"/>
  <c r="I28" i="766"/>
  <c r="J24" i="766"/>
  <c r="J28" i="766"/>
  <c r="J23" i="766"/>
  <c r="J25" i="766"/>
  <c r="J26" i="766"/>
  <c r="I25" i="766"/>
  <c r="I24" i="766"/>
  <c r="I23" i="766"/>
  <c r="L23" i="766"/>
  <c r="M23" i="766"/>
  <c r="N23" i="766"/>
  <c r="O23" i="766"/>
  <c r="L24" i="766"/>
  <c r="M24" i="766"/>
  <c r="N24" i="766"/>
  <c r="O24" i="766"/>
  <c r="L25" i="766"/>
  <c r="M25" i="766"/>
  <c r="N25" i="766"/>
  <c r="O25" i="766"/>
  <c r="L26" i="766"/>
  <c r="M26" i="766"/>
  <c r="N26" i="766"/>
  <c r="O26" i="766"/>
  <c r="I27" i="766"/>
  <c r="L27" i="766"/>
  <c r="M27" i="766"/>
  <c r="N27" i="766"/>
  <c r="O27" i="766"/>
  <c r="L28" i="766"/>
  <c r="M28" i="766"/>
  <c r="N28" i="766"/>
  <c r="O28" i="766"/>
  <c r="J29" i="766"/>
  <c r="L29" i="766"/>
  <c r="M29" i="766"/>
  <c r="N29" i="766"/>
  <c r="O29" i="766"/>
  <c r="C23" i="766"/>
  <c r="D23" i="766"/>
  <c r="E23" i="766"/>
  <c r="F23" i="766"/>
  <c r="G23" i="766"/>
  <c r="C24" i="766"/>
  <c r="D24" i="766"/>
  <c r="E24" i="766"/>
  <c r="F24" i="766"/>
  <c r="G24" i="766"/>
  <c r="C25" i="766"/>
  <c r="D25" i="766"/>
  <c r="E25" i="766"/>
  <c r="F25" i="766"/>
  <c r="G25" i="766"/>
  <c r="C26" i="766"/>
  <c r="D26" i="766"/>
  <c r="E26" i="766"/>
  <c r="F26" i="766"/>
  <c r="G26" i="766"/>
  <c r="C27" i="766"/>
  <c r="D27" i="766"/>
  <c r="E27" i="766"/>
  <c r="F27" i="766"/>
  <c r="G27" i="766"/>
  <c r="C28" i="766"/>
  <c r="D28" i="766"/>
  <c r="E28" i="766"/>
  <c r="F28" i="766"/>
  <c r="G28" i="766"/>
  <c r="C29" i="766"/>
  <c r="D29" i="766"/>
  <c r="E29" i="766"/>
  <c r="F29" i="766"/>
  <c r="G29" i="766"/>
  <c r="O22" i="766"/>
  <c r="N22" i="766"/>
  <c r="M22" i="766"/>
  <c r="L22" i="766"/>
  <c r="J22" i="766"/>
  <c r="I22" i="766"/>
  <c r="G22" i="766"/>
  <c r="F22" i="766"/>
  <c r="E22" i="766"/>
  <c r="D22" i="766"/>
  <c r="C22" i="766"/>
  <c r="C20" i="766" l="1"/>
  <c r="D20" i="766"/>
  <c r="E20" i="766"/>
  <c r="F20" i="766"/>
  <c r="G20" i="766"/>
  <c r="I20" i="766"/>
  <c r="J39" i="766" s="1"/>
  <c r="J20" i="766"/>
  <c r="K20" i="766"/>
  <c r="L20" i="766"/>
  <c r="M20" i="766"/>
  <c r="N20" i="766"/>
  <c r="O20" i="766"/>
  <c r="I68" i="766"/>
  <c r="H68" i="766"/>
  <c r="F68" i="766"/>
  <c r="G68" i="766"/>
  <c r="L40" i="766" l="1"/>
  <c r="I26" i="766"/>
  <c r="J40" i="766" s="1"/>
  <c r="M40" i="766"/>
  <c r="F80" i="766" l="1"/>
  <c r="AX70" i="766"/>
  <c r="AW70" i="766"/>
  <c r="AV70" i="766"/>
  <c r="AU70" i="766"/>
  <c r="AT70" i="766"/>
  <c r="AS70" i="766"/>
  <c r="AR70" i="766"/>
  <c r="AQ70" i="766"/>
  <c r="AP70" i="766"/>
  <c r="AO70" i="766"/>
  <c r="AN70" i="766"/>
  <c r="AM70" i="766"/>
  <c r="AL70" i="766"/>
  <c r="AK70" i="766"/>
  <c r="AJ70" i="766"/>
  <c r="AI70" i="766"/>
  <c r="AH70" i="766"/>
  <c r="AG70" i="766"/>
  <c r="AF70" i="766"/>
  <c r="AE70" i="766"/>
  <c r="AD70" i="766"/>
  <c r="AC70" i="766"/>
  <c r="AB70" i="766"/>
  <c r="L70" i="766"/>
  <c r="B70" i="766"/>
  <c r="B68" i="766"/>
  <c r="K63" i="766"/>
  <c r="M54" i="766" s="1"/>
  <c r="D61" i="766"/>
  <c r="M46" i="766"/>
  <c r="L45" i="766"/>
  <c r="K45" i="766"/>
  <c r="M42" i="766"/>
  <c r="Z38" i="766"/>
  <c r="Y38" i="766"/>
  <c r="X38" i="766"/>
  <c r="W38" i="766"/>
  <c r="V38" i="766"/>
  <c r="U38" i="766"/>
  <c r="T38" i="766"/>
  <c r="S38" i="766"/>
  <c r="R38" i="766"/>
  <c r="Z37" i="766"/>
  <c r="Y37" i="766"/>
  <c r="X37" i="766"/>
  <c r="W37" i="766"/>
  <c r="V37" i="766"/>
  <c r="U37" i="766"/>
  <c r="T37" i="766"/>
  <c r="S37" i="766"/>
  <c r="R37" i="766"/>
  <c r="Z36" i="766"/>
  <c r="Y36" i="766"/>
  <c r="X36" i="766"/>
  <c r="W36" i="766"/>
  <c r="V36" i="766"/>
  <c r="U36" i="766"/>
  <c r="T36" i="766"/>
  <c r="S36" i="766"/>
  <c r="R36" i="766"/>
  <c r="Z35" i="766"/>
  <c r="Y35" i="766"/>
  <c r="X35" i="766"/>
  <c r="W35" i="766"/>
  <c r="V35" i="766"/>
  <c r="U35" i="766"/>
  <c r="T35" i="766"/>
  <c r="S35" i="766"/>
  <c r="R35" i="766"/>
  <c r="Z34" i="766"/>
  <c r="Y34" i="766"/>
  <c r="X34" i="766"/>
  <c r="W34" i="766"/>
  <c r="V34" i="766"/>
  <c r="U34" i="766"/>
  <c r="T34" i="766"/>
  <c r="S34" i="766"/>
  <c r="R34" i="766"/>
  <c r="Z33" i="766"/>
  <c r="Y33" i="766"/>
  <c r="X33" i="766"/>
  <c r="W33" i="766"/>
  <c r="V33" i="766"/>
  <c r="U33" i="766"/>
  <c r="T33" i="766"/>
  <c r="S33" i="766"/>
  <c r="R33" i="766"/>
  <c r="Z32" i="766"/>
  <c r="Y32" i="766"/>
  <c r="X32" i="766"/>
  <c r="W32" i="766"/>
  <c r="V32" i="766"/>
  <c r="U32" i="766"/>
  <c r="T32" i="766"/>
  <c r="S32" i="766"/>
  <c r="R32" i="766"/>
  <c r="Z31" i="766"/>
  <c r="Y31" i="766"/>
  <c r="X31" i="766"/>
  <c r="W31" i="766"/>
  <c r="V31" i="766"/>
  <c r="U31" i="766"/>
  <c r="T31" i="766"/>
  <c r="S31" i="766"/>
  <c r="R31" i="766"/>
  <c r="Z30" i="766"/>
  <c r="Y30" i="766"/>
  <c r="X30" i="766"/>
  <c r="W30" i="766"/>
  <c r="V30" i="766"/>
  <c r="U30" i="766"/>
  <c r="T30" i="766"/>
  <c r="S30" i="766"/>
  <c r="R30" i="766"/>
  <c r="Z29" i="766"/>
  <c r="Y29" i="766"/>
  <c r="X29" i="766"/>
  <c r="W29" i="766"/>
  <c r="V29" i="766"/>
  <c r="U29" i="766"/>
  <c r="T29" i="766"/>
  <c r="S29" i="766"/>
  <c r="R29" i="766"/>
  <c r="Z28" i="766"/>
  <c r="Y28" i="766"/>
  <c r="X28" i="766"/>
  <c r="W28" i="766"/>
  <c r="V28" i="766"/>
  <c r="U28" i="766"/>
  <c r="T28" i="766"/>
  <c r="S28" i="766"/>
  <c r="R28" i="766"/>
  <c r="Z27" i="766"/>
  <c r="Y27" i="766"/>
  <c r="X27" i="766"/>
  <c r="W27" i="766"/>
  <c r="V27" i="766"/>
  <c r="U27" i="766"/>
  <c r="T27" i="766"/>
  <c r="S27" i="766"/>
  <c r="R27" i="766"/>
  <c r="Z26" i="766"/>
  <c r="Y26" i="766"/>
  <c r="X26" i="766"/>
  <c r="W26" i="766"/>
  <c r="V26" i="766"/>
  <c r="U26" i="766"/>
  <c r="T26" i="766"/>
  <c r="S26" i="766"/>
  <c r="R26" i="766"/>
  <c r="Z25" i="766"/>
  <c r="Y25" i="766"/>
  <c r="X25" i="766"/>
  <c r="W25" i="766"/>
  <c r="V25" i="766"/>
  <c r="U25" i="766"/>
  <c r="T25" i="766"/>
  <c r="S25" i="766"/>
  <c r="R25" i="766"/>
  <c r="Z24" i="766"/>
  <c r="Y24" i="766"/>
  <c r="X24" i="766"/>
  <c r="W24" i="766"/>
  <c r="V24" i="766"/>
  <c r="U24" i="766"/>
  <c r="T24" i="766"/>
  <c r="S24" i="766"/>
  <c r="R24" i="766"/>
  <c r="Z23" i="766"/>
  <c r="Y23" i="766"/>
  <c r="X23" i="766"/>
  <c r="W23" i="766"/>
  <c r="V23" i="766"/>
  <c r="U23" i="766"/>
  <c r="T23" i="766"/>
  <c r="S23" i="766"/>
  <c r="R23" i="766"/>
  <c r="Z22" i="766"/>
  <c r="Y22" i="766"/>
  <c r="X22" i="766"/>
  <c r="W22" i="766"/>
  <c r="V22" i="766"/>
  <c r="U22" i="766"/>
  <c r="T22" i="766"/>
  <c r="S22" i="766"/>
  <c r="R22" i="766"/>
  <c r="Z21" i="766"/>
  <c r="Y21" i="766"/>
  <c r="X21" i="766"/>
  <c r="W21" i="766"/>
  <c r="V21" i="766"/>
  <c r="U21" i="766"/>
  <c r="T21" i="766"/>
  <c r="S21" i="766"/>
  <c r="R21" i="766"/>
  <c r="Z20" i="766"/>
  <c r="Y20" i="766"/>
  <c r="X20" i="766"/>
  <c r="W20" i="766"/>
  <c r="V20" i="766"/>
  <c r="U20" i="766"/>
  <c r="T20" i="766"/>
  <c r="S20" i="766"/>
  <c r="R20" i="766"/>
  <c r="Z19" i="766"/>
  <c r="Y19" i="766"/>
  <c r="X19" i="766"/>
  <c r="W19" i="766"/>
  <c r="V19" i="766"/>
  <c r="U19" i="766"/>
  <c r="T19" i="766"/>
  <c r="S19" i="766"/>
  <c r="R19" i="766"/>
  <c r="Z18" i="766"/>
  <c r="Y18" i="766"/>
  <c r="X18" i="766"/>
  <c r="W18" i="766"/>
  <c r="V18" i="766"/>
  <c r="U18" i="766"/>
  <c r="T18" i="766"/>
  <c r="S18" i="766"/>
  <c r="R18" i="766"/>
  <c r="Z17" i="766"/>
  <c r="Y17" i="766"/>
  <c r="X17" i="766"/>
  <c r="W17" i="766"/>
  <c r="V17" i="766"/>
  <c r="U17" i="766"/>
  <c r="T17" i="766"/>
  <c r="S17" i="766"/>
  <c r="R17" i="766"/>
  <c r="Z16" i="766"/>
  <c r="Y16" i="766"/>
  <c r="X16" i="766"/>
  <c r="W16" i="766"/>
  <c r="V16" i="766"/>
  <c r="U16" i="766"/>
  <c r="T16" i="766"/>
  <c r="S16" i="766"/>
  <c r="R16" i="766"/>
  <c r="Z15" i="766"/>
  <c r="Y15" i="766"/>
  <c r="X15" i="766"/>
  <c r="W15" i="766"/>
  <c r="V15" i="766"/>
  <c r="U15" i="766"/>
  <c r="T15" i="766"/>
  <c r="S15" i="766"/>
  <c r="R15" i="766"/>
  <c r="Z14" i="766"/>
  <c r="Y14" i="766"/>
  <c r="X14" i="766"/>
  <c r="W14" i="766"/>
  <c r="V14" i="766"/>
  <c r="U14" i="766"/>
  <c r="T14" i="766"/>
  <c r="S14" i="766"/>
  <c r="R14" i="766"/>
  <c r="Z13" i="766"/>
  <c r="Y13" i="766"/>
  <c r="X13" i="766"/>
  <c r="W13" i="766"/>
  <c r="V13" i="766"/>
  <c r="U13" i="766"/>
  <c r="T13" i="766"/>
  <c r="S13" i="766"/>
  <c r="R13" i="766"/>
  <c r="Z12" i="766"/>
  <c r="Y12" i="766"/>
  <c r="X12" i="766"/>
  <c r="W12" i="766"/>
  <c r="V12" i="766"/>
  <c r="U12" i="766"/>
  <c r="T12" i="766"/>
  <c r="S12" i="766"/>
  <c r="R12" i="766"/>
  <c r="Z11" i="766"/>
  <c r="Y11" i="766"/>
  <c r="X11" i="766"/>
  <c r="W11" i="766"/>
  <c r="V11" i="766"/>
  <c r="U11" i="766"/>
  <c r="T11" i="766"/>
  <c r="S11" i="766"/>
  <c r="R11" i="766"/>
  <c r="Z10" i="766"/>
  <c r="Y10" i="766"/>
  <c r="X10" i="766"/>
  <c r="W10" i="766"/>
  <c r="V10" i="766"/>
  <c r="U10" i="766"/>
  <c r="T10" i="766"/>
  <c r="S10" i="766"/>
  <c r="R10" i="766"/>
  <c r="M39" i="765"/>
  <c r="L39" i="765"/>
  <c r="K39" i="765"/>
  <c r="C11" i="765"/>
  <c r="D11" i="765"/>
  <c r="E11" i="765"/>
  <c r="F11" i="765"/>
  <c r="G11" i="765"/>
  <c r="I11" i="765"/>
  <c r="J11" i="765"/>
  <c r="L11" i="765"/>
  <c r="M11" i="765"/>
  <c r="N11" i="765"/>
  <c r="O11" i="765"/>
  <c r="C12" i="765"/>
  <c r="D12" i="765"/>
  <c r="E12" i="765"/>
  <c r="F12" i="765"/>
  <c r="G12" i="765"/>
  <c r="I12" i="765"/>
  <c r="J12" i="765"/>
  <c r="K12" i="765"/>
  <c r="L12" i="765"/>
  <c r="M12" i="765"/>
  <c r="N12" i="765"/>
  <c r="O12" i="765"/>
  <c r="C13" i="765"/>
  <c r="D13" i="765"/>
  <c r="E13" i="765"/>
  <c r="F13" i="765"/>
  <c r="G13" i="765"/>
  <c r="I13" i="765"/>
  <c r="J13" i="765"/>
  <c r="L13" i="765"/>
  <c r="M13" i="765"/>
  <c r="N13" i="765"/>
  <c r="O13" i="765"/>
  <c r="C14" i="765"/>
  <c r="D14" i="765"/>
  <c r="E14" i="765"/>
  <c r="F14" i="765"/>
  <c r="G14" i="765"/>
  <c r="I14" i="765"/>
  <c r="J14" i="765"/>
  <c r="K14" i="765"/>
  <c r="L14" i="765"/>
  <c r="M14" i="765"/>
  <c r="N14" i="765"/>
  <c r="O14" i="765"/>
  <c r="C15" i="765"/>
  <c r="D15" i="765"/>
  <c r="E15" i="765"/>
  <c r="F15" i="765"/>
  <c r="G15" i="765"/>
  <c r="I15" i="765"/>
  <c r="J15" i="765"/>
  <c r="K15" i="765"/>
  <c r="L15" i="765"/>
  <c r="M15" i="765"/>
  <c r="N15" i="765"/>
  <c r="O15" i="765"/>
  <c r="C16" i="765"/>
  <c r="D16" i="765"/>
  <c r="E16" i="765"/>
  <c r="F16" i="765"/>
  <c r="G16" i="765"/>
  <c r="I16" i="765"/>
  <c r="J16" i="765"/>
  <c r="K16" i="765"/>
  <c r="L16" i="765"/>
  <c r="M16" i="765"/>
  <c r="N16" i="765"/>
  <c r="O16" i="765"/>
  <c r="C17" i="765"/>
  <c r="D17" i="765"/>
  <c r="E17" i="765"/>
  <c r="F17" i="765"/>
  <c r="G17" i="765"/>
  <c r="I17" i="765"/>
  <c r="J17" i="765"/>
  <c r="K17" i="765"/>
  <c r="L17" i="765"/>
  <c r="M17" i="765"/>
  <c r="N17" i="765"/>
  <c r="O17" i="765"/>
  <c r="C18" i="765"/>
  <c r="D18" i="765"/>
  <c r="E18" i="765"/>
  <c r="F18" i="765"/>
  <c r="G18" i="765"/>
  <c r="I18" i="765"/>
  <c r="J18" i="765"/>
  <c r="K18" i="765"/>
  <c r="L18" i="765"/>
  <c r="M18" i="765"/>
  <c r="N18" i="765"/>
  <c r="O18" i="765"/>
  <c r="C19" i="765"/>
  <c r="D19" i="765"/>
  <c r="E19" i="765"/>
  <c r="F19" i="765"/>
  <c r="G19" i="765"/>
  <c r="I19" i="765"/>
  <c r="J19" i="765"/>
  <c r="K19" i="765"/>
  <c r="L19" i="765"/>
  <c r="M19" i="765"/>
  <c r="N19" i="765"/>
  <c r="O19" i="765"/>
  <c r="O10" i="765"/>
  <c r="N10" i="765"/>
  <c r="M10" i="765"/>
  <c r="L10" i="765"/>
  <c r="K10" i="765"/>
  <c r="J10" i="765"/>
  <c r="I10" i="765"/>
  <c r="G10" i="765"/>
  <c r="F10" i="765"/>
  <c r="E10" i="765"/>
  <c r="D10" i="765"/>
  <c r="C10" i="765"/>
  <c r="J39" i="765" l="1"/>
  <c r="K49" i="766"/>
  <c r="L49" i="766" s="1"/>
  <c r="M49" i="766" s="1"/>
  <c r="C51" i="765"/>
  <c r="C52" i="765"/>
  <c r="C53" i="765"/>
  <c r="C54" i="765"/>
  <c r="C55" i="765"/>
  <c r="C56" i="765"/>
  <c r="C41" i="765"/>
  <c r="C42" i="765"/>
  <c r="C43" i="765"/>
  <c r="C44" i="765"/>
  <c r="C45" i="765"/>
  <c r="C46" i="765"/>
  <c r="C47" i="765"/>
  <c r="C48" i="765"/>
  <c r="C39" i="765"/>
  <c r="C40" i="765"/>
  <c r="B51" i="765"/>
  <c r="B39" i="765"/>
  <c r="K70" i="765"/>
  <c r="K81" i="765" s="1"/>
  <c r="B70" i="765" l="1"/>
  <c r="B68" i="765"/>
  <c r="F80" i="765"/>
  <c r="AX70" i="765"/>
  <c r="AW70" i="765"/>
  <c r="AV70" i="765"/>
  <c r="AU70" i="765"/>
  <c r="AT70" i="765"/>
  <c r="AS70" i="765"/>
  <c r="AR70" i="765"/>
  <c r="AQ70" i="765"/>
  <c r="AP70" i="765"/>
  <c r="AO70" i="765"/>
  <c r="AN70" i="765"/>
  <c r="AM70" i="765"/>
  <c r="AL70" i="765"/>
  <c r="AK70" i="765"/>
  <c r="AJ70" i="765"/>
  <c r="AI70" i="765"/>
  <c r="AH70" i="765"/>
  <c r="AG70" i="765"/>
  <c r="AF70" i="765"/>
  <c r="AE70" i="765"/>
  <c r="AD70" i="765"/>
  <c r="AC70" i="765"/>
  <c r="AB70" i="765"/>
  <c r="K63" i="765"/>
  <c r="L54" i="765" s="1"/>
  <c r="D61" i="765"/>
  <c r="M54" i="765"/>
  <c r="M46" i="765"/>
  <c r="L45" i="765"/>
  <c r="K45" i="765"/>
  <c r="K49" i="765" s="1"/>
  <c r="M42" i="765"/>
  <c r="M40" i="765"/>
  <c r="Z38" i="765"/>
  <c r="Y38" i="765"/>
  <c r="X38" i="765"/>
  <c r="W38" i="765"/>
  <c r="V38" i="765"/>
  <c r="U38" i="765"/>
  <c r="T38" i="765"/>
  <c r="S38" i="765"/>
  <c r="R38" i="765"/>
  <c r="Z37" i="765"/>
  <c r="Y37" i="765"/>
  <c r="X37" i="765"/>
  <c r="W37" i="765"/>
  <c r="V37" i="765"/>
  <c r="U37" i="765"/>
  <c r="T37" i="765"/>
  <c r="S37" i="765"/>
  <c r="R37" i="765"/>
  <c r="Z36" i="765"/>
  <c r="Y36" i="765"/>
  <c r="X36" i="765"/>
  <c r="W36" i="765"/>
  <c r="V36" i="765"/>
  <c r="U36" i="765"/>
  <c r="T36" i="765"/>
  <c r="S36" i="765"/>
  <c r="R36" i="765"/>
  <c r="Z35" i="765"/>
  <c r="Y35" i="765"/>
  <c r="X35" i="765"/>
  <c r="W35" i="765"/>
  <c r="V35" i="765"/>
  <c r="U35" i="765"/>
  <c r="T35" i="765"/>
  <c r="S35" i="765"/>
  <c r="R35" i="765"/>
  <c r="Z34" i="765"/>
  <c r="Y34" i="765"/>
  <c r="X34" i="765"/>
  <c r="W34" i="765"/>
  <c r="V34" i="765"/>
  <c r="U34" i="765"/>
  <c r="T34" i="765"/>
  <c r="S34" i="765"/>
  <c r="R34" i="765"/>
  <c r="Z33" i="765"/>
  <c r="Y33" i="765"/>
  <c r="X33" i="765"/>
  <c r="W33" i="765"/>
  <c r="V33" i="765"/>
  <c r="U33" i="765"/>
  <c r="T33" i="765"/>
  <c r="S33" i="765"/>
  <c r="R33" i="765"/>
  <c r="Z32" i="765"/>
  <c r="Y32" i="765"/>
  <c r="X32" i="765"/>
  <c r="W32" i="765"/>
  <c r="V32" i="765"/>
  <c r="U32" i="765"/>
  <c r="T32" i="765"/>
  <c r="S32" i="765"/>
  <c r="R32" i="765"/>
  <c r="Z31" i="765"/>
  <c r="Y31" i="765"/>
  <c r="X31" i="765"/>
  <c r="W31" i="765"/>
  <c r="V31" i="765"/>
  <c r="U31" i="765"/>
  <c r="T31" i="765"/>
  <c r="S31" i="765"/>
  <c r="R31" i="765"/>
  <c r="Z30" i="765"/>
  <c r="Y30" i="765"/>
  <c r="X30" i="765"/>
  <c r="W30" i="765"/>
  <c r="V30" i="765"/>
  <c r="U30" i="765"/>
  <c r="T30" i="765"/>
  <c r="S30" i="765"/>
  <c r="R30" i="765"/>
  <c r="Z29" i="765"/>
  <c r="Y29" i="765"/>
  <c r="X29" i="765"/>
  <c r="W29" i="765"/>
  <c r="V29" i="765"/>
  <c r="U29" i="765"/>
  <c r="T29" i="765"/>
  <c r="S29" i="765"/>
  <c r="R29" i="765"/>
  <c r="Z28" i="765"/>
  <c r="Y28" i="765"/>
  <c r="X28" i="765"/>
  <c r="W28" i="765"/>
  <c r="V28" i="765"/>
  <c r="U28" i="765"/>
  <c r="T28" i="765"/>
  <c r="S28" i="765"/>
  <c r="R28" i="765"/>
  <c r="Z27" i="765"/>
  <c r="Y27" i="765"/>
  <c r="X27" i="765"/>
  <c r="W27" i="765"/>
  <c r="V27" i="765"/>
  <c r="U27" i="765"/>
  <c r="T27" i="765"/>
  <c r="S27" i="765"/>
  <c r="R27" i="765"/>
  <c r="Z26" i="765"/>
  <c r="Y26" i="765"/>
  <c r="X26" i="765"/>
  <c r="W26" i="765"/>
  <c r="V26" i="765"/>
  <c r="U26" i="765"/>
  <c r="T26" i="765"/>
  <c r="S26" i="765"/>
  <c r="R26" i="765"/>
  <c r="Z25" i="765"/>
  <c r="Y25" i="765"/>
  <c r="X25" i="765"/>
  <c r="W25" i="765"/>
  <c r="V25" i="765"/>
  <c r="U25" i="765"/>
  <c r="T25" i="765"/>
  <c r="S25" i="765"/>
  <c r="R25" i="765"/>
  <c r="Z24" i="765"/>
  <c r="Y24" i="765"/>
  <c r="X24" i="765"/>
  <c r="W24" i="765"/>
  <c r="V24" i="765"/>
  <c r="U24" i="765"/>
  <c r="T24" i="765"/>
  <c r="S24" i="765"/>
  <c r="R24" i="765"/>
  <c r="Z23" i="765"/>
  <c r="Y23" i="765"/>
  <c r="X23" i="765"/>
  <c r="W23" i="765"/>
  <c r="V23" i="765"/>
  <c r="U23" i="765"/>
  <c r="T23" i="765"/>
  <c r="S23" i="765"/>
  <c r="R23" i="765"/>
  <c r="Z22" i="765"/>
  <c r="Y22" i="765"/>
  <c r="X22" i="765"/>
  <c r="W22" i="765"/>
  <c r="V22" i="765"/>
  <c r="U22" i="765"/>
  <c r="T22" i="765"/>
  <c r="S22" i="765"/>
  <c r="R22" i="765"/>
  <c r="Z21" i="765"/>
  <c r="Y21" i="765"/>
  <c r="X21" i="765"/>
  <c r="W21" i="765"/>
  <c r="V21" i="765"/>
  <c r="U21" i="765"/>
  <c r="T21" i="765"/>
  <c r="S21" i="765"/>
  <c r="R21" i="765"/>
  <c r="Z20" i="765"/>
  <c r="Y20" i="765"/>
  <c r="X20" i="765"/>
  <c r="W20" i="765"/>
  <c r="V20" i="765"/>
  <c r="U20" i="765"/>
  <c r="T20" i="765"/>
  <c r="S20" i="765"/>
  <c r="R20" i="765"/>
  <c r="Z19" i="765"/>
  <c r="Y19" i="765"/>
  <c r="X19" i="765"/>
  <c r="W19" i="765"/>
  <c r="V19" i="765"/>
  <c r="U19" i="765"/>
  <c r="T19" i="765"/>
  <c r="S19" i="765"/>
  <c r="R19" i="765"/>
  <c r="Z18" i="765"/>
  <c r="Y18" i="765"/>
  <c r="X18" i="765"/>
  <c r="W18" i="765"/>
  <c r="V18" i="765"/>
  <c r="U18" i="765"/>
  <c r="T18" i="765"/>
  <c r="S18" i="765"/>
  <c r="R18" i="765"/>
  <c r="Z17" i="765"/>
  <c r="Y17" i="765"/>
  <c r="X17" i="765"/>
  <c r="W17" i="765"/>
  <c r="V17" i="765"/>
  <c r="U17" i="765"/>
  <c r="T17" i="765"/>
  <c r="S17" i="765"/>
  <c r="R17" i="765"/>
  <c r="Z16" i="765"/>
  <c r="Y16" i="765"/>
  <c r="X16" i="765"/>
  <c r="W16" i="765"/>
  <c r="V16" i="765"/>
  <c r="U16" i="765"/>
  <c r="T16" i="765"/>
  <c r="S16" i="765"/>
  <c r="R16" i="765"/>
  <c r="Z15" i="765"/>
  <c r="Y15" i="765"/>
  <c r="X15" i="765"/>
  <c r="W15" i="765"/>
  <c r="V15" i="765"/>
  <c r="U15" i="765"/>
  <c r="T15" i="765"/>
  <c r="S15" i="765"/>
  <c r="R15" i="765"/>
  <c r="Z14" i="765"/>
  <c r="Y14" i="765"/>
  <c r="X14" i="765"/>
  <c r="W14" i="765"/>
  <c r="V14" i="765"/>
  <c r="U14" i="765"/>
  <c r="T14" i="765"/>
  <c r="S14" i="765"/>
  <c r="R14" i="765"/>
  <c r="Z13" i="765"/>
  <c r="Y13" i="765"/>
  <c r="X13" i="765"/>
  <c r="W13" i="765"/>
  <c r="V13" i="765"/>
  <c r="U13" i="765"/>
  <c r="T13" i="765"/>
  <c r="S13" i="765"/>
  <c r="R13" i="765"/>
  <c r="Z12" i="765"/>
  <c r="Y12" i="765"/>
  <c r="X12" i="765"/>
  <c r="W12" i="765"/>
  <c r="V12" i="765"/>
  <c r="U12" i="765"/>
  <c r="T12" i="765"/>
  <c r="S12" i="765"/>
  <c r="R12" i="765"/>
  <c r="Z11" i="765"/>
  <c r="Y11" i="765"/>
  <c r="X11" i="765"/>
  <c r="W11" i="765"/>
  <c r="V11" i="765"/>
  <c r="U11" i="765"/>
  <c r="T11" i="765"/>
  <c r="S11" i="765"/>
  <c r="R11" i="765"/>
  <c r="Z10" i="765"/>
  <c r="Y10" i="765"/>
  <c r="X10" i="765"/>
  <c r="W10" i="765"/>
  <c r="V10" i="765"/>
  <c r="U10" i="765"/>
  <c r="T10" i="765"/>
  <c r="S10" i="765"/>
  <c r="R10" i="765"/>
  <c r="M33" i="763"/>
  <c r="L49" i="765" l="1"/>
  <c r="M49" i="765" s="1"/>
  <c r="M39" i="764"/>
  <c r="L39" i="764"/>
  <c r="K39" i="764"/>
  <c r="B68" i="764" l="1"/>
  <c r="C42" i="764" l="1"/>
  <c r="C40" i="764"/>
  <c r="C41" i="764"/>
  <c r="C39" i="764"/>
  <c r="B39" i="764"/>
  <c r="L45" i="764"/>
  <c r="K45" i="764"/>
  <c r="C26" i="764" l="1"/>
  <c r="D26" i="764"/>
  <c r="E26" i="764"/>
  <c r="F26" i="764"/>
  <c r="G26" i="764"/>
  <c r="I26" i="764"/>
  <c r="J26" i="764"/>
  <c r="K26" i="764"/>
  <c r="L26" i="764"/>
  <c r="M26" i="764"/>
  <c r="N26" i="764"/>
  <c r="O26" i="764"/>
  <c r="C27" i="764"/>
  <c r="D27" i="764"/>
  <c r="E27" i="764"/>
  <c r="F27" i="764"/>
  <c r="G27" i="764"/>
  <c r="I27" i="764"/>
  <c r="J27" i="764"/>
  <c r="K27" i="764"/>
  <c r="L27" i="764"/>
  <c r="M27" i="764"/>
  <c r="N27" i="764"/>
  <c r="O27" i="764"/>
  <c r="C28" i="764"/>
  <c r="D28" i="764"/>
  <c r="E28" i="764"/>
  <c r="F28" i="764"/>
  <c r="G28" i="764"/>
  <c r="I28" i="764"/>
  <c r="J28" i="764"/>
  <c r="K28" i="764"/>
  <c r="L28" i="764"/>
  <c r="M28" i="764"/>
  <c r="N28" i="764"/>
  <c r="O28" i="764"/>
  <c r="C29" i="764"/>
  <c r="D29" i="764"/>
  <c r="E29" i="764"/>
  <c r="F29" i="764"/>
  <c r="G29" i="764"/>
  <c r="I29" i="764"/>
  <c r="J29" i="764"/>
  <c r="K29" i="764"/>
  <c r="L29" i="764"/>
  <c r="M29" i="764"/>
  <c r="N29" i="764"/>
  <c r="O29" i="764"/>
  <c r="R27" i="764"/>
  <c r="S27" i="764"/>
  <c r="T27" i="764"/>
  <c r="U27" i="764"/>
  <c r="V27" i="764"/>
  <c r="W27" i="764"/>
  <c r="X27" i="764"/>
  <c r="Y27" i="764"/>
  <c r="Z27" i="764"/>
  <c r="R28" i="764"/>
  <c r="S28" i="764"/>
  <c r="T28" i="764"/>
  <c r="U28" i="764"/>
  <c r="V28" i="764"/>
  <c r="W28" i="764"/>
  <c r="X28" i="764"/>
  <c r="Y28" i="764"/>
  <c r="Z28" i="764"/>
  <c r="R29" i="764"/>
  <c r="S29" i="764"/>
  <c r="T29" i="764"/>
  <c r="U29" i="764"/>
  <c r="V29" i="764"/>
  <c r="W29" i="764"/>
  <c r="X29" i="764"/>
  <c r="Y29" i="764"/>
  <c r="Z29" i="764"/>
  <c r="R30" i="764"/>
  <c r="S30" i="764"/>
  <c r="T30" i="764"/>
  <c r="U30" i="764"/>
  <c r="V30" i="764"/>
  <c r="W30" i="764"/>
  <c r="X30" i="764"/>
  <c r="Y30" i="764"/>
  <c r="Z30" i="764"/>
  <c r="R31" i="764"/>
  <c r="S31" i="764"/>
  <c r="T31" i="764"/>
  <c r="U31" i="764"/>
  <c r="V31" i="764"/>
  <c r="W31" i="764"/>
  <c r="X31" i="764"/>
  <c r="Y31" i="764"/>
  <c r="Z31" i="764"/>
  <c r="R32" i="764"/>
  <c r="S32" i="764"/>
  <c r="T32" i="764"/>
  <c r="U32" i="764"/>
  <c r="V32" i="764"/>
  <c r="W32" i="764"/>
  <c r="X32" i="764"/>
  <c r="Y32" i="764"/>
  <c r="Z32" i="764"/>
  <c r="R33" i="764"/>
  <c r="S33" i="764"/>
  <c r="T33" i="764"/>
  <c r="U33" i="764"/>
  <c r="V33" i="764"/>
  <c r="W33" i="764"/>
  <c r="X33" i="764"/>
  <c r="Y33" i="764"/>
  <c r="Z33" i="764"/>
  <c r="R34" i="764"/>
  <c r="S34" i="764"/>
  <c r="T34" i="764"/>
  <c r="U34" i="764"/>
  <c r="V34" i="764"/>
  <c r="W34" i="764"/>
  <c r="X34" i="764"/>
  <c r="Y34" i="764"/>
  <c r="Z34" i="764"/>
  <c r="R35" i="764"/>
  <c r="S35" i="764"/>
  <c r="T35" i="764"/>
  <c r="U35" i="764"/>
  <c r="V35" i="764"/>
  <c r="W35" i="764"/>
  <c r="X35" i="764"/>
  <c r="Y35" i="764"/>
  <c r="Z35" i="764"/>
  <c r="O25" i="764"/>
  <c r="N25" i="764"/>
  <c r="M25" i="764"/>
  <c r="L25" i="764"/>
  <c r="K25" i="764"/>
  <c r="J25" i="764"/>
  <c r="I25" i="764"/>
  <c r="G25" i="764"/>
  <c r="F25" i="764"/>
  <c r="E25" i="764"/>
  <c r="D25" i="764"/>
  <c r="C25" i="764"/>
  <c r="J39" i="764" l="1"/>
  <c r="C22" i="764"/>
  <c r="D22" i="764"/>
  <c r="E22" i="764"/>
  <c r="F22" i="764"/>
  <c r="G22" i="764"/>
  <c r="I22" i="764"/>
  <c r="J22" i="764"/>
  <c r="L22" i="764"/>
  <c r="M22" i="764"/>
  <c r="N22" i="764"/>
  <c r="O22" i="764"/>
  <c r="C23" i="764"/>
  <c r="D23" i="764"/>
  <c r="E23" i="764"/>
  <c r="F23" i="764"/>
  <c r="G23" i="764"/>
  <c r="I23" i="764"/>
  <c r="J23" i="764"/>
  <c r="L23" i="764"/>
  <c r="M23" i="764"/>
  <c r="N23" i="764"/>
  <c r="O23" i="764"/>
  <c r="F80" i="764"/>
  <c r="AX70" i="764"/>
  <c r="AW70" i="764"/>
  <c r="AV70" i="764"/>
  <c r="AU70" i="764"/>
  <c r="AT70" i="764"/>
  <c r="AS70" i="764"/>
  <c r="AR70" i="764"/>
  <c r="AQ70" i="764"/>
  <c r="AP70" i="764"/>
  <c r="AO70" i="764"/>
  <c r="AN70" i="764"/>
  <c r="AM70" i="764"/>
  <c r="AL70" i="764"/>
  <c r="AK70" i="764"/>
  <c r="AJ70" i="764"/>
  <c r="AI70" i="764"/>
  <c r="AH70" i="764"/>
  <c r="AG70" i="764"/>
  <c r="AF70" i="764"/>
  <c r="AE70" i="764"/>
  <c r="AD70" i="764"/>
  <c r="AC70" i="764"/>
  <c r="AB70" i="764"/>
  <c r="L70" i="764"/>
  <c r="K63" i="764"/>
  <c r="D61" i="764"/>
  <c r="M46" i="764"/>
  <c r="K49" i="764"/>
  <c r="M42" i="764"/>
  <c r="M40" i="764"/>
  <c r="Z38" i="764"/>
  <c r="Y38" i="764"/>
  <c r="X38" i="764"/>
  <c r="W38" i="764"/>
  <c r="V38" i="764"/>
  <c r="U38" i="764"/>
  <c r="T38" i="764"/>
  <c r="S38" i="764"/>
  <c r="R38" i="764"/>
  <c r="Z37" i="764"/>
  <c r="Y37" i="764"/>
  <c r="X37" i="764"/>
  <c r="W37" i="764"/>
  <c r="V37" i="764"/>
  <c r="U37" i="764"/>
  <c r="T37" i="764"/>
  <c r="S37" i="764"/>
  <c r="R37" i="764"/>
  <c r="Z36" i="764"/>
  <c r="Y36" i="764"/>
  <c r="X36" i="764"/>
  <c r="W36" i="764"/>
  <c r="V36" i="764"/>
  <c r="U36" i="764"/>
  <c r="T36" i="764"/>
  <c r="S36" i="764"/>
  <c r="R36" i="764"/>
  <c r="Z26" i="764"/>
  <c r="Y26" i="764"/>
  <c r="X26" i="764"/>
  <c r="W26" i="764"/>
  <c r="V26" i="764"/>
  <c r="U26" i="764"/>
  <c r="T26" i="764"/>
  <c r="S26" i="764"/>
  <c r="R26" i="764"/>
  <c r="Z25" i="764"/>
  <c r="Y25" i="764"/>
  <c r="X25" i="764"/>
  <c r="W25" i="764"/>
  <c r="V25" i="764"/>
  <c r="U25" i="764"/>
  <c r="T25" i="764"/>
  <c r="S25" i="764"/>
  <c r="R25" i="764"/>
  <c r="Z24" i="764"/>
  <c r="Y24" i="764"/>
  <c r="X24" i="764"/>
  <c r="W24" i="764"/>
  <c r="V24" i="764"/>
  <c r="U24" i="764"/>
  <c r="T24" i="764"/>
  <c r="S24" i="764"/>
  <c r="R24" i="764"/>
  <c r="Z23" i="764"/>
  <c r="Y23" i="764"/>
  <c r="X23" i="764"/>
  <c r="W23" i="764"/>
  <c r="V23" i="764"/>
  <c r="U23" i="764"/>
  <c r="T23" i="764"/>
  <c r="S23" i="764"/>
  <c r="R23" i="764"/>
  <c r="Z22" i="764"/>
  <c r="Y22" i="764"/>
  <c r="X22" i="764"/>
  <c r="W22" i="764"/>
  <c r="V22" i="764"/>
  <c r="U22" i="764"/>
  <c r="T22" i="764"/>
  <c r="S22" i="764"/>
  <c r="R22" i="764"/>
  <c r="Z21" i="764"/>
  <c r="Y21" i="764"/>
  <c r="X21" i="764"/>
  <c r="W21" i="764"/>
  <c r="V21" i="764"/>
  <c r="U21" i="764"/>
  <c r="T21" i="764"/>
  <c r="S21" i="764"/>
  <c r="R21" i="764"/>
  <c r="Z20" i="764"/>
  <c r="Y20" i="764"/>
  <c r="X20" i="764"/>
  <c r="W20" i="764"/>
  <c r="V20" i="764"/>
  <c r="U20" i="764"/>
  <c r="T20" i="764"/>
  <c r="S20" i="764"/>
  <c r="R20" i="764"/>
  <c r="Z19" i="764"/>
  <c r="Y19" i="764"/>
  <c r="X19" i="764"/>
  <c r="W19" i="764"/>
  <c r="V19" i="764"/>
  <c r="U19" i="764"/>
  <c r="T19" i="764"/>
  <c r="S19" i="764"/>
  <c r="R19" i="764"/>
  <c r="Z18" i="764"/>
  <c r="Y18" i="764"/>
  <c r="X18" i="764"/>
  <c r="W18" i="764"/>
  <c r="V18" i="764"/>
  <c r="U18" i="764"/>
  <c r="T18" i="764"/>
  <c r="S18" i="764"/>
  <c r="R18" i="764"/>
  <c r="Z17" i="764"/>
  <c r="Y17" i="764"/>
  <c r="X17" i="764"/>
  <c r="W17" i="764"/>
  <c r="V17" i="764"/>
  <c r="U17" i="764"/>
  <c r="T17" i="764"/>
  <c r="S17" i="764"/>
  <c r="R17" i="764"/>
  <c r="Z16" i="764"/>
  <c r="Y16" i="764"/>
  <c r="X16" i="764"/>
  <c r="W16" i="764"/>
  <c r="V16" i="764"/>
  <c r="U16" i="764"/>
  <c r="T16" i="764"/>
  <c r="S16" i="764"/>
  <c r="R16" i="764"/>
  <c r="Z15" i="764"/>
  <c r="Y15" i="764"/>
  <c r="X15" i="764"/>
  <c r="W15" i="764"/>
  <c r="V15" i="764"/>
  <c r="U15" i="764"/>
  <c r="T15" i="764"/>
  <c r="S15" i="764"/>
  <c r="R15" i="764"/>
  <c r="Z14" i="764"/>
  <c r="Y14" i="764"/>
  <c r="X14" i="764"/>
  <c r="W14" i="764"/>
  <c r="V14" i="764"/>
  <c r="U14" i="764"/>
  <c r="T14" i="764"/>
  <c r="S14" i="764"/>
  <c r="R14" i="764"/>
  <c r="Z13" i="764"/>
  <c r="Y13" i="764"/>
  <c r="X13" i="764"/>
  <c r="W13" i="764"/>
  <c r="V13" i="764"/>
  <c r="U13" i="764"/>
  <c r="T13" i="764"/>
  <c r="S13" i="764"/>
  <c r="R13" i="764"/>
  <c r="Z12" i="764"/>
  <c r="Y12" i="764"/>
  <c r="X12" i="764"/>
  <c r="W12" i="764"/>
  <c r="V12" i="764"/>
  <c r="U12" i="764"/>
  <c r="T12" i="764"/>
  <c r="S12" i="764"/>
  <c r="R12" i="764"/>
  <c r="Z11" i="764"/>
  <c r="Y11" i="764"/>
  <c r="X11" i="764"/>
  <c r="W11" i="764"/>
  <c r="V11" i="764"/>
  <c r="U11" i="764"/>
  <c r="T11" i="764"/>
  <c r="S11" i="764"/>
  <c r="R11" i="764"/>
  <c r="Z10" i="764"/>
  <c r="Y10" i="764"/>
  <c r="X10" i="764"/>
  <c r="W10" i="764"/>
  <c r="V10" i="764"/>
  <c r="U10" i="764"/>
  <c r="T10" i="764"/>
  <c r="S10" i="764"/>
  <c r="R10" i="764"/>
  <c r="E19" i="763"/>
  <c r="E20" i="763"/>
  <c r="E21" i="763"/>
  <c r="E18" i="763"/>
  <c r="D19" i="763"/>
  <c r="D20" i="763"/>
  <c r="D21" i="763"/>
  <c r="D18" i="763"/>
  <c r="J45" i="764" l="1"/>
  <c r="M54" i="764"/>
  <c r="L54" i="764"/>
  <c r="L49" i="764"/>
  <c r="M49" i="764" s="1"/>
  <c r="K39" i="763"/>
  <c r="R16" i="763"/>
  <c r="S16" i="763"/>
  <c r="T16" i="763"/>
  <c r="U16" i="763"/>
  <c r="V16" i="763"/>
  <c r="W16" i="763"/>
  <c r="X16" i="763"/>
  <c r="Y16" i="763"/>
  <c r="Z16" i="763"/>
  <c r="R17" i="763"/>
  <c r="S17" i="763"/>
  <c r="T17" i="763"/>
  <c r="U17" i="763"/>
  <c r="V17" i="763"/>
  <c r="W17" i="763"/>
  <c r="X17" i="763"/>
  <c r="Y17" i="763"/>
  <c r="Z17" i="763"/>
  <c r="R18" i="763"/>
  <c r="S18" i="763"/>
  <c r="T18" i="763"/>
  <c r="U18" i="763"/>
  <c r="V18" i="763"/>
  <c r="W18" i="763"/>
  <c r="X18" i="763"/>
  <c r="Y18" i="763"/>
  <c r="Z18" i="763"/>
  <c r="R19" i="763"/>
  <c r="S19" i="763"/>
  <c r="T19" i="763"/>
  <c r="U19" i="763"/>
  <c r="V19" i="763"/>
  <c r="W19" i="763"/>
  <c r="X19" i="763"/>
  <c r="Y19" i="763"/>
  <c r="Z19" i="763"/>
  <c r="R20" i="763"/>
  <c r="S20" i="763"/>
  <c r="T20" i="763"/>
  <c r="U20" i="763"/>
  <c r="V20" i="763"/>
  <c r="W20" i="763"/>
  <c r="X20" i="763"/>
  <c r="Y20" i="763"/>
  <c r="Z20" i="763"/>
  <c r="R21" i="763"/>
  <c r="S21" i="763"/>
  <c r="T21" i="763"/>
  <c r="U21" i="763"/>
  <c r="V21" i="763"/>
  <c r="W21" i="763"/>
  <c r="X21" i="763"/>
  <c r="Y21" i="763"/>
  <c r="Z21" i="763"/>
  <c r="R22" i="763"/>
  <c r="S22" i="763"/>
  <c r="T22" i="763"/>
  <c r="U22" i="763"/>
  <c r="V22" i="763"/>
  <c r="W22" i="763"/>
  <c r="X22" i="763"/>
  <c r="Y22" i="763"/>
  <c r="Z22" i="763"/>
  <c r="R23" i="763"/>
  <c r="S23" i="763"/>
  <c r="T23" i="763"/>
  <c r="U23" i="763"/>
  <c r="V23" i="763"/>
  <c r="W23" i="763"/>
  <c r="X23" i="763"/>
  <c r="Y23" i="763"/>
  <c r="Z23" i="763"/>
  <c r="R24" i="763"/>
  <c r="S24" i="763"/>
  <c r="T24" i="763"/>
  <c r="U24" i="763"/>
  <c r="V24" i="763"/>
  <c r="W24" i="763"/>
  <c r="X24" i="763"/>
  <c r="Y24" i="763"/>
  <c r="Z24" i="763"/>
  <c r="R25" i="763"/>
  <c r="S25" i="763"/>
  <c r="T25" i="763"/>
  <c r="U25" i="763"/>
  <c r="V25" i="763"/>
  <c r="W25" i="763"/>
  <c r="X25" i="763"/>
  <c r="Y25" i="763"/>
  <c r="Z25" i="763"/>
  <c r="R26" i="763"/>
  <c r="S26" i="763"/>
  <c r="T26" i="763"/>
  <c r="U26" i="763"/>
  <c r="V26" i="763"/>
  <c r="W26" i="763"/>
  <c r="X26" i="763"/>
  <c r="Y26" i="763"/>
  <c r="Z26" i="763"/>
  <c r="R27" i="763"/>
  <c r="S27" i="763"/>
  <c r="T27" i="763"/>
  <c r="U27" i="763"/>
  <c r="V27" i="763"/>
  <c r="W27" i="763"/>
  <c r="X27" i="763"/>
  <c r="Y27" i="763"/>
  <c r="Z27" i="763"/>
  <c r="R28" i="763"/>
  <c r="S28" i="763"/>
  <c r="T28" i="763"/>
  <c r="U28" i="763"/>
  <c r="V28" i="763"/>
  <c r="W28" i="763"/>
  <c r="X28" i="763"/>
  <c r="Y28" i="763"/>
  <c r="Z28" i="763"/>
  <c r="R29" i="763"/>
  <c r="S29" i="763"/>
  <c r="T29" i="763"/>
  <c r="U29" i="763"/>
  <c r="V29" i="763"/>
  <c r="W29" i="763"/>
  <c r="X29" i="763"/>
  <c r="Y29" i="763"/>
  <c r="Z29" i="763"/>
  <c r="R30" i="763"/>
  <c r="S30" i="763"/>
  <c r="T30" i="763"/>
  <c r="U30" i="763"/>
  <c r="V30" i="763"/>
  <c r="W30" i="763"/>
  <c r="X30" i="763"/>
  <c r="Y30" i="763"/>
  <c r="Z30" i="763"/>
  <c r="R31" i="763"/>
  <c r="S31" i="763"/>
  <c r="T31" i="763"/>
  <c r="U31" i="763"/>
  <c r="V31" i="763"/>
  <c r="W31" i="763"/>
  <c r="X31" i="763"/>
  <c r="Y31" i="763"/>
  <c r="Z31" i="763"/>
  <c r="C19" i="763"/>
  <c r="F19" i="763"/>
  <c r="G19" i="763"/>
  <c r="L19" i="763"/>
  <c r="M19" i="763"/>
  <c r="O19" i="763"/>
  <c r="C20" i="763"/>
  <c r="F20" i="763"/>
  <c r="G20" i="763"/>
  <c r="L20" i="763"/>
  <c r="M20" i="763"/>
  <c r="O20" i="763"/>
  <c r="C21" i="763"/>
  <c r="F21" i="763"/>
  <c r="G21" i="763"/>
  <c r="L21" i="763"/>
  <c r="M21" i="763"/>
  <c r="O21" i="763"/>
  <c r="C18" i="763"/>
  <c r="F18" i="763"/>
  <c r="G18" i="763"/>
  <c r="L18" i="763"/>
  <c r="M18" i="763"/>
  <c r="O18" i="763"/>
  <c r="N18" i="763" l="1"/>
  <c r="N19" i="763"/>
  <c r="N20" i="763"/>
  <c r="N21" i="763"/>
  <c r="B64" i="763"/>
  <c r="D55" i="763"/>
  <c r="C49" i="763"/>
  <c r="C50" i="763"/>
  <c r="C51" i="763"/>
  <c r="C52" i="763"/>
  <c r="C53" i="763"/>
  <c r="C54" i="763"/>
  <c r="C41" i="763"/>
  <c r="C42" i="763"/>
  <c r="C43" i="763"/>
  <c r="C44" i="763"/>
  <c r="C45" i="763"/>
  <c r="C46" i="763"/>
  <c r="C47" i="763"/>
  <c r="C48" i="763"/>
  <c r="B41" i="763"/>
  <c r="I19" i="763" l="1"/>
  <c r="I21" i="763"/>
  <c r="J20" i="763"/>
  <c r="J19" i="763"/>
  <c r="J18" i="763"/>
  <c r="J21" i="763"/>
  <c r="I20" i="763" l="1"/>
  <c r="L39" i="763"/>
  <c r="I18" i="763"/>
  <c r="J39" i="763" l="1"/>
  <c r="G60" i="19"/>
  <c r="G63" i="19"/>
  <c r="G64" i="19"/>
  <c r="J58" i="18"/>
  <c r="J60" i="18"/>
  <c r="J61" i="18"/>
  <c r="J62" i="18"/>
  <c r="J63" i="18"/>
  <c r="J64" i="18"/>
  <c r="G60" i="18"/>
  <c r="G63" i="18"/>
  <c r="G64" i="18"/>
  <c r="D60" i="18"/>
  <c r="D63" i="18"/>
  <c r="D64" i="18"/>
  <c r="E62" i="763"/>
  <c r="K62" i="763"/>
  <c r="K72" i="763" s="1"/>
  <c r="C33" i="763" l="1"/>
  <c r="C34" i="763"/>
  <c r="B62" i="763"/>
  <c r="B33" i="763"/>
  <c r="R10" i="763" l="1"/>
  <c r="S10" i="763"/>
  <c r="T10" i="763"/>
  <c r="U10" i="763"/>
  <c r="V10" i="763"/>
  <c r="W10" i="763"/>
  <c r="X10" i="763"/>
  <c r="Y10" i="763"/>
  <c r="Z10" i="763"/>
  <c r="R11" i="763"/>
  <c r="S11" i="763"/>
  <c r="T11" i="763"/>
  <c r="U11" i="763"/>
  <c r="V11" i="763"/>
  <c r="W11" i="763"/>
  <c r="X11" i="763"/>
  <c r="Y11" i="763"/>
  <c r="Z11" i="763"/>
  <c r="R12" i="763"/>
  <c r="S12" i="763"/>
  <c r="T12" i="763"/>
  <c r="U12" i="763"/>
  <c r="V12" i="763"/>
  <c r="W12" i="763"/>
  <c r="X12" i="763"/>
  <c r="Y12" i="763"/>
  <c r="Z12" i="763"/>
  <c r="R13" i="763"/>
  <c r="S13" i="763"/>
  <c r="T13" i="763"/>
  <c r="U13" i="763"/>
  <c r="V13" i="763"/>
  <c r="W13" i="763"/>
  <c r="X13" i="763"/>
  <c r="Y13" i="763"/>
  <c r="Z13" i="763"/>
  <c r="R14" i="763"/>
  <c r="S14" i="763"/>
  <c r="T14" i="763"/>
  <c r="U14" i="763"/>
  <c r="V14" i="763"/>
  <c r="W14" i="763"/>
  <c r="X14" i="763"/>
  <c r="Y14" i="763"/>
  <c r="Z14" i="763"/>
  <c r="R15" i="763"/>
  <c r="S15" i="763"/>
  <c r="T15" i="763"/>
  <c r="U15" i="763"/>
  <c r="V15" i="763"/>
  <c r="W15" i="763"/>
  <c r="X15" i="763"/>
  <c r="Y15" i="763"/>
  <c r="Z15" i="763"/>
  <c r="F74" i="763"/>
  <c r="AX64" i="763"/>
  <c r="AW64" i="763"/>
  <c r="AV64" i="763"/>
  <c r="AU64" i="763"/>
  <c r="AT64" i="763"/>
  <c r="AS64" i="763"/>
  <c r="AR64" i="763"/>
  <c r="AQ64" i="763"/>
  <c r="AP64" i="763"/>
  <c r="AO64" i="763"/>
  <c r="AN64" i="763"/>
  <c r="AM64" i="763"/>
  <c r="AL64" i="763"/>
  <c r="AK64" i="763"/>
  <c r="AJ64" i="763"/>
  <c r="AI64" i="763"/>
  <c r="AH64" i="763"/>
  <c r="AG64" i="763"/>
  <c r="AF64" i="763"/>
  <c r="AE64" i="763"/>
  <c r="AD64" i="763"/>
  <c r="AC64" i="763"/>
  <c r="AB64" i="763"/>
  <c r="M40" i="763"/>
  <c r="M36" i="763"/>
  <c r="M34" i="763"/>
  <c r="Z32" i="763"/>
  <c r="Y32" i="763"/>
  <c r="X32" i="763"/>
  <c r="W32" i="763"/>
  <c r="V32" i="763"/>
  <c r="U32" i="763"/>
  <c r="T32" i="763"/>
  <c r="S32" i="763"/>
  <c r="R32" i="763"/>
  <c r="K57" i="763" l="1"/>
  <c r="L48" i="763" s="1"/>
  <c r="M48" i="763" s="1"/>
  <c r="K43" i="763"/>
  <c r="L43" i="763" s="1"/>
  <c r="M43" i="763" s="1"/>
  <c r="O47" i="21"/>
  <c r="N47" i="21"/>
  <c r="M47" i="21"/>
  <c r="L47" i="21"/>
  <c r="K47" i="21"/>
  <c r="J47" i="21"/>
  <c r="I47" i="21"/>
  <c r="G47" i="21"/>
  <c r="F47" i="21"/>
  <c r="D47" i="21"/>
  <c r="D45" i="21"/>
  <c r="P45" i="21" s="1"/>
  <c r="F9" i="21" s="1"/>
  <c r="H44" i="21"/>
  <c r="E44" i="21"/>
  <c r="D44" i="21"/>
  <c r="P42" i="21"/>
  <c r="H41" i="21"/>
  <c r="E41" i="21"/>
  <c r="D41" i="21"/>
  <c r="H40" i="21"/>
  <c r="E40" i="21"/>
  <c r="D40" i="21"/>
  <c r="F38" i="21"/>
  <c r="E9" i="21"/>
  <c r="E8" i="21"/>
  <c r="F7" i="21"/>
  <c r="E7" i="21"/>
  <c r="E6" i="21"/>
  <c r="E5" i="21"/>
  <c r="E3" i="21"/>
  <c r="D37" i="19"/>
  <c r="D36" i="19"/>
  <c r="D34" i="19"/>
  <c r="D33" i="19"/>
  <c r="E29" i="19"/>
  <c r="E27" i="19"/>
  <c r="K26" i="19"/>
  <c r="K25" i="19"/>
  <c r="K24" i="19"/>
  <c r="K23" i="19"/>
  <c r="J13" i="19"/>
  <c r="I13" i="19"/>
  <c r="H13" i="19"/>
  <c r="G13" i="19"/>
  <c r="F13" i="19"/>
  <c r="E13" i="19"/>
  <c r="D13" i="19"/>
  <c r="C13" i="19"/>
  <c r="E26" i="19" s="1"/>
  <c r="J12" i="19"/>
  <c r="I12" i="19"/>
  <c r="H12" i="19"/>
  <c r="G12" i="19"/>
  <c r="F12" i="19"/>
  <c r="E12" i="19"/>
  <c r="D12" i="19"/>
  <c r="C12" i="19"/>
  <c r="E25" i="19" s="1"/>
  <c r="J11" i="19"/>
  <c r="I11" i="19"/>
  <c r="H11" i="19"/>
  <c r="G11" i="19"/>
  <c r="F11" i="19"/>
  <c r="E11" i="19"/>
  <c r="D11" i="19"/>
  <c r="C11" i="19"/>
  <c r="E24" i="19" s="1"/>
  <c r="J10" i="19"/>
  <c r="I10" i="19"/>
  <c r="H10" i="19"/>
  <c r="G10" i="19"/>
  <c r="F10" i="19"/>
  <c r="E10" i="19"/>
  <c r="D10" i="19"/>
  <c r="C10" i="19"/>
  <c r="E23" i="19" s="1"/>
  <c r="D37" i="18"/>
  <c r="D36" i="18"/>
  <c r="D34" i="18"/>
  <c r="D33" i="18"/>
  <c r="E29" i="18"/>
  <c r="E27" i="18"/>
  <c r="K26" i="18"/>
  <c r="K25" i="18"/>
  <c r="K24" i="18"/>
  <c r="K23" i="18"/>
  <c r="J13" i="18"/>
  <c r="I13" i="18"/>
  <c r="H13" i="18"/>
  <c r="G13" i="18"/>
  <c r="F13" i="18"/>
  <c r="E13" i="18"/>
  <c r="D13" i="18"/>
  <c r="C13" i="18"/>
  <c r="E26" i="18" s="1"/>
  <c r="J12" i="18"/>
  <c r="I12" i="18"/>
  <c r="H12" i="18"/>
  <c r="G12" i="18"/>
  <c r="F12" i="18"/>
  <c r="E12" i="18"/>
  <c r="D12" i="18"/>
  <c r="C12" i="18"/>
  <c r="E25" i="18" s="1"/>
  <c r="J11" i="18"/>
  <c r="I11" i="18"/>
  <c r="H11" i="18"/>
  <c r="G11" i="18"/>
  <c r="F11" i="18"/>
  <c r="E11" i="18"/>
  <c r="D11" i="18"/>
  <c r="C11" i="18"/>
  <c r="E24" i="18" s="1"/>
  <c r="J10" i="18"/>
  <c r="I10" i="18"/>
  <c r="H10" i="18"/>
  <c r="G10" i="18"/>
  <c r="F10" i="18"/>
  <c r="E10" i="18"/>
  <c r="D10" i="18"/>
  <c r="C10" i="18"/>
  <c r="E23" i="18" s="1"/>
  <c r="F94" i="658"/>
  <c r="G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K79" i="658"/>
  <c r="K90" i="658" s="1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59" i="658" l="1"/>
  <c r="L59" i="658" s="1"/>
  <c r="M59" i="658" s="1"/>
  <c r="C33" i="18"/>
  <c r="P44" i="21"/>
  <c r="F8" i="21" s="1"/>
  <c r="L79" i="658"/>
  <c r="C90" i="658" s="1"/>
  <c r="I20" i="18"/>
  <c r="E10" i="21"/>
  <c r="I20" i="19"/>
  <c r="C33" i="19"/>
  <c r="P40" i="21"/>
  <c r="F5" i="21" s="1"/>
  <c r="E47" i="21"/>
  <c r="H47" i="21"/>
  <c r="P41" i="21"/>
  <c r="F6" i="21" s="1"/>
  <c r="D40" i="18"/>
  <c r="D40" i="19"/>
  <c r="P47" i="21" l="1"/>
  <c r="F10" i="21" s="1"/>
  <c r="N10" i="768" l="1"/>
  <c r="N11" i="768"/>
  <c r="N12" i="768"/>
  <c r="N13" i="768"/>
  <c r="N14" i="768"/>
  <c r="N15" i="768"/>
  <c r="N16" i="768"/>
  <c r="K18" i="767" l="1"/>
  <c r="K19" i="767"/>
  <c r="K20" i="767"/>
  <c r="K21" i="767"/>
  <c r="N22" i="772" l="1"/>
  <c r="N23" i="772"/>
  <c r="N24" i="772"/>
  <c r="J22" i="772"/>
  <c r="K18" i="763"/>
  <c r="K19" i="763"/>
  <c r="K20" i="763"/>
  <c r="K21" i="763"/>
  <c r="K22" i="764"/>
  <c r="K23" i="764"/>
  <c r="K16" i="772"/>
  <c r="K17" i="772"/>
  <c r="K18" i="772"/>
  <c r="K19" i="772"/>
  <c r="I24" i="772" l="1"/>
  <c r="J24" i="772"/>
  <c r="I22" i="772"/>
  <c r="M42" i="772" l="1"/>
  <c r="M47" i="771"/>
  <c r="M45" i="769"/>
  <c r="M45" i="770"/>
  <c r="M45" i="768"/>
  <c r="M45" i="767"/>
  <c r="M45" i="766"/>
  <c r="M45" i="765"/>
  <c r="M45" i="764"/>
  <c r="M39" i="763"/>
  <c r="J23" i="772" l="1"/>
  <c r="I23" i="772" l="1"/>
  <c r="J39" i="772" s="1"/>
  <c r="J15" i="773" l="1"/>
  <c r="I15" i="773"/>
  <c r="J36" i="773" s="1"/>
  <c r="K65" i="774" l="1"/>
  <c r="K75" i="774" s="1"/>
  <c r="J59" i="18" l="1"/>
  <c r="M38" i="775" l="1"/>
  <c r="M38" i="774" l="1"/>
  <c r="M38" i="773"/>
  <c r="M38" i="772"/>
  <c r="M43" i="771"/>
  <c r="M41" i="769"/>
  <c r="M41" i="770"/>
  <c r="M41" i="768"/>
  <c r="M41" i="767"/>
  <c r="M41" i="766"/>
  <c r="M41" i="765"/>
  <c r="M41" i="764"/>
  <c r="M35" i="763"/>
  <c r="J26" i="776" l="1"/>
  <c r="I26" i="776" l="1"/>
  <c r="K23" i="776" l="1"/>
  <c r="N23" i="776"/>
  <c r="K24" i="776"/>
  <c r="N24" i="776"/>
  <c r="N25" i="776"/>
  <c r="J24" i="776" l="1"/>
  <c r="I25" i="776"/>
  <c r="J25" i="776"/>
  <c r="I24" i="776"/>
  <c r="J23" i="776"/>
  <c r="M36" i="776" l="1"/>
  <c r="L36" i="776"/>
  <c r="I23" i="776"/>
  <c r="J36" i="776" s="1"/>
  <c r="K67" i="776" l="1"/>
  <c r="K72" i="776" s="1"/>
  <c r="K68" i="765" l="1"/>
  <c r="K75" i="765" s="1"/>
  <c r="K67" i="773"/>
  <c r="K72" i="773" s="1"/>
  <c r="K68" i="767"/>
  <c r="K75" i="767" s="1"/>
  <c r="K70" i="768"/>
  <c r="K68" i="770"/>
  <c r="K75" i="770" s="1"/>
  <c r="K68" i="768"/>
  <c r="K75" i="768" l="1"/>
  <c r="J21" i="771" l="1"/>
  <c r="C17" i="778"/>
  <c r="C18" i="778"/>
  <c r="C19" i="778"/>
  <c r="C20" i="778"/>
  <c r="N17" i="778"/>
  <c r="N18" i="778"/>
  <c r="N19" i="778"/>
  <c r="N20" i="778"/>
  <c r="J20" i="778" l="1"/>
  <c r="I20" i="778"/>
  <c r="M44" i="777"/>
  <c r="L44" i="777"/>
  <c r="L53" i="777" s="1"/>
  <c r="M53" i="777" s="1"/>
  <c r="L37" i="776"/>
  <c r="L46" i="776" s="1"/>
  <c r="M46" i="776" s="1"/>
  <c r="M37" i="776"/>
  <c r="M37" i="775"/>
  <c r="L37" i="775"/>
  <c r="L46" i="775" s="1"/>
  <c r="M46" i="775" s="1"/>
  <c r="M37" i="774"/>
  <c r="L37" i="774"/>
  <c r="L46" i="774" s="1"/>
  <c r="M46" i="774" s="1"/>
  <c r="L37" i="773"/>
  <c r="L46" i="773" s="1"/>
  <c r="M46" i="773" s="1"/>
  <c r="M37" i="773"/>
  <c r="M42" i="771"/>
  <c r="M37" i="772"/>
  <c r="L42" i="771"/>
  <c r="L51" i="771" s="1"/>
  <c r="M51" i="771" s="1"/>
  <c r="L37" i="772"/>
  <c r="L46" i="772" s="1"/>
  <c r="M46" i="772" s="1"/>
  <c r="I21" i="771"/>
  <c r="J42" i="771" s="1"/>
  <c r="I17" i="778"/>
  <c r="J18" i="778"/>
  <c r="J19" i="778"/>
  <c r="J17" i="778"/>
  <c r="I18" i="778" l="1"/>
  <c r="I19" i="778"/>
  <c r="J44" i="778" s="1"/>
  <c r="K13" i="778" l="1"/>
  <c r="K14" i="778"/>
  <c r="N13" i="778"/>
  <c r="N14" i="778"/>
  <c r="J14" i="778" l="1"/>
  <c r="J13" i="778"/>
  <c r="I14" i="778"/>
  <c r="M43" i="778" l="1"/>
  <c r="L43" i="778"/>
  <c r="L53" i="778" s="1"/>
  <c r="M53" i="778" s="1"/>
  <c r="I13" i="778"/>
  <c r="J43" i="778" s="1"/>
  <c r="K72" i="777" l="1"/>
  <c r="K79" i="777" s="1"/>
  <c r="J56" i="18" l="1"/>
  <c r="J56" i="19" l="1"/>
  <c r="J34" i="779" l="1"/>
  <c r="I34" i="779" l="1"/>
  <c r="J43" i="779" s="1"/>
  <c r="M58" i="780"/>
  <c r="M43" i="779"/>
  <c r="L43" i="779"/>
  <c r="L53" i="779" s="1"/>
  <c r="M53" i="779" s="1"/>
  <c r="D63" i="19" l="1"/>
  <c r="D64" i="19"/>
  <c r="D60" i="19"/>
  <c r="D59" i="19" l="1"/>
  <c r="D59" i="18" l="1"/>
  <c r="K68" i="764" l="1"/>
  <c r="K76" i="764" s="1"/>
  <c r="K64" i="763"/>
  <c r="K70" i="763" s="1"/>
  <c r="K65" i="772" l="1"/>
  <c r="K73" i="772" s="1"/>
  <c r="J57" i="18" l="1"/>
  <c r="J57" i="19" l="1"/>
  <c r="J65" i="18"/>
  <c r="J65" i="19"/>
  <c r="G76" i="781" l="1"/>
  <c r="D76" i="781"/>
  <c r="G78" i="781"/>
  <c r="G72" i="779"/>
  <c r="G74" i="778"/>
  <c r="G72" i="778"/>
  <c r="G74" i="777"/>
  <c r="G65" i="776"/>
  <c r="G67" i="776"/>
  <c r="G65" i="775"/>
  <c r="G67" i="775"/>
  <c r="G65" i="774"/>
  <c r="G65" i="773"/>
  <c r="G67" i="773"/>
  <c r="G65" i="772"/>
  <c r="G70" i="771"/>
  <c r="G70" i="770"/>
  <c r="G68" i="770"/>
  <c r="G70" i="768"/>
  <c r="G68" i="768"/>
  <c r="G68" i="767"/>
  <c r="G70" i="765"/>
  <c r="G68" i="765"/>
  <c r="G62" i="763"/>
  <c r="G72" i="777"/>
  <c r="D78" i="781"/>
  <c r="G68" i="764"/>
  <c r="D70" i="768"/>
  <c r="G64" i="763"/>
  <c r="D70" i="765"/>
  <c r="L70" i="765" s="1"/>
  <c r="C81" i="765" s="1"/>
  <c r="D74" i="777"/>
  <c r="D67" i="775"/>
  <c r="D65" i="776"/>
  <c r="D70" i="771"/>
  <c r="L70" i="771" s="1"/>
  <c r="C82" i="771" s="1"/>
  <c r="D67" i="776"/>
  <c r="L67" i="776" s="1"/>
  <c r="C72" i="776" s="1"/>
  <c r="D68" i="764"/>
  <c r="L68" i="764" s="1"/>
  <c r="C76" i="764" s="1"/>
  <c r="D68" i="768"/>
  <c r="L68" i="768" s="1"/>
  <c r="D67" i="773"/>
  <c r="L67" i="773" s="1"/>
  <c r="C72" i="773" s="1"/>
  <c r="G72" i="773"/>
  <c r="D65" i="773"/>
  <c r="L65" i="773" s="1"/>
  <c r="C73" i="773" s="1"/>
  <c r="D72" i="777"/>
  <c r="D74" i="778"/>
  <c r="D65" i="772"/>
  <c r="D68" i="765"/>
  <c r="D70" i="770"/>
  <c r="D68" i="767"/>
  <c r="D72" i="778"/>
  <c r="D72" i="779"/>
  <c r="D65" i="775"/>
  <c r="D64" i="763"/>
  <c r="D62" i="763"/>
  <c r="D68" i="770"/>
  <c r="G75" i="770"/>
  <c r="D65" i="774"/>
  <c r="L65" i="774" s="1"/>
  <c r="C75" i="774" s="1"/>
  <c r="G76" i="764" l="1"/>
  <c r="L67" i="775"/>
  <c r="C74" i="775" s="1"/>
  <c r="L74" i="777"/>
  <c r="C80" i="777" s="1"/>
  <c r="L76" i="781"/>
  <c r="C84" i="781" s="1"/>
  <c r="L72" i="778"/>
  <c r="C80" i="778" s="1"/>
  <c r="L68" i="767"/>
  <c r="C75" i="767" s="1"/>
  <c r="L70" i="768"/>
  <c r="C75" i="768" s="1"/>
  <c r="L70" i="770"/>
  <c r="C77" i="770" s="1"/>
  <c r="G72" i="763"/>
  <c r="L72" i="777"/>
  <c r="C79" i="777" s="1"/>
  <c r="G75" i="765"/>
  <c r="G79" i="779"/>
  <c r="G75" i="767"/>
  <c r="L65" i="775"/>
  <c r="C78" i="775" s="1"/>
  <c r="L78" i="781"/>
  <c r="C83" i="781" s="1"/>
  <c r="G73" i="772"/>
  <c r="G80" i="778"/>
  <c r="L72" i="779"/>
  <c r="C79" i="779" s="1"/>
  <c r="G72" i="776"/>
  <c r="G84" i="781"/>
  <c r="L68" i="765"/>
  <c r="C75" i="765" s="1"/>
  <c r="L65" i="772"/>
  <c r="C73" i="772" s="1"/>
  <c r="L65" i="776"/>
  <c r="C74" i="776" s="1"/>
  <c r="G79" i="777"/>
  <c r="L74" i="778"/>
  <c r="C79" i="778" s="1"/>
  <c r="G73" i="773"/>
  <c r="L68" i="770"/>
  <c r="C75" i="770" s="1"/>
  <c r="L62" i="763"/>
  <c r="C72" i="763" s="1"/>
  <c r="F62" i="763"/>
  <c r="I62" i="763" s="1"/>
  <c r="H62" i="763"/>
  <c r="G75" i="774"/>
  <c r="L64" i="763"/>
  <c r="C70" i="763" s="1"/>
  <c r="G78" i="775"/>
  <c r="G83" i="781"/>
  <c r="G79" i="778" l="1"/>
  <c r="G75" i="768"/>
  <c r="G74" i="776"/>
  <c r="G82" i="771"/>
  <c r="G81" i="765"/>
  <c r="G59" i="18"/>
  <c r="G80" i="777"/>
  <c r="G77" i="770"/>
  <c r="G74" i="775"/>
  <c r="G70" i="763"/>
  <c r="G56" i="18" l="1"/>
  <c r="G58" i="18"/>
  <c r="G57" i="18"/>
  <c r="G62" i="18"/>
  <c r="G61" i="18"/>
  <c r="G57" i="19" l="1"/>
  <c r="G58" i="19"/>
  <c r="G65" i="18"/>
  <c r="G61" i="19"/>
  <c r="G65" i="19" l="1"/>
  <c r="G62" i="19"/>
  <c r="G59" i="19"/>
  <c r="G56" i="19"/>
  <c r="K22" i="780" l="1"/>
  <c r="K23" i="780"/>
  <c r="K24" i="780"/>
  <c r="K12" i="770"/>
  <c r="K13" i="770"/>
  <c r="K14" i="770"/>
  <c r="K15" i="770"/>
  <c r="K16" i="770"/>
  <c r="K17" i="771"/>
  <c r="K18" i="771"/>
  <c r="K19" i="771"/>
  <c r="K20" i="771"/>
  <c r="K21" i="771"/>
  <c r="K17" i="778"/>
  <c r="K18" i="778"/>
  <c r="K19" i="778"/>
  <c r="K20" i="778"/>
  <c r="K23" i="779"/>
  <c r="K24" i="779"/>
  <c r="K25" i="779"/>
  <c r="K20" i="780"/>
  <c r="K11" i="770"/>
  <c r="K10" i="770"/>
  <c r="K29" i="766"/>
  <c r="K28" i="766"/>
  <c r="K27" i="766"/>
  <c r="K26" i="766"/>
  <c r="K25" i="766"/>
  <c r="K24" i="766"/>
  <c r="K23" i="766"/>
  <c r="K22" i="766"/>
  <c r="K22" i="779" l="1"/>
  <c r="K22" i="778"/>
  <c r="K22" i="772"/>
  <c r="K23" i="772"/>
  <c r="K24" i="772"/>
  <c r="K10" i="773"/>
  <c r="K11" i="773"/>
  <c r="K12" i="773"/>
  <c r="F72" i="779" l="1"/>
  <c r="F74" i="778" l="1"/>
  <c r="D57" i="18"/>
  <c r="D62" i="18"/>
  <c r="F68" i="765"/>
  <c r="H72" i="779"/>
  <c r="I72" i="779"/>
  <c r="I74" i="778"/>
  <c r="H74" i="778"/>
  <c r="I68" i="765" l="1"/>
  <c r="H68" i="765"/>
  <c r="D58" i="18"/>
  <c r="D61" i="18"/>
  <c r="D62" i="19"/>
  <c r="D57" i="19"/>
  <c r="D56" i="19"/>
  <c r="D56" i="18" l="1"/>
  <c r="D61" i="19"/>
  <c r="D58" i="19"/>
  <c r="D65" i="18"/>
  <c r="D65" i="19" l="1"/>
  <c r="M52" i="781" l="1"/>
  <c r="M53" i="780"/>
  <c r="M48" i="779"/>
  <c r="M48" i="778"/>
  <c r="M48" i="777"/>
  <c r="M41" i="776"/>
  <c r="M41" i="775"/>
  <c r="M41" i="774"/>
  <c r="M41" i="773"/>
  <c r="M41" i="772"/>
  <c r="M46" i="771"/>
  <c r="M44" i="769"/>
  <c r="M44" i="770"/>
  <c r="M44" i="767"/>
  <c r="M44" i="768"/>
  <c r="M44" i="766"/>
  <c r="M44" i="765"/>
  <c r="M44" i="764"/>
  <c r="M38" i="76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540C3499-BC02-4383-AFBF-BBE371D11D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302676A-E42C-47A0-B9E0-B0C539CC26F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5BDAE5C3-EFF1-409D-8264-3C919F93B4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7A1B085-2786-4B86-8B09-7A461105E6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073BC48-D327-48DD-8E5A-BFF3250BE80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5AE55ED-71D2-4F80-A627-E3E28EA3F73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0661B81-5017-4E03-AB4F-736FAD1C749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6C9F4A2-9B33-4308-9C20-C1643FBB81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C7797E92-CD27-46EF-AD5A-5388B6C403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326198C3-757D-4136-A38C-597290087C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49866990-EBDF-497A-9ACB-88C19DF75DF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030B60D-0C97-463F-97B8-084A2AB460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F89B39C-911B-4707-BD27-6B65EE702DC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4CA14BF-EDF5-4547-8DA1-6B914D637F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52BE4F5-E23E-4392-A7E0-96FA63492F7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6B9D0EC7-3E6F-4644-B5F3-F6C222DB02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8697DE1-D84C-4D75-80D1-48817C1BAF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1640538-54B8-45A2-89AF-614139AB98C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1294D4A2-6FCC-4D09-9551-619E23894D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DF406D29-7CA1-4009-9764-33CAC81596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F16262E9-D636-4320-80FA-B3223316134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D9C3059-4325-478C-9269-2AECD13C5C4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4A68D00-896A-438A-9CF1-3409AC4D66E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AAC5C16-B5DC-42DC-AE75-76ACB9B7719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6B58D89-7D36-4D9F-BD76-2EE54910DD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050A6C7-F68E-4668-83F5-80CFCC1C099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856103C-963C-4C7A-8B4B-A85D9B78D1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8CB4E8D-B781-4278-AE7A-0CB11F5C422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90C24578-94B1-43D8-A0F9-CFBD2A84B06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809D0140-E327-4BB8-9F56-9ED28DAAC0B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B0428E4E-24E4-4411-8202-8CC46578F3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C1595ED-A3B1-47E2-931C-2441736E40C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A15857B-9C6E-4FEB-84F2-89EB70A4124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2EBAE84-58C4-4CB4-9421-9354707EA57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ECD0F4A-D1E7-476E-8ABC-1912E3AC14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B1FDD42A-F42F-4039-AF82-D0A387F1D10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038FECD-16C0-4884-8338-427592839C0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D31869E-AED3-40C1-B9C4-3070991B43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1348897B-0A2E-45DD-AD03-C3346B64156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F5E4713E-0BEF-4B0E-82E8-E8C5A7709EF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G68" authorId="0" shapeId="0" xr:uid="{C6A480F7-1C7F-4EA5-A5C5-8FC5732B390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79- sv15
73.6- SV16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576B8A2A-4FAE-472F-B862-35EB9B03D6C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D5E7D89-0F36-4BAE-81CE-8EA1409BF9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D953285-A157-4ABA-9B87-848C9ACA12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074C2A4-CE16-4446-BF50-D0FC895415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E57BD85A-C898-45AE-AA7A-A825E76F460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74ACC9C-164D-461C-8B7B-EC33E767A60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7B09B05-AE89-4A14-A061-987923CCFA0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89E3ACD-DA5D-4484-ACE5-3C1861174DA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E063B274-02B9-4952-9FB3-F2BEE86523B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C16D5EE1-2C9A-4732-9E94-BFC1815131B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B328648A-15C2-460A-A947-18DE0035471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03A3ABB-520E-47C6-9C69-A6FF23EFFB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71CA948-115E-406C-9B21-D118165F8D4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2EDDB53-EB4A-428A-8ECB-25C6BEB040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4312703-A08F-4165-9369-7D51C779E74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FD8FD48-FFAC-4935-89A4-845D5FB41A6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3F01358-E819-4FC1-B05B-9E9E25474D0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C20B83E-F93F-477E-8A16-ABD03ABED5E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390EC891-E24F-41A9-AD6E-FEDB26B24CE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EBCD6649-945D-435E-92E0-FD177E3A54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076A3F99-1AB6-47B8-9185-4FF8D31B0D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A04D59C-E68D-4764-B78B-5049E28DD4A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F9C6F4F-75CA-4DB6-9F89-AEB144E4E8D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64360CD-DAF4-450E-A689-4CE9447659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0A6B7AA-5EAA-498E-A156-3B8126E3C36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2A16730-2627-4A85-A8B1-02706B45B6E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D10B087-4CEB-4432-99E1-65A787C495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07F91A0-38FA-435A-AF49-915FD06E50E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8DF9C670-395F-4794-83F4-C3712FC49F4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19F04DB0-6CE0-49A3-8C8B-1C3908F763E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7A843AC9-35EB-4FDB-ADFB-1FA8D5E6F7E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C99A06A-F29E-4AED-9584-E48D63B07E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E78AB27-0073-4994-B65C-96F74D2A323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20FF062-27C1-420B-AF4F-95B346DC742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7998C82-F564-4F80-BAB8-824113C0FD4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F26C0ED0-F3AF-48B3-820C-4FEEEFF8717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10A58A8-1954-42B9-B239-391A19F009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23EADDBE-C06E-46C1-B6D5-4B4C39719A4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6D7159DF-466E-4E8B-9274-BD3E82C7BC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8A0FCB0C-AD9C-4C38-8250-7C0D15C5523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1472AD94-DF5E-472E-AFB0-9DC3A9FD158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7C8D275-3A59-447B-883A-F180CB19D3A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2FF912E-CCC2-49A4-9365-20A564AFBC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8EFD783-EC1D-4C1B-BC22-CD61FEA3E4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93E61A0-50CF-43DC-A1EE-ACD45DB182E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8F1794A-26AA-4201-88C1-64501B1BFBD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7385757-B7BF-4F91-BD12-C97FE83F3FB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1ADB4EA-6A70-4F20-995E-CB0028A07B3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098CD329-F4B7-44B7-9D92-137488CD993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514CE962-B7EB-4758-AD39-58A3667495F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6E27A582-B5F8-4E70-80B9-4EE5DA28E3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4F8AA7E-0257-4F89-A095-EC9B4CB0AAE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BDA488A-BC7B-4CFD-BEDB-FEF697086AC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054B8A5-ED2A-439C-AFD6-451A06E1789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A2BD6FC2-F59A-43D8-BE9A-CDF888BF438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C00F98A-F836-4209-B183-E24C0AA224C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7A1CBD0D-627D-4391-8672-C32E2BC74DD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D4922EB6-9891-4363-8DBC-B73F29037C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5824FA55-C20C-48CC-838F-F3F33B4C469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3BCD2E31-B11F-49DD-B122-75DB38C1178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M19" authorId="1" shapeId="0" xr:uid="{B875BA82-7666-49EF-A02D-F6310BB6FB8E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no start boil time recorded (brew history down)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ED442541-4CD7-410F-AF72-6C11A695F08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4B901F3-2121-4E3B-B9AB-C16D7F7520D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B675FC7-8A8C-41C3-BEF3-70464E8EC8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996298F3-FDE1-4C86-A943-EF8519CAC57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1091EE1-620E-4EA6-9B9D-7C209167FA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2EB61401-6FC6-4604-B6C8-E701B163D7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DB7208A-672C-4EEB-A715-4D33145932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431BD933-6071-4D38-A17E-0897E1150C9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A1F25FC6-24B2-4032-AF8F-F7B57AB9494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DB51010D-C04A-4509-841B-4DB9826F24A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1B0E035E-79BA-4656-AAD6-877B532E29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8DF5259-B7EF-4155-8D8B-30D9E809DFD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3AEA0B76-D60A-422D-BED0-32ECDD3664B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EA5D197-967F-4F1C-AFBC-BBAE9E3A8F5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BAF36E9B-0AAF-41E0-B551-C7D60BC0406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59C1855-5FAC-4827-B4FB-1FDB7A2A22C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54C7138-94A2-43AC-A030-ECBA1BC1F35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B367682-686D-4EC5-9270-504FB3ADB1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C7CF0C1B-ACB3-42D2-A05B-766F2434803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06C201CF-E990-41E6-8EA3-1E5C9B6CE32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CD0A1D42-B948-46FC-B831-6305938EFC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5416096-6029-436A-897A-E42587BE806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F2C1DED-43C9-4AE0-8C0C-6B5103E9EC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7CF8A3D-9D79-4F64-953C-513CCAE00AC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12C4B98D-1F04-4EA4-8B5A-0E933203AB4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698C81B-523E-4B39-BD42-6A9429ADAA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EB531E2-F07B-4270-81F6-12B1776FDF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5185391-55E0-4254-9DED-92A2D84B044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075F6F0A-E049-4EAF-963D-E4A1A86FDD6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F35A4358-2746-43FE-A562-31BD30589E6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J67" authorId="0" shapeId="0" xr:uid="{C2CD75F7-9321-4451-B142-C5C8EFAEFC4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60hls was also filtered into BBT5 but was not analyse. Topped up June 23rd 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9DFEF280-EA61-4BD5-814F-1AF5A8FF33F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3C670F8-815D-4794-B84A-6F4009B89E7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8744029-EDB8-4514-AC18-60DD80CACF2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D466801-E99F-4C9C-8E1D-E803A35479F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0A57956-0848-45F1-AB32-8810FEBDC7D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4AAD795-75E6-49E4-B15B-813BF55F1A4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0FC4259-B82E-49D8-BAE3-5A18639883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1F13886-7177-4D8D-B79A-5591273CF4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D961181D-6B37-423D-B0CF-4F81836E11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D7083FA6-8BCC-4705-A5FB-E3A7E351249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06DDB79F-16EA-45D1-A9E6-C3DB3074FC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F1ADDBA-4DDB-41C2-A9A6-78D1E369CF4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994C4C5F-68B9-423B-AFF8-27A080694A4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B26C49E-EE57-4B57-928E-A7A57E702CC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C0E1C60-82B1-43D6-9190-56CE802D9E2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6B492480-5EB2-4CCF-8098-B249A9CDF7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78B1B7A-F54E-4137-971A-E1AFA3558F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CAD0589-9DA1-4816-AB69-3C942D42680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4C7437B3-38F5-49DB-B47E-C795660D8D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B58F1756-304D-4427-94EC-19F6C8EDD44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F97E9A17-1A64-41D7-B375-DA21B79601C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7FB909F4-3C96-49DF-B455-D92B89001B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307F9490-3A25-49AB-99DC-FF0F7431ABD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1B527F57-A5BB-45FF-B215-12F2DB9B54C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00768502-DD46-46B1-9EBD-E0783BEA64D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2368148-3483-4506-81CE-81E77D35B0A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BCCA785-513B-49AC-9160-5632B6C4A1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64D94C6-98AC-4EB8-AF86-5D93951AD6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9B357C87-D495-4B09-8F43-CBB6780FF2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E7E9D792-0958-4F0B-8F88-F8F1664BB88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2E754555-9B4C-401E-8E9C-72F712DE96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87675B4-2256-48FF-94B6-FD6CC577BCF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C0F6D69-A571-484A-9A33-BE64A67562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DB7B0AE-0E73-4055-9F5A-780AC06A90B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309A0E2-D64A-407D-B491-72E127C7F1D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389523C6-DC79-4705-B6DC-0E8FD56488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726541E-8D23-4D7E-B733-CB9953FE7A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3389F86-356B-470C-A07F-CDD4D043A1C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4A397E93-C946-4626-9C89-00E285E0F40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C20CF616-D677-4AE9-9FEE-7ED4A1A4013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B716B89D-B208-4BB8-8CF6-DBA13F39A9C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965FBF6-7F17-44E8-B308-0D399D4CCA5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260CEE0-3288-4CF8-9D5C-8AD9364D68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B823631-4A5B-4D81-8AF7-382E13B93F6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B2E114C4-0B1D-47BA-9E41-73403BCF810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CA91649-7085-4F31-9407-A1D2638613E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47A1BB4-A369-4BBB-A60A-AF1F3ABECEC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731B452-FEE3-4712-98A8-0252A9CB41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99A126B2-871D-4977-ABA4-E214466FCAC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9872A27F-248F-4FAB-99B3-B471D683E44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257D2343-F1AC-43FE-BB85-F654D4F50C9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A2478E4B-B8EA-4C0C-86C2-6325B2B157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6A13222-4252-49A3-A8B8-34D64204173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81D6D14-354E-4A40-A9C1-8BF16B9222E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689082A-38A0-444D-A510-A3601600135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44A83E0-F7E0-42D4-B715-A972033334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AA3B18E-6FAC-4640-8D8B-9BCABCE237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AE86703-E36C-48E3-BF09-0C8C9C646F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340C089D-5959-4722-A5B9-7B5112680DD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4477A02A-7334-449F-87B5-BDC2DCFDA19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<sst xmlns="http://schemas.openxmlformats.org/spreadsheetml/2006/main" count="2983" uniqueCount="224">
  <si>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</si>
  <si>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</si>
  <si>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</si>
  <si>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</si>
  <si>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</si>
  <si>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</si>
  <si>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</si>
  <si>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</si>
  <si>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</si>
  <si>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</si>
  <si>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</si>
  <si>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</si>
  <si>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</si>
  <si>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</si>
  <si>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</si>
  <si>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</si>
  <si>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</si>
  <si>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</si>
  <si>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</si>
  <si>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</si>
  <si>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</si>
  <si>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</si>
  <si>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</si>
  <si>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</si>
  <si>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</si>
  <si>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</si>
  <si>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</si>
  <si>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</si>
  <si>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</si>
  <si>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</si>
  <si>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</si>
  <si>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</si>
  <si>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</si>
  <si>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</si>
  <si>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</si>
  <si>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</si>
  <si>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</si>
  <si>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</si>
  <si>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</si>
  <si>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</si>
  <si>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</si>
  <si>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</si>
  <si>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</si>
  <si>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</si>
  <si>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</si>
  <si>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</si>
  <si>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</si>
  <si>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</si>
  <si>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</si>
  <si>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</si>
  <si>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</si>
  <si>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</si>
  <si>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</si>
  <si>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</si>
  <si>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</si>
  <si>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</si>
  <si>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</si>
  <si>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</si>
  <si>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</si>
  <si>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</si>
  <si>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</si>
  <si>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</si>
  <si>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</si>
  <si>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</si>
  <si>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</si>
  <si>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</si>
  <si>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</si>
  <si>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</si>
  <si>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</si>
  <si>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</si>
  <si>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</si>
  <si>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</si>
  <si>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</si>
  <si>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</si>
  <si>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</si>
  <si>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</si>
  <si>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</si>
  <si>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</si>
  <si>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</si>
  <si>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</si>
  <si>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</si>
  <si>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</si>
  <si>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</si>
  <si>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</si>
  <si>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</si>
  <si>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</si>
  <si>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</si>
  <si>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</si>
  <si>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</si>
  <si>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</si>
  <si>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</si>
  <si>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</si>
  <si>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</si>
  <si>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</si>
  <si>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</si>
  <si>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</si>
  <si>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</si>
  <si>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</si>
  <si>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</si>
  <si>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</si>
  <si>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</si>
  <si>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</si>
  <si>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</si>
  <si>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</si>
  <si>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</si>
  <si>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</si>
  <si>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</si>
  <si>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</si>
  <si>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</si>
  <si>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</si>
  <si>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</si>
  <si>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</si>
  <si>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</si>
  <si>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</si>
  <si>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</si>
  <si>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</si>
  <si>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</si>
  <si>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</si>
  <si>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</si>
  <si>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</si>
  <si>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</si>
  <si>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</si>
  <si>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</si>
  <si>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</si>
  <si>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</si>
  <si>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</si>
  <si>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</si>
  <si>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</si>
  <si>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</si>
  <si>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</si>
  <si>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</si>
  <si>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</si>
  <si>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</si>
  <si>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</si>
  <si>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</si>
  <si>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</si>
  <si>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</si>
  <si>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</si>
  <si>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</si>
  <si>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</si>
  <si>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</si>
  <si>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</si>
  <si>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</si>
  <si>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</si>
  <si>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</si>
  <si>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</si>
  <si>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</si>
  <si>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</si>
  <si>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</si>
  <si>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</si>
  <si>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</si>
  <si>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</si>
  <si>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</si>
  <si>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</si>
  <si>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</si>
  <si>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</si>
  <si>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</si>
  <si>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</si>
  <si>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</si>
  <si>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</si>
  <si>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</si>
  <si>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</si>
  <si>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>Extr. Rec (78.95%)</t>
  </si>
  <si>
    <t>LOT WORT COLOUR: 3.6</t>
  </si>
  <si>
    <t xml:space="preserve"> MALT LOT: Lot 37</t>
  </si>
  <si>
    <t xml:space="preserve"> NO SBF</t>
  </si>
  <si>
    <t xml:space="preserve">T. Charles </t>
  </si>
  <si>
    <t>K. Hosten</t>
  </si>
  <si>
    <t xml:space="preserve">2 SBF- Water Added </t>
  </si>
  <si>
    <t>D. Emery</t>
  </si>
  <si>
    <t>2 SBF</t>
  </si>
  <si>
    <t xml:space="preserve"> MALT LOT: Lot 37&amp;38</t>
  </si>
  <si>
    <t>LOT WORT COLOUR: 3.3</t>
  </si>
  <si>
    <t>Extr. Rec (79.09%)</t>
  </si>
  <si>
    <t xml:space="preserve">R. Regis </t>
  </si>
  <si>
    <t xml:space="preserve">15MINS EXTRA BOIL </t>
  </si>
  <si>
    <t xml:space="preserve"> EXTRA BOIL </t>
  </si>
  <si>
    <t>BRAND 7TH</t>
  </si>
  <si>
    <t>J. Nelson</t>
  </si>
  <si>
    <t xml:space="preserve"> MALT LOT: Lot 38</t>
  </si>
  <si>
    <t xml:space="preserve">BRAND </t>
  </si>
  <si>
    <t>1 SBF</t>
  </si>
  <si>
    <t>NO SBF</t>
  </si>
  <si>
    <t>J. Nelson/G. Mason</t>
  </si>
  <si>
    <t xml:space="preserve"> 2 SBF- 2 starts </t>
  </si>
  <si>
    <t>G. Mason</t>
  </si>
  <si>
    <t>Brews Achieved - 13th</t>
  </si>
  <si>
    <t>14th</t>
  </si>
  <si>
    <t>HR-PILSNER</t>
  </si>
  <si>
    <t>JUNE 14TH 2025</t>
  </si>
  <si>
    <t>JUNE 13TH 2025</t>
  </si>
  <si>
    <t>Brews Achieved</t>
  </si>
  <si>
    <t>Extra boil</t>
  </si>
  <si>
    <t xml:space="preserve">Lautering issues repeated deep cuts ( 12 deep cuts) + Extra boil </t>
  </si>
  <si>
    <t>Lautering issues</t>
  </si>
  <si>
    <t>3 SBF</t>
  </si>
  <si>
    <t>T. Charles</t>
  </si>
  <si>
    <t>Extr. Rec (79.4%)</t>
  </si>
  <si>
    <t xml:space="preserve"> MALT LOT: Lot 39</t>
  </si>
  <si>
    <t xml:space="preserve">D. Emery/G. Mason </t>
  </si>
  <si>
    <t xml:space="preserve">5 SBF- 2 starts, 1 full CIP </t>
  </si>
  <si>
    <t xml:space="preserve">K. Neprtune </t>
  </si>
  <si>
    <t xml:space="preserve">K. Hosten </t>
  </si>
  <si>
    <t>2 BREAK</t>
  </si>
  <si>
    <t>1 BREAK</t>
  </si>
  <si>
    <t>K. Hosten/ G. Mason</t>
  </si>
  <si>
    <t>G. Mason/R. Regis</t>
  </si>
  <si>
    <t>June 25th</t>
  </si>
  <si>
    <t>R. Regis/ G. Mason</t>
  </si>
  <si>
    <t>June 26th</t>
  </si>
  <si>
    <t>G. Mason/K. Neptune</t>
  </si>
  <si>
    <t xml:space="preserve"> MALT LOT: Lot 39/Lot 7-8 CDC</t>
  </si>
  <si>
    <t xml:space="preserve">Silo #2 Lot 39 empty @530kgs ;Silo #1 220kgs </t>
  </si>
  <si>
    <t>27th June 2025</t>
  </si>
  <si>
    <t>Hurricane Reef-IPA</t>
  </si>
  <si>
    <t>HR-APA</t>
  </si>
  <si>
    <t>28th June 2025</t>
  </si>
  <si>
    <t>29th June 2025</t>
  </si>
  <si>
    <t>Ginseng</t>
  </si>
  <si>
    <t>Brews Achieved 27th</t>
  </si>
  <si>
    <t>Brews Achieved 28th</t>
  </si>
  <si>
    <t>Brews Achieved 30th</t>
  </si>
  <si>
    <t xml:space="preserve"> MALT LOT: Lot 7-8 CDC</t>
  </si>
  <si>
    <t>K. Neptune/J.Nelson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</si>
</sst>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8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5" tint="-0.249977111117893"/>
      <name val="Arial"/>
      <family val="2"/>
    </font>
    <font>
      <b/>
      <sz val="11"/>
      <color rgb="FF00B0F0"/>
      <name val="Arial"/>
      <family val="2"/>
    </font>
    <font>
      <b/>
      <sz val="11"/>
      <color theme="9" tint="-0.249977111117893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1">
    <xf numFmtId="165" fontId="0" fillId="0" borderId="0"/>
    <xf numFmtId="164" fontId="7" fillId="0" borderId="0" applyFont="0" applyFill="0" applyBorder="0" applyAlignment="0" applyProtection="0"/>
    <xf numFmtId="0" fontId="5" fillId="2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24">
    <xf numFmtId="165" fontId="0" fillId="0" borderId="0" xfId="0"/>
    <xf numFmtId="165" fontId="9" fillId="0" borderId="0" xfId="3" applyFont="1"/>
    <xf numFmtId="165" fontId="9" fillId="0" borderId="0" xfId="3" applyFont="1" applyAlignment="1">
      <alignment wrapText="1"/>
    </xf>
    <xf numFmtId="165" fontId="10" fillId="3" borderId="1" xfId="0" applyFont="1" applyFill="1" applyBorder="1"/>
    <xf numFmtId="165" fontId="11" fillId="0" borderId="0" xfId="3" applyFont="1" applyAlignment="1">
      <alignment horizontal="center" wrapText="1"/>
    </xf>
    <xf numFmtId="165" fontId="12" fillId="0" borderId="0" xfId="3" applyFont="1"/>
    <xf numFmtId="165" fontId="8" fillId="0" borderId="0" xfId="3" applyFont="1" applyAlignment="1">
      <alignment wrapText="1"/>
    </xf>
    <xf numFmtId="166" fontId="10" fillId="3" borderId="1" xfId="0" applyNumberFormat="1" applyFont="1" applyFill="1" applyBorder="1"/>
    <xf numFmtId="166" fontId="10" fillId="3" borderId="2" xfId="0" applyNumberFormat="1" applyFont="1" applyFill="1" applyBorder="1"/>
    <xf numFmtId="167" fontId="9" fillId="3" borderId="1" xfId="3" applyNumberFormat="1" applyFont="1" applyFill="1" applyBorder="1" applyAlignment="1">
      <alignment horizontal="right"/>
    </xf>
    <xf numFmtId="167" fontId="9" fillId="3" borderId="1" xfId="3" applyNumberFormat="1" applyFont="1" applyFill="1" applyBorder="1" applyAlignment="1">
      <alignment horizontal="right" vertical="center"/>
    </xf>
    <xf numFmtId="166" fontId="8" fillId="0" borderId="0" xfId="3" applyNumberFormat="1" applyFont="1"/>
    <xf numFmtId="165" fontId="9" fillId="0" borderId="0" xfId="3" applyFont="1" applyAlignment="1">
      <alignment horizontal="center" wrapText="1"/>
    </xf>
    <xf numFmtId="165" fontId="9" fillId="0" borderId="0" xfId="3" applyFont="1" applyAlignment="1">
      <alignment vertical="center"/>
    </xf>
    <xf numFmtId="165" fontId="17" fillId="0" borderId="1" xfId="3" applyFont="1" applyBorder="1"/>
    <xf numFmtId="165" fontId="18" fillId="0" borderId="0" xfId="3" applyFont="1"/>
    <xf numFmtId="1" fontId="8" fillId="0" borderId="0" xfId="3" applyNumberFormat="1" applyFont="1" applyAlignment="1">
      <alignment horizontal="center" wrapText="1"/>
    </xf>
    <xf numFmtId="165" fontId="9" fillId="5" borderId="7" xfId="3" applyFont="1" applyFill="1" applyBorder="1" applyAlignment="1">
      <alignment horizontal="center" vertical="center" wrapText="1"/>
    </xf>
    <xf numFmtId="165" fontId="8" fillId="0" borderId="9" xfId="3" applyFont="1" applyBorder="1" applyAlignment="1">
      <alignment horizontal="center"/>
    </xf>
    <xf numFmtId="20" fontId="9" fillId="0" borderId="0" xfId="3" applyNumberFormat="1" applyFont="1"/>
    <xf numFmtId="165" fontId="9" fillId="0" borderId="11" xfId="3" applyFont="1" applyBorder="1" applyAlignment="1">
      <alignment horizontal="center" vertical="top" wrapText="1"/>
    </xf>
    <xf numFmtId="165" fontId="9" fillId="5" borderId="11" xfId="3" applyFont="1" applyFill="1" applyBorder="1" applyAlignment="1">
      <alignment horizontal="center" vertical="top" wrapText="1"/>
    </xf>
    <xf numFmtId="165" fontId="23" fillId="0" borderId="13" xfId="3" applyFont="1" applyBorder="1" applyAlignment="1">
      <alignment horizontal="left"/>
    </xf>
    <xf numFmtId="2" fontId="9" fillId="0" borderId="0" xfId="3" applyNumberFormat="1" applyFont="1"/>
    <xf numFmtId="165" fontId="9" fillId="0" borderId="20" xfId="3" applyFont="1" applyBorder="1" applyAlignment="1">
      <alignment horizontal="left"/>
    </xf>
    <xf numFmtId="165" fontId="9" fillId="0" borderId="21" xfId="3" applyFont="1" applyBorder="1" applyAlignment="1">
      <alignment horizontal="center"/>
    </xf>
    <xf numFmtId="165" fontId="9" fillId="0" borderId="21" xfId="3" applyFont="1" applyBorder="1" applyAlignment="1">
      <alignment horizontal="center" wrapText="1"/>
    </xf>
    <xf numFmtId="165" fontId="9" fillId="0" borderId="22" xfId="3" applyFont="1" applyBorder="1" applyAlignment="1">
      <alignment horizontal="center"/>
    </xf>
    <xf numFmtId="165" fontId="24" fillId="0" borderId="0" xfId="3" applyFont="1"/>
    <xf numFmtId="165" fontId="26" fillId="0" borderId="13" xfId="3" applyFont="1" applyBorder="1" applyAlignment="1">
      <alignment horizontal="left"/>
    </xf>
    <xf numFmtId="166" fontId="8" fillId="0" borderId="15" xfId="3" applyNumberFormat="1" applyFont="1" applyBorder="1"/>
    <xf numFmtId="166" fontId="8" fillId="0" borderId="0" xfId="3" applyNumberFormat="1" applyFont="1" applyAlignment="1">
      <alignment wrapText="1"/>
    </xf>
    <xf numFmtId="2" fontId="8" fillId="0" borderId="0" xfId="3" quotePrefix="1" applyNumberFormat="1" applyFont="1" applyAlignment="1">
      <alignment horizontal="center"/>
    </xf>
    <xf numFmtId="165" fontId="27" fillId="0" borderId="13" xfId="3" applyFont="1" applyBorder="1"/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 applyAlignment="1">
      <alignment horizontal="left"/>
    </xf>
    <xf numFmtId="165" fontId="13" fillId="0" borderId="13" xfId="3" applyFont="1" applyBorder="1"/>
    <xf numFmtId="165" fontId="32" fillId="0" borderId="31" xfId="3" applyFont="1" applyBorder="1"/>
    <xf numFmtId="166" fontId="8" fillId="0" borderId="0" xfId="3" applyNumberFormat="1" applyFont="1" applyAlignment="1">
      <alignment horizontal="right"/>
    </xf>
    <xf numFmtId="166" fontId="8" fillId="4" borderId="0" xfId="3" applyNumberFormat="1" applyFont="1" applyFill="1"/>
    <xf numFmtId="2" fontId="8" fillId="0" borderId="0" xfId="3" applyNumberFormat="1" applyFont="1" applyAlignment="1">
      <alignment horizontal="center"/>
    </xf>
    <xf numFmtId="2" fontId="9" fillId="0" borderId="0" xfId="3" applyNumberFormat="1" applyFont="1" applyAlignment="1">
      <alignment horizontal="center"/>
    </xf>
    <xf numFmtId="166" fontId="9" fillId="0" borderId="0" xfId="3" applyNumberFormat="1" applyFont="1" applyAlignment="1">
      <alignment horizontal="center"/>
    </xf>
    <xf numFmtId="2" fontId="24" fillId="0" borderId="0" xfId="3" applyNumberFormat="1" applyFont="1"/>
    <xf numFmtId="165" fontId="13" fillId="0" borderId="0" xfId="3" applyFont="1"/>
    <xf numFmtId="2" fontId="33" fillId="0" borderId="0" xfId="3" applyNumberFormat="1" applyFont="1" applyAlignment="1">
      <alignment horizontal="center"/>
    </xf>
    <xf numFmtId="165" fontId="8" fillId="0" borderId="4" xfId="3" applyFont="1" applyBorder="1" applyAlignment="1">
      <alignment horizontal="center"/>
    </xf>
    <xf numFmtId="165" fontId="8" fillId="0" borderId="0" xfId="3" applyFont="1" applyAlignment="1">
      <alignment horizontal="center"/>
    </xf>
    <xf numFmtId="165" fontId="8" fillId="0" borderId="0" xfId="3" applyFont="1" applyAlignment="1">
      <alignment horizontal="center" wrapText="1"/>
    </xf>
    <xf numFmtId="165" fontId="9" fillId="0" borderId="0" xfId="3" applyFont="1" applyAlignment="1">
      <alignment horizontal="center" vertical="center" wrapText="1"/>
    </xf>
    <xf numFmtId="169" fontId="34" fillId="0" borderId="41" xfId="0" applyNumberFormat="1" applyFont="1" applyBorder="1" applyAlignment="1">
      <alignment horizontal="center" vertical="center"/>
    </xf>
    <xf numFmtId="170" fontId="8" fillId="0" borderId="42" xfId="4" applyNumberFormat="1" applyFont="1" applyBorder="1" applyAlignment="1">
      <alignment horizontal="center" vertical="center"/>
    </xf>
    <xf numFmtId="2" fontId="31" fillId="0" borderId="2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9" fillId="0" borderId="43" xfId="3" applyFont="1" applyBorder="1" applyAlignment="1">
      <alignment vertical="center" wrapText="1"/>
    </xf>
    <xf numFmtId="165" fontId="9" fillId="0" borderId="0" xfId="3" applyFont="1" applyAlignment="1">
      <alignment vertical="center" wrapText="1"/>
    </xf>
    <xf numFmtId="170" fontId="8" fillId="0" borderId="0" xfId="3" applyNumberFormat="1" applyFont="1" applyAlignment="1">
      <alignment horizontal="center" vertical="center"/>
    </xf>
    <xf numFmtId="165" fontId="9" fillId="0" borderId="44" xfId="3" applyFont="1" applyBorder="1" applyAlignment="1">
      <alignment horizontal="center" shrinkToFit="1"/>
    </xf>
    <xf numFmtId="165" fontId="9" fillId="0" borderId="45" xfId="3" applyFont="1" applyBorder="1" applyAlignment="1">
      <alignment horizontal="center" shrinkToFit="1"/>
    </xf>
    <xf numFmtId="165" fontId="9" fillId="0" borderId="0" xfId="3" applyFont="1" applyAlignment="1">
      <alignment horizontal="center" wrapText="1" shrinkToFit="1"/>
    </xf>
    <xf numFmtId="165" fontId="9" fillId="0" borderId="50" xfId="3" applyFont="1" applyBorder="1" applyAlignment="1">
      <alignment horizontal="left"/>
    </xf>
    <xf numFmtId="165" fontId="9" fillId="0" borderId="10" xfId="3" applyFont="1" applyBorder="1" applyAlignment="1">
      <alignment horizontal="left"/>
    </xf>
    <xf numFmtId="165" fontId="9" fillId="0" borderId="12" xfId="3" applyFont="1" applyBorder="1" applyAlignment="1">
      <alignment horizontal="left"/>
    </xf>
    <xf numFmtId="165" fontId="9" fillId="0" borderId="0" xfId="3" applyFont="1" applyAlignment="1">
      <alignment horizontal="left" wrapText="1"/>
    </xf>
    <xf numFmtId="2" fontId="35" fillId="0" borderId="1" xfId="3" applyNumberFormat="1" applyFont="1" applyBorder="1" applyAlignment="1">
      <alignment horizontal="right"/>
    </xf>
    <xf numFmtId="166" fontId="8" fillId="0" borderId="15" xfId="3" applyNumberFormat="1" applyFont="1" applyBorder="1" applyAlignment="1">
      <alignment horizontal="right"/>
    </xf>
    <xf numFmtId="170" fontId="31" fillId="0" borderId="1" xfId="3" applyNumberFormat="1" applyFont="1" applyBorder="1" applyAlignment="1">
      <alignment horizontal="right"/>
    </xf>
    <xf numFmtId="9" fontId="8" fillId="0" borderId="15" xfId="3" applyNumberFormat="1" applyFont="1" applyBorder="1" applyAlignment="1">
      <alignment horizontal="right"/>
    </xf>
    <xf numFmtId="9" fontId="8" fillId="0" borderId="0" xfId="3" applyNumberFormat="1" applyFont="1" applyAlignment="1">
      <alignment horizontal="right" wrapText="1"/>
    </xf>
    <xf numFmtId="166" fontId="8" fillId="0" borderId="51" xfId="3" applyNumberFormat="1" applyFont="1" applyBorder="1" applyAlignment="1">
      <alignment horizontal="right"/>
    </xf>
    <xf numFmtId="9" fontId="8" fillId="0" borderId="51" xfId="3" applyNumberFormat="1" applyFont="1" applyBorder="1" applyAlignment="1">
      <alignment horizontal="right"/>
    </xf>
    <xf numFmtId="166" fontId="8" fillId="0" borderId="36" xfId="3" applyNumberFormat="1" applyFont="1" applyBorder="1" applyAlignment="1">
      <alignment horizontal="right"/>
    </xf>
    <xf numFmtId="2" fontId="9" fillId="0" borderId="31" xfId="3" applyNumberFormat="1" applyFont="1" applyBorder="1" applyAlignment="1">
      <alignment horizontal="right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right" wrapText="1"/>
    </xf>
    <xf numFmtId="2" fontId="38" fillId="0" borderId="1" xfId="3" applyNumberFormat="1" applyFont="1" applyBorder="1" applyAlignment="1">
      <alignment horizontal="right"/>
    </xf>
    <xf numFmtId="165" fontId="9" fillId="0" borderId="37" xfId="3" applyFont="1" applyBorder="1" applyAlignment="1">
      <alignment vertical="center"/>
    </xf>
    <xf numFmtId="165" fontId="7" fillId="0" borderId="0" xfId="3"/>
    <xf numFmtId="165" fontId="39" fillId="0" borderId="0" xfId="3" applyFont="1"/>
    <xf numFmtId="165" fontId="40" fillId="0" borderId="6" xfId="3" applyFont="1" applyBorder="1" applyAlignment="1">
      <alignment horizontal="center" vertical="center" wrapText="1"/>
    </xf>
    <xf numFmtId="165" fontId="14" fillId="0" borderId="6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0" fillId="0" borderId="11" xfId="3" applyFont="1" applyBorder="1" applyAlignment="1">
      <alignment horizontal="center" vertical="center" wrapText="1"/>
    </xf>
    <xf numFmtId="165" fontId="40" fillId="0" borderId="0" xfId="3" applyFont="1" applyAlignment="1">
      <alignment horizontal="left"/>
    </xf>
    <xf numFmtId="165" fontId="43" fillId="0" borderId="13" xfId="3" applyFont="1" applyBorder="1" applyAlignment="1">
      <alignment horizontal="left"/>
    </xf>
    <xf numFmtId="16" fontId="7" fillId="0" borderId="10" xfId="3" applyNumberFormat="1" applyBorder="1" applyAlignment="1">
      <alignment horizontal="center"/>
    </xf>
    <xf numFmtId="166" fontId="44" fillId="0" borderId="1" xfId="3" applyNumberFormat="1" applyFont="1" applyBorder="1" applyAlignment="1">
      <alignment horizontal="center"/>
    </xf>
    <xf numFmtId="1" fontId="44" fillId="0" borderId="10" xfId="3" applyNumberFormat="1" applyFont="1" applyBorder="1" applyAlignment="1">
      <alignment horizontal="center"/>
    </xf>
    <xf numFmtId="166" fontId="45" fillId="0" borderId="10" xfId="3" applyNumberFormat="1" applyFont="1" applyBorder="1" applyAlignment="1">
      <alignment horizontal="center"/>
    </xf>
    <xf numFmtId="166" fontId="7" fillId="0" borderId="1" xfId="3" applyNumberFormat="1" applyBorder="1" applyAlignment="1">
      <alignment horizontal="center"/>
    </xf>
    <xf numFmtId="167" fontId="7" fillId="0" borderId="11" xfId="3" applyNumberFormat="1" applyBorder="1" applyAlignment="1">
      <alignment horizontal="center"/>
    </xf>
    <xf numFmtId="165" fontId="46" fillId="8" borderId="43" xfId="3" applyFont="1" applyFill="1" applyBorder="1" applyAlignment="1">
      <alignment horizontal="center" wrapText="1"/>
    </xf>
    <xf numFmtId="165" fontId="40" fillId="0" borderId="0" xfId="3" applyFont="1"/>
    <xf numFmtId="165" fontId="7" fillId="0" borderId="13" xfId="3" applyBorder="1"/>
    <xf numFmtId="166" fontId="7" fillId="0" borderId="0" xfId="3" applyNumberFormat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8" fillId="0" borderId="13" xfId="3" applyFont="1" applyBorder="1"/>
    <xf numFmtId="166" fontId="7" fillId="0" borderId="0" xfId="3" applyNumberFormat="1"/>
    <xf numFmtId="165" fontId="49" fillId="0" borderId="13" xfId="3" applyFont="1" applyBorder="1"/>
    <xf numFmtId="165" fontId="50" fillId="0" borderId="52" xfId="3" applyFont="1" applyBorder="1" applyAlignment="1">
      <alignment horizontal="left"/>
    </xf>
    <xf numFmtId="15" fontId="7" fillId="0" borderId="10" xfId="3" applyNumberFormat="1" applyBorder="1" applyAlignment="1">
      <alignment horizontal="center"/>
    </xf>
    <xf numFmtId="166" fontId="7" fillId="8" borderId="1" xfId="3" applyNumberFormat="1" applyFill="1" applyBorder="1" applyAlignment="1">
      <alignment horizontal="center"/>
    </xf>
    <xf numFmtId="166" fontId="7" fillId="8" borderId="11" xfId="3" applyNumberFormat="1" applyFill="1" applyBorder="1" applyAlignment="1">
      <alignment horizontal="center"/>
    </xf>
    <xf numFmtId="165" fontId="14" fillId="8" borderId="43" xfId="3" applyFont="1" applyFill="1" applyBorder="1" applyAlignment="1">
      <alignment horizontal="center"/>
    </xf>
    <xf numFmtId="165" fontId="48" fillId="0" borderId="31" xfId="3" applyFont="1" applyBorder="1"/>
    <xf numFmtId="16" fontId="7" fillId="0" borderId="32" xfId="3" applyNumberFormat="1" applyBorder="1" applyAlignment="1">
      <alignment horizontal="center"/>
    </xf>
    <xf numFmtId="15" fontId="7" fillId="0" borderId="32" xfId="3" applyNumberFormat="1" applyBorder="1" applyAlignment="1">
      <alignment horizontal="center"/>
    </xf>
    <xf numFmtId="166" fontId="7" fillId="0" borderId="32" xfId="3" applyNumberFormat="1" applyBorder="1" applyAlignment="1">
      <alignment horizontal="center"/>
    </xf>
    <xf numFmtId="1" fontId="44" fillId="0" borderId="32" xfId="3" applyNumberFormat="1" applyFont="1" applyBorder="1" applyAlignment="1">
      <alignment horizontal="center"/>
    </xf>
    <xf numFmtId="166" fontId="45" fillId="0" borderId="32" xfId="3" applyNumberFormat="1" applyFont="1" applyBorder="1" applyAlignment="1">
      <alignment horizontal="center"/>
    </xf>
    <xf numFmtId="166" fontId="7" fillId="8" borderId="32" xfId="3" applyNumberFormat="1" applyFill="1" applyBorder="1" applyAlignment="1">
      <alignment horizontal="center"/>
    </xf>
    <xf numFmtId="166" fontId="7" fillId="8" borderId="53" xfId="3" applyNumberFormat="1" applyFill="1" applyBorder="1" applyAlignment="1">
      <alignment horizontal="center"/>
    </xf>
    <xf numFmtId="167" fontId="7" fillId="0" borderId="53" xfId="3" applyNumberFormat="1" applyBorder="1" applyAlignment="1">
      <alignment horizontal="center"/>
    </xf>
    <xf numFmtId="165" fontId="51" fillId="0" borderId="54" xfId="3" applyFont="1" applyBorder="1" applyAlignment="1">
      <alignment horizontal="center"/>
    </xf>
    <xf numFmtId="165" fontId="7" fillId="0" borderId="0" xfId="3" applyAlignment="1">
      <alignment horizontal="center"/>
    </xf>
    <xf numFmtId="15" fontId="7" fillId="0" borderId="0" xfId="3" applyNumberFormat="1" applyAlignment="1">
      <alignment horizontal="center"/>
    </xf>
    <xf numFmtId="166" fontId="52" fillId="0" borderId="0" xfId="3" applyNumberFormat="1" applyFont="1" applyAlignment="1">
      <alignment horizontal="center"/>
    </xf>
    <xf numFmtId="2" fontId="7" fillId="0" borderId="0" xfId="3" applyNumberFormat="1" applyAlignment="1">
      <alignment horizontal="center"/>
    </xf>
    <xf numFmtId="166" fontId="40" fillId="0" borderId="33" xfId="3" applyNumberFormat="1" applyFont="1" applyBorder="1"/>
    <xf numFmtId="165" fontId="51" fillId="0" borderId="0" xfId="3" applyFont="1" applyAlignment="1">
      <alignment horizontal="center"/>
    </xf>
    <xf numFmtId="166" fontId="44" fillId="0" borderId="20" xfId="3" applyNumberFormat="1" applyFont="1" applyBorder="1" applyAlignment="1">
      <alignment horizontal="center"/>
    </xf>
    <xf numFmtId="166" fontId="44" fillId="0" borderId="21" xfId="3" applyNumberFormat="1" applyFont="1" applyBorder="1" applyAlignment="1">
      <alignment horizontal="center"/>
    </xf>
    <xf numFmtId="2" fontId="40" fillId="0" borderId="0" xfId="3" applyNumberFormat="1" applyFont="1" applyAlignment="1">
      <alignment horizontal="center"/>
    </xf>
    <xf numFmtId="2" fontId="40" fillId="0" borderId="57" xfId="3" applyNumberFormat="1" applyFont="1" applyBorder="1" applyAlignment="1">
      <alignment horizontal="center"/>
    </xf>
    <xf numFmtId="166" fontId="7" fillId="0" borderId="13" xfId="3" applyNumberFormat="1" applyBorder="1" applyAlignment="1">
      <alignment horizontal="center"/>
    </xf>
    <xf numFmtId="2" fontId="7" fillId="0" borderId="1" xfId="3" applyNumberFormat="1" applyBorder="1" applyAlignment="1">
      <alignment horizontal="center"/>
    </xf>
    <xf numFmtId="165" fontId="7" fillId="0" borderId="2" xfId="3" applyBorder="1" applyAlignment="1">
      <alignment horizontal="center"/>
    </xf>
    <xf numFmtId="165" fontId="49" fillId="0" borderId="58" xfId="3" applyFont="1" applyBorder="1" applyAlignment="1">
      <alignment horizontal="center"/>
    </xf>
    <xf numFmtId="165" fontId="53" fillId="0" borderId="13" xfId="3" applyFont="1" applyBorder="1" applyAlignment="1">
      <alignment horizontal="center"/>
    </xf>
    <xf numFmtId="2" fontId="45" fillId="0" borderId="15" xfId="3" applyNumberFormat="1" applyFont="1" applyBorder="1" applyAlignment="1">
      <alignment horizontal="center"/>
    </xf>
    <xf numFmtId="2" fontId="45" fillId="0" borderId="2" xfId="3" applyNumberFormat="1" applyFont="1" applyBorder="1" applyAlignment="1">
      <alignment horizontal="center"/>
    </xf>
    <xf numFmtId="166" fontId="40" fillId="0" borderId="0" xfId="3" applyNumberFormat="1" applyFont="1" applyAlignment="1">
      <alignment horizontal="center"/>
    </xf>
    <xf numFmtId="1" fontId="7" fillId="0" borderId="58" xfId="3" applyNumberFormat="1" applyBorder="1" applyAlignment="1">
      <alignment horizontal="center"/>
    </xf>
    <xf numFmtId="166" fontId="54" fillId="0" borderId="59" xfId="3" applyNumberFormat="1" applyFont="1" applyBorder="1" applyAlignment="1">
      <alignment horizontal="center"/>
    </xf>
    <xf numFmtId="15" fontId="7" fillId="0" borderId="31" xfId="3" applyNumberFormat="1" applyBorder="1" applyAlignment="1">
      <alignment horizontal="center"/>
    </xf>
    <xf numFmtId="2" fontId="7" fillId="0" borderId="36" xfId="3" applyNumberFormat="1" applyBorder="1" applyAlignment="1">
      <alignment horizontal="center"/>
    </xf>
    <xf numFmtId="2" fontId="7" fillId="0" borderId="53" xfId="3" applyNumberFormat="1" applyBorder="1" applyAlignment="1">
      <alignment horizontal="center"/>
    </xf>
    <xf numFmtId="166" fontId="7" fillId="0" borderId="61" xfId="3" applyNumberFormat="1" applyBorder="1" applyAlignment="1">
      <alignment horizontal="center"/>
    </xf>
    <xf numFmtId="165" fontId="40" fillId="0" borderId="20" xfId="3" applyFont="1" applyBorder="1" applyAlignment="1">
      <alignment horizontal="left"/>
    </xf>
    <xf numFmtId="165" fontId="40" fillId="0" borderId="21" xfId="3" applyFont="1" applyBorder="1" applyAlignment="1">
      <alignment horizontal="center"/>
    </xf>
    <xf numFmtId="165" fontId="40" fillId="0" borderId="56" xfId="3" applyFont="1" applyBorder="1" applyAlignment="1">
      <alignment horizontal="center"/>
    </xf>
    <xf numFmtId="165" fontId="40" fillId="0" borderId="0" xfId="3" applyFont="1" applyAlignment="1">
      <alignment horizontal="center"/>
    </xf>
    <xf numFmtId="166" fontId="7" fillId="0" borderId="1" xfId="3" applyNumberFormat="1" applyBorder="1" applyAlignment="1">
      <alignment horizontal="right"/>
    </xf>
    <xf numFmtId="166" fontId="40" fillId="0" borderId="1" xfId="3" applyNumberFormat="1" applyFont="1" applyBorder="1" applyAlignment="1">
      <alignment horizontal="right"/>
    </xf>
    <xf numFmtId="166" fontId="7" fillId="0" borderId="59" xfId="3" applyNumberFormat="1" applyBorder="1"/>
    <xf numFmtId="165" fontId="55" fillId="0" borderId="13" xfId="3" applyFont="1" applyBorder="1" applyAlignment="1">
      <alignment horizontal="left"/>
    </xf>
    <xf numFmtId="166" fontId="54" fillId="0" borderId="1" xfId="3" applyNumberFormat="1" applyFont="1" applyBorder="1" applyAlignment="1">
      <alignment horizontal="right"/>
    </xf>
    <xf numFmtId="165" fontId="56" fillId="0" borderId="13" xfId="3" applyFont="1" applyBorder="1"/>
    <xf numFmtId="166" fontId="40" fillId="0" borderId="1" xfId="3" applyNumberFormat="1" applyFont="1" applyBorder="1"/>
    <xf numFmtId="166" fontId="45" fillId="0" borderId="1" xfId="3" applyNumberFormat="1" applyFont="1" applyBorder="1" applyAlignment="1">
      <alignment horizontal="right"/>
    </xf>
    <xf numFmtId="166" fontId="54" fillId="0" borderId="14" xfId="3" applyNumberFormat="1" applyFont="1" applyBorder="1"/>
    <xf numFmtId="165" fontId="57" fillId="0" borderId="31" xfId="3" applyFont="1" applyBorder="1"/>
    <xf numFmtId="166" fontId="7" fillId="0" borderId="32" xfId="3" applyNumberFormat="1" applyBorder="1" applyAlignment="1">
      <alignment horizontal="right"/>
    </xf>
    <xf numFmtId="166" fontId="40" fillId="0" borderId="14" xfId="3" applyNumberFormat="1" applyFont="1" applyBorder="1"/>
    <xf numFmtId="166" fontId="7" fillId="0" borderId="60" xfId="3" applyNumberFormat="1" applyBorder="1"/>
    <xf numFmtId="165" fontId="57" fillId="0" borderId="0" xfId="3" applyFont="1"/>
    <xf numFmtId="166" fontId="7" fillId="0" borderId="0" xfId="3" applyNumberFormat="1" applyAlignment="1">
      <alignment horizontal="right"/>
    </xf>
    <xf numFmtId="16" fontId="7" fillId="0" borderId="10" xfId="3" applyNumberFormat="1" applyBorder="1" applyAlignment="1">
      <alignment horizontal="center" vertical="center"/>
    </xf>
    <xf numFmtId="15" fontId="7" fillId="0" borderId="6" xfId="3" applyNumberFormat="1" applyBorder="1" applyAlignment="1">
      <alignment vertical="center"/>
    </xf>
    <xf numFmtId="2" fontId="7" fillId="0" borderId="1" xfId="3" applyNumberFormat="1" applyBorder="1" applyAlignment="1">
      <alignment horizontal="right" vertical="center"/>
    </xf>
    <xf numFmtId="166" fontId="7" fillId="0" borderId="1" xfId="3" applyNumberFormat="1" applyBorder="1" applyAlignment="1">
      <alignment horizontal="center" vertical="center"/>
    </xf>
    <xf numFmtId="170" fontId="7" fillId="0" borderId="6" xfId="3" applyNumberFormat="1" applyBorder="1" applyAlignment="1">
      <alignment vertical="center"/>
    </xf>
    <xf numFmtId="165" fontId="40" fillId="0" borderId="23" xfId="3" applyFont="1" applyBorder="1" applyAlignment="1">
      <alignment vertical="center" wrapText="1"/>
    </xf>
    <xf numFmtId="165" fontId="58" fillId="0" borderId="0" xfId="3" applyFont="1"/>
    <xf numFmtId="15" fontId="7" fillId="0" borderId="1" xfId="3" applyNumberFormat="1" applyBorder="1" applyAlignment="1">
      <alignment horizontal="center" vertical="center"/>
    </xf>
    <xf numFmtId="165" fontId="7" fillId="0" borderId="1" xfId="3" applyBorder="1"/>
    <xf numFmtId="165" fontId="59" fillId="0" borderId="43" xfId="3" applyFont="1" applyBorder="1" applyAlignment="1">
      <alignment vertical="center" wrapText="1"/>
    </xf>
    <xf numFmtId="2" fontId="7" fillId="0" borderId="1" xfId="3" applyNumberFormat="1" applyBorder="1" applyAlignment="1">
      <alignment horizontal="center" vertical="center"/>
    </xf>
    <xf numFmtId="2" fontId="7" fillId="0" borderId="1" xfId="3" applyNumberFormat="1" applyBorder="1" applyAlignment="1">
      <alignment horizontal="right"/>
    </xf>
    <xf numFmtId="165" fontId="40" fillId="0" borderId="43" xfId="3" applyFont="1" applyBorder="1" applyAlignment="1">
      <alignment vertical="center" wrapText="1"/>
    </xf>
    <xf numFmtId="165" fontId="52" fillId="0" borderId="13" xfId="3" applyFont="1" applyBorder="1"/>
    <xf numFmtId="165" fontId="52" fillId="0" borderId="52" xfId="3" applyFont="1" applyBorder="1"/>
    <xf numFmtId="165" fontId="7" fillId="0" borderId="14" xfId="3" applyBorder="1"/>
    <xf numFmtId="166" fontId="7" fillId="0" borderId="14" xfId="3" applyNumberFormat="1" applyBorder="1" applyAlignment="1">
      <alignment horizontal="right"/>
    </xf>
    <xf numFmtId="165" fontId="40" fillId="0" borderId="66" xfId="3" applyFont="1" applyBorder="1" applyAlignment="1">
      <alignment vertical="center" wrapText="1"/>
    </xf>
    <xf numFmtId="165" fontId="40" fillId="0" borderId="31" xfId="3" applyFont="1" applyBorder="1" applyAlignment="1">
      <alignment horizontal="center" shrinkToFit="1"/>
    </xf>
    <xf numFmtId="165" fontId="7" fillId="0" borderId="32" xfId="3" applyBorder="1" applyAlignment="1">
      <alignment horizontal="center"/>
    </xf>
    <xf numFmtId="15" fontId="7" fillId="0" borderId="39" xfId="3" applyNumberFormat="1" applyBorder="1"/>
    <xf numFmtId="165" fontId="7" fillId="0" borderId="32" xfId="3" applyBorder="1"/>
    <xf numFmtId="165" fontId="7" fillId="0" borderId="32" xfId="3" applyBorder="1" applyAlignment="1">
      <alignment horizontal="right"/>
    </xf>
    <xf numFmtId="165" fontId="40" fillId="0" borderId="54" xfId="3" applyFont="1" applyBorder="1" applyAlignment="1">
      <alignment vertical="center" wrapText="1"/>
    </xf>
    <xf numFmtId="165" fontId="40" fillId="0" borderId="0" xfId="3" applyFont="1" applyAlignment="1">
      <alignment horizontal="center" shrinkToFit="1"/>
    </xf>
    <xf numFmtId="165" fontId="40" fillId="0" borderId="0" xfId="3" applyFont="1" applyAlignment="1">
      <alignment vertical="center" wrapText="1"/>
    </xf>
    <xf numFmtId="165" fontId="38" fillId="0" borderId="50" xfId="3" applyFont="1" applyBorder="1" applyAlignment="1">
      <alignment horizontal="left"/>
    </xf>
    <xf numFmtId="165" fontId="38" fillId="0" borderId="10" xfId="3" applyFont="1" applyBorder="1" applyAlignment="1">
      <alignment horizontal="left"/>
    </xf>
    <xf numFmtId="165" fontId="38" fillId="0" borderId="12" xfId="3" applyFont="1" applyBorder="1" applyAlignment="1">
      <alignment horizontal="left"/>
    </xf>
    <xf numFmtId="165" fontId="40" fillId="0" borderId="10" xfId="3" applyFont="1" applyBorder="1" applyAlignment="1">
      <alignment horizontal="left"/>
    </xf>
    <xf numFmtId="165" fontId="40" fillId="0" borderId="12" xfId="3" applyFont="1" applyBorder="1" applyAlignment="1">
      <alignment horizontal="left"/>
    </xf>
    <xf numFmtId="2" fontId="61" fillId="0" borderId="1" xfId="4" applyNumberFormat="1" applyFont="1" applyBorder="1" applyAlignment="1">
      <alignment horizontal="right"/>
    </xf>
    <xf numFmtId="166" fontId="61" fillId="0" borderId="15" xfId="3" applyNumberFormat="1" applyFont="1" applyBorder="1" applyAlignment="1">
      <alignment horizontal="right"/>
    </xf>
    <xf numFmtId="170" fontId="7" fillId="0" borderId="52" xfId="4" applyNumberFormat="1" applyBorder="1" applyAlignment="1">
      <alignment horizontal="right" vertical="center"/>
    </xf>
    <xf numFmtId="170" fontId="54" fillId="0" borderId="1" xfId="3" applyNumberFormat="1" applyFont="1" applyBorder="1" applyAlignment="1">
      <alignment horizontal="right"/>
    </xf>
    <xf numFmtId="9" fontId="7" fillId="0" borderId="15" xfId="3" applyNumberFormat="1" applyBorder="1" applyAlignment="1">
      <alignment horizontal="right"/>
    </xf>
    <xf numFmtId="170" fontId="7" fillId="0" borderId="1" xfId="4" applyNumberFormat="1" applyBorder="1" applyAlignment="1">
      <alignment horizontal="right"/>
    </xf>
    <xf numFmtId="165" fontId="23" fillId="0" borderId="13" xfId="3" applyFont="1" applyBorder="1"/>
    <xf numFmtId="2" fontId="61" fillId="0" borderId="0" xfId="3" applyNumberFormat="1" applyFont="1" applyAlignment="1">
      <alignment horizontal="right"/>
    </xf>
    <xf numFmtId="165" fontId="30" fillId="0" borderId="52" xfId="3" applyFont="1" applyBorder="1" applyAlignment="1">
      <alignment horizontal="left"/>
    </xf>
    <xf numFmtId="166" fontId="61" fillId="0" borderId="51" xfId="3" applyNumberFormat="1" applyFont="1" applyBorder="1" applyAlignment="1">
      <alignment horizontal="right"/>
    </xf>
    <xf numFmtId="165" fontId="31" fillId="0" borderId="52" xfId="3" applyFont="1" applyBorder="1" applyAlignment="1">
      <alignment horizontal="left"/>
    </xf>
    <xf numFmtId="2" fontId="61" fillId="0" borderId="14" xfId="4" applyNumberFormat="1" applyFont="1" applyBorder="1" applyAlignment="1">
      <alignment horizontal="right"/>
    </xf>
    <xf numFmtId="170" fontId="7" fillId="0" borderId="14" xfId="4" applyNumberFormat="1" applyBorder="1" applyAlignment="1">
      <alignment horizontal="right"/>
    </xf>
    <xf numFmtId="9" fontId="7" fillId="0" borderId="51" xfId="3" applyNumberFormat="1" applyBorder="1" applyAlignment="1">
      <alignment horizontal="right"/>
    </xf>
    <xf numFmtId="2" fontId="61" fillId="0" borderId="32" xfId="3" applyNumberFormat="1" applyFont="1" applyBorder="1" applyAlignment="1">
      <alignment horizontal="right"/>
    </xf>
    <xf numFmtId="166" fontId="61" fillId="0" borderId="36" xfId="3" applyNumberFormat="1" applyFont="1" applyBorder="1" applyAlignment="1">
      <alignment horizontal="right"/>
    </xf>
    <xf numFmtId="170" fontId="7" fillId="0" borderId="32" xfId="3" applyNumberFormat="1" applyBorder="1" applyAlignment="1">
      <alignment horizontal="right"/>
    </xf>
    <xf numFmtId="9" fontId="7" fillId="0" borderId="36" xfId="3" applyNumberFormat="1" applyBorder="1" applyAlignment="1">
      <alignment horizontal="right"/>
    </xf>
    <xf numFmtId="165" fontId="61" fillId="0" borderId="0" xfId="3" applyFont="1"/>
    <xf numFmtId="165" fontId="61" fillId="0" borderId="0" xfId="3" applyFont="1" applyAlignment="1">
      <alignment horizontal="right"/>
    </xf>
    <xf numFmtId="2" fontId="38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right"/>
    </xf>
    <xf numFmtId="165" fontId="7" fillId="0" borderId="0" xfId="3" applyAlignment="1">
      <alignment horizontal="right"/>
    </xf>
    <xf numFmtId="165" fontId="62" fillId="0" borderId="0" xfId="3" applyFont="1"/>
    <xf numFmtId="165" fontId="53" fillId="0" borderId="0" xfId="0" applyFont="1"/>
    <xf numFmtId="165" fontId="53" fillId="0" borderId="0" xfId="0" applyFont="1" applyAlignment="1">
      <alignment horizontal="center"/>
    </xf>
    <xf numFmtId="165" fontId="63" fillId="3" borderId="1" xfId="0" applyFont="1" applyFill="1" applyBorder="1"/>
    <xf numFmtId="165" fontId="63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3" fillId="3" borderId="1" xfId="0" applyNumberFormat="1" applyFont="1" applyFill="1" applyBorder="1" applyAlignment="1">
      <alignment horizontal="center"/>
    </xf>
    <xf numFmtId="40" fontId="53" fillId="10" borderId="27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center"/>
    </xf>
    <xf numFmtId="40" fontId="53" fillId="12" borderId="27" xfId="1" applyNumberFormat="1" applyFont="1" applyFill="1" applyBorder="1" applyAlignment="1">
      <alignment horizontal="center"/>
    </xf>
    <xf numFmtId="40" fontId="53" fillId="13" borderId="27" xfId="1" applyNumberFormat="1" applyFont="1" applyFill="1" applyBorder="1" applyAlignment="1">
      <alignment horizontal="center"/>
    </xf>
    <xf numFmtId="40" fontId="53" fillId="14" borderId="27" xfId="1" applyNumberFormat="1" applyFont="1" applyFill="1" applyBorder="1" applyAlignment="1">
      <alignment horizontal="center"/>
    </xf>
    <xf numFmtId="40" fontId="53" fillId="15" borderId="27" xfId="1" applyNumberFormat="1" applyFont="1" applyFill="1" applyBorder="1" applyAlignment="1">
      <alignment horizontal="center"/>
    </xf>
    <xf numFmtId="40" fontId="53" fillId="16" borderId="27" xfId="1" applyNumberFormat="1" applyFont="1" applyFill="1" applyBorder="1" applyAlignment="1">
      <alignment horizontal="center"/>
    </xf>
    <xf numFmtId="40" fontId="53" fillId="17" borderId="27" xfId="1" applyNumberFormat="1" applyFont="1" applyFill="1" applyBorder="1" applyAlignment="1">
      <alignment horizontal="center"/>
    </xf>
    <xf numFmtId="40" fontId="53" fillId="18" borderId="27" xfId="1" applyNumberFormat="1" applyFont="1" applyFill="1" applyBorder="1" applyAlignment="1">
      <alignment horizontal="center"/>
    </xf>
    <xf numFmtId="166" fontId="63" fillId="4" borderId="1" xfId="0" applyNumberFormat="1" applyFont="1" applyFill="1" applyBorder="1" applyAlignment="1">
      <alignment horizontal="center"/>
    </xf>
    <xf numFmtId="165" fontId="63" fillId="19" borderId="1" xfId="0" applyFont="1" applyFill="1" applyBorder="1" applyAlignment="1">
      <alignment horizontal="center"/>
    </xf>
    <xf numFmtId="2" fontId="63" fillId="19" borderId="1" xfId="0" applyNumberFormat="1" applyFont="1" applyFill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165" fontId="63" fillId="9" borderId="3" xfId="0" applyFont="1" applyFill="1" applyBorder="1" applyAlignment="1">
      <alignment horizontal="center"/>
    </xf>
    <xf numFmtId="40" fontId="53" fillId="10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/>
    <xf numFmtId="40" fontId="53" fillId="12" borderId="68" xfId="1" applyNumberFormat="1" applyFont="1" applyFill="1" applyBorder="1" applyAlignment="1">
      <alignment horizontal="center"/>
    </xf>
    <xf numFmtId="2" fontId="53" fillId="0" borderId="1" xfId="0" applyNumberFormat="1" applyFont="1" applyBorder="1"/>
    <xf numFmtId="40" fontId="53" fillId="13" borderId="68" xfId="1" applyNumberFormat="1" applyFont="1" applyFill="1" applyBorder="1" applyAlignment="1">
      <alignment horizontal="center"/>
    </xf>
    <xf numFmtId="40" fontId="53" fillId="14" borderId="68" xfId="1" applyNumberFormat="1" applyFont="1" applyFill="1" applyBorder="1" applyAlignment="1">
      <alignment horizontal="center"/>
    </xf>
    <xf numFmtId="40" fontId="53" fillId="15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right"/>
    </xf>
    <xf numFmtId="40" fontId="53" fillId="16" borderId="68" xfId="1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40" fontId="53" fillId="17" borderId="68" xfId="1" applyNumberFormat="1" applyFont="1" applyFill="1" applyBorder="1" applyAlignment="1">
      <alignment horizontal="center"/>
    </xf>
    <xf numFmtId="40" fontId="53" fillId="18" borderId="68" xfId="1" applyNumberFormat="1" applyFont="1" applyFill="1" applyBorder="1" applyAlignment="1">
      <alignment horizontal="center"/>
    </xf>
    <xf numFmtId="165" fontId="63" fillId="19" borderId="3" xfId="0" applyFont="1" applyFill="1" applyBorder="1"/>
    <xf numFmtId="2" fontId="63" fillId="19" borderId="1" xfId="0" applyNumberFormat="1" applyFont="1" applyFill="1" applyBorder="1"/>
    <xf numFmtId="165" fontId="6" fillId="0" borderId="0" xfId="0" applyFont="1"/>
    <xf numFmtId="165" fontId="10" fillId="0" borderId="0" xfId="0" applyFont="1"/>
    <xf numFmtId="165" fontId="65" fillId="0" borderId="0" xfId="0" applyFont="1"/>
    <xf numFmtId="165" fontId="66" fillId="19" borderId="70" xfId="0" applyFont="1" applyFill="1" applyBorder="1" applyAlignment="1">
      <alignment vertical="center"/>
    </xf>
    <xf numFmtId="165" fontId="66" fillId="19" borderId="71" xfId="0" applyFont="1" applyFill="1" applyBorder="1" applyAlignment="1">
      <alignment vertical="center"/>
    </xf>
    <xf numFmtId="165" fontId="66" fillId="19" borderId="72" xfId="0" applyFont="1" applyFill="1" applyBorder="1" applyAlignment="1">
      <alignment vertical="center"/>
    </xf>
    <xf numFmtId="165" fontId="66" fillId="21" borderId="72" xfId="0" applyFont="1" applyFill="1" applyBorder="1" applyAlignment="1">
      <alignment vertical="center"/>
    </xf>
    <xf numFmtId="165" fontId="67" fillId="0" borderId="50" xfId="0" applyFont="1" applyBorder="1"/>
    <xf numFmtId="2" fontId="68" fillId="0" borderId="12" xfId="0" applyNumberFormat="1" applyFont="1" applyBorder="1"/>
    <xf numFmtId="2" fontId="68" fillId="0" borderId="10" xfId="0" applyNumberFormat="1" applyFont="1" applyBorder="1"/>
    <xf numFmtId="2" fontId="68" fillId="6" borderId="10" xfId="0" applyNumberFormat="1" applyFont="1" applyFill="1" applyBorder="1"/>
    <xf numFmtId="166" fontId="67" fillId="21" borderId="12" xfId="0" applyNumberFormat="1" applyFont="1" applyFill="1" applyBorder="1"/>
    <xf numFmtId="2" fontId="69" fillId="0" borderId="73" xfId="0" applyNumberFormat="1" applyFont="1" applyBorder="1"/>
    <xf numFmtId="165" fontId="67" fillId="0" borderId="13" xfId="0" applyFont="1" applyBorder="1"/>
    <xf numFmtId="165" fontId="70" fillId="20" borderId="38" xfId="0" applyFont="1" applyFill="1" applyBorder="1" applyAlignment="1">
      <alignment vertical="center"/>
    </xf>
    <xf numFmtId="2" fontId="71" fillId="20" borderId="39" xfId="0" applyNumberFormat="1" applyFont="1" applyFill="1" applyBorder="1" applyAlignment="1">
      <alignment vertical="center"/>
    </xf>
    <xf numFmtId="165" fontId="66" fillId="22" borderId="72" xfId="0" applyFont="1" applyFill="1" applyBorder="1" applyAlignment="1">
      <alignment vertical="center"/>
    </xf>
    <xf numFmtId="2" fontId="68" fillId="0" borderId="12" xfId="0" applyNumberFormat="1" applyFont="1" applyBorder="1" applyAlignment="1">
      <alignment horizontal="right" vertical="center"/>
    </xf>
    <xf numFmtId="2" fontId="74" fillId="22" borderId="12" xfId="0" applyNumberFormat="1" applyFont="1" applyFill="1" applyBorder="1"/>
    <xf numFmtId="165" fontId="70" fillId="20" borderId="31" xfId="0" applyFont="1" applyFill="1" applyBorder="1" applyAlignment="1">
      <alignment vertical="center"/>
    </xf>
    <xf numFmtId="2" fontId="71" fillId="20" borderId="32" xfId="0" applyNumberFormat="1" applyFont="1" applyFill="1" applyBorder="1" applyAlignment="1">
      <alignment vertical="center"/>
    </xf>
    <xf numFmtId="2" fontId="71" fillId="22" borderId="36" xfId="0" applyNumberFormat="1" applyFont="1" applyFill="1" applyBorder="1" applyAlignment="1">
      <alignment vertical="center"/>
    </xf>
    <xf numFmtId="165" fontId="9" fillId="0" borderId="0" xfId="3" applyFont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66" fontId="10" fillId="3" borderId="14" xfId="0" applyNumberFormat="1" applyFont="1" applyFill="1" applyBorder="1"/>
    <xf numFmtId="165" fontId="8" fillId="0" borderId="0" xfId="3" applyFont="1"/>
    <xf numFmtId="1" fontId="8" fillId="0" borderId="1" xfId="3" applyNumberFormat="1" applyFont="1" applyBorder="1" applyAlignment="1">
      <alignment horizontal="center" vertical="center"/>
    </xf>
    <xf numFmtId="165" fontId="8" fillId="0" borderId="0" xfId="3" applyFont="1" applyAlignment="1">
      <alignment vertical="center"/>
    </xf>
    <xf numFmtId="1" fontId="9" fillId="0" borderId="1" xfId="3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right"/>
    </xf>
    <xf numFmtId="16" fontId="8" fillId="0" borderId="10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right"/>
    </xf>
    <xf numFmtId="166" fontId="10" fillId="23" borderId="0" xfId="0" applyNumberFormat="1" applyFont="1" applyFill="1"/>
    <xf numFmtId="170" fontId="8" fillId="0" borderId="42" xfId="4" applyNumberFormat="1" applyFont="1" applyFill="1" applyBorder="1" applyAlignment="1">
      <alignment horizontal="center" vertical="center"/>
    </xf>
    <xf numFmtId="165" fontId="26" fillId="4" borderId="1" xfId="3" applyFont="1" applyFill="1" applyBorder="1" applyAlignment="1">
      <alignment horizontal="left"/>
    </xf>
    <xf numFmtId="165" fontId="28" fillId="4" borderId="1" xfId="3" applyFont="1" applyFill="1" applyBorder="1"/>
    <xf numFmtId="165" fontId="23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30" fillId="4" borderId="1" xfId="3" applyFont="1" applyFill="1" applyBorder="1" applyAlignment="1">
      <alignment horizontal="left"/>
    </xf>
    <xf numFmtId="165" fontId="9" fillId="4" borderId="1" xfId="3" applyFont="1" applyFill="1" applyBorder="1" applyAlignment="1">
      <alignment horizontal="left" vertical="center" wrapText="1"/>
    </xf>
    <xf numFmtId="1" fontId="9" fillId="4" borderId="1" xfId="3" applyNumberFormat="1" applyFont="1" applyFill="1" applyBorder="1" applyAlignment="1">
      <alignment horizontal="center" vertical="center" wrapText="1"/>
    </xf>
    <xf numFmtId="165" fontId="9" fillId="0" borderId="0" xfId="3" applyFont="1" applyAlignment="1">
      <alignment horizontal="center"/>
    </xf>
    <xf numFmtId="165" fontId="77" fillId="4" borderId="1" xfId="3" applyFont="1" applyFill="1" applyBorder="1" applyAlignment="1">
      <alignment horizontal="left"/>
    </xf>
    <xf numFmtId="166" fontId="10" fillId="0" borderId="0" xfId="0" applyNumberFormat="1" applyFont="1" applyAlignment="1">
      <alignment vertical="center"/>
    </xf>
    <xf numFmtId="167" fontId="9" fillId="0" borderId="0" xfId="3" applyNumberFormat="1" applyFont="1" applyAlignment="1">
      <alignment horizontal="right" vertical="center"/>
    </xf>
    <xf numFmtId="166" fontId="71" fillId="20" borderId="39" xfId="0" applyNumberFormat="1" applyFont="1" applyFill="1" applyBorder="1" applyAlignment="1">
      <alignment vertical="center"/>
    </xf>
    <xf numFmtId="166" fontId="69" fillId="0" borderId="73" xfId="0" applyNumberFormat="1" applyFont="1" applyBorder="1"/>
    <xf numFmtId="1" fontId="69" fillId="0" borderId="73" xfId="0" applyNumberFormat="1" applyFont="1" applyBorder="1"/>
    <xf numFmtId="14" fontId="9" fillId="0" borderId="0" xfId="3" applyNumberFormat="1" applyFont="1"/>
    <xf numFmtId="166" fontId="9" fillId="0" borderId="1" xfId="3" applyNumberFormat="1" applyFont="1" applyBorder="1" applyAlignment="1">
      <alignment horizontal="right"/>
    </xf>
    <xf numFmtId="4" fontId="8" fillId="0" borderId="1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right"/>
    </xf>
    <xf numFmtId="165" fontId="78" fillId="0" borderId="52" xfId="3" applyFont="1" applyBorder="1"/>
    <xf numFmtId="20" fontId="9" fillId="4" borderId="18" xfId="0" applyNumberFormat="1" applyFont="1" applyFill="1" applyBorder="1" applyAlignment="1">
      <alignment horizontal="center" vertical="center" wrapText="1"/>
    </xf>
    <xf numFmtId="1" fontId="9" fillId="0" borderId="63" xfId="3" applyNumberFormat="1" applyFont="1" applyBorder="1" applyAlignment="1">
      <alignment horizontal="center"/>
    </xf>
    <xf numFmtId="16" fontId="8" fillId="0" borderId="77" xfId="3" applyNumberFormat="1" applyFont="1" applyBorder="1" applyAlignment="1">
      <alignment vertical="center"/>
    </xf>
    <xf numFmtId="16" fontId="8" fillId="0" borderId="32" xfId="3" applyNumberFormat="1" applyFont="1" applyBorder="1" applyAlignment="1">
      <alignment vertical="center"/>
    </xf>
    <xf numFmtId="165" fontId="9" fillId="0" borderId="3" xfId="3" applyFont="1" applyBorder="1" applyAlignment="1">
      <alignment horizontal="center"/>
    </xf>
    <xf numFmtId="2" fontId="9" fillId="7" borderId="34" xfId="3" applyNumberFormat="1" applyFont="1" applyFill="1" applyBorder="1" applyAlignment="1">
      <alignment horizontal="center" vertical="center"/>
    </xf>
    <xf numFmtId="2" fontId="25" fillId="7" borderId="34" xfId="3" applyNumberFormat="1" applyFont="1" applyFill="1" applyBorder="1" applyAlignment="1">
      <alignment horizontal="center" vertical="center"/>
    </xf>
    <xf numFmtId="2" fontId="79" fillId="0" borderId="1" xfId="3" applyNumberFormat="1" applyFont="1" applyBorder="1" applyAlignment="1">
      <alignment horizontal="center" vertical="center"/>
    </xf>
    <xf numFmtId="2" fontId="8" fillId="0" borderId="0" xfId="3" applyNumberFormat="1" applyFont="1"/>
    <xf numFmtId="165" fontId="67" fillId="0" borderId="52" xfId="0" applyFont="1" applyBorder="1"/>
    <xf numFmtId="2" fontId="68" fillId="0" borderId="76" xfId="0" applyNumberFormat="1" applyFont="1" applyBorder="1"/>
    <xf numFmtId="2" fontId="68" fillId="0" borderId="80" xfId="0" applyNumberFormat="1" applyFont="1" applyBorder="1"/>
    <xf numFmtId="2" fontId="74" fillId="22" borderId="81" xfId="0" applyNumberFormat="1" applyFont="1" applyFill="1" applyBorder="1"/>
    <xf numFmtId="2" fontId="31" fillId="0" borderId="10" xfId="4" applyNumberFormat="1" applyFont="1" applyFill="1" applyBorder="1" applyAlignment="1">
      <alignment horizontal="center" vertical="center"/>
    </xf>
    <xf numFmtId="2" fontId="31" fillId="0" borderId="2" xfId="4" applyNumberFormat="1" applyFont="1" applyBorder="1" applyAlignment="1">
      <alignment horizontal="center" vertical="center"/>
    </xf>
    <xf numFmtId="2" fontId="31" fillId="0" borderId="2" xfId="4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/>
    </xf>
    <xf numFmtId="166" fontId="9" fillId="0" borderId="14" xfId="3" applyNumberFormat="1" applyFont="1" applyBorder="1" applyAlignment="1">
      <alignment horizontal="center"/>
    </xf>
    <xf numFmtId="166" fontId="9" fillId="0" borderId="32" xfId="3" applyNumberFormat="1" applyFont="1" applyBorder="1" applyAlignment="1">
      <alignment horizontal="center"/>
    </xf>
    <xf numFmtId="166" fontId="9" fillId="0" borderId="14" xfId="3" applyNumberFormat="1" applyFont="1" applyBorder="1"/>
    <xf numFmtId="166" fontId="9" fillId="4" borderId="33" xfId="3" applyNumberFormat="1" applyFont="1" applyFill="1" applyBorder="1"/>
    <xf numFmtId="1" fontId="9" fillId="4" borderId="33" xfId="3" applyNumberFormat="1" applyFont="1" applyFill="1" applyBorder="1"/>
    <xf numFmtId="2" fontId="68" fillId="4" borderId="12" xfId="0" applyNumberFormat="1" applyFont="1" applyFill="1" applyBorder="1"/>
    <xf numFmtId="2" fontId="68" fillId="4" borderId="12" xfId="0" quotePrefix="1" applyNumberFormat="1" applyFont="1" applyFill="1" applyBorder="1"/>
    <xf numFmtId="2" fontId="68" fillId="4" borderId="80" xfId="0" applyNumberFormat="1" applyFont="1" applyFill="1" applyBorder="1"/>
    <xf numFmtId="2" fontId="8" fillId="0" borderId="0" xfId="3" applyNumberFormat="1" applyFont="1" applyAlignment="1">
      <alignment wrapText="1"/>
    </xf>
    <xf numFmtId="165" fontId="7" fillId="0" borderId="0" xfId="3" applyAlignment="1">
      <alignment horizontal="left"/>
    </xf>
    <xf numFmtId="2" fontId="7" fillId="0" borderId="60" xfId="3" applyNumberFormat="1" applyBorder="1" applyAlignment="1">
      <alignment horizontal="center"/>
    </xf>
    <xf numFmtId="2" fontId="40" fillId="0" borderId="26" xfId="3" applyNumberFormat="1" applyFont="1" applyBorder="1" applyAlignment="1">
      <alignment horizontal="center"/>
    </xf>
    <xf numFmtId="165" fontId="7" fillId="0" borderId="56" xfId="3" applyBorder="1" applyAlignment="1">
      <alignment horizontal="center"/>
    </xf>
    <xf numFmtId="165" fontId="9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/>
    <xf numFmtId="2" fontId="35" fillId="23" borderId="1" xfId="3" applyNumberFormat="1" applyFont="1" applyFill="1" applyBorder="1" applyAlignment="1">
      <alignment horizontal="right"/>
    </xf>
    <xf numFmtId="2" fontId="9" fillId="23" borderId="21" xfId="3" applyNumberFormat="1" applyFont="1" applyFill="1" applyBorder="1" applyAlignment="1">
      <alignment horizontal="right"/>
    </xf>
    <xf numFmtId="20" fontId="9" fillId="4" borderId="17" xfId="0" applyNumberFormat="1" applyFont="1" applyFill="1" applyBorder="1" applyAlignment="1">
      <alignment horizontal="center" vertical="center" wrapText="1"/>
    </xf>
    <xf numFmtId="1" fontId="9" fillId="0" borderId="19" xfId="3" applyNumberFormat="1" applyFont="1" applyBorder="1" applyAlignment="1">
      <alignment horizontal="center"/>
    </xf>
    <xf numFmtId="165" fontId="27" fillId="4" borderId="1" xfId="3" applyFont="1" applyFill="1" applyBorder="1"/>
    <xf numFmtId="2" fontId="76" fillId="6" borderId="1" xfId="3" applyNumberFormat="1" applyFont="1" applyFill="1" applyBorder="1"/>
    <xf numFmtId="0" fontId="22" fillId="0" borderId="59" xfId="3" applyNumberFormat="1" applyFont="1" applyBorder="1" applyAlignment="1">
      <alignment vertical="top" wrapText="1"/>
    </xf>
    <xf numFmtId="166" fontId="9" fillId="0" borderId="0" xfId="3" applyNumberFormat="1" applyFont="1"/>
    <xf numFmtId="2" fontId="25" fillId="0" borderId="43" xfId="3" applyNumberFormat="1" applyFont="1" applyBorder="1" applyAlignment="1">
      <alignment horizontal="center" vertical="center"/>
    </xf>
    <xf numFmtId="2" fontId="25" fillId="0" borderId="54" xfId="3" applyNumberFormat="1" applyFont="1" applyBorder="1" applyAlignment="1">
      <alignment horizontal="center" vertical="center"/>
    </xf>
    <xf numFmtId="1" fontId="9" fillId="0" borderId="0" xfId="3" applyNumberFormat="1" applyFont="1"/>
    <xf numFmtId="2" fontId="9" fillId="0" borderId="76" xfId="6" applyNumberFormat="1" applyFont="1" applyBorder="1" applyAlignment="1">
      <alignment horizontal="center" vertical="center"/>
    </xf>
    <xf numFmtId="2" fontId="9" fillId="0" borderId="80" xfId="3" applyNumberFormat="1" applyFont="1" applyBorder="1" applyAlignment="1">
      <alignment horizontal="center" vertical="center"/>
    </xf>
    <xf numFmtId="165" fontId="9" fillId="0" borderId="1" xfId="3" applyFont="1" applyBorder="1" applyAlignment="1">
      <alignment vertical="center" wrapText="1"/>
    </xf>
    <xf numFmtId="165" fontId="9" fillId="0" borderId="0" xfId="3" applyFont="1" applyAlignment="1">
      <alignment horizontal="left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7" xfId="3" applyFont="1" applyBorder="1" applyAlignment="1">
      <alignment horizontal="center" vertical="center" wrapText="1"/>
    </xf>
    <xf numFmtId="2" fontId="9" fillId="4" borderId="23" xfId="3" applyNumberFormat="1" applyFont="1" applyFill="1" applyBorder="1" applyAlignment="1">
      <alignment horizontal="center" vertical="center"/>
    </xf>
    <xf numFmtId="165" fontId="26" fillId="0" borderId="13" xfId="3" applyFont="1" applyBorder="1" applyAlignment="1">
      <alignment horizontal="left" vertical="center"/>
    </xf>
    <xf numFmtId="2" fontId="25" fillId="0" borderId="35" xfId="3" applyNumberFormat="1" applyFont="1" applyBorder="1" applyAlignment="1">
      <alignment horizontal="center" vertical="center"/>
    </xf>
    <xf numFmtId="2" fontId="9" fillId="7" borderId="0" xfId="3" applyNumberFormat="1" applyFont="1" applyFill="1" applyAlignment="1">
      <alignment horizontal="center" vertical="center"/>
    </xf>
    <xf numFmtId="2" fontId="25" fillId="7" borderId="0" xfId="3" applyNumberFormat="1" applyFont="1" applyFill="1" applyAlignment="1">
      <alignment horizontal="center" vertical="center"/>
    </xf>
    <xf numFmtId="166" fontId="9" fillId="7" borderId="0" xfId="3" applyNumberFormat="1" applyFont="1" applyFill="1" applyAlignment="1">
      <alignment horizontal="center" vertical="center"/>
    </xf>
    <xf numFmtId="16" fontId="8" fillId="0" borderId="1" xfId="3" applyNumberFormat="1" applyFont="1" applyBorder="1" applyAlignment="1">
      <alignment horizontal="center" vertical="center"/>
    </xf>
    <xf numFmtId="166" fontId="8" fillId="4" borderId="1" xfId="3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" fontId="31" fillId="0" borderId="1" xfId="3" applyNumberFormat="1" applyFont="1" applyBorder="1" applyAlignment="1">
      <alignment vertical="center" wrapText="1"/>
    </xf>
    <xf numFmtId="167" fontId="21" fillId="5" borderId="11" xfId="3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vertical="center"/>
    </xf>
    <xf numFmtId="170" fontId="8" fillId="0" borderId="1" xfId="4" applyNumberFormat="1" applyFont="1" applyBorder="1" applyAlignment="1">
      <alignment horizontal="center" vertical="center"/>
    </xf>
    <xf numFmtId="165" fontId="20" fillId="0" borderId="13" xfId="3" applyFont="1" applyBorder="1"/>
    <xf numFmtId="167" fontId="21" fillId="0" borderId="11" xfId="3" applyNumberFormat="1" applyFont="1" applyBorder="1" applyAlignment="1">
      <alignment horizontal="center" vertical="center"/>
    </xf>
    <xf numFmtId="1" fontId="31" fillId="0" borderId="51" xfId="3" applyNumberFormat="1" applyFont="1" applyBorder="1" applyAlignment="1">
      <alignment vertical="center" wrapText="1"/>
    </xf>
    <xf numFmtId="170" fontId="8" fillId="0" borderId="3" xfId="4" applyNumberFormat="1" applyFont="1" applyBorder="1" applyAlignment="1">
      <alignment horizontal="center" vertical="center"/>
    </xf>
    <xf numFmtId="4" fontId="8" fillId="0" borderId="10" xfId="3" applyNumberFormat="1" applyFont="1" applyBorder="1" applyAlignment="1">
      <alignment horizontal="center" vertical="center"/>
    </xf>
    <xf numFmtId="171" fontId="8" fillId="0" borderId="10" xfId="3" applyNumberFormat="1" applyFont="1" applyBorder="1" applyAlignment="1">
      <alignment horizontal="center" vertical="center"/>
    </xf>
    <xf numFmtId="2" fontId="8" fillId="0" borderId="10" xfId="3" applyNumberFormat="1" applyFont="1" applyBorder="1" applyAlignment="1">
      <alignment horizontal="center" vertical="center"/>
    </xf>
    <xf numFmtId="170" fontId="8" fillId="0" borderId="10" xfId="4" applyNumberFormat="1" applyFont="1" applyBorder="1" applyAlignment="1">
      <alignment horizontal="center" vertical="center"/>
    </xf>
    <xf numFmtId="2" fontId="31" fillId="0" borderId="1" xfId="4" applyNumberFormat="1" applyFont="1" applyFill="1" applyBorder="1" applyAlignment="1">
      <alignment horizontal="center" vertical="center"/>
    </xf>
    <xf numFmtId="2" fontId="31" fillId="0" borderId="1" xfId="4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left" vertical="center"/>
    </xf>
    <xf numFmtId="165" fontId="27" fillId="0" borderId="13" xfId="3" applyFont="1" applyBorder="1" applyAlignment="1">
      <alignment vertical="center"/>
    </xf>
    <xf numFmtId="170" fontId="9" fillId="23" borderId="1" xfId="3" applyNumberFormat="1" applyFont="1" applyFill="1" applyBorder="1" applyAlignment="1">
      <alignment horizontal="right"/>
    </xf>
    <xf numFmtId="165" fontId="26" fillId="0" borderId="13" xfId="3" applyFont="1" applyBorder="1" applyAlignment="1">
      <alignment horizontal="center" vertical="center"/>
    </xf>
    <xf numFmtId="165" fontId="9" fillId="0" borderId="18" xfId="3" applyFont="1" applyBorder="1"/>
    <xf numFmtId="2" fontId="9" fillId="0" borderId="10" xfId="3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horizontal="center" vertical="center"/>
    </xf>
    <xf numFmtId="2" fontId="31" fillId="0" borderId="1" xfId="3" applyNumberFormat="1" applyFont="1" applyBorder="1" applyAlignment="1">
      <alignment horizontal="center" vertical="center"/>
    </xf>
    <xf numFmtId="2" fontId="9" fillId="4" borderId="1" xfId="3" applyNumberFormat="1" applyFont="1" applyFill="1" applyBorder="1" applyAlignment="1">
      <alignment horizontal="center" vertical="center"/>
    </xf>
    <xf numFmtId="165" fontId="27" fillId="0" borderId="1" xfId="3" applyFont="1" applyBorder="1" applyAlignment="1">
      <alignment vertical="center"/>
    </xf>
    <xf numFmtId="166" fontId="21" fillId="4" borderId="1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6" fontId="8" fillId="7" borderId="1" xfId="3" applyNumberFormat="1" applyFont="1" applyFill="1" applyBorder="1" applyAlignment="1">
      <alignment horizontal="center" vertical="center"/>
    </xf>
    <xf numFmtId="167" fontId="8" fillId="0" borderId="11" xfId="3" applyNumberFormat="1" applyFont="1" applyBorder="1" applyAlignment="1">
      <alignment horizontal="center"/>
    </xf>
    <xf numFmtId="165" fontId="13" fillId="4" borderId="0" xfId="3" applyFont="1" applyFill="1" applyAlignment="1">
      <alignment horizontal="center" vertic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" fontId="9" fillId="4" borderId="34" xfId="3" applyNumberFormat="1" applyFont="1" applyFill="1" applyBorder="1"/>
    <xf numFmtId="166" fontId="9" fillId="4" borderId="34" xfId="3" applyNumberFormat="1" applyFont="1" applyFill="1" applyBorder="1"/>
    <xf numFmtId="165" fontId="78" fillId="0" borderId="31" xfId="3" applyFont="1" applyBorder="1"/>
    <xf numFmtId="1" fontId="9" fillId="0" borderId="32" xfId="3" applyNumberFormat="1" applyFont="1" applyBorder="1" applyAlignment="1">
      <alignment horizontal="right"/>
    </xf>
    <xf numFmtId="166" fontId="9" fillId="0" borderId="32" xfId="3" applyNumberFormat="1" applyFont="1" applyBorder="1"/>
    <xf numFmtId="166" fontId="8" fillId="0" borderId="36" xfId="3" applyNumberFormat="1" applyFont="1" applyBorder="1"/>
    <xf numFmtId="165" fontId="81" fillId="0" borderId="52" xfId="3" applyFont="1" applyBorder="1"/>
    <xf numFmtId="165" fontId="82" fillId="0" borderId="52" xfId="3" applyFont="1" applyBorder="1"/>
    <xf numFmtId="170" fontId="7" fillId="0" borderId="0" xfId="3" applyNumberFormat="1" applyAlignment="1">
      <alignment horizontal="right"/>
    </xf>
    <xf numFmtId="165" fontId="83" fillId="0" borderId="31" xfId="3" applyFont="1" applyBorder="1"/>
    <xf numFmtId="165" fontId="20" fillId="0" borderId="13" xfId="3" applyFont="1" applyBorder="1" applyAlignment="1">
      <alignment horizontal="center" vertical="center"/>
    </xf>
    <xf numFmtId="165" fontId="84" fillId="0" borderId="31" xfId="3" applyFont="1" applyBorder="1"/>
    <xf numFmtId="166" fontId="8" fillId="0" borderId="0" xfId="3" applyNumberFormat="1" applyFont="1" applyAlignment="1">
      <alignment horizontal="center" vertical="center"/>
    </xf>
    <xf numFmtId="165" fontId="9" fillId="0" borderId="12" xfId="3" applyFont="1" applyBorder="1" applyAlignment="1">
      <alignment horizontal="center" vertical="center" wrapText="1"/>
    </xf>
    <xf numFmtId="166" fontId="9" fillId="26" borderId="63" xfId="3" applyNumberFormat="1" applyFont="1" applyFill="1" applyBorder="1" applyAlignment="1">
      <alignment horizontal="center"/>
    </xf>
    <xf numFmtId="0" fontId="9" fillId="0" borderId="0" xfId="3" applyNumberFormat="1" applyFont="1" applyAlignment="1">
      <alignment horizontal="center"/>
    </xf>
    <xf numFmtId="0" fontId="22" fillId="0" borderId="1" xfId="3" applyNumberFormat="1" applyFont="1" applyBorder="1" applyAlignment="1">
      <alignment vertical="top" wrapText="1"/>
    </xf>
    <xf numFmtId="165" fontId="8" fillId="0" borderId="0" xfId="3" applyFont="1" applyAlignment="1">
      <alignment horizontal="left" vertical="center"/>
    </xf>
    <xf numFmtId="165" fontId="8" fillId="23" borderId="2" xfId="3" applyFont="1" applyFill="1" applyBorder="1" applyAlignment="1">
      <alignment vertical="center"/>
    </xf>
    <xf numFmtId="165" fontId="85" fillId="0" borderId="13" xfId="3" applyFont="1" applyBorder="1" applyAlignment="1">
      <alignment horizontal="center" vertical="center"/>
    </xf>
    <xf numFmtId="165" fontId="23" fillId="0" borderId="13" xfId="3" applyFont="1" applyBorder="1" applyAlignment="1">
      <alignment horizontal="center" vertical="center"/>
    </xf>
    <xf numFmtId="165" fontId="27" fillId="0" borderId="13" xfId="3" applyFont="1" applyBorder="1" applyAlignment="1">
      <alignment horizontal="center" vertical="center"/>
    </xf>
    <xf numFmtId="165" fontId="8" fillId="0" borderId="1" xfId="3" applyFont="1" applyBorder="1"/>
    <xf numFmtId="166" fontId="9" fillId="4" borderId="1" xfId="3" applyNumberFormat="1" applyFont="1" applyFill="1" applyBorder="1" applyAlignment="1">
      <alignment horizontal="center" vertical="center"/>
    </xf>
    <xf numFmtId="165" fontId="13" fillId="0" borderId="13" xfId="3" applyFont="1" applyBorder="1" applyAlignment="1">
      <alignment horizontal="center" vertical="center"/>
    </xf>
    <xf numFmtId="166" fontId="9" fillId="23" borderId="1" xfId="3" applyNumberFormat="1" applyFont="1" applyFill="1" applyBorder="1" applyAlignment="1">
      <alignment horizontal="center" vertical="center"/>
    </xf>
    <xf numFmtId="2" fontId="9" fillId="23" borderId="1" xfId="3" applyNumberFormat="1" applyFont="1" applyFill="1" applyBorder="1" applyAlignment="1">
      <alignment horizontal="center" vertical="center"/>
    </xf>
    <xf numFmtId="165" fontId="9" fillId="4" borderId="18" xfId="3" applyFont="1" applyFill="1" applyBorder="1"/>
    <xf numFmtId="16" fontId="9" fillId="0" borderId="10" xfId="3" applyNumberFormat="1" applyFont="1" applyBorder="1" applyAlignment="1">
      <alignment horizontal="center" vertical="center"/>
    </xf>
    <xf numFmtId="166" fontId="21" fillId="7" borderId="1" xfId="3" applyNumberFormat="1" applyFont="1" applyFill="1" applyBorder="1" applyAlignment="1">
      <alignment horizontal="center" vertical="center"/>
    </xf>
    <xf numFmtId="165" fontId="20" fillId="0" borderId="27" xfId="3" applyFont="1" applyBorder="1" applyAlignment="1">
      <alignment vertical="center"/>
    </xf>
    <xf numFmtId="165" fontId="20" fillId="0" borderId="35" xfId="3" applyFont="1" applyBorder="1" applyAlignment="1">
      <alignment vertical="center"/>
    </xf>
    <xf numFmtId="165" fontId="28" fillId="0" borderId="13" xfId="3" applyFont="1" applyBorder="1" applyAlignment="1">
      <alignment horizontal="center" vertical="center"/>
    </xf>
    <xf numFmtId="165" fontId="30" fillId="0" borderId="13" xfId="3" applyFont="1" applyBorder="1" applyAlignment="1">
      <alignment horizontal="center" vertical="center"/>
    </xf>
    <xf numFmtId="166" fontId="8" fillId="0" borderId="10" xfId="3" applyNumberFormat="1" applyFont="1" applyBorder="1" applyAlignment="1">
      <alignment horizontal="center" vertical="center"/>
    </xf>
    <xf numFmtId="166" fontId="8" fillId="0" borderId="14" xfId="3" applyNumberFormat="1" applyFont="1" applyBorder="1" applyAlignment="1">
      <alignment horizontal="center" vertical="center"/>
    </xf>
    <xf numFmtId="166" fontId="8" fillId="7" borderId="10" xfId="3" applyNumberFormat="1" applyFont="1" applyFill="1" applyBorder="1" applyAlignment="1">
      <alignment horizontal="center" vertical="center"/>
    </xf>
    <xf numFmtId="165" fontId="31" fillId="4" borderId="13" xfId="3" applyFont="1" applyFill="1" applyBorder="1"/>
    <xf numFmtId="167" fontId="21" fillId="4" borderId="11" xfId="3" applyNumberFormat="1" applyFont="1" applyFill="1" applyBorder="1" applyAlignment="1">
      <alignment horizontal="center" vertical="center"/>
    </xf>
    <xf numFmtId="165" fontId="80" fillId="0" borderId="13" xfId="3" applyFont="1" applyBorder="1" applyAlignment="1">
      <alignment horizontal="center" vertical="center"/>
    </xf>
    <xf numFmtId="165" fontId="9" fillId="0" borderId="13" xfId="3" applyFont="1" applyBorder="1" applyAlignment="1">
      <alignment horizontal="left"/>
    </xf>
    <xf numFmtId="165" fontId="63" fillId="0" borderId="13" xfId="3" applyFont="1" applyBorder="1"/>
    <xf numFmtId="166" fontId="79" fillId="0" borderId="1" xfId="3" applyNumberFormat="1" applyFont="1" applyBorder="1" applyAlignment="1">
      <alignment horizontal="center" vertical="center"/>
    </xf>
    <xf numFmtId="0" fontId="22" fillId="0" borderId="1" xfId="3" applyNumberFormat="1" applyFont="1" applyBorder="1" applyAlignment="1">
      <alignment vertical="top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0" borderId="11" xfId="3" applyFont="1" applyBorder="1" applyAlignment="1">
      <alignment horizontal="center" vertical="center" wrapText="1"/>
    </xf>
    <xf numFmtId="165" fontId="10" fillId="3" borderId="0" xfId="0" applyFont="1" applyFill="1"/>
    <xf numFmtId="166" fontId="10" fillId="3" borderId="0" xfId="0" applyNumberFormat="1" applyFont="1" applyFill="1"/>
    <xf numFmtId="167" fontId="9" fillId="3" borderId="0" xfId="3" applyNumberFormat="1" applyFont="1" applyFill="1" applyAlignment="1">
      <alignment horizontal="right"/>
    </xf>
    <xf numFmtId="167" fontId="9" fillId="3" borderId="0" xfId="3" applyNumberFormat="1" applyFont="1" applyFill="1" applyAlignment="1">
      <alignment horizontal="right" vertical="center"/>
    </xf>
    <xf numFmtId="1" fontId="10" fillId="3" borderId="0" xfId="0" applyNumberFormat="1" applyFont="1" applyFill="1" applyAlignment="1">
      <alignment horizontal="center"/>
    </xf>
    <xf numFmtId="165" fontId="86" fillId="0" borderId="13" xfId="3" applyFont="1" applyBorder="1"/>
    <xf numFmtId="167" fontId="8" fillId="0" borderId="11" xfId="3" applyNumberFormat="1" applyFont="1" applyBorder="1" applyAlignment="1">
      <alignment horizontal="center" vertical="center"/>
    </xf>
    <xf numFmtId="166" fontId="8" fillId="4" borderId="10" xfId="3" applyNumberFormat="1" applyFont="1" applyFill="1" applyBorder="1" applyAlignment="1">
      <alignment horizontal="center" vertical="center"/>
    </xf>
    <xf numFmtId="165" fontId="85" fillId="0" borderId="13" xfId="3" applyFont="1" applyBorder="1"/>
    <xf numFmtId="1" fontId="31" fillId="0" borderId="1" xfId="3" applyNumberFormat="1" applyFont="1" applyBorder="1" applyAlignment="1">
      <alignment horizontal="center" vertical="center"/>
    </xf>
    <xf numFmtId="167" fontId="79" fillId="5" borderId="1" xfId="3" applyNumberFormat="1" applyFont="1" applyFill="1" applyBorder="1" applyAlignment="1">
      <alignment horizontal="center" vertical="center"/>
    </xf>
    <xf numFmtId="167" fontId="79" fillId="5" borderId="11" xfId="3" applyNumberFormat="1" applyFont="1" applyFill="1" applyBorder="1" applyAlignment="1">
      <alignment horizontal="center" vertical="center"/>
    </xf>
    <xf numFmtId="165" fontId="9" fillId="4" borderId="50" xfId="3" applyFont="1" applyFill="1" applyBorder="1" applyAlignment="1">
      <alignment horizontal="center" vertical="center" wrapText="1"/>
    </xf>
    <xf numFmtId="1" fontId="9" fillId="27" borderId="1" xfId="3" applyNumberFormat="1" applyFont="1" applyFill="1" applyBorder="1" applyAlignment="1">
      <alignment horizontal="center" vertical="center" wrapText="1"/>
    </xf>
    <xf numFmtId="1" fontId="9" fillId="28" borderId="1" xfId="3" applyNumberFormat="1" applyFont="1" applyFill="1" applyBorder="1" applyAlignment="1">
      <alignment horizontal="center" vertical="center" wrapText="1"/>
    </xf>
    <xf numFmtId="165" fontId="9" fillId="0" borderId="50" xfId="3" applyFont="1" applyBorder="1" applyAlignment="1">
      <alignment horizontal="center" vertical="center" wrapText="1"/>
    </xf>
    <xf numFmtId="165" fontId="9" fillId="0" borderId="0" xfId="3" applyFont="1" applyAlignment="1">
      <alignment horizontal="left"/>
    </xf>
    <xf numFmtId="165" fontId="13" fillId="4" borderId="0" xfId="3" applyFont="1" applyFill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65" fontId="14" fillId="0" borderId="2" xfId="3" applyFont="1" applyBorder="1" applyAlignment="1">
      <alignment horizontal="center" wrapText="1"/>
    </xf>
    <xf numFmtId="165" fontId="14" fillId="0" borderId="3" xfId="3" applyFont="1" applyBorder="1" applyAlignment="1">
      <alignment horizontal="center" wrapText="1"/>
    </xf>
    <xf numFmtId="165" fontId="10" fillId="3" borderId="1" xfId="0" applyFont="1" applyFill="1" applyBorder="1" applyAlignment="1">
      <alignment horizontal="center"/>
    </xf>
    <xf numFmtId="165" fontId="11" fillId="0" borderId="0" xfId="3" applyFont="1" applyAlignment="1">
      <alignment horizontal="center"/>
    </xf>
    <xf numFmtId="165" fontId="9" fillId="0" borderId="83" xfId="3" applyFont="1" applyBorder="1" applyAlignment="1">
      <alignment horizontal="center" wrapText="1"/>
    </xf>
    <xf numFmtId="165" fontId="9" fillId="0" borderId="19" xfId="3" applyFont="1" applyBorder="1" applyAlignment="1">
      <alignment horizontal="center" wrapText="1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9" fillId="0" borderId="5" xfId="3" applyFont="1" applyBorder="1" applyAlignment="1">
      <alignment horizontal="center" vertical="center" wrapText="1"/>
    </xf>
    <xf numFmtId="165" fontId="9" fillId="0" borderId="50" xfId="3" applyFont="1" applyBorder="1" applyAlignment="1">
      <alignment horizontal="center" vertical="center" wrapText="1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7" borderId="6" xfId="3" applyFont="1" applyFill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6" xfId="2" applyNumberFormat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9" fillId="4" borderId="6" xfId="3" applyFont="1" applyFill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6" xfId="3" applyFon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0" borderId="8" xfId="3" applyFont="1" applyBorder="1" applyAlignment="1">
      <alignment horizontal="center" vertical="center" wrapText="1"/>
    </xf>
    <xf numFmtId="165" fontId="9" fillId="0" borderId="12" xfId="3" applyFont="1" applyBorder="1" applyAlignment="1">
      <alignment horizontal="center" vertical="center" wrapText="1"/>
    </xf>
    <xf numFmtId="165" fontId="9" fillId="0" borderId="78" xfId="3" applyFont="1" applyBorder="1" applyAlignment="1">
      <alignment horizontal="center" vertical="center" wrapText="1"/>
    </xf>
    <xf numFmtId="165" fontId="9" fillId="0" borderId="42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80" fillId="0" borderId="23" xfId="3" applyFont="1" applyBorder="1" applyAlignment="1">
      <alignment horizontal="center" vertical="center"/>
    </xf>
    <xf numFmtId="165" fontId="80" fillId="0" borderId="27" xfId="3" applyFont="1" applyBorder="1" applyAlignment="1">
      <alignment horizontal="center" vertical="center"/>
    </xf>
    <xf numFmtId="165" fontId="80" fillId="0" borderId="35" xfId="3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66" fontId="8" fillId="0" borderId="74" xfId="3" applyNumberFormat="1" applyFont="1" applyBorder="1" applyAlignment="1">
      <alignment horizontal="center" vertical="center"/>
    </xf>
    <xf numFmtId="166" fontId="8" fillId="0" borderId="24" xfId="3" applyNumberFormat="1" applyFont="1" applyBorder="1" applyAlignment="1">
      <alignment horizontal="center" vertical="center"/>
    </xf>
    <xf numFmtId="166" fontId="8" fillId="0" borderId="82" xfId="3" applyNumberFormat="1" applyFont="1" applyBorder="1" applyAlignment="1">
      <alignment horizontal="center"/>
    </xf>
    <xf numFmtId="166" fontId="8" fillId="0" borderId="30" xfId="3" applyNumberFormat="1" applyFont="1" applyBorder="1" applyAlignment="1">
      <alignment horizontal="center"/>
    </xf>
    <xf numFmtId="166" fontId="8" fillId="0" borderId="74" xfId="3" applyNumberFormat="1" applyFont="1" applyBorder="1" applyAlignment="1">
      <alignment horizontal="center"/>
    </xf>
    <xf numFmtId="166" fontId="8" fillId="0" borderId="24" xfId="3" applyNumberFormat="1" applyFont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66" fontId="8" fillId="0" borderId="68" xfId="3" applyNumberFormat="1" applyFont="1" applyBorder="1" applyAlignment="1">
      <alignment horizontal="center"/>
    </xf>
    <xf numFmtId="165" fontId="26" fillId="0" borderId="66" xfId="3" applyFont="1" applyBorder="1" applyAlignment="1">
      <alignment horizontal="center" vertical="center"/>
    </xf>
    <xf numFmtId="165" fontId="26" fillId="0" borderId="27" xfId="3" applyFont="1" applyBorder="1" applyAlignment="1">
      <alignment horizontal="center" vertical="center"/>
    </xf>
    <xf numFmtId="165" fontId="26" fillId="0" borderId="35" xfId="3" applyFont="1" applyBorder="1" applyAlignment="1">
      <alignment horizontal="center" vertical="center"/>
    </xf>
    <xf numFmtId="166" fontId="8" fillId="0" borderId="25" xfId="3" applyNumberFormat="1" applyFont="1" applyBorder="1" applyAlignment="1">
      <alignment horizontal="center" vertical="center"/>
    </xf>
    <xf numFmtId="166" fontId="8" fillId="0" borderId="26" xfId="3" applyNumberFormat="1" applyFont="1" applyBorder="1" applyAlignment="1">
      <alignment horizontal="center" vertical="center"/>
    </xf>
    <xf numFmtId="166" fontId="8" fillId="0" borderId="28" xfId="3" applyNumberFormat="1" applyFont="1" applyBorder="1" applyAlignment="1">
      <alignment horizontal="center" vertical="center"/>
    </xf>
    <xf numFmtId="2" fontId="31" fillId="24" borderId="74" xfId="3" applyNumberFormat="1" applyFont="1" applyFill="1" applyBorder="1" applyAlignment="1">
      <alignment horizontal="center"/>
    </xf>
    <xf numFmtId="165" fontId="9" fillId="25" borderId="16" xfId="3" applyFont="1" applyFill="1" applyBorder="1" applyAlignment="1">
      <alignment horizontal="center"/>
    </xf>
    <xf numFmtId="165" fontId="9" fillId="25" borderId="19" xfId="3" applyFont="1" applyFill="1" applyBorder="1" applyAlignment="1">
      <alignment horizontal="center"/>
    </xf>
    <xf numFmtId="166" fontId="8" fillId="0" borderId="37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/>
    </xf>
    <xf numFmtId="166" fontId="8" fillId="0" borderId="75" xfId="3" applyNumberFormat="1" applyFont="1" applyBorder="1" applyAlignment="1">
      <alignment horizontal="center"/>
    </xf>
    <xf numFmtId="166" fontId="8" fillId="0" borderId="63" xfId="3" applyNumberFormat="1" applyFont="1" applyBorder="1" applyAlignment="1">
      <alignment horizontal="center"/>
    </xf>
    <xf numFmtId="166" fontId="9" fillId="7" borderId="75" xfId="3" applyNumberFormat="1" applyFont="1" applyFill="1" applyBorder="1" applyAlignment="1">
      <alignment horizontal="center" vertical="center"/>
    </xf>
    <xf numFmtId="166" fontId="9" fillId="7" borderId="63" xfId="3" applyNumberFormat="1" applyFont="1" applyFill="1" applyBorder="1" applyAlignment="1">
      <alignment horizontal="center" vertical="center"/>
    </xf>
    <xf numFmtId="165" fontId="9" fillId="0" borderId="23" xfId="3" applyFont="1" applyBorder="1" applyAlignment="1">
      <alignment horizontal="center" vertical="center" wrapText="1"/>
    </xf>
    <xf numFmtId="165" fontId="9" fillId="0" borderId="34" xfId="3" applyFont="1" applyBorder="1" applyAlignment="1">
      <alignment horizontal="center" vertical="center" wrapText="1"/>
    </xf>
    <xf numFmtId="168" fontId="9" fillId="0" borderId="78" xfId="3" applyNumberFormat="1" applyFont="1" applyBorder="1" applyAlignment="1">
      <alignment horizontal="center" vertical="center" wrapText="1"/>
    </xf>
    <xf numFmtId="168" fontId="9" fillId="0" borderId="79" xfId="3" applyNumberFormat="1" applyFont="1" applyBorder="1" applyAlignment="1">
      <alignment horizontal="center" vertical="center" wrapText="1"/>
    </xf>
    <xf numFmtId="165" fontId="9" fillId="0" borderId="39" xfId="3" applyFont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/>
    </xf>
    <xf numFmtId="165" fontId="9" fillId="0" borderId="46" xfId="3" applyFont="1" applyBorder="1" applyAlignment="1">
      <alignment horizontal="center" vertical="center"/>
    </xf>
    <xf numFmtId="165" fontId="9" fillId="0" borderId="47" xfId="3" applyFont="1" applyBorder="1" applyAlignment="1">
      <alignment horizontal="center" vertical="center"/>
    </xf>
    <xf numFmtId="165" fontId="9" fillId="0" borderId="48" xfId="3" applyFont="1" applyBorder="1" applyAlignment="1">
      <alignment horizontal="center" vertical="center"/>
    </xf>
    <xf numFmtId="165" fontId="9" fillId="0" borderId="49" xfId="3" applyFont="1" applyBorder="1" applyAlignment="1">
      <alignment horizontal="center" vertical="center"/>
    </xf>
    <xf numFmtId="165" fontId="9" fillId="0" borderId="25" xfId="3" applyFont="1" applyBorder="1" applyAlignment="1">
      <alignment horizontal="center" vertical="center" wrapText="1"/>
    </xf>
    <xf numFmtId="165" fontId="9" fillId="0" borderId="75" xfId="3" applyFont="1" applyBorder="1" applyAlignment="1">
      <alignment horizontal="center" vertical="center" wrapText="1"/>
    </xf>
    <xf numFmtId="165" fontId="9" fillId="0" borderId="26" xfId="3" applyFont="1" applyBorder="1" applyAlignment="1">
      <alignment horizontal="center" vertical="center" wrapText="1"/>
    </xf>
    <xf numFmtId="165" fontId="9" fillId="0" borderId="63" xfId="3" applyFont="1" applyBorder="1" applyAlignment="1">
      <alignment horizontal="center" vertical="center" wrapText="1"/>
    </xf>
    <xf numFmtId="165" fontId="9" fillId="0" borderId="38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165" fontId="9" fillId="0" borderId="7" xfId="3" applyFont="1" applyBorder="1" applyAlignment="1">
      <alignment horizontal="center" vertical="center" wrapText="1"/>
    </xf>
    <xf numFmtId="165" fontId="9" fillId="0" borderId="62" xfId="3" applyFont="1" applyBorder="1" applyAlignment="1">
      <alignment horizontal="center" vertical="center" wrapText="1"/>
    </xf>
    <xf numFmtId="166" fontId="8" fillId="0" borderId="29" xfId="3" applyNumberFormat="1" applyFont="1" applyBorder="1" applyAlignment="1">
      <alignment horizontal="center" vertical="center"/>
    </xf>
    <xf numFmtId="166" fontId="8" fillId="0" borderId="30" xfId="3" applyNumberFormat="1" applyFont="1" applyBorder="1" applyAlignment="1">
      <alignment horizontal="center" vertical="center"/>
    </xf>
    <xf numFmtId="166" fontId="8" fillId="0" borderId="75" xfId="3" applyNumberFormat="1" applyFont="1" applyBorder="1" applyAlignment="1">
      <alignment horizontal="center" vertical="center"/>
    </xf>
    <xf numFmtId="166" fontId="8" fillId="0" borderId="63" xfId="3" applyNumberFormat="1" applyFont="1" applyBorder="1" applyAlignment="1">
      <alignment horizontal="center" vertical="center"/>
    </xf>
    <xf numFmtId="165" fontId="27" fillId="0" borderId="27" xfId="3" applyFont="1" applyBorder="1" applyAlignment="1">
      <alignment horizontal="center" vertical="center"/>
    </xf>
    <xf numFmtId="165" fontId="27" fillId="0" borderId="35" xfId="3" applyFont="1" applyBorder="1" applyAlignment="1">
      <alignment horizontal="center" vertical="center"/>
    </xf>
    <xf numFmtId="2" fontId="31" fillId="24" borderId="1" xfId="3" applyNumberFormat="1" applyFont="1" applyFill="1" applyBorder="1" applyAlignment="1">
      <alignment horizontal="center"/>
    </xf>
    <xf numFmtId="165" fontId="23" fillId="0" borderId="23" xfId="3" applyFont="1" applyBorder="1" applyAlignment="1">
      <alignment horizontal="center" vertical="center"/>
    </xf>
    <xf numFmtId="165" fontId="23" fillId="0" borderId="27" xfId="3" applyFont="1" applyBorder="1" applyAlignment="1">
      <alignment horizontal="center" vertical="center"/>
    </xf>
    <xf numFmtId="165" fontId="23" fillId="0" borderId="35" xfId="3" applyFont="1" applyBorder="1" applyAlignment="1">
      <alignment horizontal="center" vertical="center"/>
    </xf>
    <xf numFmtId="165" fontId="9" fillId="0" borderId="1" xfId="3" applyFont="1" applyBorder="1" applyAlignment="1">
      <alignment horizontal="center" vertical="center" wrapText="1"/>
    </xf>
    <xf numFmtId="165" fontId="9" fillId="0" borderId="11" xfId="3" applyFont="1" applyBorder="1" applyAlignment="1">
      <alignment horizontal="center" vertical="center" wrapText="1"/>
    </xf>
    <xf numFmtId="165" fontId="27" fillId="0" borderId="23" xfId="3" applyFont="1" applyBorder="1" applyAlignment="1">
      <alignment horizontal="center" vertical="center"/>
    </xf>
    <xf numFmtId="165" fontId="26" fillId="0" borderId="23" xfId="3" applyFont="1" applyBorder="1" applyAlignment="1">
      <alignment horizontal="center" vertical="center"/>
    </xf>
    <xf numFmtId="165" fontId="13" fillId="0" borderId="66" xfId="3" applyFont="1" applyBorder="1" applyAlignment="1">
      <alignment horizontal="center" vertical="center"/>
    </xf>
    <xf numFmtId="165" fontId="13" fillId="0" borderId="27" xfId="3" applyFont="1" applyBorder="1" applyAlignment="1">
      <alignment horizontal="center" vertical="center"/>
    </xf>
    <xf numFmtId="165" fontId="13" fillId="0" borderId="35" xfId="3" applyFont="1" applyBorder="1" applyAlignment="1">
      <alignment horizontal="center" vertical="center"/>
    </xf>
    <xf numFmtId="166" fontId="9" fillId="7" borderId="83" xfId="3" applyNumberFormat="1" applyFont="1" applyFill="1" applyBorder="1" applyAlignment="1">
      <alignment horizontal="center" vertical="center"/>
    </xf>
    <xf numFmtId="166" fontId="9" fillId="7" borderId="19" xfId="3" applyNumberFormat="1" applyFont="1" applyFill="1" applyBorder="1" applyAlignment="1">
      <alignment horizontal="center" vertical="center"/>
    </xf>
    <xf numFmtId="165" fontId="20" fillId="0" borderId="66" xfId="3" applyFont="1" applyBorder="1" applyAlignment="1">
      <alignment horizontal="center" vertical="center"/>
    </xf>
    <xf numFmtId="165" fontId="20" fillId="0" borderId="27" xfId="3" applyFont="1" applyBorder="1" applyAlignment="1">
      <alignment horizontal="center" vertical="center"/>
    </xf>
    <xf numFmtId="165" fontId="20" fillId="0" borderId="35" xfId="3" applyFont="1" applyBorder="1" applyAlignment="1">
      <alignment horizontal="center" vertical="center"/>
    </xf>
    <xf numFmtId="165" fontId="28" fillId="0" borderId="66" xfId="3" applyFont="1" applyBorder="1" applyAlignment="1">
      <alignment horizontal="center" vertical="center"/>
    </xf>
    <xf numFmtId="165" fontId="28" fillId="0" borderId="27" xfId="3" applyFont="1" applyBorder="1" applyAlignment="1">
      <alignment horizontal="center" vertical="center"/>
    </xf>
    <xf numFmtId="165" fontId="28" fillId="0" borderId="35" xfId="3" applyFont="1" applyBorder="1" applyAlignment="1">
      <alignment horizontal="center" vertical="center"/>
    </xf>
    <xf numFmtId="165" fontId="30" fillId="0" borderId="23" xfId="3" applyFont="1" applyBorder="1" applyAlignment="1">
      <alignment horizontal="center" vertical="center"/>
    </xf>
    <xf numFmtId="165" fontId="30" fillId="0" borderId="27" xfId="3" applyFont="1" applyBorder="1" applyAlignment="1">
      <alignment horizontal="center" vertical="center"/>
    </xf>
    <xf numFmtId="165" fontId="30" fillId="0" borderId="35" xfId="3" applyFont="1" applyBorder="1" applyAlignment="1">
      <alignment horizontal="center" vertical="center"/>
    </xf>
    <xf numFmtId="165" fontId="28" fillId="0" borderId="23" xfId="3" applyFont="1" applyBorder="1" applyAlignment="1">
      <alignment horizontal="center" vertical="center"/>
    </xf>
    <xf numFmtId="165" fontId="27" fillId="0" borderId="66" xfId="3" applyFont="1" applyBorder="1" applyAlignment="1">
      <alignment horizontal="center" vertical="center"/>
    </xf>
    <xf numFmtId="165" fontId="87" fillId="0" borderId="23" xfId="3" applyFont="1" applyBorder="1" applyAlignment="1">
      <alignment horizontal="center" vertical="center"/>
    </xf>
    <xf numFmtId="165" fontId="87" fillId="0" borderId="27" xfId="3" applyFont="1" applyBorder="1" applyAlignment="1">
      <alignment horizontal="center" vertical="center"/>
    </xf>
    <xf numFmtId="165" fontId="87" fillId="0" borderId="35" xfId="3" applyFont="1" applyBorder="1" applyAlignment="1">
      <alignment horizontal="center" vertical="center"/>
    </xf>
    <xf numFmtId="165" fontId="88" fillId="0" borderId="23" xfId="3" applyFont="1" applyBorder="1" applyAlignment="1">
      <alignment horizontal="center" vertical="center"/>
    </xf>
    <xf numFmtId="165" fontId="88" fillId="0" borderId="27" xfId="3" applyFont="1" applyBorder="1" applyAlignment="1">
      <alignment horizontal="center" vertical="center"/>
    </xf>
    <xf numFmtId="165" fontId="88" fillId="0" borderId="35" xfId="3" applyFont="1" applyBorder="1" applyAlignment="1">
      <alignment horizontal="center" vertical="center"/>
    </xf>
    <xf numFmtId="165" fontId="39" fillId="0" borderId="0" xfId="3" applyFont="1" applyAlignment="1">
      <alignment horizontal="center"/>
    </xf>
    <xf numFmtId="165" fontId="7" fillId="0" borderId="0" xfId="3" applyAlignment="1">
      <alignment horizontal="left"/>
    </xf>
    <xf numFmtId="165" fontId="40" fillId="0" borderId="5" xfId="3" applyFont="1" applyBorder="1" applyAlignment="1">
      <alignment horizontal="center" vertical="center" wrapText="1"/>
    </xf>
    <xf numFmtId="165" fontId="40" fillId="0" borderId="50" xfId="3" applyFont="1" applyBorder="1" applyAlignment="1">
      <alignment horizontal="center" vertical="center" wrapText="1"/>
    </xf>
    <xf numFmtId="165" fontId="40" fillId="0" borderId="6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0" fillId="0" borderId="23" xfId="3" applyFont="1" applyBorder="1" applyAlignment="1">
      <alignment horizontal="center" vertical="center"/>
    </xf>
    <xf numFmtId="165" fontId="40" fillId="0" borderId="35" xfId="3" applyFont="1" applyBorder="1" applyAlignment="1">
      <alignment horizontal="center" vertical="center"/>
    </xf>
    <xf numFmtId="2" fontId="7" fillId="0" borderId="55" xfId="3" applyNumberFormat="1" applyBorder="1" applyAlignment="1">
      <alignment horizontal="center"/>
    </xf>
    <xf numFmtId="2" fontId="7" fillId="0" borderId="56" xfId="3" applyNumberFormat="1" applyBorder="1" applyAlignment="1">
      <alignment horizontal="center"/>
    </xf>
    <xf numFmtId="165" fontId="40" fillId="0" borderId="34" xfId="3" applyFont="1" applyBorder="1" applyAlignment="1">
      <alignment horizontal="center" vertical="center"/>
    </xf>
    <xf numFmtId="165" fontId="40" fillId="0" borderId="55" xfId="3" applyFont="1" applyBorder="1" applyAlignment="1">
      <alignment horizontal="center" vertical="center"/>
    </xf>
    <xf numFmtId="165" fontId="40" fillId="0" borderId="64" xfId="3" applyFont="1" applyBorder="1" applyAlignment="1">
      <alignment horizontal="center" vertical="center"/>
    </xf>
    <xf numFmtId="165" fontId="40" fillId="0" borderId="38" xfId="3" applyFont="1" applyBorder="1" applyAlignment="1">
      <alignment horizontal="center" vertical="center" wrapText="1"/>
    </xf>
    <xf numFmtId="165" fontId="40" fillId="0" borderId="39" xfId="3" applyFont="1" applyBorder="1" applyAlignment="1">
      <alignment horizontal="center" vertical="center" wrapText="1"/>
    </xf>
    <xf numFmtId="165" fontId="7" fillId="0" borderId="2" xfId="3" applyBorder="1" applyAlignment="1">
      <alignment horizontal="center"/>
    </xf>
    <xf numFmtId="165" fontId="7" fillId="0" borderId="65" xfId="3" applyBorder="1" applyAlignment="1">
      <alignment horizontal="center"/>
    </xf>
    <xf numFmtId="165" fontId="40" fillId="0" borderId="7" xfId="3" applyFont="1" applyBorder="1" applyAlignment="1">
      <alignment horizontal="center" vertical="center" wrapText="1"/>
    </xf>
    <xf numFmtId="165" fontId="40" fillId="0" borderId="17" xfId="3" applyFont="1" applyBorder="1" applyAlignment="1">
      <alignment horizontal="center" vertical="center" wrapText="1"/>
    </xf>
    <xf numFmtId="165" fontId="40" fillId="0" borderId="62" xfId="3" applyFont="1" applyBorder="1" applyAlignment="1">
      <alignment horizontal="center" vertical="center" wrapText="1"/>
    </xf>
    <xf numFmtId="165" fontId="40" fillId="0" borderId="4" xfId="3" applyFont="1" applyBorder="1" applyAlignment="1">
      <alignment horizontal="center" vertical="center" wrapText="1"/>
    </xf>
    <xf numFmtId="165" fontId="40" fillId="0" borderId="2" xfId="3" applyFont="1" applyBorder="1" applyAlignment="1">
      <alignment horizontal="center"/>
    </xf>
    <xf numFmtId="165" fontId="40" fillId="0" borderId="65" xfId="3" applyFont="1" applyBorder="1" applyAlignment="1">
      <alignment horizontal="center"/>
    </xf>
    <xf numFmtId="165" fontId="7" fillId="0" borderId="53" xfId="3" applyBorder="1" applyAlignment="1">
      <alignment horizontal="center"/>
    </xf>
    <xf numFmtId="165" fontId="7" fillId="0" borderId="67" xfId="3" applyBorder="1" applyAlignment="1">
      <alignment horizontal="center"/>
    </xf>
    <xf numFmtId="15" fontId="40" fillId="0" borderId="44" xfId="3" applyNumberFormat="1" applyFont="1" applyBorder="1" applyAlignment="1">
      <alignment horizont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59" fillId="0" borderId="46" xfId="3" applyFont="1" applyBorder="1" applyAlignment="1">
      <alignment horizontal="center" vertical="center"/>
    </xf>
    <xf numFmtId="165" fontId="59" fillId="0" borderId="47" xfId="3" applyFont="1" applyBorder="1" applyAlignment="1">
      <alignment horizontal="center" vertical="center"/>
    </xf>
    <xf numFmtId="165" fontId="59" fillId="0" borderId="48" xfId="3" applyFont="1" applyBorder="1" applyAlignment="1">
      <alignment horizontal="center" vertical="center"/>
    </xf>
    <xf numFmtId="165" fontId="63" fillId="4" borderId="0" xfId="0" applyFont="1" applyFill="1" applyAlignment="1">
      <alignment horizontal="center"/>
    </xf>
    <xf numFmtId="165" fontId="75" fillId="0" borderId="0" xfId="0" applyFont="1" applyAlignment="1">
      <alignment horizontal="center" vertical="top"/>
    </xf>
    <xf numFmtId="165" fontId="64" fillId="20" borderId="41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center" vertical="center"/>
    </xf>
    <xf numFmtId="165" fontId="72" fillId="0" borderId="0" xfId="0" applyFont="1" applyAlignment="1">
      <alignment horizontal="center" vertical="top"/>
    </xf>
    <xf numFmtId="165" fontId="64" fillId="20" borderId="4" xfId="0" applyFont="1" applyFill="1" applyBorder="1" applyAlignment="1">
      <alignment horizontal="center" vertical="center"/>
    </xf>
    <xf numFmtId="165" fontId="64" fillId="20" borderId="4" xfId="0" applyFont="1" applyFill="1" applyBorder="1" applyAlignment="1">
      <alignment horizontal="left" vertical="center"/>
    </xf>
    <xf numFmtId="165" fontId="73" fillId="20" borderId="4" xfId="0" applyFont="1" applyFill="1" applyBorder="1" applyAlignment="1">
      <alignment horizontal="right" vertical="center"/>
    </xf>
  </cellXfs>
  <cellStyles count="11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4" xfId="6" xr:uid="{4AD98EB2-9BB4-4842-A408-0E56A74ED11E}"/>
    <cellStyle name="Percent 4 2" xfId="8" xr:uid="{4E10984A-3ADE-4C2D-B6E7-76DD6D94E726}"/>
    <cellStyle name="Percent 4 3" xfId="10" xr:uid="{01053475-F444-4128-81F2-2F08DC4F4A0B}"/>
  </cellStyles>
  <dxfs count="2627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8200"/>
      <color rgb="FF0000FF"/>
      <color rgb="FFFF66FF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23.xml"/><Relationship Id="rId63" Type="http://schemas.openxmlformats.org/officeDocument/2006/relationships/externalLink" Target="externalLinks/externalLink39.xml"/><Relationship Id="rId68" Type="http://schemas.openxmlformats.org/officeDocument/2006/relationships/externalLink" Target="externalLinks/externalLink4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21.xml"/><Relationship Id="rId53" Type="http://schemas.openxmlformats.org/officeDocument/2006/relationships/externalLink" Target="externalLinks/externalLink29.xml"/><Relationship Id="rId58" Type="http://schemas.openxmlformats.org/officeDocument/2006/relationships/externalLink" Target="externalLinks/externalLink34.xml"/><Relationship Id="rId66" Type="http://schemas.openxmlformats.org/officeDocument/2006/relationships/externalLink" Target="externalLinks/externalLink42.xml"/><Relationship Id="rId74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48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32.xml"/><Relationship Id="rId64" Type="http://schemas.openxmlformats.org/officeDocument/2006/relationships/externalLink" Target="externalLinks/externalLink40.xml"/><Relationship Id="rId69" Type="http://schemas.openxmlformats.org/officeDocument/2006/relationships/externalLink" Target="externalLinks/externalLink4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7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22.xml"/><Relationship Id="rId59" Type="http://schemas.openxmlformats.org/officeDocument/2006/relationships/externalLink" Target="externalLinks/externalLink35.xml"/><Relationship Id="rId67" Type="http://schemas.openxmlformats.org/officeDocument/2006/relationships/externalLink" Target="externalLinks/externalLink4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Relationship Id="rId54" Type="http://schemas.openxmlformats.org/officeDocument/2006/relationships/externalLink" Target="externalLinks/externalLink30.xml"/><Relationship Id="rId62" Type="http://schemas.openxmlformats.org/officeDocument/2006/relationships/externalLink" Target="externalLinks/externalLink38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49" Type="http://schemas.openxmlformats.org/officeDocument/2006/relationships/externalLink" Target="externalLinks/externalLink25.xml"/><Relationship Id="rId57" Type="http://schemas.openxmlformats.org/officeDocument/2006/relationships/externalLink" Target="externalLinks/externalLink33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7.xml"/><Relationship Id="rId44" Type="http://schemas.openxmlformats.org/officeDocument/2006/relationships/externalLink" Target="externalLinks/externalLink20.xml"/><Relationship Id="rId52" Type="http://schemas.openxmlformats.org/officeDocument/2006/relationships/externalLink" Target="externalLinks/externalLink28.xml"/><Relationship Id="rId60" Type="http://schemas.openxmlformats.org/officeDocument/2006/relationships/externalLink" Target="externalLinks/externalLink36.xml"/><Relationship Id="rId65" Type="http://schemas.openxmlformats.org/officeDocument/2006/relationships/externalLink" Target="externalLinks/externalLink41.xml"/><Relationship Id="rId73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10.xml"/><Relationship Id="rId50" Type="http://schemas.openxmlformats.org/officeDocument/2006/relationships/externalLink" Target="externalLinks/externalLink26.xml"/><Relationship Id="rId55" Type="http://schemas.openxmlformats.org/officeDocument/2006/relationships/externalLink" Target="externalLinks/externalLink31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MaltLog2025.xls" TargetMode="External"/><Relationship Id="rId1" Type="http://schemas.openxmlformats.org/officeDocument/2006/relationships/externalLinkPath" Target="/Operations/Brewing/Logbooks/Logbooks%202025/NewSMaltLog2025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VMaltLog2025.xls" TargetMode="External"/><Relationship Id="rId1" Type="http://schemas.openxmlformats.org/officeDocument/2006/relationships/externalLinkPath" Target="/Operations/Brewing/Logbooks/Logbooks%202025/NewVMaltLog2025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CaribLog2025.xlsx" TargetMode="External"/><Relationship Id="rId1" Type="http://schemas.openxmlformats.org/officeDocument/2006/relationships/externalLinkPath" Target="/Operations/Brewing/Logbooks/Logbooks%202025/NewCaribLog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tagLog2025.xls" TargetMode="External"/><Relationship Id="rId1" Type="http://schemas.openxmlformats.org/officeDocument/2006/relationships/externalLinkPath" Target="/Operations/Brewing/Logbooks/Logbooks%202025/NewStagLog2025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GuinnLog2025.xls" TargetMode="External"/><Relationship Id="rId1" Type="http://schemas.openxmlformats.org/officeDocument/2006/relationships/externalLinkPath" Target="/Operations/Brewing/Logbooks/Logbooks%202025/NewGuinnLog2025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MackLog2025.xls" TargetMode="External"/><Relationship Id="rId1" Type="http://schemas.openxmlformats.org/officeDocument/2006/relationships/externalLinkPath" Target="/Operations/Brewing/Logbooks/Logbooks%202025/NewMackLog2025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PilsLog2025.xlsx" TargetMode="External"/><Relationship Id="rId1" Type="http://schemas.openxmlformats.org/officeDocument/2006/relationships/externalLinkPath" Target="/Operations/Brewing/Logbooks/Logbooks%202025/NewHRPilsLog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anuary'25%20Daily%20Process%20Report%202025.xlsx" TargetMode="External"/><Relationship Id="rId1" Type="http://schemas.openxmlformats.org/officeDocument/2006/relationships/externalLinkPath" Target="January'25%20Daily%20Process%20Report%202025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February'25%20Daily%20Process%20Report%202025.xlsx" TargetMode="External"/><Relationship Id="rId1" Type="http://schemas.openxmlformats.org/officeDocument/2006/relationships/externalLinkPath" Target="February'25%20Daily%20Process%20Report%202025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March'25%20Daily%20Process%20Report%202025.xlsx" TargetMode="External"/><Relationship Id="rId1" Type="http://schemas.openxmlformats.org/officeDocument/2006/relationships/externalLinkPath" Target="March'25%20Daily%20Process%20Report%202025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April%20'25%20Daily%20Process%20Report%202025.xlsx" TargetMode="External"/><Relationship Id="rId1" Type="http://schemas.openxmlformats.org/officeDocument/2006/relationships/externalLinkPath" Target="April%20'25%20Daily%20Process%20Report%202025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May%20'25%20Daily%20Process%20Report%202025.xlsx" TargetMode="External"/><Relationship Id="rId1" Type="http://schemas.openxmlformats.org/officeDocument/2006/relationships/externalLinkPath" Target="May%20'25%20Daily%20Process%20Report%202025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5.xls" TargetMode="External"/><Relationship Id="rId1" Type="http://schemas.openxmlformats.org/officeDocument/2006/relationships/externalLinkPath" Target="/Operations/Reshelle/Brewing/Daily_Brewhouse_Efficiency/Daily_Brewhouse_Efficiency_2025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Losses%202025\June_2025.xls" TargetMode="External"/><Relationship Id="rId1" Type="http://schemas.openxmlformats.org/officeDocument/2006/relationships/externalLinkPath" Target="/Operations/Brewing/Reports%20Local/Losses%202025/June_2025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5.xlsx" TargetMode="External"/><Relationship Id="rId1" Type="http://schemas.openxmlformats.org/officeDocument/2006/relationships/externalLinkPath" Target="/Operations/Reshelle/Brewing/Filtration_Throughput/Filtration_Throughput_2025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Log2025-%20APA.xls" TargetMode="External"/><Relationship Id="rId1" Type="http://schemas.openxmlformats.org/officeDocument/2006/relationships/externalLinkPath" Target="/Operations/Brewing/Logbooks/Logbooks%202025/NewHRLog2025-%20APA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Log2025-%20IPA.xls" TargetMode="External"/><Relationship Id="rId1" Type="http://schemas.openxmlformats.org/officeDocument/2006/relationships/externalLinkPath" Target="/Operations/Brewing/Logbooks/Logbooks%202025/NewHRLog2025-%20IP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Logbooks/NewMMaltLog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15">
          <cell r="A15" t="str">
            <v>GU001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5">
          <cell r="B5">
            <v>44558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5">
          <cell r="C5" t="str">
            <v>DPV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8">
          <cell r="H8">
            <v>403.40000000000003</v>
          </cell>
        </row>
      </sheetData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1">
          <cell r="A11">
            <v>6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  <sheetName val="September_2022"/>
      <sheetName val="August_2022"/>
    </sheetNames>
    <sheetDataSet>
      <sheetData sheetId="0"/>
      <sheetData sheetId="1"/>
      <sheetData sheetId="2">
        <row r="7">
          <cell r="J7">
            <v>283.29999999999995</v>
          </cell>
        </row>
      </sheetData>
      <sheetData sheetId="3">
        <row r="7">
          <cell r="G7">
            <v>369.9</v>
          </cell>
        </row>
      </sheetData>
      <sheetData sheetId="4">
        <row r="7">
          <cell r="AA7">
            <v>264.39999999999998</v>
          </cell>
        </row>
      </sheetData>
      <sheetData sheetId="5">
        <row r="3">
          <cell r="O3">
            <v>317.7</v>
          </cell>
        </row>
      </sheetData>
      <sheetData sheetId="6">
        <row r="3">
          <cell r="F3">
            <v>406</v>
          </cell>
        </row>
      </sheetData>
      <sheetData sheetId="7"/>
      <sheetData sheetId="8">
        <row r="3">
          <cell r="D3">
            <v>208.10000000000002</v>
          </cell>
        </row>
      </sheetData>
      <sheetData sheetId="9">
        <row r="7">
          <cell r="I7">
            <v>278.8</v>
          </cell>
        </row>
      </sheetData>
      <sheetData sheetId="10">
        <row r="3">
          <cell r="G3">
            <v>304.60000000000002</v>
          </cell>
        </row>
      </sheetData>
      <sheetData sheetId="11">
        <row r="3">
          <cell r="D3">
            <v>212.5</v>
          </cell>
        </row>
      </sheetData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  <sheetName val="September_2022"/>
      <sheetName val="August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  <sheetData sheetId="16" refreshError="1"/>
      <sheetData sheetId="1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>
        <row r="7">
          <cell r="D7">
            <v>0</v>
          </cell>
          <cell r="L7">
            <v>285.8</v>
          </cell>
          <cell r="M7">
            <v>508.1</v>
          </cell>
          <cell r="N7">
            <v>0</v>
          </cell>
          <cell r="O7">
            <v>0</v>
          </cell>
          <cell r="P7">
            <v>109.56666666666666</v>
          </cell>
          <cell r="Q7">
            <v>297.64999999999998</v>
          </cell>
          <cell r="R7">
            <v>122.3</v>
          </cell>
          <cell r="S7">
            <v>0</v>
          </cell>
          <cell r="T7">
            <v>294.7</v>
          </cell>
          <cell r="U7">
            <v>280.5</v>
          </cell>
          <cell r="V7">
            <v>0</v>
          </cell>
          <cell r="W7">
            <v>0</v>
          </cell>
          <cell r="X7">
            <v>188.25</v>
          </cell>
          <cell r="Y7">
            <v>295.7</v>
          </cell>
          <cell r="Z7">
            <v>257.8</v>
          </cell>
          <cell r="AA7">
            <v>291.2</v>
          </cell>
          <cell r="AB7">
            <v>187</v>
          </cell>
          <cell r="AC7">
            <v>0</v>
          </cell>
          <cell r="AD7">
            <v>0</v>
          </cell>
          <cell r="AE7">
            <v>485.1</v>
          </cell>
          <cell r="AF7">
            <v>171.55</v>
          </cell>
          <cell r="AG7">
            <v>423.8</v>
          </cell>
          <cell r="AH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>
        <row r="13">
          <cell r="AN13">
            <v>0.94034030952171987</v>
          </cell>
        </row>
      </sheetData>
      <sheetData sheetId="2">
        <row r="13">
          <cell r="AQ13">
            <v>0.93551267438402086</v>
          </cell>
        </row>
      </sheetData>
      <sheetData sheetId="3">
        <row r="18">
          <cell r="G18">
            <v>1.0103508771929826</v>
          </cell>
        </row>
      </sheetData>
      <sheetData sheetId="4">
        <row r="13">
          <cell r="AN13">
            <v>0.87062818515015106</v>
          </cell>
        </row>
      </sheetData>
      <sheetData sheetId="5">
        <row r="13">
          <cell r="AN13">
            <v>0.94807447713221704</v>
          </cell>
        </row>
      </sheetData>
      <sheetData sheetId="6">
        <row r="13">
          <cell r="AN13">
            <v>1.0800362929336174</v>
          </cell>
        </row>
      </sheetData>
      <sheetData sheetId="7">
        <row r="13">
          <cell r="AN13">
            <v>1.1456090225563909</v>
          </cell>
        </row>
      </sheetData>
      <sheetData sheetId="8"/>
      <sheetData sheetId="9">
        <row r="13">
          <cell r="AM13">
            <v>1.1586666666666667</v>
          </cell>
        </row>
      </sheetData>
      <sheetData sheetId="10">
        <row r="13">
          <cell r="AN13">
            <v>0.7340526315789474</v>
          </cell>
        </row>
      </sheetData>
      <sheetData sheetId="11">
        <row r="13">
          <cell r="AN13">
            <v>0.98266798418972334</v>
          </cell>
        </row>
      </sheetData>
      <sheetData sheetId="12">
        <row r="13">
          <cell r="AN13">
            <v>0.83754385964912292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July ' 25"/>
      <sheetName val="Summary June ' 25"/>
      <sheetName val="Summary May ' 25"/>
      <sheetName val="Summary April ' 25"/>
      <sheetName val="Summary March ' 25"/>
      <sheetName val="Summary February ' 25 "/>
      <sheetName val="Summary January ' 25"/>
      <sheetName val="Summary December ' 24"/>
    </sheetNames>
    <sheetDataSet>
      <sheetData sheetId="0"/>
      <sheetData sheetId="1"/>
      <sheetData sheetId="2"/>
      <sheetData sheetId="3">
        <row r="6">
          <cell r="AY6">
            <v>92.614349283942801</v>
          </cell>
        </row>
        <row r="7">
          <cell r="AY7">
            <v>95.540360033399878</v>
          </cell>
        </row>
        <row r="8">
          <cell r="AY8">
            <v>94.754877612732329</v>
          </cell>
        </row>
        <row r="9">
          <cell r="AY9">
            <v>95.371776201789885</v>
          </cell>
        </row>
        <row r="10">
          <cell r="AY10">
            <v>90.190794188520044</v>
          </cell>
        </row>
        <row r="11">
          <cell r="AY11">
            <v>93.224568939148085</v>
          </cell>
        </row>
        <row r="12">
          <cell r="AY12">
            <v>93.116630380109711</v>
          </cell>
        </row>
        <row r="13">
          <cell r="AY13">
            <v>89.945088045838986</v>
          </cell>
        </row>
        <row r="15">
          <cell r="AY15">
            <v>93.593045496219816</v>
          </cell>
        </row>
        <row r="16">
          <cell r="AY16">
            <v>94.802596635458585</v>
          </cell>
        </row>
        <row r="17">
          <cell r="AY17">
            <v>96.778271105563348</v>
          </cell>
        </row>
        <row r="18">
          <cell r="AY18">
            <v>96.30416399645047</v>
          </cell>
        </row>
        <row r="19">
          <cell r="AY19">
            <v>96.620028354806905</v>
          </cell>
        </row>
        <row r="20">
          <cell r="AY20">
            <v>97.146950233584548</v>
          </cell>
        </row>
        <row r="22">
          <cell r="AY22">
            <v>94.953130139836233</v>
          </cell>
        </row>
        <row r="23">
          <cell r="AY23">
            <v>100.2179588674224</v>
          </cell>
        </row>
        <row r="24">
          <cell r="AY24">
            <v>92.417462104672595</v>
          </cell>
        </row>
        <row r="25">
          <cell r="AY25">
            <v>98.212353766599264</v>
          </cell>
        </row>
        <row r="26">
          <cell r="AY26">
            <v>100.17660084193123</v>
          </cell>
        </row>
        <row r="27">
          <cell r="AY27">
            <v>101.7139711841882</v>
          </cell>
        </row>
        <row r="28">
          <cell r="AY28">
            <v>97.028254502167584</v>
          </cell>
        </row>
        <row r="29">
          <cell r="AY29">
            <v>99.806942496410372</v>
          </cell>
        </row>
        <row r="31">
          <cell r="AY31">
            <v>97.699494944251768</v>
          </cell>
        </row>
        <row r="32">
          <cell r="AY32">
            <v>98.002211653180524</v>
          </cell>
        </row>
        <row r="33">
          <cell r="AY33">
            <v>98.900740579253281</v>
          </cell>
        </row>
        <row r="34">
          <cell r="AY34">
            <v>100.01046742421136</v>
          </cell>
        </row>
        <row r="36">
          <cell r="AY36">
            <v>98.749264772100105</v>
          </cell>
        </row>
        <row r="37">
          <cell r="AY37">
            <v>96.781968082736597</v>
          </cell>
        </row>
        <row r="38">
          <cell r="AY38">
            <v>97.813869443605739</v>
          </cell>
        </row>
        <row r="39">
          <cell r="AY39">
            <v>99.68712102254257</v>
          </cell>
        </row>
        <row r="40">
          <cell r="AY40">
            <v>98.326953759607903</v>
          </cell>
        </row>
        <row r="41">
          <cell r="AY41">
            <v>98.820483734504066</v>
          </cell>
        </row>
        <row r="42">
          <cell r="AY42">
            <v>95.562254007954607</v>
          </cell>
        </row>
        <row r="43">
          <cell r="AY43">
            <v>101.88657891836674</v>
          </cell>
        </row>
        <row r="45">
          <cell r="A45" t="str">
            <v>SM035</v>
          </cell>
          <cell r="T45">
            <v>60</v>
          </cell>
          <cell r="U45">
            <v>10.134357005758158</v>
          </cell>
          <cell r="X45">
            <v>0.23958333333333334</v>
          </cell>
          <cell r="Y45">
            <v>0.39374999999999999</v>
          </cell>
          <cell r="Z45">
            <v>93</v>
          </cell>
          <cell r="AD45">
            <v>0.29305555555555551</v>
          </cell>
          <cell r="AH45">
            <v>52.1</v>
          </cell>
          <cell r="AK45">
            <v>17.2</v>
          </cell>
          <cell r="AM45">
            <v>52</v>
          </cell>
          <cell r="AY45">
            <v>97.680078712303157</v>
          </cell>
          <cell r="AZ45">
            <v>98.765554572474414</v>
          </cell>
          <cell r="BC45" t="str">
            <v>R. Regis</v>
          </cell>
        </row>
        <row r="46">
          <cell r="A46" t="str">
            <v>SM036</v>
          </cell>
          <cell r="T46">
            <v>58</v>
          </cell>
          <cell r="U46" t="e">
            <v>#DIV/0!</v>
          </cell>
          <cell r="X46">
            <v>0.34861111111111109</v>
          </cell>
          <cell r="Y46">
            <v>0.49444444444444446</v>
          </cell>
          <cell r="Z46">
            <v>90</v>
          </cell>
          <cell r="AD46">
            <v>0.30000000000000004</v>
          </cell>
          <cell r="AK46">
            <v>17.2</v>
          </cell>
          <cell r="AM46">
            <v>51.04</v>
          </cell>
          <cell r="AY46">
            <v>96.032533546760064</v>
          </cell>
          <cell r="AZ46">
            <v>97.097714467997804</v>
          </cell>
          <cell r="BC46" t="str">
            <v>D. Gomaz</v>
          </cell>
        </row>
        <row r="47">
          <cell r="A47" t="str">
            <v>SM037</v>
          </cell>
          <cell r="T47">
            <v>60</v>
          </cell>
          <cell r="U47" t="e">
            <v>#DIV/0!</v>
          </cell>
          <cell r="X47">
            <v>0.45555555555555555</v>
          </cell>
          <cell r="Y47">
            <v>0.60763888888888884</v>
          </cell>
          <cell r="Z47">
            <v>86</v>
          </cell>
          <cell r="AD47">
            <v>0.31249999999999994</v>
          </cell>
          <cell r="AK47">
            <v>17.2</v>
          </cell>
          <cell r="AM47">
            <v>51.26</v>
          </cell>
          <cell r="AY47">
            <v>96.368177969102391</v>
          </cell>
          <cell r="AZ47">
            <v>97.438079333081532</v>
          </cell>
          <cell r="BC47" t="str">
            <v>D. Gomaz</v>
          </cell>
        </row>
        <row r="48">
          <cell r="A48" t="str">
            <v>SM038</v>
          </cell>
          <cell r="T48">
            <v>62</v>
          </cell>
          <cell r="U48">
            <v>6.904761904761914</v>
          </cell>
          <cell r="X48">
            <v>0.93541666666666667</v>
          </cell>
          <cell r="Y48">
            <v>1.0736111111111111</v>
          </cell>
          <cell r="Z48">
            <v>65</v>
          </cell>
          <cell r="AD48">
            <v>0.67777777777777781</v>
          </cell>
          <cell r="AH48">
            <v>50.4</v>
          </cell>
          <cell r="AK48">
            <v>17.399999999999999</v>
          </cell>
          <cell r="AM48">
            <v>50.5</v>
          </cell>
          <cell r="AY48">
            <v>96.127420872417986</v>
          </cell>
          <cell r="AZ48">
            <v>97.194649296516346</v>
          </cell>
          <cell r="BC48" t="str">
            <v>R. Regis</v>
          </cell>
        </row>
        <row r="49">
          <cell r="A49" t="str">
            <v>SM039</v>
          </cell>
          <cell r="T49">
            <v>61</v>
          </cell>
          <cell r="U49">
            <v>5.8317025440313186</v>
          </cell>
          <cell r="X49">
            <v>0.25763888888888886</v>
          </cell>
          <cell r="Y49">
            <v>0.39791666666666664</v>
          </cell>
          <cell r="Z49">
            <v>87</v>
          </cell>
          <cell r="AD49">
            <v>0.30069444444444443</v>
          </cell>
          <cell r="AH49">
            <v>51.1</v>
          </cell>
          <cell r="AK49">
            <v>17.399999999999999</v>
          </cell>
          <cell r="AM49">
            <v>50.5</v>
          </cell>
          <cell r="AY49">
            <v>94.281558174494734</v>
          </cell>
          <cell r="AZ49">
            <v>95.35295242257547</v>
          </cell>
          <cell r="BC49" t="str">
            <v>D. Gomaz</v>
          </cell>
        </row>
        <row r="50">
          <cell r="A50" t="str">
            <v>SM040</v>
          </cell>
          <cell r="T50">
            <v>62</v>
          </cell>
          <cell r="U50">
            <v>5.7307692307692388</v>
          </cell>
          <cell r="X50">
            <v>0.3840277777777778</v>
          </cell>
          <cell r="Y50">
            <v>0.53472222222222221</v>
          </cell>
          <cell r="Z50">
            <v>73</v>
          </cell>
          <cell r="AD50">
            <v>0.30208333333333331</v>
          </cell>
          <cell r="AH50">
            <v>52</v>
          </cell>
          <cell r="AK50">
            <v>16.899999999999999</v>
          </cell>
          <cell r="AM50">
            <v>53</v>
          </cell>
          <cell r="AY50">
            <v>97.243639355509373</v>
          </cell>
          <cell r="AZ50">
            <v>98.330261412540551</v>
          </cell>
          <cell r="BC50" t="str">
            <v>D. Gomaz</v>
          </cell>
        </row>
        <row r="51">
          <cell r="A51" t="str">
            <v>SM041</v>
          </cell>
          <cell r="T51">
            <v>61</v>
          </cell>
          <cell r="U51">
            <v>6.796875000000008</v>
          </cell>
          <cell r="X51">
            <v>0.31041666666666667</v>
          </cell>
          <cell r="Y51">
            <v>0.43958333333333333</v>
          </cell>
          <cell r="Z51">
            <v>63</v>
          </cell>
          <cell r="AD51">
            <v>0.32847222222222222</v>
          </cell>
          <cell r="AH51">
            <v>51.2</v>
          </cell>
          <cell r="AK51">
            <v>17.28</v>
          </cell>
          <cell r="AM51">
            <v>51.9</v>
          </cell>
          <cell r="AY51">
            <v>98.050987074941645</v>
          </cell>
          <cell r="AZ51">
            <v>99.458162001978906</v>
          </cell>
          <cell r="BC51" t="str">
            <v>R.Sookram</v>
          </cell>
        </row>
        <row r="52">
          <cell r="A52" t="str">
            <v>SM042</v>
          </cell>
          <cell r="T52">
            <v>57</v>
          </cell>
          <cell r="U52">
            <v>6.4855072463768204</v>
          </cell>
          <cell r="X52">
            <v>0.41388888888888886</v>
          </cell>
          <cell r="Y52">
            <v>0.54374999999999996</v>
          </cell>
          <cell r="Z52">
            <v>67</v>
          </cell>
          <cell r="AD52">
            <v>0.33541666666666659</v>
          </cell>
          <cell r="AH52">
            <v>55.2</v>
          </cell>
          <cell r="AK52">
            <v>16.989999999999998</v>
          </cell>
          <cell r="AM52">
            <v>53.1</v>
          </cell>
          <cell r="AY52">
            <v>98.420152641026021</v>
          </cell>
          <cell r="AZ52">
            <v>99.832625633325208</v>
          </cell>
          <cell r="BC52" t="str">
            <v>R.Sookram</v>
          </cell>
        </row>
        <row r="53">
          <cell r="A53" t="str">
            <v>SM043</v>
          </cell>
          <cell r="T53">
            <v>60</v>
          </cell>
          <cell r="U53">
            <v>7.0498084291187872</v>
          </cell>
          <cell r="X53">
            <v>0.52083333333333337</v>
          </cell>
          <cell r="Y53">
            <v>0.6645833333333333</v>
          </cell>
          <cell r="Z53">
            <v>69</v>
          </cell>
          <cell r="AD53">
            <v>0.31041666666666662</v>
          </cell>
          <cell r="AH53">
            <v>52.2</v>
          </cell>
          <cell r="AK53">
            <v>17.71</v>
          </cell>
          <cell r="AM53">
            <v>51.6</v>
          </cell>
          <cell r="AY53">
            <v>99.692749620943601</v>
          </cell>
          <cell r="AZ53">
            <v>101.12616125166349</v>
          </cell>
          <cell r="BC53" t="str">
            <v>R.Sookram</v>
          </cell>
        </row>
        <row r="54">
          <cell r="A54" t="str">
            <v>SM044</v>
          </cell>
          <cell r="U54">
            <v>4.6994535519125655</v>
          </cell>
          <cell r="Z54">
            <v>64</v>
          </cell>
          <cell r="AD54">
            <v>0.31319444444444439</v>
          </cell>
          <cell r="AH54">
            <v>54.9</v>
          </cell>
          <cell r="AK54">
            <v>17.23</v>
          </cell>
          <cell r="AM54">
            <v>51</v>
          </cell>
          <cell r="AY54">
            <v>95.725703550808532</v>
          </cell>
          <cell r="AZ54">
            <v>97.099507261797626</v>
          </cell>
          <cell r="BC54" t="str">
            <v>R.Sookram</v>
          </cell>
        </row>
      </sheetData>
      <sheetData sheetId="4">
        <row r="44">
          <cell r="D44">
            <v>17.2</v>
          </cell>
        </row>
        <row r="45">
          <cell r="D45">
            <v>17.2</v>
          </cell>
        </row>
        <row r="46">
          <cell r="D46">
            <v>17.2</v>
          </cell>
        </row>
        <row r="47">
          <cell r="D47">
            <v>17.399999999999999</v>
          </cell>
        </row>
        <row r="48">
          <cell r="D48">
            <v>17.399999999999999</v>
          </cell>
        </row>
        <row r="49">
          <cell r="D49">
            <v>16.899999999999999</v>
          </cell>
        </row>
        <row r="50">
          <cell r="D50">
            <v>17.28</v>
          </cell>
        </row>
        <row r="51">
          <cell r="D51">
            <v>16.989999999999998</v>
          </cell>
        </row>
        <row r="52">
          <cell r="D52">
            <v>17.71</v>
          </cell>
        </row>
        <row r="53">
          <cell r="D53">
            <v>17.23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"/>
    </sheetNames>
    <sheetDataSet>
      <sheetData sheetId="0" refreshError="1"/>
      <sheetData sheetId="1"/>
      <sheetData sheetId="2"/>
      <sheetData sheetId="3">
        <row r="5">
          <cell r="AV5">
            <v>96.276959090498963</v>
          </cell>
        </row>
        <row r="6">
          <cell r="AV6">
            <v>95.250552277167415</v>
          </cell>
        </row>
        <row r="7">
          <cell r="AV7">
            <v>98.215857114037703</v>
          </cell>
        </row>
        <row r="8">
          <cell r="AV8">
            <v>97.065841044111437</v>
          </cell>
        </row>
        <row r="9">
          <cell r="AV9">
            <v>96.846940704132052</v>
          </cell>
        </row>
        <row r="10">
          <cell r="AV10">
            <v>97.997200643479516</v>
          </cell>
        </row>
        <row r="11">
          <cell r="AV11">
            <v>99.103663669233342</v>
          </cell>
        </row>
        <row r="12">
          <cell r="AV12">
            <v>100.09297596306546</v>
          </cell>
        </row>
        <row r="13">
          <cell r="AV13">
            <v>98.53505407982837</v>
          </cell>
        </row>
        <row r="14">
          <cell r="AV14">
            <v>99.07369922209736</v>
          </cell>
        </row>
        <row r="16">
          <cell r="AV16">
            <v>96.495371141271974</v>
          </cell>
        </row>
        <row r="17">
          <cell r="AV17">
            <v>100.26537727345534</v>
          </cell>
        </row>
        <row r="18">
          <cell r="AV18">
            <v>99.23384047023049</v>
          </cell>
        </row>
        <row r="19">
          <cell r="AV19">
            <v>100.78007672501261</v>
          </cell>
        </row>
        <row r="21">
          <cell r="AV21">
            <v>101.27863888434283</v>
          </cell>
        </row>
        <row r="22">
          <cell r="AV22">
            <v>99.303486828954206</v>
          </cell>
        </row>
        <row r="23">
          <cell r="AV23">
            <v>103.66984113752797</v>
          </cell>
        </row>
        <row r="24">
          <cell r="AV24">
            <v>95.602927454157623</v>
          </cell>
        </row>
        <row r="26">
          <cell r="AV26">
            <v>97.882610792421659</v>
          </cell>
        </row>
        <row r="27">
          <cell r="AV27">
            <v>102.56353376807962</v>
          </cell>
        </row>
        <row r="28">
          <cell r="AV28">
            <v>101.00969960355251</v>
          </cell>
        </row>
        <row r="29">
          <cell r="AV29">
            <v>98.793275944001337</v>
          </cell>
        </row>
        <row r="30">
          <cell r="AV30">
            <v>99.174984669941196</v>
          </cell>
        </row>
        <row r="31">
          <cell r="AV31">
            <v>99.790314392337137</v>
          </cell>
        </row>
        <row r="32">
          <cell r="AV32">
            <v>98.079903538511672</v>
          </cell>
        </row>
        <row r="33">
          <cell r="AV33">
            <v>99.588717797605156</v>
          </cell>
        </row>
        <row r="35">
          <cell r="AV35">
            <v>98.928032542482782</v>
          </cell>
        </row>
        <row r="36">
          <cell r="AV36">
            <v>100.22513199069148</v>
          </cell>
        </row>
        <row r="37">
          <cell r="AV37">
            <v>99.888911394204086</v>
          </cell>
        </row>
        <row r="38">
          <cell r="AV38">
            <v>100.17103246144012</v>
          </cell>
        </row>
        <row r="39">
          <cell r="AV39">
            <v>99.285649098477293</v>
          </cell>
        </row>
        <row r="40">
          <cell r="AV40">
            <v>99.879884127611049</v>
          </cell>
        </row>
        <row r="41">
          <cell r="AV41">
            <v>96.432595150579488</v>
          </cell>
        </row>
        <row r="42">
          <cell r="AV42">
            <v>98.429313316577733</v>
          </cell>
        </row>
        <row r="43">
          <cell r="AV43">
            <v>98.064289700809979</v>
          </cell>
        </row>
        <row r="44">
          <cell r="AV44">
            <v>103.18047859361971</v>
          </cell>
        </row>
        <row r="45">
          <cell r="AV45">
            <v>104.32840145732365</v>
          </cell>
        </row>
        <row r="46">
          <cell r="AV46">
            <v>91.41688641079125</v>
          </cell>
        </row>
        <row r="48">
          <cell r="A48" t="str">
            <v>VM039</v>
          </cell>
          <cell r="R48">
            <v>60</v>
          </cell>
          <cell r="S48">
            <v>10.078124999999993</v>
          </cell>
          <cell r="V48">
            <v>0.83472222222222225</v>
          </cell>
          <cell r="W48">
            <v>0.97499999999999998</v>
          </cell>
          <cell r="X48">
            <v>74</v>
          </cell>
          <cell r="AB48">
            <v>0.27708333333333335</v>
          </cell>
          <cell r="AE48">
            <v>51.2</v>
          </cell>
          <cell r="AH48">
            <v>14.2</v>
          </cell>
          <cell r="AJ48">
            <v>45.1</v>
          </cell>
          <cell r="AV48">
            <v>90.887781982231019</v>
          </cell>
          <cell r="AW48">
            <v>91.320039615760265</v>
          </cell>
          <cell r="AZ48" t="str">
            <v>R.Regis</v>
          </cell>
        </row>
        <row r="49">
          <cell r="A49" t="str">
            <v>VM040</v>
          </cell>
          <cell r="R49">
            <v>59</v>
          </cell>
          <cell r="S49">
            <v>10.140280561122236</v>
          </cell>
          <cell r="V49">
            <v>0.96736111111111112</v>
          </cell>
          <cell r="W49">
            <v>1.1090277777777777</v>
          </cell>
          <cell r="X49">
            <v>79</v>
          </cell>
          <cell r="AB49">
            <v>0.31736111111111109</v>
          </cell>
          <cell r="AE49">
            <v>49.9</v>
          </cell>
          <cell r="AH49">
            <v>14.4</v>
          </cell>
          <cell r="AJ49">
            <v>44.2</v>
          </cell>
          <cell r="AV49">
            <v>90.537381275166723</v>
          </cell>
          <cell r="AW49">
            <v>90.966130884317664</v>
          </cell>
          <cell r="AZ49" t="str">
            <v>D. Gomez</v>
          </cell>
        </row>
        <row r="50">
          <cell r="A50" t="str">
            <v>VM041</v>
          </cell>
          <cell r="R50">
            <v>60</v>
          </cell>
          <cell r="S50">
            <v>6.7741935483871103</v>
          </cell>
          <cell r="V50">
            <v>1.0638888888888889</v>
          </cell>
          <cell r="W50">
            <v>1.2361111111111112</v>
          </cell>
          <cell r="X50">
            <v>82</v>
          </cell>
          <cell r="AB50">
            <v>0.34375</v>
          </cell>
          <cell r="AE50">
            <v>49.6</v>
          </cell>
          <cell r="AH50">
            <v>14.2</v>
          </cell>
          <cell r="AJ50">
            <v>45.6</v>
          </cell>
          <cell r="AV50">
            <v>92.190532473722058</v>
          </cell>
          <cell r="AW50">
            <v>92.623348621159778</v>
          </cell>
          <cell r="AZ50" t="str">
            <v>D. Gomez</v>
          </cell>
        </row>
        <row r="51">
          <cell r="A51" t="str">
            <v>VM042</v>
          </cell>
          <cell r="R51">
            <v>59</v>
          </cell>
          <cell r="S51">
            <v>6.9714285714285644</v>
          </cell>
          <cell r="V51">
            <v>1.1965277777777779</v>
          </cell>
          <cell r="W51">
            <v>1.3347222222222221</v>
          </cell>
          <cell r="X51">
            <v>86</v>
          </cell>
          <cell r="AB51">
            <v>0.31388888888888888</v>
          </cell>
          <cell r="AE51">
            <v>52.5</v>
          </cell>
          <cell r="AH51">
            <v>14.3</v>
          </cell>
          <cell r="AJ51">
            <v>49.5</v>
          </cell>
          <cell r="AV51">
            <v>100.48690648550411</v>
          </cell>
          <cell r="AW51">
            <v>100.96481706326021</v>
          </cell>
          <cell r="AZ51" t="str">
            <v>D. Gomez</v>
          </cell>
        </row>
        <row r="52">
          <cell r="A52" t="str">
            <v>VM043</v>
          </cell>
          <cell r="R52">
            <v>62</v>
          </cell>
          <cell r="S52">
            <v>3.6470588235294108</v>
          </cell>
          <cell r="V52">
            <v>0.28611111111111109</v>
          </cell>
          <cell r="W52">
            <v>0.42777777777777776</v>
          </cell>
          <cell r="X52">
            <v>90</v>
          </cell>
          <cell r="AB52">
            <v>0.28194444444444444</v>
          </cell>
          <cell r="AE52">
            <v>51</v>
          </cell>
          <cell r="AH52">
            <v>14.2</v>
          </cell>
          <cell r="AJ52">
            <v>50.2</v>
          </cell>
          <cell r="AV52">
            <v>101.16555777179596</v>
          </cell>
          <cell r="AW52">
            <v>101.64669598029192</v>
          </cell>
          <cell r="AZ52" t="str">
            <v>K. Benjamin</v>
          </cell>
        </row>
        <row r="53">
          <cell r="A53" t="str">
            <v>VM044</v>
          </cell>
          <cell r="R53">
            <v>57</v>
          </cell>
          <cell r="S53">
            <v>5.4999999999999982</v>
          </cell>
          <cell r="V53">
            <v>0.40347222222222223</v>
          </cell>
          <cell r="W53">
            <v>0.54722222222222228</v>
          </cell>
          <cell r="X53">
            <v>95</v>
          </cell>
          <cell r="AB53">
            <v>0.28333333333333338</v>
          </cell>
          <cell r="AE53">
            <v>52</v>
          </cell>
          <cell r="AH53">
            <v>14.3</v>
          </cell>
          <cell r="AJ53">
            <v>50.1</v>
          </cell>
          <cell r="AV53">
            <v>101.81357333538921</v>
          </cell>
          <cell r="AW53">
            <v>102.29572257760265</v>
          </cell>
          <cell r="AZ53" t="str">
            <v>K. Benjamin</v>
          </cell>
        </row>
      </sheetData>
      <sheetData sheetId="4">
        <row r="5">
          <cell r="D5">
            <v>14.8</v>
          </cell>
        </row>
        <row r="41">
          <cell r="D41">
            <v>14.3</v>
          </cell>
        </row>
        <row r="42">
          <cell r="D42">
            <v>14.4</v>
          </cell>
        </row>
        <row r="48">
          <cell r="D48">
            <v>14.2</v>
          </cell>
        </row>
        <row r="49">
          <cell r="D49">
            <v>14.4</v>
          </cell>
        </row>
        <row r="50">
          <cell r="D50">
            <v>14.2</v>
          </cell>
        </row>
        <row r="51">
          <cell r="D51">
            <v>14.3</v>
          </cell>
        </row>
        <row r="52">
          <cell r="D52">
            <v>14.2</v>
          </cell>
        </row>
        <row r="53">
          <cell r="D53">
            <v>14.3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July '25"/>
      <sheetName val="Summary June'25"/>
      <sheetName val="Summary May '25"/>
      <sheetName val="Summary April '25"/>
      <sheetName val="Summary March '25 "/>
      <sheetName val="Summary February '25 "/>
      <sheetName val="Summary January '25"/>
      <sheetName val="Summary December '24 "/>
    </sheetNames>
    <sheetDataSet>
      <sheetData sheetId="0"/>
      <sheetData sheetId="1"/>
      <sheetData sheetId="2"/>
      <sheetData sheetId="3"/>
      <sheetData sheetId="4"/>
      <sheetData sheetId="5">
        <row r="102">
          <cell r="AU102">
            <v>92.721004414750013</v>
          </cell>
        </row>
        <row r="103">
          <cell r="AU103">
            <v>95.183546542203274</v>
          </cell>
        </row>
        <row r="104">
          <cell r="AU104">
            <v>95.186026119258216</v>
          </cell>
        </row>
        <row r="105">
          <cell r="AU105">
            <v>95.834588221072792</v>
          </cell>
        </row>
        <row r="106">
          <cell r="AU106">
            <v>95.701714072534301</v>
          </cell>
        </row>
        <row r="107">
          <cell r="AU107">
            <v>92.798968247797376</v>
          </cell>
        </row>
        <row r="108">
          <cell r="AU108">
            <v>95.637869985017701</v>
          </cell>
        </row>
        <row r="109">
          <cell r="AU109">
            <v>96.273574518798767</v>
          </cell>
        </row>
        <row r="110">
          <cell r="AU110">
            <v>94.86612185107694</v>
          </cell>
        </row>
        <row r="111">
          <cell r="AU111">
            <v>90.396256118959755</v>
          </cell>
        </row>
        <row r="112">
          <cell r="AU112">
            <v>96.811385381152121</v>
          </cell>
        </row>
        <row r="113">
          <cell r="AU113">
            <v>93.316641237557349</v>
          </cell>
        </row>
        <row r="114">
          <cell r="AU114">
            <v>97.63400510059688</v>
          </cell>
        </row>
        <row r="115">
          <cell r="AU115">
            <v>99.134858630299789</v>
          </cell>
        </row>
        <row r="116">
          <cell r="AU116">
            <v>92.554167304143249</v>
          </cell>
        </row>
        <row r="117">
          <cell r="AU117">
            <v>94.723161458360067</v>
          </cell>
        </row>
        <row r="118">
          <cell r="AU118">
            <v>94.836688212040571</v>
          </cell>
        </row>
        <row r="119">
          <cell r="AU119">
            <v>88.825216186637164</v>
          </cell>
        </row>
        <row r="120">
          <cell r="AU120">
            <v>93.256832532072352</v>
          </cell>
        </row>
        <row r="121">
          <cell r="AU121">
            <v>96.271194795735298</v>
          </cell>
        </row>
        <row r="122">
          <cell r="AU122">
            <v>90.611883285060202</v>
          </cell>
        </row>
        <row r="123">
          <cell r="AU123">
            <v>96.544443432374834</v>
          </cell>
        </row>
        <row r="124">
          <cell r="AU124">
            <v>94.232258322472063</v>
          </cell>
        </row>
        <row r="125">
          <cell r="AU125">
            <v>95.957942302884106</v>
          </cell>
        </row>
        <row r="126">
          <cell r="AU126">
            <v>95.337604364892485</v>
          </cell>
        </row>
        <row r="127">
          <cell r="AU127">
            <v>89.580178011311446</v>
          </cell>
        </row>
        <row r="128">
          <cell r="AU128">
            <v>90.548707098481913</v>
          </cell>
        </row>
        <row r="129">
          <cell r="AU129">
            <v>94.451373889375304</v>
          </cell>
        </row>
        <row r="130">
          <cell r="AU130">
            <v>92.379727168907181</v>
          </cell>
        </row>
        <row r="131">
          <cell r="AU131">
            <v>99.165328369665957</v>
          </cell>
        </row>
        <row r="132">
          <cell r="AU132">
            <v>93.744354514117632</v>
          </cell>
        </row>
        <row r="133">
          <cell r="AU133">
            <v>93.755953364927763</v>
          </cell>
        </row>
        <row r="134">
          <cell r="AU134">
            <v>94.510748705987353</v>
          </cell>
        </row>
        <row r="135">
          <cell r="AU135">
            <v>94.653823201385563</v>
          </cell>
        </row>
        <row r="136">
          <cell r="AU136">
            <v>94.703434335224557</v>
          </cell>
        </row>
        <row r="137">
          <cell r="AU137">
            <v>94.045467052799196</v>
          </cell>
        </row>
        <row r="138">
          <cell r="AU138">
            <v>95.023430747802905</v>
          </cell>
        </row>
        <row r="139">
          <cell r="AU139">
            <v>95.149931915355324</v>
          </cell>
        </row>
        <row r="140">
          <cell r="AU140">
            <v>92.54089949084161</v>
          </cell>
        </row>
        <row r="141">
          <cell r="AU141">
            <v>94.468287382263057</v>
          </cell>
        </row>
        <row r="142">
          <cell r="AU142">
            <v>90.693632481516147</v>
          </cell>
        </row>
        <row r="143">
          <cell r="AU143">
            <v>93.387729203040266</v>
          </cell>
        </row>
        <row r="144">
          <cell r="AU144">
            <v>92.301580285213745</v>
          </cell>
        </row>
        <row r="145">
          <cell r="AU145">
            <v>95.47146892959492</v>
          </cell>
        </row>
        <row r="146">
          <cell r="AU146">
            <v>95.327861606040415</v>
          </cell>
        </row>
        <row r="147">
          <cell r="AU147">
            <v>96.037505306647844</v>
          </cell>
        </row>
        <row r="148">
          <cell r="AU148">
            <v>90.435403081015338</v>
          </cell>
        </row>
        <row r="149">
          <cell r="AU149">
            <v>91.935604428876957</v>
          </cell>
        </row>
        <row r="150">
          <cell r="AU150">
            <v>90.096176580018806</v>
          </cell>
        </row>
        <row r="151">
          <cell r="AU151">
            <v>91.160984251356965</v>
          </cell>
        </row>
        <row r="152">
          <cell r="AU152">
            <v>97.110207612864656</v>
          </cell>
        </row>
        <row r="153">
          <cell r="AU153">
            <v>93.955688908867202</v>
          </cell>
        </row>
        <row r="154">
          <cell r="AU154">
            <v>93.201117045963912</v>
          </cell>
        </row>
        <row r="155">
          <cell r="AU155">
            <v>98.594401379338521</v>
          </cell>
        </row>
        <row r="156">
          <cell r="AU156">
            <v>92.001421037013401</v>
          </cell>
        </row>
        <row r="157">
          <cell r="AU157">
            <v>98.547841921632482</v>
          </cell>
        </row>
        <row r="158">
          <cell r="AU158">
            <v>95.30958953671977</v>
          </cell>
        </row>
        <row r="159">
          <cell r="AU159">
            <v>94.916368405240789</v>
          </cell>
        </row>
        <row r="160">
          <cell r="AU160">
            <v>94.672690305430109</v>
          </cell>
        </row>
        <row r="161">
          <cell r="AU161">
            <v>95.964139881158587</v>
          </cell>
        </row>
        <row r="162">
          <cell r="AU162">
            <v>96.907424929882168</v>
          </cell>
        </row>
        <row r="163">
          <cell r="AU163">
            <v>94.283239341838936</v>
          </cell>
        </row>
        <row r="164">
          <cell r="AU164">
            <v>89.622426366714592</v>
          </cell>
        </row>
        <row r="165">
          <cell r="AU165">
            <v>95.468836285735648</v>
          </cell>
        </row>
        <row r="166">
          <cell r="AU166">
            <v>95.468836285735648</v>
          </cell>
        </row>
        <row r="167">
          <cell r="AU167">
            <v>95.411155352297129</v>
          </cell>
        </row>
        <row r="168">
          <cell r="AU168">
            <v>97.574485486208175</v>
          </cell>
        </row>
        <row r="169">
          <cell r="AU169">
            <v>101.10646423110623</v>
          </cell>
        </row>
        <row r="170">
          <cell r="AU170">
            <v>98.374430517533199</v>
          </cell>
        </row>
        <row r="171">
          <cell r="AU171">
            <v>101.61477490794771</v>
          </cell>
        </row>
        <row r="173">
          <cell r="AU173">
            <v>91.322447267719596</v>
          </cell>
        </row>
        <row r="174">
          <cell r="AU174">
            <v>94.643337024811686</v>
          </cell>
        </row>
        <row r="175">
          <cell r="AU175">
            <v>90.625657788599028</v>
          </cell>
        </row>
        <row r="176">
          <cell r="AU176">
            <v>96.877995805558157</v>
          </cell>
        </row>
        <row r="177">
          <cell r="AU177">
            <v>92.135214898662127</v>
          </cell>
        </row>
        <row r="178">
          <cell r="AU178">
            <v>93.533472030969435</v>
          </cell>
        </row>
        <row r="179">
          <cell r="AU179">
            <v>94.139723416562532</v>
          </cell>
        </row>
        <row r="180">
          <cell r="AU180">
            <v>95.023430747802905</v>
          </cell>
        </row>
        <row r="181">
          <cell r="AU181">
            <v>88.206051282479294</v>
          </cell>
        </row>
        <row r="182">
          <cell r="AU182">
            <v>98.770467000417625</v>
          </cell>
        </row>
        <row r="183">
          <cell r="AU183">
            <v>92.689746877485774</v>
          </cell>
        </row>
        <row r="184">
          <cell r="AU184">
            <v>94.673754897931531</v>
          </cell>
        </row>
        <row r="185">
          <cell r="AU185">
            <v>98.858629653014077</v>
          </cell>
        </row>
        <row r="186">
          <cell r="AU186">
            <v>93.560901765557716</v>
          </cell>
        </row>
        <row r="187">
          <cell r="AU187">
            <v>94.294712759797378</v>
          </cell>
        </row>
        <row r="188">
          <cell r="AU188">
            <v>94.907296083516144</v>
          </cell>
        </row>
        <row r="189">
          <cell r="AU189">
            <v>98.512665561743688</v>
          </cell>
        </row>
        <row r="190">
          <cell r="AU190">
            <v>94.487755379468013</v>
          </cell>
        </row>
        <row r="191">
          <cell r="AU191">
            <v>95.057455440135968</v>
          </cell>
        </row>
        <row r="192">
          <cell r="AU192">
            <v>96.4155793854151</v>
          </cell>
        </row>
        <row r="193">
          <cell r="AU193">
            <v>93.674736941647851</v>
          </cell>
        </row>
        <row r="194">
          <cell r="AU194">
            <v>93.610787987459005</v>
          </cell>
        </row>
        <row r="195">
          <cell r="AU195">
            <v>99.406324820701613</v>
          </cell>
        </row>
        <row r="196">
          <cell r="AU196">
            <v>94.417924348057809</v>
          </cell>
        </row>
        <row r="197">
          <cell r="AU197">
            <v>98.829665455011778</v>
          </cell>
        </row>
        <row r="198">
          <cell r="AU198">
            <v>95.665215493250571</v>
          </cell>
        </row>
        <row r="199">
          <cell r="AU199">
            <v>95.72152488146294</v>
          </cell>
        </row>
        <row r="200">
          <cell r="AU200">
            <v>97.277748156420813</v>
          </cell>
        </row>
        <row r="201">
          <cell r="AU201">
            <v>95.45407223763587</v>
          </cell>
        </row>
        <row r="202">
          <cell r="AU202">
            <v>99.8213249704677</v>
          </cell>
        </row>
        <row r="203">
          <cell r="AU203">
            <v>97.307715934041752</v>
          </cell>
        </row>
        <row r="204">
          <cell r="AU204">
            <v>93.460879869520596</v>
          </cell>
        </row>
        <row r="205">
          <cell r="AU205">
            <v>95.737208896757963</v>
          </cell>
        </row>
        <row r="206">
          <cell r="AU206">
            <v>95.337604364892485</v>
          </cell>
        </row>
        <row r="207">
          <cell r="AU207">
            <v>95.008376934499935</v>
          </cell>
        </row>
        <row r="208">
          <cell r="AU208">
            <v>97.702216395203862</v>
          </cell>
        </row>
        <row r="209">
          <cell r="AU209">
            <v>96.725169759375845</v>
          </cell>
        </row>
        <row r="210">
          <cell r="AU210">
            <v>99.447332347643368</v>
          </cell>
        </row>
        <row r="211">
          <cell r="AU211">
            <v>99.011995036913419</v>
          </cell>
        </row>
        <row r="212">
          <cell r="AU212">
            <v>93.718965445074957</v>
          </cell>
        </row>
        <row r="213">
          <cell r="AU213">
            <v>95.16847300232179</v>
          </cell>
        </row>
        <row r="214">
          <cell r="AU214">
            <v>94.541944861235876</v>
          </cell>
        </row>
        <row r="215">
          <cell r="AU215">
            <v>98.338605562583197</v>
          </cell>
        </row>
        <row r="216">
          <cell r="AU216">
            <v>98.527718265588177</v>
          </cell>
        </row>
        <row r="217">
          <cell r="AU217">
            <v>96.039629364456829</v>
          </cell>
        </row>
        <row r="218">
          <cell r="AU218">
            <v>98.156085088814663</v>
          </cell>
        </row>
        <row r="219">
          <cell r="AU219">
            <v>100.09976994205851</v>
          </cell>
        </row>
        <row r="220">
          <cell r="AU220">
            <v>96.463639062115632</v>
          </cell>
        </row>
        <row r="221">
          <cell r="AU221">
            <v>95.879175892818452</v>
          </cell>
        </row>
        <row r="222">
          <cell r="AU222">
            <v>99.27872580517348</v>
          </cell>
        </row>
        <row r="223">
          <cell r="AU223">
            <v>94.977580053808055</v>
          </cell>
        </row>
        <row r="224">
          <cell r="AU224">
            <v>95.149931915355324</v>
          </cell>
        </row>
        <row r="225">
          <cell r="AU225">
            <v>99.623016105347048</v>
          </cell>
        </row>
        <row r="226">
          <cell r="AU226">
            <v>101.83502113105483</v>
          </cell>
        </row>
        <row r="227">
          <cell r="AU227">
            <v>103.48472802945992</v>
          </cell>
        </row>
        <row r="228">
          <cell r="AU228">
            <v>98.072332728747526</v>
          </cell>
        </row>
        <row r="229">
          <cell r="AU229">
            <v>94.067699935148468</v>
          </cell>
        </row>
        <row r="230">
          <cell r="AU230">
            <v>96.685102054151599</v>
          </cell>
        </row>
        <row r="231">
          <cell r="AU231">
            <v>99.351193785447862</v>
          </cell>
        </row>
        <row r="232">
          <cell r="AU232">
            <v>99.514424291923262</v>
          </cell>
        </row>
        <row r="233">
          <cell r="AU233">
            <v>93.800836048721479</v>
          </cell>
        </row>
        <row r="234">
          <cell r="AU234">
            <v>92.003521130299475</v>
          </cell>
        </row>
        <row r="235">
          <cell r="AU235">
            <v>94.351751735386642</v>
          </cell>
        </row>
        <row r="236">
          <cell r="AU236">
            <v>91.887467769179437</v>
          </cell>
        </row>
        <row r="237">
          <cell r="AU237">
            <v>94.651122076969358</v>
          </cell>
        </row>
        <row r="238">
          <cell r="AU238">
            <v>94.196420875147751</v>
          </cell>
        </row>
        <row r="239">
          <cell r="AU239">
            <v>94.983564269611392</v>
          </cell>
        </row>
        <row r="240">
          <cell r="AU240">
            <v>95.614884373859567</v>
          </cell>
        </row>
        <row r="241">
          <cell r="AU241">
            <v>92.238813509883116</v>
          </cell>
        </row>
        <row r="242">
          <cell r="AU242">
            <v>98.233595160056836</v>
          </cell>
        </row>
        <row r="243">
          <cell r="AU243">
            <v>97.914776616343687</v>
          </cell>
        </row>
        <row r="244">
          <cell r="AU244">
            <v>102.78475439772893</v>
          </cell>
        </row>
        <row r="245">
          <cell r="AU245">
            <v>98.608987287762162</v>
          </cell>
        </row>
        <row r="246">
          <cell r="AU246">
            <v>99.968040047087285</v>
          </cell>
        </row>
        <row r="247">
          <cell r="AU247">
            <v>100.63117662235325</v>
          </cell>
        </row>
        <row r="248">
          <cell r="AU248">
            <v>102.40288760061762</v>
          </cell>
        </row>
        <row r="249">
          <cell r="AU249">
            <v>98.753578648455701</v>
          </cell>
        </row>
        <row r="250">
          <cell r="AU250">
            <v>98.30806761549934</v>
          </cell>
        </row>
        <row r="251">
          <cell r="AU251">
            <v>100.19018778186395</v>
          </cell>
        </row>
        <row r="252">
          <cell r="AU252">
            <v>98.900119917031091</v>
          </cell>
        </row>
        <row r="253">
          <cell r="AU253">
            <v>104.59013374354345</v>
          </cell>
        </row>
        <row r="255">
          <cell r="AU255">
            <v>102.72900962852634</v>
          </cell>
        </row>
        <row r="256">
          <cell r="AU256">
            <v>97.709347146924856</v>
          </cell>
        </row>
        <row r="257">
          <cell r="AU257">
            <v>97.039020012695659</v>
          </cell>
        </row>
        <row r="258">
          <cell r="AU258">
            <v>100.56008067857034</v>
          </cell>
        </row>
        <row r="259">
          <cell r="AU259">
            <v>100.13520638196576</v>
          </cell>
        </row>
        <row r="260">
          <cell r="AU260">
            <v>99.006072770899991</v>
          </cell>
        </row>
        <row r="261">
          <cell r="AU261">
            <v>99.476489650339886</v>
          </cell>
        </row>
        <row r="262">
          <cell r="AU262">
            <v>103.44040315564746</v>
          </cell>
        </row>
        <row r="263">
          <cell r="AU263">
            <v>103.55524050594897</v>
          </cell>
        </row>
        <row r="264">
          <cell r="AU264">
            <v>103.31964719473716</v>
          </cell>
        </row>
        <row r="265">
          <cell r="AU265">
            <v>95.931616007214288</v>
          </cell>
        </row>
        <row r="266">
          <cell r="AU266">
            <v>106.48989247788745</v>
          </cell>
        </row>
        <row r="267">
          <cell r="AU267">
            <v>102.73439130971231</v>
          </cell>
        </row>
        <row r="268">
          <cell r="AU268">
            <v>101.93738806144394</v>
          </cell>
        </row>
        <row r="269">
          <cell r="AU269">
            <v>94.916087726339811</v>
          </cell>
        </row>
        <row r="270">
          <cell r="AU270">
            <v>96.181647145113629</v>
          </cell>
        </row>
        <row r="271">
          <cell r="AU271">
            <v>97.888884805156863</v>
          </cell>
        </row>
        <row r="272">
          <cell r="AU272">
            <v>96.606945507027518</v>
          </cell>
        </row>
        <row r="273">
          <cell r="AU273">
            <v>100.84824136478873</v>
          </cell>
        </row>
        <row r="274">
          <cell r="AU274">
            <v>96.736277075978393</v>
          </cell>
        </row>
        <row r="275">
          <cell r="AU275">
            <v>99.866724046583627</v>
          </cell>
        </row>
        <row r="276">
          <cell r="AU276">
            <v>97.312963605074586</v>
          </cell>
        </row>
        <row r="277">
          <cell r="AU277">
            <v>97.751802809548707</v>
          </cell>
        </row>
        <row r="278">
          <cell r="AU278">
            <v>108.34535319131975</v>
          </cell>
        </row>
        <row r="279">
          <cell r="AU279">
            <v>97.455960743822175</v>
          </cell>
        </row>
        <row r="280">
          <cell r="AU280">
            <v>96.084434808486492</v>
          </cell>
        </row>
        <row r="281">
          <cell r="AU281">
            <v>98.233712305667396</v>
          </cell>
        </row>
        <row r="282">
          <cell r="AU282">
            <v>98.24308419119933</v>
          </cell>
        </row>
        <row r="283">
          <cell r="AU283">
            <v>98.332506588615331</v>
          </cell>
        </row>
        <row r="284">
          <cell r="AU284">
            <v>92.662463281061918</v>
          </cell>
        </row>
        <row r="285">
          <cell r="AU285">
            <v>97.346014307803912</v>
          </cell>
        </row>
        <row r="286">
          <cell r="AU286">
            <v>98.678864505842682</v>
          </cell>
        </row>
        <row r="287">
          <cell r="AU287">
            <v>91.779024513115218</v>
          </cell>
        </row>
        <row r="288">
          <cell r="AU288">
            <v>93.197398193182465</v>
          </cell>
        </row>
        <row r="289">
          <cell r="AU289">
            <v>89.6398714567338</v>
          </cell>
        </row>
        <row r="290">
          <cell r="AU290">
            <v>100.14422471363589</v>
          </cell>
        </row>
        <row r="291">
          <cell r="AU291">
            <v>96.721958172382543</v>
          </cell>
        </row>
        <row r="292">
          <cell r="AU292">
            <v>99.66467104367139</v>
          </cell>
        </row>
        <row r="293">
          <cell r="AU293">
            <v>101.46018254984246</v>
          </cell>
        </row>
        <row r="294">
          <cell r="AU294">
            <v>102.67780014140652</v>
          </cell>
        </row>
        <row r="295">
          <cell r="AU295">
            <v>101.8514455792621</v>
          </cell>
        </row>
        <row r="296">
          <cell r="AU296">
            <v>100.31098207591012</v>
          </cell>
        </row>
        <row r="297">
          <cell r="AU297">
            <v>102.74010817185233</v>
          </cell>
        </row>
        <row r="298">
          <cell r="AU298">
            <v>98.313519336144523</v>
          </cell>
        </row>
        <row r="299">
          <cell r="AU299">
            <v>96.991620603991933</v>
          </cell>
        </row>
        <row r="300">
          <cell r="AU300">
            <v>98.291339046896496</v>
          </cell>
        </row>
        <row r="301">
          <cell r="AU301">
            <v>98.955013733627396</v>
          </cell>
        </row>
        <row r="302">
          <cell r="AU302">
            <v>99.112393932911999</v>
          </cell>
        </row>
        <row r="303">
          <cell r="AU303">
            <v>98.049377375814046</v>
          </cell>
        </row>
        <row r="304">
          <cell r="AU304">
            <v>97.140907627227477</v>
          </cell>
        </row>
        <row r="305">
          <cell r="AU305">
            <v>97.108675302847075</v>
          </cell>
        </row>
        <row r="306">
          <cell r="AU306">
            <v>99.955896952490676</v>
          </cell>
        </row>
        <row r="307">
          <cell r="AU307">
            <v>96.285477000540993</v>
          </cell>
        </row>
        <row r="308">
          <cell r="AU308">
            <v>95.136209191041715</v>
          </cell>
        </row>
        <row r="309">
          <cell r="AU309">
            <v>104.12720344993677</v>
          </cell>
        </row>
        <row r="310">
          <cell r="AU310">
            <v>99.544031672518045</v>
          </cell>
        </row>
        <row r="311">
          <cell r="AU311">
            <v>97.107689466916568</v>
          </cell>
        </row>
        <row r="312">
          <cell r="AU312">
            <v>95.640781997288045</v>
          </cell>
        </row>
        <row r="313">
          <cell r="AU313">
            <v>98.925414914366613</v>
          </cell>
        </row>
        <row r="314">
          <cell r="AU314">
            <v>100.41166904509818</v>
          </cell>
        </row>
        <row r="315">
          <cell r="AU315">
            <v>100.10153958094506</v>
          </cell>
        </row>
        <row r="316">
          <cell r="AU316">
            <v>102.1345698780635</v>
          </cell>
        </row>
        <row r="317">
          <cell r="AU317">
            <v>102.61615796495992</v>
          </cell>
        </row>
        <row r="318">
          <cell r="AU318">
            <v>103.66246391386404</v>
          </cell>
        </row>
        <row r="319">
          <cell r="AU319">
            <v>106.95998042120141</v>
          </cell>
        </row>
        <row r="320">
          <cell r="AU320">
            <v>94.2893537985222</v>
          </cell>
        </row>
        <row r="321">
          <cell r="AU321">
            <v>98.710610505273081</v>
          </cell>
        </row>
        <row r="322">
          <cell r="AU322">
            <v>96.128929587864761</v>
          </cell>
        </row>
        <row r="323">
          <cell r="AU323">
            <v>97.94439772053714</v>
          </cell>
        </row>
        <row r="324">
          <cell r="AU324">
            <v>97.705041554039269</v>
          </cell>
        </row>
        <row r="325">
          <cell r="AU325">
            <v>97.542503945319154</v>
          </cell>
        </row>
        <row r="326">
          <cell r="AU326">
            <v>97.820735625935143</v>
          </cell>
        </row>
        <row r="327">
          <cell r="AU327">
            <v>98.296844040938197</v>
          </cell>
        </row>
        <row r="328">
          <cell r="AU328">
            <v>97.046163433641169</v>
          </cell>
        </row>
        <row r="329">
          <cell r="AU329">
            <v>98.107009642147446</v>
          </cell>
        </row>
        <row r="330">
          <cell r="AU330">
            <v>97.822477372642041</v>
          </cell>
        </row>
        <row r="331">
          <cell r="AU331">
            <v>96.841006194248607</v>
          </cell>
        </row>
        <row r="332">
          <cell r="AU332">
            <v>94.353846621380328</v>
          </cell>
        </row>
        <row r="333">
          <cell r="AU333">
            <v>99.52869748499829</v>
          </cell>
        </row>
        <row r="334">
          <cell r="AU334">
            <v>98.285972690602023</v>
          </cell>
        </row>
        <row r="335">
          <cell r="AU335">
            <v>101.59569981419895</v>
          </cell>
        </row>
        <row r="336">
          <cell r="AU336">
            <v>100.35668628710914</v>
          </cell>
        </row>
        <row r="337">
          <cell r="AU337">
            <v>100.31331285198578</v>
          </cell>
        </row>
        <row r="338">
          <cell r="AU338">
            <v>99.745226951365936</v>
          </cell>
        </row>
        <row r="339">
          <cell r="AU339">
            <v>98.609928325637725</v>
          </cell>
        </row>
        <row r="341">
          <cell r="AU341">
            <v>95.054951532926523</v>
          </cell>
        </row>
        <row r="342">
          <cell r="AU342">
            <v>98.197263980295986</v>
          </cell>
        </row>
        <row r="343">
          <cell r="AU343">
            <v>97.89069649116648</v>
          </cell>
        </row>
        <row r="344">
          <cell r="AU344">
            <v>97.267564374285826</v>
          </cell>
        </row>
        <row r="345">
          <cell r="AU345">
            <v>100.78902433175921</v>
          </cell>
        </row>
        <row r="346">
          <cell r="AU346">
            <v>97.092129616887718</v>
          </cell>
        </row>
        <row r="348">
          <cell r="AU348">
            <v>96.346070116552426</v>
          </cell>
        </row>
        <row r="349">
          <cell r="AU349">
            <v>95.167732750673323</v>
          </cell>
        </row>
        <row r="350">
          <cell r="AU350">
            <v>99.535417664292453</v>
          </cell>
        </row>
        <row r="351">
          <cell r="AU351">
            <v>98.272039728735081</v>
          </cell>
        </row>
        <row r="352">
          <cell r="AU352">
            <v>97.452426605983504</v>
          </cell>
        </row>
        <row r="353">
          <cell r="AU353">
            <v>99.224854122831672</v>
          </cell>
        </row>
        <row r="354">
          <cell r="AU354">
            <v>99.637549112347273</v>
          </cell>
        </row>
        <row r="355">
          <cell r="AU355">
            <v>98.440467924232209</v>
          </cell>
        </row>
        <row r="356">
          <cell r="AU356">
            <v>99.13510971387187</v>
          </cell>
        </row>
        <row r="357">
          <cell r="AU357">
            <v>95.843374606839177</v>
          </cell>
        </row>
        <row r="358">
          <cell r="AU358">
            <v>100.8345162679376</v>
          </cell>
        </row>
        <row r="359">
          <cell r="AU359">
            <v>99.271537216316347</v>
          </cell>
        </row>
        <row r="360">
          <cell r="AU360">
            <v>98.251005719348782</v>
          </cell>
        </row>
        <row r="361">
          <cell r="AU361">
            <v>98.519246414669013</v>
          </cell>
        </row>
        <row r="362">
          <cell r="AU362">
            <v>99.544031672518045</v>
          </cell>
        </row>
        <row r="363">
          <cell r="AU363">
            <v>96.768319863223013</v>
          </cell>
        </row>
        <row r="364">
          <cell r="AU364">
            <v>99.07258993276939</v>
          </cell>
        </row>
        <row r="365">
          <cell r="AU365">
            <v>99.857323318375492</v>
          </cell>
        </row>
        <row r="366">
          <cell r="AU366">
            <v>98.374607891386887</v>
          </cell>
        </row>
        <row r="367">
          <cell r="AU367">
            <v>99.488368097360109</v>
          </cell>
        </row>
        <row r="368">
          <cell r="AU368">
            <v>98.731758097232401</v>
          </cell>
        </row>
        <row r="369">
          <cell r="AU369">
            <v>100.21736158844494</v>
          </cell>
        </row>
        <row r="370">
          <cell r="AU370">
            <v>103.18823199126446</v>
          </cell>
        </row>
        <row r="371">
          <cell r="AU371">
            <v>100.97805319324719</v>
          </cell>
        </row>
        <row r="372">
          <cell r="AU372">
            <v>99.240317373165226</v>
          </cell>
        </row>
        <row r="373">
          <cell r="AU373">
            <v>100.01930356159028</v>
          </cell>
        </row>
        <row r="374">
          <cell r="AU374">
            <v>99.117134605566818</v>
          </cell>
        </row>
        <row r="375">
          <cell r="AU375">
            <v>98.53409263729877</v>
          </cell>
        </row>
        <row r="376">
          <cell r="AU376">
            <v>98.267373085193</v>
          </cell>
        </row>
        <row r="377">
          <cell r="AU377">
            <v>99.400995056811297</v>
          </cell>
        </row>
        <row r="378">
          <cell r="AU378">
            <v>98.240672157315458</v>
          </cell>
        </row>
        <row r="379">
          <cell r="AU379">
            <v>100.08308943032193</v>
          </cell>
        </row>
        <row r="380">
          <cell r="AU380">
            <v>99.429215913383217</v>
          </cell>
        </row>
        <row r="381">
          <cell r="AU381">
            <v>99.082241304611145</v>
          </cell>
        </row>
        <row r="382">
          <cell r="AU382">
            <v>98.955478462844866</v>
          </cell>
        </row>
        <row r="383">
          <cell r="AU383">
            <v>103.64536563023121</v>
          </cell>
        </row>
        <row r="384">
          <cell r="AU384">
            <v>99.556372614317851</v>
          </cell>
        </row>
        <row r="385">
          <cell r="AU385">
            <v>100.23457211367787</v>
          </cell>
        </row>
        <row r="386">
          <cell r="AU386">
            <v>99.664904263017561</v>
          </cell>
        </row>
        <row r="387">
          <cell r="AU387">
            <v>110.18976831746323</v>
          </cell>
        </row>
        <row r="388">
          <cell r="AU388">
            <v>103.07975259792097</v>
          </cell>
        </row>
        <row r="389">
          <cell r="AU389">
            <v>104.26734312107473</v>
          </cell>
        </row>
        <row r="390">
          <cell r="AU390">
            <v>98.579471202485308</v>
          </cell>
        </row>
        <row r="391">
          <cell r="AU391">
            <v>95.963693495592068</v>
          </cell>
        </row>
        <row r="392">
          <cell r="AU392">
            <v>99.238971902138758</v>
          </cell>
        </row>
        <row r="393">
          <cell r="AU393">
            <v>99.040551339905747</v>
          </cell>
        </row>
        <row r="394">
          <cell r="AU394">
            <v>98.963144227374542</v>
          </cell>
        </row>
        <row r="395">
          <cell r="AU395">
            <v>99.471522456377443</v>
          </cell>
        </row>
        <row r="396">
          <cell r="AU396">
            <v>110.11836123964689</v>
          </cell>
        </row>
        <row r="397">
          <cell r="AU397">
            <v>100.93888664190121</v>
          </cell>
        </row>
        <row r="398">
          <cell r="AU398">
            <v>102.6092819559459</v>
          </cell>
        </row>
        <row r="399">
          <cell r="AU399">
            <v>103.4487635068831</v>
          </cell>
        </row>
        <row r="400">
          <cell r="AU400">
            <v>103.49216064482762</v>
          </cell>
        </row>
        <row r="401">
          <cell r="AU401">
            <v>95.297118868006976</v>
          </cell>
        </row>
        <row r="402">
          <cell r="AU402">
            <v>97.971265135622474</v>
          </cell>
        </row>
        <row r="403">
          <cell r="AU403">
            <v>101.35082928790086</v>
          </cell>
        </row>
        <row r="404">
          <cell r="AU404">
            <v>98.32516426656413</v>
          </cell>
        </row>
        <row r="405">
          <cell r="AU405">
            <v>96.338703059118458</v>
          </cell>
        </row>
        <row r="406">
          <cell r="AU406">
            <v>103.61202517173329</v>
          </cell>
        </row>
        <row r="408">
          <cell r="AU408">
            <v>95.631382328480186</v>
          </cell>
        </row>
        <row r="409">
          <cell r="AU409">
            <v>99.607341973685323</v>
          </cell>
        </row>
        <row r="410">
          <cell r="AU410">
            <v>96.93353609459146</v>
          </cell>
        </row>
        <row r="411">
          <cell r="AU411">
            <v>93.91214847753632</v>
          </cell>
        </row>
        <row r="412">
          <cell r="AU412">
            <v>100.64036643332561</v>
          </cell>
        </row>
        <row r="413">
          <cell r="AU413">
            <v>100.74250758539831</v>
          </cell>
        </row>
        <row r="414">
          <cell r="AU414">
            <v>98.561750329588534</v>
          </cell>
        </row>
        <row r="415">
          <cell r="AU415">
            <v>97.017660095904347</v>
          </cell>
        </row>
        <row r="416">
          <cell r="AU416">
            <v>96.889012952960968</v>
          </cell>
        </row>
        <row r="417">
          <cell r="AU417">
            <v>99.141806688132675</v>
          </cell>
        </row>
        <row r="418">
          <cell r="AU418">
            <v>97.782920706629895</v>
          </cell>
        </row>
        <row r="419">
          <cell r="AU419">
            <v>99.202738493744974</v>
          </cell>
        </row>
        <row r="420">
          <cell r="AU420">
            <v>98.938732278713488</v>
          </cell>
        </row>
        <row r="421">
          <cell r="AU421">
            <v>95.251170553166219</v>
          </cell>
        </row>
        <row r="422">
          <cell r="AU422">
            <v>98.855650959942864</v>
          </cell>
        </row>
        <row r="423">
          <cell r="AU423">
            <v>99.296756798842424</v>
          </cell>
        </row>
        <row r="424">
          <cell r="AU424">
            <v>99.532128761708009</v>
          </cell>
        </row>
        <row r="425">
          <cell r="AU425">
            <v>98.677368246025509</v>
          </cell>
        </row>
        <row r="426">
          <cell r="AU426">
            <v>97.970840467406703</v>
          </cell>
        </row>
        <row r="427">
          <cell r="AU427">
            <v>89.72285586899315</v>
          </cell>
        </row>
        <row r="428">
          <cell r="AU428">
            <v>91.480560970611876</v>
          </cell>
        </row>
        <row r="429">
          <cell r="AU429">
            <v>102.81572231933967</v>
          </cell>
        </row>
        <row r="430">
          <cell r="AU430">
            <v>97.53246147842853</v>
          </cell>
        </row>
        <row r="431">
          <cell r="AU431">
            <v>101.4764845382836</v>
          </cell>
        </row>
        <row r="432">
          <cell r="AU432">
            <v>94.420432024783196</v>
          </cell>
        </row>
        <row r="433">
          <cell r="AU433">
            <v>98.691400341941531</v>
          </cell>
        </row>
        <row r="434">
          <cell r="AU434">
            <v>103.55060702259473</v>
          </cell>
        </row>
        <row r="435">
          <cell r="AU435">
            <v>102.15777570295772</v>
          </cell>
        </row>
        <row r="436">
          <cell r="AU436">
            <v>100.70383723233678</v>
          </cell>
        </row>
        <row r="437">
          <cell r="AU437">
            <v>97.232300097496136</v>
          </cell>
        </row>
        <row r="438">
          <cell r="AU438">
            <v>92.382202778407148</v>
          </cell>
        </row>
        <row r="439">
          <cell r="AU439">
            <v>97.59305095768498</v>
          </cell>
        </row>
        <row r="440">
          <cell r="AU440">
            <v>99.114352131140947</v>
          </cell>
        </row>
        <row r="441">
          <cell r="AU441">
            <v>101.74773831876141</v>
          </cell>
        </row>
        <row r="442">
          <cell r="AU442">
            <v>101.15075411390035</v>
          </cell>
        </row>
        <row r="443">
          <cell r="AU443">
            <v>100.7608150740576</v>
          </cell>
        </row>
        <row r="444">
          <cell r="AU444">
            <v>102.11087687430556</v>
          </cell>
        </row>
        <row r="445">
          <cell r="AU445">
            <v>97.714774385845217</v>
          </cell>
        </row>
        <row r="446">
          <cell r="AU446">
            <v>99.152464501194331</v>
          </cell>
        </row>
        <row r="447">
          <cell r="AU447">
            <v>100.20719306291083</v>
          </cell>
        </row>
        <row r="448">
          <cell r="AU448">
            <v>99.43566641619546</v>
          </cell>
        </row>
        <row r="449">
          <cell r="AU449">
            <v>99.805050917955171</v>
          </cell>
        </row>
        <row r="450">
          <cell r="AU450">
            <v>95.136570676243821</v>
          </cell>
        </row>
        <row r="451">
          <cell r="AU451">
            <v>97.36416377322503</v>
          </cell>
        </row>
        <row r="452">
          <cell r="AU452">
            <v>97.862623391351264</v>
          </cell>
        </row>
        <row r="453">
          <cell r="AU453">
            <v>97.800609434185759</v>
          </cell>
        </row>
        <row r="454">
          <cell r="AU454">
            <v>98.95270542785191</v>
          </cell>
        </row>
        <row r="455">
          <cell r="AU455">
            <v>100.51724226058469</v>
          </cell>
        </row>
        <row r="456">
          <cell r="AU456">
            <v>101.27782496495649</v>
          </cell>
        </row>
        <row r="457">
          <cell r="AU457">
            <v>102.5837050649381</v>
          </cell>
        </row>
        <row r="458">
          <cell r="AU458">
            <v>104.66984401683426</v>
          </cell>
        </row>
        <row r="459">
          <cell r="AU459">
            <v>98.304019498125228</v>
          </cell>
        </row>
        <row r="460">
          <cell r="AU460">
            <v>97.014683349877245</v>
          </cell>
        </row>
        <row r="461">
          <cell r="AU461">
            <v>97.447580490241648</v>
          </cell>
        </row>
        <row r="462">
          <cell r="AU462">
            <v>98.167333053044118</v>
          </cell>
        </row>
        <row r="463">
          <cell r="AU463">
            <v>98.296729895830666</v>
          </cell>
        </row>
        <row r="464">
          <cell r="AU464">
            <v>98.689372310249198</v>
          </cell>
        </row>
        <row r="465">
          <cell r="AU465">
            <v>102.41364770585815</v>
          </cell>
        </row>
        <row r="466">
          <cell r="AU466">
            <v>102.28996596570761</v>
          </cell>
        </row>
        <row r="467">
          <cell r="AU467">
            <v>98.146891722866016</v>
          </cell>
        </row>
        <row r="468">
          <cell r="AU468">
            <v>100.07512142272587</v>
          </cell>
        </row>
        <row r="469">
          <cell r="AU469">
            <v>99.410866604727133</v>
          </cell>
        </row>
        <row r="470">
          <cell r="AU470">
            <v>99.216324791410642</v>
          </cell>
        </row>
        <row r="471">
          <cell r="AU471">
            <v>99.85305901163683</v>
          </cell>
        </row>
        <row r="472">
          <cell r="AU472">
            <v>100.20325573917277</v>
          </cell>
        </row>
        <row r="473">
          <cell r="AU473">
            <v>96.242512503008982</v>
          </cell>
        </row>
        <row r="474">
          <cell r="AU474">
            <v>101.54386197711933</v>
          </cell>
        </row>
        <row r="475">
          <cell r="AU475">
            <v>101.92914166114666</v>
          </cell>
        </row>
        <row r="476">
          <cell r="AU476">
            <v>98.425622276353863</v>
          </cell>
        </row>
        <row r="477">
          <cell r="AU477">
            <v>96.914288345047083</v>
          </cell>
        </row>
        <row r="478">
          <cell r="AU478">
            <v>95.899416163198268</v>
          </cell>
        </row>
        <row r="479">
          <cell r="AU479">
            <v>93.818758218829061</v>
          </cell>
        </row>
        <row r="480">
          <cell r="AU480">
            <v>105.11814064156511</v>
          </cell>
        </row>
        <row r="481">
          <cell r="AU481">
            <v>99.052319134021872</v>
          </cell>
        </row>
        <row r="482">
          <cell r="AU482">
            <v>99.40938324534325</v>
          </cell>
        </row>
        <row r="483">
          <cell r="AU483">
            <v>98.439685453285023</v>
          </cell>
        </row>
        <row r="484">
          <cell r="AU484">
            <v>93.25149539820049</v>
          </cell>
        </row>
        <row r="485">
          <cell r="AU485">
            <v>99.168858867652744</v>
          </cell>
        </row>
        <row r="486">
          <cell r="AU486">
            <v>97.222637281827019</v>
          </cell>
        </row>
        <row r="487">
          <cell r="AU487">
            <v>97.331325024657417</v>
          </cell>
        </row>
        <row r="488">
          <cell r="AU488">
            <v>98.000559608173816</v>
          </cell>
        </row>
        <row r="489">
          <cell r="AU489">
            <v>97.533420912359546</v>
          </cell>
        </row>
        <row r="490">
          <cell r="AU490">
            <v>97.584116231539213</v>
          </cell>
        </row>
        <row r="491">
          <cell r="AU491">
            <v>94.959218637198205</v>
          </cell>
        </row>
        <row r="493">
          <cell r="A493" t="str">
            <v>CA387</v>
          </cell>
          <cell r="P493">
            <v>62</v>
          </cell>
          <cell r="Q493">
            <v>53.2</v>
          </cell>
          <cell r="T493">
            <v>0.60069444444444442</v>
          </cell>
          <cell r="U493">
            <v>0.70347222222222228</v>
          </cell>
          <cell r="V493">
            <v>53</v>
          </cell>
          <cell r="Z493">
            <v>0.23472222222222228</v>
          </cell>
          <cell r="AF493">
            <v>52.6</v>
          </cell>
          <cell r="AG493">
            <v>11.8</v>
          </cell>
          <cell r="AI493">
            <v>49.4</v>
          </cell>
          <cell r="AU493">
            <v>94.264410009304427</v>
          </cell>
          <cell r="AV493">
            <v>96.343234406220475</v>
          </cell>
          <cell r="AX493" t="str">
            <v>K.Benjamin</v>
          </cell>
        </row>
        <row r="494">
          <cell r="A494" t="str">
            <v>CA388</v>
          </cell>
          <cell r="P494">
            <v>61</v>
          </cell>
          <cell r="Q494">
            <v>10.827338129496408</v>
          </cell>
          <cell r="T494">
            <v>0.69027777777777777</v>
          </cell>
          <cell r="U494">
            <v>0.79652777777777772</v>
          </cell>
          <cell r="V494">
            <v>50</v>
          </cell>
          <cell r="Z494">
            <v>0.23402777777777772</v>
          </cell>
          <cell r="AF494">
            <v>50.3</v>
          </cell>
          <cell r="AG494">
            <v>11.9</v>
          </cell>
          <cell r="AI494">
            <v>49.2</v>
          </cell>
          <cell r="AU494">
            <v>98.3990612176312</v>
          </cell>
          <cell r="AV494">
            <v>100.65837220908418</v>
          </cell>
          <cell r="AX494" t="str">
            <v>K.Benjamin</v>
          </cell>
        </row>
        <row r="495">
          <cell r="A495" t="str">
            <v>CA389</v>
          </cell>
          <cell r="P495">
            <v>58</v>
          </cell>
          <cell r="Q495">
            <v>9.8571428571428505</v>
          </cell>
          <cell r="T495">
            <v>0.78194444444444444</v>
          </cell>
          <cell r="U495">
            <v>0.90069444444444446</v>
          </cell>
          <cell r="V495">
            <v>51</v>
          </cell>
          <cell r="Z495">
            <v>0.24444444444444446</v>
          </cell>
          <cell r="AF495">
            <v>51.2</v>
          </cell>
          <cell r="AG495">
            <v>11.7</v>
          </cell>
          <cell r="AI495">
            <v>50.2</v>
          </cell>
          <cell r="AU495">
            <v>94.297173444430044</v>
          </cell>
          <cell r="AV495">
            <v>96.466625180483874</v>
          </cell>
          <cell r="AX495" t="str">
            <v>K.Benjamin</v>
          </cell>
        </row>
        <row r="496">
          <cell r="A496" t="str">
            <v>CA390</v>
          </cell>
          <cell r="P496">
            <v>61</v>
          </cell>
          <cell r="Q496">
            <v>6.1180679785330847</v>
          </cell>
          <cell r="T496">
            <v>1.0062500000000001</v>
          </cell>
          <cell r="U496">
            <v>1.1305555555555555</v>
          </cell>
          <cell r="V496">
            <v>64</v>
          </cell>
          <cell r="Z496">
            <v>0.27638888888888891</v>
          </cell>
          <cell r="AF496">
            <v>64.3</v>
          </cell>
          <cell r="AG496">
            <v>12</v>
          </cell>
          <cell r="AI496">
            <v>61.3</v>
          </cell>
          <cell r="AU496">
            <v>119.86186934898069</v>
          </cell>
          <cell r="AV496">
            <v>122.61784909760047</v>
          </cell>
          <cell r="AX496" t="str">
            <v>R. Regis</v>
          </cell>
        </row>
        <row r="497">
          <cell r="A497" t="str">
            <v>CA391</v>
          </cell>
          <cell r="P497">
            <v>60</v>
          </cell>
          <cell r="Q497">
            <v>4.9009009009008988</v>
          </cell>
          <cell r="T497">
            <v>1.1076388888888888</v>
          </cell>
          <cell r="U497">
            <v>1.21875</v>
          </cell>
          <cell r="V497">
            <v>58</v>
          </cell>
          <cell r="Z497">
            <v>0.25347222222222221</v>
          </cell>
          <cell r="AF497">
            <v>53.5</v>
          </cell>
          <cell r="AG497">
            <v>11.8</v>
          </cell>
          <cell r="AI497">
            <v>49</v>
          </cell>
          <cell r="AU497">
            <v>92.79563444744052</v>
          </cell>
          <cell r="AV497">
            <v>95.44622050456698</v>
          </cell>
          <cell r="AX497" t="str">
            <v>R. Regis</v>
          </cell>
        </row>
        <row r="498">
          <cell r="A498" t="str">
            <v>CA392</v>
          </cell>
          <cell r="P498">
            <v>60</v>
          </cell>
          <cell r="Q498">
            <v>6.1180679785330847</v>
          </cell>
          <cell r="T498">
            <v>0.21666666666666667</v>
          </cell>
          <cell r="U498">
            <v>0.33333333333333331</v>
          </cell>
          <cell r="V498">
            <v>70</v>
          </cell>
          <cell r="Z498">
            <v>0.25</v>
          </cell>
          <cell r="AF498">
            <v>54.1</v>
          </cell>
          <cell r="AG498">
            <v>11.9</v>
          </cell>
          <cell r="AI498">
            <v>51.3</v>
          </cell>
          <cell r="AU498">
            <v>98.531405738757485</v>
          </cell>
          <cell r="AV498">
            <v>101.46577014509344</v>
          </cell>
          <cell r="AX498" t="str">
            <v>R. Regis</v>
          </cell>
        </row>
        <row r="499">
          <cell r="A499" t="str">
            <v>CA393</v>
          </cell>
          <cell r="P499">
            <v>56</v>
          </cell>
          <cell r="T499">
            <v>0.31458333333333333</v>
          </cell>
          <cell r="U499">
            <v>0.42777777777777776</v>
          </cell>
          <cell r="V499">
            <v>71</v>
          </cell>
          <cell r="Z499">
            <v>0.24374999999999997</v>
          </cell>
          <cell r="AF499">
            <v>54.6</v>
          </cell>
          <cell r="AG499">
            <v>11.7</v>
          </cell>
          <cell r="AI499">
            <v>52</v>
          </cell>
          <cell r="AU499">
            <v>98.232112519036946</v>
          </cell>
          <cell r="AV499">
            <v>101.15740512161997</v>
          </cell>
          <cell r="AX499" t="str">
            <v>D. Gomez</v>
          </cell>
        </row>
        <row r="500">
          <cell r="A500" t="str">
            <v>CA394</v>
          </cell>
          <cell r="P500">
            <v>60</v>
          </cell>
          <cell r="Q500">
            <v>5.3308128544423443</v>
          </cell>
          <cell r="T500">
            <v>0.40555555555555556</v>
          </cell>
          <cell r="U500">
            <v>0.52916666666666667</v>
          </cell>
          <cell r="V500">
            <v>82</v>
          </cell>
          <cell r="Z500">
            <v>0.25138888888888888</v>
          </cell>
          <cell r="AF500">
            <v>53.8</v>
          </cell>
          <cell r="AG500">
            <v>11.7</v>
          </cell>
          <cell r="AI500">
            <v>51.6</v>
          </cell>
          <cell r="AU500">
            <v>97.476480884275105</v>
          </cell>
          <cell r="AV500">
            <v>100.37927123606903</v>
          </cell>
          <cell r="AX500" t="str">
            <v>D. Gomez</v>
          </cell>
        </row>
        <row r="501">
          <cell r="A501" t="str">
            <v>CA395</v>
          </cell>
          <cell r="P501">
            <v>61</v>
          </cell>
          <cell r="T501">
            <v>0.55347222222222225</v>
          </cell>
          <cell r="U501">
            <v>0.66666666666666663</v>
          </cell>
          <cell r="V501">
            <v>66</v>
          </cell>
          <cell r="Z501">
            <v>0.24999999999999994</v>
          </cell>
          <cell r="AF501">
            <v>53.1</v>
          </cell>
          <cell r="AG501">
            <v>11.8</v>
          </cell>
          <cell r="AI501">
            <v>50.5</v>
          </cell>
          <cell r="AU501">
            <v>95.636317134607069</v>
          </cell>
          <cell r="AV501">
            <v>98.368043581237401</v>
          </cell>
          <cell r="AX501" t="str">
            <v>D. Gomez</v>
          </cell>
        </row>
        <row r="502">
          <cell r="A502" t="str">
            <v>CA396</v>
          </cell>
          <cell r="P502">
            <v>60</v>
          </cell>
          <cell r="Q502">
            <v>6.2522851919561262</v>
          </cell>
          <cell r="T502">
            <v>0.64583333333333337</v>
          </cell>
          <cell r="U502">
            <v>0.75208333333333333</v>
          </cell>
          <cell r="V502">
            <v>58</v>
          </cell>
          <cell r="Z502">
            <v>0.2416666666666667</v>
          </cell>
          <cell r="AF502">
            <v>52.9</v>
          </cell>
          <cell r="AG502">
            <v>11.9</v>
          </cell>
          <cell r="AI502">
            <v>50</v>
          </cell>
          <cell r="AU502">
            <v>96.480040939898842</v>
          </cell>
          <cell r="AV502">
            <v>99.233457962692228</v>
          </cell>
          <cell r="AX502" t="str">
            <v>K.Benjamin</v>
          </cell>
        </row>
        <row r="503">
          <cell r="A503" t="str">
            <v>CA397</v>
          </cell>
          <cell r="P503">
            <v>60</v>
          </cell>
          <cell r="Q503">
            <v>2.9834254143646364</v>
          </cell>
          <cell r="T503">
            <v>0.7319444444444444</v>
          </cell>
          <cell r="U503">
            <v>0.84097222222222223</v>
          </cell>
          <cell r="V503">
            <v>61</v>
          </cell>
          <cell r="Z503">
            <v>0.2368055555555556</v>
          </cell>
          <cell r="AF503">
            <v>53.4</v>
          </cell>
          <cell r="AG503">
            <v>11.9</v>
          </cell>
          <cell r="AI503">
            <v>50.5</v>
          </cell>
          <cell r="AU503">
            <v>97.20406658494251</v>
          </cell>
          <cell r="AV503">
            <v>99.978757704291723</v>
          </cell>
          <cell r="AX503" t="str">
            <v>K.Benjamin</v>
          </cell>
        </row>
        <row r="504">
          <cell r="A504" t="str">
            <v>CA398</v>
          </cell>
          <cell r="P504">
            <v>61</v>
          </cell>
          <cell r="Q504">
            <v>5.4316546762589981</v>
          </cell>
          <cell r="T504">
            <v>0.8256944444444444</v>
          </cell>
          <cell r="U504">
            <v>0.9375</v>
          </cell>
          <cell r="V504">
            <v>61</v>
          </cell>
          <cell r="Z504">
            <v>0.23958333333333337</v>
          </cell>
          <cell r="AF504">
            <v>53.3</v>
          </cell>
          <cell r="AG504">
            <v>11.9</v>
          </cell>
          <cell r="AI504">
            <v>50.5</v>
          </cell>
          <cell r="AU504">
            <v>98.20551375276743</v>
          </cell>
          <cell r="AV504">
            <v>101.12856990888834</v>
          </cell>
          <cell r="AX504" t="str">
            <v>K.Benjamin</v>
          </cell>
        </row>
        <row r="505">
          <cell r="A505" t="str">
            <v>CA399</v>
          </cell>
          <cell r="P505">
            <v>53.2</v>
          </cell>
          <cell r="Q505">
            <v>3.8827838827838779</v>
          </cell>
          <cell r="T505">
            <v>0.93402777777777779</v>
          </cell>
          <cell r="U505">
            <v>1.0458333333333334</v>
          </cell>
          <cell r="V505">
            <v>66</v>
          </cell>
          <cell r="Z505">
            <v>0.24027777777777781</v>
          </cell>
          <cell r="AF505">
            <v>53.6</v>
          </cell>
          <cell r="AG505">
            <v>11.7</v>
          </cell>
          <cell r="AI505">
            <v>51</v>
          </cell>
          <cell r="AU505">
            <v>97.425305329060635</v>
          </cell>
          <cell r="AV505">
            <v>100.32513882742207</v>
          </cell>
          <cell r="AX505" t="str">
            <v>R. Regis</v>
          </cell>
        </row>
        <row r="506">
          <cell r="A506" t="str">
            <v>CA400</v>
          </cell>
          <cell r="P506">
            <v>53.9</v>
          </cell>
          <cell r="Q506">
            <v>5.0357142857142865</v>
          </cell>
          <cell r="T506">
            <v>1.0291666666666666</v>
          </cell>
          <cell r="U506">
            <v>1.1381944444444445</v>
          </cell>
          <cell r="V506">
            <v>65</v>
          </cell>
          <cell r="Z506">
            <v>0.23888888888888893</v>
          </cell>
          <cell r="AF506">
            <v>53.9</v>
          </cell>
          <cell r="AG506">
            <v>11.8</v>
          </cell>
          <cell r="AI506">
            <v>51.1</v>
          </cell>
          <cell r="AU506">
            <v>98.005016161360899</v>
          </cell>
          <cell r="AV506">
            <v>100.92274916632704</v>
          </cell>
          <cell r="AX506" t="str">
            <v>R. Regis</v>
          </cell>
        </row>
        <row r="507">
          <cell r="A507" t="str">
            <v>CA401</v>
          </cell>
          <cell r="P507">
            <v>52.8</v>
          </cell>
          <cell r="Q507">
            <v>7.0000000000000036</v>
          </cell>
          <cell r="T507">
            <v>1.132638888888889</v>
          </cell>
          <cell r="U507">
            <v>1.2527777777777778</v>
          </cell>
          <cell r="V507">
            <v>69</v>
          </cell>
          <cell r="Z507">
            <v>0.25972222222222219</v>
          </cell>
          <cell r="AF507">
            <v>52.8</v>
          </cell>
          <cell r="AG507">
            <v>11.8</v>
          </cell>
          <cell r="AI507">
            <v>50.8</v>
          </cell>
          <cell r="AU507">
            <v>97.308789773401159</v>
          </cell>
          <cell r="AV507">
            <v>100.20595425342873</v>
          </cell>
          <cell r="AX507" t="str">
            <v>R. Regis</v>
          </cell>
        </row>
        <row r="508">
          <cell r="A508" t="str">
            <v>CA402</v>
          </cell>
          <cell r="P508">
            <v>60</v>
          </cell>
          <cell r="Q508">
            <v>6.2745098039215739</v>
          </cell>
          <cell r="T508">
            <v>0.2326388888888889</v>
          </cell>
          <cell r="U508">
            <v>0.36180555555555555</v>
          </cell>
          <cell r="V508">
            <v>88</v>
          </cell>
          <cell r="Z508">
            <v>0.27152777777777776</v>
          </cell>
          <cell r="AF508">
            <v>53.3</v>
          </cell>
          <cell r="AG508">
            <v>11.9</v>
          </cell>
          <cell r="AI508">
            <v>50.69</v>
          </cell>
          <cell r="AU508">
            <v>97.963623821913586</v>
          </cell>
          <cell r="AV508">
            <v>100.8802846079797</v>
          </cell>
          <cell r="AX508" t="str">
            <v>R. Regis</v>
          </cell>
        </row>
        <row r="509">
          <cell r="A509" t="str">
            <v>CA403</v>
          </cell>
          <cell r="P509">
            <v>61</v>
          </cell>
          <cell r="Q509">
            <v>9.3381037567084064</v>
          </cell>
          <cell r="T509">
            <v>0.50069444444444444</v>
          </cell>
          <cell r="U509">
            <v>0.62083333333333335</v>
          </cell>
          <cell r="V509">
            <v>60</v>
          </cell>
          <cell r="Z509">
            <v>0.25277777777777777</v>
          </cell>
          <cell r="AF509">
            <v>53.5</v>
          </cell>
          <cell r="AG509">
            <v>11.9</v>
          </cell>
          <cell r="AI509">
            <v>49.7</v>
          </cell>
          <cell r="AU509">
            <v>95.193774896809018</v>
          </cell>
          <cell r="AV509">
            <v>97.912270782605574</v>
          </cell>
          <cell r="AX509" t="str">
            <v>R. Regis</v>
          </cell>
        </row>
        <row r="510">
          <cell r="A510" t="str">
            <v>CA404</v>
          </cell>
          <cell r="P510">
            <v>60</v>
          </cell>
          <cell r="Q510">
            <v>8.5918003565062389</v>
          </cell>
          <cell r="T510">
            <v>0.59305555555555556</v>
          </cell>
          <cell r="U510">
            <v>0.71319444444444446</v>
          </cell>
          <cell r="V510">
            <v>77</v>
          </cell>
          <cell r="Z510">
            <v>0.24791666666666667</v>
          </cell>
          <cell r="AF510">
            <v>52.9</v>
          </cell>
          <cell r="AG510">
            <v>12.2</v>
          </cell>
          <cell r="AI510">
            <v>49.6</v>
          </cell>
          <cell r="AU510">
            <v>101.54691869481707</v>
          </cell>
          <cell r="AV510">
            <v>104.56598879173904</v>
          </cell>
          <cell r="AX510" t="str">
            <v>D. Gomez</v>
          </cell>
        </row>
        <row r="511">
          <cell r="A511" t="str">
            <v>CA405</v>
          </cell>
          <cell r="P511">
            <v>60</v>
          </cell>
          <cell r="Q511">
            <v>5.5311355311355364</v>
          </cell>
          <cell r="T511">
            <v>0.69236111111111109</v>
          </cell>
          <cell r="U511">
            <v>0.82013888888888886</v>
          </cell>
          <cell r="V511">
            <v>82</v>
          </cell>
          <cell r="Z511">
            <v>0.26111111111111107</v>
          </cell>
          <cell r="AF511">
            <v>56.8</v>
          </cell>
          <cell r="AG511">
            <v>11.3</v>
          </cell>
          <cell r="AI511">
            <v>53.9</v>
          </cell>
          <cell r="AU511">
            <v>98.522946643117706</v>
          </cell>
          <cell r="AV511">
            <v>101.45642068824905</v>
          </cell>
          <cell r="AX511" t="str">
            <v>D. Gomez</v>
          </cell>
        </row>
        <row r="512">
          <cell r="A512" t="str">
            <v>CA406</v>
          </cell>
          <cell r="P512">
            <v>60</v>
          </cell>
          <cell r="Q512">
            <v>5.2236135957066097</v>
          </cell>
          <cell r="T512">
            <v>0.78611111111111109</v>
          </cell>
          <cell r="U512">
            <v>0.89722222222222225</v>
          </cell>
          <cell r="V512">
            <v>71</v>
          </cell>
          <cell r="Z512">
            <v>0.24444444444444446</v>
          </cell>
          <cell r="AF512">
            <v>53.7</v>
          </cell>
          <cell r="AG512">
            <v>11.9</v>
          </cell>
          <cell r="AI512">
            <v>51.2</v>
          </cell>
          <cell r="AU512">
            <v>98.826663752636136</v>
          </cell>
          <cell r="AV512">
            <v>101.76918083076833</v>
          </cell>
          <cell r="AX512" t="str">
            <v>D. Gomez</v>
          </cell>
        </row>
        <row r="513">
          <cell r="A513" t="str">
            <v>CA407</v>
          </cell>
          <cell r="P513">
            <v>61</v>
          </cell>
          <cell r="Q513">
            <v>6.5671641791044832</v>
          </cell>
          <cell r="T513">
            <v>0.94791666666666663</v>
          </cell>
          <cell r="U513">
            <v>1.0520833333333333</v>
          </cell>
          <cell r="V513">
            <v>52</v>
          </cell>
          <cell r="Z513">
            <v>0.23263888888888884</v>
          </cell>
          <cell r="AF513">
            <v>53.3</v>
          </cell>
          <cell r="AG513">
            <v>11.8</v>
          </cell>
          <cell r="AI513">
            <v>50.1</v>
          </cell>
          <cell r="AU513">
            <v>95.464164524325369</v>
          </cell>
          <cell r="AV513">
            <v>98.189489206153908</v>
          </cell>
          <cell r="AX513" t="str">
            <v>K.Benjamin</v>
          </cell>
        </row>
        <row r="514">
          <cell r="A514" t="str">
            <v>CA408</v>
          </cell>
          <cell r="P514">
            <v>59</v>
          </cell>
          <cell r="Q514">
            <v>8.7636363636363637</v>
          </cell>
          <cell r="T514">
            <v>1.04375</v>
          </cell>
          <cell r="U514">
            <v>1.1555555555555554</v>
          </cell>
          <cell r="V514">
            <v>54</v>
          </cell>
          <cell r="Z514">
            <v>0.24236111111111103</v>
          </cell>
          <cell r="AF514">
            <v>53.4</v>
          </cell>
          <cell r="AG514">
            <v>11.9</v>
          </cell>
          <cell r="AI514">
            <v>50.6</v>
          </cell>
          <cell r="AU514">
            <v>97.517026447740761</v>
          </cell>
          <cell r="AV514">
            <v>100.30034473883016</v>
          </cell>
          <cell r="AX514" t="str">
            <v>K.Benjamin</v>
          </cell>
        </row>
        <row r="515">
          <cell r="A515" t="str">
            <v>CA409</v>
          </cell>
          <cell r="P515">
            <v>60</v>
          </cell>
          <cell r="Q515">
            <v>7.0377019748653531</v>
          </cell>
          <cell r="T515">
            <v>1.1340277777777779</v>
          </cell>
          <cell r="U515">
            <v>1.2375</v>
          </cell>
          <cell r="V515">
            <v>51</v>
          </cell>
          <cell r="Z515">
            <v>0.24097222222222225</v>
          </cell>
          <cell r="AF515">
            <v>52.6</v>
          </cell>
          <cell r="AG515">
            <v>12</v>
          </cell>
          <cell r="AI515">
            <v>49.7</v>
          </cell>
          <cell r="AU515">
            <v>96.153051693044588</v>
          </cell>
          <cell r="AV515">
            <v>98.898643092720235</v>
          </cell>
          <cell r="AX515" t="str">
            <v>K.Benjamin</v>
          </cell>
        </row>
        <row r="516">
          <cell r="A516" t="str">
            <v>CA410</v>
          </cell>
          <cell r="P516">
            <v>61</v>
          </cell>
          <cell r="Q516">
            <v>7.0000000000000036</v>
          </cell>
          <cell r="T516">
            <v>0.22222222222222221</v>
          </cell>
          <cell r="U516">
            <v>0.32916666666666666</v>
          </cell>
          <cell r="V516">
            <v>59</v>
          </cell>
          <cell r="Z516">
            <v>0.24583333333333335</v>
          </cell>
          <cell r="AF516">
            <v>53.2</v>
          </cell>
          <cell r="AG516">
            <v>12</v>
          </cell>
          <cell r="AI516">
            <v>50.3</v>
          </cell>
          <cell r="AU516">
            <v>98.680823909592263</v>
          </cell>
          <cell r="AV516">
            <v>101.61802752268254</v>
          </cell>
          <cell r="AX516" t="str">
            <v>K.Benjamin</v>
          </cell>
        </row>
        <row r="517">
          <cell r="A517" t="str">
            <v>CA411</v>
          </cell>
          <cell r="P517">
            <v>60</v>
          </cell>
          <cell r="Q517">
            <v>5.8865248226950362</v>
          </cell>
          <cell r="T517">
            <v>0.31111111111111112</v>
          </cell>
          <cell r="U517">
            <v>0.41944444444444445</v>
          </cell>
          <cell r="V517">
            <v>59</v>
          </cell>
          <cell r="Z517">
            <v>0.25277777777777777</v>
          </cell>
          <cell r="AF517">
            <v>54.3</v>
          </cell>
          <cell r="AG517">
            <v>11.6</v>
          </cell>
          <cell r="AI517">
            <v>51.5</v>
          </cell>
          <cell r="AU517">
            <v>97.011248461874814</v>
          </cell>
          <cell r="AV517">
            <v>99.899395748378495</v>
          </cell>
          <cell r="AX517" t="str">
            <v>R. Regis</v>
          </cell>
        </row>
        <row r="518">
          <cell r="A518" t="str">
            <v>CA412</v>
          </cell>
          <cell r="P518">
            <v>60</v>
          </cell>
          <cell r="Q518">
            <v>5.2049910873440313</v>
          </cell>
          <cell r="T518">
            <v>0.40416666666666667</v>
          </cell>
          <cell r="U518">
            <v>0.51111111111111107</v>
          </cell>
          <cell r="V518">
            <v>63</v>
          </cell>
          <cell r="Z518">
            <v>0.26111111111111107</v>
          </cell>
          <cell r="AF518">
            <v>54.3</v>
          </cell>
          <cell r="AG518">
            <v>11.8</v>
          </cell>
          <cell r="AI518">
            <v>51.5</v>
          </cell>
          <cell r="AU518">
            <v>98.283916514367903</v>
          </cell>
          <cell r="AV518">
            <v>101.21059278272264</v>
          </cell>
          <cell r="AX518" t="str">
            <v>R. Regis</v>
          </cell>
        </row>
        <row r="519">
          <cell r="A519" t="str">
            <v>CA413</v>
          </cell>
          <cell r="P519">
            <v>60</v>
          </cell>
          <cell r="Q519">
            <v>4.8398576512455493</v>
          </cell>
          <cell r="T519">
            <v>0.48749999999999999</v>
          </cell>
          <cell r="U519">
            <v>0.60624999999999996</v>
          </cell>
          <cell r="V519">
            <v>67</v>
          </cell>
          <cell r="Z519">
            <v>0.25208333333333327</v>
          </cell>
          <cell r="AF519">
            <v>55.1</v>
          </cell>
          <cell r="AG519">
            <v>11.6</v>
          </cell>
          <cell r="AI519">
            <v>52.3</v>
          </cell>
          <cell r="AU519">
            <v>98.396014539498395</v>
          </cell>
          <cell r="AV519">
            <v>101.32554884944038</v>
          </cell>
          <cell r="AX519" t="str">
            <v>R. Regis</v>
          </cell>
        </row>
        <row r="520">
          <cell r="A520" t="str">
            <v>CA414</v>
          </cell>
          <cell r="P520">
            <v>60</v>
          </cell>
          <cell r="Q520">
            <v>4.6785714285714244</v>
          </cell>
          <cell r="T520">
            <v>0.59722222222222221</v>
          </cell>
          <cell r="U520">
            <v>0.71736111111111112</v>
          </cell>
          <cell r="V520">
            <v>81</v>
          </cell>
          <cell r="Z520">
            <v>0.24861111111111112</v>
          </cell>
          <cell r="AF520">
            <v>54.1</v>
          </cell>
          <cell r="AG520">
            <v>11.7</v>
          </cell>
          <cell r="AI520">
            <v>51.8</v>
          </cell>
          <cell r="AU520">
            <v>97.854296701656025</v>
          </cell>
          <cell r="AV520">
            <v>100.7683381788445</v>
          </cell>
          <cell r="AX520" t="str">
            <v>R. Regis</v>
          </cell>
        </row>
        <row r="521">
          <cell r="A521" t="str">
            <v>CA415</v>
          </cell>
          <cell r="P521">
            <v>58</v>
          </cell>
          <cell r="Q521">
            <v>7.9211469534050085</v>
          </cell>
          <cell r="T521">
            <v>0.7583333333333333</v>
          </cell>
          <cell r="U521">
            <v>0.87777777777777777</v>
          </cell>
          <cell r="V521">
            <v>78</v>
          </cell>
          <cell r="Z521">
            <v>0.25277777777777777</v>
          </cell>
          <cell r="AF521">
            <v>53</v>
          </cell>
          <cell r="AG521">
            <v>11.9</v>
          </cell>
          <cell r="AI521">
            <v>49.7</v>
          </cell>
          <cell r="AU521">
            <v>95.428407789866725</v>
          </cell>
          <cell r="AV521">
            <v>98.153009921578075</v>
          </cell>
          <cell r="AX521" t="str">
            <v>D. Gomez</v>
          </cell>
        </row>
        <row r="522">
          <cell r="A522" t="str">
            <v>CA416</v>
          </cell>
          <cell r="P522">
            <v>61</v>
          </cell>
          <cell r="Q522">
            <v>6.9581056466302371</v>
          </cell>
          <cell r="T522">
            <v>0.85416666666666663</v>
          </cell>
          <cell r="U522">
            <v>0.97291666666666665</v>
          </cell>
          <cell r="V522">
            <v>77</v>
          </cell>
          <cell r="Z522">
            <v>0.25069444444444444</v>
          </cell>
          <cell r="AF522">
            <v>53.1</v>
          </cell>
          <cell r="AG522">
            <v>12</v>
          </cell>
          <cell r="AI522">
            <v>50.2</v>
          </cell>
          <cell r="AU522">
            <v>97.99538000287356</v>
          </cell>
          <cell r="AV522">
            <v>100.91282612724154</v>
          </cell>
          <cell r="AX522" t="str">
            <v>D. Gomez</v>
          </cell>
        </row>
        <row r="523">
          <cell r="A523" t="str">
            <v>CA417</v>
          </cell>
          <cell r="P523">
            <v>58</v>
          </cell>
          <cell r="Q523">
            <v>5.8227848101265804</v>
          </cell>
          <cell r="T523">
            <v>0.94930555555555551</v>
          </cell>
          <cell r="U523">
            <v>1.0479166666666666</v>
          </cell>
          <cell r="V523">
            <v>53</v>
          </cell>
          <cell r="Z523">
            <v>0.2319444444444444</v>
          </cell>
          <cell r="AF523">
            <v>53.2</v>
          </cell>
          <cell r="AG523">
            <v>11.7</v>
          </cell>
          <cell r="AI523">
            <v>50.3</v>
          </cell>
          <cell r="AU523">
            <v>95.729634833153412</v>
          </cell>
          <cell r="AV523">
            <v>98.579470043394323</v>
          </cell>
          <cell r="AX523" t="str">
            <v>D. Gomez</v>
          </cell>
        </row>
        <row r="524">
          <cell r="A524" t="str">
            <v>CA418</v>
          </cell>
          <cell r="P524">
            <v>63</v>
          </cell>
          <cell r="Q524">
            <v>4.187725631768954</v>
          </cell>
          <cell r="T524">
            <v>1.0326388888888889</v>
          </cell>
          <cell r="U524">
            <v>1.1458333333333333</v>
          </cell>
          <cell r="V524">
            <v>69</v>
          </cell>
          <cell r="Z524">
            <v>0.23611111111111105</v>
          </cell>
          <cell r="AF524">
            <v>53.8</v>
          </cell>
          <cell r="AG524">
            <v>11.7</v>
          </cell>
          <cell r="AI524">
            <v>51.1</v>
          </cell>
          <cell r="AU524">
            <v>96.651238339921917</v>
          </cell>
          <cell r="AV524">
            <v>99.529297086341487</v>
          </cell>
          <cell r="AX524" t="str">
            <v>K.Benjamin</v>
          </cell>
        </row>
        <row r="525">
          <cell r="A525" t="str">
            <v>CA419</v>
          </cell>
          <cell r="P525">
            <v>60</v>
          </cell>
          <cell r="Q525">
            <v>8.399999999999995</v>
          </cell>
          <cell r="T525">
            <v>0.68402777777777779</v>
          </cell>
          <cell r="U525">
            <v>0.79097222222222219</v>
          </cell>
          <cell r="V525">
            <v>56</v>
          </cell>
          <cell r="Z525">
            <v>0.23888888888888882</v>
          </cell>
          <cell r="AF525">
            <v>52.4</v>
          </cell>
          <cell r="AG525">
            <v>12</v>
          </cell>
          <cell r="AI525">
            <v>49</v>
          </cell>
          <cell r="AU525">
            <v>95.154518668294898</v>
          </cell>
          <cell r="AV525">
            <v>97.266845883116588</v>
          </cell>
          <cell r="AX525" t="str">
            <v>R. Regis</v>
          </cell>
        </row>
        <row r="526">
          <cell r="A526" t="str">
            <v>CA420</v>
          </cell>
          <cell r="P526">
            <v>60</v>
          </cell>
          <cell r="Q526">
            <v>7.0609981515711642</v>
          </cell>
          <cell r="T526">
            <v>0.77916666666666667</v>
          </cell>
          <cell r="U526">
            <v>0.88888888888888884</v>
          </cell>
          <cell r="V526">
            <v>61</v>
          </cell>
          <cell r="Z526">
            <v>0.23958333333333326</v>
          </cell>
          <cell r="AF526">
            <v>53.6</v>
          </cell>
          <cell r="AG526">
            <v>12</v>
          </cell>
          <cell r="AI526">
            <v>50.8</v>
          </cell>
          <cell r="AU526">
            <v>98.892713086542798</v>
          </cell>
          <cell r="AV526">
            <v>101.08754666217681</v>
          </cell>
          <cell r="AX526" t="str">
            <v>R. Regis</v>
          </cell>
        </row>
        <row r="527">
          <cell r="A527" t="str">
            <v>CA421</v>
          </cell>
          <cell r="P527">
            <v>100</v>
          </cell>
          <cell r="Q527">
            <v>5.6830601092896131</v>
          </cell>
          <cell r="T527">
            <v>0.8881944444444444</v>
          </cell>
          <cell r="U527">
            <v>1.0333333333333334</v>
          </cell>
          <cell r="V527">
            <v>61</v>
          </cell>
          <cell r="Z527">
            <v>0.28680555555555565</v>
          </cell>
          <cell r="AF527">
            <v>53.4</v>
          </cell>
          <cell r="AG527">
            <v>11.9</v>
          </cell>
          <cell r="AI527">
            <v>50.6</v>
          </cell>
          <cell r="AU527">
            <v>97.520711041698107</v>
          </cell>
          <cell r="AV527">
            <v>99.685330012069258</v>
          </cell>
          <cell r="AX527" t="str">
            <v>D. Gomez</v>
          </cell>
        </row>
        <row r="528">
          <cell r="A528" t="str">
            <v>CA422</v>
          </cell>
          <cell r="P528">
            <v>60</v>
          </cell>
          <cell r="Q528">
            <v>5.2898550724637703</v>
          </cell>
          <cell r="T528">
            <v>1.0979166666666667</v>
          </cell>
          <cell r="U528">
            <v>1.2055555555555555</v>
          </cell>
          <cell r="V528">
            <v>62</v>
          </cell>
          <cell r="Z528">
            <v>0.24236111111111103</v>
          </cell>
          <cell r="AF528">
            <v>53</v>
          </cell>
          <cell r="AG528">
            <v>11.9</v>
          </cell>
          <cell r="AI528">
            <v>50.1</v>
          </cell>
          <cell r="AU528">
            <v>97.450970277914166</v>
          </cell>
          <cell r="AV528">
            <v>99.70610098362171</v>
          </cell>
          <cell r="AX528" t="str">
            <v>D. Gomez</v>
          </cell>
        </row>
        <row r="529">
          <cell r="A529" t="str">
            <v>CA423</v>
          </cell>
          <cell r="P529">
            <v>60</v>
          </cell>
          <cell r="Q529">
            <v>7.0758122743682224</v>
          </cell>
          <cell r="T529">
            <v>0.20069444444444445</v>
          </cell>
          <cell r="U529">
            <v>0.3263888888888889</v>
          </cell>
          <cell r="V529">
            <v>62</v>
          </cell>
          <cell r="Z529">
            <v>0.2638888888888889</v>
          </cell>
          <cell r="AF529">
            <v>52.2</v>
          </cell>
          <cell r="AG529">
            <v>11.7</v>
          </cell>
          <cell r="AI529">
            <v>49.5</v>
          </cell>
          <cell r="AU529">
            <v>97.733634215304093</v>
          </cell>
          <cell r="AV529">
            <v>99.99197533779359</v>
          </cell>
          <cell r="AX529" t="str">
            <v>D. Gomez</v>
          </cell>
        </row>
        <row r="530">
          <cell r="A530" t="str">
            <v>CA424</v>
          </cell>
          <cell r="P530">
            <v>57</v>
          </cell>
          <cell r="Q530">
            <v>4.2105263157894743</v>
          </cell>
          <cell r="T530">
            <v>0.33680555555555558</v>
          </cell>
          <cell r="U530">
            <v>0.44305555555555554</v>
          </cell>
          <cell r="V530">
            <v>62</v>
          </cell>
          <cell r="Z530">
            <v>0.28333333333333333</v>
          </cell>
          <cell r="AF530">
            <v>53.5</v>
          </cell>
          <cell r="AG530">
            <v>11.6</v>
          </cell>
          <cell r="AI530">
            <v>50.8</v>
          </cell>
          <cell r="AU530">
            <v>99.525778970395052</v>
          </cell>
          <cell r="AV530">
            <v>101.82539639592711</v>
          </cell>
          <cell r="AX530" t="str">
            <v>R. Sookram</v>
          </cell>
        </row>
        <row r="531">
          <cell r="A531" t="str">
            <v>CA425</v>
          </cell>
          <cell r="P531">
            <v>60</v>
          </cell>
          <cell r="Q531">
            <v>6.809269162210339</v>
          </cell>
          <cell r="T531">
            <v>0.44097222222222221</v>
          </cell>
          <cell r="U531">
            <v>0.55138888888888893</v>
          </cell>
          <cell r="V531">
            <v>62</v>
          </cell>
          <cell r="Z531">
            <v>0.26666666666666672</v>
          </cell>
          <cell r="AF531">
            <v>53</v>
          </cell>
          <cell r="AG531">
            <v>11.4</v>
          </cell>
          <cell r="AI531">
            <v>51.3</v>
          </cell>
          <cell r="AU531">
            <v>98.681008627727124</v>
          </cell>
          <cell r="AV531">
            <v>100.96110700381622</v>
          </cell>
          <cell r="AX531" t="str">
            <v>K.Benjamin</v>
          </cell>
        </row>
        <row r="532">
          <cell r="A532" t="str">
            <v>CA426</v>
          </cell>
          <cell r="P532">
            <v>60</v>
          </cell>
          <cell r="Q532">
            <v>6.6074600355239763</v>
          </cell>
          <cell r="T532">
            <v>0.53749999999999998</v>
          </cell>
          <cell r="U532">
            <v>0.64444444444444449</v>
          </cell>
          <cell r="V532">
            <v>60</v>
          </cell>
          <cell r="Z532">
            <v>0.27638888888888891</v>
          </cell>
          <cell r="AF532">
            <v>53.3</v>
          </cell>
          <cell r="AG532">
            <v>12.1</v>
          </cell>
          <cell r="AI532">
            <v>51.6</v>
          </cell>
          <cell r="AU532">
            <v>102.14224681645948</v>
          </cell>
          <cell r="AV532">
            <v>104.50593920955573</v>
          </cell>
          <cell r="AX532" t="str">
            <v>K.Benjamin</v>
          </cell>
        </row>
        <row r="533">
          <cell r="A533" t="str">
            <v>CA427</v>
          </cell>
          <cell r="P533">
            <v>58</v>
          </cell>
          <cell r="Q533">
            <v>8.3234714003944745</v>
          </cell>
          <cell r="T533">
            <v>0.77500000000000002</v>
          </cell>
          <cell r="U533">
            <v>0.89166666666666672</v>
          </cell>
          <cell r="V533">
            <v>54</v>
          </cell>
          <cell r="Z533">
            <v>0.30833333333333335</v>
          </cell>
          <cell r="AF533">
            <v>47.6</v>
          </cell>
          <cell r="AG533">
            <v>11.8</v>
          </cell>
          <cell r="AI533">
            <v>44.8</v>
          </cell>
          <cell r="AU533">
            <v>94.522395450056479</v>
          </cell>
          <cell r="AV533">
            <v>96.601058540934815</v>
          </cell>
          <cell r="AX533" t="str">
            <v>R. Sookram</v>
          </cell>
        </row>
        <row r="534">
          <cell r="A534" t="str">
            <v>CA428</v>
          </cell>
          <cell r="P534">
            <v>59</v>
          </cell>
          <cell r="Q534">
            <v>7.4306839186691374</v>
          </cell>
          <cell r="T534">
            <v>0.92013888888888884</v>
          </cell>
          <cell r="U534">
            <v>1.0319444444444446</v>
          </cell>
          <cell r="V534">
            <v>60</v>
          </cell>
          <cell r="Z534">
            <v>0.25416666666666676</v>
          </cell>
          <cell r="AF534">
            <v>54.2</v>
          </cell>
          <cell r="AG534">
            <v>11.9</v>
          </cell>
          <cell r="AI534">
            <v>50.9</v>
          </cell>
          <cell r="AU534">
            <v>98.098897075542141</v>
          </cell>
          <cell r="AV534">
            <v>100.27634975522382</v>
          </cell>
          <cell r="AX534" t="str">
            <v>R. Regis</v>
          </cell>
        </row>
        <row r="535">
          <cell r="A535" t="str">
            <v>CA429</v>
          </cell>
          <cell r="P535">
            <v>60</v>
          </cell>
          <cell r="Q535">
            <v>7.7280858676207513</v>
          </cell>
          <cell r="T535">
            <v>1.0125</v>
          </cell>
          <cell r="U535">
            <v>1.2027777777777777</v>
          </cell>
          <cell r="V535">
            <v>62</v>
          </cell>
          <cell r="Z535">
            <v>0.3208333333333333</v>
          </cell>
          <cell r="AF535">
            <v>54.1</v>
          </cell>
          <cell r="AG535">
            <v>11.8</v>
          </cell>
          <cell r="AI535">
            <v>50.8</v>
          </cell>
          <cell r="AU535">
            <v>97.520430517125718</v>
          </cell>
          <cell r="AV535">
            <v>99.684096862069694</v>
          </cell>
          <cell r="AX535" t="str">
            <v>R. Regis</v>
          </cell>
        </row>
        <row r="536">
          <cell r="A536" t="str">
            <v>CA430</v>
          </cell>
          <cell r="P536">
            <v>60</v>
          </cell>
          <cell r="Q536">
            <v>6.2295081967213024</v>
          </cell>
          <cell r="T536">
            <v>1.125</v>
          </cell>
          <cell r="U536">
            <v>1.2479166666666666</v>
          </cell>
          <cell r="V536">
            <v>59</v>
          </cell>
          <cell r="Z536">
            <v>0.25486111111111098</v>
          </cell>
          <cell r="AF536">
            <v>54.4</v>
          </cell>
          <cell r="AG536">
            <v>11.8</v>
          </cell>
          <cell r="AI536">
            <v>51.3</v>
          </cell>
          <cell r="AU536">
            <v>98.116820172982628</v>
          </cell>
          <cell r="AV536">
            <v>100.29443351302365</v>
          </cell>
          <cell r="AX536" t="str">
            <v>R. Regis</v>
          </cell>
        </row>
        <row r="537">
          <cell r="A537" t="str">
            <v>CA431</v>
          </cell>
          <cell r="P537">
            <v>60</v>
          </cell>
          <cell r="Q537">
            <v>5.6014362657091645</v>
          </cell>
          <cell r="T537">
            <v>0.22708333333333333</v>
          </cell>
          <cell r="U537">
            <v>0.33402777777777776</v>
          </cell>
          <cell r="V537">
            <v>63</v>
          </cell>
          <cell r="Z537">
            <v>0.24027777777777776</v>
          </cell>
          <cell r="AF537">
            <v>54.2</v>
          </cell>
          <cell r="AG537">
            <v>11.8</v>
          </cell>
          <cell r="AI537">
            <v>51.5</v>
          </cell>
          <cell r="AU537">
            <v>99.289078263260194</v>
          </cell>
          <cell r="AV537">
            <v>101.58674496164525</v>
          </cell>
          <cell r="AX537" t="str">
            <v>R. Regis</v>
          </cell>
        </row>
        <row r="538">
          <cell r="A538" t="str">
            <v>CA432</v>
          </cell>
          <cell r="P538">
            <v>58</v>
          </cell>
          <cell r="Q538">
            <v>5.4316546762589981</v>
          </cell>
          <cell r="T538">
            <v>0.3347222222222222</v>
          </cell>
          <cell r="U538">
            <v>0.44861111111111113</v>
          </cell>
          <cell r="V538">
            <v>63</v>
          </cell>
          <cell r="Z538">
            <v>0.25763888888888892</v>
          </cell>
          <cell r="AF538">
            <v>53.3</v>
          </cell>
          <cell r="AG538">
            <v>11.8</v>
          </cell>
          <cell r="AI538">
            <v>50.8</v>
          </cell>
          <cell r="AU538">
            <v>97.939517976186764</v>
          </cell>
          <cell r="AV538">
            <v>100.20595425342873</v>
          </cell>
          <cell r="AX538" t="str">
            <v>D. Gomez</v>
          </cell>
        </row>
        <row r="539">
          <cell r="A539" t="str">
            <v>CA433</v>
          </cell>
          <cell r="P539">
            <v>56</v>
          </cell>
          <cell r="Q539">
            <v>4.8658318425760267</v>
          </cell>
          <cell r="T539">
            <v>0.43402777777777779</v>
          </cell>
          <cell r="U539">
            <v>0.54374999999999996</v>
          </cell>
          <cell r="V539">
            <v>62</v>
          </cell>
          <cell r="Z539">
            <v>0.25208333333333327</v>
          </cell>
          <cell r="AF539">
            <v>53.9</v>
          </cell>
          <cell r="AG539">
            <v>11.8</v>
          </cell>
          <cell r="AI539">
            <v>51.3</v>
          </cell>
          <cell r="AU539">
            <v>99.02629043970073</v>
          </cell>
          <cell r="AV539">
            <v>101.31775014153772</v>
          </cell>
          <cell r="AX539" t="str">
            <v>D. Gomez</v>
          </cell>
        </row>
        <row r="540">
          <cell r="A540" t="str">
            <v>CA434</v>
          </cell>
          <cell r="P540">
            <v>57</v>
          </cell>
          <cell r="Q540">
            <v>4.8398576512455493</v>
          </cell>
          <cell r="T540">
            <v>0.54722222222222228</v>
          </cell>
          <cell r="U540">
            <v>0.66041666666666665</v>
          </cell>
          <cell r="V540">
            <v>65</v>
          </cell>
          <cell r="Z540">
            <v>0.27499999999999997</v>
          </cell>
          <cell r="AF540">
            <v>54.7</v>
          </cell>
          <cell r="AG540">
            <v>11.7</v>
          </cell>
          <cell r="AI540">
            <v>48.4</v>
          </cell>
          <cell r="AU540">
            <v>92.480657542018434</v>
          </cell>
          <cell r="AV540">
            <v>94.620769332719561</v>
          </cell>
          <cell r="AX540" t="str">
            <v>D. Gomez</v>
          </cell>
        </row>
        <row r="541">
          <cell r="A541" t="str">
            <v>CA435</v>
          </cell>
          <cell r="P541">
            <v>64</v>
          </cell>
          <cell r="Q541">
            <v>4.6869409660107291</v>
          </cell>
          <cell r="T541">
            <v>0.76736111111111116</v>
          </cell>
          <cell r="U541">
            <v>0.88263888888888886</v>
          </cell>
          <cell r="V541">
            <v>60</v>
          </cell>
          <cell r="Z541">
            <v>0.39166666666666666</v>
          </cell>
          <cell r="AF541">
            <v>54</v>
          </cell>
          <cell r="AG541">
            <v>11.8</v>
          </cell>
          <cell r="AI541">
            <v>51.5</v>
          </cell>
          <cell r="AU541">
            <v>99.412357848822381</v>
          </cell>
          <cell r="AV541">
            <v>101.71275111674841</v>
          </cell>
          <cell r="AX541" t="str">
            <v>R. Sookram</v>
          </cell>
        </row>
        <row r="542">
          <cell r="A542" t="str">
            <v>CA436</v>
          </cell>
          <cell r="P542">
            <v>61</v>
          </cell>
          <cell r="Q542">
            <v>9.5255474452554729</v>
          </cell>
          <cell r="T542">
            <v>0.95347222222222228</v>
          </cell>
          <cell r="U542">
            <v>1.0770833333333334</v>
          </cell>
          <cell r="V542">
            <v>62</v>
          </cell>
          <cell r="Z542">
            <v>0.27500000000000002</v>
          </cell>
          <cell r="AF542">
            <v>54.8</v>
          </cell>
          <cell r="AG542">
            <v>11.9</v>
          </cell>
          <cell r="AI542">
            <v>51.3</v>
          </cell>
          <cell r="AU542">
            <v>96.49844356306086</v>
          </cell>
          <cell r="AV542">
            <v>98.644919657131283</v>
          </cell>
          <cell r="AX542" t="str">
            <v>R. Regis</v>
          </cell>
        </row>
        <row r="543">
          <cell r="A543" t="str">
            <v>CA437</v>
          </cell>
          <cell r="P543">
            <v>60</v>
          </cell>
          <cell r="Q543">
            <v>7.0758122743682224</v>
          </cell>
          <cell r="T543">
            <v>1.05</v>
          </cell>
          <cell r="U543">
            <v>1.1541666666666666</v>
          </cell>
          <cell r="V543">
            <v>57</v>
          </cell>
          <cell r="Z543">
            <v>0.26527777777777772</v>
          </cell>
          <cell r="AF543">
            <v>53.1</v>
          </cell>
          <cell r="AG543">
            <v>11.9</v>
          </cell>
          <cell r="AI543">
            <v>50.3</v>
          </cell>
          <cell r="AU543">
            <v>96.942525007854016</v>
          </cell>
          <cell r="AV543">
            <v>99.094310268914683</v>
          </cell>
          <cell r="AX543" t="str">
            <v>R. Regis</v>
          </cell>
        </row>
        <row r="544">
          <cell r="A544" t="str">
            <v>CA438</v>
          </cell>
          <cell r="P544">
            <v>61</v>
          </cell>
          <cell r="Q544">
            <v>6.8828828828828836</v>
          </cell>
          <cell r="T544">
            <v>1.1423611111111112</v>
          </cell>
          <cell r="U544">
            <v>1.2465277777777777</v>
          </cell>
          <cell r="V544">
            <v>57</v>
          </cell>
          <cell r="Z544">
            <v>0.23958333333333326</v>
          </cell>
          <cell r="AF544">
            <v>53.3</v>
          </cell>
          <cell r="AG544">
            <v>12</v>
          </cell>
          <cell r="AI544">
            <v>50.3</v>
          </cell>
          <cell r="AU544">
            <v>97.91935961128155</v>
          </cell>
          <cell r="AV544">
            <v>100.09259049424199</v>
          </cell>
          <cell r="AX544" t="str">
            <v>R. Regis</v>
          </cell>
        </row>
        <row r="545">
          <cell r="A545" t="str">
            <v>CA439</v>
          </cell>
          <cell r="P545">
            <v>60</v>
          </cell>
          <cell r="Q545">
            <v>6.5107913669064699</v>
          </cell>
          <cell r="T545">
            <v>0.23472222222222222</v>
          </cell>
          <cell r="U545">
            <v>0.34375</v>
          </cell>
          <cell r="V545">
            <v>59</v>
          </cell>
          <cell r="Z545">
            <v>0.2361111111111111</v>
          </cell>
          <cell r="AF545">
            <v>54.5</v>
          </cell>
          <cell r="AG545">
            <v>11.7</v>
          </cell>
          <cell r="AI545">
            <v>51.7</v>
          </cell>
          <cell r="AU545">
            <v>98.363446655942425</v>
          </cell>
          <cell r="AV545">
            <v>100.54581683184911</v>
          </cell>
          <cell r="AX545" t="str">
            <v>R. Regis</v>
          </cell>
        </row>
        <row r="546">
          <cell r="A546" t="str">
            <v>CA440</v>
          </cell>
          <cell r="P546">
            <v>62</v>
          </cell>
          <cell r="Q546">
            <v>7.7419354838709555</v>
          </cell>
          <cell r="T546">
            <v>0.34583333333333333</v>
          </cell>
          <cell r="U546">
            <v>0.46041666666666664</v>
          </cell>
          <cell r="V546">
            <v>65</v>
          </cell>
          <cell r="Z546">
            <v>0.25555555555555554</v>
          </cell>
          <cell r="AF546">
            <v>54.4</v>
          </cell>
          <cell r="AG546">
            <v>11.8</v>
          </cell>
          <cell r="AI546">
            <v>52.6</v>
          </cell>
          <cell r="AU546">
            <v>101.03394439430311</v>
          </cell>
          <cell r="AV546">
            <v>103.37237243439246</v>
          </cell>
          <cell r="AX546" t="str">
            <v>D. Gomez</v>
          </cell>
        </row>
        <row r="547">
          <cell r="A547" t="str">
            <v>CA441</v>
          </cell>
          <cell r="P547">
            <v>62</v>
          </cell>
          <cell r="Q547">
            <v>9.1592128801431087</v>
          </cell>
          <cell r="T547">
            <v>0.45</v>
          </cell>
          <cell r="U547">
            <v>0.55902777777777779</v>
          </cell>
          <cell r="V547">
            <v>59</v>
          </cell>
          <cell r="Z547">
            <v>0.24652777777777779</v>
          </cell>
          <cell r="AF547">
            <v>52.8</v>
          </cell>
          <cell r="AG547">
            <v>11.9</v>
          </cell>
          <cell r="AI547">
            <v>51.4</v>
          </cell>
          <cell r="AU547">
            <v>99.732285524420973</v>
          </cell>
          <cell r="AV547">
            <v>102.04046096820099</v>
          </cell>
          <cell r="AX547" t="str">
            <v>D. Gomez</v>
          </cell>
        </row>
        <row r="548">
          <cell r="A548" t="str">
            <v>CA442</v>
          </cell>
          <cell r="P548">
            <v>60</v>
          </cell>
          <cell r="Q548">
            <v>7.6727272727272711</v>
          </cell>
          <cell r="T548">
            <v>0.55347222222222225</v>
          </cell>
          <cell r="U548">
            <v>0.6645833333333333</v>
          </cell>
          <cell r="V548">
            <v>64</v>
          </cell>
          <cell r="Z548">
            <v>0.24027777777777776</v>
          </cell>
          <cell r="AF548">
            <v>53.2</v>
          </cell>
          <cell r="AG548">
            <v>11.8</v>
          </cell>
          <cell r="AI548">
            <v>51.5</v>
          </cell>
          <cell r="AU548">
            <v>97.47590491831717</v>
          </cell>
          <cell r="AV548">
            <v>99.733433597310096</v>
          </cell>
          <cell r="AX548" t="str">
            <v>D. Gomez</v>
          </cell>
        </row>
        <row r="549">
          <cell r="A549" t="str">
            <v>CA443</v>
          </cell>
          <cell r="P549">
            <v>58</v>
          </cell>
          <cell r="Q549">
            <v>7.2826086956521792</v>
          </cell>
          <cell r="T549">
            <v>0.64375000000000004</v>
          </cell>
          <cell r="U549">
            <v>0.74583333333333335</v>
          </cell>
          <cell r="V549">
            <v>54</v>
          </cell>
          <cell r="Z549">
            <v>0.24583333333333335</v>
          </cell>
          <cell r="AF549">
            <v>51.9</v>
          </cell>
          <cell r="AG549">
            <v>11.8</v>
          </cell>
          <cell r="AI549">
            <v>51.5</v>
          </cell>
          <cell r="AU549">
            <v>99.289078263260194</v>
          </cell>
          <cell r="AV549">
            <v>101.58674496164525</v>
          </cell>
          <cell r="AX549" t="str">
            <v>R. Sookram</v>
          </cell>
        </row>
        <row r="550">
          <cell r="A550" t="str">
            <v>CA444</v>
          </cell>
          <cell r="P550">
            <v>60</v>
          </cell>
          <cell r="Q550">
            <v>11.607843137254905</v>
          </cell>
          <cell r="T550">
            <v>0.55694444444444446</v>
          </cell>
          <cell r="U550">
            <v>0.66874999999999996</v>
          </cell>
          <cell r="V550">
            <v>55</v>
          </cell>
          <cell r="Z550">
            <v>0.24166666666666664</v>
          </cell>
          <cell r="AF550">
            <v>45.8</v>
          </cell>
          <cell r="AG550">
            <v>11.7</v>
          </cell>
          <cell r="AI550">
            <v>49.3</v>
          </cell>
          <cell r="AU550">
            <v>103.6522838624015</v>
          </cell>
          <cell r="AV550">
            <v>105.93049711005014</v>
          </cell>
          <cell r="AX550" t="str">
            <v>D. Gomez</v>
          </cell>
        </row>
        <row r="551">
          <cell r="A551" t="str">
            <v>CA445</v>
          </cell>
          <cell r="P551">
            <v>61</v>
          </cell>
          <cell r="Q551">
            <v>8.354430379746832</v>
          </cell>
          <cell r="T551">
            <v>0.64861111111111114</v>
          </cell>
          <cell r="U551">
            <v>0.76180555555555551</v>
          </cell>
          <cell r="V551">
            <v>61</v>
          </cell>
          <cell r="Z551">
            <v>0.24236111111111103</v>
          </cell>
          <cell r="AF551">
            <v>53.1</v>
          </cell>
          <cell r="AG551">
            <v>11.7</v>
          </cell>
          <cell r="AI551">
            <v>51.6</v>
          </cell>
          <cell r="AU551">
            <v>98.416232687970393</v>
          </cell>
          <cell r="AV551">
            <v>100.59929293108476</v>
          </cell>
          <cell r="AX551" t="str">
            <v>R. Sookram</v>
          </cell>
        </row>
        <row r="552">
          <cell r="A552" t="str">
            <v>CA446</v>
          </cell>
          <cell r="P552">
            <v>57</v>
          </cell>
          <cell r="Q552">
            <v>11.642857142857135</v>
          </cell>
          <cell r="T552">
            <v>0.75277777777777777</v>
          </cell>
          <cell r="U552">
            <v>0.85277777777777775</v>
          </cell>
          <cell r="V552">
            <v>57</v>
          </cell>
          <cell r="Z552">
            <v>0.24861111111111112</v>
          </cell>
          <cell r="AF552">
            <v>52.2</v>
          </cell>
          <cell r="AG552">
            <v>11.88</v>
          </cell>
          <cell r="AI552">
            <v>50.2</v>
          </cell>
          <cell r="AU552">
            <v>97.710255322201732</v>
          </cell>
          <cell r="AV552">
            <v>99.877175636155542</v>
          </cell>
          <cell r="AX552" t="str">
            <v>R. Sookram</v>
          </cell>
        </row>
        <row r="553">
          <cell r="A553" t="str">
            <v>CA447</v>
          </cell>
          <cell r="P553">
            <v>58</v>
          </cell>
          <cell r="Q553">
            <v>6.870503597122303</v>
          </cell>
          <cell r="T553">
            <v>0.84791666666666665</v>
          </cell>
          <cell r="U553">
            <v>0.96111111111111114</v>
          </cell>
          <cell r="V553">
            <v>66</v>
          </cell>
          <cell r="Z553">
            <v>0.27361111111111114</v>
          </cell>
          <cell r="AF553">
            <v>54.2</v>
          </cell>
          <cell r="AG553">
            <v>11.8</v>
          </cell>
          <cell r="AI553">
            <v>52.8</v>
          </cell>
          <cell r="AU553">
            <v>100.99146882475272</v>
          </cell>
          <cell r="AV553">
            <v>103.35392260458175</v>
          </cell>
          <cell r="AX553" t="str">
            <v>R. Sookram</v>
          </cell>
        </row>
        <row r="554">
          <cell r="A554" t="str">
            <v>CA448</v>
          </cell>
          <cell r="P554">
            <v>60</v>
          </cell>
          <cell r="Q554">
            <v>7.5357142857142829</v>
          </cell>
          <cell r="T554">
            <v>0.93958333333333333</v>
          </cell>
          <cell r="U554">
            <v>1.0465277777777777</v>
          </cell>
          <cell r="V554">
            <v>65</v>
          </cell>
          <cell r="Z554">
            <v>0.24652777777777768</v>
          </cell>
          <cell r="AF554">
            <v>52.5</v>
          </cell>
          <cell r="AG554">
            <v>11.73</v>
          </cell>
          <cell r="AI554">
            <v>50.8</v>
          </cell>
          <cell r="AU554">
            <v>96.949674647987464</v>
          </cell>
          <cell r="AV554">
            <v>99.435893793674239</v>
          </cell>
          <cell r="AX554" t="str">
            <v>R. Regis</v>
          </cell>
        </row>
        <row r="555">
          <cell r="A555" t="str">
            <v>CA449</v>
          </cell>
          <cell r="P555">
            <v>60</v>
          </cell>
          <cell r="Q555">
            <v>6.184448462929466</v>
          </cell>
          <cell r="T555">
            <v>1.023611111111111</v>
          </cell>
          <cell r="U555">
            <v>1.1361111111111111</v>
          </cell>
          <cell r="V555">
            <v>67</v>
          </cell>
          <cell r="Z555">
            <v>0.25277777777777777</v>
          </cell>
          <cell r="AF555">
            <v>53.5</v>
          </cell>
          <cell r="AG555">
            <v>11.96</v>
          </cell>
          <cell r="AI555">
            <v>51.9</v>
          </cell>
          <cell r="AU555">
            <v>101.72160029026291</v>
          </cell>
          <cell r="AV555">
            <v>104.3301927490804</v>
          </cell>
          <cell r="AX555" t="str">
            <v>R. Regis</v>
          </cell>
        </row>
        <row r="556">
          <cell r="A556" t="str">
            <v>CA450</v>
          </cell>
          <cell r="P556">
            <v>60</v>
          </cell>
          <cell r="Q556">
            <v>9.0287769784172713</v>
          </cell>
          <cell r="T556">
            <v>1.1097222222222223</v>
          </cell>
          <cell r="U556">
            <v>1.2208333333333334</v>
          </cell>
          <cell r="V556">
            <v>59</v>
          </cell>
          <cell r="Z556">
            <v>0.25208333333333344</v>
          </cell>
          <cell r="AF556">
            <v>51.3</v>
          </cell>
          <cell r="AG556">
            <v>11.85</v>
          </cell>
          <cell r="AI556">
            <v>50.4</v>
          </cell>
          <cell r="AU556">
            <v>97.553132584643137</v>
          </cell>
          <cell r="AV556">
            <v>100.05523799216593</v>
          </cell>
          <cell r="AX556" t="str">
            <v>R. Regis</v>
          </cell>
        </row>
        <row r="557">
          <cell r="A557" t="str">
            <v>CA451</v>
          </cell>
          <cell r="P557">
            <v>60</v>
          </cell>
          <cell r="Q557">
            <v>6.151079136690651</v>
          </cell>
          <cell r="T557">
            <v>0.20347222222222222</v>
          </cell>
          <cell r="U557">
            <v>0.31805555555555554</v>
          </cell>
          <cell r="V557">
            <v>62</v>
          </cell>
          <cell r="Z557">
            <v>0.25555555555555554</v>
          </cell>
          <cell r="AF557">
            <v>53.3</v>
          </cell>
          <cell r="AG557">
            <v>11.9</v>
          </cell>
          <cell r="AI557">
            <v>51.5</v>
          </cell>
          <cell r="AU557">
            <v>99.5590993434582</v>
          </cell>
          <cell r="AV557">
            <v>102.11279417705809</v>
          </cell>
          <cell r="AX557" t="str">
            <v>D. Gomez</v>
          </cell>
        </row>
        <row r="558">
          <cell r="A558" t="str">
            <v>CA452</v>
          </cell>
          <cell r="P558">
            <v>59</v>
          </cell>
          <cell r="Q558">
            <v>5.2802893309222325</v>
          </cell>
          <cell r="T558">
            <v>0.3</v>
          </cell>
          <cell r="U558">
            <v>0.45763888888888887</v>
          </cell>
          <cell r="V558">
            <v>135</v>
          </cell>
          <cell r="Z558">
            <v>0.31180555555555556</v>
          </cell>
          <cell r="AF558">
            <v>53.5</v>
          </cell>
          <cell r="AG558">
            <v>11.9</v>
          </cell>
          <cell r="AI558">
            <v>50.7</v>
          </cell>
          <cell r="AU558">
            <v>98.012550227443327</v>
          </cell>
          <cell r="AV558">
            <v>100.52657601508439</v>
          </cell>
          <cell r="AX558" t="str">
            <v>D. Gomez</v>
          </cell>
        </row>
        <row r="559">
          <cell r="A559" t="str">
            <v>CA453</v>
          </cell>
          <cell r="P559">
            <v>58</v>
          </cell>
          <cell r="Q559">
            <v>7.0349907918968571</v>
          </cell>
          <cell r="T559">
            <v>0.63611111111111107</v>
          </cell>
          <cell r="U559">
            <v>0.74930555555555556</v>
          </cell>
          <cell r="V559">
            <v>63</v>
          </cell>
          <cell r="Z559">
            <v>0.24930555555555556</v>
          </cell>
          <cell r="AF559">
            <v>53.3</v>
          </cell>
          <cell r="AG559">
            <v>11.5</v>
          </cell>
          <cell r="AI559">
            <v>52</v>
          </cell>
          <cell r="AU559">
            <v>96.331969753365684</v>
          </cell>
          <cell r="AV559">
            <v>98.701889040237816</v>
          </cell>
          <cell r="AX559" t="str">
            <v>D. Gomez</v>
          </cell>
        </row>
        <row r="560">
          <cell r="A560" t="str">
            <v>CA454</v>
          </cell>
          <cell r="P560">
            <v>75</v>
          </cell>
          <cell r="Q560">
            <v>12.714285714285708</v>
          </cell>
          <cell r="T560">
            <v>0.72847222222222219</v>
          </cell>
          <cell r="U560">
            <v>0.84861111111111109</v>
          </cell>
          <cell r="V560">
            <v>58</v>
          </cell>
          <cell r="Z560">
            <v>0.26527777777777772</v>
          </cell>
          <cell r="AF560">
            <v>49.6</v>
          </cell>
          <cell r="AG560">
            <v>11.8</v>
          </cell>
          <cell r="AI560">
            <v>49.3</v>
          </cell>
          <cell r="AU560">
            <v>97.974745026258816</v>
          </cell>
          <cell r="AV560">
            <v>100.48368905812133</v>
          </cell>
          <cell r="AX560" t="str">
            <v>D. Gomez</v>
          </cell>
        </row>
        <row r="561">
          <cell r="A561" t="str">
            <v>CA455</v>
          </cell>
          <cell r="P561">
            <v>60</v>
          </cell>
          <cell r="Q561">
            <v>7.769784172661871</v>
          </cell>
          <cell r="T561">
            <v>0.83263888888888893</v>
          </cell>
          <cell r="U561">
            <v>0.9375</v>
          </cell>
          <cell r="V561">
            <v>59</v>
          </cell>
          <cell r="Z561">
            <v>0.27083333333333337</v>
          </cell>
          <cell r="AF561">
            <v>52</v>
          </cell>
          <cell r="AG561">
            <v>11.6</v>
          </cell>
          <cell r="AI561">
            <v>50</v>
          </cell>
          <cell r="AU561">
            <v>97.469441737692662</v>
          </cell>
          <cell r="AV561">
            <v>99.965592041171078</v>
          </cell>
          <cell r="AX561" t="str">
            <v>R. Regis</v>
          </cell>
        </row>
        <row r="562">
          <cell r="A562" t="str">
            <v>CA456</v>
          </cell>
          <cell r="P562">
            <v>60</v>
          </cell>
          <cell r="Q562">
            <v>10.392857142857144</v>
          </cell>
          <cell r="T562">
            <v>0.92152777777777772</v>
          </cell>
          <cell r="U562">
            <v>1.0305555555555554</v>
          </cell>
          <cell r="V562">
            <v>58</v>
          </cell>
          <cell r="Z562">
            <v>0.28055555555555545</v>
          </cell>
          <cell r="AF562">
            <v>50.9</v>
          </cell>
          <cell r="AG562">
            <v>11.6</v>
          </cell>
          <cell r="AI562">
            <v>50.2</v>
          </cell>
          <cell r="AU562">
            <v>98.110462198248086</v>
          </cell>
          <cell r="AV562">
            <v>100.6227342337705</v>
          </cell>
          <cell r="AX562" t="str">
            <v>R. Regis</v>
          </cell>
        </row>
        <row r="563">
          <cell r="A563" t="str">
            <v>CA457</v>
          </cell>
          <cell r="P563">
            <v>61</v>
          </cell>
          <cell r="Q563">
            <v>5.8227848101265804</v>
          </cell>
          <cell r="T563">
            <v>1.0166666666666666</v>
          </cell>
          <cell r="U563">
            <v>1.1243055555555554</v>
          </cell>
          <cell r="V563">
            <v>60</v>
          </cell>
          <cell r="Z563">
            <v>0.24930555555555545</v>
          </cell>
          <cell r="AF563">
            <v>52.8</v>
          </cell>
          <cell r="AG563">
            <v>12</v>
          </cell>
          <cell r="AI563">
            <v>50.7</v>
          </cell>
          <cell r="AU563">
            <v>98.709564869595852</v>
          </cell>
          <cell r="AV563">
            <v>101.13691775373914</v>
          </cell>
          <cell r="AX563" t="str">
            <v>R. Regis</v>
          </cell>
        </row>
        <row r="564">
          <cell r="A564" t="str">
            <v>CA458</v>
          </cell>
          <cell r="P564">
            <v>60</v>
          </cell>
          <cell r="Q564">
            <v>6.690647482014386</v>
          </cell>
          <cell r="T564">
            <v>1.1041666666666667</v>
          </cell>
          <cell r="U564">
            <v>1.211111111111111</v>
          </cell>
          <cell r="V564">
            <v>59</v>
          </cell>
          <cell r="Z564">
            <v>0.24930555555555545</v>
          </cell>
          <cell r="AF564">
            <v>53.9</v>
          </cell>
          <cell r="AG564">
            <v>11.6</v>
          </cell>
          <cell r="AI564">
            <v>52.3</v>
          </cell>
          <cell r="AU564">
            <v>99.532596918424787</v>
          </cell>
          <cell r="AV564">
            <v>102.084347880916</v>
          </cell>
          <cell r="AX564" t="str">
            <v>R. Regis</v>
          </cell>
        </row>
        <row r="565">
          <cell r="A565" t="str">
            <v>CA459</v>
          </cell>
          <cell r="P565">
            <v>60</v>
          </cell>
          <cell r="Q565">
            <v>6.9750889679715335</v>
          </cell>
          <cell r="T565">
            <v>0.20208333333333334</v>
          </cell>
          <cell r="U565">
            <v>0.31388888888888888</v>
          </cell>
          <cell r="V565">
            <v>64</v>
          </cell>
          <cell r="Z565">
            <v>0.2583333333333333</v>
          </cell>
          <cell r="AF565">
            <v>53</v>
          </cell>
          <cell r="AG565">
            <v>11.9</v>
          </cell>
          <cell r="AI565">
            <v>51</v>
          </cell>
          <cell r="AU565">
            <v>98.714479401126994</v>
          </cell>
          <cell r="AV565">
            <v>101.24637177778698</v>
          </cell>
          <cell r="AX565" t="str">
            <v>R. Regis</v>
          </cell>
        </row>
        <row r="566">
          <cell r="A566" t="str">
            <v>CA460</v>
          </cell>
          <cell r="P566">
            <v>60</v>
          </cell>
          <cell r="Q566">
            <v>5.0719424460431659</v>
          </cell>
          <cell r="T566">
            <v>0.2986111111111111</v>
          </cell>
          <cell r="U566">
            <v>0.41249999999999998</v>
          </cell>
          <cell r="V566">
            <v>67</v>
          </cell>
          <cell r="Z566">
            <v>0.25624999999999998</v>
          </cell>
          <cell r="AF566">
            <v>54.8</v>
          </cell>
          <cell r="AG566">
            <v>11.6</v>
          </cell>
          <cell r="AI566">
            <v>53.6</v>
          </cell>
          <cell r="AU566">
            <v>100.74778296899167</v>
          </cell>
          <cell r="AV566">
            <v>103.33210800045319</v>
          </cell>
          <cell r="AX566" t="str">
            <v>R. Regis</v>
          </cell>
        </row>
        <row r="567">
          <cell r="A567" t="str">
            <v>CA461</v>
          </cell>
          <cell r="P567">
            <v>60</v>
          </cell>
          <cell r="Q567">
            <v>9.2110091743119202</v>
          </cell>
          <cell r="T567">
            <v>0.99027777777777781</v>
          </cell>
          <cell r="U567">
            <v>1.0986111111111112</v>
          </cell>
          <cell r="V567">
            <v>61</v>
          </cell>
          <cell r="Z567">
            <v>0.23750000000000004</v>
          </cell>
          <cell r="AF567">
            <v>51.8</v>
          </cell>
          <cell r="AG567">
            <v>11.8</v>
          </cell>
          <cell r="AI567">
            <v>49.8</v>
          </cell>
          <cell r="AU567">
            <v>95.259026995380694</v>
          </cell>
          <cell r="AV567">
            <v>97.601528192943391</v>
          </cell>
          <cell r="AX567" t="str">
            <v>R. Regis</v>
          </cell>
        </row>
        <row r="568">
          <cell r="A568" t="str">
            <v>CA462</v>
          </cell>
          <cell r="P568">
            <v>58</v>
          </cell>
          <cell r="Q568">
            <v>6.6544117647058778</v>
          </cell>
          <cell r="T568">
            <v>1.0763888888888888</v>
          </cell>
          <cell r="U568">
            <v>1.1812499999999999</v>
          </cell>
          <cell r="V568">
            <v>60</v>
          </cell>
          <cell r="Z568">
            <v>0.23680555555555549</v>
          </cell>
          <cell r="AF568">
            <v>52.7</v>
          </cell>
          <cell r="AG568">
            <v>11.8</v>
          </cell>
          <cell r="AI568">
            <v>51.8</v>
          </cell>
          <cell r="AU568">
            <v>99.207063166935825</v>
          </cell>
          <cell r="AV568">
            <v>101.64638223337028</v>
          </cell>
          <cell r="AX568" t="str">
            <v>R. Sookram</v>
          </cell>
        </row>
        <row r="569">
          <cell r="A569" t="str">
            <v>CA463</v>
          </cell>
          <cell r="P569">
            <v>57</v>
          </cell>
          <cell r="Q569">
            <v>6.7148014440433199</v>
          </cell>
          <cell r="T569">
            <v>1.1583333333333334</v>
          </cell>
          <cell r="U569">
            <v>1.2611111111111111</v>
          </cell>
          <cell r="V569">
            <v>60</v>
          </cell>
          <cell r="Z569">
            <v>0.23333333333333339</v>
          </cell>
          <cell r="AF569">
            <v>52.8</v>
          </cell>
          <cell r="AG569">
            <v>11.7</v>
          </cell>
          <cell r="AI569">
            <v>50.9</v>
          </cell>
          <cell r="AU569">
            <v>96.139471578525743</v>
          </cell>
          <cell r="AV569">
            <v>98.504398193284118</v>
          </cell>
          <cell r="AX569" t="str">
            <v>R. Sookram</v>
          </cell>
        </row>
        <row r="570">
          <cell r="A570" t="str">
            <v>CA464</v>
          </cell>
          <cell r="P570">
            <v>58</v>
          </cell>
          <cell r="Q570">
            <v>6.6666666666666652</v>
          </cell>
          <cell r="T570">
            <v>0.24583333333333332</v>
          </cell>
          <cell r="U570">
            <v>0.35138888888888886</v>
          </cell>
          <cell r="V570">
            <v>60</v>
          </cell>
          <cell r="Z570">
            <v>0.24027777777777776</v>
          </cell>
          <cell r="AF570">
            <v>52.8</v>
          </cell>
          <cell r="AG570">
            <v>11.9</v>
          </cell>
          <cell r="AI570">
            <v>50.8</v>
          </cell>
          <cell r="AU570">
            <v>98.449159710442089</v>
          </cell>
          <cell r="AV570">
            <v>100.97410910552793</v>
          </cell>
          <cell r="AX570" t="str">
            <v>R. Sookram</v>
          </cell>
        </row>
        <row r="571">
          <cell r="A571" t="str">
            <v>CA465</v>
          </cell>
          <cell r="P571">
            <v>60</v>
          </cell>
          <cell r="Q571">
            <v>7.0503597122302182</v>
          </cell>
          <cell r="T571">
            <v>0.33194444444444443</v>
          </cell>
          <cell r="U571">
            <v>0.46319444444444446</v>
          </cell>
          <cell r="V571">
            <v>98</v>
          </cell>
          <cell r="Z571">
            <v>0.26875000000000004</v>
          </cell>
          <cell r="AF571">
            <v>52.4</v>
          </cell>
          <cell r="AG571">
            <v>11.9</v>
          </cell>
          <cell r="AI571">
            <v>51.2</v>
          </cell>
          <cell r="AU571">
            <v>99.224349944382595</v>
          </cell>
          <cell r="AV571">
            <v>101.76918083076833</v>
          </cell>
          <cell r="AX571" t="str">
            <v>R. Regis</v>
          </cell>
        </row>
        <row r="572">
          <cell r="A572" t="str">
            <v>CA466</v>
          </cell>
          <cell r="P572">
            <v>60</v>
          </cell>
          <cell r="Q572">
            <v>7.0250896057347578</v>
          </cell>
          <cell r="T572">
            <v>0.41805555555555557</v>
          </cell>
          <cell r="U572">
            <v>0.52847222222222223</v>
          </cell>
          <cell r="V572">
            <v>58</v>
          </cell>
          <cell r="Z572">
            <v>0.25069444444444444</v>
          </cell>
          <cell r="AF572">
            <v>52.6</v>
          </cell>
          <cell r="AG572">
            <v>11.9</v>
          </cell>
          <cell r="AI572">
            <v>50.9</v>
          </cell>
          <cell r="AU572">
            <v>98.642957268927205</v>
          </cell>
          <cell r="AV572">
            <v>101.17287703683803</v>
          </cell>
          <cell r="AX572" t="str">
            <v>R. Regis</v>
          </cell>
        </row>
        <row r="573">
          <cell r="A573" t="str">
            <v>CA467</v>
          </cell>
          <cell r="P573">
            <v>60</v>
          </cell>
          <cell r="Q573">
            <v>6.1180679785330847</v>
          </cell>
          <cell r="T573">
            <v>0.54791666666666672</v>
          </cell>
          <cell r="U573">
            <v>0.65763888888888888</v>
          </cell>
          <cell r="V573">
            <v>63</v>
          </cell>
          <cell r="Z573">
            <v>0.25486111111111109</v>
          </cell>
          <cell r="AF573">
            <v>53.2</v>
          </cell>
          <cell r="AG573">
            <v>11.8</v>
          </cell>
          <cell r="AI573">
            <v>51.3</v>
          </cell>
          <cell r="AU573">
            <v>98.174932925496933</v>
          </cell>
          <cell r="AV573">
            <v>100.69326066576598</v>
          </cell>
          <cell r="AX573" t="str">
            <v>R. Regis</v>
          </cell>
        </row>
        <row r="574">
          <cell r="A574" t="str">
            <v>CA468</v>
          </cell>
          <cell r="P574">
            <v>61</v>
          </cell>
          <cell r="Q574">
            <v>4.927536231884055</v>
          </cell>
          <cell r="T574">
            <v>0.63611111111111107</v>
          </cell>
          <cell r="U574">
            <v>0.74513888888888891</v>
          </cell>
          <cell r="V574">
            <v>64</v>
          </cell>
          <cell r="Z574">
            <v>0.24513888888888891</v>
          </cell>
          <cell r="AF574">
            <v>53.6</v>
          </cell>
          <cell r="AG574">
            <v>11.8</v>
          </cell>
          <cell r="AI574">
            <v>52.3</v>
          </cell>
          <cell r="AU574">
            <v>100.46060714075915</v>
          </cell>
          <cell r="AV574">
            <v>103.03714461427415</v>
          </cell>
          <cell r="AX574" t="str">
            <v>D. Gomez</v>
          </cell>
        </row>
        <row r="575">
          <cell r="A575" t="str">
            <v>CA469</v>
          </cell>
          <cell r="P575">
            <v>61</v>
          </cell>
          <cell r="Q575">
            <v>9.3884892086330911</v>
          </cell>
          <cell r="T575">
            <v>0.78472222222222221</v>
          </cell>
          <cell r="U575">
            <v>0.89722222222222225</v>
          </cell>
          <cell r="V575">
            <v>62</v>
          </cell>
          <cell r="Z575">
            <v>0.25138888888888888</v>
          </cell>
          <cell r="AF575">
            <v>52.4</v>
          </cell>
          <cell r="AG575">
            <v>11.7</v>
          </cell>
          <cell r="AI575">
            <v>51.1</v>
          </cell>
          <cell r="AU575">
            <v>96.755045495948551</v>
          </cell>
          <cell r="AV575">
            <v>99.134595540342445</v>
          </cell>
          <cell r="AX575" t="str">
            <v>D. Gomez</v>
          </cell>
        </row>
        <row r="576">
          <cell r="A576" t="str">
            <v>CA470</v>
          </cell>
          <cell r="P576">
            <v>61</v>
          </cell>
          <cell r="Q576">
            <v>8.2795698924731145</v>
          </cell>
          <cell r="T576">
            <v>0.86736111111111114</v>
          </cell>
          <cell r="U576">
            <v>0.97847222222222219</v>
          </cell>
          <cell r="V576">
            <v>62</v>
          </cell>
          <cell r="Z576">
            <v>0.24930555555555556</v>
          </cell>
          <cell r="AF576">
            <v>54.1</v>
          </cell>
          <cell r="AG576">
            <v>11.6</v>
          </cell>
          <cell r="AI576">
            <v>52.6</v>
          </cell>
          <cell r="AU576">
            <v>99.853992090356243</v>
          </cell>
          <cell r="AV576">
            <v>102.4142670403337</v>
          </cell>
          <cell r="AX576" t="str">
            <v>D. Gomez</v>
          </cell>
        </row>
        <row r="577">
          <cell r="A577" t="str">
            <v>CA471</v>
          </cell>
          <cell r="P577">
            <v>58</v>
          </cell>
          <cell r="Q577">
            <v>10.199637023593462</v>
          </cell>
          <cell r="T577">
            <v>1.0381944444444444</v>
          </cell>
          <cell r="U577">
            <v>1.1479166666666667</v>
          </cell>
          <cell r="V577">
            <v>57</v>
          </cell>
          <cell r="Z577">
            <v>0.3354166666666667</v>
          </cell>
          <cell r="AF577">
            <v>52.2</v>
          </cell>
          <cell r="AG577">
            <v>11.8</v>
          </cell>
          <cell r="AI577">
            <v>50.3</v>
          </cell>
          <cell r="AU577">
            <v>96.738729431574484</v>
          </cell>
          <cell r="AV577">
            <v>99.219675176131204</v>
          </cell>
          <cell r="AX577" t="str">
            <v>R. Sookram</v>
          </cell>
        </row>
        <row r="578">
          <cell r="A578" t="str">
            <v>CA472</v>
          </cell>
          <cell r="P578">
            <v>58</v>
          </cell>
          <cell r="Q578">
            <v>5.2898550724637703</v>
          </cell>
          <cell r="T578">
            <v>1.1270833333333334</v>
          </cell>
          <cell r="U578">
            <v>1.2354166666666666</v>
          </cell>
          <cell r="V578">
            <v>63</v>
          </cell>
          <cell r="Z578">
            <v>0.24236111111111103</v>
          </cell>
          <cell r="AF578">
            <v>53</v>
          </cell>
          <cell r="AG578">
            <v>11.7</v>
          </cell>
          <cell r="AI578">
            <v>51</v>
          </cell>
          <cell r="AU578">
            <v>97.695306890721909</v>
          </cell>
          <cell r="AV578">
            <v>100.20023275023426</v>
          </cell>
          <cell r="AX578" t="str">
            <v>R. Sookram</v>
          </cell>
        </row>
      </sheetData>
      <sheetData sheetId="6">
        <row r="432">
          <cell r="D432">
            <v>12.28</v>
          </cell>
        </row>
        <row r="433">
          <cell r="D433">
            <v>12.43</v>
          </cell>
        </row>
        <row r="442">
          <cell r="D442">
            <v>11.45</v>
          </cell>
        </row>
        <row r="443">
          <cell r="D443">
            <v>11.7</v>
          </cell>
        </row>
        <row r="444">
          <cell r="D444">
            <v>11.9</v>
          </cell>
        </row>
        <row r="445">
          <cell r="D445">
            <v>11.9</v>
          </cell>
        </row>
        <row r="447">
          <cell r="D447">
            <v>11.75</v>
          </cell>
        </row>
        <row r="448">
          <cell r="D448">
            <v>11.6</v>
          </cell>
        </row>
        <row r="449">
          <cell r="D449">
            <v>11.6</v>
          </cell>
        </row>
        <row r="450">
          <cell r="D450">
            <v>11.79</v>
          </cell>
        </row>
        <row r="451">
          <cell r="D451">
            <v>11.9</v>
          </cell>
        </row>
        <row r="452">
          <cell r="D452">
            <v>11.62</v>
          </cell>
        </row>
        <row r="453">
          <cell r="D453">
            <v>11.4</v>
          </cell>
        </row>
        <row r="454">
          <cell r="D454">
            <v>11.6</v>
          </cell>
        </row>
        <row r="455">
          <cell r="D455">
            <v>11.7</v>
          </cell>
        </row>
        <row r="456">
          <cell r="D456">
            <v>11.71</v>
          </cell>
        </row>
        <row r="457">
          <cell r="D457">
            <v>11.77</v>
          </cell>
        </row>
        <row r="458">
          <cell r="D458">
            <v>11.66</v>
          </cell>
        </row>
        <row r="459">
          <cell r="D459">
            <v>11.63</v>
          </cell>
        </row>
        <row r="460">
          <cell r="D460">
            <v>11.82</v>
          </cell>
        </row>
        <row r="461">
          <cell r="D461">
            <v>11.83</v>
          </cell>
        </row>
        <row r="462">
          <cell r="D462">
            <v>11.8</v>
          </cell>
        </row>
        <row r="463">
          <cell r="D463">
            <v>11.67</v>
          </cell>
        </row>
        <row r="468">
          <cell r="D468">
            <v>11.8</v>
          </cell>
        </row>
        <row r="469">
          <cell r="D469">
            <v>11.89</v>
          </cell>
        </row>
        <row r="470">
          <cell r="D470">
            <v>11.87</v>
          </cell>
        </row>
        <row r="471">
          <cell r="D471">
            <v>11.85</v>
          </cell>
        </row>
        <row r="472">
          <cell r="D472">
            <v>11.98</v>
          </cell>
        </row>
        <row r="473">
          <cell r="D473">
            <v>11.71</v>
          </cell>
        </row>
        <row r="474">
          <cell r="D474">
            <v>12.12</v>
          </cell>
        </row>
        <row r="475">
          <cell r="D475">
            <v>12.03</v>
          </cell>
        </row>
        <row r="476">
          <cell r="D476">
            <v>11.61</v>
          </cell>
        </row>
        <row r="477">
          <cell r="D477">
            <v>11.64</v>
          </cell>
        </row>
        <row r="478">
          <cell r="D478">
            <v>11.64</v>
          </cell>
        </row>
        <row r="479">
          <cell r="D479">
            <v>11.6</v>
          </cell>
        </row>
        <row r="480">
          <cell r="D480">
            <v>12</v>
          </cell>
        </row>
        <row r="481">
          <cell r="D481">
            <v>11.9</v>
          </cell>
        </row>
        <row r="482">
          <cell r="D482">
            <v>11.64</v>
          </cell>
        </row>
        <row r="483">
          <cell r="D483">
            <v>11.73</v>
          </cell>
        </row>
        <row r="484">
          <cell r="D484">
            <v>12</v>
          </cell>
        </row>
        <row r="485">
          <cell r="D485">
            <v>12</v>
          </cell>
        </row>
        <row r="486">
          <cell r="D486">
            <v>11.5</v>
          </cell>
        </row>
        <row r="487">
          <cell r="D487">
            <v>11.6</v>
          </cell>
        </row>
        <row r="488">
          <cell r="D488">
            <v>11.9</v>
          </cell>
        </row>
        <row r="489">
          <cell r="D489">
            <v>11.6</v>
          </cell>
        </row>
        <row r="490">
          <cell r="D490">
            <v>11.7</v>
          </cell>
        </row>
        <row r="491">
          <cell r="D491">
            <v>11.5</v>
          </cell>
        </row>
        <row r="493">
          <cell r="D493">
            <v>11.8</v>
          </cell>
        </row>
        <row r="494">
          <cell r="D494">
            <v>11.9</v>
          </cell>
        </row>
        <row r="495">
          <cell r="D495">
            <v>11.7</v>
          </cell>
        </row>
        <row r="496">
          <cell r="D496">
            <v>12</v>
          </cell>
        </row>
        <row r="497">
          <cell r="D497">
            <v>11.8</v>
          </cell>
        </row>
        <row r="498">
          <cell r="D498">
            <v>11.9</v>
          </cell>
        </row>
        <row r="499">
          <cell r="D499">
            <v>11.7</v>
          </cell>
        </row>
        <row r="500">
          <cell r="D500">
            <v>11.7</v>
          </cell>
        </row>
        <row r="501">
          <cell r="D501">
            <v>11.8</v>
          </cell>
        </row>
        <row r="502">
          <cell r="D502">
            <v>11.9</v>
          </cell>
        </row>
        <row r="503">
          <cell r="D503">
            <v>11.9</v>
          </cell>
        </row>
        <row r="509">
          <cell r="D509">
            <v>11.9</v>
          </cell>
        </row>
        <row r="510">
          <cell r="D510">
            <v>12.2</v>
          </cell>
        </row>
        <row r="511">
          <cell r="D511">
            <v>11.3</v>
          </cell>
        </row>
        <row r="512">
          <cell r="D512">
            <v>11.9</v>
          </cell>
        </row>
        <row r="513">
          <cell r="D513">
            <v>11.8</v>
          </cell>
        </row>
        <row r="514">
          <cell r="D514">
            <v>11.9</v>
          </cell>
        </row>
        <row r="515">
          <cell r="D515">
            <v>12</v>
          </cell>
        </row>
        <row r="516">
          <cell r="D516">
            <v>12</v>
          </cell>
        </row>
        <row r="517">
          <cell r="D517">
            <v>11.6</v>
          </cell>
        </row>
        <row r="518">
          <cell r="D518">
            <v>11.8</v>
          </cell>
        </row>
        <row r="519">
          <cell r="D519">
            <v>11.6</v>
          </cell>
        </row>
        <row r="520">
          <cell r="D520">
            <v>11.7</v>
          </cell>
        </row>
        <row r="521">
          <cell r="D521">
            <v>11.9</v>
          </cell>
        </row>
        <row r="522">
          <cell r="D522">
            <v>12</v>
          </cell>
        </row>
        <row r="523">
          <cell r="D523">
            <v>11.7</v>
          </cell>
        </row>
        <row r="524">
          <cell r="D524">
            <v>11.7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July '25"/>
      <sheetName val="Summary June '25"/>
      <sheetName val="Summary May '25"/>
      <sheetName val="Summary April '25"/>
      <sheetName val="Summary March '25"/>
      <sheetName val="Summary February '25"/>
      <sheetName val="Summary January '25"/>
      <sheetName val="Summary December '24  "/>
      <sheetName val="Summary May'25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15">
          <cell r="AS15">
            <v>93.952909228354414</v>
          </cell>
        </row>
        <row r="16">
          <cell r="AS16">
            <v>96.305388330846725</v>
          </cell>
        </row>
        <row r="17">
          <cell r="AS17">
            <v>97.317556311342841</v>
          </cell>
        </row>
        <row r="18">
          <cell r="AS18">
            <v>96.740574752184699</v>
          </cell>
        </row>
        <row r="19">
          <cell r="AS19">
            <v>95.662513854103381</v>
          </cell>
        </row>
        <row r="20">
          <cell r="AS20">
            <v>96.762676801570322</v>
          </cell>
        </row>
        <row r="21">
          <cell r="AS21">
            <v>94.359297157598206</v>
          </cell>
        </row>
        <row r="22">
          <cell r="AS22">
            <v>95.89985711119165</v>
          </cell>
        </row>
        <row r="23">
          <cell r="AS23">
            <v>96.050597074606841</v>
          </cell>
        </row>
        <row r="24">
          <cell r="AS24">
            <v>96.050597074606841</v>
          </cell>
        </row>
        <row r="25">
          <cell r="AS25">
            <v>93.400253634983798</v>
          </cell>
        </row>
        <row r="26">
          <cell r="AS26">
            <v>96.426665032854629</v>
          </cell>
        </row>
        <row r="27">
          <cell r="AS27">
            <v>96.328598952006701</v>
          </cell>
        </row>
        <row r="28">
          <cell r="AS28">
            <v>97.60292995662067</v>
          </cell>
        </row>
        <row r="29">
          <cell r="AS29">
            <v>92.363806479823964</v>
          </cell>
        </row>
        <row r="30">
          <cell r="AS30">
            <v>97.071554839885479</v>
          </cell>
        </row>
        <row r="31">
          <cell r="AS31">
            <v>93.180885322057676</v>
          </cell>
        </row>
        <row r="32">
          <cell r="AS32">
            <v>93.104069106683397</v>
          </cell>
        </row>
        <row r="33">
          <cell r="AS33">
            <v>96.914841762663983</v>
          </cell>
        </row>
        <row r="34">
          <cell r="AS34">
            <v>100.133600634603</v>
          </cell>
        </row>
        <row r="35">
          <cell r="AS35">
            <v>97.985541190514951</v>
          </cell>
        </row>
        <row r="36">
          <cell r="AS36">
            <v>97.465856823914748</v>
          </cell>
        </row>
        <row r="37">
          <cell r="AS37">
            <v>93.269474250821958</v>
          </cell>
        </row>
        <row r="38">
          <cell r="AS38">
            <v>95.729858121698229</v>
          </cell>
        </row>
        <row r="39">
          <cell r="AS39">
            <v>96.776757210948887</v>
          </cell>
        </row>
        <row r="40">
          <cell r="AS40">
            <v>96.149254375240844</v>
          </cell>
        </row>
        <row r="41">
          <cell r="AS41">
            <v>95.703229726515019</v>
          </cell>
        </row>
        <row r="42">
          <cell r="AS42">
            <v>96.392332863581075</v>
          </cell>
        </row>
        <row r="43">
          <cell r="AS43">
            <v>96.042495052644043</v>
          </cell>
        </row>
        <row r="44">
          <cell r="AS44">
            <v>96.528726855243008</v>
          </cell>
        </row>
        <row r="45">
          <cell r="AS45">
            <v>99.057134588670351</v>
          </cell>
        </row>
        <row r="46">
          <cell r="AS46">
            <v>97.66120802841786</v>
          </cell>
        </row>
        <row r="47">
          <cell r="AS47">
            <v>99.956949475386367</v>
          </cell>
        </row>
        <row r="48">
          <cell r="AS48">
            <v>101.54928414912592</v>
          </cell>
        </row>
        <row r="49">
          <cell r="AS49">
            <v>97.80064193750701</v>
          </cell>
        </row>
        <row r="50">
          <cell r="AS50">
            <v>96.518971677208299</v>
          </cell>
        </row>
        <row r="51">
          <cell r="AS51">
            <v>95.561137165761352</v>
          </cell>
        </row>
        <row r="52">
          <cell r="AS52">
            <v>95.558880444994585</v>
          </cell>
        </row>
        <row r="53">
          <cell r="AS53">
            <v>95.952410461648014</v>
          </cell>
        </row>
        <row r="54">
          <cell r="AS54">
            <v>95.30638126018755</v>
          </cell>
        </row>
        <row r="55">
          <cell r="AS55">
            <v>94.732040280520366</v>
          </cell>
        </row>
        <row r="56">
          <cell r="AS56">
            <v>93.077322691564333</v>
          </cell>
        </row>
        <row r="57">
          <cell r="AS57">
            <v>94.371821342410584</v>
          </cell>
        </row>
        <row r="58">
          <cell r="AS58">
            <v>98.856173802431272</v>
          </cell>
        </row>
        <row r="59">
          <cell r="AS59">
            <v>95.30638126018755</v>
          </cell>
        </row>
        <row r="60">
          <cell r="AS60">
            <v>97.2646053460942</v>
          </cell>
        </row>
        <row r="61">
          <cell r="AS61">
            <v>93.552519520813476</v>
          </cell>
        </row>
        <row r="62">
          <cell r="AS62">
            <v>94.825567674202887</v>
          </cell>
        </row>
        <row r="63">
          <cell r="AS63">
            <v>92.656238601066747</v>
          </cell>
        </row>
        <row r="64">
          <cell r="AS64">
            <v>96.628236432962609</v>
          </cell>
        </row>
        <row r="66">
          <cell r="AS66">
            <v>92.002637422262225</v>
          </cell>
        </row>
        <row r="67">
          <cell r="AS67">
            <v>95.885984924603306</v>
          </cell>
        </row>
        <row r="68">
          <cell r="AS68">
            <v>95.012866791826809</v>
          </cell>
        </row>
        <row r="69">
          <cell r="AS69">
            <v>95.834500872564547</v>
          </cell>
        </row>
        <row r="70">
          <cell r="AS70">
            <v>95.943381714424419</v>
          </cell>
        </row>
        <row r="71">
          <cell r="AS71">
            <v>96.860953695286469</v>
          </cell>
        </row>
        <row r="72">
          <cell r="AS72">
            <v>96.412978745034764</v>
          </cell>
        </row>
        <row r="73">
          <cell r="AS73">
            <v>96.134503988755924</v>
          </cell>
        </row>
        <row r="74">
          <cell r="AS74">
            <v>92.715017057588085</v>
          </cell>
        </row>
        <row r="75">
          <cell r="AS75">
            <v>96.097642480416468</v>
          </cell>
        </row>
        <row r="76">
          <cell r="AS76">
            <v>96.605804702524836</v>
          </cell>
        </row>
        <row r="77">
          <cell r="AS77">
            <v>97.184282574995024</v>
          </cell>
        </row>
        <row r="78">
          <cell r="AS78">
            <v>97.663482183408107</v>
          </cell>
        </row>
        <row r="79">
          <cell r="AS79">
            <v>93.680020965087763</v>
          </cell>
        </row>
        <row r="80">
          <cell r="AS80">
            <v>97.133695082094221</v>
          </cell>
        </row>
        <row r="81">
          <cell r="AS81">
            <v>96.430423472800626</v>
          </cell>
        </row>
        <row r="82">
          <cell r="AS82">
            <v>90.175237312660769</v>
          </cell>
        </row>
        <row r="83">
          <cell r="AS83">
            <v>98.394986562676721</v>
          </cell>
        </row>
        <row r="84">
          <cell r="AS84">
            <v>97.621745017979862</v>
          </cell>
        </row>
        <row r="85">
          <cell r="AS85">
            <v>95.99281388436242</v>
          </cell>
        </row>
        <row r="86">
          <cell r="AS86">
            <v>95.681023720581877</v>
          </cell>
        </row>
        <row r="87">
          <cell r="AS87">
            <v>95.907156934495333</v>
          </cell>
        </row>
        <row r="88">
          <cell r="AS88">
            <v>95.275297184535674</v>
          </cell>
        </row>
        <row r="89">
          <cell r="AS89">
            <v>95.059784463588144</v>
          </cell>
        </row>
        <row r="90">
          <cell r="AS90">
            <v>96.727001848613199</v>
          </cell>
        </row>
        <row r="91">
          <cell r="AS91">
            <v>104.009149649091</v>
          </cell>
        </row>
        <row r="92">
          <cell r="AS92">
            <v>92.550439614588157</v>
          </cell>
        </row>
        <row r="93">
          <cell r="AS93">
            <v>96.999636851732902</v>
          </cell>
        </row>
        <row r="94">
          <cell r="AS94">
            <v>95.770454909660813</v>
          </cell>
        </row>
        <row r="95">
          <cell r="AS95">
            <v>94.428562140000224</v>
          </cell>
        </row>
        <row r="96">
          <cell r="AS96">
            <v>93.741070270083767</v>
          </cell>
        </row>
        <row r="97">
          <cell r="AS97">
            <v>94.687949767761395</v>
          </cell>
        </row>
        <row r="98">
          <cell r="AS98">
            <v>96.284997099590015</v>
          </cell>
        </row>
        <row r="99">
          <cell r="AS99">
            <v>97.212508885391316</v>
          </cell>
        </row>
        <row r="100">
          <cell r="AS100">
            <v>93.636382272815794</v>
          </cell>
        </row>
        <row r="101">
          <cell r="AS101">
            <v>94.671387189089145</v>
          </cell>
        </row>
        <row r="102">
          <cell r="AS102">
            <v>93.244451097177674</v>
          </cell>
        </row>
        <row r="103">
          <cell r="AS103">
            <v>94.598152318138133</v>
          </cell>
        </row>
        <row r="105">
          <cell r="AS105">
            <v>96.818003369761513</v>
          </cell>
        </row>
        <row r="106">
          <cell r="AS106">
            <v>96.728268188487093</v>
          </cell>
        </row>
        <row r="107">
          <cell r="AS107">
            <v>94.725921358787076</v>
          </cell>
        </row>
        <row r="108">
          <cell r="AS108">
            <v>96.728268188487093</v>
          </cell>
        </row>
        <row r="109">
          <cell r="AS109">
            <v>98.026213210604823</v>
          </cell>
        </row>
        <row r="110">
          <cell r="AS110">
            <v>98.897348757551114</v>
          </cell>
        </row>
        <row r="111">
          <cell r="AS111">
            <v>98.846181723282257</v>
          </cell>
        </row>
        <row r="112">
          <cell r="AS112">
            <v>99.65424616729544</v>
          </cell>
        </row>
        <row r="113">
          <cell r="AS113">
            <v>99.065888617269223</v>
          </cell>
        </row>
        <row r="114">
          <cell r="AS114">
            <v>99.602654863491452</v>
          </cell>
        </row>
        <row r="115">
          <cell r="AS115">
            <v>99.164950119073353</v>
          </cell>
        </row>
        <row r="116">
          <cell r="AS116">
            <v>97.38390073907243</v>
          </cell>
        </row>
        <row r="117">
          <cell r="AS117">
            <v>97.938471627804731</v>
          </cell>
        </row>
        <row r="118">
          <cell r="AS118">
            <v>102.00584482183068</v>
          </cell>
        </row>
        <row r="119">
          <cell r="AS119">
            <v>93.711849834287406</v>
          </cell>
        </row>
        <row r="120">
          <cell r="AS120">
            <v>104.41201107512165</v>
          </cell>
        </row>
        <row r="121">
          <cell r="AS121">
            <v>101.34183343248617</v>
          </cell>
        </row>
        <row r="122">
          <cell r="AS122">
            <v>103.02428455849693</v>
          </cell>
        </row>
        <row r="123">
          <cell r="AS123">
            <v>98.371980498141809</v>
          </cell>
        </row>
        <row r="124">
          <cell r="AS124">
            <v>97.480302480496775</v>
          </cell>
        </row>
        <row r="125">
          <cell r="AS125">
            <v>99.211017553113123</v>
          </cell>
        </row>
        <row r="126">
          <cell r="AS126">
            <v>98.111702404981273</v>
          </cell>
        </row>
        <row r="127">
          <cell r="AS127">
            <v>98.934461309721527</v>
          </cell>
        </row>
        <row r="128">
          <cell r="AS128">
            <v>98.841782508267997</v>
          </cell>
        </row>
        <row r="129">
          <cell r="AS129">
            <v>103.23164333167807</v>
          </cell>
        </row>
        <row r="130">
          <cell r="AS130">
            <v>98.533330895870236</v>
          </cell>
        </row>
        <row r="131">
          <cell r="AS131">
            <v>98.055764357108799</v>
          </cell>
        </row>
        <row r="132">
          <cell r="AS132">
            <v>98.965495815775583</v>
          </cell>
        </row>
        <row r="133">
          <cell r="AS133">
            <v>98.136818497898929</v>
          </cell>
        </row>
        <row r="134">
          <cell r="AS134">
            <v>99.594814290107152</v>
          </cell>
        </row>
        <row r="135">
          <cell r="AS135">
            <v>98.47330071154957</v>
          </cell>
        </row>
        <row r="136">
          <cell r="AS136">
            <v>103.36052848626758</v>
          </cell>
        </row>
        <row r="137">
          <cell r="AS137">
            <v>94.448940517191943</v>
          </cell>
        </row>
        <row r="138">
          <cell r="AS138">
            <v>96.922261553729911</v>
          </cell>
        </row>
        <row r="139">
          <cell r="AS139">
            <v>97.203701282276711</v>
          </cell>
        </row>
        <row r="140">
          <cell r="AS140">
            <v>97.400469908354196</v>
          </cell>
        </row>
        <row r="142">
          <cell r="AS142">
            <v>97.215215171736631</v>
          </cell>
        </row>
        <row r="143">
          <cell r="AS143">
            <v>100.22635814188384</v>
          </cell>
        </row>
        <row r="144">
          <cell r="AS144">
            <v>99.612902884689717</v>
          </cell>
        </row>
        <row r="145">
          <cell r="AS145">
            <v>98.872380781910195</v>
          </cell>
        </row>
        <row r="146">
          <cell r="AS146">
            <v>98.164307604461925</v>
          </cell>
        </row>
        <row r="147">
          <cell r="AS147">
            <v>96.764330157536619</v>
          </cell>
        </row>
        <row r="148">
          <cell r="AS148">
            <v>98.581081664819095</v>
          </cell>
        </row>
        <row r="149">
          <cell r="AS149">
            <v>98.654179974952328</v>
          </cell>
        </row>
        <row r="150">
          <cell r="AS150">
            <v>96.687242116034184</v>
          </cell>
        </row>
        <row r="151">
          <cell r="AS151">
            <v>99.203898650029743</v>
          </cell>
        </row>
        <row r="152">
          <cell r="AS152">
            <v>99.653052105402068</v>
          </cell>
        </row>
        <row r="153">
          <cell r="AS153">
            <v>100.04618853247267</v>
          </cell>
        </row>
        <row r="154">
          <cell r="AS154">
            <v>103.48583389849561</v>
          </cell>
        </row>
        <row r="155">
          <cell r="AS155">
            <v>98.880284002650114</v>
          </cell>
        </row>
        <row r="156">
          <cell r="AS156">
            <v>97.662755281529215</v>
          </cell>
        </row>
        <row r="157">
          <cell r="AS157">
            <v>101.20397725184486</v>
          </cell>
        </row>
        <row r="158">
          <cell r="AS158">
            <v>97.163133476785902</v>
          </cell>
        </row>
        <row r="159">
          <cell r="AS159">
            <v>99.680986353901574</v>
          </cell>
        </row>
        <row r="160">
          <cell r="AS160">
            <v>100.32468935826775</v>
          </cell>
        </row>
        <row r="161">
          <cell r="AS161">
            <v>99.06474164379361</v>
          </cell>
        </row>
        <row r="162">
          <cell r="AS162">
            <v>98.019922797995775</v>
          </cell>
        </row>
        <row r="163">
          <cell r="AS163">
            <v>99.773758394779009</v>
          </cell>
        </row>
        <row r="164">
          <cell r="AS164">
            <v>97.507731951946184</v>
          </cell>
        </row>
        <row r="165">
          <cell r="AS165">
            <v>98.581120174708957</v>
          </cell>
        </row>
        <row r="166">
          <cell r="AS166">
            <v>95.004403103029915</v>
          </cell>
        </row>
        <row r="167">
          <cell r="AS167">
            <v>99.803912080322945</v>
          </cell>
        </row>
        <row r="168">
          <cell r="AS168">
            <v>99.261754930640222</v>
          </cell>
        </row>
        <row r="169">
          <cell r="AS169">
            <v>97.650134196033449</v>
          </cell>
        </row>
        <row r="170">
          <cell r="AS170">
            <v>97.774353948870356</v>
          </cell>
        </row>
        <row r="171">
          <cell r="AS171">
            <v>100.34851077545073</v>
          </cell>
        </row>
        <row r="172">
          <cell r="AS172">
            <v>100.17584029377748</v>
          </cell>
        </row>
        <row r="173">
          <cell r="AS173">
            <v>99.593422617650873</v>
          </cell>
        </row>
        <row r="174">
          <cell r="AS174">
            <v>96.450818305435675</v>
          </cell>
        </row>
        <row r="175">
          <cell r="AS175">
            <v>104.47252079158716</v>
          </cell>
        </row>
        <row r="176">
          <cell r="AS176">
            <v>97.021410313288342</v>
          </cell>
        </row>
        <row r="177">
          <cell r="AS177">
            <v>111.42233703913573</v>
          </cell>
        </row>
        <row r="178">
          <cell r="AS178">
            <v>96.024912228115227</v>
          </cell>
        </row>
        <row r="179">
          <cell r="AS179">
            <v>100.88096411971219</v>
          </cell>
        </row>
        <row r="180">
          <cell r="AS180">
            <v>98.35750118912209</v>
          </cell>
        </row>
        <row r="181">
          <cell r="AS181">
            <v>99.955757308619226</v>
          </cell>
        </row>
        <row r="182">
          <cell r="AS182">
            <v>100.0542639520425</v>
          </cell>
        </row>
        <row r="183">
          <cell r="AS183">
            <v>97.894867203057146</v>
          </cell>
        </row>
        <row r="184">
          <cell r="AS184">
            <v>101.26478844270513</v>
          </cell>
        </row>
        <row r="185">
          <cell r="AS185">
            <v>100.87304844872946</v>
          </cell>
        </row>
        <row r="186">
          <cell r="AS186">
            <v>97.739128496924266</v>
          </cell>
        </row>
        <row r="187">
          <cell r="AS187">
            <v>98.608395095224694</v>
          </cell>
        </row>
        <row r="188">
          <cell r="AS188">
            <v>99.473816674074172</v>
          </cell>
        </row>
        <row r="189">
          <cell r="AS189">
            <v>96.771677377330477</v>
          </cell>
        </row>
        <row r="190">
          <cell r="AS190">
            <v>98.031246107368958</v>
          </cell>
        </row>
        <row r="191">
          <cell r="AS191">
            <v>98.226139240783183</v>
          </cell>
        </row>
        <row r="192">
          <cell r="AS192">
            <v>99.142807989788679</v>
          </cell>
        </row>
        <row r="193">
          <cell r="AS193">
            <v>102.23697824835402</v>
          </cell>
        </row>
        <row r="195">
          <cell r="AS195">
            <v>94.420068663376142</v>
          </cell>
        </row>
        <row r="196">
          <cell r="AS196">
            <v>101.4475035128455</v>
          </cell>
        </row>
        <row r="197">
          <cell r="AS197">
            <v>103.33938935492559</v>
          </cell>
        </row>
        <row r="198">
          <cell r="AS198">
            <v>98.251296837034474</v>
          </cell>
        </row>
        <row r="199">
          <cell r="AS199">
            <v>100.42613023056258</v>
          </cell>
        </row>
        <row r="200">
          <cell r="AS200">
            <v>100.62499385478152</v>
          </cell>
        </row>
        <row r="201">
          <cell r="AS201">
            <v>98.297689553042517</v>
          </cell>
        </row>
        <row r="202">
          <cell r="AS202">
            <v>100.3048487527348</v>
          </cell>
        </row>
        <row r="203">
          <cell r="AS203">
            <v>101.79315931615676</v>
          </cell>
        </row>
        <row r="204">
          <cell r="AS204">
            <v>104.73648096630129</v>
          </cell>
        </row>
        <row r="205">
          <cell r="AS205">
            <v>104.07643263107897</v>
          </cell>
        </row>
        <row r="206">
          <cell r="AS206">
            <v>104.01329640324821</v>
          </cell>
        </row>
        <row r="207">
          <cell r="AS207">
            <v>105.77821094217738</v>
          </cell>
        </row>
        <row r="208">
          <cell r="AS208">
            <v>102.42416344927454</v>
          </cell>
        </row>
        <row r="209">
          <cell r="AS209">
            <v>101.51921100112835</v>
          </cell>
        </row>
        <row r="210">
          <cell r="AS210">
            <v>102.44000842463204</v>
          </cell>
        </row>
        <row r="211">
          <cell r="AS211">
            <v>98.867922657162993</v>
          </cell>
        </row>
        <row r="212">
          <cell r="AS212">
            <v>97.867502708764803</v>
          </cell>
        </row>
        <row r="213">
          <cell r="AS213">
            <v>100.37302685675083</v>
          </cell>
        </row>
        <row r="214">
          <cell r="AS214">
            <v>98.153626645427877</v>
          </cell>
        </row>
        <row r="215">
          <cell r="AS215">
            <v>98.115990931121161</v>
          </cell>
        </row>
        <row r="216">
          <cell r="AS216">
            <v>98.809112005591132</v>
          </cell>
        </row>
        <row r="217">
          <cell r="AS217">
            <v>101.08067316566927</v>
          </cell>
        </row>
        <row r="218">
          <cell r="AS218">
            <v>100.42130937950147</v>
          </cell>
        </row>
        <row r="219">
          <cell r="AS219">
            <v>97.675605644629954</v>
          </cell>
        </row>
        <row r="220">
          <cell r="AS220">
            <v>95.681687628441722</v>
          </cell>
        </row>
        <row r="221">
          <cell r="AS221">
            <v>97.885552432619079</v>
          </cell>
        </row>
        <row r="222">
          <cell r="AS222">
            <v>95.870530359639602</v>
          </cell>
        </row>
        <row r="223">
          <cell r="AS223">
            <v>100.16797995065821</v>
          </cell>
        </row>
        <row r="224">
          <cell r="AS224">
            <v>99.91135688893435</v>
          </cell>
        </row>
        <row r="225">
          <cell r="AS225">
            <v>98.49752950633092</v>
          </cell>
        </row>
        <row r="226">
          <cell r="AS226">
            <v>100.08956846077814</v>
          </cell>
        </row>
        <row r="227">
          <cell r="AS227">
            <v>92.80227957183709</v>
          </cell>
        </row>
        <row r="228">
          <cell r="AS228">
            <v>101.36025128712886</v>
          </cell>
        </row>
        <row r="229">
          <cell r="AS229">
            <v>104.17219224910809</v>
          </cell>
        </row>
        <row r="230">
          <cell r="AS230">
            <v>98.018130850466463</v>
          </cell>
        </row>
        <row r="231">
          <cell r="AS231">
            <v>101.29164628597466</v>
          </cell>
        </row>
        <row r="232">
          <cell r="AS232">
            <v>98.717568355226533</v>
          </cell>
        </row>
        <row r="233">
          <cell r="AS233">
            <v>94.373621092817032</v>
          </cell>
        </row>
        <row r="234">
          <cell r="AS234">
            <v>94.757253698885393</v>
          </cell>
        </row>
        <row r="235">
          <cell r="AS235">
            <v>96.356247062990235</v>
          </cell>
        </row>
        <row r="236">
          <cell r="AS236">
            <v>97.895175175059975</v>
          </cell>
        </row>
        <row r="237">
          <cell r="AS237">
            <v>97.406620295015315</v>
          </cell>
        </row>
        <row r="238">
          <cell r="AS238">
            <v>96.710712657442159</v>
          </cell>
        </row>
        <row r="239">
          <cell r="AS239">
            <v>99.641893083846412</v>
          </cell>
        </row>
        <row r="240">
          <cell r="AS240">
            <v>100.47209138244359</v>
          </cell>
        </row>
        <row r="242">
          <cell r="A242" t="str">
            <v>ST223</v>
          </cell>
          <cell r="P242">
            <v>60</v>
          </cell>
          <cell r="Q242">
            <v>7.7634011090573063</v>
          </cell>
          <cell r="T242">
            <v>0.39791666666666664</v>
          </cell>
          <cell r="U242">
            <v>0.53402777777777777</v>
          </cell>
          <cell r="V242">
            <v>86</v>
          </cell>
          <cell r="AD242">
            <v>52.9</v>
          </cell>
          <cell r="AE242">
            <v>11.6</v>
          </cell>
          <cell r="AG242">
            <v>50</v>
          </cell>
          <cell r="AS242">
            <v>95.024171381581283</v>
          </cell>
          <cell r="AT242">
            <v>97.367547839761173</v>
          </cell>
          <cell r="AV242" t="str">
            <v>D. Gomaz</v>
          </cell>
          <cell r="AW242">
            <v>0.26666666666666666</v>
          </cell>
        </row>
        <row r="243">
          <cell r="A243" t="str">
            <v>ST224</v>
          </cell>
          <cell r="P243">
            <v>61</v>
          </cell>
          <cell r="Q243">
            <v>5.4307116104868891</v>
          </cell>
          <cell r="T243">
            <v>0.49305555555555558</v>
          </cell>
          <cell r="U243">
            <v>0.62013888888888891</v>
          </cell>
          <cell r="V243">
            <v>85</v>
          </cell>
          <cell r="AD243">
            <v>52.2</v>
          </cell>
          <cell r="AE243">
            <v>11.9</v>
          </cell>
          <cell r="AG243">
            <v>48.91</v>
          </cell>
          <cell r="AS243">
            <v>95.603326677587518</v>
          </cell>
          <cell r="AT243">
            <v>97.960219234935067</v>
          </cell>
          <cell r="AV243" t="str">
            <v>D. Gomaz</v>
          </cell>
          <cell r="AW243">
            <v>0.2590277777777778</v>
          </cell>
        </row>
        <row r="244">
          <cell r="A244" t="str">
            <v>ST225</v>
          </cell>
          <cell r="P244">
            <v>61</v>
          </cell>
          <cell r="Q244">
            <v>4.734848484848472</v>
          </cell>
          <cell r="T244">
            <v>0.60416666666666663</v>
          </cell>
          <cell r="U244">
            <v>0.73611111111111116</v>
          </cell>
          <cell r="V244">
            <v>89</v>
          </cell>
          <cell r="AD244">
            <v>53.3</v>
          </cell>
          <cell r="AE244">
            <v>11.8</v>
          </cell>
          <cell r="AG244">
            <v>50.4</v>
          </cell>
          <cell r="AS244">
            <v>97.891004589246791</v>
          </cell>
          <cell r="AT244">
            <v>100.30271959943934</v>
          </cell>
          <cell r="AV244" t="str">
            <v>D. Gomaz</v>
          </cell>
          <cell r="AW244">
            <v>0.28125000000000006</v>
          </cell>
        </row>
        <row r="245">
          <cell r="A245" t="str">
            <v>ST226</v>
          </cell>
          <cell r="P245">
            <v>59</v>
          </cell>
          <cell r="Q245">
            <v>5.4844606946983543</v>
          </cell>
          <cell r="T245">
            <v>0.69930555555555551</v>
          </cell>
          <cell r="U245">
            <v>0.82291666666666663</v>
          </cell>
          <cell r="V245">
            <v>82</v>
          </cell>
          <cell r="AD245">
            <v>52.6</v>
          </cell>
          <cell r="AE245">
            <v>11.7</v>
          </cell>
          <cell r="AG245">
            <v>50</v>
          </cell>
          <cell r="AS245">
            <v>96.127502387330068</v>
          </cell>
          <cell r="AT245">
            <v>98.49654487328624</v>
          </cell>
          <cell r="AV245" t="str">
            <v>K. Benjamin</v>
          </cell>
          <cell r="AW245">
            <v>0.27430555555555547</v>
          </cell>
        </row>
        <row r="246">
          <cell r="A246" t="str">
            <v>ST227</v>
          </cell>
          <cell r="P246">
            <v>60</v>
          </cell>
          <cell r="Q246">
            <v>4.9632352941176388</v>
          </cell>
          <cell r="T246">
            <v>0.78611111111111109</v>
          </cell>
          <cell r="U246">
            <v>0.91041666666666665</v>
          </cell>
          <cell r="V246">
            <v>75</v>
          </cell>
          <cell r="AD246">
            <v>52.6</v>
          </cell>
          <cell r="AE246">
            <v>11.8</v>
          </cell>
          <cell r="AG246">
            <v>49.9</v>
          </cell>
          <cell r="AS246">
            <v>96.919863670702682</v>
          </cell>
          <cell r="AT246">
            <v>99.307652936746521</v>
          </cell>
          <cell r="AV246" t="str">
            <v>K. Benjamin</v>
          </cell>
          <cell r="AW246">
            <v>0.26805555555555549</v>
          </cell>
        </row>
        <row r="247">
          <cell r="A247" t="str">
            <v>ST228</v>
          </cell>
          <cell r="P247">
            <v>59</v>
          </cell>
          <cell r="Q247">
            <v>3.1365313653136586</v>
          </cell>
          <cell r="T247">
            <v>0.87708333333333333</v>
          </cell>
          <cell r="U247">
            <v>0.99722222222222223</v>
          </cell>
          <cell r="V247">
            <v>79</v>
          </cell>
          <cell r="AD247">
            <v>53.4</v>
          </cell>
          <cell r="AE247">
            <v>11.8</v>
          </cell>
          <cell r="AG247">
            <v>50.7</v>
          </cell>
          <cell r="AS247">
            <v>98.103519034372525</v>
          </cell>
          <cell r="AT247">
            <v>100.52283481084572</v>
          </cell>
          <cell r="AV247" t="str">
            <v>K. Benjamin</v>
          </cell>
          <cell r="AW247">
            <v>0.26111111111111107</v>
          </cell>
        </row>
        <row r="248">
          <cell r="A248" t="str">
            <v>ST229</v>
          </cell>
          <cell r="P248">
            <v>62</v>
          </cell>
          <cell r="Q248">
            <v>3.8461538461538485</v>
          </cell>
          <cell r="T248">
            <v>0.96944444444444444</v>
          </cell>
          <cell r="U248">
            <v>1.0979166666666667</v>
          </cell>
          <cell r="V248">
            <v>82</v>
          </cell>
          <cell r="AD248">
            <v>53.4</v>
          </cell>
          <cell r="AE248">
            <v>11.8</v>
          </cell>
          <cell r="AG248">
            <v>51</v>
          </cell>
          <cell r="AS248">
            <v>98.807821942068728</v>
          </cell>
          <cell r="AT248">
            <v>101.24371437631785</v>
          </cell>
          <cell r="AV248" t="str">
            <v>R. Regis</v>
          </cell>
          <cell r="AW248">
            <v>0.26805555555555549</v>
          </cell>
        </row>
        <row r="249">
          <cell r="A249" t="str">
            <v>ST230</v>
          </cell>
          <cell r="P249">
            <v>60</v>
          </cell>
          <cell r="Q249">
            <v>4.7445255474452459</v>
          </cell>
          <cell r="T249">
            <v>1.0736111111111111</v>
          </cell>
          <cell r="U249">
            <v>1.2</v>
          </cell>
          <cell r="V249">
            <v>79</v>
          </cell>
          <cell r="AD249">
            <v>53.1</v>
          </cell>
          <cell r="AE249">
            <v>11.8</v>
          </cell>
          <cell r="AG249">
            <v>50.5</v>
          </cell>
          <cell r="AS249">
            <v>97.839117805381775</v>
          </cell>
          <cell r="AT249">
            <v>100.2511289412559</v>
          </cell>
          <cell r="AV249" t="str">
            <v>R. Regis</v>
          </cell>
          <cell r="AW249">
            <v>0.2763888888888888</v>
          </cell>
        </row>
        <row r="250">
          <cell r="A250" t="str">
            <v>ST231</v>
          </cell>
          <cell r="P250">
            <v>58</v>
          </cell>
          <cell r="Q250">
            <v>4.0590405904059086</v>
          </cell>
          <cell r="T250">
            <v>0.46597222222222223</v>
          </cell>
          <cell r="U250">
            <v>0.58125000000000004</v>
          </cell>
          <cell r="V250">
            <v>65</v>
          </cell>
          <cell r="AD250">
            <v>52.9</v>
          </cell>
          <cell r="AE250">
            <v>11.8</v>
          </cell>
          <cell r="AG250">
            <v>50.2</v>
          </cell>
          <cell r="AS250">
            <v>97.502548221829173</v>
          </cell>
          <cell r="AT250">
            <v>99.904692934362231</v>
          </cell>
          <cell r="AV250" t="str">
            <v>R.Sookram</v>
          </cell>
          <cell r="AW250">
            <v>0.24791666666666673</v>
          </cell>
        </row>
        <row r="251">
          <cell r="A251" t="str">
            <v>ST232</v>
          </cell>
          <cell r="P251">
            <v>59</v>
          </cell>
          <cell r="Q251">
            <v>3.4798534798534773</v>
          </cell>
          <cell r="T251">
            <v>0.56319444444444444</v>
          </cell>
          <cell r="U251">
            <v>0.68958333333333333</v>
          </cell>
          <cell r="V251">
            <v>89</v>
          </cell>
          <cell r="AD251">
            <v>53.6</v>
          </cell>
          <cell r="AE251">
            <v>11.7</v>
          </cell>
          <cell r="AG251">
            <v>50.9</v>
          </cell>
          <cell r="AS251">
            <v>97.980878408450792</v>
          </cell>
          <cell r="AT251">
            <v>100.39480761635954</v>
          </cell>
          <cell r="AV251" t="str">
            <v>R.Sookram</v>
          </cell>
          <cell r="AW251">
            <v>0.27291666666666664</v>
          </cell>
        </row>
        <row r="252">
          <cell r="A252" t="str">
            <v>ST233</v>
          </cell>
          <cell r="P252">
            <v>61</v>
          </cell>
          <cell r="Q252">
            <v>3.4671532846715305</v>
          </cell>
          <cell r="T252">
            <v>0.65972222222222221</v>
          </cell>
          <cell r="U252">
            <v>0.78680555555555554</v>
          </cell>
          <cell r="V252">
            <v>87</v>
          </cell>
          <cell r="AD252">
            <v>53.8</v>
          </cell>
          <cell r="AE252">
            <v>11.8</v>
          </cell>
          <cell r="AG252">
            <v>51.2</v>
          </cell>
          <cell r="AS252">
            <v>99.44483005891739</v>
          </cell>
          <cell r="AT252">
            <v>101.89482625974793</v>
          </cell>
          <cell r="AV252" t="str">
            <v>D. Gomaz</v>
          </cell>
          <cell r="AW252">
            <v>0.28680555555555554</v>
          </cell>
        </row>
        <row r="253">
          <cell r="A253" t="str">
            <v>ST234</v>
          </cell>
          <cell r="P253">
            <v>61</v>
          </cell>
          <cell r="Q253">
            <v>3.3088235294117601</v>
          </cell>
          <cell r="T253">
            <v>0.75694444444444442</v>
          </cell>
          <cell r="U253">
            <v>0.88541666666666663</v>
          </cell>
          <cell r="V253">
            <v>91</v>
          </cell>
          <cell r="AD253">
            <v>53.5</v>
          </cell>
          <cell r="AE253">
            <v>11.7</v>
          </cell>
          <cell r="AG253">
            <v>51.2</v>
          </cell>
          <cell r="AS253">
            <v>98.558368850936759</v>
          </cell>
          <cell r="AT253">
            <v>100.98652553944225</v>
          </cell>
          <cell r="AV253" t="str">
            <v>D. Gomaz</v>
          </cell>
          <cell r="AW253">
            <v>0.30208333333333326</v>
          </cell>
        </row>
        <row r="254">
          <cell r="A254" t="str">
            <v>ST235</v>
          </cell>
          <cell r="P254">
            <v>62</v>
          </cell>
          <cell r="Q254">
            <v>6.8441064638783295</v>
          </cell>
          <cell r="T254">
            <v>0.92986111111111114</v>
          </cell>
          <cell r="U254">
            <v>1.04375</v>
          </cell>
          <cell r="V254">
            <v>55</v>
          </cell>
          <cell r="AD254">
            <v>51.5</v>
          </cell>
          <cell r="AE254">
            <v>11.9</v>
          </cell>
          <cell r="AG254">
            <v>48.4</v>
          </cell>
          <cell r="AS254">
            <v>94.844423775739514</v>
          </cell>
          <cell r="AT254">
            <v>97.18108097333193</v>
          </cell>
          <cell r="AV254" t="str">
            <v>D. Gomaz</v>
          </cell>
          <cell r="AW254">
            <v>0.25208333333333333</v>
          </cell>
        </row>
        <row r="255">
          <cell r="A255" t="str">
            <v>ST236</v>
          </cell>
          <cell r="P255">
            <v>60</v>
          </cell>
          <cell r="Q255">
            <v>6.0329067641681977</v>
          </cell>
          <cell r="T255">
            <v>1.0291666666666666</v>
          </cell>
          <cell r="U255">
            <v>1.1451388888888889</v>
          </cell>
          <cell r="V255">
            <v>57</v>
          </cell>
          <cell r="AD255">
            <v>53.6</v>
          </cell>
          <cell r="AE255">
            <v>11.8</v>
          </cell>
          <cell r="AG255">
            <v>50.9</v>
          </cell>
          <cell r="AS255">
            <v>98.490515164685618</v>
          </cell>
          <cell r="AT255">
            <v>100.91937459313701</v>
          </cell>
          <cell r="AV255" t="str">
            <v>K. Benjamin</v>
          </cell>
          <cell r="AW255">
            <v>0.2597222222222223</v>
          </cell>
        </row>
        <row r="256">
          <cell r="A256" t="str">
            <v>ST237</v>
          </cell>
          <cell r="P256">
            <v>62</v>
          </cell>
          <cell r="Q256">
            <v>7.0909090909090882</v>
          </cell>
          <cell r="T256">
            <v>1.117361111111111</v>
          </cell>
          <cell r="U256">
            <v>1.2465277777777777</v>
          </cell>
          <cell r="V256">
            <v>58</v>
          </cell>
          <cell r="AD256">
            <v>53.3</v>
          </cell>
          <cell r="AE256">
            <v>11.9</v>
          </cell>
          <cell r="AG256">
            <v>50.3</v>
          </cell>
          <cell r="AS256">
            <v>98.197131955684057</v>
          </cell>
          <cell r="AT256">
            <v>100.61875630599475</v>
          </cell>
          <cell r="AV256" t="str">
            <v>K. Benjamin</v>
          </cell>
          <cell r="AW256">
            <v>0.26041666666666652</v>
          </cell>
        </row>
        <row r="257">
          <cell r="A257" t="str">
            <v>ST238</v>
          </cell>
          <cell r="P257">
            <v>60</v>
          </cell>
          <cell r="Q257">
            <v>4.5787545787545785</v>
          </cell>
          <cell r="T257">
            <v>0.22291666666666668</v>
          </cell>
          <cell r="U257">
            <v>0.33680555555555558</v>
          </cell>
          <cell r="V257">
            <v>60</v>
          </cell>
          <cell r="AD257">
            <v>53</v>
          </cell>
          <cell r="AE257">
            <v>11.8</v>
          </cell>
          <cell r="AG257">
            <v>50.2</v>
          </cell>
          <cell r="AS257">
            <v>97.136028708589762</v>
          </cell>
          <cell r="AT257">
            <v>99.531485355117454</v>
          </cell>
          <cell r="AV257" t="str">
            <v>K. Benjamin</v>
          </cell>
          <cell r="AW257">
            <v>0.25347222222222227</v>
          </cell>
        </row>
        <row r="258">
          <cell r="A258" t="str">
            <v>ST239</v>
          </cell>
          <cell r="P258">
            <v>58</v>
          </cell>
          <cell r="Q258">
            <v>4.0293040293040345</v>
          </cell>
          <cell r="T258">
            <v>0.31458333333333333</v>
          </cell>
          <cell r="U258">
            <v>0.42083333333333334</v>
          </cell>
          <cell r="V258">
            <v>64</v>
          </cell>
          <cell r="AD258">
            <v>53.3</v>
          </cell>
          <cell r="AE258">
            <v>11.8</v>
          </cell>
          <cell r="AG258">
            <v>50.7</v>
          </cell>
          <cell r="AS258">
            <v>98.349989106466737</v>
          </cell>
          <cell r="AT258">
            <v>100.77380431959617</v>
          </cell>
          <cell r="AV258" t="str">
            <v>R.Sookram</v>
          </cell>
          <cell r="AW258">
            <v>0.25069444444444444</v>
          </cell>
        </row>
        <row r="259">
          <cell r="A259" t="str">
            <v>ST240</v>
          </cell>
          <cell r="P259">
            <v>58</v>
          </cell>
          <cell r="Q259">
            <v>5.1001821493624719</v>
          </cell>
          <cell r="T259">
            <v>0.5131944444444444</v>
          </cell>
          <cell r="U259">
            <v>0.625</v>
          </cell>
          <cell r="V259">
            <v>56</v>
          </cell>
          <cell r="AD259">
            <v>54.3</v>
          </cell>
          <cell r="AE259">
            <v>11.6</v>
          </cell>
          <cell r="AG259">
            <v>51.9</v>
          </cell>
          <cell r="AS259">
            <v>98.882895456577998</v>
          </cell>
          <cell r="AT259">
            <v>101.31984403688223</v>
          </cell>
          <cell r="AV259" t="str">
            <v>R.Sookram</v>
          </cell>
          <cell r="AW259">
            <v>0.36458333333333331</v>
          </cell>
        </row>
        <row r="260">
          <cell r="A260" t="str">
            <v>ST241</v>
          </cell>
          <cell r="P260">
            <v>58</v>
          </cell>
          <cell r="Q260">
            <v>3.8321167883211578</v>
          </cell>
          <cell r="T260">
            <v>0.61736111111111114</v>
          </cell>
          <cell r="U260">
            <v>0.72638888888888886</v>
          </cell>
          <cell r="V260">
            <v>59</v>
          </cell>
          <cell r="AD260">
            <v>53.6</v>
          </cell>
          <cell r="AE260">
            <v>11.7</v>
          </cell>
          <cell r="AG260">
            <v>50.9</v>
          </cell>
          <cell r="AS260">
            <v>97.980878408450792</v>
          </cell>
          <cell r="AT260">
            <v>100.39480761635954</v>
          </cell>
          <cell r="AV260" t="str">
            <v>D. Gomaz</v>
          </cell>
          <cell r="AW260">
            <v>0.26805555555555555</v>
          </cell>
        </row>
        <row r="261">
          <cell r="A261" t="str">
            <v>ST242</v>
          </cell>
          <cell r="P261">
            <v>59</v>
          </cell>
          <cell r="Q261">
            <v>-0.95419847328244278</v>
          </cell>
          <cell r="T261">
            <v>0.71250000000000002</v>
          </cell>
          <cell r="U261">
            <v>0.8208333333333333</v>
          </cell>
          <cell r="V261">
            <v>65</v>
          </cell>
          <cell r="AD261">
            <v>53.8</v>
          </cell>
          <cell r="AE261">
            <v>11.6</v>
          </cell>
          <cell r="AG261">
            <v>51.8</v>
          </cell>
          <cell r="AS261">
            <v>98.816500310647015</v>
          </cell>
          <cell r="AT261">
            <v>101.25101651623578</v>
          </cell>
          <cell r="AV261" t="str">
            <v>D. Gomaz</v>
          </cell>
          <cell r="AW261">
            <v>0.26874999999999993</v>
          </cell>
        </row>
        <row r="262">
          <cell r="A262" t="str">
            <v>ST243</v>
          </cell>
          <cell r="P262">
            <v>57</v>
          </cell>
          <cell r="Q262">
            <v>13.108614232209739</v>
          </cell>
          <cell r="T262">
            <v>0.80347222222222225</v>
          </cell>
          <cell r="U262">
            <v>0.92083333333333328</v>
          </cell>
          <cell r="V262">
            <v>59</v>
          </cell>
          <cell r="AD262">
            <v>48.8</v>
          </cell>
          <cell r="AE262">
            <v>11.9</v>
          </cell>
          <cell r="AG262">
            <v>48.1</v>
          </cell>
          <cell r="AS262">
            <v>95.242586332157259</v>
          </cell>
          <cell r="AT262">
            <v>97.063992716792697</v>
          </cell>
          <cell r="AV262" t="str">
            <v>R.Sookram</v>
          </cell>
          <cell r="AW262">
            <v>0.33749999999999991</v>
          </cell>
        </row>
        <row r="263">
          <cell r="A263" t="str">
            <v>ST244</v>
          </cell>
          <cell r="P263">
            <v>58</v>
          </cell>
          <cell r="Q263">
            <v>13.084112149532709</v>
          </cell>
          <cell r="T263">
            <v>0.93333333333333335</v>
          </cell>
          <cell r="U263">
            <v>1.04375</v>
          </cell>
          <cell r="V263">
            <v>62</v>
          </cell>
          <cell r="AD263">
            <v>50.2</v>
          </cell>
          <cell r="AE263">
            <v>11.9</v>
          </cell>
          <cell r="AG263">
            <v>49.2</v>
          </cell>
          <cell r="AS263">
            <v>97.297864805711271</v>
          </cell>
          <cell r="AT263">
            <v>99.159191442218884</v>
          </cell>
          <cell r="AV263" t="str">
            <v>R. Regis</v>
          </cell>
          <cell r="AW263">
            <v>0.24166666666666659</v>
          </cell>
        </row>
        <row r="264">
          <cell r="A264" t="str">
            <v>ST245</v>
          </cell>
          <cell r="P264">
            <v>60</v>
          </cell>
          <cell r="Q264">
            <v>13.627992633517493</v>
          </cell>
          <cell r="T264">
            <v>1.0138888888888888</v>
          </cell>
          <cell r="U264">
            <v>1.1236111111111111</v>
          </cell>
          <cell r="V264">
            <v>58</v>
          </cell>
          <cell r="AD264">
            <v>50.6</v>
          </cell>
          <cell r="AE264">
            <v>12</v>
          </cell>
          <cell r="AG264">
            <v>49.6</v>
          </cell>
          <cell r="AS264">
            <v>98.830948870010644</v>
          </cell>
          <cell r="AT264">
            <v>100.72222720912562</v>
          </cell>
          <cell r="AV264" t="str">
            <v>R. Regis</v>
          </cell>
          <cell r="AW264">
            <v>0.23819444444444449</v>
          </cell>
        </row>
        <row r="265">
          <cell r="A265" t="str">
            <v>ST246</v>
          </cell>
          <cell r="P265">
            <v>60</v>
          </cell>
          <cell r="Q265">
            <v>12.38447319778189</v>
          </cell>
          <cell r="T265">
            <v>1.0972222222222223</v>
          </cell>
          <cell r="U265">
            <v>1.2048611111111112</v>
          </cell>
          <cell r="V265">
            <v>58</v>
          </cell>
          <cell r="AD265">
            <v>49.5</v>
          </cell>
          <cell r="AE265">
            <v>12</v>
          </cell>
          <cell r="AG265">
            <v>48.6</v>
          </cell>
          <cell r="AS265">
            <v>96.960481671797865</v>
          </cell>
          <cell r="AT265">
            <v>98.815354104864156</v>
          </cell>
          <cell r="AV265" t="str">
            <v>R. Regis</v>
          </cell>
          <cell r="AW265">
            <v>0.23611111111111116</v>
          </cell>
        </row>
        <row r="266">
          <cell r="A266" t="str">
            <v>ST247</v>
          </cell>
          <cell r="P266">
            <v>60</v>
          </cell>
          <cell r="Q266">
            <v>11.829944547134932</v>
          </cell>
          <cell r="T266">
            <v>0.17986111111111111</v>
          </cell>
          <cell r="U266">
            <v>0.29305555555555557</v>
          </cell>
          <cell r="V266">
            <v>60</v>
          </cell>
          <cell r="AD266">
            <v>50.2</v>
          </cell>
          <cell r="AE266">
            <v>12.1</v>
          </cell>
          <cell r="AG266">
            <v>49.4</v>
          </cell>
          <cell r="AS266">
            <v>98.920822376514678</v>
          </cell>
          <cell r="AT266">
            <v>100.8156834719544</v>
          </cell>
          <cell r="AV266" t="str">
            <v>R. Regis</v>
          </cell>
          <cell r="AW266">
            <v>0.24097222222222223</v>
          </cell>
        </row>
        <row r="267">
          <cell r="A267" t="str">
            <v>ST248</v>
          </cell>
          <cell r="P267">
            <v>60</v>
          </cell>
          <cell r="Q267">
            <v>12.014787430683919</v>
          </cell>
          <cell r="T267">
            <v>0.2638888888888889</v>
          </cell>
          <cell r="U267">
            <v>0.37222222222222223</v>
          </cell>
          <cell r="V267">
            <v>61</v>
          </cell>
          <cell r="AD267">
            <v>49.3</v>
          </cell>
          <cell r="AE267">
            <v>11.8</v>
          </cell>
          <cell r="AG267">
            <v>48.7</v>
          </cell>
          <cell r="AS267">
            <v>95.218043199829722</v>
          </cell>
          <cell r="AT267">
            <v>97.040782390036384</v>
          </cell>
          <cell r="AV267" t="str">
            <v>D. Gomaz</v>
          </cell>
          <cell r="AW267">
            <v>0.23680555555555557</v>
          </cell>
        </row>
        <row r="268">
          <cell r="A268" t="str">
            <v>ST249</v>
          </cell>
          <cell r="P268">
            <v>61</v>
          </cell>
          <cell r="Q268">
            <v>10.634328358208959</v>
          </cell>
          <cell r="T268">
            <v>0.34583333333333333</v>
          </cell>
          <cell r="U268">
            <v>0.45763888888888887</v>
          </cell>
          <cell r="V268">
            <v>64</v>
          </cell>
          <cell r="AD268">
            <v>52.1</v>
          </cell>
          <cell r="AE268">
            <v>12.1</v>
          </cell>
          <cell r="AG268">
            <v>51.2</v>
          </cell>
          <cell r="AS268">
            <v>102.91252288333963</v>
          </cell>
          <cell r="AT268">
            <v>104.8819082588553</v>
          </cell>
          <cell r="AV268" t="str">
            <v>D. Gomaz</v>
          </cell>
          <cell r="AW268">
            <v>0.23888888888888887</v>
          </cell>
        </row>
        <row r="269">
          <cell r="A269" t="str">
            <v>ST250</v>
          </cell>
          <cell r="P269">
            <v>60</v>
          </cell>
          <cell r="Q269">
            <v>11.829944547134932</v>
          </cell>
          <cell r="T269">
            <v>0.42777777777777776</v>
          </cell>
          <cell r="U269">
            <v>0.54027777777777775</v>
          </cell>
          <cell r="V269">
            <v>64</v>
          </cell>
          <cell r="AD269">
            <v>51.1</v>
          </cell>
          <cell r="AE269">
            <v>11.8</v>
          </cell>
          <cell r="AG269">
            <v>51</v>
          </cell>
          <cell r="AS269">
            <v>99.840554631081304</v>
          </cell>
          <cell r="AT269">
            <v>101.7511532896791</v>
          </cell>
          <cell r="AV269" t="str">
            <v>D. Gomaz</v>
          </cell>
          <cell r="AW269">
            <v>0.23819444444444443</v>
          </cell>
        </row>
        <row r="270">
          <cell r="A270" t="str">
            <v>ST251</v>
          </cell>
          <cell r="P270">
            <v>51</v>
          </cell>
          <cell r="Q270">
            <v>13.043478260869563</v>
          </cell>
          <cell r="T270">
            <v>1.2194444444444446</v>
          </cell>
          <cell r="U270">
            <v>1.3263888888888888</v>
          </cell>
          <cell r="V270">
            <v>54</v>
          </cell>
          <cell r="AD270">
            <v>52.9</v>
          </cell>
          <cell r="AE270">
            <v>12.2</v>
          </cell>
          <cell r="AG270">
            <v>47.4</v>
          </cell>
          <cell r="AS270">
            <v>95.545616911541998</v>
          </cell>
          <cell r="AT270">
            <v>97.573914932101957</v>
          </cell>
          <cell r="AV270" t="str">
            <v>R.Sookram</v>
          </cell>
          <cell r="AW270">
            <v>0.32986111111111105</v>
          </cell>
        </row>
        <row r="271">
          <cell r="A271" t="str">
            <v>ST252</v>
          </cell>
          <cell r="P271">
            <v>62</v>
          </cell>
          <cell r="Q271">
            <v>12.149532710280374</v>
          </cell>
          <cell r="T271">
            <v>0.33680555555555558</v>
          </cell>
          <cell r="U271">
            <v>0.44791666666666669</v>
          </cell>
          <cell r="V271">
            <v>61</v>
          </cell>
          <cell r="AD271">
            <v>53.5</v>
          </cell>
          <cell r="AE271">
            <v>12</v>
          </cell>
          <cell r="AG271">
            <v>50.1</v>
          </cell>
          <cell r="AS271">
            <v>99.49940457072266</v>
          </cell>
          <cell r="AT271">
            <v>101.61025323504261</v>
          </cell>
          <cell r="AV271" t="str">
            <v>D. Gomaz</v>
          </cell>
          <cell r="AW271">
            <v>0.24236111111111114</v>
          </cell>
        </row>
        <row r="272">
          <cell r="A272" t="str">
            <v>ST253</v>
          </cell>
          <cell r="P272">
            <v>61</v>
          </cell>
          <cell r="Q272">
            <v>12.336448598130843</v>
          </cell>
          <cell r="T272">
            <v>0.28888888888888886</v>
          </cell>
          <cell r="U272">
            <v>0.52986111111111112</v>
          </cell>
          <cell r="V272">
            <v>61</v>
          </cell>
          <cell r="AD272">
            <v>53.5</v>
          </cell>
          <cell r="AE272">
            <v>11.8</v>
          </cell>
          <cell r="AG272">
            <v>49.7</v>
          </cell>
          <cell r="AS272">
            <v>97.046216145736423</v>
          </cell>
          <cell r="AT272">
            <v>99.106369761087166</v>
          </cell>
          <cell r="AV272" t="str">
            <v>D. Gomaz</v>
          </cell>
          <cell r="AW272">
            <v>0.24097222222222225</v>
          </cell>
        </row>
        <row r="273">
          <cell r="A273" t="str">
            <v>ST254</v>
          </cell>
          <cell r="P273">
            <v>59</v>
          </cell>
          <cell r="Q273">
            <v>10.714285714285719</v>
          </cell>
          <cell r="T273">
            <v>0.5</v>
          </cell>
          <cell r="U273">
            <v>0.61388888888888893</v>
          </cell>
          <cell r="V273">
            <v>65</v>
          </cell>
          <cell r="AD273">
            <v>53.2</v>
          </cell>
          <cell r="AE273">
            <v>11.8</v>
          </cell>
          <cell r="AG273">
            <v>52.8</v>
          </cell>
          <cell r="AS273">
            <v>102.38078795174074</v>
          </cell>
          <cell r="AT273">
            <v>104.55630775171711</v>
          </cell>
          <cell r="AV273" t="str">
            <v>D. Gomaz</v>
          </cell>
          <cell r="AW273">
            <v>0.2416666666666667</v>
          </cell>
        </row>
      </sheetData>
      <sheetData sheetId="7">
        <row r="4">
          <cell r="D4">
            <v>12.04</v>
          </cell>
        </row>
        <row r="203">
          <cell r="D203">
            <v>11.79</v>
          </cell>
        </row>
        <row r="204">
          <cell r="D204">
            <v>11.91</v>
          </cell>
        </row>
        <row r="205">
          <cell r="D205">
            <v>11.9</v>
          </cell>
        </row>
        <row r="206">
          <cell r="D206">
            <v>11.9</v>
          </cell>
        </row>
        <row r="207">
          <cell r="D207">
            <v>12.27</v>
          </cell>
        </row>
        <row r="208">
          <cell r="D208">
            <v>11.92</v>
          </cell>
        </row>
        <row r="209">
          <cell r="D209">
            <v>11.84</v>
          </cell>
        </row>
        <row r="210">
          <cell r="D210">
            <v>11.8</v>
          </cell>
        </row>
        <row r="211">
          <cell r="D211">
            <v>12.07</v>
          </cell>
        </row>
        <row r="212">
          <cell r="D212">
            <v>11.64</v>
          </cell>
        </row>
        <row r="213">
          <cell r="D213">
            <v>11.7</v>
          </cell>
        </row>
        <row r="214">
          <cell r="D214">
            <v>11.84</v>
          </cell>
        </row>
        <row r="215">
          <cell r="D215">
            <v>12</v>
          </cell>
        </row>
        <row r="216">
          <cell r="D216">
            <v>11.68</v>
          </cell>
        </row>
        <row r="217">
          <cell r="D217">
            <v>11.76</v>
          </cell>
        </row>
        <row r="218">
          <cell r="D218">
            <v>11.63</v>
          </cell>
        </row>
        <row r="219">
          <cell r="D219">
            <v>11.6</v>
          </cell>
        </row>
        <row r="220">
          <cell r="D220">
            <v>11.86</v>
          </cell>
        </row>
        <row r="221">
          <cell r="D221">
            <v>11.8</v>
          </cell>
        </row>
        <row r="222">
          <cell r="D222">
            <v>11.8</v>
          </cell>
        </row>
        <row r="223">
          <cell r="D223">
            <v>11.69</v>
          </cell>
        </row>
        <row r="226">
          <cell r="D226">
            <v>11.76</v>
          </cell>
        </row>
        <row r="227">
          <cell r="D227">
            <v>11.64</v>
          </cell>
        </row>
        <row r="228">
          <cell r="D228">
            <v>11.4</v>
          </cell>
        </row>
        <row r="229">
          <cell r="D229">
            <v>12.3</v>
          </cell>
        </row>
        <row r="230">
          <cell r="D230">
            <v>11.6</v>
          </cell>
        </row>
        <row r="231">
          <cell r="D231">
            <v>11.8</v>
          </cell>
        </row>
        <row r="232">
          <cell r="D232">
            <v>11.6</v>
          </cell>
        </row>
        <row r="233">
          <cell r="D233">
            <v>11.6</v>
          </cell>
        </row>
        <row r="234">
          <cell r="D234">
            <v>11.6</v>
          </cell>
        </row>
        <row r="237">
          <cell r="D237">
            <v>11.8</v>
          </cell>
        </row>
        <row r="238">
          <cell r="D238">
            <v>11.8</v>
          </cell>
        </row>
        <row r="239">
          <cell r="D239">
            <v>11.8</v>
          </cell>
        </row>
        <row r="240">
          <cell r="D240">
            <v>12</v>
          </cell>
        </row>
        <row r="242">
          <cell r="D242">
            <v>11.6</v>
          </cell>
        </row>
        <row r="243">
          <cell r="D243">
            <v>11.9</v>
          </cell>
        </row>
        <row r="244">
          <cell r="D244">
            <v>11.8</v>
          </cell>
        </row>
        <row r="245">
          <cell r="D245">
            <v>11.7</v>
          </cell>
        </row>
        <row r="246">
          <cell r="D246">
            <v>11.8</v>
          </cell>
        </row>
        <row r="247">
          <cell r="D247">
            <v>11.8</v>
          </cell>
        </row>
        <row r="248">
          <cell r="D248">
            <v>11.8</v>
          </cell>
        </row>
        <row r="249">
          <cell r="D249">
            <v>11.8</v>
          </cell>
        </row>
        <row r="250">
          <cell r="D250">
            <v>11.8</v>
          </cell>
        </row>
        <row r="251">
          <cell r="D251">
            <v>11.7</v>
          </cell>
        </row>
        <row r="252">
          <cell r="D252">
            <v>11.8</v>
          </cell>
        </row>
        <row r="253">
          <cell r="D253">
            <v>11.7</v>
          </cell>
        </row>
        <row r="254">
          <cell r="D254">
            <v>11.9</v>
          </cell>
        </row>
        <row r="255">
          <cell r="D255">
            <v>11.8</v>
          </cell>
        </row>
        <row r="256">
          <cell r="D256">
            <v>11.9</v>
          </cell>
        </row>
        <row r="257">
          <cell r="D257">
            <v>11.8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Summary July '25"/>
      <sheetName val="Summary June '25"/>
      <sheetName val="Summary May '25"/>
      <sheetName val="Guinnbottling"/>
      <sheetName val="Summary April '25"/>
      <sheetName val="Summary March '25"/>
      <sheetName val="Summary February '25"/>
      <sheetName val="Summary January '25"/>
      <sheetName val="Summary Dec '24  "/>
      <sheetName val="Summary Nov '24 "/>
      <sheetName val="Summary Oct '24"/>
      <sheetName val="Summary May '24"/>
      <sheetName val="Summary April '24 "/>
      <sheetName val="Summary March '24"/>
      <sheetName val="Summary February '24"/>
      <sheetName val="Summary January '24"/>
      <sheetName val="Summary December '23"/>
    </sheetNames>
    <sheetDataSet>
      <sheetData sheetId="0"/>
      <sheetData sheetId="1">
        <row r="4">
          <cell r="AU4">
            <v>95.064652661521251</v>
          </cell>
        </row>
        <row r="5">
          <cell r="AU5">
            <v>96.761647531636157</v>
          </cell>
        </row>
        <row r="6">
          <cell r="AU6">
            <v>98.540988907028222</v>
          </cell>
        </row>
        <row r="7">
          <cell r="AU7">
            <v>97.987496127919911</v>
          </cell>
        </row>
        <row r="9">
          <cell r="AU9">
            <v>96.878658921984908</v>
          </cell>
        </row>
        <row r="10">
          <cell r="AU10">
            <v>95.771550127068778</v>
          </cell>
        </row>
        <row r="11">
          <cell r="AU11">
            <v>97.655042988145951</v>
          </cell>
        </row>
        <row r="12">
          <cell r="AU12">
            <v>97.588179145211456</v>
          </cell>
        </row>
        <row r="13">
          <cell r="AU13">
            <v>95.48497302787608</v>
          </cell>
        </row>
        <row r="14">
          <cell r="AU14">
            <v>96.085762312216758</v>
          </cell>
        </row>
        <row r="15">
          <cell r="AU15">
            <v>94.435555625701596</v>
          </cell>
        </row>
        <row r="16">
          <cell r="AU16">
            <v>95.624399511520494</v>
          </cell>
        </row>
        <row r="17">
          <cell r="AU17">
            <v>96.979216130328368</v>
          </cell>
        </row>
        <row r="18">
          <cell r="AU18">
            <v>94.248871364698488</v>
          </cell>
        </row>
        <row r="19">
          <cell r="AU19">
            <v>95.050384097787941</v>
          </cell>
        </row>
        <row r="20">
          <cell r="AU20">
            <v>95.050384097787941</v>
          </cell>
        </row>
        <row r="21">
          <cell r="AU21">
            <v>95.2118805924067</v>
          </cell>
        </row>
        <row r="22">
          <cell r="AU22">
            <v>97.521945612269661</v>
          </cell>
        </row>
        <row r="24">
          <cell r="AU24">
            <v>101.17562190812932</v>
          </cell>
        </row>
        <row r="25">
          <cell r="AU25">
            <v>104.35489283685058</v>
          </cell>
        </row>
        <row r="26">
          <cell r="AU26">
            <v>96.487973390295707</v>
          </cell>
        </row>
        <row r="27">
          <cell r="AU27">
            <v>96.125236648226917</v>
          </cell>
        </row>
        <row r="28">
          <cell r="AU28">
            <v>96.035425509762433</v>
          </cell>
        </row>
        <row r="29">
          <cell r="AU29">
            <v>97.504418634194764</v>
          </cell>
        </row>
        <row r="30">
          <cell r="AU30">
            <v>96.37756538871183</v>
          </cell>
        </row>
        <row r="31">
          <cell r="AU31">
            <v>97.487479769387974</v>
          </cell>
        </row>
        <row r="32">
          <cell r="AU32">
            <v>94.125484514622414</v>
          </cell>
        </row>
        <row r="33">
          <cell r="AU33">
            <v>97.508191618159188</v>
          </cell>
        </row>
        <row r="34">
          <cell r="AU34">
            <v>97.827131938655612</v>
          </cell>
        </row>
        <row r="35">
          <cell r="AU35">
            <v>96.619542475024176</v>
          </cell>
        </row>
        <row r="37">
          <cell r="AU37">
            <v>96.214667872117261</v>
          </cell>
        </row>
        <row r="38">
          <cell r="AU38">
            <v>96.902724932547827</v>
          </cell>
        </row>
        <row r="39">
          <cell r="AU39">
            <v>96.477419827020157</v>
          </cell>
        </row>
        <row r="40">
          <cell r="AU40">
            <v>97.958535684216713</v>
          </cell>
        </row>
        <row r="41">
          <cell r="AU41">
            <v>98.383583724984007</v>
          </cell>
        </row>
        <row r="42">
          <cell r="AU42">
            <v>96.793336074199303</v>
          </cell>
        </row>
        <row r="43">
          <cell r="AU43">
            <v>99.803737147936374</v>
          </cell>
        </row>
        <row r="44">
          <cell r="AU44">
            <v>102.72591618996796</v>
          </cell>
        </row>
        <row r="45">
          <cell r="AU45">
            <v>97.552718434345124</v>
          </cell>
        </row>
        <row r="47">
          <cell r="AU47">
            <v>92.888951923394671</v>
          </cell>
        </row>
        <row r="48">
          <cell r="AU48">
            <v>95.806125620162447</v>
          </cell>
        </row>
        <row r="49">
          <cell r="AU49">
            <v>94.355661968588151</v>
          </cell>
        </row>
        <row r="50">
          <cell r="AU50">
            <v>95.810201396742571</v>
          </cell>
        </row>
        <row r="51">
          <cell r="AU51">
            <v>99.427652456948039</v>
          </cell>
        </row>
        <row r="52">
          <cell r="AU52">
            <v>97.654775523306199</v>
          </cell>
        </row>
        <row r="53">
          <cell r="AU53">
            <v>100.94816106190711</v>
          </cell>
        </row>
        <row r="54">
          <cell r="AU54">
            <v>97.448016749021562</v>
          </cell>
        </row>
        <row r="55">
          <cell r="AU55">
            <v>93.513475858619572</v>
          </cell>
        </row>
        <row r="56">
          <cell r="AU56">
            <v>98.277172200509639</v>
          </cell>
        </row>
        <row r="57">
          <cell r="AU57">
            <v>95.760757936806428</v>
          </cell>
        </row>
        <row r="58">
          <cell r="AU58">
            <v>96.573578554362598</v>
          </cell>
        </row>
        <row r="59">
          <cell r="AU59">
            <v>99.533476293047087</v>
          </cell>
        </row>
        <row r="60">
          <cell r="AU60">
            <v>100.79975408192627</v>
          </cell>
        </row>
        <row r="61">
          <cell r="AU61">
            <v>99.223354141007036</v>
          </cell>
        </row>
        <row r="62">
          <cell r="AU62">
            <v>100.46143353752879</v>
          </cell>
        </row>
      </sheetData>
      <sheetData sheetId="2">
        <row r="5">
          <cell r="D5">
            <v>17.399999999999999</v>
          </cell>
        </row>
        <row r="67">
          <cell r="D67">
            <v>17.600000000000001</v>
          </cell>
        </row>
        <row r="68">
          <cell r="D68">
            <v>17.7</v>
          </cell>
        </row>
        <row r="69">
          <cell r="D69">
            <v>17.600000000000001</v>
          </cell>
        </row>
        <row r="70">
          <cell r="D70">
            <v>17.3</v>
          </cell>
        </row>
        <row r="71">
          <cell r="D71">
            <v>17.600000000000001</v>
          </cell>
        </row>
        <row r="72">
          <cell r="D72">
            <v>17.5</v>
          </cell>
        </row>
        <row r="73">
          <cell r="D73">
            <v>17.3</v>
          </cell>
        </row>
        <row r="74">
          <cell r="D74">
            <v>17.2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June'25"/>
      <sheetName val="Summary May'25"/>
      <sheetName val="Summary April'25"/>
      <sheetName val="Summary March'25 "/>
      <sheetName val="Summary February'25"/>
      <sheetName val="Summary January'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T4">
            <v>91.980534426214859</v>
          </cell>
        </row>
        <row r="5">
          <cell r="AT5">
            <v>95.066683069960561</v>
          </cell>
        </row>
        <row r="6">
          <cell r="AT6">
            <v>95.883338904704345</v>
          </cell>
        </row>
        <row r="7">
          <cell r="AT7">
            <v>94.113898794831059</v>
          </cell>
        </row>
        <row r="8">
          <cell r="AT8">
            <v>95.898569361205759</v>
          </cell>
        </row>
        <row r="9">
          <cell r="AT9">
            <v>93.701438852695176</v>
          </cell>
        </row>
        <row r="10">
          <cell r="AT10">
            <v>95.891379370044191</v>
          </cell>
        </row>
        <row r="11">
          <cell r="AT11">
            <v>95.965090010922808</v>
          </cell>
        </row>
        <row r="13">
          <cell r="AT13">
            <v>93.283411294323415</v>
          </cell>
        </row>
        <row r="14">
          <cell r="AT14">
            <v>96.569662058453758</v>
          </cell>
        </row>
        <row r="15">
          <cell r="AT15">
            <v>97.892925540493906</v>
          </cell>
        </row>
        <row r="16">
          <cell r="AT16">
            <v>89.877374824695281</v>
          </cell>
        </row>
        <row r="18">
          <cell r="A18" t="str">
            <v>MK013</v>
          </cell>
          <cell r="R18">
            <v>79</v>
          </cell>
          <cell r="S18">
            <v>9.0421768707482997</v>
          </cell>
          <cell r="V18">
            <v>0.28125</v>
          </cell>
          <cell r="W18">
            <v>0.43263888888888891</v>
          </cell>
          <cell r="X18">
            <v>79</v>
          </cell>
          <cell r="AA18">
            <v>0.30763888888888891</v>
          </cell>
          <cell r="AF18">
            <v>54.2</v>
          </cell>
          <cell r="AG18">
            <v>13.2</v>
          </cell>
          <cell r="AI18">
            <v>51.1</v>
          </cell>
          <cell r="AT18">
            <v>93.502897385814322</v>
          </cell>
          <cell r="AU18">
            <v>95.9440342248744</v>
          </cell>
          <cell r="AX18" t="str">
            <v>D. Gomez</v>
          </cell>
        </row>
        <row r="19">
          <cell r="A19" t="str">
            <v>MK014</v>
          </cell>
          <cell r="R19">
            <v>91</v>
          </cell>
          <cell r="S19">
            <v>7.5372013651877161</v>
          </cell>
          <cell r="V19">
            <v>0.39583333333333331</v>
          </cell>
          <cell r="W19">
            <v>0.53680555555555554</v>
          </cell>
          <cell r="X19">
            <v>69</v>
          </cell>
          <cell r="AA19">
            <v>0.30069444444444443</v>
          </cell>
          <cell r="AF19">
            <v>54.5</v>
          </cell>
          <cell r="AG19">
            <v>13.4</v>
          </cell>
          <cell r="AI19">
            <v>51.5</v>
          </cell>
          <cell r="AT19">
            <v>95.829405051357114</v>
          </cell>
          <cell r="AU19">
            <v>98.330780330539824</v>
          </cell>
          <cell r="AX19" t="str">
            <v>D. Gomez</v>
          </cell>
        </row>
        <row r="20">
          <cell r="A20" t="str">
            <v>MK015</v>
          </cell>
          <cell r="R20">
            <v>75</v>
          </cell>
          <cell r="S20">
            <v>7.5630136986301402</v>
          </cell>
          <cell r="V20">
            <v>0.51249999999999996</v>
          </cell>
          <cell r="W20">
            <v>0.66180555555555554</v>
          </cell>
          <cell r="X20">
            <v>50</v>
          </cell>
          <cell r="AA20">
            <v>0.31458333333333333</v>
          </cell>
          <cell r="AF20">
            <v>54.3</v>
          </cell>
          <cell r="AG20">
            <v>13.3</v>
          </cell>
          <cell r="AI20">
            <v>51.3</v>
          </cell>
          <cell r="AT20">
            <v>94.712550055902142</v>
          </cell>
          <cell r="AU20">
            <v>97.184772764696191</v>
          </cell>
          <cell r="AX20" t="str">
            <v>D. Gomez</v>
          </cell>
        </row>
        <row r="21">
          <cell r="A21" t="str">
            <v>MK016</v>
          </cell>
          <cell r="R21">
            <v>78</v>
          </cell>
          <cell r="S21">
            <v>6.5806896551724146</v>
          </cell>
          <cell r="V21">
            <v>0.64444444444444449</v>
          </cell>
          <cell r="W21">
            <v>0.77916666666666667</v>
          </cell>
          <cell r="X21">
            <v>50</v>
          </cell>
          <cell r="AA21">
            <v>0.32083333333333336</v>
          </cell>
          <cell r="AF21">
            <v>54.5</v>
          </cell>
          <cell r="AG21">
            <v>13.4</v>
          </cell>
          <cell r="AI21">
            <v>51.7</v>
          </cell>
          <cell r="AT21">
            <v>96.201558080682787</v>
          </cell>
          <cell r="AU21">
            <v>98.712647438619598</v>
          </cell>
          <cell r="AX21" t="str">
            <v>K.Benjamin</v>
          </cell>
        </row>
      </sheetData>
      <sheetData sheetId="8">
        <row r="18">
          <cell r="D18">
            <v>13.2</v>
          </cell>
        </row>
        <row r="19">
          <cell r="D19">
            <v>13.4</v>
          </cell>
        </row>
        <row r="20">
          <cell r="D20">
            <v>13.3</v>
          </cell>
        </row>
        <row r="21">
          <cell r="D21">
            <v>13.4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June 2025 "/>
      <sheetName val="Summary February 2025"/>
      <sheetName val="Summary January 2025"/>
      <sheetName val="Summary March 2022"/>
    </sheetNames>
    <sheetDataSet>
      <sheetData sheetId="0"/>
      <sheetData sheetId="1"/>
      <sheetData sheetId="2"/>
      <sheetData sheetId="3"/>
      <sheetData sheetId="4"/>
      <sheetData sheetId="5">
        <row r="5">
          <cell r="A5" t="str">
            <v>HP001</v>
          </cell>
          <cell r="AU5">
            <v>92.965702451125438</v>
          </cell>
        </row>
        <row r="6">
          <cell r="AU6">
            <v>93.048999749652921</v>
          </cell>
        </row>
        <row r="7">
          <cell r="AU7">
            <v>84.477722903722579</v>
          </cell>
        </row>
        <row r="8">
          <cell r="AU8">
            <v>93.535128245977376</v>
          </cell>
        </row>
        <row r="10">
          <cell r="A10" t="str">
            <v>HP005</v>
          </cell>
          <cell r="P10">
            <v>62</v>
          </cell>
          <cell r="Q10">
            <v>7.9704797047970484</v>
          </cell>
          <cell r="T10">
            <v>0.52569444444444446</v>
          </cell>
          <cell r="U10">
            <v>0.65069444444444446</v>
          </cell>
          <cell r="V10">
            <v>59</v>
          </cell>
          <cell r="Z10">
            <v>0.26875000000000004</v>
          </cell>
          <cell r="AF10">
            <v>55.4</v>
          </cell>
          <cell r="AG10">
            <v>11.4</v>
          </cell>
          <cell r="AI10">
            <v>51.9</v>
          </cell>
          <cell r="AU10">
            <v>94.811455712610496</v>
          </cell>
          <cell r="AV10">
            <v>97.609583791002549</v>
          </cell>
          <cell r="AW10" t="str">
            <v>K.Benjamin</v>
          </cell>
        </row>
        <row r="11">
          <cell r="A11" t="str">
            <v>HP006</v>
          </cell>
          <cell r="P11">
            <v>62</v>
          </cell>
          <cell r="Q11">
            <v>7.4426807760141074</v>
          </cell>
          <cell r="T11">
            <v>0.61875000000000002</v>
          </cell>
          <cell r="U11">
            <v>0.74097222222222225</v>
          </cell>
          <cell r="V11">
            <v>66</v>
          </cell>
          <cell r="Z11">
            <v>0.26180555555555557</v>
          </cell>
          <cell r="AF11">
            <v>57.9</v>
          </cell>
          <cell r="AG11">
            <v>11.3</v>
          </cell>
          <cell r="AI11">
            <v>54.5</v>
          </cell>
          <cell r="AU11">
            <v>98.883453602895727</v>
          </cell>
          <cell r="AV11">
            <v>101.80137360678722</v>
          </cell>
          <cell r="AW11" t="str">
            <v>K.Benjamin</v>
          </cell>
        </row>
        <row r="12">
          <cell r="A12" t="str">
            <v>HP007</v>
          </cell>
          <cell r="P12">
            <v>61</v>
          </cell>
          <cell r="Q12">
            <v>6.4298401420959106</v>
          </cell>
          <cell r="T12">
            <v>0.74444444444444446</v>
          </cell>
          <cell r="U12">
            <v>0.85833333333333328</v>
          </cell>
          <cell r="V12">
            <v>66</v>
          </cell>
          <cell r="Z12">
            <v>0.25763888888888886</v>
          </cell>
          <cell r="AF12">
            <v>58.6</v>
          </cell>
          <cell r="AG12">
            <v>11.1</v>
          </cell>
          <cell r="AI12">
            <v>55.2</v>
          </cell>
          <cell r="AU12">
            <v>98.52698786953647</v>
          </cell>
          <cell r="AV12">
            <v>101.43400541583618</v>
          </cell>
          <cell r="AW12" t="str">
            <v>K.Benjamin</v>
          </cell>
        </row>
        <row r="13">
          <cell r="A13" t="str">
            <v>HP008</v>
          </cell>
          <cell r="P13">
            <v>61</v>
          </cell>
          <cell r="Q13">
            <v>6.0000000000000036</v>
          </cell>
          <cell r="T13">
            <v>0.83263888888888893</v>
          </cell>
          <cell r="U13">
            <v>0.95902777777777781</v>
          </cell>
          <cell r="V13">
            <v>72</v>
          </cell>
          <cell r="Z13">
            <v>0.26458333333333339</v>
          </cell>
          <cell r="AF13">
            <v>58.7</v>
          </cell>
          <cell r="AG13">
            <v>11</v>
          </cell>
          <cell r="AI13">
            <v>55.3</v>
          </cell>
          <cell r="AU13">
            <v>97.731882466029035</v>
          </cell>
          <cell r="AV13">
            <v>100.61563109722245</v>
          </cell>
          <cell r="AW13" t="str">
            <v>K.Benjamin</v>
          </cell>
        </row>
      </sheetData>
      <sheetData sheetId="6">
        <row r="5">
          <cell r="D5">
            <v>11.7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3rd"/>
      <sheetName val="Jan 6th"/>
      <sheetName val="Jan 7th"/>
      <sheetName val="Jan 8th"/>
      <sheetName val="Jan. 10th"/>
      <sheetName val="Jan. 14th "/>
      <sheetName val="Jan.15th "/>
      <sheetName val="Jan.16th"/>
      <sheetName val="Jan.17th -19th"/>
      <sheetName val="Jan.20th"/>
      <sheetName val="Jan.21ST "/>
      <sheetName val="Jan 22nd"/>
      <sheetName val="Jan 23rd "/>
      <sheetName val="Jan 24th, 27th, 28th"/>
      <sheetName val="Jan 29th "/>
      <sheetName val="Jan 30th"/>
      <sheetName val="Jan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70">
          <cell r="M70">
            <v>6.5</v>
          </cell>
        </row>
      </sheetData>
      <sheetData sheetId="17"/>
      <sheetData sheetId="18">
        <row r="65">
          <cell r="L65">
            <v>95.175721461636485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3rd"/>
      <sheetName val="Feb 4th"/>
      <sheetName val="Feb 5th"/>
      <sheetName val="Feb 6th"/>
      <sheetName val="Feb 10th"/>
      <sheetName val="Feb 11th"/>
      <sheetName val="Feb 12th"/>
      <sheetName val="Feb 13th"/>
      <sheetName val="Feb 14th"/>
      <sheetName val="Feb 17th"/>
      <sheetName val="Feb 18th"/>
      <sheetName val="Feb 19th "/>
      <sheetName val="Feb 20th"/>
      <sheetName val="Feb 21st"/>
      <sheetName val="Feb 23rd"/>
      <sheetName val="Feb 24th"/>
      <sheetName val="Feb 25th"/>
      <sheetName val="Feb 26th"/>
      <sheetName val="Feb 27th"/>
      <sheetName val="Feb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5">
          <cell r="L35">
            <v>96.267254965762547</v>
          </cell>
        </row>
        <row r="40">
          <cell r="L40">
            <v>7.0109890109890109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r. 3rd"/>
      <sheetName val="Mar. 4th"/>
      <sheetName val="Mar. 5th "/>
      <sheetName val="Mar. 6th"/>
      <sheetName val="Mar. 7th &amp; 8th"/>
      <sheetName val="Mar. 10th"/>
      <sheetName val="Mar. 11th"/>
      <sheetName val="Mar. 12th"/>
      <sheetName val="Mar. 13th"/>
      <sheetName val="Mar. 14th &amp; 16th"/>
      <sheetName val="Mar. 17th"/>
      <sheetName val="Mar. 18th"/>
      <sheetName val="Mar. 19th"/>
      <sheetName val="Mar. 20th"/>
      <sheetName val="Mar. 21th"/>
      <sheetName val="Mar. 24th"/>
      <sheetName val="Mar. 25th"/>
      <sheetName val="Mar. 26th "/>
      <sheetName val="Mar. 27th "/>
      <sheetName val="Mar. 28th "/>
      <sheetName val="Mar. 31st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35">
          <cell r="L35">
            <v>98.721769716093192</v>
          </cell>
        </row>
        <row r="40">
          <cell r="L40">
            <v>6.3043478260869561</v>
          </cell>
        </row>
      </sheetData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pr. 1st"/>
      <sheetName val="Apr. 3rd"/>
      <sheetName val="Apr. 4th"/>
      <sheetName val="Apr. 7th "/>
      <sheetName val="Apr. 8th  "/>
      <sheetName val="Apr. 9th   "/>
      <sheetName val="Apr. 10th "/>
      <sheetName val="Apr. 11-12-13th"/>
      <sheetName val="Apr. 14th"/>
      <sheetName val="Apr. 15th"/>
      <sheetName val="Apr. 16th"/>
      <sheetName val="Apr. 17th-20th"/>
      <sheetName val="Apr. 22nd"/>
      <sheetName val="Apr. 23rd"/>
      <sheetName val="Apr. 24th"/>
      <sheetName val="Apr. 25th "/>
      <sheetName val="Apr. 28th"/>
      <sheetName val="Apr. 29th"/>
      <sheetName val="Apr.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99.238824818204876</v>
          </cell>
        </row>
        <row r="50">
          <cell r="L50">
            <v>6.1304347826086953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y 2nd -4th"/>
      <sheetName val="May 5th"/>
      <sheetName val="May 6th"/>
      <sheetName val="May 7th"/>
      <sheetName val="May 8th"/>
      <sheetName val="May 9th-10th"/>
      <sheetName val="May 12th"/>
      <sheetName val="May 13th"/>
      <sheetName val="May 14th"/>
      <sheetName val="May 15th"/>
      <sheetName val="May 16th"/>
      <sheetName val="May 19th"/>
      <sheetName val="May 20th"/>
      <sheetName val="May 21st"/>
      <sheetName val="May 22nd"/>
      <sheetName val="May 23rd"/>
      <sheetName val="May 26th"/>
      <sheetName val="May 27th"/>
      <sheetName val="May 28th"/>
      <sheetName val="May 30th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7">
          <cell r="L37">
            <v>98.775682475671985</v>
          </cell>
        </row>
        <row r="42">
          <cell r="L42">
            <v>7.2608695652173916</v>
          </cell>
        </row>
      </sheetData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September_2025"/>
      <sheetName val="October_2025"/>
      <sheetName val="November_2025"/>
      <sheetName val="December_2025"/>
    </sheetNames>
    <sheetDataSet>
      <sheetData sheetId="0"/>
      <sheetData sheetId="1"/>
      <sheetData sheetId="2"/>
      <sheetData sheetId="3"/>
      <sheetData sheetId="4"/>
      <sheetData sheetId="5">
        <row r="3">
          <cell r="G3">
            <v>505.60000000000008</v>
          </cell>
          <cell r="I3">
            <v>207.79999999999998</v>
          </cell>
          <cell r="L3">
            <v>198.2</v>
          </cell>
          <cell r="M3">
            <v>413.29999999999995</v>
          </cell>
          <cell r="O3">
            <v>705.11</v>
          </cell>
          <cell r="T3">
            <v>398.6</v>
          </cell>
          <cell r="Z3">
            <v>427.5</v>
          </cell>
          <cell r="AA3">
            <v>242.60000000000002</v>
          </cell>
          <cell r="AB3">
            <v>405.70000000000005</v>
          </cell>
          <cell r="AC3">
            <v>407.8</v>
          </cell>
          <cell r="AG3">
            <v>100.5</v>
          </cell>
          <cell r="AN3">
            <v>5.1137179055634423</v>
          </cell>
          <cell r="AQ3">
            <v>6.5267749304402933</v>
          </cell>
        </row>
        <row r="4">
          <cell r="AN4">
            <v>4.9189015313071582</v>
          </cell>
          <cell r="AQ4">
            <v>5.9309257123728454</v>
          </cell>
        </row>
        <row r="5">
          <cell r="AN5">
            <v>12.44001096804088</v>
          </cell>
          <cell r="AQ5">
            <v>13.111031100634913</v>
          </cell>
        </row>
        <row r="6">
          <cell r="AN6">
            <v>10.440711622307923</v>
          </cell>
          <cell r="AQ6">
            <v>5.263029001952213</v>
          </cell>
        </row>
        <row r="7">
          <cell r="G7">
            <v>464.8</v>
          </cell>
          <cell r="I7">
            <v>200</v>
          </cell>
          <cell r="L7">
            <v>175</v>
          </cell>
          <cell r="M7">
            <v>385.1</v>
          </cell>
          <cell r="O7">
            <v>670.7</v>
          </cell>
          <cell r="T7">
            <v>375</v>
          </cell>
          <cell r="Z7">
            <v>407.7</v>
          </cell>
          <cell r="AA7">
            <v>226.5</v>
          </cell>
          <cell r="AB7">
            <v>384.59999999999997</v>
          </cell>
          <cell r="AC7">
            <v>387.4</v>
          </cell>
          <cell r="AG7">
            <v>94.1</v>
          </cell>
          <cell r="AN7" t="e">
            <v>#DIV/0!</v>
          </cell>
          <cell r="AQ7" t="e">
            <v>#DIV/0!</v>
          </cell>
        </row>
        <row r="8">
          <cell r="AN8">
            <v>7.6606905670809748</v>
          </cell>
          <cell r="AQ8">
            <v>8.9862703283331644</v>
          </cell>
        </row>
        <row r="9">
          <cell r="AN9">
            <v>5.3838407622154936</v>
          </cell>
          <cell r="AQ9">
            <v>4.671657298145214</v>
          </cell>
        </row>
        <row r="10">
          <cell r="AN10" t="e">
            <v>#DIV/0!</v>
          </cell>
          <cell r="AQ10" t="e">
            <v>#DIV/0!</v>
          </cell>
        </row>
        <row r="11">
          <cell r="G11">
            <v>6.5114782235571971</v>
          </cell>
          <cell r="I11">
            <v>4.6005774783445617</v>
          </cell>
          <cell r="L11">
            <v>10.921456954397483</v>
          </cell>
          <cell r="M11">
            <v>5.0650767636464806</v>
          </cell>
          <cell r="O11">
            <v>3.4131429617594895</v>
          </cell>
          <cell r="T11">
            <v>3.7720930270629145</v>
          </cell>
          <cell r="Z11">
            <v>5.0952827774460605</v>
          </cell>
          <cell r="AA11">
            <v>7.541416560231327</v>
          </cell>
          <cell r="AB11">
            <v>4.3578879703115012</v>
          </cell>
          <cell r="AC11">
            <v>4.3096013474683055</v>
          </cell>
          <cell r="AG11">
            <v>5.5408899278706834</v>
          </cell>
          <cell r="AN11" t="e">
            <v>#DIV/0!</v>
          </cell>
          <cell r="AQ11">
            <v>6.2003723782925313</v>
          </cell>
        </row>
        <row r="12">
          <cell r="AN12">
            <v>6.267696238695061</v>
          </cell>
          <cell r="AQ12">
            <v>6.9045145451869727</v>
          </cell>
        </row>
        <row r="13">
          <cell r="E13">
            <v>615.0999999999998</v>
          </cell>
          <cell r="F13">
            <v>320.5</v>
          </cell>
          <cell r="S13">
            <v>511.33</v>
          </cell>
          <cell r="T13">
            <v>201.5</v>
          </cell>
          <cell r="AA13">
            <v>413.40999999999997</v>
          </cell>
          <cell r="AB13">
            <v>189.1</v>
          </cell>
          <cell r="AG13">
            <v>420.3</v>
          </cell>
        </row>
        <row r="17">
          <cell r="E17">
            <v>578.70000000000005</v>
          </cell>
          <cell r="F17">
            <v>306.89999999999998</v>
          </cell>
          <cell r="S17">
            <v>483.2</v>
          </cell>
          <cell r="T17">
            <v>184.3</v>
          </cell>
          <cell r="AA17">
            <v>392.3</v>
          </cell>
          <cell r="AB17">
            <v>176.6</v>
          </cell>
          <cell r="AG17">
            <v>394.70000000000005</v>
          </cell>
        </row>
        <row r="21">
          <cell r="E21">
            <v>5.8418029234404329</v>
          </cell>
          <cell r="F21">
            <v>3.2238478728338467</v>
          </cell>
          <cell r="S21">
            <v>4.7324327245829929</v>
          </cell>
          <cell r="T21">
            <v>8.3880997610885029</v>
          </cell>
          <cell r="AA21">
            <v>3.0971611575356328</v>
          </cell>
          <cell r="AB21">
            <v>5.7777735875901151</v>
          </cell>
          <cell r="AG21">
            <v>4.7971638688272034</v>
          </cell>
        </row>
        <row r="23">
          <cell r="O23">
            <v>213.09999999999997</v>
          </cell>
          <cell r="W23">
            <v>208.4</v>
          </cell>
          <cell r="Z23">
            <v>213.7</v>
          </cell>
        </row>
        <row r="28">
          <cell r="O28">
            <v>197.4</v>
          </cell>
          <cell r="W28">
            <v>197.9</v>
          </cell>
          <cell r="Z28">
            <v>175.3</v>
          </cell>
        </row>
        <row r="32">
          <cell r="O32">
            <v>8.9041107529384682</v>
          </cell>
          <cell r="W32">
            <v>8.7448199592346025</v>
          </cell>
          <cell r="Z32">
            <v>19.669331994623885</v>
          </cell>
        </row>
        <row r="34">
          <cell r="P34">
            <v>205.59999999999997</v>
          </cell>
        </row>
        <row r="39">
          <cell r="P39">
            <v>197.3</v>
          </cell>
        </row>
        <row r="43">
          <cell r="P43">
            <v>7.6606905670809748</v>
          </cell>
        </row>
        <row r="55">
          <cell r="G55">
            <v>308.29999999999995</v>
          </cell>
          <cell r="W55">
            <v>207.6</v>
          </cell>
        </row>
        <row r="59">
          <cell r="G59">
            <v>294.5</v>
          </cell>
          <cell r="W59">
            <v>196.4</v>
          </cell>
        </row>
        <row r="63">
          <cell r="G63">
            <v>4.5799898461408048</v>
          </cell>
          <cell r="W63">
            <v>6.5711607561318512</v>
          </cell>
        </row>
        <row r="65">
          <cell r="E65">
            <v>95.4</v>
          </cell>
          <cell r="U65">
            <v>284.70000000000005</v>
          </cell>
        </row>
        <row r="70">
          <cell r="E70">
            <v>95.8</v>
          </cell>
          <cell r="U70">
            <v>258.7</v>
          </cell>
        </row>
        <row r="74">
          <cell r="E74">
            <v>3.5401443549560527</v>
          </cell>
          <cell r="U74">
            <v>12.762336838255447</v>
          </cell>
        </row>
      </sheetData>
      <sheetData sheetId="6">
        <row r="3">
          <cell r="D3">
            <v>254.08999999999997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Hurricane Reef"/>
      <sheetName val="APA"/>
      <sheetName val="CARIBE"/>
      <sheetName val="YTD 2025"/>
      <sheetName val="MTD"/>
    </sheetNames>
    <sheetDataSet>
      <sheetData sheetId="0"/>
      <sheetData sheetId="1">
        <row r="6">
          <cell r="S6">
            <v>5.0999999999999996</v>
          </cell>
        </row>
        <row r="10">
          <cell r="S10">
            <v>7.2</v>
          </cell>
        </row>
        <row r="14">
          <cell r="S14">
            <v>2.3000000000000003</v>
          </cell>
        </row>
      </sheetData>
      <sheetData sheetId="2">
        <row r="6">
          <cell r="L6">
            <v>92.815533980582515</v>
          </cell>
        </row>
        <row r="30">
          <cell r="L30">
            <v>398.05825242718447</v>
          </cell>
        </row>
        <row r="83">
          <cell r="L83">
            <v>100</v>
          </cell>
        </row>
        <row r="85">
          <cell r="L85">
            <v>100</v>
          </cell>
        </row>
        <row r="87">
          <cell r="L87">
            <v>398</v>
          </cell>
        </row>
        <row r="95">
          <cell r="L95">
            <v>96</v>
          </cell>
        </row>
        <row r="97">
          <cell r="L97">
            <v>100</v>
          </cell>
        </row>
      </sheetData>
      <sheetData sheetId="3">
        <row r="12">
          <cell r="J12">
            <v>4.0999999999999996</v>
          </cell>
        </row>
        <row r="19">
          <cell r="J19">
            <v>4.0999999999999996</v>
          </cell>
        </row>
        <row r="21">
          <cell r="J21">
            <v>4.0999999999999996</v>
          </cell>
        </row>
        <row r="23">
          <cell r="J23">
            <v>4.0999999999999996</v>
          </cell>
        </row>
      </sheetData>
      <sheetData sheetId="4"/>
      <sheetData sheetId="5"/>
      <sheetData sheetId="6"/>
      <sheetData sheetId="7"/>
      <sheetData sheetId="8"/>
      <sheetData sheetId="9"/>
      <sheetData sheetId="10">
        <row r="5">
          <cell r="E5">
            <v>6.5580786060420548</v>
          </cell>
        </row>
        <row r="6">
          <cell r="E6">
            <v>6.1113657946887594</v>
          </cell>
        </row>
        <row r="7">
          <cell r="E7">
            <v>11.96027372373279</v>
          </cell>
        </row>
        <row r="8">
          <cell r="E8">
            <v>5.4214697406339898</v>
          </cell>
        </row>
        <row r="9">
          <cell r="E9" t="e">
            <v>#DIV/0!</v>
          </cell>
        </row>
        <row r="10">
          <cell r="E10">
            <v>7.3129862357869699</v>
          </cell>
        </row>
        <row r="11">
          <cell r="E11">
            <v>3.1283185840707883</v>
          </cell>
        </row>
        <row r="12">
          <cell r="E12" t="e">
            <v>#DIV/0!</v>
          </cell>
        </row>
        <row r="13">
          <cell r="E13">
            <v>4.8792508624938291</v>
          </cell>
        </row>
        <row r="14">
          <cell r="E14">
            <v>6.6093848496397474</v>
          </cell>
        </row>
      </sheetData>
      <sheetData sheetId="11">
        <row r="5">
          <cell r="E5">
            <v>6.0261020607020956</v>
          </cell>
        </row>
        <row r="6">
          <cell r="E6">
            <v>5.2938706361043231</v>
          </cell>
        </row>
        <row r="7">
          <cell r="E7">
            <v>12.188365650969537</v>
          </cell>
        </row>
        <row r="8">
          <cell r="E8">
            <v>10.592686002522056</v>
          </cell>
        </row>
        <row r="9">
          <cell r="E9" t="e">
            <v>#DIV/0!</v>
          </cell>
        </row>
        <row r="10">
          <cell r="E10">
            <v>5.7784145176695159</v>
          </cell>
        </row>
        <row r="11">
          <cell r="E11">
            <v>4.8459003682884285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6.3924883727732693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August_2018 (2)"/>
      <sheetName val="September_2025"/>
      <sheetName val="October_2025"/>
      <sheetName val="November_2025"/>
      <sheetName val="December_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3">
          <cell r="AN13">
            <v>0.533835725677831</v>
          </cell>
          <cell r="AQ13">
            <v>0.72065979536710689</v>
          </cell>
        </row>
        <row r="14">
          <cell r="AN14">
            <v>0.78743483709273177</v>
          </cell>
          <cell r="AQ14">
            <v>0.76031080132037965</v>
          </cell>
        </row>
        <row r="15">
          <cell r="AN15">
            <v>0.27581871345029241</v>
          </cell>
          <cell r="AQ15">
            <v>0.4869398559932232</v>
          </cell>
        </row>
        <row r="16">
          <cell r="AN16">
            <v>0.22480263157894734</v>
          </cell>
          <cell r="AQ16">
            <v>0.6919486215538847</v>
          </cell>
        </row>
        <row r="17">
          <cell r="AN17" t="e">
            <v>#DIV/0!</v>
          </cell>
          <cell r="AQ17" t="e">
            <v>#DIV/0!</v>
          </cell>
        </row>
        <row r="18">
          <cell r="G18">
            <v>0.54362573099415201</v>
          </cell>
          <cell r="I18">
            <v>0.23391812865497078</v>
          </cell>
          <cell r="L18">
            <v>0.61403508771929827</v>
          </cell>
          <cell r="M18">
            <v>0.67561403508771933</v>
          </cell>
          <cell r="O18">
            <v>0.58833333333333337</v>
          </cell>
          <cell r="T18">
            <v>0.65789473684210531</v>
          </cell>
          <cell r="Z18">
            <v>0.4768421052631579</v>
          </cell>
          <cell r="AA18">
            <v>0.39736842105263159</v>
          </cell>
          <cell r="AB18">
            <v>0.67473684210526308</v>
          </cell>
          <cell r="AC18">
            <v>0.6796491228070175</v>
          </cell>
          <cell r="AG18">
            <v>0.33017543859649123</v>
          </cell>
          <cell r="AN18">
            <v>0.34614035087719303</v>
          </cell>
          <cell r="AQ18">
            <v>0.59276315789473688</v>
          </cell>
        </row>
        <row r="19">
          <cell r="AN19">
            <v>0.3445029239766082</v>
          </cell>
          <cell r="AQ19">
            <v>0.70412549019607829</v>
          </cell>
        </row>
        <row r="20">
          <cell r="AN20" t="e">
            <v>#DIV/0!</v>
          </cell>
          <cell r="AQ20" t="e">
            <v>#DIV/0!</v>
          </cell>
        </row>
        <row r="21">
          <cell r="AN21">
            <v>0</v>
          </cell>
          <cell r="AQ21">
            <v>0.33859649122807017</v>
          </cell>
        </row>
        <row r="22">
          <cell r="AN22">
            <v>0.5267863247863247</v>
          </cell>
          <cell r="AQ22">
            <v>0.68182278056951429</v>
          </cell>
        </row>
        <row r="25">
          <cell r="E25">
            <v>0.67684210526315791</v>
          </cell>
          <cell r="F25">
            <v>0.35894736842105263</v>
          </cell>
          <cell r="S25">
            <v>0.44853508771929823</v>
          </cell>
          <cell r="T25">
            <v>0.64666666666666672</v>
          </cell>
          <cell r="AA25">
            <v>1.3764912280701755</v>
          </cell>
          <cell r="AB25">
            <v>0.61964912280701756</v>
          </cell>
          <cell r="AG25">
            <v>1.3849122807017546</v>
          </cell>
        </row>
        <row r="32">
          <cell r="O32">
            <v>0.34631578947368424</v>
          </cell>
          <cell r="W32">
            <v>0.17359649122807019</v>
          </cell>
          <cell r="Z32">
            <v>0.30754385964912284</v>
          </cell>
        </row>
        <row r="39">
          <cell r="P39">
            <v>0.34614035087719303</v>
          </cell>
        </row>
        <row r="53">
          <cell r="G53">
            <v>0.34444444444444444</v>
          </cell>
          <cell r="W53">
            <v>0.34456140350877196</v>
          </cell>
        </row>
        <row r="60">
          <cell r="E60">
            <v>0.33614035087719296</v>
          </cell>
          <cell r="U60">
            <v>0.11346491228070175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5"/>
      <sheetName val="Summary June '25 "/>
      <sheetName val="Summary October '24"/>
      <sheetName val="Summary January '24"/>
    </sheetNames>
    <sheetDataSet>
      <sheetData sheetId="0" refreshError="1"/>
      <sheetData sheetId="1" refreshError="1"/>
      <sheetData sheetId="2" refreshError="1"/>
      <sheetData sheetId="3">
        <row r="13">
          <cell r="A13" t="str">
            <v>HA001</v>
          </cell>
          <cell r="R13">
            <v>59</v>
          </cell>
          <cell r="S13">
            <v>6.1862917398945445</v>
          </cell>
          <cell r="V13">
            <v>0.51736111111111116</v>
          </cell>
          <cell r="W13">
            <v>0.6381944444444444</v>
          </cell>
          <cell r="X13">
            <v>59</v>
          </cell>
          <cell r="AD13">
            <v>56.9</v>
          </cell>
          <cell r="AG13">
            <v>13.6</v>
          </cell>
          <cell r="AI13">
            <v>50</v>
          </cell>
          <cell r="AU13">
            <v>96.227257171591688</v>
          </cell>
          <cell r="AV13">
            <v>98.378675460291277</v>
          </cell>
          <cell r="AX13" t="str">
            <v>D. Gomez</v>
          </cell>
          <cell r="AY13">
            <v>0.27361111111111108</v>
          </cell>
        </row>
        <row r="14">
          <cell r="A14" t="str">
            <v>HA002</v>
          </cell>
          <cell r="R14">
            <v>64</v>
          </cell>
          <cell r="S14">
            <v>6.4471403812824928</v>
          </cell>
          <cell r="V14">
            <v>0.64861111111111114</v>
          </cell>
          <cell r="W14">
            <v>0.75347222222222221</v>
          </cell>
          <cell r="X14">
            <v>60</v>
          </cell>
          <cell r="AD14">
            <v>57.7</v>
          </cell>
          <cell r="AG14">
            <v>13.7</v>
          </cell>
          <cell r="AI14">
            <v>50.8</v>
          </cell>
          <cell r="AU14">
            <v>97.993893314944387</v>
          </cell>
          <cell r="AV14">
            <v>100.18710493046774</v>
          </cell>
          <cell r="AX14" t="str">
            <v>R. Sookram</v>
          </cell>
          <cell r="AY14">
            <v>0.25694444444444442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ne'25"/>
      <sheetName val="Summary October '24"/>
      <sheetName val="Summary April '24"/>
      <sheetName val="Summary March '24"/>
      <sheetName val="Summary August '23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</sheetNames>
    <sheetDataSet>
      <sheetData sheetId="0" refreshError="1"/>
      <sheetData sheetId="1" refreshError="1"/>
      <sheetData sheetId="2" refreshError="1"/>
      <sheetData sheetId="3">
        <row r="26">
          <cell r="A26" t="str">
            <v>HR001</v>
          </cell>
          <cell r="T26">
            <v>57</v>
          </cell>
          <cell r="U26">
            <v>8.2430213464696163</v>
          </cell>
          <cell r="X26">
            <v>0.87291666666666667</v>
          </cell>
          <cell r="Y26">
            <v>0.94652777777777775</v>
          </cell>
          <cell r="Z26">
            <v>59</v>
          </cell>
          <cell r="AF26">
            <v>60.9</v>
          </cell>
          <cell r="AI26">
            <v>16.7</v>
          </cell>
          <cell r="AK26">
            <v>53</v>
          </cell>
          <cell r="AW26">
            <v>96.678776803355618</v>
          </cell>
          <cell r="AX26">
            <v>98.883808146995804</v>
          </cell>
          <cell r="AZ26" t="str">
            <v>R. Sookram</v>
          </cell>
          <cell r="BA26">
            <v>0.24861111111111112</v>
          </cell>
        </row>
        <row r="27">
          <cell r="A27" t="str">
            <v>HR002</v>
          </cell>
          <cell r="T27">
            <v>110</v>
          </cell>
          <cell r="X27">
            <v>0.98541666666666672</v>
          </cell>
          <cell r="Y27">
            <v>1.1590277777777778</v>
          </cell>
          <cell r="Z27">
            <v>52</v>
          </cell>
          <cell r="AI27">
            <v>16.7</v>
          </cell>
          <cell r="AK27">
            <v>51.5</v>
          </cell>
          <cell r="AW27">
            <v>93.942585007034225</v>
          </cell>
          <cell r="AX27">
            <v>96.085209803212905</v>
          </cell>
          <cell r="AZ27" t="str">
            <v>R. Sookram</v>
          </cell>
          <cell r="BA27">
            <v>0.35347222222222219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25.33203125" style="275" customWidth="1"/>
    <col min="11" max="11" width="18.554687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73" t="s">
        <v>0</v>
      </c>
      <c r="U1" s="473"/>
      <c r="V1" s="473" t="s">
        <v>1</v>
      </c>
      <c r="W1" s="473"/>
      <c r="X1" s="473" t="s">
        <v>2</v>
      </c>
      <c r="Y1" s="473"/>
      <c r="Z1" s="473" t="s">
        <v>124</v>
      </c>
      <c r="AA1" s="473"/>
    </row>
    <row r="2" spans="2:30" ht="14.4">
      <c r="B2" s="474" t="s">
        <v>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468">
        <v>45278</v>
      </c>
      <c r="D4" s="468"/>
      <c r="J4" s="469" t="s">
        <v>153</v>
      </c>
      <c r="K4" s="469"/>
      <c r="L4" s="11"/>
      <c r="M4" s="471" t="s">
        <v>8</v>
      </c>
      <c r="N4" s="472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470"/>
      <c r="K5" s="470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77" t="s">
        <v>151</v>
      </c>
      <c r="K6" s="478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479"/>
      <c r="K7" s="480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81" t="s">
        <v>17</v>
      </c>
      <c r="C8" s="483" t="s">
        <v>18</v>
      </c>
      <c r="D8" s="483" t="s">
        <v>19</v>
      </c>
      <c r="E8" s="356" t="s">
        <v>20</v>
      </c>
      <c r="F8" s="356" t="s">
        <v>21</v>
      </c>
      <c r="G8" s="483" t="s">
        <v>22</v>
      </c>
      <c r="H8" s="485" t="s">
        <v>144</v>
      </c>
      <c r="I8" s="483" t="s">
        <v>152</v>
      </c>
      <c r="J8" s="487" t="s">
        <v>23</v>
      </c>
      <c r="K8" s="489" t="s">
        <v>142</v>
      </c>
      <c r="L8" s="491" t="s">
        <v>24</v>
      </c>
      <c r="M8" s="359" t="s">
        <v>25</v>
      </c>
      <c r="N8" s="17" t="s">
        <v>26</v>
      </c>
      <c r="O8" s="483"/>
      <c r="P8" s="493" t="s">
        <v>28</v>
      </c>
      <c r="Q8" s="495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482"/>
      <c r="C9" s="484"/>
      <c r="D9" s="484"/>
      <c r="E9" s="357" t="s">
        <v>30</v>
      </c>
      <c r="F9" s="357" t="s">
        <v>31</v>
      </c>
      <c r="G9" s="484"/>
      <c r="H9" s="486"/>
      <c r="I9" s="484"/>
      <c r="J9" s="488"/>
      <c r="K9" s="490"/>
      <c r="L9" s="492"/>
      <c r="M9" s="20" t="s">
        <v>32</v>
      </c>
      <c r="N9" s="21" t="s">
        <v>41</v>
      </c>
      <c r="O9" s="484"/>
      <c r="P9" s="494"/>
      <c r="Q9" s="496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4.4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4.4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4.4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4.4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4.4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4.4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4.4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4.4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4.4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4.4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4.4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4.4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4.4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4.4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4.4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4.4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4.4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4.4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4.4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4.4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4.4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4.4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4.4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497" t="s">
        <v>34</v>
      </c>
      <c r="J48" s="497"/>
      <c r="K48" s="497"/>
      <c r="L48" s="497"/>
      <c r="M48" s="497"/>
      <c r="N48" s="497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28.2" thickBot="1">
      <c r="B49" s="388" t="s">
        <v>145</v>
      </c>
      <c r="C49" s="388"/>
      <c r="D49" s="475" t="s">
        <v>35</v>
      </c>
      <c r="E49" s="476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498" t="s">
        <v>9</v>
      </c>
      <c r="C50" s="362">
        <v>11.8</v>
      </c>
      <c r="D50" s="501">
        <v>11.73</v>
      </c>
      <c r="E50" s="502"/>
      <c r="F50" s="294"/>
      <c r="G50" s="294"/>
      <c r="H50" s="294"/>
      <c r="I50" s="29" t="s">
        <v>6</v>
      </c>
      <c r="J50" s="323"/>
      <c r="K50" s="284">
        <f>COUNTA([3]Brewhouse!$A$1596:$A$1619)</f>
        <v>24</v>
      </c>
      <c r="L50" s="302">
        <f>AVERAGE([3]Brewhouse!$AU$1529,[3]Brewhouse!$AU$1531:$AU$1594,[3]Brewhouse!$AU$1596:$AU$1619)</f>
        <v>98.205761326291494</v>
      </c>
      <c r="M50" s="302">
        <f>AVERAGE([3]Brewhouse!$AU$849:$AU$924,[3]Brewhouse!$AU$926:$AU$971,[3]Brewhouse!$AU$973:$AU$1066,[3]Brewhouse!$AU$1068:$AU$1111,[3]Brewhouse!$AU$1113:$AU$1132,[3]Brewhouse!$AU$1134:$AU$1167,[3]Brewhouse!$AU$1169:$AU$1230,[3]Brewhouse!$AU$1232:$AU$1299,[3]Brewhouse!$AU$1301:$AU$1363,[3]Brewhouse!$AU$1365:$AU$1444,[3]Brewhouse!$AU$1446:$AU$1527,[3]Brewhouse!$AU$1529,[3]Brewhouse!$AU$1531:$AU$1594,[3]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499"/>
      <c r="C51" s="349">
        <v>11.9</v>
      </c>
      <c r="D51" s="503"/>
      <c r="E51" s="504"/>
      <c r="F51" s="294"/>
      <c r="G51" s="294"/>
      <c r="H51" s="32"/>
      <c r="I51" s="33" t="s">
        <v>9</v>
      </c>
      <c r="J51" s="323"/>
      <c r="K51" s="284">
        <f>COUNTA([4]Brewhouse!$A$976:$A$1007)</f>
        <v>32</v>
      </c>
      <c r="L51" s="302">
        <f>AVERAGE([4]Brewhouse!$AS$976:$AS$979,[4]Brewhouse!$AS$981:$AS$1007)</f>
        <v>98.538566771868645</v>
      </c>
      <c r="M51" s="302">
        <f>AVERAGE([4]Brewhouse!$AS$577:$AS$618,[4]Brewhouse!$AS$620:$AS$651,[4]Brewhouse!$AS$653:$AS$696,[4]Brewhouse!$AS$698:$AS$708,[4]Brewhouse!$AS$710:$AS$733,[4]Brewhouse!$AS$735:$AS$777,[4]Brewhouse!$AS$779:$AS$822,[4]Brewhouse!$AS$824:$AS$863,[4]Brewhouse!$AS$865:$AS$974,[4]Brewhouse!$AS$976:$AS$979,[4]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7" customHeight="1">
      <c r="A52" s="28"/>
      <c r="B52" s="499"/>
      <c r="C52" s="349"/>
      <c r="D52" s="501"/>
      <c r="E52" s="502"/>
      <c r="F52" s="294"/>
      <c r="G52" s="294"/>
      <c r="H52" s="32"/>
      <c r="I52" s="34" t="s">
        <v>12</v>
      </c>
      <c r="J52" s="280"/>
      <c r="K52" s="284">
        <f>COUNTA([5]Brewhouse!$A$282:$A$289)</f>
        <v>8</v>
      </c>
      <c r="L52" s="302">
        <f>AVERAGE([5]Brewhouse!$AU$269:$AU$279,[5]Brewhouse!$AU$282:$AU$289)</f>
        <v>96.1861768599382</v>
      </c>
      <c r="M52" s="302">
        <f>AVERAGE([5]Brewhouse!$AU$161:$AU$176,[5]Brewhouse!$AU$178:$AU$195,[5]Brewhouse!$AU$197:$AU$208,[5]Brewhouse!$AU$210:$AU$221,[5]Brewhouse!$AU$223:$AU$232,[5]Brewhouse!$AU$234:$AU$279,[5]Brewhouse!$AU$282:$AU$289)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7" customHeight="1">
      <c r="A53" s="28"/>
      <c r="B53" s="499"/>
      <c r="C53" s="349"/>
      <c r="D53" s="503"/>
      <c r="E53" s="504"/>
      <c r="F53" s="294"/>
      <c r="G53" s="294"/>
      <c r="H53" s="32"/>
      <c r="I53" s="22" t="s">
        <v>33</v>
      </c>
      <c r="J53" s="280"/>
      <c r="K53" s="284">
        <f>COUNTA([6]Brewhouse!$A$158:$A$163)</f>
        <v>6</v>
      </c>
      <c r="L53" s="302">
        <f>AVERAGE([6]Brewhouse!$AU$158:$AU$163)</f>
        <v>94.603050114691541</v>
      </c>
      <c r="M53" s="302">
        <f>AVERAGE([6]Brewhouse!$AU$91:$AU$101,[6]Brewhouse!$AU$103:$AU$112,[6]Brewhouse!$AU$114:$AU$123,[6]Brewhouse!$AU$125:$AU$134,[6]Brewhouse!$AU$136:$AU$145,[6]Brewhouse!$AU$147:$AU$156,[6]Brewhouse!$AU$158:$AU$163)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7" customHeight="1">
      <c r="A54" s="28"/>
      <c r="B54" s="499"/>
      <c r="C54" s="349"/>
      <c r="D54" s="501"/>
      <c r="E54" s="502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7" customHeight="1">
      <c r="A55" s="28"/>
      <c r="B55" s="499"/>
      <c r="C55" s="349"/>
      <c r="D55" s="503"/>
      <c r="E55" s="504"/>
      <c r="F55" s="294"/>
      <c r="G55" s="294"/>
      <c r="H55" s="32"/>
      <c r="I55" s="36" t="s">
        <v>15</v>
      </c>
      <c r="J55" s="323"/>
      <c r="K55" s="284"/>
      <c r="L55" s="302"/>
      <c r="M55" s="302">
        <f>AVERAGE([7]Brewhouse!$AT$74:$AT$79)</f>
        <v>93.95983649860375</v>
      </c>
      <c r="N55" s="30">
        <v>98</v>
      </c>
      <c r="O55" s="11"/>
      <c r="P55" s="31"/>
      <c r="S55" s="23"/>
    </row>
    <row r="56" spans="1:27" ht="14.7" customHeight="1">
      <c r="A56" s="28"/>
      <c r="B56" s="499"/>
      <c r="C56" s="349"/>
      <c r="D56" s="501"/>
      <c r="E56" s="502"/>
      <c r="F56" s="294"/>
      <c r="G56" s="294"/>
      <c r="H56" s="32"/>
      <c r="I56" s="37" t="s">
        <v>16</v>
      </c>
      <c r="J56" s="323"/>
      <c r="K56" s="284">
        <f>COUNTA([8]Brewhouse!$A$249:$A$254)</f>
        <v>6</v>
      </c>
      <c r="L56" s="302">
        <f>AVERAGE([8]Brewhouse!$AY$249:$AY$254)</f>
        <v>99.681996476494263</v>
      </c>
      <c r="M56" s="302">
        <f>AVERAGE([8]Brewhouse!$AY$138:$AY$143,[8]Brewhouse!$AY$145:$AY$153,[8]Brewhouse!$AY$155,[8]Brewhouse!$AY$156:$AY$174,[8]Brewhouse!$AY$176:$AY$185,[8]Brewhouse!$AY$187:$AY$198,[8]Brewhouse!$AY$200:$AY$247,[8]Brewhouse!$AY$249:$AY$254)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7" customHeight="1">
      <c r="A57" s="28"/>
      <c r="B57" s="499"/>
      <c r="C57" s="349"/>
      <c r="D57" s="503"/>
      <c r="E57" s="504"/>
      <c r="F57" s="294"/>
      <c r="G57" s="294"/>
      <c r="H57" s="32"/>
      <c r="I57" s="306" t="s">
        <v>137</v>
      </c>
      <c r="J57" s="326"/>
      <c r="K57" s="284"/>
      <c r="L57" s="305"/>
      <c r="M57" s="305">
        <f>AVERAGE([9]Brewhouse!$AW$13:$AW$14,[9]Brewhouse!$AW$16:$AW$17)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499"/>
      <c r="C58" s="349"/>
      <c r="D58" s="505"/>
      <c r="E58" s="506"/>
      <c r="F58" s="294"/>
      <c r="G58" s="294"/>
      <c r="H58" s="32"/>
      <c r="I58" s="38" t="s">
        <v>125</v>
      </c>
      <c r="J58" s="327"/>
      <c r="K58" s="284"/>
      <c r="L58" s="328"/>
      <c r="M58" s="328">
        <f>AVERAGE([9]Brewhouse!$AW$13:$AW$14)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499"/>
      <c r="C59" s="349"/>
      <c r="D59" s="507"/>
      <c r="E59" s="508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AVERAGE('[10]Closing- January 2023'!$L$42,'[11]Feb. 28th'!$L$42,'[12]March 31st'!$L$75,'[13]Apri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499"/>
      <c r="C60" s="349"/>
      <c r="D60" s="505"/>
      <c r="E60" s="506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500"/>
      <c r="C61" s="350"/>
      <c r="D61" s="509"/>
      <c r="E61" s="510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" thickBot="1">
      <c r="B62" s="511"/>
      <c r="C62" s="362"/>
      <c r="D62" s="514"/>
      <c r="E62" s="515"/>
      <c r="F62" s="43"/>
      <c r="G62" s="41"/>
      <c r="H62" s="41"/>
      <c r="I62" s="42"/>
      <c r="J62" s="517" t="s">
        <v>129</v>
      </c>
      <c r="K62" s="517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512"/>
      <c r="C63" s="349"/>
      <c r="D63" s="516"/>
      <c r="E63" s="504"/>
      <c r="F63" s="43"/>
      <c r="G63" s="41"/>
      <c r="H63" s="41"/>
      <c r="I63" s="42"/>
      <c r="J63" s="292" t="s">
        <v>17</v>
      </c>
      <c r="K63" s="293" t="s">
        <v>147</v>
      </c>
      <c r="L63" s="518" t="s">
        <v>136</v>
      </c>
      <c r="M63" s="518"/>
      <c r="N63" s="519"/>
      <c r="O63" s="294"/>
      <c r="P63" s="12"/>
      <c r="S63" s="23"/>
    </row>
    <row r="64" spans="1:27" ht="15" customHeight="1" thickBot="1">
      <c r="B64" s="512"/>
      <c r="C64" s="349"/>
      <c r="D64" s="520"/>
      <c r="E64" s="502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512"/>
      <c r="C65" s="349"/>
      <c r="D65" s="516"/>
      <c r="E65" s="504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AVERAGE(6,6,'[12]March 31st'!$L$80,'[14]June 30th  '!$L$71,6,L65,'[15]July 31st'!$L$108,'[16]Aug 30th'!$L$124,7,[17]Oct.31st!$L$51)</f>
        <v>#REF!</v>
      </c>
      <c r="N65" s="308">
        <v>9</v>
      </c>
      <c r="O65" s="294"/>
      <c r="P65" s="12"/>
      <c r="S65" s="23"/>
    </row>
    <row r="66" spans="2:58" ht="15" customHeight="1">
      <c r="B66" s="512"/>
      <c r="C66" s="349"/>
      <c r="D66" s="520"/>
      <c r="E66" s="502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512"/>
      <c r="C67" s="349"/>
      <c r="D67" s="516"/>
      <c r="E67" s="504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4.4">
      <c r="B68" s="512"/>
      <c r="C68" s="349"/>
      <c r="D68" s="520"/>
      <c r="E68" s="502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4.4">
      <c r="B69" s="512"/>
      <c r="C69" s="349"/>
      <c r="D69" s="516"/>
      <c r="E69" s="504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4.4">
      <c r="B70" s="512"/>
      <c r="C70" s="349"/>
      <c r="D70" s="521"/>
      <c r="E70" s="506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" thickBot="1">
      <c r="B71" s="513"/>
      <c r="C71" s="350"/>
      <c r="D71" s="522"/>
      <c r="E71" s="523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7" customHeight="1" thickBot="1">
      <c r="B72" s="312" t="s">
        <v>139</v>
      </c>
      <c r="C72" s="313"/>
      <c r="D72" s="524">
        <f>AVERAGE(D50:E71)</f>
        <v>11.73</v>
      </c>
      <c r="E72" s="525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7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526" t="s">
        <v>17</v>
      </c>
      <c r="C77" s="526" t="s">
        <v>44</v>
      </c>
      <c r="D77" s="528" t="s">
        <v>45</v>
      </c>
      <c r="E77" s="483" t="s">
        <v>46</v>
      </c>
      <c r="F77" s="543" t="s">
        <v>47</v>
      </c>
      <c r="G77" s="537" t="s">
        <v>48</v>
      </c>
      <c r="H77" s="526" t="s">
        <v>49</v>
      </c>
      <c r="I77" s="539" t="s">
        <v>50</v>
      </c>
      <c r="J77" s="531" t="s">
        <v>28</v>
      </c>
      <c r="K77" s="481" t="s">
        <v>51</v>
      </c>
      <c r="L77" s="493" t="s">
        <v>52</v>
      </c>
      <c r="M77" s="531" t="s">
        <v>53</v>
      </c>
      <c r="N77" s="77"/>
      <c r="O77" s="13"/>
      <c r="P77" s="50"/>
    </row>
    <row r="78" spans="2:58" ht="28.5" customHeight="1" thickTop="1" thickBot="1">
      <c r="B78" s="527"/>
      <c r="C78" s="527"/>
      <c r="D78" s="529"/>
      <c r="E78" s="530"/>
      <c r="F78" s="544"/>
      <c r="G78" s="538"/>
      <c r="H78" s="527"/>
      <c r="I78" s="540"/>
      <c r="J78" s="532"/>
      <c r="K78" s="541"/>
      <c r="L78" s="542"/>
      <c r="M78" s="532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[18]December_2023!$U$13</f>
        <v>150.4</v>
      </c>
      <c r="E79" s="378"/>
      <c r="F79" s="379"/>
      <c r="G79" s="303">
        <f>[18]December_2023!$U$17</f>
        <v>120.8</v>
      </c>
      <c r="H79" s="381"/>
      <c r="I79" s="382"/>
      <c r="J79" s="360" t="s">
        <v>150</v>
      </c>
      <c r="K79" s="380">
        <f>[19]December_2023!$U$25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[20]January_2019!D8</f>
        <v>#DIV/0!</v>
      </c>
      <c r="V80" s="57">
        <f>[20]January_2019!E8</f>
        <v>1.0319298245614037</v>
      </c>
      <c r="W80" s="57">
        <f>[20]January_2019!F8</f>
        <v>1.7789473684210526</v>
      </c>
      <c r="X80" s="57">
        <f>[20]January_2019!G8</f>
        <v>0.51929824561403504</v>
      </c>
      <c r="Y80" s="57" t="e">
        <f>[20]January_2019!H8</f>
        <v>#DIV/0!</v>
      </c>
      <c r="Z80" s="57" t="e">
        <f>[20]January_2019!I8</f>
        <v>#DIV/0!</v>
      </c>
      <c r="AA80" s="57">
        <f>[20]January_2019!J8</f>
        <v>1.365263157894737</v>
      </c>
      <c r="AB80" s="57" t="e">
        <f>[20]January_2019!K8</f>
        <v>#DIV/0!</v>
      </c>
      <c r="AC80" s="57">
        <f>[20]January_2019!L8</f>
        <v>1.0028070175438597</v>
      </c>
      <c r="AD80" s="57">
        <f>[20]January_2019!M8</f>
        <v>1.7828070175438597</v>
      </c>
      <c r="AE80" s="57" t="e">
        <f>[20]January_2019!N8</f>
        <v>#DIV/0!</v>
      </c>
      <c r="AF80" s="57" t="e">
        <f>[20]January_2019!O8</f>
        <v>#DIV/0!</v>
      </c>
      <c r="AG80" s="57">
        <f>[20]January_2019!P8</f>
        <v>0.19222222222222221</v>
      </c>
      <c r="AH80" s="57">
        <f>[20]January_2019!Q8</f>
        <v>0.52219298245614032</v>
      </c>
      <c r="AI80" s="57">
        <f>[20]January_2019!R8</f>
        <v>0.42912280701754385</v>
      </c>
      <c r="AJ80" s="57" t="e">
        <f>[20]January_2019!S8</f>
        <v>#DIV/0!</v>
      </c>
      <c r="AK80" s="57">
        <f>[20]January_2019!T8</f>
        <v>1.0340350877192983</v>
      </c>
      <c r="AL80" s="57">
        <f>[20]January_2019!U8</f>
        <v>0.98421052631578942</v>
      </c>
      <c r="AM80" s="57" t="e">
        <f>[20]January_2019!V8</f>
        <v>#DIV/0!</v>
      </c>
      <c r="AN80" s="57" t="e">
        <f>[20]January_2019!W8</f>
        <v>#DIV/0!</v>
      </c>
      <c r="AO80" s="57">
        <f>[20]January_2019!X8</f>
        <v>0.66052631578947374</v>
      </c>
      <c r="AP80" s="57">
        <f>[20]January_2019!Y8</f>
        <v>1.0375438596491227</v>
      </c>
      <c r="AQ80" s="57">
        <f>[20]January_2019!Z8</f>
        <v>0.90456140350877201</v>
      </c>
      <c r="AR80" s="57">
        <f>[20]January_2019!AA8</f>
        <v>1.0217543859649123</v>
      </c>
      <c r="AS80" s="57">
        <f>[20]January_2019!AB8</f>
        <v>0.65614035087719302</v>
      </c>
      <c r="AT80" s="57" t="e">
        <f>[20]January_2019!AC8</f>
        <v>#DIV/0!</v>
      </c>
      <c r="AU80" s="57" t="e">
        <f>[20]January_2019!AD8</f>
        <v>#DIV/0!</v>
      </c>
      <c r="AV80" s="57">
        <f>[20]January_2019!AE8</f>
        <v>1.7021052631578948</v>
      </c>
      <c r="AW80" s="57">
        <f>[20]January_2019!AF8</f>
        <v>0.60192982456140354</v>
      </c>
      <c r="AX80" s="57">
        <f>[20]January_2019!AG8</f>
        <v>1.4870175438596491</v>
      </c>
      <c r="AY80" s="277" t="e">
        <f>[20]January_2019!AH8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4.4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4.4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4.4" thickBot="1">
      <c r="B87" s="533" t="s">
        <v>55</v>
      </c>
      <c r="C87" s="534"/>
      <c r="D87" s="534"/>
      <c r="E87" s="534"/>
      <c r="F87" s="535"/>
      <c r="G87" s="533" t="s">
        <v>56</v>
      </c>
      <c r="H87" s="534"/>
      <c r="I87" s="534"/>
      <c r="J87" s="535"/>
      <c r="K87" s="533" t="s">
        <v>51</v>
      </c>
      <c r="L87" s="534"/>
      <c r="M87" s="534"/>
      <c r="N87" s="536"/>
      <c r="O87" s="56"/>
      <c r="P87" s="50"/>
    </row>
    <row r="88" spans="2:58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[18]December_2023!$U$21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>
      <c r="B94" s="36" t="s">
        <v>15</v>
      </c>
      <c r="C94" s="282"/>
      <c r="D94" s="76"/>
      <c r="E94" s="76">
        <v>6.4174306465055304</v>
      </c>
      <c r="F94" s="70">
        <f>[21]May_2022!$M$43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4.4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  <mergeCell ref="D72:E72"/>
    <mergeCell ref="B77:B78"/>
    <mergeCell ref="C77:C78"/>
    <mergeCell ref="D77:D78"/>
    <mergeCell ref="E77:E78"/>
    <mergeCell ref="B62:B71"/>
    <mergeCell ref="D62:E63"/>
    <mergeCell ref="J62:K62"/>
    <mergeCell ref="L63:N63"/>
    <mergeCell ref="D64:E65"/>
    <mergeCell ref="D66:E67"/>
    <mergeCell ref="D68:E69"/>
    <mergeCell ref="D70:E71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C4:D4"/>
    <mergeCell ref="J4:K5"/>
    <mergeCell ref="M4:N4"/>
    <mergeCell ref="T1:U1"/>
    <mergeCell ref="V1:W1"/>
  </mergeCells>
  <conditionalFormatting sqref="B72:B73">
    <cfRule type="cellIs" dxfId="2626" priority="157" operator="notBetween">
      <formula>#REF!</formula>
      <formula>#REF!</formula>
    </cfRule>
  </conditionalFormatting>
  <conditionalFormatting sqref="C76">
    <cfRule type="cellIs" dxfId="2625" priority="190" stopIfTrue="1" operator="greaterThan">
      <formula>100</formula>
    </cfRule>
    <cfRule type="cellIs" dxfId="2624" priority="189" stopIfTrue="1" operator="lessThan">
      <formula>96</formula>
    </cfRule>
  </conditionalFormatting>
  <conditionalFormatting sqref="C90">
    <cfRule type="cellIs" dxfId="2623" priority="212" stopIfTrue="1" operator="greaterThan">
      <formula>$F89</formula>
    </cfRule>
    <cfRule type="cellIs" dxfId="2622" priority="106" stopIfTrue="1" operator="lessThanOrEqual">
      <formula>0</formula>
    </cfRule>
  </conditionalFormatting>
  <conditionalFormatting sqref="C91:C93">
    <cfRule type="cellIs" dxfId="2621" priority="105" stopIfTrue="1" operator="greaterThan">
      <formula>$F91</formula>
    </cfRule>
  </conditionalFormatting>
  <conditionalFormatting sqref="C91:C94">
    <cfRule type="cellIs" dxfId="2620" priority="129" stopIfTrue="1" operator="lessThanOrEqual">
      <formula>0</formula>
    </cfRule>
  </conditionalFormatting>
  <conditionalFormatting sqref="C94">
    <cfRule type="cellIs" dxfId="2619" priority="128" stopIfTrue="1" operator="greaterThan">
      <formula>$J94</formula>
    </cfRule>
  </conditionalFormatting>
  <conditionalFormatting sqref="C95:C97">
    <cfRule type="cellIs" dxfId="2618" priority="145" stopIfTrue="1" operator="greaterThan">
      <formula>$F95</formula>
    </cfRule>
    <cfRule type="cellIs" dxfId="2617" priority="146" stopIfTrue="1" operator="lessThanOrEqual">
      <formula>0</formula>
    </cfRule>
  </conditionalFormatting>
  <conditionalFormatting sqref="C100:C104">
    <cfRule type="cellIs" dxfId="2616" priority="181" stopIfTrue="1" operator="lessThanOrEqual">
      <formula>0</formula>
    </cfRule>
  </conditionalFormatting>
  <conditionalFormatting sqref="C101:C104">
    <cfRule type="cellIs" dxfId="2615" priority="180" stopIfTrue="1" operator="greaterThan">
      <formula>$F$100</formula>
    </cfRule>
  </conditionalFormatting>
  <conditionalFormatting sqref="C106">
    <cfRule type="cellIs" dxfId="2614" priority="183" stopIfTrue="1" operator="lessThanOrEqual">
      <formula>0</formula>
    </cfRule>
    <cfRule type="cellIs" dxfId="2613" priority="182" stopIfTrue="1" operator="greaterThan">
      <formula>$F$100</formula>
    </cfRule>
  </conditionalFormatting>
  <conditionalFormatting sqref="C100:D100 D102:D108">
    <cfRule type="cellIs" dxfId="2612" priority="175" stopIfTrue="1" operator="greaterThan">
      <formula>4.5</formula>
    </cfRule>
  </conditionalFormatting>
  <conditionalFormatting sqref="D72:D73">
    <cfRule type="cellIs" dxfId="2611" priority="158" operator="notBetween">
      <formula>#REF!</formula>
      <formula>#REF!</formula>
    </cfRule>
  </conditionalFormatting>
  <conditionalFormatting sqref="D89:D96">
    <cfRule type="cellIs" dxfId="2610" priority="144" stopIfTrue="1" operator="lessThanOrEqual">
      <formula>0</formula>
    </cfRule>
  </conditionalFormatting>
  <conditionalFormatting sqref="D97">
    <cfRule type="cellIs" dxfId="2609" priority="143" stopIfTrue="1" operator="lessThanOrEqual">
      <formula>0</formula>
    </cfRule>
  </conditionalFormatting>
  <conditionalFormatting sqref="D100 D102:D108">
    <cfRule type="cellIs" dxfId="2608" priority="176" stopIfTrue="1" operator="lessThanOrEqual">
      <formula>0</formula>
    </cfRule>
  </conditionalFormatting>
  <conditionalFormatting sqref="D101">
    <cfRule type="cellIs" dxfId="2607" priority="167" stopIfTrue="1" operator="greaterThan">
      <formula>$F$100</formula>
    </cfRule>
    <cfRule type="cellIs" dxfId="2606" priority="168" stopIfTrue="1" operator="lessThanOrEqual">
      <formula>0</formula>
    </cfRule>
  </conditionalFormatting>
  <conditionalFormatting sqref="D89:E97">
    <cfRule type="cellIs" dxfId="2605" priority="135" stopIfTrue="1" operator="greaterThan">
      <formula>$F89</formula>
    </cfRule>
  </conditionalFormatting>
  <conditionalFormatting sqref="E10:E14">
    <cfRule type="cellIs" dxfId="2604" priority="52" operator="lessThan">
      <formula>48</formula>
    </cfRule>
  </conditionalFormatting>
  <conditionalFormatting sqref="E33:E46">
    <cfRule type="cellIs" dxfId="2603" priority="25" operator="lessThan">
      <formula>48</formula>
    </cfRule>
  </conditionalFormatting>
  <conditionalFormatting sqref="E76">
    <cfRule type="cellIs" dxfId="2602" priority="169" stopIfTrue="1" operator="lessThan">
      <formula>96.8</formula>
    </cfRule>
    <cfRule type="cellIs" dxfId="2601" priority="170" stopIfTrue="1" operator="greaterThan">
      <formula>100</formula>
    </cfRule>
  </conditionalFormatting>
  <conditionalFormatting sqref="E89:E97">
    <cfRule type="cellIs" dxfId="2600" priority="136" stopIfTrue="1" operator="lessThanOrEqual">
      <formula>0</formula>
    </cfRule>
  </conditionalFormatting>
  <conditionalFormatting sqref="E100:E108">
    <cfRule type="cellIs" dxfId="2599" priority="161" stopIfTrue="1" operator="greaterThan">
      <formula>4.5</formula>
    </cfRule>
    <cfRule type="cellIs" dxfId="2598" priority="162" stopIfTrue="1" operator="lessThanOrEqual">
      <formula>0</formula>
    </cfRule>
  </conditionalFormatting>
  <conditionalFormatting sqref="E75:F76">
    <cfRule type="cellIs" dxfId="2597" priority="171" stopIfTrue="1" operator="lessThan">
      <formula>96.5</formula>
    </cfRule>
    <cfRule type="cellIs" dxfId="2596" priority="172" stopIfTrue="1" operator="greaterThan">
      <formula>100</formula>
    </cfRule>
  </conditionalFormatting>
  <conditionalFormatting sqref="F10:F12">
    <cfRule type="cellIs" dxfId="2595" priority="62" operator="greaterThan">
      <formula>#REF!</formula>
    </cfRule>
  </conditionalFormatting>
  <conditionalFormatting sqref="F10:F47">
    <cfRule type="cellIs" dxfId="2594" priority="15" operator="greaterThan">
      <formula>$AA10</formula>
    </cfRule>
  </conditionalFormatting>
  <conditionalFormatting sqref="F13">
    <cfRule type="cellIs" dxfId="2593" priority="53" operator="greaterThan">
      <formula>$AA47</formula>
    </cfRule>
  </conditionalFormatting>
  <conditionalFormatting sqref="F14">
    <cfRule type="cellIs" dxfId="2592" priority="196" operator="greaterThan">
      <formula>#REF!</formula>
    </cfRule>
  </conditionalFormatting>
  <conditionalFormatting sqref="F33:F46">
    <cfRule type="cellIs" dxfId="2591" priority="26" operator="greaterThan">
      <formula>$AA48</formula>
    </cfRule>
  </conditionalFormatting>
  <conditionalFormatting sqref="F76">
    <cfRule type="cellIs" dxfId="2590" priority="188" stopIfTrue="1" operator="greaterThan">
      <formula>100</formula>
    </cfRule>
    <cfRule type="cellIs" dxfId="2589" priority="187" stopIfTrue="1" operator="lessThan">
      <formula>96.8</formula>
    </cfRule>
  </conditionalFormatting>
  <conditionalFormatting sqref="F97">
    <cfRule type="cellIs" dxfId="2588" priority="137" stopIfTrue="1" operator="greaterThan">
      <formula>$F97</formula>
    </cfRule>
    <cfRule type="cellIs" dxfId="2587" priority="138" stopIfTrue="1" operator="lessThanOrEqual">
      <formula>0</formula>
    </cfRule>
  </conditionalFormatting>
  <conditionalFormatting sqref="G10:G14">
    <cfRule type="expression" dxfId="2586" priority="54">
      <formula>IF(+(IF(G10&lt;#REF!,0,IF(G10&gt;#REF!,0,1)))=0,1)</formula>
    </cfRule>
  </conditionalFormatting>
  <conditionalFormatting sqref="G33:G46">
    <cfRule type="expression" dxfId="2585" priority="27">
      <formula>IF(+(IF(G33&lt;#REF!,0,IF(G33&gt;#REF!,0,1)))=0,1)</formula>
    </cfRule>
  </conditionalFormatting>
  <conditionalFormatting sqref="G90">
    <cfRule type="cellIs" dxfId="2584" priority="71" stopIfTrue="1" operator="lessThanOrEqual">
      <formula>0</formula>
    </cfRule>
    <cfRule type="cellIs" dxfId="2583" priority="70" stopIfTrue="1" operator="greaterThan">
      <formula>$F89</formula>
    </cfRule>
  </conditionalFormatting>
  <conditionalFormatting sqref="G90:G91">
    <cfRule type="cellIs" dxfId="2582" priority="192" stopIfTrue="1" operator="lessThanOrEqual">
      <formula>0</formula>
    </cfRule>
    <cfRule type="cellIs" dxfId="2581" priority="191" stopIfTrue="1" operator="greaterThan">
      <formula>$F89</formula>
    </cfRule>
  </conditionalFormatting>
  <conditionalFormatting sqref="G92">
    <cfRule type="cellIs" dxfId="2580" priority="140" stopIfTrue="1" operator="lessThanOrEqual">
      <formula>0</formula>
    </cfRule>
    <cfRule type="cellIs" dxfId="2579" priority="139" stopIfTrue="1" operator="greaterThan">
      <formula>$F92</formula>
    </cfRule>
  </conditionalFormatting>
  <conditionalFormatting sqref="G93:G96">
    <cfRule type="cellIs" dxfId="2578" priority="149" stopIfTrue="1" operator="lessThanOrEqual">
      <formula>0</formula>
    </cfRule>
    <cfRule type="cellIs" dxfId="2577" priority="148" stopIfTrue="1" operator="greaterThan">
      <formula>$J93</formula>
    </cfRule>
  </conditionalFormatting>
  <conditionalFormatting sqref="G97">
    <cfRule type="cellIs" dxfId="2576" priority="147" operator="greaterThan">
      <formula>4.5</formula>
    </cfRule>
  </conditionalFormatting>
  <conditionalFormatting sqref="G102:G107 C105 C107">
    <cfRule type="cellIs" dxfId="2575" priority="184" stopIfTrue="1" operator="greaterThan">
      <formula>4.5</formula>
    </cfRule>
    <cfRule type="cellIs" dxfId="2574" priority="185" stopIfTrue="1" operator="lessThanOrEqual">
      <formula>0</formula>
    </cfRule>
  </conditionalFormatting>
  <conditionalFormatting sqref="G62:H62 G63:G73 H63:H74">
    <cfRule type="cellIs" dxfId="2573" priority="163" stopIfTrue="1" operator="greaterThan">
      <formula>0</formula>
    </cfRule>
  </conditionalFormatting>
  <conditionalFormatting sqref="G101:H101">
    <cfRule type="cellIs" dxfId="2572" priority="166" stopIfTrue="1" operator="lessThanOrEqual">
      <formula>0</formula>
    </cfRule>
    <cfRule type="cellIs" dxfId="2571" priority="165" stopIfTrue="1" operator="greaterThan">
      <formula>$F$100</formula>
    </cfRule>
  </conditionalFormatting>
  <conditionalFormatting sqref="H10">
    <cfRule type="expression" dxfId="2570" priority="63">
      <formula>IF(+(IF(H10&lt;T27,0,IF(H10&gt;U27,0,1)))=0,1)</formula>
    </cfRule>
  </conditionalFormatting>
  <conditionalFormatting sqref="H10:H12">
    <cfRule type="expression" dxfId="2569" priority="64">
      <formula>IF(+(IF(H10&lt;#REF!,0,IF(H10&gt;#REF!,0,1)))=0,1)</formula>
    </cfRule>
  </conditionalFormatting>
  <conditionalFormatting sqref="H11:H12">
    <cfRule type="expression" dxfId="2568" priority="207">
      <formula>IF(+(IF(H11&lt;T47,0,IF(H11&gt;U47,0,1)))=0,1)</formula>
    </cfRule>
  </conditionalFormatting>
  <conditionalFormatting sqref="H13">
    <cfRule type="expression" dxfId="2567" priority="55">
      <formula>IF(+(IF(H13&lt;T56,0,IF(H13&gt;U56,0,1)))=0,1)</formula>
    </cfRule>
    <cfRule type="expression" dxfId="2566" priority="56">
      <formula>IF(+(IF(H13&lt;T47,0,IF(H13&gt;U47,0,1)))=0,1)</formula>
    </cfRule>
  </conditionalFormatting>
  <conditionalFormatting sqref="H14">
    <cfRule type="expression" dxfId="2565" priority="197">
      <formula>IF(+(IF(H14&lt;T50,0,IF(H14&gt;U50,0,1)))=0,1)</formula>
    </cfRule>
    <cfRule type="expression" dxfId="2564" priority="198">
      <formula>IF(+(IF(H14&lt;#REF!,0,IF(H14&gt;#REF!,0,1)))=0,1)</formula>
    </cfRule>
  </conditionalFormatting>
  <conditionalFormatting sqref="H15:H32">
    <cfRule type="expression" dxfId="2563" priority="209">
      <formula>IF(+(IF(H15&lt;T66,0,IF(H15&gt;U66,0,1)))=0,1)</formula>
    </cfRule>
  </conditionalFormatting>
  <conditionalFormatting sqref="H33:H46">
    <cfRule type="expression" dxfId="2562" priority="29">
      <formula>IF(+(IF(H33&lt;T48,0,IF(H33&gt;U48,0,1)))=0,1)</formula>
    </cfRule>
    <cfRule type="expression" dxfId="2561" priority="28">
      <formula>IF(+(IF(H33&lt;T57,0,IF(H33&gt;U57,0,1)))=0,1)</formula>
    </cfRule>
  </conditionalFormatting>
  <conditionalFormatting sqref="H47">
    <cfRule type="expression" dxfId="2560" priority="193">
      <formula>IF(+(IF(H47&lt;#REF!,0,IF(H47&gt;#REF!,0,1)))=0,1)</formula>
    </cfRule>
  </conditionalFormatting>
  <conditionalFormatting sqref="H51:H61">
    <cfRule type="cellIs" dxfId="2559" priority="159" stopIfTrue="1" operator="greaterThan">
      <formula>0</formula>
    </cfRule>
  </conditionalFormatting>
  <conditionalFormatting sqref="H79">
    <cfRule type="cellIs" dxfId="2558" priority="12" stopIfTrue="1" operator="lessThanOrEqual">
      <formula>0</formula>
    </cfRule>
    <cfRule type="cellIs" dxfId="2557" priority="14" stopIfTrue="1" operator="lessThanOrEqual">
      <formula>0</formula>
    </cfRule>
    <cfRule type="cellIs" dxfId="2556" priority="13" stopIfTrue="1" operator="greaterThan">
      <formula>$F$54</formula>
    </cfRule>
    <cfRule type="cellIs" dxfId="2555" priority="11" stopIfTrue="1" operator="greaterThan">
      <formula>$F$56</formula>
    </cfRule>
    <cfRule type="cellIs" dxfId="2554" priority="2" stopIfTrue="1" operator="lessThanOrEqual">
      <formula>0</formula>
    </cfRule>
    <cfRule type="cellIs" dxfId="2553" priority="3" stopIfTrue="1" operator="greaterThan">
      <formula>$F$53</formula>
    </cfRule>
  </conditionalFormatting>
  <conditionalFormatting sqref="H80">
    <cfRule type="cellIs" dxfId="2552" priority="92" stopIfTrue="1" operator="lessThanOrEqual">
      <formula>0</formula>
    </cfRule>
    <cfRule type="cellIs" dxfId="2551" priority="93" stopIfTrue="1" operator="greaterThan">
      <formula>$F$88</formula>
    </cfRule>
    <cfRule type="cellIs" dxfId="2550" priority="104" stopIfTrue="1" operator="lessThanOrEqual">
      <formula>0</formula>
    </cfRule>
    <cfRule type="cellIs" dxfId="2549" priority="101" stopIfTrue="1" operator="greaterThan">
      <formula>$F$91</formula>
    </cfRule>
    <cfRule type="cellIs" dxfId="2548" priority="102" stopIfTrue="1" operator="lessThanOrEqual">
      <formula>0</formula>
    </cfRule>
    <cfRule type="cellIs" dxfId="2547" priority="103" stopIfTrue="1" operator="greaterThan">
      <formula>$F$89</formula>
    </cfRule>
  </conditionalFormatting>
  <conditionalFormatting sqref="H81">
    <cfRule type="cellIs" dxfId="2546" priority="45" stopIfTrue="1" operator="lessThanOrEqual">
      <formula>0</formula>
    </cfRule>
    <cfRule type="cellIs" dxfId="2545" priority="36" stopIfTrue="1" operator="greaterThan">
      <formula>$F$72</formula>
    </cfRule>
    <cfRule type="cellIs" dxfId="2544" priority="35" stopIfTrue="1" operator="lessThanOrEqual">
      <formula>0</formula>
    </cfRule>
    <cfRule type="cellIs" dxfId="2543" priority="44" stopIfTrue="1" operator="greaterThan">
      <formula>$F$75</formula>
    </cfRule>
    <cfRule type="cellIs" dxfId="2542" priority="47" stopIfTrue="1" operator="lessThanOrEqual">
      <formula>0</formula>
    </cfRule>
    <cfRule type="cellIs" dxfId="2541" priority="46" stopIfTrue="1" operator="greaterThan">
      <formula>$F$73</formula>
    </cfRule>
  </conditionalFormatting>
  <conditionalFormatting sqref="H82">
    <cfRule type="cellIs" dxfId="2540" priority="84" stopIfTrue="1" operator="greaterThan">
      <formula>#REF!</formula>
    </cfRule>
    <cfRule type="cellIs" dxfId="2539" priority="75" stopIfTrue="1" operator="lessThanOrEqual">
      <formula>0</formula>
    </cfRule>
    <cfRule type="cellIs" dxfId="2538" priority="76" stopIfTrue="1" operator="greaterThan">
      <formula>#REF!</formula>
    </cfRule>
  </conditionalFormatting>
  <conditionalFormatting sqref="H82:H84">
    <cfRule type="cellIs" dxfId="2537" priority="85" stopIfTrue="1" operator="lessThanOrEqual">
      <formula>0</formula>
    </cfRule>
  </conditionalFormatting>
  <conditionalFormatting sqref="H83:H84">
    <cfRule type="cellIs" dxfId="2536" priority="125" stopIfTrue="1" operator="lessThanOrEqual">
      <formula>0</formula>
    </cfRule>
    <cfRule type="cellIs" dxfId="2535" priority="124" stopIfTrue="1" operator="greaterThan">
      <formula>$F$90</formula>
    </cfRule>
    <cfRule type="cellIs" dxfId="2534" priority="122" stopIfTrue="1" operator="greaterThan">
      <formula>$F$92</formula>
    </cfRule>
    <cfRule type="cellIs" dxfId="2533" priority="114" stopIfTrue="1" operator="greaterThan">
      <formula>$F$89</formula>
    </cfRule>
    <cfRule type="cellIs" dxfId="2532" priority="123" stopIfTrue="1" operator="lessThanOrEqual">
      <formula>0</formula>
    </cfRule>
  </conditionalFormatting>
  <conditionalFormatting sqref="H85">
    <cfRule type="cellIs" dxfId="2531" priority="155" stopIfTrue="1" operator="greaterThan">
      <formula>$F$82</formula>
    </cfRule>
    <cfRule type="cellIs" dxfId="2530" priority="156" stopIfTrue="1" operator="lessThanOrEqual">
      <formula>0</formula>
    </cfRule>
    <cfRule type="cellIs" dxfId="2529" priority="153" stopIfTrue="1" operator="greaterThan">
      <formula>$F$86</formula>
    </cfRule>
    <cfRule type="cellIs" dxfId="2528" priority="154" stopIfTrue="1" operator="lessThanOrEqual">
      <formula>0</formula>
    </cfRule>
  </conditionalFormatting>
  <conditionalFormatting sqref="H89:H96">
    <cfRule type="cellIs" dxfId="2527" priority="127" stopIfTrue="1" operator="lessThanOrEqual">
      <formula>0</formula>
    </cfRule>
    <cfRule type="cellIs" dxfId="2526" priority="126" stopIfTrue="1" operator="greaterThan">
      <formula>$J89</formula>
    </cfRule>
  </conditionalFormatting>
  <conditionalFormatting sqref="H97">
    <cfRule type="cellIs" dxfId="2525" priority="132" operator="greaterThan">
      <formula>5.3</formula>
    </cfRule>
  </conditionalFormatting>
  <conditionalFormatting sqref="H100 H102:H108">
    <cfRule type="cellIs" dxfId="2524" priority="177" stopIfTrue="1" operator="greaterThan">
      <formula>4.5</formula>
    </cfRule>
    <cfRule type="cellIs" dxfId="2523" priority="178" stopIfTrue="1" operator="lessThanOrEqual">
      <formula>0</formula>
    </cfRule>
  </conditionalFormatting>
  <conditionalFormatting sqref="H79:I79">
    <cfRule type="cellIs" dxfId="2522" priority="4" stopIfTrue="1" operator="lessThanOrEqual">
      <formula>0</formula>
    </cfRule>
    <cfRule type="cellIs" dxfId="2521" priority="1" stopIfTrue="1" operator="greaterThan">
      <formula>$F$55</formula>
    </cfRule>
  </conditionalFormatting>
  <conditionalFormatting sqref="H80:I80">
    <cfRule type="cellIs" dxfId="2520" priority="94" stopIfTrue="1" operator="lessThanOrEqual">
      <formula>0</formula>
    </cfRule>
    <cfRule type="cellIs" dxfId="2519" priority="91" stopIfTrue="1" operator="greaterThan">
      <formula>$F$90</formula>
    </cfRule>
  </conditionalFormatting>
  <conditionalFormatting sqref="H81:I81">
    <cfRule type="cellIs" dxfId="2518" priority="37" stopIfTrue="1" operator="lessThanOrEqual">
      <formula>0</formula>
    </cfRule>
    <cfRule type="cellIs" dxfId="2517" priority="34" stopIfTrue="1" operator="greaterThan">
      <formula>$F$74</formula>
    </cfRule>
  </conditionalFormatting>
  <conditionalFormatting sqref="H82:I82">
    <cfRule type="cellIs" dxfId="2516" priority="83" stopIfTrue="1" operator="lessThanOrEqual">
      <formula>0</formula>
    </cfRule>
    <cfRule type="cellIs" dxfId="2515" priority="82" stopIfTrue="1" operator="greaterThan">
      <formula>#REF!</formula>
    </cfRule>
    <cfRule type="cellIs" dxfId="2514" priority="74" stopIfTrue="1" operator="greaterThan">
      <formula>#REF!</formula>
    </cfRule>
    <cfRule type="cellIs" dxfId="2513" priority="77" stopIfTrue="1" operator="lessThanOrEqual">
      <formula>0</formula>
    </cfRule>
  </conditionalFormatting>
  <conditionalFormatting sqref="H83:I83">
    <cfRule type="cellIs" dxfId="2512" priority="115" stopIfTrue="1" operator="lessThanOrEqual">
      <formula>0</formula>
    </cfRule>
  </conditionalFormatting>
  <conditionalFormatting sqref="H83:I84">
    <cfRule type="cellIs" dxfId="2511" priority="72" stopIfTrue="1" operator="greaterThan">
      <formula>$F$91</formula>
    </cfRule>
  </conditionalFormatting>
  <conditionalFormatting sqref="H84:I84">
    <cfRule type="cellIs" dxfId="2510" priority="73" stopIfTrue="1" operator="lessThanOrEqual">
      <formula>0</formula>
    </cfRule>
  </conditionalFormatting>
  <conditionalFormatting sqref="I10:I14">
    <cfRule type="cellIs" dxfId="2509" priority="49" operator="lessThan">
      <formula>97.8</formula>
    </cfRule>
  </conditionalFormatting>
  <conditionalFormatting sqref="I10:I47">
    <cfRule type="cellIs" dxfId="2508" priority="21" operator="lessThan">
      <formula>98</formula>
    </cfRule>
  </conditionalFormatting>
  <conditionalFormatting sqref="I33:I46">
    <cfRule type="cellIs" dxfId="2507" priority="22" operator="lessThan">
      <formula>97.8</formula>
    </cfRule>
  </conditionalFormatting>
  <conditionalFormatting sqref="I79">
    <cfRule type="cellIs" dxfId="2506" priority="5" stopIfTrue="1" operator="greaterThan">
      <formula>$F$53</formula>
    </cfRule>
    <cfRule type="cellIs" dxfId="2505" priority="6" stopIfTrue="1" operator="lessThanOrEqual">
      <formula>0</formula>
    </cfRule>
    <cfRule type="cellIs" dxfId="2504" priority="7" stopIfTrue="1" operator="greaterThan">
      <formula>$F$55</formula>
    </cfRule>
    <cfRule type="cellIs" dxfId="2503" priority="8" stopIfTrue="1" operator="lessThanOrEqual">
      <formula>0</formula>
    </cfRule>
    <cfRule type="cellIs" dxfId="2502" priority="9" stopIfTrue="1" operator="greaterThan">
      <formula>$F$53</formula>
    </cfRule>
    <cfRule type="cellIs" dxfId="2501" priority="10" stopIfTrue="1" operator="lessThanOrEqual">
      <formula>0</formula>
    </cfRule>
  </conditionalFormatting>
  <conditionalFormatting sqref="I80">
    <cfRule type="cellIs" dxfId="2500" priority="99" stopIfTrue="1" operator="greaterThan">
      <formula>$F$88</formula>
    </cfRule>
    <cfRule type="cellIs" dxfId="2499" priority="97" stopIfTrue="1" operator="greaterThan">
      <formula>$F$90</formula>
    </cfRule>
    <cfRule type="cellIs" dxfId="2498" priority="96" stopIfTrue="1" operator="lessThanOrEqual">
      <formula>0</formula>
    </cfRule>
    <cfRule type="cellIs" dxfId="2497" priority="95" stopIfTrue="1" operator="greaterThan">
      <formula>$F$88</formula>
    </cfRule>
    <cfRule type="cellIs" dxfId="2496" priority="100" stopIfTrue="1" operator="lessThanOrEqual">
      <formula>0</formula>
    </cfRule>
    <cfRule type="cellIs" dxfId="2495" priority="98" stopIfTrue="1" operator="lessThanOrEqual">
      <formula>0</formula>
    </cfRule>
  </conditionalFormatting>
  <conditionalFormatting sqref="I81">
    <cfRule type="cellIs" dxfId="2494" priority="43" stopIfTrue="1" operator="lessThanOrEqual">
      <formula>0</formula>
    </cfRule>
    <cfRule type="cellIs" dxfId="2493" priority="42" stopIfTrue="1" operator="greaterThan">
      <formula>$F$72</formula>
    </cfRule>
    <cfRule type="cellIs" dxfId="2492" priority="41" stopIfTrue="1" operator="lessThanOrEqual">
      <formula>0</formula>
    </cfRule>
    <cfRule type="cellIs" dxfId="2491" priority="40" stopIfTrue="1" operator="greaterThan">
      <formula>$F$74</formula>
    </cfRule>
    <cfRule type="cellIs" dxfId="2490" priority="39" stopIfTrue="1" operator="lessThanOrEqual">
      <formula>0</formula>
    </cfRule>
    <cfRule type="cellIs" dxfId="2489" priority="38" stopIfTrue="1" operator="greaterThan">
      <formula>$F$72</formula>
    </cfRule>
  </conditionalFormatting>
  <conditionalFormatting sqref="I82">
    <cfRule type="cellIs" dxfId="2488" priority="80" stopIfTrue="1" operator="greaterThan">
      <formula>#REF!</formula>
    </cfRule>
    <cfRule type="cellIs" dxfId="2487" priority="79" stopIfTrue="1" operator="lessThanOrEqual">
      <formula>0</formula>
    </cfRule>
    <cfRule type="cellIs" dxfId="2486" priority="78" stopIfTrue="1" operator="greaterThan">
      <formula>#REF!</formula>
    </cfRule>
    <cfRule type="cellIs" dxfId="2485" priority="81" stopIfTrue="1" operator="lessThanOrEqual">
      <formula>0</formula>
    </cfRule>
  </conditionalFormatting>
  <conditionalFormatting sqref="I83:I84">
    <cfRule type="cellIs" dxfId="2484" priority="118" stopIfTrue="1" operator="greaterThan">
      <formula>$F$91</formula>
    </cfRule>
    <cfRule type="cellIs" dxfId="2483" priority="116" stopIfTrue="1" operator="greaterThan">
      <formula>$F$89</formula>
    </cfRule>
    <cfRule type="cellIs" dxfId="2482" priority="117" stopIfTrue="1" operator="lessThanOrEqual">
      <formula>0</formula>
    </cfRule>
    <cfRule type="cellIs" dxfId="2481" priority="119" stopIfTrue="1" operator="lessThanOrEqual">
      <formula>0</formula>
    </cfRule>
    <cfRule type="cellIs" dxfId="2480" priority="120" stopIfTrue="1" operator="greaterThan">
      <formula>$F$89</formula>
    </cfRule>
    <cfRule type="cellIs" dxfId="2479" priority="121" stopIfTrue="1" operator="lessThanOrEqual">
      <formula>0</formula>
    </cfRule>
  </conditionalFormatting>
  <conditionalFormatting sqref="I89:I97">
    <cfRule type="cellIs" dxfId="2478" priority="133" stopIfTrue="1" operator="greaterThan">
      <formula>$J89</formula>
    </cfRule>
    <cfRule type="cellIs" dxfId="2477" priority="134" stopIfTrue="1" operator="lessThanOrEqual">
      <formula>0</formula>
    </cfRule>
  </conditionalFormatting>
  <conditionalFormatting sqref="I100:I108">
    <cfRule type="cellIs" dxfId="2476" priority="173" stopIfTrue="1" operator="greaterThan">
      <formula>4.5</formula>
    </cfRule>
    <cfRule type="cellIs" dxfId="2475" priority="174" stopIfTrue="1" operator="lessThanOrEqual">
      <formula>0</formula>
    </cfRule>
  </conditionalFormatting>
  <conditionalFormatting sqref="J10:J14">
    <cfRule type="cellIs" dxfId="2474" priority="51" operator="notBetween">
      <formula>98</formula>
      <formula>99.9</formula>
    </cfRule>
  </conditionalFormatting>
  <conditionalFormatting sqref="J10:J47">
    <cfRule type="cellIs" dxfId="2473" priority="20" operator="lessThan">
      <formula>97.4</formula>
    </cfRule>
  </conditionalFormatting>
  <conditionalFormatting sqref="J33:J46">
    <cfRule type="cellIs" dxfId="2472" priority="24" operator="notBetween">
      <formula>98</formula>
      <formula>99.9</formula>
    </cfRule>
  </conditionalFormatting>
  <conditionalFormatting sqref="J50:J52">
    <cfRule type="cellIs" dxfId="2471" priority="108" stopIfTrue="1" operator="greaterThan">
      <formula>100</formula>
    </cfRule>
    <cfRule type="cellIs" dxfId="2470" priority="109" operator="lessThan">
      <formula>98</formula>
    </cfRule>
    <cfRule type="cellIs" dxfId="2469" priority="107" stopIfTrue="1" operator="lessThan">
      <formula>96.8</formula>
    </cfRule>
  </conditionalFormatting>
  <conditionalFormatting sqref="J50:J54">
    <cfRule type="cellIs" dxfId="2468" priority="48" operator="lessThan">
      <formula>97.4</formula>
    </cfRule>
  </conditionalFormatting>
  <conditionalFormatting sqref="J55 L59:M59 L61:M61">
    <cfRule type="cellIs" dxfId="2467" priority="110" operator="lessThan">
      <formula>98</formula>
    </cfRule>
  </conditionalFormatting>
  <conditionalFormatting sqref="J56:J57">
    <cfRule type="cellIs" dxfId="2466" priority="111" stopIfTrue="1" operator="lessThan">
      <formula>96.8</formula>
    </cfRule>
    <cfRule type="cellIs" dxfId="2465" priority="112" stopIfTrue="1" operator="greaterThan">
      <formula>100</formula>
    </cfRule>
  </conditionalFormatting>
  <conditionalFormatting sqref="J56:J58">
    <cfRule type="cellIs" dxfId="2464" priority="113" operator="lessThan">
      <formula>98</formula>
    </cfRule>
  </conditionalFormatting>
  <conditionalFormatting sqref="K10:K14">
    <cfRule type="cellIs" dxfId="2463" priority="50" operator="greaterThan">
      <formula>6.4</formula>
    </cfRule>
  </conditionalFormatting>
  <conditionalFormatting sqref="K10:K47">
    <cfRule type="cellIs" dxfId="2462" priority="17" operator="lessThan">
      <formula>4</formula>
    </cfRule>
    <cfRule type="cellIs" dxfId="2461" priority="16" operator="greaterThan">
      <formula>6</formula>
    </cfRule>
  </conditionalFormatting>
  <conditionalFormatting sqref="K33:K46">
    <cfRule type="cellIs" dxfId="2460" priority="23" operator="greaterThan">
      <formula>6.4</formula>
    </cfRule>
  </conditionalFormatting>
  <conditionalFormatting sqref="K64:K73">
    <cfRule type="cellIs" dxfId="2459" priority="141" operator="notEqual">
      <formula>#REF!</formula>
    </cfRule>
  </conditionalFormatting>
  <conditionalFormatting sqref="K79:K84 J85:K85 L89:N89 K90:N97">
    <cfRule type="cellIs" dxfId="2458" priority="152" stopIfTrue="1" operator="lessThan">
      <formula>100%</formula>
    </cfRule>
  </conditionalFormatting>
  <conditionalFormatting sqref="K100:K105">
    <cfRule type="cellIs" dxfId="2457" priority="179" stopIfTrue="1" operator="lessThan">
      <formula>100%</formula>
    </cfRule>
  </conditionalFormatting>
  <conditionalFormatting sqref="K107:K108">
    <cfRule type="cellIs" dxfId="2456" priority="186" stopIfTrue="1" operator="lessThan">
      <formula>100%</formula>
    </cfRule>
  </conditionalFormatting>
  <conditionalFormatting sqref="L10:L47">
    <cfRule type="cellIs" dxfId="2455" priority="19" operator="greaterThan">
      <formula>65</formula>
    </cfRule>
    <cfRule type="cellIs" dxfId="2454" priority="18" operator="between">
      <formula>61</formula>
      <formula>65</formula>
    </cfRule>
  </conditionalFormatting>
  <conditionalFormatting sqref="L52:L58">
    <cfRule type="cellIs" dxfId="2453" priority="88" operator="lessThan">
      <formula>98</formula>
    </cfRule>
  </conditionalFormatting>
  <conditionalFormatting sqref="L65:N65">
    <cfRule type="cellIs" dxfId="2452" priority="87" operator="notEqual">
      <formula>#REF!</formula>
    </cfRule>
  </conditionalFormatting>
  <conditionalFormatting sqref="L100:N108">
    <cfRule type="cellIs" dxfId="2451" priority="164" stopIfTrue="1" operator="lessThan">
      <formula>100%</formula>
    </cfRule>
  </conditionalFormatting>
  <conditionalFormatting sqref="M10:M11">
    <cfRule type="expression" dxfId="2450" priority="65">
      <formula>IF(+(IF(M10&lt;V23,0,IF(M10&gt;W23,0,1)))=0,1)</formula>
    </cfRule>
  </conditionalFormatting>
  <conditionalFormatting sqref="M13">
    <cfRule type="expression" dxfId="2449" priority="58">
      <formula>IF(+(IF(M13&lt;V47,0,IF(M13&gt;W47,0,1)))=0,1)</formula>
    </cfRule>
    <cfRule type="expression" dxfId="2448" priority="57">
      <formula>IF(+(IF(M13&lt;V52,0,IF(M13&gt;W52,0,1)))=0,1)</formula>
    </cfRule>
  </conditionalFormatting>
  <conditionalFormatting sqref="M14">
    <cfRule type="expression" dxfId="2447" priority="199">
      <formula>IF(+(IF(M14&lt;V27,0,IF(M14&gt;W27,0,1)))=0,1)</formula>
    </cfRule>
  </conditionalFormatting>
  <conditionalFormatting sqref="M15:M32">
    <cfRule type="expression" dxfId="2446" priority="210">
      <formula>IF(+(IF(M15&lt;V62,0,IF(M15&gt;W62,0,1)))=0,1)</formula>
    </cfRule>
  </conditionalFormatting>
  <conditionalFormatting sqref="M33:M46">
    <cfRule type="expression" dxfId="2445" priority="31">
      <formula>IF(+(IF(M33&lt;V48,0,IF(M33&gt;W48,0,1)))=0,1)</formula>
    </cfRule>
    <cfRule type="expression" dxfId="2444" priority="30">
      <formula>IF(+(IF(M33&lt;V53,0,IF(M33&gt;W53,0,1)))=0,1)</formula>
    </cfRule>
  </conditionalFormatting>
  <conditionalFormatting sqref="M50:M58">
    <cfRule type="cellIs" dxfId="2443" priority="86" operator="lessThan">
      <formula>98</formula>
    </cfRule>
  </conditionalFormatting>
  <conditionalFormatting sqref="M10:N12">
    <cfRule type="expression" dxfId="2442" priority="66">
      <formula>IF(+(IF(M10&lt;#REF!,0,IF(M10&gt;#REF!,0,1)))=0,1)</formula>
    </cfRule>
  </conditionalFormatting>
  <conditionalFormatting sqref="M14:N14">
    <cfRule type="expression" dxfId="2441" priority="200">
      <formula>IF(+(IF(M14&lt;#REF!,0,IF(M14&gt;#REF!,0,1)))=0,1)</formula>
    </cfRule>
  </conditionalFormatting>
  <conditionalFormatting sqref="M47:N47">
    <cfRule type="expression" dxfId="2440" priority="194">
      <formula>IF(+(IF(M47&lt;#REF!,0,IF(M47&gt;#REF!,0,1)))=0,1)</formula>
    </cfRule>
  </conditionalFormatting>
  <conditionalFormatting sqref="N10:N11">
    <cfRule type="expression" dxfId="2439" priority="67">
      <formula>IF(+(IF(N10&lt;X23,0,IF(N10&gt;Y23,0,1)))=0,1)</formula>
    </cfRule>
  </conditionalFormatting>
  <conditionalFormatting sqref="N13">
    <cfRule type="expression" dxfId="2438" priority="60">
      <formula>IF(+(IF(N13&lt;X47,0,IF(N13&gt;Y47,0,1)))=0,1)</formula>
    </cfRule>
    <cfRule type="expression" dxfId="2437" priority="59">
      <formula>IF(+(IF(N13&lt;X52,0,IF(N13&gt;Y52,0,1)))=0,1)</formula>
    </cfRule>
  </conditionalFormatting>
  <conditionalFormatting sqref="N14">
    <cfRule type="expression" dxfId="2436" priority="203">
      <formula>IF(+(IF(N14&lt;X27,0,IF(N14&gt;Y27,0,1)))=0,1)</formula>
    </cfRule>
  </conditionalFormatting>
  <conditionalFormatting sqref="N15:N32">
    <cfRule type="expression" dxfId="2435" priority="211">
      <formula>IF(+(IF(N15&lt;X62,0,IF(N15&gt;Y62,0,1)))=0,1)</formula>
    </cfRule>
  </conditionalFormatting>
  <conditionalFormatting sqref="N33:N46">
    <cfRule type="expression" dxfId="2434" priority="33">
      <formula>IF(+(IF(N33&lt;X48,0,IF(N33&gt;Y48,0,1)))=0,1)</formula>
    </cfRule>
    <cfRule type="expression" dxfId="2433" priority="32">
      <formula>IF(+(IF(N33&lt;X53,0,IF(N33&gt;Y53,0,1)))=0,1)</formula>
    </cfRule>
  </conditionalFormatting>
  <conditionalFormatting sqref="P6">
    <cfRule type="cellIs" dxfId="2432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E562-2803-4B28-B945-C654130E939F}">
  <sheetPr>
    <pageSetUpPr fitToPage="1"/>
  </sheetPr>
  <dimension ref="A1:BE82"/>
  <sheetViews>
    <sheetView topLeftCell="A43" zoomScale="60" zoomScaleNormal="60" workbookViewId="0">
      <selection activeCell="H62" sqref="H62:I62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21.33203125" style="275" customWidth="1"/>
    <col min="16" max="16" width="82.55468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73" t="s">
        <v>0</v>
      </c>
      <c r="T1" s="473"/>
      <c r="U1" s="473" t="s">
        <v>1</v>
      </c>
      <c r="V1" s="473"/>
      <c r="W1" s="473" t="s">
        <v>2</v>
      </c>
      <c r="X1" s="473"/>
      <c r="Y1" s="473" t="s">
        <v>124</v>
      </c>
      <c r="Z1" s="473"/>
    </row>
    <row r="2" spans="2:29" ht="14.4">
      <c r="B2" s="474" t="s">
        <v>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45811</v>
      </c>
      <c r="J4" s="398" t="s">
        <v>163</v>
      </c>
      <c r="K4" s="398"/>
      <c r="L4" s="11"/>
      <c r="M4" s="471" t="s">
        <v>8</v>
      </c>
      <c r="N4" s="472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68"/>
      <c r="D5" s="468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164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81" t="s">
        <v>17</v>
      </c>
      <c r="C8" s="483" t="s">
        <v>18</v>
      </c>
      <c r="D8" s="483" t="s">
        <v>19</v>
      </c>
      <c r="E8" s="356" t="s">
        <v>20</v>
      </c>
      <c r="F8" s="356" t="s">
        <v>21</v>
      </c>
      <c r="G8" s="483" t="s">
        <v>22</v>
      </c>
      <c r="H8" s="485" t="s">
        <v>144</v>
      </c>
      <c r="I8" s="483" t="s">
        <v>162</v>
      </c>
      <c r="J8" s="487" t="s">
        <v>23</v>
      </c>
      <c r="K8" s="489" t="s">
        <v>142</v>
      </c>
      <c r="L8" s="491" t="s">
        <v>24</v>
      </c>
      <c r="M8" s="359" t="s">
        <v>25</v>
      </c>
      <c r="N8" s="17" t="s">
        <v>26</v>
      </c>
      <c r="O8" s="543" t="s">
        <v>155</v>
      </c>
      <c r="P8" s="555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482"/>
      <c r="C9" s="484"/>
      <c r="D9" s="484"/>
      <c r="E9" s="357" t="s">
        <v>30</v>
      </c>
      <c r="F9" s="357" t="s">
        <v>31</v>
      </c>
      <c r="G9" s="484"/>
      <c r="H9" s="486"/>
      <c r="I9" s="484"/>
      <c r="J9" s="488"/>
      <c r="K9" s="490"/>
      <c r="L9" s="492"/>
      <c r="M9" s="20" t="s">
        <v>32</v>
      </c>
      <c r="N9" s="21" t="s">
        <v>41</v>
      </c>
      <c r="O9" s="556"/>
      <c r="P9" s="555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37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74"/>
      <c r="N10" s="370"/>
      <c r="O10" s="371"/>
      <c r="P10" s="420"/>
      <c r="R10" s="277">
        <f t="shared" ref="R10:R15" si="0">B10</f>
        <v>0</v>
      </c>
      <c r="S10" s="296" t="e">
        <f t="shared" ref="S10:S31" si="1">VLOOKUP($B10,$R$3:$X$9,2,FALSE)</f>
        <v>#N/A</v>
      </c>
      <c r="T10" s="296" t="e">
        <f t="shared" ref="T10:T31" si="2">VLOOKUP($B10,$R$3:$X$9,3,FALSE)</f>
        <v>#N/A</v>
      </c>
      <c r="U10" s="297" t="e">
        <f t="shared" ref="U10:U31" si="3">VLOOKUP($B10,$R$3:$X$9,4,FALSE)</f>
        <v>#N/A</v>
      </c>
      <c r="V10" s="297" t="e">
        <f t="shared" ref="V10:V31" si="4">VLOOKUP($B10,$R$3:$X$9,5,FALSE)</f>
        <v>#N/A</v>
      </c>
      <c r="W10" s="297" t="e">
        <f t="shared" ref="W10:W31" si="5">VLOOKUP($B10,$R$3:$X$9,6,FALSE)</f>
        <v>#N/A</v>
      </c>
      <c r="X10" s="297" t="e">
        <f t="shared" ref="X10:X31" si="6">VLOOKUP($B10,$R$3:$X$9,7,FALSE)</f>
        <v>#N/A</v>
      </c>
      <c r="Y10" s="297" t="e">
        <f t="shared" ref="Y10:Y31" si="7">VLOOKUP($B10,$R$3:$Z$9,8,FALSE)</f>
        <v>#N/A</v>
      </c>
      <c r="Z10" s="296" t="e">
        <f t="shared" ref="Z10:Z31" si="8">VLOOKUP($B10,$R$3:$Z$9,9,FALSE)</f>
        <v>#N/A</v>
      </c>
    </row>
    <row r="11" spans="2:29" ht="15.75" hidden="1" customHeight="1">
      <c r="B11" s="37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371"/>
      <c r="P11" s="420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37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371"/>
      <c r="P12" s="420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37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371"/>
      <c r="P13" s="420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37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371"/>
      <c r="P14" s="420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37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20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37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20"/>
      <c r="R16" s="277">
        <f t="shared" ref="R16:R31" si="9">B16</f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hidden="1" customHeight="1">
      <c r="B17" s="37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20"/>
      <c r="R17" s="277">
        <f t="shared" si="9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customHeight="1">
      <c r="B18" s="37" t="s">
        <v>16</v>
      </c>
      <c r="C18" s="366" t="str">
        <f>[22]Brewhouse!$A45</f>
        <v>SM035</v>
      </c>
      <c r="D18" s="279">
        <f>[22]Brewhouse!$AH45</f>
        <v>52.1</v>
      </c>
      <c r="E18" s="279">
        <f>[22]Brewhouse!$AM45</f>
        <v>52</v>
      </c>
      <c r="F18" s="278">
        <f>[22]Brewhouse!$Z45</f>
        <v>93</v>
      </c>
      <c r="G18" s="279">
        <f>[22]Brewhouse!$AK45</f>
        <v>17.2</v>
      </c>
      <c r="H18" s="396">
        <v>17.3</v>
      </c>
      <c r="I18" s="368">
        <f>[22]Brewhouse!$AY45</f>
        <v>97.680078712303157</v>
      </c>
      <c r="J18" s="368">
        <f>[22]Brewhouse!$AZ45</f>
        <v>98.765554572474414</v>
      </c>
      <c r="K18" s="281">
        <f>[22]Brewhouse!$U45</f>
        <v>10.134357005758158</v>
      </c>
      <c r="L18" s="276">
        <f>[22]Brewhouse!$T45</f>
        <v>60</v>
      </c>
      <c r="M18" s="374">
        <f>[22]Brewhouse!$Y45-[22]Brewhouse!$X45</f>
        <v>0.15416666666666665</v>
      </c>
      <c r="N18" s="370">
        <f>[22]Brewhouse!$AD45</f>
        <v>0.29305555555555551</v>
      </c>
      <c r="O18" s="371" t="str">
        <f>[22]Brewhouse!$BC45</f>
        <v>R. Regis</v>
      </c>
      <c r="P18" s="420"/>
      <c r="R18" s="277" t="str">
        <f t="shared" si="9"/>
        <v>STARMALT</v>
      </c>
      <c r="S18" s="296">
        <f t="shared" si="1"/>
        <v>17.100000000000001</v>
      </c>
      <c r="T18" s="296">
        <f t="shared" si="2"/>
        <v>17.5</v>
      </c>
      <c r="U18" s="297">
        <f t="shared" si="3"/>
        <v>0</v>
      </c>
      <c r="V18" s="297">
        <f t="shared" si="4"/>
        <v>0.13605324074074074</v>
      </c>
      <c r="W18" s="297">
        <f t="shared" si="5"/>
        <v>0.27430555555555552</v>
      </c>
      <c r="X18" s="297">
        <f t="shared" si="6"/>
        <v>0.30902777777777779</v>
      </c>
      <c r="Y18" s="297">
        <f t="shared" si="7"/>
        <v>0</v>
      </c>
      <c r="Z18" s="296">
        <f t="shared" si="8"/>
        <v>60</v>
      </c>
    </row>
    <row r="19" spans="2:26" ht="15.75" customHeight="1">
      <c r="B19" s="37" t="s">
        <v>16</v>
      </c>
      <c r="C19" s="366" t="str">
        <f>[22]Brewhouse!$A46</f>
        <v>SM036</v>
      </c>
      <c r="D19" s="367">
        <f>[22]Brewhouse!$AH46</f>
        <v>0</v>
      </c>
      <c r="E19" s="279">
        <f>[22]Brewhouse!$AM46</f>
        <v>51.04</v>
      </c>
      <c r="F19" s="278">
        <f>[22]Brewhouse!$Z46</f>
        <v>90</v>
      </c>
      <c r="G19" s="279">
        <f>[22]Brewhouse!$AK46</f>
        <v>17.2</v>
      </c>
      <c r="H19" s="396">
        <v>17.2</v>
      </c>
      <c r="I19" s="368">
        <f>[22]Brewhouse!$AY46</f>
        <v>96.032533546760064</v>
      </c>
      <c r="J19" s="368">
        <f>[22]Brewhouse!$AZ46</f>
        <v>97.097714467997804</v>
      </c>
      <c r="K19" s="392" t="e">
        <f>[22]Brewhouse!$U46</f>
        <v>#DIV/0!</v>
      </c>
      <c r="L19" s="276">
        <f>[22]Brewhouse!$T46</f>
        <v>58</v>
      </c>
      <c r="M19" s="374">
        <f>[22]Brewhouse!$Y46-[22]Brewhouse!$X46</f>
        <v>0.14583333333333337</v>
      </c>
      <c r="N19" s="370">
        <f>[22]Brewhouse!$AD46</f>
        <v>0.30000000000000004</v>
      </c>
      <c r="O19" s="371" t="str">
        <f>[22]Brewhouse!$BC46</f>
        <v>D. Gomaz</v>
      </c>
      <c r="P19" s="420"/>
      <c r="R19" s="277" t="str">
        <f t="shared" si="9"/>
        <v>STARMALT</v>
      </c>
      <c r="S19" s="296">
        <f t="shared" si="1"/>
        <v>17.100000000000001</v>
      </c>
      <c r="T19" s="296">
        <f t="shared" si="2"/>
        <v>17.5</v>
      </c>
      <c r="U19" s="297">
        <f t="shared" si="3"/>
        <v>0</v>
      </c>
      <c r="V19" s="297">
        <f t="shared" si="4"/>
        <v>0.13605324074074074</v>
      </c>
      <c r="W19" s="297">
        <f t="shared" si="5"/>
        <v>0.27430555555555552</v>
      </c>
      <c r="X19" s="297">
        <f t="shared" si="6"/>
        <v>0.30902777777777779</v>
      </c>
      <c r="Y19" s="297">
        <f t="shared" si="7"/>
        <v>0</v>
      </c>
      <c r="Z19" s="296">
        <f t="shared" si="8"/>
        <v>60</v>
      </c>
    </row>
    <row r="20" spans="2:26" ht="15.75" customHeight="1">
      <c r="B20" s="37" t="s">
        <v>16</v>
      </c>
      <c r="C20" s="366" t="str">
        <f>[22]Brewhouse!$A47</f>
        <v>SM037</v>
      </c>
      <c r="D20" s="367">
        <f>[22]Brewhouse!$AH47</f>
        <v>0</v>
      </c>
      <c r="E20" s="279">
        <f>[22]Brewhouse!$AM47</f>
        <v>51.26</v>
      </c>
      <c r="F20" s="278">
        <f>[22]Brewhouse!$Z47</f>
        <v>86</v>
      </c>
      <c r="G20" s="279">
        <f>[22]Brewhouse!$AK47</f>
        <v>17.2</v>
      </c>
      <c r="H20" s="396">
        <v>17.399999999999999</v>
      </c>
      <c r="I20" s="368">
        <f>[22]Brewhouse!$AY47</f>
        <v>96.368177969102391</v>
      </c>
      <c r="J20" s="368">
        <f>[22]Brewhouse!$AZ47</f>
        <v>97.438079333081532</v>
      </c>
      <c r="K20" s="392" t="e">
        <f>[22]Brewhouse!$U47</f>
        <v>#DIV/0!</v>
      </c>
      <c r="L20" s="276">
        <f>[22]Brewhouse!$T47</f>
        <v>60</v>
      </c>
      <c r="M20" s="374">
        <f>[22]Brewhouse!$Y47-[22]Brewhouse!$X47</f>
        <v>0.15208333333333329</v>
      </c>
      <c r="N20" s="370">
        <f>[22]Brewhouse!$AD47</f>
        <v>0.31249999999999994</v>
      </c>
      <c r="O20" s="371" t="str">
        <f>[22]Brewhouse!$BC47</f>
        <v>D. Gomaz</v>
      </c>
      <c r="P20" s="420"/>
      <c r="R20" s="277" t="str">
        <f t="shared" si="9"/>
        <v>STARMALT</v>
      </c>
      <c r="S20" s="296">
        <f t="shared" si="1"/>
        <v>17.100000000000001</v>
      </c>
      <c r="T20" s="296">
        <f t="shared" si="2"/>
        <v>17.5</v>
      </c>
      <c r="U20" s="297">
        <f t="shared" si="3"/>
        <v>0</v>
      </c>
      <c r="V20" s="297">
        <f t="shared" si="4"/>
        <v>0.13605324074074074</v>
      </c>
      <c r="W20" s="297">
        <f t="shared" si="5"/>
        <v>0.27430555555555552</v>
      </c>
      <c r="X20" s="297">
        <f t="shared" si="6"/>
        <v>0.30902777777777779</v>
      </c>
      <c r="Y20" s="297">
        <f t="shared" si="7"/>
        <v>0</v>
      </c>
      <c r="Z20" s="296">
        <f t="shared" si="8"/>
        <v>60</v>
      </c>
    </row>
    <row r="21" spans="2:26" ht="15.75" customHeight="1">
      <c r="B21" s="37" t="s">
        <v>16</v>
      </c>
      <c r="C21" s="366" t="str">
        <f>[22]Brewhouse!$A48</f>
        <v>SM038</v>
      </c>
      <c r="D21" s="279">
        <f>[22]Brewhouse!$AH48</f>
        <v>50.4</v>
      </c>
      <c r="E21" s="279">
        <f>[22]Brewhouse!$AM48</f>
        <v>50.5</v>
      </c>
      <c r="F21" s="278">
        <f>[22]Brewhouse!$Z48</f>
        <v>65</v>
      </c>
      <c r="G21" s="279">
        <f>[22]Brewhouse!$AK48</f>
        <v>17.399999999999999</v>
      </c>
      <c r="H21" s="396">
        <v>17.399999999999999</v>
      </c>
      <c r="I21" s="368">
        <f>[22]Brewhouse!$AY48</f>
        <v>96.127420872417986</v>
      </c>
      <c r="J21" s="368">
        <f>[22]Brewhouse!$AZ48</f>
        <v>97.194649296516346</v>
      </c>
      <c r="K21" s="281">
        <f>[22]Brewhouse!$U48</f>
        <v>6.904761904761914</v>
      </c>
      <c r="L21" s="276">
        <f>[22]Brewhouse!$T48</f>
        <v>62</v>
      </c>
      <c r="M21" s="374">
        <f>[22]Brewhouse!$Y48-[22]Brewhouse!$X48</f>
        <v>0.1381944444444444</v>
      </c>
      <c r="N21" s="370">
        <f>[22]Brewhouse!$AD48</f>
        <v>0.67777777777777781</v>
      </c>
      <c r="O21" s="371" t="str">
        <f>[22]Brewhouse!$BC48</f>
        <v>R. Regis</v>
      </c>
      <c r="P21" s="420"/>
      <c r="R21" s="277" t="str">
        <f t="shared" si="9"/>
        <v>STARMALT</v>
      </c>
      <c r="S21" s="296">
        <f t="shared" si="1"/>
        <v>17.100000000000001</v>
      </c>
      <c r="T21" s="296">
        <f t="shared" si="2"/>
        <v>17.5</v>
      </c>
      <c r="U21" s="297">
        <f t="shared" si="3"/>
        <v>0</v>
      </c>
      <c r="V21" s="297">
        <f t="shared" si="4"/>
        <v>0.13605324074074074</v>
      </c>
      <c r="W21" s="297">
        <f t="shared" si="5"/>
        <v>0.27430555555555552</v>
      </c>
      <c r="X21" s="297">
        <f t="shared" si="6"/>
        <v>0.30902777777777779</v>
      </c>
      <c r="Y21" s="297">
        <f t="shared" si="7"/>
        <v>0</v>
      </c>
      <c r="Z21" s="296">
        <f t="shared" si="8"/>
        <v>60</v>
      </c>
    </row>
    <row r="22" spans="2:26" ht="15.75" customHeight="1">
      <c r="B22" s="37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74"/>
      <c r="N22" s="370"/>
      <c r="O22" s="371"/>
      <c r="P22" s="420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customHeight="1">
      <c r="B23" s="37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20"/>
      <c r="R23" s="277">
        <f t="shared" si="9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37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20"/>
      <c r="R24" s="277">
        <f t="shared" si="9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37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74"/>
      <c r="N25" s="370"/>
      <c r="O25" s="371"/>
      <c r="P25" s="420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6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20"/>
      <c r="R26" s="277">
        <f t="shared" si="9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20"/>
      <c r="R27" s="277">
        <f t="shared" si="9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20"/>
      <c r="R28" s="277">
        <f t="shared" si="9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422"/>
      <c r="P29" s="420"/>
      <c r="R29" s="277">
        <f t="shared" si="9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422"/>
      <c r="P30" s="420"/>
      <c r="R30" s="277">
        <f t="shared" si="9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customHeight="1" thickBot="1">
      <c r="B31" s="358"/>
      <c r="C31" s="358"/>
      <c r="D31" s="358"/>
      <c r="E31" s="358"/>
      <c r="F31" s="294"/>
      <c r="G31" s="294"/>
      <c r="H31" s="348"/>
      <c r="I31" s="497" t="s">
        <v>34</v>
      </c>
      <c r="J31" s="497"/>
      <c r="K31" s="497"/>
      <c r="L31" s="497"/>
      <c r="M31" s="497"/>
      <c r="N31" s="497"/>
      <c r="O31" s="1"/>
      <c r="P31" s="12"/>
      <c r="R31" s="277">
        <f t="shared" si="9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" thickBot="1">
      <c r="B32" s="388" t="s">
        <v>145</v>
      </c>
      <c r="C32" s="388"/>
      <c r="D32" s="475" t="s">
        <v>35</v>
      </c>
      <c r="E32" s="476"/>
      <c r="F32" s="294"/>
      <c r="G32" s="294"/>
      <c r="H32" s="348"/>
      <c r="I32" s="24" t="s">
        <v>17</v>
      </c>
      <c r="J32" s="25" t="s">
        <v>36</v>
      </c>
      <c r="K32" s="26" t="s">
        <v>138</v>
      </c>
      <c r="L32" s="25" t="s">
        <v>37</v>
      </c>
      <c r="M32" s="25" t="s">
        <v>38</v>
      </c>
      <c r="N32" s="27" t="s">
        <v>39</v>
      </c>
      <c r="O32" s="294"/>
      <c r="P32" s="12"/>
      <c r="R32" s="277" t="str">
        <f t="shared" ref="R32" si="10">B32</f>
        <v>BRAND</v>
      </c>
      <c r="S32" s="296" t="e">
        <f t="shared" ref="S32" si="11">VLOOKUP($B32,$R$3:$X$9,2,FALSE)</f>
        <v>#N/A</v>
      </c>
      <c r="T32" s="296" t="e">
        <f t="shared" ref="T32" si="12">VLOOKUP($B32,$R$3:$X$9,3,FALSE)</f>
        <v>#N/A</v>
      </c>
      <c r="U32" s="297" t="e">
        <f t="shared" ref="U32" si="13">VLOOKUP($B32,$R$3:$X$9,4,FALSE)</f>
        <v>#N/A</v>
      </c>
      <c r="V32" s="297" t="e">
        <f t="shared" ref="V32" si="14">VLOOKUP($B32,$R$3:$X$9,5,FALSE)</f>
        <v>#N/A</v>
      </c>
      <c r="W32" s="297" t="e">
        <f t="shared" ref="W32" si="15">VLOOKUP($B32,$R$3:$X$9,6,FALSE)</f>
        <v>#N/A</v>
      </c>
      <c r="X32" s="297" t="e">
        <f t="shared" ref="X32" si="16">VLOOKUP($B32,$R$3:$X$9,7,FALSE)</f>
        <v>#N/A</v>
      </c>
      <c r="Y32" s="297" t="e">
        <f t="shared" ref="Y32" si="17">VLOOKUP($B32,$R$3:$Z$9,8,FALSE)</f>
        <v>#N/A</v>
      </c>
      <c r="Z32" s="296" t="e">
        <f t="shared" ref="Z32" si="18">VLOOKUP($B32,$R$3:$Z$9,9,FALSE)</f>
        <v>#N/A</v>
      </c>
    </row>
    <row r="33" spans="1:27" ht="15" customHeight="1">
      <c r="A33" s="28"/>
      <c r="B33" s="552" t="str">
        <f>I36</f>
        <v>VITAMALT</v>
      </c>
      <c r="C33" s="362">
        <f>[23]Process!D41</f>
        <v>14.3</v>
      </c>
      <c r="D33" s="501">
        <v>16.54</v>
      </c>
      <c r="E33" s="502"/>
      <c r="F33" s="294"/>
      <c r="G33" s="294"/>
      <c r="H33" s="348"/>
      <c r="I33" s="29" t="s">
        <v>6</v>
      </c>
      <c r="J33" s="280"/>
      <c r="K33" s="284"/>
      <c r="L33" s="302"/>
      <c r="M33" s="302">
        <f>AVERAGE([24]Brewhouse!$AU$102:$AU$171,[24]Brewhouse!$AU$173:$AU$253,[24]Brewhouse!$AU$255:$AU$339,[24]Brewhouse!$AU$341:$AU$346,[24]Brewhouse!$AU$348,[24]Brewhouse!$AU$349:$AU$406,[24]Brewhouse!$AU$408:$AU$491)</f>
        <v>97.66057428514587</v>
      </c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</row>
    <row r="34" spans="1:27" ht="15" customHeight="1">
      <c r="A34" s="28"/>
      <c r="B34" s="553"/>
      <c r="C34" s="349">
        <f>[23]Process!D42</f>
        <v>14.4</v>
      </c>
      <c r="D34" s="503"/>
      <c r="E34" s="504"/>
      <c r="F34" s="294"/>
      <c r="G34" s="294"/>
      <c r="H34" s="348"/>
      <c r="I34" s="33" t="s">
        <v>9</v>
      </c>
      <c r="J34" s="280"/>
      <c r="K34" s="284"/>
      <c r="L34" s="302"/>
      <c r="M34" s="302">
        <f>AVERAGE([25]Brewhouse!$AS$15:$AS$64,[25]Brewhouse!$AS$66:$AS$103,[25]Brewhouse!$AS$105:$AS$140,[25]Brewhouse!$AS$142:$AS$193,[25]Brewhouse!$AS$195:$AS$240)</f>
        <v>97.875552945082219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</row>
    <row r="35" spans="1:27" ht="14.7" customHeight="1">
      <c r="A35" s="28"/>
      <c r="B35" s="553"/>
      <c r="C35" s="349"/>
      <c r="D35" s="501"/>
      <c r="E35" s="502"/>
      <c r="F35" s="294"/>
      <c r="G35" s="294"/>
      <c r="H35" s="348"/>
      <c r="I35" s="34" t="s">
        <v>12</v>
      </c>
      <c r="J35" s="280"/>
      <c r="K35" s="284"/>
      <c r="L35" s="302"/>
      <c r="M35" s="302">
        <f>AVERAGE([26]Brewhouse!$AU$4:$AU$7,[26]Brewhouse!$AU$9:$AU$22,[26]Brewhouse!$AU$24:$AU$35,[26]Brewhouse!$AU$37:$AU$45,[26]Brewhouse!$AU$47:$AU$62)</f>
        <v>97.179377138297156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</row>
    <row r="36" spans="1:27" ht="14.7" customHeight="1">
      <c r="A36" s="28"/>
      <c r="B36" s="553"/>
      <c r="C36" s="349"/>
      <c r="D36" s="503"/>
      <c r="E36" s="504"/>
      <c r="F36" s="294"/>
      <c r="G36" s="294"/>
      <c r="H36" s="348"/>
      <c r="I36" s="22" t="s">
        <v>33</v>
      </c>
      <c r="J36" s="280"/>
      <c r="K36" s="284"/>
      <c r="L36" s="302"/>
      <c r="M36" s="302">
        <f>AVERAGE([23]Brewhouse!$AV$5:$AV$14,[23]Brewhouse!$AV$16:$AV$19,[23]Brewhouse!$AV$21:$AV$24,[23]Brewhouse!$AV$26:$AV$33,[23]Brewhouse!$AV$35:$AV$46)</f>
        <v>99.005314486149061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</row>
    <row r="37" spans="1:27" ht="14.7" customHeight="1">
      <c r="A37" s="28"/>
      <c r="B37" s="553"/>
      <c r="C37" s="349"/>
      <c r="D37" s="501"/>
      <c r="E37" s="502"/>
      <c r="F37" s="419"/>
      <c r="G37" s="294"/>
      <c r="H37" s="348"/>
      <c r="I37" s="35" t="s">
        <v>29</v>
      </c>
      <c r="J37" s="280"/>
      <c r="K37" s="284"/>
      <c r="L37" s="302"/>
      <c r="M37" s="302"/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</row>
    <row r="38" spans="1:27" ht="14.7" customHeight="1">
      <c r="A38" s="28"/>
      <c r="B38" s="553"/>
      <c r="C38" s="349"/>
      <c r="D38" s="503"/>
      <c r="E38" s="504"/>
      <c r="F38" s="419"/>
      <c r="G38" s="294"/>
      <c r="H38" s="348"/>
      <c r="I38" s="36" t="s">
        <v>15</v>
      </c>
      <c r="J38" s="323"/>
      <c r="K38" s="284"/>
      <c r="L38" s="302"/>
      <c r="M38" s="302">
        <f>AVERAGE([27]Brewhouse!$AT$4:$AT$11,[27]Brewhouse!$AT$13:$AT$16)</f>
        <v>94.677025542378772</v>
      </c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27" ht="14.7" customHeight="1">
      <c r="A39" s="28"/>
      <c r="B39" s="553"/>
      <c r="C39" s="349"/>
      <c r="D39" s="501"/>
      <c r="E39" s="502"/>
      <c r="F39" s="419"/>
      <c r="G39" s="294"/>
      <c r="H39" s="348"/>
      <c r="I39" s="37" t="s">
        <v>16</v>
      </c>
      <c r="J39" s="323">
        <f>AVERAGE(I18:I21)</f>
        <v>96.552052775145896</v>
      </c>
      <c r="K39" s="284">
        <f>COUNTA([22]Brewhouse!$A$45:$A$48)</f>
        <v>4</v>
      </c>
      <c r="L39" s="302">
        <f>AVERAGE([22]Brewhouse!$AY$45:$AY$48)</f>
        <v>96.552052775145896</v>
      </c>
      <c r="M39" s="302">
        <f>AVERAGE([22]Brewhouse!$AY$6:$AY$13,[22]Brewhouse!$AY$15:$AY$20,[22]Brewhouse!$AY$22:$AY$29,[22]Brewhouse!$AY$31:$AY$34,[22]Brewhouse!$AY$36:$AY$43,[22]Brewhouse!$AY$45:$AY$48)</f>
        <v>96.6573629961498</v>
      </c>
      <c r="N39" s="30">
        <v>98</v>
      </c>
      <c r="O39" s="11"/>
      <c r="P39" s="31" t="s">
        <v>41</v>
      </c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27" ht="14.7" customHeight="1">
      <c r="A40" s="28"/>
      <c r="B40" s="554"/>
      <c r="C40" s="349"/>
      <c r="D40" s="503"/>
      <c r="E40" s="504"/>
      <c r="F40" s="294"/>
      <c r="G40" s="294"/>
      <c r="H40" s="348"/>
      <c r="I40" s="411" t="s">
        <v>158</v>
      </c>
      <c r="J40" s="326"/>
      <c r="K40" s="284"/>
      <c r="L40" s="305"/>
      <c r="M40" s="305">
        <f>AVERAGE([28]Brewhouse!$AU$5:$AU$8)</f>
        <v>91.006888337619571</v>
      </c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27" ht="14.7" customHeight="1">
      <c r="A41" s="28"/>
      <c r="B41" s="549" t="str">
        <f>I34</f>
        <v>STAG</v>
      </c>
      <c r="C41" s="349">
        <f>[25]Process!D203</f>
        <v>11.79</v>
      </c>
      <c r="D41" s="501">
        <v>11.93</v>
      </c>
      <c r="E41" s="502"/>
      <c r="F41" s="294"/>
      <c r="G41" s="294"/>
      <c r="H41" s="348"/>
      <c r="I41" s="410" t="s">
        <v>157</v>
      </c>
      <c r="J41" s="326"/>
      <c r="K41" s="284"/>
      <c r="L41" s="305"/>
      <c r="M41" s="305"/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5" customHeight="1" thickBot="1">
      <c r="A42" s="28"/>
      <c r="B42" s="549"/>
      <c r="C42" s="349">
        <f>[25]Process!D204</f>
        <v>11.91</v>
      </c>
      <c r="D42" s="503"/>
      <c r="E42" s="504"/>
      <c r="F42" s="294"/>
      <c r="G42" s="294"/>
      <c r="H42" s="348"/>
      <c r="I42" s="406" t="s">
        <v>156</v>
      </c>
      <c r="J42" s="327"/>
      <c r="K42" s="407"/>
      <c r="L42" s="408"/>
      <c r="M42" s="408"/>
      <c r="N42" s="409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5" customHeight="1" thickBot="1">
      <c r="A43" s="28"/>
      <c r="B43" s="549"/>
      <c r="C43" s="349">
        <f>[25]Process!D205</f>
        <v>11.9</v>
      </c>
      <c r="D43" s="501">
        <v>12.09</v>
      </c>
      <c r="E43" s="502"/>
      <c r="F43" s="294"/>
      <c r="G43" s="294"/>
      <c r="H43" s="348"/>
      <c r="I43" s="1"/>
      <c r="J43" s="39"/>
      <c r="K43" s="404">
        <f>SUM(K33:K42)</f>
        <v>4</v>
      </c>
      <c r="L43" s="405">
        <f>((L33*K33)+(L34*K34)+(L35*K35)+(L36*K36)+(L37*K37)+(K40*L40)+(L38*K38)+(L39*K39)+(L42*K42))/(K43)</f>
        <v>96.552052775145896</v>
      </c>
      <c r="M43" s="405">
        <f>AVERAGE('[29]Jan 31st'!$L$65,'[30]Feb 28th'!$L$35,'[31]Mar. 31st'!$L$35,'[32]Apr. 30th'!$L$45,'[33]May 30th'!$L$37,L43)</f>
        <v>97.455217702085818</v>
      </c>
      <c r="N43" s="4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5" thickBot="1">
      <c r="B44" s="549"/>
      <c r="C44" s="350">
        <f>[25]Process!D206</f>
        <v>11.9</v>
      </c>
      <c r="D44" s="503"/>
      <c r="E44" s="504"/>
      <c r="F44" s="294"/>
      <c r="G44" s="42"/>
      <c r="H44" s="41"/>
      <c r="I44" s="42"/>
      <c r="J44" s="42"/>
      <c r="K44" s="351"/>
      <c r="L44" s="348"/>
      <c r="M44" s="348"/>
      <c r="N44" s="11"/>
      <c r="O44" s="294"/>
      <c r="P44" s="12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5" thickBot="1">
      <c r="B45" s="549"/>
      <c r="C45" s="362">
        <f>[25]Process!D207</f>
        <v>12.27</v>
      </c>
      <c r="D45" s="514">
        <v>11.6</v>
      </c>
      <c r="E45" s="515"/>
      <c r="F45" s="294"/>
      <c r="G45" s="42"/>
      <c r="H45" s="41"/>
      <c r="I45" s="42"/>
      <c r="J45" s="551" t="s">
        <v>129</v>
      </c>
      <c r="K45" s="551"/>
      <c r="L45" s="294"/>
      <c r="M45" s="294"/>
      <c r="N45" s="294"/>
      <c r="O45" s="294"/>
      <c r="P45" s="12"/>
    </row>
    <row r="46" spans="1:27" ht="13.5" customHeight="1" thickBot="1">
      <c r="B46" s="549"/>
      <c r="C46" s="349">
        <f>[25]Process!D208</f>
        <v>11.92</v>
      </c>
      <c r="D46" s="516"/>
      <c r="E46" s="504"/>
      <c r="F46" s="294"/>
      <c r="G46" s="42"/>
      <c r="H46" s="41"/>
      <c r="I46" s="42"/>
      <c r="J46" s="292" t="s">
        <v>17</v>
      </c>
      <c r="K46" s="293" t="s">
        <v>147</v>
      </c>
      <c r="L46" s="518" t="s">
        <v>136</v>
      </c>
      <c r="M46" s="518"/>
      <c r="N46" s="519"/>
      <c r="O46" s="294"/>
      <c r="P46" s="12"/>
    </row>
    <row r="47" spans="1:27" ht="15" customHeight="1" thickBot="1">
      <c r="B47" s="549"/>
      <c r="C47" s="349">
        <f>[25]Process!D209</f>
        <v>11.84</v>
      </c>
      <c r="D47" s="520">
        <v>11.74</v>
      </c>
      <c r="E47" s="502"/>
      <c r="F47" s="294"/>
      <c r="G47" s="42"/>
      <c r="H47" s="41"/>
      <c r="I47" s="42"/>
      <c r="J47" s="287" t="s">
        <v>6</v>
      </c>
      <c r="K47" s="324"/>
      <c r="L47" s="343" t="s">
        <v>37</v>
      </c>
      <c r="M47" s="307" t="s">
        <v>38</v>
      </c>
      <c r="N47" s="307" t="s">
        <v>84</v>
      </c>
      <c r="O47" s="294"/>
      <c r="P47" s="12"/>
    </row>
    <row r="48" spans="1:27" ht="15.75" customHeight="1" thickBot="1">
      <c r="B48" s="549"/>
      <c r="C48" s="349">
        <f>[25]Process!D210</f>
        <v>11.8</v>
      </c>
      <c r="D48" s="516"/>
      <c r="E48" s="504"/>
      <c r="F48" s="294"/>
      <c r="G48" s="42"/>
      <c r="H48" s="41"/>
      <c r="I48" s="42"/>
      <c r="J48" s="345" t="s">
        <v>9</v>
      </c>
      <c r="K48" s="324"/>
      <c r="L48" s="344">
        <f>K57</f>
        <v>4</v>
      </c>
      <c r="M48" s="325">
        <f>AVERAGE('[29]Jan 29th '!$M$70,'[30]Feb 28th'!$L$40,'[31]Mar. 31st'!$L$40,'[32]Apr. 30th'!$L$50,'[33]May 30th'!$L$42,L48)</f>
        <v>6.2011068641503426</v>
      </c>
      <c r="N48" s="418">
        <v>9.1999999999999993</v>
      </c>
      <c r="O48" s="294"/>
      <c r="P48" s="12"/>
    </row>
    <row r="49" spans="2:57" ht="15" customHeight="1">
      <c r="B49" s="549"/>
      <c r="C49" s="349">
        <f>[25]Process!D212</f>
        <v>11.64</v>
      </c>
      <c r="D49" s="520">
        <v>12.18</v>
      </c>
      <c r="E49" s="502"/>
      <c r="F49" s="294"/>
      <c r="G49" s="42"/>
      <c r="H49" s="41"/>
      <c r="I49" s="42"/>
      <c r="J49" s="288" t="s">
        <v>40</v>
      </c>
      <c r="K49" s="324"/>
      <c r="L49" s="294"/>
      <c r="M49" s="294"/>
      <c r="N49" s="294"/>
      <c r="O49" s="294"/>
      <c r="P49" s="12"/>
    </row>
    <row r="50" spans="2:57" ht="15" customHeight="1">
      <c r="B50" s="549"/>
      <c r="C50" s="349">
        <f>[25]Process!D213</f>
        <v>11.7</v>
      </c>
      <c r="D50" s="516"/>
      <c r="E50" s="504"/>
      <c r="F50" s="294"/>
      <c r="G50" s="42"/>
      <c r="H50" s="41"/>
      <c r="I50" s="42"/>
      <c r="J50" s="289" t="s">
        <v>33</v>
      </c>
      <c r="K50" s="324"/>
      <c r="L50" s="294"/>
      <c r="M50" s="294"/>
      <c r="N50" s="294"/>
      <c r="O50" s="294"/>
      <c r="P50" s="12"/>
    </row>
    <row r="51" spans="2:57" ht="14.4">
      <c r="B51" s="549"/>
      <c r="C51" s="349">
        <f>[25]Process!D214</f>
        <v>11.84</v>
      </c>
      <c r="D51" s="520">
        <v>11.84</v>
      </c>
      <c r="E51" s="502"/>
      <c r="F51" s="294"/>
      <c r="G51" s="42"/>
      <c r="H51" s="41"/>
      <c r="I51" s="42"/>
      <c r="J51" s="290" t="s">
        <v>16</v>
      </c>
      <c r="K51" s="324">
        <v>4</v>
      </c>
      <c r="L51" s="294"/>
      <c r="M51" s="294"/>
      <c r="N51" s="294"/>
      <c r="O51" s="294"/>
      <c r="P51" s="12"/>
      <c r="BC51" s="44"/>
      <c r="BD51" s="44"/>
    </row>
    <row r="52" spans="2:57" ht="14.4">
      <c r="B52" s="549"/>
      <c r="C52" s="349">
        <f>[25]Process!D215</f>
        <v>12</v>
      </c>
      <c r="D52" s="516"/>
      <c r="E52" s="504"/>
      <c r="F52" s="294"/>
      <c r="G52" s="42"/>
      <c r="H52" s="41"/>
      <c r="I52" s="42"/>
      <c r="J52" s="291" t="s">
        <v>15</v>
      </c>
      <c r="K52" s="426"/>
      <c r="L52" s="294"/>
      <c r="M52" s="294"/>
      <c r="N52" s="294"/>
      <c r="O52" s="294"/>
      <c r="P52" s="12"/>
      <c r="BC52" s="44"/>
      <c r="BD52" s="44"/>
    </row>
    <row r="53" spans="2:57" ht="14.4">
      <c r="B53" s="549"/>
      <c r="C53" s="349">
        <f>[25]Process!D216</f>
        <v>11.68</v>
      </c>
      <c r="D53" s="545">
        <v>11.71</v>
      </c>
      <c r="E53" s="546"/>
      <c r="F53" s="294"/>
      <c r="G53" s="42"/>
      <c r="H53" s="41"/>
      <c r="I53" s="42"/>
      <c r="J53" s="291" t="s">
        <v>149</v>
      </c>
      <c r="K53" s="324"/>
      <c r="L53" s="294"/>
      <c r="M53" s="294"/>
      <c r="N53" s="294"/>
      <c r="O53" s="294"/>
      <c r="P53" s="12"/>
      <c r="BC53" s="44"/>
      <c r="BD53" s="44"/>
    </row>
    <row r="54" spans="2:57" ht="15" thickBot="1">
      <c r="B54" s="550"/>
      <c r="C54" s="350">
        <f>[25]Process!D217</f>
        <v>11.76</v>
      </c>
      <c r="D54" s="547"/>
      <c r="E54" s="548"/>
      <c r="F54" s="294"/>
      <c r="G54" s="42"/>
      <c r="H54" s="41"/>
      <c r="I54" s="42"/>
      <c r="J54" s="291" t="s">
        <v>148</v>
      </c>
      <c r="K54" s="324"/>
      <c r="L54" s="294"/>
      <c r="M54" s="294"/>
      <c r="N54" s="294"/>
      <c r="O54" s="294"/>
      <c r="P54" s="12"/>
      <c r="BC54" s="44"/>
      <c r="BD54" s="44"/>
    </row>
    <row r="55" spans="2:57" ht="17.7" customHeight="1" thickBot="1">
      <c r="B55" s="312" t="s">
        <v>139</v>
      </c>
      <c r="C55" s="313"/>
      <c r="D55" s="524">
        <f>AVERAGE(D33:E54)</f>
        <v>12.453750000000003</v>
      </c>
      <c r="E55" s="525"/>
      <c r="F55" s="294"/>
      <c r="G55" s="42"/>
      <c r="H55" s="41"/>
      <c r="I55" s="42"/>
      <c r="J55" s="295" t="s">
        <v>134</v>
      </c>
      <c r="K55" s="324"/>
      <c r="L55" s="294"/>
      <c r="M55" s="294"/>
      <c r="N55" s="294"/>
      <c r="O55" s="294"/>
      <c r="P55" s="12"/>
      <c r="BC55" s="44"/>
      <c r="BD55" s="44"/>
    </row>
    <row r="56" spans="2:57" ht="17.7" customHeight="1">
      <c r="B56" s="363"/>
      <c r="C56" s="364"/>
      <c r="D56" s="365"/>
      <c r="E56" s="365"/>
      <c r="F56" s="294"/>
      <c r="G56" s="42"/>
      <c r="H56" s="41"/>
      <c r="I56" s="42"/>
      <c r="J56" s="295" t="s">
        <v>131</v>
      </c>
      <c r="K56" s="324"/>
      <c r="L56" s="294"/>
      <c r="M56" s="294"/>
      <c r="N56" s="294"/>
      <c r="O56" s="294"/>
      <c r="P56" s="12"/>
      <c r="BC56" s="44"/>
      <c r="BD56" s="44"/>
    </row>
    <row r="57" spans="2:57" ht="15.75" customHeight="1">
      <c r="B57" s="45"/>
      <c r="C57" s="11"/>
      <c r="D57" s="11"/>
      <c r="E57" s="46"/>
      <c r="F57" s="294"/>
      <c r="G57" s="42"/>
      <c r="H57" s="41"/>
      <c r="I57" s="42"/>
      <c r="J57" s="346" t="s">
        <v>130</v>
      </c>
      <c r="K57" s="324">
        <f>SUM(K47:K56)</f>
        <v>4</v>
      </c>
      <c r="L57" s="294"/>
      <c r="M57" s="294"/>
      <c r="N57" s="294"/>
      <c r="O57" s="294"/>
      <c r="P57" s="12"/>
    </row>
    <row r="58" spans="2:57" ht="20.25" customHeight="1">
      <c r="B58" s="15" t="s">
        <v>42</v>
      </c>
      <c r="C58" s="1" t="s">
        <v>43</v>
      </c>
      <c r="D58" s="1"/>
      <c r="E58" s="1"/>
      <c r="F58" s="294"/>
      <c r="G58" s="42"/>
      <c r="H58" s="41"/>
      <c r="I58" s="42"/>
      <c r="L58" s="294"/>
      <c r="P58" s="334"/>
    </row>
    <row r="59" spans="2:57" ht="15" customHeight="1" thickBot="1"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8"/>
      <c r="O59" s="48"/>
      <c r="P59" s="49"/>
    </row>
    <row r="60" spans="2:57" ht="15" customHeight="1" thickBot="1">
      <c r="B60" s="526" t="s">
        <v>17</v>
      </c>
      <c r="C60" s="526" t="s">
        <v>44</v>
      </c>
      <c r="D60" s="528" t="s">
        <v>45</v>
      </c>
      <c r="E60" s="483" t="s">
        <v>46</v>
      </c>
      <c r="F60" s="543" t="s">
        <v>47</v>
      </c>
      <c r="G60" s="537" t="s">
        <v>48</v>
      </c>
      <c r="H60" s="526" t="s">
        <v>49</v>
      </c>
      <c r="I60" s="526" t="s">
        <v>50</v>
      </c>
      <c r="J60" s="531" t="s">
        <v>28</v>
      </c>
      <c r="K60" s="481" t="s">
        <v>51</v>
      </c>
      <c r="L60" s="493" t="s">
        <v>52</v>
      </c>
      <c r="M60" s="531" t="s">
        <v>53</v>
      </c>
      <c r="N60" s="13"/>
      <c r="O60" s="13"/>
      <c r="P60" s="50"/>
    </row>
    <row r="61" spans="2:57" ht="28.5" customHeight="1" thickTop="1" thickBot="1">
      <c r="B61" s="527"/>
      <c r="C61" s="527"/>
      <c r="D61" s="529"/>
      <c r="E61" s="530"/>
      <c r="F61" s="544"/>
      <c r="G61" s="538"/>
      <c r="H61" s="527"/>
      <c r="I61" s="527"/>
      <c r="J61" s="532"/>
      <c r="K61" s="541"/>
      <c r="L61" s="542"/>
      <c r="M61" s="532"/>
      <c r="N61" s="13"/>
      <c r="O61" s="13"/>
      <c r="P61" s="50"/>
      <c r="Q61" s="355"/>
      <c r="AB61" s="51">
        <v>43474</v>
      </c>
      <c r="AC61" s="51">
        <v>43475</v>
      </c>
      <c r="AD61" s="51">
        <v>43476</v>
      </c>
      <c r="AE61" s="51">
        <v>43477</v>
      </c>
      <c r="AF61" s="51">
        <v>43478</v>
      </c>
      <c r="AG61" s="51">
        <v>43479</v>
      </c>
      <c r="AH61" s="51">
        <v>43480</v>
      </c>
      <c r="AI61" s="51">
        <v>43481</v>
      </c>
      <c r="AJ61" s="51">
        <v>43482</v>
      </c>
      <c r="AK61" s="51">
        <v>43483</v>
      </c>
      <c r="AL61" s="51">
        <v>43484</v>
      </c>
      <c r="AM61" s="51">
        <v>43485</v>
      </c>
      <c r="AN61" s="51">
        <v>43486</v>
      </c>
      <c r="AO61" s="51">
        <v>43487</v>
      </c>
      <c r="AP61" s="51">
        <v>43488</v>
      </c>
      <c r="AQ61" s="51">
        <v>43489</v>
      </c>
      <c r="AR61" s="51">
        <v>43490</v>
      </c>
      <c r="AS61" s="51">
        <v>43491</v>
      </c>
      <c r="AT61" s="51">
        <v>43492</v>
      </c>
      <c r="AU61" s="51">
        <v>43493</v>
      </c>
      <c r="AV61" s="51">
        <v>43494</v>
      </c>
      <c r="AW61" s="51">
        <v>43495</v>
      </c>
      <c r="AX61" s="51">
        <v>43496</v>
      </c>
    </row>
    <row r="62" spans="2:57" s="54" customFormat="1" ht="51" customHeight="1">
      <c r="B62" s="424" t="str">
        <f>B72</f>
        <v>VITAMALT</v>
      </c>
      <c r="C62" s="283">
        <v>45810</v>
      </c>
      <c r="D62" s="377">
        <f>[34]June_2025!$E$65</f>
        <v>95.4</v>
      </c>
      <c r="E62" s="378">
        <f>[35]VITAMALT!$J$12</f>
        <v>4.0999999999999996</v>
      </c>
      <c r="F62" s="379">
        <f>D62</f>
        <v>95.4</v>
      </c>
      <c r="G62" s="303">
        <f>[34]June_2025!$E$70</f>
        <v>95.8</v>
      </c>
      <c r="H62" s="320">
        <f>(D62-F62)/D62*100</f>
        <v>0</v>
      </c>
      <c r="I62" s="322">
        <f>((F62+E62)-G62)/(F62+E62)*100</f>
        <v>3.7185929648241238</v>
      </c>
      <c r="J62" s="392" t="s">
        <v>165</v>
      </c>
      <c r="K62" s="286">
        <f>[36]June_2025!$E$60</f>
        <v>0.33614035087719296</v>
      </c>
      <c r="L62" s="314">
        <f>(((D62+E62)-G62)/(D62+E62))*100</f>
        <v>3.7185929648241238</v>
      </c>
      <c r="M62" s="417" t="s">
        <v>166</v>
      </c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416"/>
      <c r="AC62" s="416"/>
      <c r="AD62" s="416"/>
      <c r="AE62" s="416"/>
      <c r="AF62" s="416"/>
      <c r="AG62" s="416"/>
      <c r="AH62" s="416"/>
      <c r="AI62" s="416"/>
      <c r="AJ62" s="416"/>
      <c r="AK62" s="416"/>
      <c r="AL62" s="416"/>
      <c r="AM62" s="416"/>
      <c r="AN62" s="416"/>
      <c r="AO62" s="416"/>
      <c r="AP62" s="416"/>
      <c r="AQ62" s="416"/>
      <c r="AR62" s="416"/>
      <c r="AS62" s="416"/>
      <c r="AT62" s="416"/>
      <c r="AU62" s="416"/>
      <c r="AV62" s="416"/>
      <c r="AW62" s="416"/>
    </row>
    <row r="63" spans="2:57" s="54" customFormat="1" ht="23.25" customHeight="1">
      <c r="B63" s="414"/>
      <c r="C63" s="283"/>
      <c r="D63" s="377"/>
      <c r="E63" s="378"/>
      <c r="F63" s="379"/>
      <c r="G63" s="303"/>
      <c r="H63" s="320"/>
      <c r="I63" s="322"/>
      <c r="J63" s="281"/>
      <c r="K63" s="286"/>
      <c r="L63" s="314"/>
      <c r="M63" s="417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6"/>
      <c r="AC63" s="416"/>
      <c r="AD63" s="416"/>
      <c r="AE63" s="416"/>
      <c r="AF63" s="416"/>
      <c r="AG63" s="416"/>
      <c r="AH63" s="416"/>
      <c r="AI63" s="416"/>
      <c r="AJ63" s="416"/>
      <c r="AK63" s="416"/>
      <c r="AL63" s="416"/>
      <c r="AM63" s="416"/>
      <c r="AN63" s="416"/>
      <c r="AO63" s="416"/>
      <c r="AP63" s="416"/>
      <c r="AQ63" s="416"/>
      <c r="AR63" s="416"/>
      <c r="AS63" s="416"/>
      <c r="AT63" s="416"/>
      <c r="AU63" s="416"/>
      <c r="AV63" s="416"/>
      <c r="AW63" s="416"/>
    </row>
    <row r="64" spans="2:57" s="54" customFormat="1" ht="53.25" customHeight="1">
      <c r="B64" s="425" t="str">
        <f>B70</f>
        <v>STAG</v>
      </c>
      <c r="C64" s="283">
        <v>45810</v>
      </c>
      <c r="D64" s="377">
        <f>[34]June_2025!$E$13</f>
        <v>615.0999999999998</v>
      </c>
      <c r="E64" s="378"/>
      <c r="F64" s="379"/>
      <c r="G64" s="303">
        <f>[34]June_2025!$E$17</f>
        <v>578.70000000000005</v>
      </c>
      <c r="H64" s="320"/>
      <c r="I64" s="322"/>
      <c r="J64" s="392" t="s">
        <v>168</v>
      </c>
      <c r="K64" s="286">
        <f>[36]June_2025!$E$25</f>
        <v>0.67684210526315791</v>
      </c>
      <c r="L64" s="314">
        <f>(((D64+E64)-G64)/(D64+E64))*100</f>
        <v>5.9177369533408815</v>
      </c>
      <c r="M64" s="417" t="s">
        <v>167</v>
      </c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57">
        <f>[20]January_2019!L7</f>
        <v>0</v>
      </c>
      <c r="AC64" s="57">
        <f>[20]January_2019!M7</f>
        <v>0</v>
      </c>
      <c r="AD64" s="57">
        <f>[20]January_2019!N7</f>
        <v>0</v>
      </c>
      <c r="AE64" s="57">
        <f>[20]January_2019!O7</f>
        <v>0</v>
      </c>
      <c r="AF64" s="57">
        <f>[20]January_2019!P7</f>
        <v>0</v>
      </c>
      <c r="AG64" s="57">
        <f>[20]January_2019!Q7</f>
        <v>0</v>
      </c>
      <c r="AH64" s="57">
        <f>[20]January_2019!R7</f>
        <v>0</v>
      </c>
      <c r="AI64" s="57">
        <f>[20]January_2019!S7</f>
        <v>0</v>
      </c>
      <c r="AJ64" s="57">
        <f>[20]January_2019!T7</f>
        <v>0</v>
      </c>
      <c r="AK64" s="57">
        <f>[20]January_2019!U7</f>
        <v>0</v>
      </c>
      <c r="AL64" s="57">
        <f>[20]January_2019!V7</f>
        <v>0</v>
      </c>
      <c r="AM64" s="57">
        <f>[20]January_2019!W7</f>
        <v>0</v>
      </c>
      <c r="AN64" s="57">
        <f>[20]January_2019!X7</f>
        <v>0</v>
      </c>
      <c r="AO64" s="57">
        <f>[20]January_2019!Y7</f>
        <v>0</v>
      </c>
      <c r="AP64" s="57">
        <f>[20]January_2019!Z7</f>
        <v>0</v>
      </c>
      <c r="AQ64" s="57">
        <f>[20]January_2019!AA7</f>
        <v>0</v>
      </c>
      <c r="AR64" s="57">
        <f>[20]January_2019!AB7</f>
        <v>0</v>
      </c>
      <c r="AS64" s="57">
        <f>[20]January_2019!AC7</f>
        <v>0</v>
      </c>
      <c r="AT64" s="57">
        <f>[20]January_2019!AD7</f>
        <v>0</v>
      </c>
      <c r="AU64" s="57">
        <f>[20]January_2019!AE7</f>
        <v>0</v>
      </c>
      <c r="AV64" s="57">
        <f>[20]January_2019!AF7</f>
        <v>0</v>
      </c>
      <c r="AW64" s="57">
        <f>[20]January_2019!AG7</f>
        <v>0</v>
      </c>
      <c r="AX64" s="277">
        <f>[20]January_2019!AH7</f>
        <v>0</v>
      </c>
      <c r="AY64" s="277"/>
      <c r="AZ64" s="277"/>
      <c r="BA64" s="277"/>
      <c r="BB64" s="277"/>
      <c r="BC64" s="277"/>
      <c r="BD64" s="277"/>
      <c r="BE64" s="277"/>
    </row>
    <row r="65" spans="2:49" s="54" customFormat="1" ht="16.5" customHeight="1">
      <c r="B65" s="423"/>
      <c r="C65" s="283"/>
      <c r="D65" s="377"/>
      <c r="E65" s="378"/>
      <c r="F65" s="379"/>
      <c r="G65" s="303"/>
      <c r="H65" s="320"/>
      <c r="I65" s="322"/>
      <c r="J65" s="281"/>
      <c r="K65" s="286"/>
      <c r="L65" s="314"/>
      <c r="M65" s="417"/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416"/>
      <c r="AC65" s="416"/>
      <c r="AD65" s="416"/>
      <c r="AE65" s="416"/>
      <c r="AF65" s="416"/>
      <c r="AG65" s="416"/>
      <c r="AH65" s="416"/>
      <c r="AI65" s="416"/>
      <c r="AJ65" s="416"/>
      <c r="AK65" s="416"/>
      <c r="AL65" s="416"/>
      <c r="AM65" s="416"/>
      <c r="AN65" s="416"/>
      <c r="AO65" s="416"/>
      <c r="AP65" s="416"/>
      <c r="AQ65" s="416"/>
      <c r="AR65" s="416"/>
      <c r="AS65" s="416"/>
      <c r="AT65" s="416"/>
      <c r="AU65" s="416"/>
      <c r="AV65" s="416"/>
      <c r="AW65" s="416"/>
    </row>
    <row r="66" spans="2:49" ht="18" customHeight="1" thickBot="1">
      <c r="B66" s="59"/>
      <c r="C66" s="30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6"/>
      <c r="P66" s="60"/>
    </row>
    <row r="67" spans="2:49" ht="14.4" thickBot="1">
      <c r="B67" s="533" t="s">
        <v>55</v>
      </c>
      <c r="C67" s="534"/>
      <c r="D67" s="534"/>
      <c r="E67" s="534"/>
      <c r="F67" s="535"/>
      <c r="G67" s="533" t="s">
        <v>56</v>
      </c>
      <c r="H67" s="534"/>
      <c r="I67" s="534"/>
      <c r="J67" s="535"/>
      <c r="K67" s="533" t="s">
        <v>51</v>
      </c>
      <c r="L67" s="534"/>
      <c r="M67" s="534"/>
      <c r="N67" s="536"/>
      <c r="O67" s="56"/>
      <c r="P67" s="50"/>
    </row>
    <row r="68" spans="2:49">
      <c r="B68" s="61" t="s">
        <v>17</v>
      </c>
      <c r="C68" s="62" t="s">
        <v>36</v>
      </c>
      <c r="D68" s="62" t="s">
        <v>37</v>
      </c>
      <c r="E68" s="62" t="s">
        <v>38</v>
      </c>
      <c r="F68" s="63" t="s">
        <v>39</v>
      </c>
      <c r="G68" s="62" t="s">
        <v>36</v>
      </c>
      <c r="H68" s="62" t="s">
        <v>37</v>
      </c>
      <c r="I68" s="62" t="s">
        <v>38</v>
      </c>
      <c r="J68" s="63" t="s">
        <v>39</v>
      </c>
      <c r="K68" s="62" t="s">
        <v>36</v>
      </c>
      <c r="L68" s="62" t="s">
        <v>37</v>
      </c>
      <c r="M68" s="62" t="s">
        <v>38</v>
      </c>
      <c r="N68" s="63" t="s">
        <v>39</v>
      </c>
      <c r="O68" s="56"/>
      <c r="P68" s="64"/>
    </row>
    <row r="69" spans="2:49">
      <c r="B69" s="29" t="s">
        <v>6</v>
      </c>
      <c r="C69" s="65"/>
      <c r="D69" s="76" t="e">
        <v>#DIV/0!</v>
      </c>
      <c r="E69" s="76">
        <v>6.6706827139758538</v>
      </c>
      <c r="F69" s="66">
        <v>4.8</v>
      </c>
      <c r="G69" s="65"/>
      <c r="H69" s="76" t="e">
        <v>#DIV/0!</v>
      </c>
      <c r="I69" s="76">
        <v>6.7579298202185552</v>
      </c>
      <c r="J69" s="66">
        <v>4.8</v>
      </c>
      <c r="K69" s="67"/>
      <c r="L69" s="194"/>
      <c r="M69" s="194">
        <v>0.7605086518537888</v>
      </c>
      <c r="N69" s="68">
        <v>1</v>
      </c>
      <c r="O69" s="56"/>
      <c r="P69" s="69"/>
    </row>
    <row r="70" spans="2:49">
      <c r="B70" s="33" t="s">
        <v>9</v>
      </c>
      <c r="C70" s="65">
        <f>L64</f>
        <v>5.9177369533408815</v>
      </c>
      <c r="D70" s="76">
        <v>5.0753699350020502</v>
      </c>
      <c r="E70" s="76">
        <v>6.255646602287035</v>
      </c>
      <c r="F70" s="66">
        <v>4.8</v>
      </c>
      <c r="G70" s="65">
        <f>[34]June_2025!$E$21</f>
        <v>5.8418029234404329</v>
      </c>
      <c r="H70" s="76">
        <v>4.9987560285734673</v>
      </c>
      <c r="I70" s="76">
        <v>6.2071014472654031</v>
      </c>
      <c r="J70" s="66">
        <v>4.8</v>
      </c>
      <c r="K70" s="67">
        <f>K64</f>
        <v>0.67684210526315791</v>
      </c>
      <c r="L70" s="194">
        <v>0.80280701754385964</v>
      </c>
      <c r="M70" s="194">
        <v>0.75323691521525193</v>
      </c>
      <c r="N70" s="68">
        <v>1</v>
      </c>
      <c r="P70" s="69"/>
    </row>
    <row r="71" spans="2:49">
      <c r="B71" s="34" t="s">
        <v>40</v>
      </c>
      <c r="C71" s="65"/>
      <c r="D71" s="76"/>
      <c r="E71" s="76">
        <v>11.904402895054256</v>
      </c>
      <c r="F71" s="66">
        <v>5.5</v>
      </c>
      <c r="G71" s="65"/>
      <c r="H71" s="76"/>
      <c r="I71" s="76">
        <v>13.27623252148428</v>
      </c>
      <c r="J71" s="66">
        <v>5.5</v>
      </c>
      <c r="K71" s="67"/>
      <c r="L71" s="194"/>
      <c r="M71" s="194">
        <v>0.54554653679653675</v>
      </c>
      <c r="N71" s="68">
        <v>1</v>
      </c>
      <c r="P71" s="69"/>
    </row>
    <row r="72" spans="2:49">
      <c r="B72" s="22" t="s">
        <v>33</v>
      </c>
      <c r="C72" s="65">
        <f>L62</f>
        <v>3.7185929648241238</v>
      </c>
      <c r="D72" s="76">
        <v>3.7185929648241238</v>
      </c>
      <c r="E72" s="76">
        <v>4.2675953841355607</v>
      </c>
      <c r="F72" s="66">
        <v>3.3</v>
      </c>
      <c r="G72" s="65">
        <f>[34]June_2025!$E$74</f>
        <v>3.5401443549560527</v>
      </c>
      <c r="H72" s="76">
        <v>3.5401443549560527</v>
      </c>
      <c r="I72" s="76">
        <v>4.1118286580052033</v>
      </c>
      <c r="J72" s="66">
        <v>3.3</v>
      </c>
      <c r="K72" s="67">
        <f>K62</f>
        <v>0.33614035087719296</v>
      </c>
      <c r="L72" s="194">
        <v>0.33614035087719296</v>
      </c>
      <c r="M72" s="194">
        <v>0.78836257309941515</v>
      </c>
      <c r="N72" s="68">
        <v>1</v>
      </c>
      <c r="P72" s="69"/>
    </row>
    <row r="73" spans="2:49">
      <c r="B73" s="35" t="s">
        <v>29</v>
      </c>
      <c r="C73" s="65"/>
      <c r="D73" s="76"/>
      <c r="E73" s="76"/>
      <c r="F73" s="66">
        <v>3.3</v>
      </c>
      <c r="G73" s="282"/>
      <c r="H73" s="76"/>
      <c r="I73" s="76"/>
      <c r="J73" s="66">
        <v>3</v>
      </c>
      <c r="L73" s="194"/>
      <c r="M73" s="194"/>
      <c r="N73" s="68">
        <v>1</v>
      </c>
      <c r="P73" s="69"/>
    </row>
    <row r="74" spans="2:49">
      <c r="B74" s="36" t="s">
        <v>15</v>
      </c>
      <c r="C74" s="282"/>
      <c r="D74" s="76"/>
      <c r="E74" s="76">
        <v>7.8262258425171876</v>
      </c>
      <c r="F74" s="70">
        <f>[21]May_2022!$M$43</f>
        <v>3.4878406700073312</v>
      </c>
      <c r="G74" s="282"/>
      <c r="H74" s="76"/>
      <c r="I74" s="76">
        <v>9.4300678869947632</v>
      </c>
      <c r="J74" s="66">
        <v>5.5</v>
      </c>
      <c r="K74" s="67"/>
      <c r="L74" s="194"/>
      <c r="M74" s="194">
        <v>0.674970760233918</v>
      </c>
      <c r="N74" s="68">
        <v>1</v>
      </c>
      <c r="P74" s="69"/>
    </row>
    <row r="75" spans="2:49">
      <c r="B75" s="37" t="s">
        <v>16</v>
      </c>
      <c r="C75" s="65"/>
      <c r="D75" s="76"/>
      <c r="E75" s="76">
        <v>2.6202625996215709</v>
      </c>
      <c r="F75" s="66">
        <v>3.3</v>
      </c>
      <c r="G75" s="282"/>
      <c r="H75" s="76"/>
      <c r="I75" s="76">
        <v>4.462228479698962</v>
      </c>
      <c r="J75" s="66">
        <v>3.3</v>
      </c>
      <c r="K75" s="67"/>
      <c r="L75" s="194"/>
      <c r="M75" s="194">
        <v>0.83594855305466242</v>
      </c>
      <c r="N75" s="71">
        <v>1</v>
      </c>
      <c r="P75" s="69"/>
    </row>
    <row r="76" spans="2:49" ht="14.4" thickBot="1">
      <c r="B76" s="38" t="s">
        <v>127</v>
      </c>
      <c r="C76" s="65"/>
      <c r="D76" s="76"/>
      <c r="E76" s="76"/>
      <c r="F76" s="66">
        <v>7.5</v>
      </c>
      <c r="G76" s="282"/>
      <c r="H76" s="76"/>
      <c r="I76" s="76"/>
      <c r="J76" s="66">
        <v>7.5</v>
      </c>
      <c r="K76" s="67"/>
      <c r="L76" s="194"/>
      <c r="M76" s="194"/>
      <c r="N76" s="71">
        <v>1</v>
      </c>
      <c r="P76" s="69"/>
    </row>
    <row r="77" spans="2:49" ht="14.4" thickBot="1">
      <c r="B77" s="415" t="s">
        <v>161</v>
      </c>
      <c r="C77" s="65"/>
      <c r="D77" s="76"/>
      <c r="E77" s="76">
        <v>4.8792508624938291</v>
      </c>
      <c r="F77" s="66">
        <v>4.8</v>
      </c>
      <c r="G77" s="282"/>
      <c r="H77" s="76"/>
      <c r="I77" s="76">
        <v>6.2003723782925313</v>
      </c>
      <c r="J77" s="66">
        <v>4.8</v>
      </c>
      <c r="K77" s="67"/>
      <c r="L77" s="194"/>
      <c r="M77" s="194">
        <v>0.33859649122807017</v>
      </c>
      <c r="N77" s="71">
        <v>1</v>
      </c>
      <c r="O77" s="74"/>
      <c r="P77" s="75"/>
    </row>
    <row r="78" spans="2:49">
      <c r="D78" s="76">
        <v>4.9112569900315917</v>
      </c>
      <c r="E78" s="76">
        <v>6.6218792396711761</v>
      </c>
      <c r="F78" s="341">
        <v>5.5</v>
      </c>
      <c r="H78" s="76">
        <v>4.7608620982938463</v>
      </c>
      <c r="I78" s="76">
        <v>7.005868028772916</v>
      </c>
      <c r="J78" s="341">
        <v>5.5</v>
      </c>
      <c r="K78" s="67"/>
      <c r="L78" s="194">
        <v>0.56947368421052624</v>
      </c>
      <c r="M78" s="194">
        <v>0.72896668115312169</v>
      </c>
      <c r="N78" s="386">
        <v>1</v>
      </c>
    </row>
    <row r="82" spans="6:6">
      <c r="F82" s="315"/>
    </row>
  </sheetData>
  <mergeCells count="51">
    <mergeCell ref="M4:N4"/>
    <mergeCell ref="S1:T1"/>
    <mergeCell ref="U1:V1"/>
    <mergeCell ref="W1:X1"/>
    <mergeCell ref="Y1:Z1"/>
    <mergeCell ref="B2:O2"/>
    <mergeCell ref="C5:D5"/>
    <mergeCell ref="B8:B9"/>
    <mergeCell ref="C8:C9"/>
    <mergeCell ref="D8:D9"/>
    <mergeCell ref="G8:G9"/>
    <mergeCell ref="D39:E40"/>
    <mergeCell ref="D41:E42"/>
    <mergeCell ref="D43:E44"/>
    <mergeCell ref="B33:B40"/>
    <mergeCell ref="P8:P9"/>
    <mergeCell ref="H8:H9"/>
    <mergeCell ref="I8:I9"/>
    <mergeCell ref="J8:J9"/>
    <mergeCell ref="K8:K9"/>
    <mergeCell ref="L8:L9"/>
    <mergeCell ref="O8:O9"/>
    <mergeCell ref="I31:N31"/>
    <mergeCell ref="D32:E32"/>
    <mergeCell ref="D33:E34"/>
    <mergeCell ref="D35:E36"/>
    <mergeCell ref="D37:E38"/>
    <mergeCell ref="D51:E52"/>
    <mergeCell ref="D53:E54"/>
    <mergeCell ref="M60:M61"/>
    <mergeCell ref="D55:E55"/>
    <mergeCell ref="B41:B54"/>
    <mergeCell ref="D45:E46"/>
    <mergeCell ref="J45:K45"/>
    <mergeCell ref="L46:N46"/>
    <mergeCell ref="D47:E48"/>
    <mergeCell ref="D49:E50"/>
    <mergeCell ref="B67:F67"/>
    <mergeCell ref="G67:J67"/>
    <mergeCell ref="K67:N67"/>
    <mergeCell ref="G60:G61"/>
    <mergeCell ref="H60:H61"/>
    <mergeCell ref="I60:I61"/>
    <mergeCell ref="J60:J61"/>
    <mergeCell ref="K60:K61"/>
    <mergeCell ref="L60:L61"/>
    <mergeCell ref="F60:F61"/>
    <mergeCell ref="B60:B61"/>
    <mergeCell ref="C60:C61"/>
    <mergeCell ref="D60:D61"/>
    <mergeCell ref="E60:E61"/>
  </mergeCells>
  <conditionalFormatting sqref="B55:B56">
    <cfRule type="cellIs" dxfId="2431" priority="109" operator="notBetween">
      <formula>#REF!</formula>
      <formula>#REF!</formula>
    </cfRule>
  </conditionalFormatting>
  <conditionalFormatting sqref="C59">
    <cfRule type="cellIs" dxfId="2430" priority="141" stopIfTrue="1" operator="greaterThan">
      <formula>100</formula>
    </cfRule>
    <cfRule type="cellIs" dxfId="2429" priority="140" stopIfTrue="1" operator="lessThan">
      <formula>96</formula>
    </cfRule>
  </conditionalFormatting>
  <conditionalFormatting sqref="C69:C70">
    <cfRule type="cellIs" dxfId="2428" priority="87" stopIfTrue="1" operator="lessThanOrEqual">
      <formula>0</formula>
    </cfRule>
  </conditionalFormatting>
  <conditionalFormatting sqref="C69:C73">
    <cfRule type="cellIs" dxfId="2427" priority="86" stopIfTrue="1" operator="greaterThan">
      <formula>$F69</formula>
    </cfRule>
  </conditionalFormatting>
  <conditionalFormatting sqref="C70">
    <cfRule type="cellIs" dxfId="2426" priority="144" stopIfTrue="1" operator="greaterThan">
      <formula>$F69</formula>
    </cfRule>
  </conditionalFormatting>
  <conditionalFormatting sqref="C71:C74">
    <cfRule type="cellIs" dxfId="2425" priority="93" stopIfTrue="1" operator="lessThanOrEqual">
      <formula>0</formula>
    </cfRule>
  </conditionalFormatting>
  <conditionalFormatting sqref="C74">
    <cfRule type="cellIs" dxfId="2424" priority="92" stopIfTrue="1" operator="greaterThan">
      <formula>$J74</formula>
    </cfRule>
  </conditionalFormatting>
  <conditionalFormatting sqref="C80:C84">
    <cfRule type="cellIs" dxfId="2423" priority="132" stopIfTrue="1" operator="lessThanOrEqual">
      <formula>0</formula>
    </cfRule>
  </conditionalFormatting>
  <conditionalFormatting sqref="C81:C84">
    <cfRule type="cellIs" dxfId="2422" priority="131" stopIfTrue="1" operator="greaterThan">
      <formula>$F$80</formula>
    </cfRule>
  </conditionalFormatting>
  <conditionalFormatting sqref="C86">
    <cfRule type="cellIs" dxfId="2421" priority="133" stopIfTrue="1" operator="greaterThan">
      <formula>$F$80</formula>
    </cfRule>
    <cfRule type="cellIs" dxfId="2420" priority="134" stopIfTrue="1" operator="lessThanOrEqual">
      <formula>0</formula>
    </cfRule>
  </conditionalFormatting>
  <conditionalFormatting sqref="C80:D80 D82:D88">
    <cfRule type="cellIs" dxfId="2419" priority="126" stopIfTrue="1" operator="greaterThan">
      <formula>4.5</formula>
    </cfRule>
  </conditionalFormatting>
  <conditionalFormatting sqref="D55:D56">
    <cfRule type="cellIs" dxfId="2418" priority="110" operator="notBetween">
      <formula>#REF!</formula>
      <formula>#REF!</formula>
    </cfRule>
  </conditionalFormatting>
  <conditionalFormatting sqref="D69:D76">
    <cfRule type="cellIs" dxfId="2417" priority="103" stopIfTrue="1" operator="lessThanOrEqual">
      <formula>0</formula>
    </cfRule>
  </conditionalFormatting>
  <conditionalFormatting sqref="D77">
    <cfRule type="cellIs" dxfId="2416" priority="102" stopIfTrue="1" operator="lessThanOrEqual">
      <formula>0</formula>
    </cfRule>
  </conditionalFormatting>
  <conditionalFormatting sqref="D80 D82:D88">
    <cfRule type="cellIs" dxfId="2415" priority="127" stopIfTrue="1" operator="lessThanOrEqual">
      <formula>0</formula>
    </cfRule>
  </conditionalFormatting>
  <conditionalFormatting sqref="D81">
    <cfRule type="cellIs" dxfId="2414" priority="119" stopIfTrue="1" operator="lessThanOrEqual">
      <formula>0</formula>
    </cfRule>
    <cfRule type="cellIs" dxfId="2413" priority="118" stopIfTrue="1" operator="greaterThan">
      <formula>$F$80</formula>
    </cfRule>
  </conditionalFormatting>
  <conditionalFormatting sqref="D69:E78">
    <cfRule type="cellIs" dxfId="2412" priority="83" stopIfTrue="1" operator="greaterThan">
      <formula>$F69</formula>
    </cfRule>
  </conditionalFormatting>
  <conditionalFormatting sqref="D78:E78">
    <cfRule type="cellIs" dxfId="2411" priority="84" stopIfTrue="1" operator="lessThanOrEqual">
      <formula>0</formula>
    </cfRule>
  </conditionalFormatting>
  <conditionalFormatting sqref="E10:E30">
    <cfRule type="cellIs" dxfId="2410" priority="4" operator="lessThan">
      <formula>48</formula>
    </cfRule>
  </conditionalFormatting>
  <conditionalFormatting sqref="E58 E59:F59">
    <cfRule type="cellIs" dxfId="2409" priority="123" stopIfTrue="1" operator="greaterThan">
      <formula>100</formula>
    </cfRule>
  </conditionalFormatting>
  <conditionalFormatting sqref="E59">
    <cfRule type="cellIs" dxfId="2408" priority="121" stopIfTrue="1" operator="greaterThan">
      <formula>100</formula>
    </cfRule>
    <cfRule type="cellIs" dxfId="2407" priority="120" stopIfTrue="1" operator="lessThan">
      <formula>96.8</formula>
    </cfRule>
  </conditionalFormatting>
  <conditionalFormatting sqref="E69:E77">
    <cfRule type="cellIs" dxfId="2406" priority="97" stopIfTrue="1" operator="lessThanOrEqual">
      <formula>0</formula>
    </cfRule>
  </conditionalFormatting>
  <conditionalFormatting sqref="E80:E88">
    <cfRule type="cellIs" dxfId="2405" priority="113" stopIfTrue="1" operator="lessThanOrEqual">
      <formula>0</formula>
    </cfRule>
    <cfRule type="cellIs" dxfId="2404" priority="112" stopIfTrue="1" operator="greaterThan">
      <formula>4.5</formula>
    </cfRule>
  </conditionalFormatting>
  <conditionalFormatting sqref="E59:F59 E58">
    <cfRule type="cellIs" dxfId="2403" priority="122" stopIfTrue="1" operator="lessThan">
      <formula>96.5</formula>
    </cfRule>
  </conditionalFormatting>
  <conditionalFormatting sqref="F10:F30">
    <cfRule type="cellIs" dxfId="2402" priority="1" operator="greaterThan">
      <formula>60</formula>
    </cfRule>
  </conditionalFormatting>
  <conditionalFormatting sqref="F59">
    <cfRule type="cellIs" dxfId="2401" priority="138" stopIfTrue="1" operator="lessThan">
      <formula>96.8</formula>
    </cfRule>
    <cfRule type="cellIs" dxfId="2400" priority="139" stopIfTrue="1" operator="greaterThan">
      <formula>100</formula>
    </cfRule>
  </conditionalFormatting>
  <conditionalFormatting sqref="F78">
    <cfRule type="cellIs" dxfId="2399" priority="98" stopIfTrue="1" operator="greaterThan">
      <formula>$F78</formula>
    </cfRule>
    <cfRule type="cellIs" dxfId="2398" priority="99" stopIfTrue="1" operator="lessThanOrEqual">
      <formula>0</formula>
    </cfRule>
  </conditionalFormatting>
  <conditionalFormatting sqref="G10:G21">
    <cfRule type="expression" dxfId="2397" priority="3">
      <formula>IF(+(IF(G10&lt;S10,0,IF(G10&gt;T10,0,1)))=0,1)</formula>
    </cfRule>
  </conditionalFormatting>
  <conditionalFormatting sqref="G69:G70 C75:C77">
    <cfRule type="cellIs" dxfId="2396" priority="105" stopIfTrue="1" operator="lessThanOrEqual">
      <formula>0</formula>
    </cfRule>
    <cfRule type="cellIs" dxfId="2395" priority="104" stopIfTrue="1" operator="greaterThan">
      <formula>$F69</formula>
    </cfRule>
  </conditionalFormatting>
  <conditionalFormatting sqref="G69:G70">
    <cfRule type="cellIs" dxfId="2394" priority="89" stopIfTrue="1" operator="lessThanOrEqual">
      <formula>0</formula>
    </cfRule>
    <cfRule type="cellIs" dxfId="2393" priority="88" stopIfTrue="1" operator="greaterThan">
      <formula>$F69</formula>
    </cfRule>
  </conditionalFormatting>
  <conditionalFormatting sqref="G71">
    <cfRule type="cellIs" dxfId="2392" priority="142" stopIfTrue="1" operator="greaterThan">
      <formula>$F70</formula>
    </cfRule>
    <cfRule type="cellIs" dxfId="2391" priority="143" stopIfTrue="1" operator="lessThanOrEqual">
      <formula>0</formula>
    </cfRule>
  </conditionalFormatting>
  <conditionalFormatting sqref="G72">
    <cfRule type="cellIs" dxfId="2390" priority="101" stopIfTrue="1" operator="lessThanOrEqual">
      <formula>0</formula>
    </cfRule>
    <cfRule type="cellIs" dxfId="2389" priority="100" stopIfTrue="1" operator="greaterThan">
      <formula>$F72</formula>
    </cfRule>
  </conditionalFormatting>
  <conditionalFormatting sqref="G73:G77">
    <cfRule type="cellIs" dxfId="2388" priority="106" stopIfTrue="1" operator="greaterThan">
      <formula>$J73</formula>
    </cfRule>
    <cfRule type="cellIs" dxfId="2387" priority="107" stopIfTrue="1" operator="lessThanOrEqual">
      <formula>0</formula>
    </cfRule>
  </conditionalFormatting>
  <conditionalFormatting sqref="G82:G87 C85 C87">
    <cfRule type="cellIs" dxfId="2386" priority="136" stopIfTrue="1" operator="lessThanOrEqual">
      <formula>0</formula>
    </cfRule>
    <cfRule type="cellIs" dxfId="2385" priority="135" stopIfTrue="1" operator="greaterThan">
      <formula>4.5</formula>
    </cfRule>
  </conditionalFormatting>
  <conditionalFormatting sqref="G81:H81">
    <cfRule type="cellIs" dxfId="2384" priority="116" stopIfTrue="1" operator="greaterThan">
      <formula>$F$80</formula>
    </cfRule>
    <cfRule type="cellIs" dxfId="2383" priority="117" stopIfTrue="1" operator="lessThanOrEqual">
      <formula>0</formula>
    </cfRule>
  </conditionalFormatting>
  <conditionalFormatting sqref="H10:H25 G22:G25 G26:H30">
    <cfRule type="expression" dxfId="2382" priority="31">
      <formula>IF(+(IF(G10&lt;#REF!,0,IF(G10&gt;#REF!,0,1)))=0,1)</formula>
    </cfRule>
  </conditionalFormatting>
  <conditionalFormatting sqref="H44:H58">
    <cfRule type="cellIs" dxfId="2381" priority="114" stopIfTrue="1" operator="greaterThan">
      <formula>0</formula>
    </cfRule>
  </conditionalFormatting>
  <conditionalFormatting sqref="H62">
    <cfRule type="cellIs" dxfId="2380" priority="14" stopIfTrue="1" operator="lessThanOrEqual">
      <formula>0</formula>
    </cfRule>
    <cfRule type="cellIs" dxfId="2379" priority="15" stopIfTrue="1" operator="greaterThan">
      <formula>$F$38</formula>
    </cfRule>
    <cfRule type="cellIs" dxfId="2378" priority="23" stopIfTrue="1" operator="greaterThan">
      <formula>$F$41</formula>
    </cfRule>
    <cfRule type="cellIs" dxfId="2377" priority="25" stopIfTrue="1" operator="greaterThan">
      <formula>$F$39</formula>
    </cfRule>
    <cfRule type="cellIs" dxfId="2376" priority="26" stopIfTrue="1" operator="lessThanOrEqual">
      <formula>0</formula>
    </cfRule>
    <cfRule type="cellIs" dxfId="2375" priority="24" stopIfTrue="1" operator="lessThanOrEqual">
      <formula>0</formula>
    </cfRule>
  </conditionalFormatting>
  <conditionalFormatting sqref="H63:H65">
    <cfRule type="cellIs" dxfId="2374" priority="68" stopIfTrue="1" operator="lessThanOrEqual">
      <formula>0</formula>
    </cfRule>
    <cfRule type="cellIs" dxfId="2373" priority="65" stopIfTrue="1" operator="greaterThan">
      <formula>$F$46</formula>
    </cfRule>
    <cfRule type="cellIs" dxfId="2372" priority="67" stopIfTrue="1" operator="greaterThan">
      <formula>$F$44</formula>
    </cfRule>
    <cfRule type="cellIs" dxfId="2371" priority="66" stopIfTrue="1" operator="lessThanOrEqual">
      <formula>0</formula>
    </cfRule>
    <cfRule type="cellIs" dxfId="2370" priority="56" stopIfTrue="1" operator="lessThanOrEqual">
      <formula>0</formula>
    </cfRule>
    <cfRule type="cellIs" dxfId="2369" priority="57" stopIfTrue="1" operator="greaterThan">
      <formula>$F$43</formula>
    </cfRule>
  </conditionalFormatting>
  <conditionalFormatting sqref="H69:H76">
    <cfRule type="cellIs" dxfId="2368" priority="90" stopIfTrue="1" operator="greaterThan">
      <formula>$J69</formula>
    </cfRule>
    <cfRule type="cellIs" dxfId="2367" priority="91" stopIfTrue="1" operator="lessThanOrEqual">
      <formula>0</formula>
    </cfRule>
  </conditionalFormatting>
  <conditionalFormatting sqref="H77">
    <cfRule type="cellIs" dxfId="2366" priority="94" operator="greaterThan">
      <formula>5.3</formula>
    </cfRule>
  </conditionalFormatting>
  <conditionalFormatting sqref="H80 H82:H88">
    <cfRule type="cellIs" dxfId="2365" priority="128" stopIfTrue="1" operator="greaterThan">
      <formula>4.5</formula>
    </cfRule>
    <cfRule type="cellIs" dxfId="2364" priority="129" stopIfTrue="1" operator="lessThanOrEqual">
      <formula>0</formula>
    </cfRule>
  </conditionalFormatting>
  <conditionalFormatting sqref="H62:I62">
    <cfRule type="cellIs" dxfId="2363" priority="13" stopIfTrue="1" operator="greaterThan">
      <formula>$F$40</formula>
    </cfRule>
    <cfRule type="cellIs" dxfId="2362" priority="16" stopIfTrue="1" operator="lessThanOrEqual">
      <formula>0</formula>
    </cfRule>
  </conditionalFormatting>
  <conditionalFormatting sqref="H63:I65">
    <cfRule type="cellIs" dxfId="2361" priority="55" stopIfTrue="1" operator="greaterThan">
      <formula>$F$45</formula>
    </cfRule>
    <cfRule type="cellIs" dxfId="2360" priority="58" stopIfTrue="1" operator="lessThanOrEqual">
      <formula>0</formula>
    </cfRule>
  </conditionalFormatting>
  <conditionalFormatting sqref="H78:I78">
    <cfRule type="cellIs" dxfId="2359" priority="82" stopIfTrue="1" operator="lessThanOrEqual">
      <formula>0</formula>
    </cfRule>
    <cfRule type="cellIs" dxfId="2358" priority="81" stopIfTrue="1" operator="greaterThan">
      <formula>$J78</formula>
    </cfRule>
  </conditionalFormatting>
  <conditionalFormatting sqref="I62">
    <cfRule type="cellIs" dxfId="2357" priority="18" stopIfTrue="1" operator="lessThanOrEqual">
      <formula>0</formula>
    </cfRule>
    <cfRule type="cellIs" dxfId="2356" priority="19" stopIfTrue="1" operator="greaterThan">
      <formula>$F$40</formula>
    </cfRule>
    <cfRule type="cellIs" dxfId="2355" priority="20" stopIfTrue="1" operator="lessThanOrEqual">
      <formula>0</formula>
    </cfRule>
    <cfRule type="cellIs" dxfId="2354" priority="21" stopIfTrue="1" operator="greaterThan">
      <formula>$F$38</formula>
    </cfRule>
    <cfRule type="cellIs" dxfId="2353" priority="17" stopIfTrue="1" operator="greaterThan">
      <formula>$F$38</formula>
    </cfRule>
    <cfRule type="cellIs" dxfId="2352" priority="22" stopIfTrue="1" operator="lessThanOrEqual">
      <formula>0</formula>
    </cfRule>
  </conditionalFormatting>
  <conditionalFormatting sqref="I63:I65">
    <cfRule type="cellIs" dxfId="2351" priority="61" stopIfTrue="1" operator="greaterThan">
      <formula>$F$45</formula>
    </cfRule>
    <cfRule type="cellIs" dxfId="2350" priority="60" stopIfTrue="1" operator="lessThanOrEqual">
      <formula>0</formula>
    </cfRule>
    <cfRule type="cellIs" dxfId="2349" priority="59" stopIfTrue="1" operator="greaterThan">
      <formula>$F$43</formula>
    </cfRule>
    <cfRule type="cellIs" dxfId="2348" priority="62" stopIfTrue="1" operator="lessThanOrEqual">
      <formula>0</formula>
    </cfRule>
    <cfRule type="cellIs" dxfId="2347" priority="64" stopIfTrue="1" operator="lessThanOrEqual">
      <formula>0</formula>
    </cfRule>
    <cfRule type="cellIs" dxfId="2346" priority="63" stopIfTrue="1" operator="greaterThan">
      <formula>$F$43</formula>
    </cfRule>
  </conditionalFormatting>
  <conditionalFormatting sqref="I69:I77">
    <cfRule type="cellIs" dxfId="2345" priority="96" stopIfTrue="1" operator="lessThanOrEqual">
      <formula>0</formula>
    </cfRule>
    <cfRule type="cellIs" dxfId="2344" priority="95" stopIfTrue="1" operator="greaterThan">
      <formula>$J69</formula>
    </cfRule>
  </conditionalFormatting>
  <conditionalFormatting sqref="I80:I88">
    <cfRule type="cellIs" dxfId="2343" priority="124" stopIfTrue="1" operator="greaterThan">
      <formula>4.5</formula>
    </cfRule>
    <cfRule type="cellIs" dxfId="2342" priority="125" stopIfTrue="1" operator="lessThanOrEqual">
      <formula>0</formula>
    </cfRule>
  </conditionalFormatting>
  <conditionalFormatting sqref="I10:J30">
    <cfRule type="cellIs" dxfId="2341" priority="12" operator="lessThan">
      <formula>97.9</formula>
    </cfRule>
  </conditionalFormatting>
  <conditionalFormatting sqref="J33:J35">
    <cfRule type="cellIs" dxfId="2340" priority="71" stopIfTrue="1" operator="lessThan">
      <formula>96.8</formula>
    </cfRule>
    <cfRule type="cellIs" dxfId="2339" priority="73" operator="lessThan">
      <formula>98</formula>
    </cfRule>
    <cfRule type="cellIs" dxfId="2338" priority="72" stopIfTrue="1" operator="greaterThan">
      <formula>100</formula>
    </cfRule>
  </conditionalFormatting>
  <conditionalFormatting sqref="J33:J37">
    <cfRule type="cellIs" dxfId="2337" priority="70" operator="lessThan">
      <formula>97.4</formula>
    </cfRule>
  </conditionalFormatting>
  <conditionalFormatting sqref="J38">
    <cfRule type="cellIs" dxfId="2336" priority="74" operator="lessThan">
      <formula>98</formula>
    </cfRule>
  </conditionalFormatting>
  <conditionalFormatting sqref="J39:J41">
    <cfRule type="cellIs" dxfId="2335" priority="75" stopIfTrue="1" operator="lessThan">
      <formula>96.8</formula>
    </cfRule>
    <cfRule type="cellIs" dxfId="2334" priority="76" stopIfTrue="1" operator="greaterThan">
      <formula>100</formula>
    </cfRule>
  </conditionalFormatting>
  <conditionalFormatting sqref="J39:J42">
    <cfRule type="cellIs" dxfId="2333" priority="77" operator="lessThan">
      <formula>98</formula>
    </cfRule>
  </conditionalFormatting>
  <conditionalFormatting sqref="J78">
    <cfRule type="cellIs" dxfId="2332" priority="78" stopIfTrue="1" operator="greaterThan">
      <formula>$F78</formula>
    </cfRule>
    <cfRule type="cellIs" dxfId="2331" priority="79" stopIfTrue="1" operator="lessThanOrEqual">
      <formula>0</formula>
    </cfRule>
  </conditionalFormatting>
  <conditionalFormatting sqref="K10:K30">
    <cfRule type="cellIs" dxfId="2330" priority="7" operator="greaterThan">
      <formula>6</formula>
    </cfRule>
    <cfRule type="cellIs" dxfId="2329" priority="8" operator="lessThan">
      <formula>4</formula>
    </cfRule>
    <cfRule type="cellIs" dxfId="2328" priority="11" operator="greaterThan">
      <formula>6.4</formula>
    </cfRule>
  </conditionalFormatting>
  <conditionalFormatting sqref="K47:K51 K53:K56">
    <cfRule type="cellIs" dxfId="2327" priority="69" operator="notEqual">
      <formula>#REF!</formula>
    </cfRule>
  </conditionalFormatting>
  <conditionalFormatting sqref="K62:K65">
    <cfRule type="cellIs" dxfId="2326" priority="53" stopIfTrue="1" operator="lessThan">
      <formula>100%</formula>
    </cfRule>
  </conditionalFormatting>
  <conditionalFormatting sqref="K80:K85">
    <cfRule type="cellIs" dxfId="2325" priority="130" stopIfTrue="1" operator="lessThan">
      <formula>100%</formula>
    </cfRule>
  </conditionalFormatting>
  <conditionalFormatting sqref="K87:K88">
    <cfRule type="cellIs" dxfId="2324" priority="137" stopIfTrue="1" operator="lessThan">
      <formula>100%</formula>
    </cfRule>
  </conditionalFormatting>
  <conditionalFormatting sqref="K69:N72 L73:N73">
    <cfRule type="cellIs" dxfId="2323" priority="108" stopIfTrue="1" operator="lessThan">
      <formula>100%</formula>
    </cfRule>
  </conditionalFormatting>
  <conditionalFormatting sqref="K74:N78">
    <cfRule type="cellIs" dxfId="2322" priority="80" stopIfTrue="1" operator="lessThan">
      <formula>100%</formula>
    </cfRule>
  </conditionalFormatting>
  <conditionalFormatting sqref="L10:L30">
    <cfRule type="cellIs" dxfId="2321" priority="10" operator="greaterThan">
      <formula>65</formula>
    </cfRule>
    <cfRule type="cellIs" dxfId="2320" priority="9" operator="between">
      <formula>61</formula>
      <formula>65</formula>
    </cfRule>
  </conditionalFormatting>
  <conditionalFormatting sqref="L48:N48">
    <cfRule type="cellIs" dxfId="2319" priority="54" operator="notEqual">
      <formula>#REF!</formula>
    </cfRule>
  </conditionalFormatting>
  <conditionalFormatting sqref="L80:N88">
    <cfRule type="cellIs" dxfId="2318" priority="115" stopIfTrue="1" operator="lessThan">
      <formula>100%</formula>
    </cfRule>
  </conditionalFormatting>
  <conditionalFormatting sqref="M10:M30">
    <cfRule type="expression" dxfId="2317" priority="6">
      <formula>IF(+(IF(M10&lt;U10,0,IF(M10&gt;V10,0,1)))=0,1)</formula>
    </cfRule>
  </conditionalFormatting>
  <conditionalFormatting sqref="M33 L34:M44">
    <cfRule type="cellIs" dxfId="2316" priority="85" operator="lessThan">
      <formula>98</formula>
    </cfRule>
  </conditionalFormatting>
  <conditionalFormatting sqref="N10:N30">
    <cfRule type="expression" dxfId="2315" priority="2">
      <formula>IF(+(IF(N10&lt;W10,0,IF(N10&gt;X10,0,1)))=0,1)</formula>
    </cfRule>
  </conditionalFormatting>
  <conditionalFormatting sqref="P6">
    <cfRule type="cellIs" dxfId="2314" priority="111" operator="greaterThanOrEqual">
      <formula>19</formula>
    </cfRule>
  </conditionalFormatting>
  <dataValidations disablePrompts="1" count="1">
    <dataValidation type="list" allowBlank="1" showInputMessage="1" showErrorMessage="1" sqref="R8" xr:uid="{E19DFCAA-68A7-4F1D-B7EB-CC594F25B7A0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2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9248-DF43-4377-B471-D86F43FD15E9}">
  <sheetPr>
    <pageSetUpPr fitToPage="1"/>
  </sheetPr>
  <dimension ref="A1:BE88"/>
  <sheetViews>
    <sheetView topLeftCell="A27" zoomScale="60" zoomScaleNormal="60" workbookViewId="0">
      <selection activeCell="J45" sqref="J45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21.33203125" style="275" customWidth="1"/>
    <col min="16" max="16" width="82.55468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73" t="s">
        <v>0</v>
      </c>
      <c r="T1" s="473"/>
      <c r="U1" s="473" t="s">
        <v>1</v>
      </c>
      <c r="V1" s="473"/>
      <c r="W1" s="473" t="s">
        <v>2</v>
      </c>
      <c r="X1" s="473"/>
      <c r="Y1" s="473" t="s">
        <v>124</v>
      </c>
      <c r="Z1" s="473"/>
    </row>
    <row r="2" spans="2:29" ht="14.4">
      <c r="B2" s="474" t="s">
        <v>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45812</v>
      </c>
      <c r="J4" s="398" t="s">
        <v>163</v>
      </c>
      <c r="K4" s="398"/>
      <c r="L4" s="11"/>
      <c r="M4" s="471" t="s">
        <v>8</v>
      </c>
      <c r="N4" s="472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68"/>
      <c r="D5" s="468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164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81" t="s">
        <v>17</v>
      </c>
      <c r="C8" s="483" t="s">
        <v>18</v>
      </c>
      <c r="D8" s="483" t="s">
        <v>19</v>
      </c>
      <c r="E8" s="356" t="s">
        <v>20</v>
      </c>
      <c r="F8" s="356" t="s">
        <v>21</v>
      </c>
      <c r="G8" s="483" t="s">
        <v>22</v>
      </c>
      <c r="H8" s="485" t="s">
        <v>144</v>
      </c>
      <c r="I8" s="483" t="s">
        <v>162</v>
      </c>
      <c r="J8" s="487" t="s">
        <v>23</v>
      </c>
      <c r="K8" s="489" t="s">
        <v>142</v>
      </c>
      <c r="L8" s="491" t="s">
        <v>24</v>
      </c>
      <c r="M8" s="359" t="s">
        <v>25</v>
      </c>
      <c r="N8" s="17" t="s">
        <v>26</v>
      </c>
      <c r="O8" s="543" t="s">
        <v>155</v>
      </c>
      <c r="P8" s="555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482"/>
      <c r="C9" s="484"/>
      <c r="D9" s="484"/>
      <c r="E9" s="357" t="s">
        <v>30</v>
      </c>
      <c r="F9" s="357" t="s">
        <v>31</v>
      </c>
      <c r="G9" s="484"/>
      <c r="H9" s="486"/>
      <c r="I9" s="484"/>
      <c r="J9" s="488"/>
      <c r="K9" s="490"/>
      <c r="L9" s="492"/>
      <c r="M9" s="20" t="s">
        <v>32</v>
      </c>
      <c r="N9" s="21" t="s">
        <v>41</v>
      </c>
      <c r="O9" s="556"/>
      <c r="P9" s="555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37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74"/>
      <c r="N10" s="370"/>
      <c r="O10" s="371"/>
      <c r="P10" s="420"/>
      <c r="R10" s="277">
        <f t="shared" ref="R10:R38" si="0">B10</f>
        <v>0</v>
      </c>
      <c r="S10" s="296" t="e">
        <f t="shared" ref="S10:S38" si="1">VLOOKUP($B10,$R$3:$X$9,2,FALSE)</f>
        <v>#N/A</v>
      </c>
      <c r="T10" s="296" t="e">
        <f t="shared" ref="T10:T38" si="2">VLOOKUP($B10,$R$3:$X$9,3,FALSE)</f>
        <v>#N/A</v>
      </c>
      <c r="U10" s="297" t="e">
        <f t="shared" ref="U10:U38" si="3">VLOOKUP($B10,$R$3:$X$9,4,FALSE)</f>
        <v>#N/A</v>
      </c>
      <c r="V10" s="297" t="e">
        <f t="shared" ref="V10:V38" si="4">VLOOKUP($B10,$R$3:$X$9,5,FALSE)</f>
        <v>#N/A</v>
      </c>
      <c r="W10" s="297" t="e">
        <f t="shared" ref="W10:W38" si="5">VLOOKUP($B10,$R$3:$X$9,6,FALSE)</f>
        <v>#N/A</v>
      </c>
      <c r="X10" s="297" t="e">
        <f t="shared" ref="X10:X38" si="6">VLOOKUP($B10,$R$3:$X$9,7,FALSE)</f>
        <v>#N/A</v>
      </c>
      <c r="Y10" s="297" t="e">
        <f t="shared" ref="Y10:Y38" si="7">VLOOKUP($B10,$R$3:$Z$9,8,FALSE)</f>
        <v>#N/A</v>
      </c>
      <c r="Z10" s="296" t="e">
        <f t="shared" ref="Z10:Z38" si="8">VLOOKUP($B10,$R$3:$Z$9,9,FALSE)</f>
        <v>#N/A</v>
      </c>
    </row>
    <row r="11" spans="2:29" ht="15.75" hidden="1" customHeight="1">
      <c r="B11" s="37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371"/>
      <c r="P11" s="420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37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371"/>
      <c r="P12" s="420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37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371"/>
      <c r="P13" s="420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37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74"/>
      <c r="N14" s="370"/>
      <c r="O14" s="371"/>
      <c r="P14" s="420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37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74"/>
      <c r="N15" s="370"/>
      <c r="O15" s="371"/>
      <c r="P15" s="420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37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20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hidden="1" customHeight="1">
      <c r="B17" s="37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74"/>
      <c r="N17" s="370"/>
      <c r="O17" s="371"/>
      <c r="P17" s="420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hidden="1" customHeight="1">
      <c r="B18" s="37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74"/>
      <c r="N18" s="370"/>
      <c r="O18" s="371"/>
      <c r="P18" s="420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hidden="1" customHeight="1">
      <c r="B19" s="37"/>
      <c r="C19" s="366"/>
      <c r="D19" s="367"/>
      <c r="E19" s="279"/>
      <c r="F19" s="278"/>
      <c r="G19" s="279"/>
      <c r="H19" s="396"/>
      <c r="I19" s="368"/>
      <c r="J19" s="368"/>
      <c r="K19" s="392"/>
      <c r="L19" s="276"/>
      <c r="M19" s="374"/>
      <c r="N19" s="370"/>
      <c r="O19" s="371"/>
      <c r="P19" s="420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37"/>
      <c r="C20" s="366"/>
      <c r="D20" s="367"/>
      <c r="E20" s="279"/>
      <c r="F20" s="278"/>
      <c r="G20" s="279"/>
      <c r="H20" s="396"/>
      <c r="I20" s="368"/>
      <c r="J20" s="368"/>
      <c r="K20" s="392"/>
      <c r="L20" s="276"/>
      <c r="M20" s="374"/>
      <c r="N20" s="370"/>
      <c r="O20" s="371"/>
      <c r="P20" s="420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hidden="1" customHeight="1">
      <c r="B21" s="37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74"/>
      <c r="N21" s="370"/>
      <c r="O21" s="371"/>
      <c r="P21" s="420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customHeight="1">
      <c r="B22" s="37" t="s">
        <v>16</v>
      </c>
      <c r="C22" s="366" t="str">
        <f>[22]Brewhouse!$A49</f>
        <v>SM039</v>
      </c>
      <c r="D22" s="279">
        <f>[22]Brewhouse!$AH49</f>
        <v>51.1</v>
      </c>
      <c r="E22" s="279">
        <f>[22]Brewhouse!$AM49</f>
        <v>50.5</v>
      </c>
      <c r="F22" s="278">
        <f>[22]Brewhouse!$Z49</f>
        <v>87</v>
      </c>
      <c r="G22" s="279">
        <f>[22]Brewhouse!$AK49</f>
        <v>17.399999999999999</v>
      </c>
      <c r="H22" s="396"/>
      <c r="I22" s="368">
        <f>[22]Brewhouse!$AY49</f>
        <v>94.281558174494734</v>
      </c>
      <c r="J22" s="368">
        <f>[22]Brewhouse!$AZ49</f>
        <v>95.35295242257547</v>
      </c>
      <c r="K22" s="281">
        <f>[22]Brewhouse!$U49</f>
        <v>5.8317025440313186</v>
      </c>
      <c r="L22" s="276">
        <f>[22]Brewhouse!$T49</f>
        <v>61</v>
      </c>
      <c r="M22" s="374">
        <f>[22]Brewhouse!$Y49-[22]Brewhouse!$X49</f>
        <v>0.14027777777777778</v>
      </c>
      <c r="N22" s="370">
        <f>[22]Brewhouse!$AD49</f>
        <v>0.30069444444444443</v>
      </c>
      <c r="O22" s="371" t="str">
        <f>[22]Brewhouse!$BC49</f>
        <v>D. Gomaz</v>
      </c>
      <c r="P22" s="420"/>
      <c r="R22" s="277" t="str">
        <f t="shared" si="0"/>
        <v>STARMALT</v>
      </c>
      <c r="S22" s="296">
        <f t="shared" si="1"/>
        <v>17.100000000000001</v>
      </c>
      <c r="T22" s="296">
        <f t="shared" si="2"/>
        <v>17.5</v>
      </c>
      <c r="U22" s="297">
        <f t="shared" si="3"/>
        <v>0</v>
      </c>
      <c r="V22" s="297">
        <f t="shared" si="4"/>
        <v>0.13605324074074074</v>
      </c>
      <c r="W22" s="297">
        <f t="shared" si="5"/>
        <v>0.27430555555555552</v>
      </c>
      <c r="X22" s="297">
        <f t="shared" si="6"/>
        <v>0.30902777777777779</v>
      </c>
      <c r="Y22" s="297">
        <f t="shared" si="7"/>
        <v>0</v>
      </c>
      <c r="Z22" s="296">
        <f t="shared" si="8"/>
        <v>60</v>
      </c>
    </row>
    <row r="23" spans="2:26" ht="15.75" customHeight="1">
      <c r="B23" s="37" t="s">
        <v>16</v>
      </c>
      <c r="C23" s="366" t="str">
        <f>[22]Brewhouse!$A50</f>
        <v>SM040</v>
      </c>
      <c r="D23" s="279">
        <f>[22]Brewhouse!$AH50</f>
        <v>52</v>
      </c>
      <c r="E23" s="279">
        <f>[22]Brewhouse!$AM50</f>
        <v>53</v>
      </c>
      <c r="F23" s="278">
        <f>[22]Brewhouse!$Z50</f>
        <v>73</v>
      </c>
      <c r="G23" s="279">
        <f>[22]Brewhouse!$AK50</f>
        <v>16.899999999999999</v>
      </c>
      <c r="H23" s="396"/>
      <c r="I23" s="368">
        <f>[22]Brewhouse!$AY50</f>
        <v>97.243639355509373</v>
      </c>
      <c r="J23" s="368">
        <f>[22]Brewhouse!$AZ50</f>
        <v>98.330261412540551</v>
      </c>
      <c r="K23" s="281">
        <f>[22]Brewhouse!$U50</f>
        <v>5.7307692307692388</v>
      </c>
      <c r="L23" s="276">
        <f>[22]Brewhouse!$T50</f>
        <v>62</v>
      </c>
      <c r="M23" s="374">
        <f>[22]Brewhouse!$Y50-[22]Brewhouse!$X50</f>
        <v>0.15069444444444441</v>
      </c>
      <c r="N23" s="370">
        <f>[22]Brewhouse!$AD50</f>
        <v>0.30208333333333331</v>
      </c>
      <c r="O23" s="371" t="str">
        <f>[22]Brewhouse!$BC50</f>
        <v>D. Gomaz</v>
      </c>
      <c r="P23" s="420"/>
      <c r="R23" s="277" t="str">
        <f t="shared" si="0"/>
        <v>STARMALT</v>
      </c>
      <c r="S23" s="296">
        <f t="shared" si="1"/>
        <v>17.100000000000001</v>
      </c>
      <c r="T23" s="296">
        <f t="shared" si="2"/>
        <v>17.5</v>
      </c>
      <c r="U23" s="297">
        <f t="shared" si="3"/>
        <v>0</v>
      </c>
      <c r="V23" s="297">
        <f t="shared" si="4"/>
        <v>0.13605324074074074</v>
      </c>
      <c r="W23" s="297">
        <f t="shared" si="5"/>
        <v>0.27430555555555552</v>
      </c>
      <c r="X23" s="297">
        <f t="shared" si="6"/>
        <v>0.30902777777777779</v>
      </c>
      <c r="Y23" s="297">
        <f t="shared" si="7"/>
        <v>0</v>
      </c>
      <c r="Z23" s="296">
        <f t="shared" si="8"/>
        <v>60</v>
      </c>
    </row>
    <row r="24" spans="2:26" ht="15.75" customHeight="1">
      <c r="B24" s="37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20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customHeight="1">
      <c r="B25" s="29" t="s">
        <v>6</v>
      </c>
      <c r="C25" s="366" t="str">
        <f>[24]Brewhouse!$A493</f>
        <v>CA387</v>
      </c>
      <c r="D25" s="279">
        <f>[24]Brewhouse!$AF493</f>
        <v>52.6</v>
      </c>
      <c r="E25" s="279">
        <f>[24]Brewhouse!$AI493</f>
        <v>49.4</v>
      </c>
      <c r="F25" s="278">
        <f>[24]Brewhouse!$V493</f>
        <v>53</v>
      </c>
      <c r="G25" s="279">
        <f>[24]Brewhouse!$AG493</f>
        <v>11.8</v>
      </c>
      <c r="H25" s="396">
        <v>11.8</v>
      </c>
      <c r="I25" s="368">
        <f>[24]Brewhouse!$AU493</f>
        <v>94.264410009304427</v>
      </c>
      <c r="J25" s="368">
        <f>[24]Brewhouse!$AV493</f>
        <v>96.343234406220475</v>
      </c>
      <c r="K25" s="281">
        <f>[24]Brewhouse!$Q493</f>
        <v>53.2</v>
      </c>
      <c r="L25" s="276">
        <f>[24]Brewhouse!$P493</f>
        <v>62</v>
      </c>
      <c r="M25" s="397">
        <f>[24]Brewhouse!$U493-[24]Brewhouse!$T493</f>
        <v>0.10277777777777786</v>
      </c>
      <c r="N25" s="370">
        <f>[24]Brewhouse!$Z493</f>
        <v>0.23472222222222228</v>
      </c>
      <c r="O25" s="371" t="str">
        <f>[24]Brewhouse!$AX493</f>
        <v>K.Benjamin</v>
      </c>
      <c r="P25" s="420"/>
      <c r="R25" s="277" t="str">
        <f t="shared" si="0"/>
        <v>CARIB</v>
      </c>
      <c r="S25" s="296">
        <f t="shared" si="1"/>
        <v>11.6</v>
      </c>
      <c r="T25" s="296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296">
        <f t="shared" si="8"/>
        <v>60</v>
      </c>
    </row>
    <row r="26" spans="2:26" ht="15.75" customHeight="1">
      <c r="B26" s="29" t="s">
        <v>6</v>
      </c>
      <c r="C26" s="366" t="str">
        <f>[24]Brewhouse!$A494</f>
        <v>CA388</v>
      </c>
      <c r="D26" s="279">
        <f>[24]Brewhouse!$AF494</f>
        <v>50.3</v>
      </c>
      <c r="E26" s="279">
        <f>[24]Brewhouse!$AI494</f>
        <v>49.2</v>
      </c>
      <c r="F26" s="278">
        <f>[24]Brewhouse!$V494</f>
        <v>50</v>
      </c>
      <c r="G26" s="279">
        <f>[24]Brewhouse!$AG494</f>
        <v>11.9</v>
      </c>
      <c r="H26" s="396">
        <v>11.8</v>
      </c>
      <c r="I26" s="368">
        <f>[24]Brewhouse!$AU494</f>
        <v>98.3990612176312</v>
      </c>
      <c r="J26" s="368">
        <f>[24]Brewhouse!$AV494</f>
        <v>100.65837220908418</v>
      </c>
      <c r="K26" s="281">
        <f>[24]Brewhouse!$Q494</f>
        <v>10.827338129496408</v>
      </c>
      <c r="L26" s="276">
        <f>[24]Brewhouse!$P494</f>
        <v>61</v>
      </c>
      <c r="M26" s="397">
        <f>[24]Brewhouse!$U494-[24]Brewhouse!$T494</f>
        <v>0.10624999999999996</v>
      </c>
      <c r="N26" s="370">
        <f>[24]Brewhouse!$Z494</f>
        <v>0.23402777777777772</v>
      </c>
      <c r="O26" s="371" t="str">
        <f>[24]Brewhouse!$AX494</f>
        <v>K.Benjamin</v>
      </c>
      <c r="P26" s="420"/>
      <c r="R26" s="277" t="str">
        <f t="shared" si="0"/>
        <v>CARIB</v>
      </c>
      <c r="S26" s="296">
        <f t="shared" si="1"/>
        <v>11.6</v>
      </c>
      <c r="T26" s="296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296">
        <f t="shared" si="8"/>
        <v>60</v>
      </c>
    </row>
    <row r="27" spans="2:26" ht="15.75" customHeight="1">
      <c r="B27" s="29" t="s">
        <v>6</v>
      </c>
      <c r="C27" s="366" t="str">
        <f>[24]Brewhouse!$A495</f>
        <v>CA389</v>
      </c>
      <c r="D27" s="279">
        <f>[24]Brewhouse!$AF495</f>
        <v>51.2</v>
      </c>
      <c r="E27" s="279">
        <f>[24]Brewhouse!$AI495</f>
        <v>50.2</v>
      </c>
      <c r="F27" s="278">
        <f>[24]Brewhouse!$V495</f>
        <v>51</v>
      </c>
      <c r="G27" s="279">
        <f>[24]Brewhouse!$AG495</f>
        <v>11.7</v>
      </c>
      <c r="H27" s="396">
        <v>11.7</v>
      </c>
      <c r="I27" s="368">
        <f>[24]Brewhouse!$AU495</f>
        <v>94.297173444430044</v>
      </c>
      <c r="J27" s="368">
        <f>[24]Brewhouse!$AV495</f>
        <v>96.466625180483874</v>
      </c>
      <c r="K27" s="281">
        <f>[24]Brewhouse!$Q495</f>
        <v>9.8571428571428505</v>
      </c>
      <c r="L27" s="276">
        <f>[24]Brewhouse!$P495</f>
        <v>58</v>
      </c>
      <c r="M27" s="397">
        <f>[24]Brewhouse!$U495-[24]Brewhouse!$T495</f>
        <v>0.11875000000000002</v>
      </c>
      <c r="N27" s="370">
        <f>[24]Brewhouse!$Z495</f>
        <v>0.24444444444444446</v>
      </c>
      <c r="O27" s="371" t="str">
        <f>[24]Brewhouse!$AX495</f>
        <v>K.Benjamin</v>
      </c>
      <c r="P27" s="420"/>
      <c r="R27" s="277" t="str">
        <f t="shared" ref="R27:R35" si="9">B27</f>
        <v>CARIB</v>
      </c>
      <c r="S27" s="296">
        <f t="shared" si="1"/>
        <v>11.6</v>
      </c>
      <c r="T27" s="296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296">
        <f t="shared" si="8"/>
        <v>60</v>
      </c>
    </row>
    <row r="28" spans="2:26" ht="15.75" customHeight="1">
      <c r="B28" s="29" t="s">
        <v>6</v>
      </c>
      <c r="C28" s="366" t="str">
        <f>[24]Brewhouse!$A496</f>
        <v>CA390</v>
      </c>
      <c r="D28" s="279">
        <f>[24]Brewhouse!$AF496</f>
        <v>64.3</v>
      </c>
      <c r="E28" s="427">
        <f>[24]Brewhouse!$AI496</f>
        <v>61.3</v>
      </c>
      <c r="F28" s="278">
        <f>[24]Brewhouse!$V496</f>
        <v>64</v>
      </c>
      <c r="G28" s="279">
        <f>[24]Brewhouse!$AG496</f>
        <v>12</v>
      </c>
      <c r="H28" s="396">
        <v>11.9</v>
      </c>
      <c r="I28" s="427">
        <f>[24]Brewhouse!$AU496</f>
        <v>119.86186934898069</v>
      </c>
      <c r="J28" s="427">
        <f>[24]Brewhouse!$AV496</f>
        <v>122.61784909760047</v>
      </c>
      <c r="K28" s="281">
        <f>[24]Brewhouse!$Q496</f>
        <v>6.1180679785330847</v>
      </c>
      <c r="L28" s="276">
        <f>[24]Brewhouse!$P496</f>
        <v>61</v>
      </c>
      <c r="M28" s="397">
        <f>[24]Brewhouse!$U496-[24]Brewhouse!$T496</f>
        <v>0.12430555555555545</v>
      </c>
      <c r="N28" s="370">
        <f>[24]Brewhouse!$Z496</f>
        <v>0.27638888888888891</v>
      </c>
      <c r="O28" s="371" t="str">
        <f>[24]Brewhouse!$AX496</f>
        <v>R. Regis</v>
      </c>
      <c r="P28" s="420"/>
      <c r="R28" s="277" t="str">
        <f t="shared" si="9"/>
        <v>CARIB</v>
      </c>
      <c r="S28" s="296">
        <f t="shared" si="1"/>
        <v>11.6</v>
      </c>
      <c r="T28" s="296">
        <f t="shared" si="2"/>
        <v>12</v>
      </c>
      <c r="U28" s="297">
        <f t="shared" si="3"/>
        <v>0</v>
      </c>
      <c r="V28" s="297">
        <f t="shared" si="4"/>
        <v>0.118055555555556</v>
      </c>
      <c r="W28" s="297">
        <f t="shared" si="5"/>
        <v>0.22569444444444445</v>
      </c>
      <c r="X28" s="297">
        <f t="shared" si="6"/>
        <v>0.2638888888888889</v>
      </c>
      <c r="Y28" s="297">
        <f t="shared" si="7"/>
        <v>0</v>
      </c>
      <c r="Z28" s="296">
        <f t="shared" si="8"/>
        <v>60</v>
      </c>
    </row>
    <row r="29" spans="2:26" ht="15.75" customHeight="1">
      <c r="B29" s="29" t="s">
        <v>6</v>
      </c>
      <c r="C29" s="366" t="str">
        <f>[24]Brewhouse!$A497</f>
        <v>CA391</v>
      </c>
      <c r="D29" s="279">
        <f>[24]Brewhouse!$AF497</f>
        <v>53.5</v>
      </c>
      <c r="E29" s="279">
        <f>[24]Brewhouse!$AI497</f>
        <v>49</v>
      </c>
      <c r="F29" s="278">
        <f>[24]Brewhouse!$V497</f>
        <v>58</v>
      </c>
      <c r="G29" s="279">
        <f>[24]Brewhouse!$AG497</f>
        <v>11.8</v>
      </c>
      <c r="H29" s="396">
        <v>11.8</v>
      </c>
      <c r="I29" s="368">
        <f>[24]Brewhouse!$AU497</f>
        <v>92.79563444744052</v>
      </c>
      <c r="J29" s="368">
        <f>[24]Brewhouse!$AV497</f>
        <v>95.44622050456698</v>
      </c>
      <c r="K29" s="281">
        <f>[24]Brewhouse!$Q497</f>
        <v>4.9009009009008988</v>
      </c>
      <c r="L29" s="276">
        <f>[24]Brewhouse!$P497</f>
        <v>60</v>
      </c>
      <c r="M29" s="397">
        <f>[24]Brewhouse!$U497-[24]Brewhouse!$T497</f>
        <v>0.11111111111111116</v>
      </c>
      <c r="N29" s="370">
        <f>[24]Brewhouse!$Z497</f>
        <v>0.25347222222222221</v>
      </c>
      <c r="O29" s="371" t="str">
        <f>[24]Brewhouse!$AX497</f>
        <v>R. Regis</v>
      </c>
      <c r="P29" s="420"/>
      <c r="R29" s="277" t="str">
        <f t="shared" si="9"/>
        <v>CARIB</v>
      </c>
      <c r="S29" s="296">
        <f t="shared" si="1"/>
        <v>11.6</v>
      </c>
      <c r="T29" s="296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296">
        <f t="shared" si="8"/>
        <v>60</v>
      </c>
    </row>
    <row r="30" spans="2:26" ht="15.75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20"/>
      <c r="R30" s="277">
        <f t="shared" si="9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20"/>
      <c r="R31" s="277">
        <f t="shared" si="9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20"/>
      <c r="R32" s="277">
        <f t="shared" si="9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20"/>
      <c r="R33" s="277">
        <f t="shared" si="9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20"/>
      <c r="R34" s="277">
        <f t="shared" si="9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7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20"/>
      <c r="R35" s="277">
        <f t="shared" si="9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7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20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7" ht="15.75" customHeight="1" thickBot="1">
      <c r="B37" s="358"/>
      <c r="C37" s="358"/>
      <c r="D37" s="358"/>
      <c r="E37" s="358"/>
      <c r="F37" s="294"/>
      <c r="G37" s="294"/>
      <c r="H37" s="348"/>
      <c r="I37" s="497" t="s">
        <v>34</v>
      </c>
      <c r="J37" s="497"/>
      <c r="K37" s="497"/>
      <c r="L37" s="497"/>
      <c r="M37" s="497"/>
      <c r="N37" s="497"/>
      <c r="O37" s="1"/>
      <c r="P37" s="12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7" ht="15" thickBot="1">
      <c r="B38" s="388" t="s">
        <v>145</v>
      </c>
      <c r="C38" s="388"/>
      <c r="D38" s="475" t="s">
        <v>35</v>
      </c>
      <c r="E38" s="476"/>
      <c r="F38" s="294"/>
      <c r="G38" s="294"/>
      <c r="H38" s="348"/>
      <c r="I38" s="24" t="s">
        <v>17</v>
      </c>
      <c r="J38" s="25" t="s">
        <v>36</v>
      </c>
      <c r="K38" s="26" t="s">
        <v>138</v>
      </c>
      <c r="L38" s="25" t="s">
        <v>37</v>
      </c>
      <c r="M38" s="25" t="s">
        <v>38</v>
      </c>
      <c r="N38" s="27" t="s">
        <v>39</v>
      </c>
      <c r="O38" s="294"/>
      <c r="P38" s="12"/>
      <c r="R38" s="277" t="str">
        <f t="shared" si="0"/>
        <v>BRAND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7" ht="15" customHeight="1">
      <c r="A39" s="28"/>
      <c r="B39" s="557" t="str">
        <f>I40</f>
        <v>STAG</v>
      </c>
      <c r="C39" s="362">
        <f>[25]Process!$D$211</f>
        <v>12.07</v>
      </c>
      <c r="D39" s="501">
        <v>11.82</v>
      </c>
      <c r="E39" s="502"/>
      <c r="F39" s="294"/>
      <c r="G39" s="294"/>
      <c r="H39" s="348"/>
      <c r="I39" s="29" t="s">
        <v>6</v>
      </c>
      <c r="J39" s="280">
        <f>AVERAGE(I25:I29)</f>
        <v>99.923629693557388</v>
      </c>
      <c r="K39" s="284">
        <f>COUNTA([24]Brewhouse!$A$493:$A$497)</f>
        <v>5</v>
      </c>
      <c r="L39" s="302">
        <f>AVERAGE([24]Brewhouse!$AU$493:$AU$497)</f>
        <v>99.923629693557388</v>
      </c>
      <c r="M39" s="302">
        <f>AVERAGE([24]Brewhouse!$AU$102:$AU$171,[24]Brewhouse!$AU$173:$AU$253,[24]Brewhouse!$AU$255:$AU$339,[24]Brewhouse!$AU$341:$AU$346,[24]Brewhouse!$AU$348,[24]Brewhouse!$AU$349:$AU$406,[24]Brewhouse!$AU$408:$AU$491,[24]Brewhouse!$AU$493:$AU$497)</f>
        <v>97.689587816022907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</row>
    <row r="40" spans="1:27" ht="15" customHeight="1">
      <c r="A40" s="28"/>
      <c r="B40" s="549"/>
      <c r="C40" s="349">
        <f>[25]Process!D218</f>
        <v>11.63</v>
      </c>
      <c r="D40" s="503"/>
      <c r="E40" s="504"/>
      <c r="F40" s="294"/>
      <c r="G40" s="294"/>
      <c r="H40" s="348"/>
      <c r="I40" s="33" t="s">
        <v>9</v>
      </c>
      <c r="J40" s="280"/>
      <c r="K40" s="284"/>
      <c r="L40" s="302"/>
      <c r="M40" s="302">
        <f>AVERAGE([25]Brewhouse!$AS$15:$AS$64,[25]Brewhouse!$AS$66:$AS$103,[25]Brewhouse!$AS$105:$AS$140,[25]Brewhouse!$AS$142:$AS$193,[25]Brewhouse!$AS$195:$AS$240)</f>
        <v>97.875552945082219</v>
      </c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</row>
    <row r="41" spans="1:27" ht="14.7" customHeight="1">
      <c r="A41" s="28"/>
      <c r="B41" s="549"/>
      <c r="C41" s="349">
        <f>[25]Process!D219</f>
        <v>11.6</v>
      </c>
      <c r="D41" s="501">
        <v>11.71</v>
      </c>
      <c r="E41" s="502"/>
      <c r="F41" s="294"/>
      <c r="G41" s="294"/>
      <c r="H41" s="348"/>
      <c r="I41" s="34" t="s">
        <v>12</v>
      </c>
      <c r="J41" s="280"/>
      <c r="K41" s="284"/>
      <c r="L41" s="302"/>
      <c r="M41" s="302">
        <f>AVERAGE([26]Brewhouse!$AU$4:$AU$7,[26]Brewhouse!$AU$9:$AU$22,[26]Brewhouse!$AU$24:$AU$35,[26]Brewhouse!$AU$37:$AU$45,[26]Brewhouse!$AU$47:$AU$62)</f>
        <v>97.179377138297156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</row>
    <row r="42" spans="1:27" ht="14.7" customHeight="1">
      <c r="A42" s="28"/>
      <c r="B42" s="549"/>
      <c r="C42" s="349">
        <f>[25]Process!$D$228</f>
        <v>11.4</v>
      </c>
      <c r="D42" s="503"/>
      <c r="E42" s="504"/>
      <c r="F42" s="294"/>
      <c r="G42" s="294"/>
      <c r="H42" s="348"/>
      <c r="I42" s="22" t="s">
        <v>33</v>
      </c>
      <c r="J42" s="280"/>
      <c r="K42" s="284"/>
      <c r="L42" s="302"/>
      <c r="M42" s="302">
        <f>AVERAGE([23]Brewhouse!$AV$5:$AV$14,[23]Brewhouse!$AV$16:$AV$19,[23]Brewhouse!$AV$21:$AV$24,[23]Brewhouse!$AV$26:$AV$33,[23]Brewhouse!$AV$35:$AV$46)</f>
        <v>99.005314486149061</v>
      </c>
      <c r="N42" s="3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</row>
    <row r="43" spans="1:27" ht="14.7" customHeight="1">
      <c r="A43" s="28"/>
      <c r="B43" s="549"/>
      <c r="C43" s="349"/>
      <c r="D43" s="501">
        <v>11.88</v>
      </c>
      <c r="E43" s="502"/>
      <c r="F43" s="419"/>
      <c r="G43" s="294"/>
      <c r="H43" s="348"/>
      <c r="I43" s="35" t="s">
        <v>29</v>
      </c>
      <c r="J43" s="280"/>
      <c r="K43" s="284"/>
      <c r="L43" s="302"/>
      <c r="M43" s="302"/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</row>
    <row r="44" spans="1:27" ht="14.7" customHeight="1">
      <c r="A44" s="28"/>
      <c r="B44" s="549"/>
      <c r="C44" s="349"/>
      <c r="D44" s="503"/>
      <c r="E44" s="504"/>
      <c r="F44" s="419"/>
      <c r="G44" s="294"/>
      <c r="H44" s="348"/>
      <c r="I44" s="36" t="s">
        <v>15</v>
      </c>
      <c r="J44" s="323"/>
      <c r="K44" s="284"/>
      <c r="L44" s="302"/>
      <c r="M44" s="302">
        <f>AVERAGE([27]Brewhouse!$AT$4:$AT$11,[27]Brewhouse!$AT$13:$AT$16)</f>
        <v>94.677025542378772</v>
      </c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4.7" customHeight="1">
      <c r="A45" s="28"/>
      <c r="B45" s="549"/>
      <c r="C45" s="349"/>
      <c r="D45" s="501">
        <v>11.82</v>
      </c>
      <c r="E45" s="502"/>
      <c r="F45" s="419"/>
      <c r="G45" s="294"/>
      <c r="H45" s="348"/>
      <c r="I45" s="37" t="s">
        <v>16</v>
      </c>
      <c r="J45" s="323">
        <f>AVERAGE(I22:I23)</f>
        <v>95.762598765002053</v>
      </c>
      <c r="K45" s="284">
        <f>COUNTA([22]Brewhouse!$A$45:$A$50)</f>
        <v>6</v>
      </c>
      <c r="L45" s="302">
        <f>AVERAGE([22]Brewhouse!$AY$45:$AY$50)</f>
        <v>96.288901438431267</v>
      </c>
      <c r="M45" s="302">
        <f>AVERAGE([22]Brewhouse!$AY$6:$AY$13,[22]Brewhouse!$AY$15:$AY$20,[22]Brewhouse!$AY$22:$AY$29,[22]Brewhouse!$AY$31:$AY$34,[22]Brewhouse!$AY$36:$AY$43,[22]Brewhouse!$AY$45:$AY$50)</f>
        <v>96.612624784592427</v>
      </c>
      <c r="N45" s="30">
        <v>98</v>
      </c>
      <c r="O45" s="11"/>
      <c r="P45" s="31" t="s">
        <v>41</v>
      </c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4.7" customHeight="1">
      <c r="A46" s="28"/>
      <c r="B46" s="549"/>
      <c r="C46" s="349"/>
      <c r="D46" s="503"/>
      <c r="E46" s="504"/>
      <c r="F46" s="294"/>
      <c r="G46" s="294"/>
      <c r="H46" s="348"/>
      <c r="I46" s="411" t="s">
        <v>158</v>
      </c>
      <c r="J46" s="326"/>
      <c r="K46" s="284"/>
      <c r="L46" s="305"/>
      <c r="M46" s="305">
        <f>AVERAGE([28]Brewhouse!$AU$5:$AU$8)</f>
        <v>91.006888337619571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  <c r="AA46" s="296"/>
    </row>
    <row r="47" spans="1:27" ht="14.7" customHeight="1">
      <c r="A47" s="28"/>
      <c r="B47" s="549"/>
      <c r="C47" s="349"/>
      <c r="D47" s="501"/>
      <c r="E47" s="502"/>
      <c r="F47" s="294"/>
      <c r="G47" s="294"/>
      <c r="H47" s="348"/>
      <c r="I47" s="410" t="s">
        <v>157</v>
      </c>
      <c r="J47" s="326"/>
      <c r="K47" s="284"/>
      <c r="L47" s="305"/>
      <c r="M47" s="305"/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  <c r="AA47" s="296"/>
    </row>
    <row r="48" spans="1:27" ht="15" customHeight="1" thickBot="1">
      <c r="A48" s="28"/>
      <c r="B48" s="549"/>
      <c r="C48" s="349"/>
      <c r="D48" s="503"/>
      <c r="E48" s="504"/>
      <c r="F48" s="294"/>
      <c r="G48" s="294"/>
      <c r="H48" s="348"/>
      <c r="I48" s="406" t="s">
        <v>156</v>
      </c>
      <c r="J48" s="327"/>
      <c r="K48" s="407"/>
      <c r="L48" s="408"/>
      <c r="M48" s="408"/>
      <c r="N48" s="409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  <c r="AA48" s="296"/>
    </row>
    <row r="49" spans="1:56" ht="15" customHeight="1" thickBot="1">
      <c r="A49" s="28"/>
      <c r="B49" s="549"/>
      <c r="C49" s="349"/>
      <c r="D49" s="501"/>
      <c r="E49" s="502"/>
      <c r="F49" s="294"/>
      <c r="G49" s="294"/>
      <c r="H49" s="348"/>
      <c r="I49" s="1"/>
      <c r="J49" s="39"/>
      <c r="K49" s="404">
        <f>SUM(K39:K48)</f>
        <v>11</v>
      </c>
      <c r="L49" s="405">
        <f>((L39*K39)+(L40*K40)+(L41*K41)+(L42*K42)+(L43*K43)+(K46*L46)+(L44*K44)+(L45*K45)+(L48*K48))/(K49)</f>
        <v>97.941050645306774</v>
      </c>
      <c r="M49" s="405">
        <f>AVERAGE('[29]Jan 31st'!$L$65,'[30]Feb 28th'!$L$35,'[31]Mar. 31st'!$L$35,'[32]Apr. 30th'!$L$45,'[33]May 30th'!$L$37,L49)</f>
        <v>97.686717347112634</v>
      </c>
      <c r="N49" s="4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  <c r="AA49" s="296"/>
    </row>
    <row r="50" spans="1:56" ht="15" thickBot="1">
      <c r="B50" s="550"/>
      <c r="C50" s="350"/>
      <c r="D50" s="503"/>
      <c r="E50" s="504"/>
      <c r="F50" s="294"/>
      <c r="G50" s="42"/>
      <c r="H50" s="41"/>
      <c r="I50" s="42"/>
      <c r="J50" s="42"/>
      <c r="K50" s="351"/>
      <c r="L50" s="348"/>
      <c r="M50" s="348"/>
      <c r="N50" s="11"/>
      <c r="O50" s="294"/>
      <c r="P50" s="12"/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5" thickBot="1">
      <c r="B51" s="549"/>
      <c r="C51" s="362"/>
      <c r="D51" s="514"/>
      <c r="E51" s="515"/>
      <c r="F51" s="294"/>
      <c r="G51" s="42"/>
      <c r="H51" s="41"/>
      <c r="I51" s="42"/>
      <c r="J51" s="551" t="s">
        <v>129</v>
      </c>
      <c r="K51" s="551"/>
      <c r="L51" s="294"/>
      <c r="M51" s="294"/>
      <c r="N51" s="294"/>
      <c r="O51" s="294"/>
      <c r="P51" s="12"/>
    </row>
    <row r="52" spans="1:56" ht="13.5" customHeight="1" thickBot="1">
      <c r="B52" s="549"/>
      <c r="C52" s="349"/>
      <c r="D52" s="516"/>
      <c r="E52" s="504"/>
      <c r="F52" s="294"/>
      <c r="G52" s="42"/>
      <c r="H52" s="41"/>
      <c r="I52" s="42"/>
      <c r="J52" s="292" t="s">
        <v>17</v>
      </c>
      <c r="K52" s="293" t="s">
        <v>147</v>
      </c>
      <c r="L52" s="518" t="s">
        <v>136</v>
      </c>
      <c r="M52" s="518"/>
      <c r="N52" s="519"/>
      <c r="O52" s="294"/>
      <c r="P52" s="12"/>
    </row>
    <row r="53" spans="1:56" ht="15" customHeight="1" thickBot="1">
      <c r="B53" s="549"/>
      <c r="C53" s="349"/>
      <c r="D53" s="520"/>
      <c r="E53" s="502"/>
      <c r="F53" s="294"/>
      <c r="G53" s="42"/>
      <c r="H53" s="41"/>
      <c r="I53" s="42"/>
      <c r="J53" s="287" t="s">
        <v>6</v>
      </c>
      <c r="K53" s="324">
        <v>5</v>
      </c>
      <c r="L53" s="343" t="s">
        <v>37</v>
      </c>
      <c r="M53" s="307" t="s">
        <v>38</v>
      </c>
      <c r="N53" s="307" t="s">
        <v>84</v>
      </c>
      <c r="O53" s="294"/>
      <c r="P53" s="12"/>
    </row>
    <row r="54" spans="1:56" ht="15.75" customHeight="1" thickBot="1">
      <c r="B54" s="549"/>
      <c r="C54" s="349"/>
      <c r="D54" s="516"/>
      <c r="E54" s="504"/>
      <c r="F54" s="294"/>
      <c r="G54" s="42"/>
      <c r="H54" s="41"/>
      <c r="I54" s="42"/>
      <c r="J54" s="345" t="s">
        <v>9</v>
      </c>
      <c r="K54" s="324"/>
      <c r="L54" s="344">
        <f>AVERAGE('June 2nd'!K57,'June 3rd'!K63)</f>
        <v>5.5</v>
      </c>
      <c r="M54" s="325">
        <f>AVERAGE('[29]Jan 29th '!$M$70,'[30]Feb 28th'!$L$40,'[31]Mar. 31st'!$L$40,'[32]Apr. 30th'!$L$50,'[33]May 30th'!$L$42,L54)</f>
        <v>6.4511068641503426</v>
      </c>
      <c r="N54" s="418">
        <v>9.1999999999999993</v>
      </c>
      <c r="O54" s="294"/>
      <c r="P54" s="12"/>
    </row>
    <row r="55" spans="1:56" ht="15" customHeight="1">
      <c r="B55" s="549"/>
      <c r="C55" s="349"/>
      <c r="D55" s="520"/>
      <c r="E55" s="502"/>
      <c r="F55" s="294"/>
      <c r="G55" s="42"/>
      <c r="H55" s="41"/>
      <c r="I55" s="42"/>
      <c r="J55" s="288" t="s">
        <v>40</v>
      </c>
      <c r="K55" s="324"/>
      <c r="L55" s="294"/>
      <c r="M55" s="294"/>
      <c r="N55" s="294"/>
      <c r="O55" s="294"/>
      <c r="P55" s="12"/>
    </row>
    <row r="56" spans="1:56" ht="15" customHeight="1">
      <c r="B56" s="549"/>
      <c r="C56" s="349"/>
      <c r="D56" s="516"/>
      <c r="E56" s="504"/>
      <c r="F56" s="294"/>
      <c r="G56" s="42"/>
      <c r="H56" s="41"/>
      <c r="I56" s="42"/>
      <c r="J56" s="289" t="s">
        <v>33</v>
      </c>
      <c r="K56" s="324"/>
      <c r="L56" s="294"/>
      <c r="M56" s="294"/>
      <c r="N56" s="294"/>
      <c r="O56" s="294"/>
      <c r="P56" s="12"/>
    </row>
    <row r="57" spans="1:56" ht="14.4">
      <c r="B57" s="549"/>
      <c r="C57" s="349"/>
      <c r="D57" s="520"/>
      <c r="E57" s="502"/>
      <c r="F57" s="294"/>
      <c r="G57" s="42"/>
      <c r="H57" s="41"/>
      <c r="I57" s="42"/>
      <c r="J57" s="290" t="s">
        <v>16</v>
      </c>
      <c r="K57" s="324">
        <v>2</v>
      </c>
      <c r="L57" s="294"/>
      <c r="M57" s="294"/>
      <c r="N57" s="294"/>
      <c r="O57" s="294"/>
      <c r="P57" s="12"/>
      <c r="BC57" s="44"/>
      <c r="BD57" s="44"/>
    </row>
    <row r="58" spans="1:56" ht="14.4">
      <c r="B58" s="549"/>
      <c r="C58" s="349"/>
      <c r="D58" s="516"/>
      <c r="E58" s="504"/>
      <c r="F58" s="294"/>
      <c r="G58" s="42"/>
      <c r="H58" s="41"/>
      <c r="I58" s="42"/>
      <c r="J58" s="291" t="s">
        <v>15</v>
      </c>
      <c r="K58" s="426"/>
      <c r="L58" s="294"/>
      <c r="M58" s="294"/>
      <c r="N58" s="294"/>
      <c r="O58" s="294"/>
      <c r="P58" s="12"/>
      <c r="BC58" s="44"/>
      <c r="BD58" s="44"/>
    </row>
    <row r="59" spans="1:56" ht="14.4">
      <c r="B59" s="549"/>
      <c r="C59" s="349"/>
      <c r="D59" s="545"/>
      <c r="E59" s="546"/>
      <c r="F59" s="294"/>
      <c r="G59" s="42"/>
      <c r="H59" s="41"/>
      <c r="I59" s="42"/>
      <c r="J59" s="291" t="s">
        <v>149</v>
      </c>
      <c r="K59" s="324"/>
      <c r="L59" s="294"/>
      <c r="M59" s="294"/>
      <c r="N59" s="294"/>
      <c r="O59" s="294"/>
      <c r="P59" s="12"/>
      <c r="BC59" s="44"/>
      <c r="BD59" s="44"/>
    </row>
    <row r="60" spans="1:56" ht="15" thickBot="1">
      <c r="B60" s="550"/>
      <c r="C60" s="350"/>
      <c r="D60" s="547"/>
      <c r="E60" s="548"/>
      <c r="F60" s="294"/>
      <c r="G60" s="42"/>
      <c r="H60" s="41"/>
      <c r="I60" s="42"/>
      <c r="J60" s="291" t="s">
        <v>148</v>
      </c>
      <c r="K60" s="324"/>
      <c r="L60" s="294"/>
      <c r="M60" s="294"/>
      <c r="N60" s="294"/>
      <c r="O60" s="294"/>
      <c r="P60" s="12"/>
      <c r="BC60" s="44"/>
      <c r="BD60" s="44"/>
    </row>
    <row r="61" spans="1:56" ht="17.7" customHeight="1" thickBot="1">
      <c r="B61" s="312" t="s">
        <v>139</v>
      </c>
      <c r="C61" s="313"/>
      <c r="D61" s="524">
        <f>AVERAGE(D39:E60)</f>
        <v>11.807500000000001</v>
      </c>
      <c r="E61" s="525"/>
      <c r="F61" s="294"/>
      <c r="G61" s="42"/>
      <c r="H61" s="41"/>
      <c r="I61" s="42"/>
      <c r="J61" s="295" t="s">
        <v>134</v>
      </c>
      <c r="K61" s="324"/>
      <c r="L61" s="294"/>
      <c r="M61" s="294"/>
      <c r="N61" s="294"/>
      <c r="O61" s="294"/>
      <c r="P61" s="12"/>
      <c r="BC61" s="44"/>
      <c r="BD61" s="44"/>
    </row>
    <row r="62" spans="1:56" ht="17.7" customHeight="1">
      <c r="B62" s="363"/>
      <c r="C62" s="364"/>
      <c r="D62" s="365"/>
      <c r="E62" s="365"/>
      <c r="F62" s="294"/>
      <c r="G62" s="42"/>
      <c r="H62" s="41"/>
      <c r="I62" s="42"/>
      <c r="J62" s="295" t="s">
        <v>131</v>
      </c>
      <c r="K62" s="324"/>
      <c r="L62" s="294"/>
      <c r="M62" s="294"/>
      <c r="N62" s="294"/>
      <c r="O62" s="294"/>
      <c r="P62" s="12"/>
      <c r="BC62" s="44"/>
      <c r="BD62" s="44"/>
    </row>
    <row r="63" spans="1:56" ht="15.75" customHeight="1">
      <c r="B63" s="45"/>
      <c r="C63" s="11"/>
      <c r="D63" s="11"/>
      <c r="E63" s="46"/>
      <c r="F63" s="294"/>
      <c r="G63" s="42"/>
      <c r="H63" s="41"/>
      <c r="I63" s="42"/>
      <c r="J63" s="346" t="s">
        <v>130</v>
      </c>
      <c r="K63" s="324">
        <f>SUM(K53:K62)</f>
        <v>7</v>
      </c>
      <c r="L63" s="294"/>
      <c r="M63" s="294"/>
      <c r="N63" s="294"/>
      <c r="O63" s="294"/>
      <c r="P63" s="12"/>
    </row>
    <row r="64" spans="1:56" ht="20.25" customHeight="1">
      <c r="B64" s="15" t="s">
        <v>42</v>
      </c>
      <c r="C64" s="1" t="s">
        <v>43</v>
      </c>
      <c r="D64" s="1"/>
      <c r="E64" s="1"/>
      <c r="F64" s="294"/>
      <c r="G64" s="42"/>
      <c r="H64" s="41"/>
      <c r="I64" s="42"/>
      <c r="L64" s="294"/>
      <c r="P64" s="334"/>
    </row>
    <row r="65" spans="2:57" ht="15" customHeight="1" thickBot="1"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8"/>
      <c r="O65" s="48"/>
      <c r="P65" s="49"/>
    </row>
    <row r="66" spans="2:57" ht="15" customHeight="1" thickBot="1">
      <c r="B66" s="526" t="s">
        <v>17</v>
      </c>
      <c r="C66" s="526" t="s">
        <v>44</v>
      </c>
      <c r="D66" s="528" t="s">
        <v>45</v>
      </c>
      <c r="E66" s="483" t="s">
        <v>46</v>
      </c>
      <c r="F66" s="543" t="s">
        <v>47</v>
      </c>
      <c r="G66" s="537" t="s">
        <v>48</v>
      </c>
      <c r="H66" s="526" t="s">
        <v>49</v>
      </c>
      <c r="I66" s="526" t="s">
        <v>50</v>
      </c>
      <c r="J66" s="531" t="s">
        <v>28</v>
      </c>
      <c r="K66" s="481" t="s">
        <v>51</v>
      </c>
      <c r="L66" s="493" t="s">
        <v>52</v>
      </c>
      <c r="M66" s="531" t="s">
        <v>53</v>
      </c>
      <c r="N66" s="13"/>
      <c r="O66" s="13"/>
      <c r="P66" s="50"/>
    </row>
    <row r="67" spans="2:57" ht="28.5" customHeight="1" thickTop="1" thickBot="1">
      <c r="B67" s="527"/>
      <c r="C67" s="527"/>
      <c r="D67" s="529"/>
      <c r="E67" s="530"/>
      <c r="F67" s="544"/>
      <c r="G67" s="538"/>
      <c r="H67" s="527"/>
      <c r="I67" s="527"/>
      <c r="J67" s="532"/>
      <c r="K67" s="541"/>
      <c r="L67" s="542"/>
      <c r="M67" s="532"/>
      <c r="N67" s="13"/>
      <c r="O67" s="13"/>
      <c r="P67" s="50"/>
      <c r="Q67" s="355"/>
      <c r="AB67" s="51">
        <v>43474</v>
      </c>
      <c r="AC67" s="51">
        <v>43475</v>
      </c>
      <c r="AD67" s="51">
        <v>43476</v>
      </c>
      <c r="AE67" s="51">
        <v>43477</v>
      </c>
      <c r="AF67" s="51">
        <v>43478</v>
      </c>
      <c r="AG67" s="51">
        <v>43479</v>
      </c>
      <c r="AH67" s="51">
        <v>43480</v>
      </c>
      <c r="AI67" s="51">
        <v>43481</v>
      </c>
      <c r="AJ67" s="51">
        <v>43482</v>
      </c>
      <c r="AK67" s="51">
        <v>43483</v>
      </c>
      <c r="AL67" s="51">
        <v>43484</v>
      </c>
      <c r="AM67" s="51">
        <v>43485</v>
      </c>
      <c r="AN67" s="51">
        <v>43486</v>
      </c>
      <c r="AO67" s="51">
        <v>43487</v>
      </c>
      <c r="AP67" s="51">
        <v>43488</v>
      </c>
      <c r="AQ67" s="51">
        <v>43489</v>
      </c>
      <c r="AR67" s="51">
        <v>43490</v>
      </c>
      <c r="AS67" s="51">
        <v>43491</v>
      </c>
      <c r="AT67" s="51">
        <v>43492</v>
      </c>
      <c r="AU67" s="51">
        <v>43493</v>
      </c>
      <c r="AV67" s="51">
        <v>43494</v>
      </c>
      <c r="AW67" s="51">
        <v>43495</v>
      </c>
      <c r="AX67" s="51">
        <v>43496</v>
      </c>
    </row>
    <row r="68" spans="2:57" s="54" customFormat="1" ht="51" customHeight="1">
      <c r="B68" s="425" t="str">
        <f>B76</f>
        <v>STAG</v>
      </c>
      <c r="C68" s="283">
        <v>45810</v>
      </c>
      <c r="D68" s="377">
        <f>[34]June_2025!$F$13</f>
        <v>320.5</v>
      </c>
      <c r="E68" s="378"/>
      <c r="F68" s="379"/>
      <c r="G68" s="303">
        <f>[34]June_2025!$F$17</f>
        <v>306.89999999999998</v>
      </c>
      <c r="H68" s="320"/>
      <c r="I68" s="322"/>
      <c r="J68" s="392" t="s">
        <v>168</v>
      </c>
      <c r="K68" s="286">
        <f>[36]June_2025!$F$25</f>
        <v>0.35894736842105263</v>
      </c>
      <c r="L68" s="314">
        <f>(((D68+E68)-G68)/(D68+E68))*100</f>
        <v>4.2433697347893986</v>
      </c>
      <c r="M68" s="417" t="s">
        <v>169</v>
      </c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6"/>
      <c r="AC68" s="416"/>
      <c r="AD68" s="416"/>
      <c r="AE68" s="416"/>
      <c r="AF68" s="416"/>
      <c r="AG68" s="416"/>
      <c r="AH68" s="416"/>
      <c r="AI68" s="416"/>
      <c r="AJ68" s="416"/>
      <c r="AK68" s="416"/>
      <c r="AL68" s="416"/>
      <c r="AM68" s="416"/>
      <c r="AN68" s="416"/>
      <c r="AO68" s="416"/>
      <c r="AP68" s="416"/>
      <c r="AQ68" s="416"/>
      <c r="AR68" s="416"/>
      <c r="AS68" s="416"/>
      <c r="AT68" s="416"/>
      <c r="AU68" s="416"/>
      <c r="AV68" s="416"/>
      <c r="AW68" s="416"/>
    </row>
    <row r="69" spans="2:57" s="54" customFormat="1" ht="23.25" customHeight="1">
      <c r="B69" s="33"/>
      <c r="C69" s="283"/>
      <c r="D69" s="377"/>
      <c r="E69" s="378"/>
      <c r="F69" s="379"/>
      <c r="G69" s="303"/>
      <c r="H69" s="320"/>
      <c r="I69" s="322"/>
      <c r="J69" s="281"/>
      <c r="K69" s="286"/>
      <c r="L69" s="314"/>
      <c r="M69" s="417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416"/>
      <c r="AC69" s="416"/>
      <c r="AD69" s="416"/>
      <c r="AE69" s="416"/>
      <c r="AF69" s="416"/>
      <c r="AG69" s="416"/>
      <c r="AH69" s="416"/>
      <c r="AI69" s="416"/>
      <c r="AJ69" s="416"/>
      <c r="AK69" s="416"/>
      <c r="AL69" s="416"/>
      <c r="AM69" s="416"/>
      <c r="AN69" s="416"/>
      <c r="AO69" s="416"/>
      <c r="AP69" s="416"/>
      <c r="AQ69" s="416"/>
      <c r="AR69" s="416"/>
      <c r="AS69" s="416"/>
      <c r="AT69" s="416"/>
      <c r="AU69" s="416"/>
      <c r="AV69" s="416"/>
      <c r="AW69" s="416"/>
    </row>
    <row r="70" spans="2:57" s="54" customFormat="1" ht="53.25" hidden="1" customHeight="1">
      <c r="B70" s="425"/>
      <c r="C70" s="283"/>
      <c r="D70" s="377"/>
      <c r="E70" s="378"/>
      <c r="F70" s="379"/>
      <c r="G70" s="303"/>
      <c r="H70" s="320"/>
      <c r="I70" s="322"/>
      <c r="J70" s="392"/>
      <c r="K70" s="286"/>
      <c r="L70" s="314" t="e">
        <f>(((D70+E70)-G70)/(D70+E70))*100</f>
        <v>#DIV/0!</v>
      </c>
      <c r="M70" s="417"/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>
        <f>[20]January_2019!L7</f>
        <v>0</v>
      </c>
      <c r="AC70" s="57">
        <f>[20]January_2019!M7</f>
        <v>0</v>
      </c>
      <c r="AD70" s="57">
        <f>[20]January_2019!N7</f>
        <v>0</v>
      </c>
      <c r="AE70" s="57">
        <f>[20]January_2019!O7</f>
        <v>0</v>
      </c>
      <c r="AF70" s="57">
        <f>[20]January_2019!P7</f>
        <v>0</v>
      </c>
      <c r="AG70" s="57">
        <f>[20]January_2019!Q7</f>
        <v>0</v>
      </c>
      <c r="AH70" s="57">
        <f>[20]January_2019!R7</f>
        <v>0</v>
      </c>
      <c r="AI70" s="57">
        <f>[20]January_2019!S7</f>
        <v>0</v>
      </c>
      <c r="AJ70" s="57">
        <f>[20]January_2019!T7</f>
        <v>0</v>
      </c>
      <c r="AK70" s="57">
        <f>[20]January_2019!U7</f>
        <v>0</v>
      </c>
      <c r="AL70" s="57">
        <f>[20]January_2019!V7</f>
        <v>0</v>
      </c>
      <c r="AM70" s="57">
        <f>[20]January_2019!W7</f>
        <v>0</v>
      </c>
      <c r="AN70" s="57">
        <f>[20]January_2019!X7</f>
        <v>0</v>
      </c>
      <c r="AO70" s="57">
        <f>[20]January_2019!Y7</f>
        <v>0</v>
      </c>
      <c r="AP70" s="57">
        <f>[20]January_2019!Z7</f>
        <v>0</v>
      </c>
      <c r="AQ70" s="57">
        <f>[20]January_2019!AA7</f>
        <v>0</v>
      </c>
      <c r="AR70" s="57">
        <f>[20]January_2019!AB7</f>
        <v>0</v>
      </c>
      <c r="AS70" s="57">
        <f>[20]January_2019!AC7</f>
        <v>0</v>
      </c>
      <c r="AT70" s="57">
        <f>[20]January_2019!AD7</f>
        <v>0</v>
      </c>
      <c r="AU70" s="57">
        <f>[20]January_2019!AE7</f>
        <v>0</v>
      </c>
      <c r="AV70" s="57">
        <f>[20]January_2019!AF7</f>
        <v>0</v>
      </c>
      <c r="AW70" s="57">
        <f>[20]January_2019!AG7</f>
        <v>0</v>
      </c>
      <c r="AX70" s="277">
        <f>[20]January_2019!AH7</f>
        <v>0</v>
      </c>
      <c r="AY70" s="277"/>
      <c r="AZ70" s="277"/>
      <c r="BA70" s="277"/>
      <c r="BB70" s="277"/>
      <c r="BC70" s="277"/>
      <c r="BD70" s="277"/>
      <c r="BE70" s="277"/>
    </row>
    <row r="71" spans="2:57" s="54" customFormat="1" ht="16.5" customHeight="1">
      <c r="B71" s="423"/>
      <c r="C71" s="283"/>
      <c r="D71" s="377"/>
      <c r="E71" s="378"/>
      <c r="F71" s="379"/>
      <c r="G71" s="303"/>
      <c r="H71" s="320"/>
      <c r="I71" s="322"/>
      <c r="J71" s="281"/>
      <c r="K71" s="286"/>
      <c r="L71" s="314"/>
      <c r="M71" s="417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416"/>
      <c r="AC71" s="416"/>
      <c r="AD71" s="416"/>
      <c r="AE71" s="416"/>
      <c r="AF71" s="416"/>
      <c r="AG71" s="416"/>
      <c r="AH71" s="416"/>
      <c r="AI71" s="416"/>
      <c r="AJ71" s="416"/>
      <c r="AK71" s="416"/>
      <c r="AL71" s="416"/>
      <c r="AM71" s="416"/>
      <c r="AN71" s="416"/>
      <c r="AO71" s="416"/>
      <c r="AP71" s="416"/>
      <c r="AQ71" s="416"/>
      <c r="AR71" s="416"/>
      <c r="AS71" s="416"/>
      <c r="AT71" s="416"/>
      <c r="AU71" s="416"/>
      <c r="AV71" s="416"/>
      <c r="AW71" s="416"/>
    </row>
    <row r="72" spans="2:57" ht="18" customHeight="1" thickBot="1">
      <c r="B72" s="59"/>
      <c r="C72" s="30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6"/>
      <c r="P72" s="60"/>
    </row>
    <row r="73" spans="2:57" ht="14.4" thickBot="1">
      <c r="B73" s="533" t="s">
        <v>55</v>
      </c>
      <c r="C73" s="534"/>
      <c r="D73" s="534"/>
      <c r="E73" s="534"/>
      <c r="F73" s="535"/>
      <c r="G73" s="533" t="s">
        <v>56</v>
      </c>
      <c r="H73" s="534"/>
      <c r="I73" s="534"/>
      <c r="J73" s="535"/>
      <c r="K73" s="533" t="s">
        <v>51</v>
      </c>
      <c r="L73" s="534"/>
      <c r="M73" s="534"/>
      <c r="N73" s="536"/>
      <c r="O73" s="56"/>
      <c r="P73" s="50"/>
    </row>
    <row r="74" spans="2:57">
      <c r="B74" s="61" t="s">
        <v>17</v>
      </c>
      <c r="C74" s="62" t="s">
        <v>36</v>
      </c>
      <c r="D74" s="62" t="s">
        <v>37</v>
      </c>
      <c r="E74" s="62" t="s">
        <v>38</v>
      </c>
      <c r="F74" s="63" t="s">
        <v>39</v>
      </c>
      <c r="G74" s="62" t="s">
        <v>36</v>
      </c>
      <c r="H74" s="62" t="s">
        <v>37</v>
      </c>
      <c r="I74" s="62" t="s">
        <v>38</v>
      </c>
      <c r="J74" s="63" t="s">
        <v>39</v>
      </c>
      <c r="K74" s="62" t="s">
        <v>36</v>
      </c>
      <c r="L74" s="62" t="s">
        <v>37</v>
      </c>
      <c r="M74" s="62" t="s">
        <v>38</v>
      </c>
      <c r="N74" s="63" t="s">
        <v>39</v>
      </c>
      <c r="O74" s="56"/>
      <c r="P74" s="64"/>
    </row>
    <row r="75" spans="2:57">
      <c r="B75" s="29" t="s">
        <v>6</v>
      </c>
      <c r="C75" s="65"/>
      <c r="D75" s="76" t="e">
        <v>#DIV/0!</v>
      </c>
      <c r="E75" s="76">
        <v>6.6706827139758538</v>
      </c>
      <c r="F75" s="66">
        <v>4.8</v>
      </c>
      <c r="G75" s="65"/>
      <c r="H75" s="76" t="e">
        <v>#DIV/0!</v>
      </c>
      <c r="I75" s="76">
        <v>6.7579298202185552</v>
      </c>
      <c r="J75" s="66">
        <v>4.8</v>
      </c>
      <c r="K75" s="67"/>
      <c r="L75" s="194"/>
      <c r="M75" s="194">
        <v>0.7605086518537888</v>
      </c>
      <c r="N75" s="68">
        <v>1</v>
      </c>
      <c r="O75" s="56"/>
      <c r="P75" s="69"/>
    </row>
    <row r="76" spans="2:57">
      <c r="B76" s="33" t="s">
        <v>9</v>
      </c>
      <c r="C76" s="65">
        <f>L68</f>
        <v>4.2433697347893986</v>
      </c>
      <c r="D76" s="76">
        <v>5.0753699350020502</v>
      </c>
      <c r="E76" s="76">
        <v>6.255646602287035</v>
      </c>
      <c r="F76" s="66">
        <v>4.8</v>
      </c>
      <c r="G76" s="65">
        <f>[34]June_2025!$F$21</f>
        <v>3.2238478728338467</v>
      </c>
      <c r="H76" s="76">
        <v>4.9987560285734673</v>
      </c>
      <c r="I76" s="76">
        <v>6.2071014472654031</v>
      </c>
      <c r="J76" s="66">
        <v>4.8</v>
      </c>
      <c r="K76" s="67">
        <f>K68</f>
        <v>0.35894736842105263</v>
      </c>
      <c r="L76" s="194">
        <v>0.80280701754385964</v>
      </c>
      <c r="M76" s="194">
        <v>0.75323691521525193</v>
      </c>
      <c r="N76" s="68">
        <v>1</v>
      </c>
      <c r="P76" s="69"/>
    </row>
    <row r="77" spans="2:57">
      <c r="B77" s="34" t="s">
        <v>40</v>
      </c>
      <c r="C77" s="65"/>
      <c r="D77" s="76"/>
      <c r="E77" s="76">
        <v>11.904402895054256</v>
      </c>
      <c r="F77" s="66">
        <v>5.5</v>
      </c>
      <c r="G77" s="65"/>
      <c r="H77" s="76"/>
      <c r="I77" s="76">
        <v>13.27623252148428</v>
      </c>
      <c r="J77" s="66">
        <v>5.5</v>
      </c>
      <c r="K77" s="67"/>
      <c r="L77" s="194"/>
      <c r="M77" s="194">
        <v>0.54554653679653675</v>
      </c>
      <c r="N77" s="68">
        <v>1</v>
      </c>
      <c r="P77" s="69"/>
    </row>
    <row r="78" spans="2:57">
      <c r="B78" s="22" t="s">
        <v>33</v>
      </c>
      <c r="C78" s="65"/>
      <c r="D78" s="76">
        <v>3.7185929648241238</v>
      </c>
      <c r="E78" s="76">
        <v>4.2675953841355607</v>
      </c>
      <c r="F78" s="66">
        <v>3.3</v>
      </c>
      <c r="G78" s="65"/>
      <c r="H78" s="76">
        <v>3.5401443549560527</v>
      </c>
      <c r="I78" s="76">
        <v>4.1118286580052033</v>
      </c>
      <c r="J78" s="66">
        <v>3.3</v>
      </c>
      <c r="K78" s="67"/>
      <c r="L78" s="194">
        <v>0.33614035087719296</v>
      </c>
      <c r="M78" s="194">
        <v>0.78836257309941515</v>
      </c>
      <c r="N78" s="68">
        <v>1</v>
      </c>
      <c r="P78" s="69"/>
    </row>
    <row r="79" spans="2:57">
      <c r="B79" s="35" t="s">
        <v>29</v>
      </c>
      <c r="C79" s="65"/>
      <c r="D79" s="76"/>
      <c r="E79" s="76"/>
      <c r="F79" s="66">
        <v>3.3</v>
      </c>
      <c r="G79" s="282"/>
      <c r="H79" s="76"/>
      <c r="I79" s="76"/>
      <c r="J79" s="66">
        <v>3</v>
      </c>
      <c r="L79" s="194"/>
      <c r="M79" s="194"/>
      <c r="N79" s="68">
        <v>1</v>
      </c>
      <c r="P79" s="69"/>
    </row>
    <row r="80" spans="2:57">
      <c r="B80" s="36" t="s">
        <v>15</v>
      </c>
      <c r="C80" s="282"/>
      <c r="D80" s="76"/>
      <c r="E80" s="76">
        <v>7.8262258425171876</v>
      </c>
      <c r="F80" s="70">
        <f>[21]May_2022!$M$43</f>
        <v>3.4878406700073312</v>
      </c>
      <c r="G80" s="282"/>
      <c r="H80" s="76"/>
      <c r="I80" s="76">
        <v>9.4300678869947632</v>
      </c>
      <c r="J80" s="66">
        <v>5.5</v>
      </c>
      <c r="K80" s="67"/>
      <c r="L80" s="194"/>
      <c r="M80" s="194">
        <v>0.674970760233918</v>
      </c>
      <c r="N80" s="68">
        <v>1</v>
      </c>
      <c r="P80" s="69"/>
    </row>
    <row r="81" spans="2:16">
      <c r="B81" s="37" t="s">
        <v>16</v>
      </c>
      <c r="C81" s="65"/>
      <c r="D81" s="76"/>
      <c r="E81" s="76">
        <v>2.6202625996215709</v>
      </c>
      <c r="F81" s="66">
        <v>3.3</v>
      </c>
      <c r="G81" s="282"/>
      <c r="H81" s="76"/>
      <c r="I81" s="76">
        <v>4.462228479698962</v>
      </c>
      <c r="J81" s="66">
        <v>3.3</v>
      </c>
      <c r="K81" s="67"/>
      <c r="L81" s="194"/>
      <c r="M81" s="194">
        <v>0.83594855305466242</v>
      </c>
      <c r="N81" s="71">
        <v>1</v>
      </c>
      <c r="P81" s="69"/>
    </row>
    <row r="82" spans="2:16" ht="14.4" thickBot="1">
      <c r="B82" s="38" t="s">
        <v>127</v>
      </c>
      <c r="C82" s="65"/>
      <c r="D82" s="76"/>
      <c r="E82" s="76"/>
      <c r="F82" s="66">
        <v>7.5</v>
      </c>
      <c r="G82" s="282"/>
      <c r="H82" s="76"/>
      <c r="I82" s="76"/>
      <c r="J82" s="66">
        <v>7.5</v>
      </c>
      <c r="K82" s="67"/>
      <c r="L82" s="194"/>
      <c r="M82" s="194"/>
      <c r="N82" s="71">
        <v>1</v>
      </c>
      <c r="P82" s="69"/>
    </row>
    <row r="83" spans="2:16" ht="14.4" thickBot="1">
      <c r="B83" s="415" t="s">
        <v>161</v>
      </c>
      <c r="C83" s="65"/>
      <c r="D83" s="76"/>
      <c r="E83" s="76">
        <v>4.8792508624938291</v>
      </c>
      <c r="F83" s="66">
        <v>4.8</v>
      </c>
      <c r="G83" s="282"/>
      <c r="H83" s="76"/>
      <c r="I83" s="76">
        <v>6.2003723782925313</v>
      </c>
      <c r="J83" s="66">
        <v>4.8</v>
      </c>
      <c r="K83" s="67"/>
      <c r="L83" s="194"/>
      <c r="M83" s="194">
        <v>0.33859649122807017</v>
      </c>
      <c r="N83" s="71">
        <v>1</v>
      </c>
      <c r="O83" s="74"/>
      <c r="P83" s="75"/>
    </row>
    <row r="84" spans="2:16">
      <c r="D84" s="76">
        <v>4.9112569900315917</v>
      </c>
      <c r="E84" s="76">
        <v>6.6218792396711761</v>
      </c>
      <c r="F84" s="341">
        <v>5.5</v>
      </c>
      <c r="H84" s="76">
        <v>4.7608620982938463</v>
      </c>
      <c r="I84" s="76">
        <v>7.005868028772916</v>
      </c>
      <c r="J84" s="341">
        <v>5.5</v>
      </c>
      <c r="K84" s="67"/>
      <c r="L84" s="194">
        <v>0.56947368421052624</v>
      </c>
      <c r="M84" s="194">
        <v>0.72896668115312169</v>
      </c>
      <c r="N84" s="386">
        <v>1</v>
      </c>
    </row>
    <row r="88" spans="2:16">
      <c r="F88" s="315"/>
    </row>
  </sheetData>
  <mergeCells count="51">
    <mergeCell ref="M66:M67"/>
    <mergeCell ref="B73:F73"/>
    <mergeCell ref="G73:J73"/>
    <mergeCell ref="K73:N73"/>
    <mergeCell ref="B51:B60"/>
    <mergeCell ref="K66:K67"/>
    <mergeCell ref="L66:L67"/>
    <mergeCell ref="L52:N52"/>
    <mergeCell ref="D55:E56"/>
    <mergeCell ref="D57:E58"/>
    <mergeCell ref="D59:E60"/>
    <mergeCell ref="B39:B50"/>
    <mergeCell ref="G66:G67"/>
    <mergeCell ref="H66:H67"/>
    <mergeCell ref="I66:I67"/>
    <mergeCell ref="J66:J67"/>
    <mergeCell ref="D61:E61"/>
    <mergeCell ref="B66:B67"/>
    <mergeCell ref="C66:C67"/>
    <mergeCell ref="D66:D67"/>
    <mergeCell ref="E66:E67"/>
    <mergeCell ref="F66:F67"/>
    <mergeCell ref="D47:E48"/>
    <mergeCell ref="D49:E50"/>
    <mergeCell ref="D51:E52"/>
    <mergeCell ref="J51:K51"/>
    <mergeCell ref="D53:E54"/>
    <mergeCell ref="D45:E46"/>
    <mergeCell ref="I8:I9"/>
    <mergeCell ref="J8:J9"/>
    <mergeCell ref="K8:K9"/>
    <mergeCell ref="L8:L9"/>
    <mergeCell ref="I37:N37"/>
    <mergeCell ref="D38:E38"/>
    <mergeCell ref="D39:E40"/>
    <mergeCell ref="D41:E42"/>
    <mergeCell ref="D43:E44"/>
    <mergeCell ref="O8:O9"/>
    <mergeCell ref="P8:P9"/>
    <mergeCell ref="C5:D5"/>
    <mergeCell ref="B8:B9"/>
    <mergeCell ref="C8:C9"/>
    <mergeCell ref="D8:D9"/>
    <mergeCell ref="G8:G9"/>
    <mergeCell ref="H8:H9"/>
    <mergeCell ref="M4:N4"/>
    <mergeCell ref="S1:T1"/>
    <mergeCell ref="U1:V1"/>
    <mergeCell ref="W1:X1"/>
    <mergeCell ref="Y1:Z1"/>
    <mergeCell ref="B2:O2"/>
  </mergeCells>
  <conditionalFormatting sqref="B61:B62">
    <cfRule type="cellIs" dxfId="2313" priority="96" operator="notBetween">
      <formula>#REF!</formula>
      <formula>#REF!</formula>
    </cfRule>
  </conditionalFormatting>
  <conditionalFormatting sqref="C65">
    <cfRule type="cellIs" dxfId="2312" priority="128" stopIfTrue="1" operator="greaterThan">
      <formula>100</formula>
    </cfRule>
    <cfRule type="cellIs" dxfId="2311" priority="127" stopIfTrue="1" operator="lessThan">
      <formula>96</formula>
    </cfRule>
  </conditionalFormatting>
  <conditionalFormatting sqref="C75:C76">
    <cfRule type="cellIs" dxfId="2310" priority="74" stopIfTrue="1" operator="lessThanOrEqual">
      <formula>0</formula>
    </cfRule>
  </conditionalFormatting>
  <conditionalFormatting sqref="C75:C79">
    <cfRule type="cellIs" dxfId="2309" priority="73" stopIfTrue="1" operator="greaterThan">
      <formula>$F75</formula>
    </cfRule>
  </conditionalFormatting>
  <conditionalFormatting sqref="C76">
    <cfRule type="cellIs" dxfId="2308" priority="131" stopIfTrue="1" operator="greaterThan">
      <formula>$F75</formula>
    </cfRule>
  </conditionalFormatting>
  <conditionalFormatting sqref="C77:C80">
    <cfRule type="cellIs" dxfId="2307" priority="80" stopIfTrue="1" operator="lessThanOrEqual">
      <formula>0</formula>
    </cfRule>
  </conditionalFormatting>
  <conditionalFormatting sqref="C80">
    <cfRule type="cellIs" dxfId="2306" priority="79" stopIfTrue="1" operator="greaterThan">
      <formula>$J80</formula>
    </cfRule>
  </conditionalFormatting>
  <conditionalFormatting sqref="C86:C90">
    <cfRule type="cellIs" dxfId="2305" priority="119" stopIfTrue="1" operator="lessThanOrEqual">
      <formula>0</formula>
    </cfRule>
  </conditionalFormatting>
  <conditionalFormatting sqref="C87:C90">
    <cfRule type="cellIs" dxfId="2304" priority="118" stopIfTrue="1" operator="greaterThan">
      <formula>$F$86</formula>
    </cfRule>
  </conditionalFormatting>
  <conditionalFormatting sqref="C92">
    <cfRule type="cellIs" dxfId="2303" priority="120" stopIfTrue="1" operator="greaterThan">
      <formula>$F$86</formula>
    </cfRule>
    <cfRule type="cellIs" dxfId="2302" priority="121" stopIfTrue="1" operator="lessThanOrEqual">
      <formula>0</formula>
    </cfRule>
  </conditionalFormatting>
  <conditionalFormatting sqref="C86:D86 D88:D94">
    <cfRule type="cellIs" dxfId="2301" priority="113" stopIfTrue="1" operator="greaterThan">
      <formula>4.5</formula>
    </cfRule>
  </conditionalFormatting>
  <conditionalFormatting sqref="D61:D62">
    <cfRule type="cellIs" dxfId="2300" priority="97" operator="notBetween">
      <formula>#REF!</formula>
      <formula>#REF!</formula>
    </cfRule>
  </conditionalFormatting>
  <conditionalFormatting sqref="D75:D82">
    <cfRule type="cellIs" dxfId="2299" priority="90" stopIfTrue="1" operator="lessThanOrEqual">
      <formula>0</formula>
    </cfRule>
  </conditionalFormatting>
  <conditionalFormatting sqref="D83">
    <cfRule type="cellIs" dxfId="2298" priority="89" stopIfTrue="1" operator="lessThanOrEqual">
      <formula>0</formula>
    </cfRule>
  </conditionalFormatting>
  <conditionalFormatting sqref="D86 D88:D94">
    <cfRule type="cellIs" dxfId="2297" priority="114" stopIfTrue="1" operator="lessThanOrEqual">
      <formula>0</formula>
    </cfRule>
  </conditionalFormatting>
  <conditionalFormatting sqref="D87">
    <cfRule type="cellIs" dxfId="2296" priority="106" stopIfTrue="1" operator="lessThanOrEqual">
      <formula>0</formula>
    </cfRule>
    <cfRule type="cellIs" dxfId="2295" priority="105" stopIfTrue="1" operator="greaterThan">
      <formula>$F$86</formula>
    </cfRule>
  </conditionalFormatting>
  <conditionalFormatting sqref="D75:E84">
    <cfRule type="cellIs" dxfId="2294" priority="70" stopIfTrue="1" operator="greaterThan">
      <formula>$F75</formula>
    </cfRule>
  </conditionalFormatting>
  <conditionalFormatting sqref="D84:E84">
    <cfRule type="cellIs" dxfId="2293" priority="71" stopIfTrue="1" operator="lessThanOrEqual">
      <formula>0</formula>
    </cfRule>
  </conditionalFormatting>
  <conditionalFormatting sqref="E10:E36">
    <cfRule type="cellIs" dxfId="2292" priority="4" operator="lessThan">
      <formula>48</formula>
    </cfRule>
  </conditionalFormatting>
  <conditionalFormatting sqref="E64 E65:F65">
    <cfRule type="cellIs" dxfId="2291" priority="110" stopIfTrue="1" operator="greaterThan">
      <formula>100</formula>
    </cfRule>
  </conditionalFormatting>
  <conditionalFormatting sqref="E65">
    <cfRule type="cellIs" dxfId="2290" priority="108" stopIfTrue="1" operator="greaterThan">
      <formula>100</formula>
    </cfRule>
    <cfRule type="cellIs" dxfId="2289" priority="107" stopIfTrue="1" operator="lessThan">
      <formula>96.8</formula>
    </cfRule>
  </conditionalFormatting>
  <conditionalFormatting sqref="E75:E83">
    <cfRule type="cellIs" dxfId="2288" priority="84" stopIfTrue="1" operator="lessThanOrEqual">
      <formula>0</formula>
    </cfRule>
  </conditionalFormatting>
  <conditionalFormatting sqref="E86:E94">
    <cfRule type="cellIs" dxfId="2287" priority="99" stopIfTrue="1" operator="greaterThan">
      <formula>4.5</formula>
    </cfRule>
    <cfRule type="cellIs" dxfId="2286" priority="100" stopIfTrue="1" operator="lessThanOrEqual">
      <formula>0</formula>
    </cfRule>
  </conditionalFormatting>
  <conditionalFormatting sqref="E65:F65 E64">
    <cfRule type="cellIs" dxfId="2285" priority="109" stopIfTrue="1" operator="lessThan">
      <formula>96.5</formula>
    </cfRule>
  </conditionalFormatting>
  <conditionalFormatting sqref="F10:F36">
    <cfRule type="cellIs" dxfId="2284" priority="5" operator="greaterThan">
      <formula>60</formula>
    </cfRule>
  </conditionalFormatting>
  <conditionalFormatting sqref="F65">
    <cfRule type="cellIs" dxfId="2283" priority="126" stopIfTrue="1" operator="greaterThan">
      <formula>100</formula>
    </cfRule>
    <cfRule type="cellIs" dxfId="2282" priority="125" stopIfTrue="1" operator="lessThan">
      <formula>96.8</formula>
    </cfRule>
  </conditionalFormatting>
  <conditionalFormatting sqref="F84">
    <cfRule type="cellIs" dxfId="2281" priority="86" stopIfTrue="1" operator="lessThanOrEqual">
      <formula>0</formula>
    </cfRule>
    <cfRule type="cellIs" dxfId="2280" priority="85" stopIfTrue="1" operator="greaterThan">
      <formula>$F84</formula>
    </cfRule>
  </conditionalFormatting>
  <conditionalFormatting sqref="G10:G23">
    <cfRule type="expression" dxfId="2279" priority="16">
      <formula>IF(+(IF(G10&lt;S10,0,IF(G10&gt;T10,0,1)))=0,1)</formula>
    </cfRule>
  </conditionalFormatting>
  <conditionalFormatting sqref="G75:G76 C81:C83">
    <cfRule type="cellIs" dxfId="2278" priority="92" stopIfTrue="1" operator="lessThanOrEqual">
      <formula>0</formula>
    </cfRule>
    <cfRule type="cellIs" dxfId="2277" priority="91" stopIfTrue="1" operator="greaterThan">
      <formula>$F75</formula>
    </cfRule>
  </conditionalFormatting>
  <conditionalFormatting sqref="G75:G76">
    <cfRule type="cellIs" dxfId="2276" priority="76" stopIfTrue="1" operator="lessThanOrEqual">
      <formula>0</formula>
    </cfRule>
    <cfRule type="cellIs" dxfId="2275" priority="75" stopIfTrue="1" operator="greaterThan">
      <formula>$F75</formula>
    </cfRule>
  </conditionalFormatting>
  <conditionalFormatting sqref="G77">
    <cfRule type="cellIs" dxfId="2274" priority="129" stopIfTrue="1" operator="greaterThan">
      <formula>$F76</formula>
    </cfRule>
    <cfRule type="cellIs" dxfId="2273" priority="130" stopIfTrue="1" operator="lessThanOrEqual">
      <formula>0</formula>
    </cfRule>
  </conditionalFormatting>
  <conditionalFormatting sqref="G78">
    <cfRule type="cellIs" dxfId="2272" priority="88" stopIfTrue="1" operator="lessThanOrEqual">
      <formula>0</formula>
    </cfRule>
    <cfRule type="cellIs" dxfId="2271" priority="87" stopIfTrue="1" operator="greaterThan">
      <formula>$F78</formula>
    </cfRule>
  </conditionalFormatting>
  <conditionalFormatting sqref="G79:G83">
    <cfRule type="cellIs" dxfId="2270" priority="93" stopIfTrue="1" operator="greaterThan">
      <formula>$J79</formula>
    </cfRule>
    <cfRule type="cellIs" dxfId="2269" priority="94" stopIfTrue="1" operator="lessThanOrEqual">
      <formula>0</formula>
    </cfRule>
  </conditionalFormatting>
  <conditionalFormatting sqref="G88:G93 C91 C93">
    <cfRule type="cellIs" dxfId="2268" priority="123" stopIfTrue="1" operator="lessThanOrEqual">
      <formula>0</formula>
    </cfRule>
    <cfRule type="cellIs" dxfId="2267" priority="122" stopIfTrue="1" operator="greaterThan">
      <formula>4.5</formula>
    </cfRule>
  </conditionalFormatting>
  <conditionalFormatting sqref="G24:H36">
    <cfRule type="expression" dxfId="2266" priority="1">
      <formula>IF(+(IF(G24&lt;#REF!,0,IF(G24&gt;#REF!,0,1)))=0,1)</formula>
    </cfRule>
  </conditionalFormatting>
  <conditionalFormatting sqref="G87:H87">
    <cfRule type="cellIs" dxfId="2265" priority="104" stopIfTrue="1" operator="lessThanOrEqual">
      <formula>0</formula>
    </cfRule>
    <cfRule type="cellIs" dxfId="2264" priority="103" stopIfTrue="1" operator="greaterThan">
      <formula>$F$86</formula>
    </cfRule>
  </conditionalFormatting>
  <conditionalFormatting sqref="H10:H23">
    <cfRule type="expression" dxfId="2263" priority="39">
      <formula>IF(+(IF(H10&lt;#REF!,0,IF(H10&gt;#REF!,0,1)))=0,1)</formula>
    </cfRule>
  </conditionalFormatting>
  <conditionalFormatting sqref="H50:H64">
    <cfRule type="cellIs" dxfId="2262" priority="101" stopIfTrue="1" operator="greaterThan">
      <formula>0</formula>
    </cfRule>
  </conditionalFormatting>
  <conditionalFormatting sqref="H68">
    <cfRule type="cellIs" dxfId="2261" priority="38" stopIfTrue="1" operator="lessThanOrEqual">
      <formula>0</formula>
    </cfRule>
    <cfRule type="cellIs" dxfId="2260" priority="27" stopIfTrue="1" operator="greaterThan">
      <formula>$F$44</formula>
    </cfRule>
    <cfRule type="cellIs" dxfId="2259" priority="26" stopIfTrue="1" operator="lessThanOrEqual">
      <formula>0</formula>
    </cfRule>
    <cfRule type="cellIs" dxfId="2258" priority="35" stopIfTrue="1" operator="greaterThan">
      <formula>$F$47</formula>
    </cfRule>
    <cfRule type="cellIs" dxfId="2257" priority="36" stopIfTrue="1" operator="lessThanOrEqual">
      <formula>0</formula>
    </cfRule>
    <cfRule type="cellIs" dxfId="2256" priority="37" stopIfTrue="1" operator="greaterThan">
      <formula>$F$45</formula>
    </cfRule>
  </conditionalFormatting>
  <conditionalFormatting sqref="H69:H71">
    <cfRule type="cellIs" dxfId="2255" priority="53" stopIfTrue="1" operator="lessThanOrEqual">
      <formula>0</formula>
    </cfRule>
    <cfRule type="cellIs" dxfId="2254" priority="54" stopIfTrue="1" operator="greaterThan">
      <formula>$F$50</formula>
    </cfRule>
    <cfRule type="cellIs" dxfId="2253" priority="55" stopIfTrue="1" operator="lessThanOrEqual">
      <formula>0</formula>
    </cfRule>
    <cfRule type="cellIs" dxfId="2252" priority="44" stopIfTrue="1" operator="greaterThan">
      <formula>$F$49</formula>
    </cfRule>
    <cfRule type="cellIs" dxfId="2251" priority="43" stopIfTrue="1" operator="lessThanOrEqual">
      <formula>0</formula>
    </cfRule>
    <cfRule type="cellIs" dxfId="2250" priority="52" stopIfTrue="1" operator="greaterThan">
      <formula>$F$52</formula>
    </cfRule>
  </conditionalFormatting>
  <conditionalFormatting sqref="H75:H82">
    <cfRule type="cellIs" dxfId="2249" priority="78" stopIfTrue="1" operator="lessThanOrEqual">
      <formula>0</formula>
    </cfRule>
    <cfRule type="cellIs" dxfId="2248" priority="77" stopIfTrue="1" operator="greaterThan">
      <formula>$J75</formula>
    </cfRule>
  </conditionalFormatting>
  <conditionalFormatting sqref="H83">
    <cfRule type="cellIs" dxfId="2247" priority="81" operator="greaterThan">
      <formula>5.3</formula>
    </cfRule>
  </conditionalFormatting>
  <conditionalFormatting sqref="H86 H88:H94">
    <cfRule type="cellIs" dxfId="2246" priority="116" stopIfTrue="1" operator="lessThanOrEqual">
      <formula>0</formula>
    </cfRule>
    <cfRule type="cellIs" dxfId="2245" priority="115" stopIfTrue="1" operator="greaterThan">
      <formula>4.5</formula>
    </cfRule>
  </conditionalFormatting>
  <conditionalFormatting sqref="H68:I68">
    <cfRule type="cellIs" dxfId="2244" priority="28" stopIfTrue="1" operator="lessThanOrEqual">
      <formula>0</formula>
    </cfRule>
    <cfRule type="cellIs" dxfId="2243" priority="25" stopIfTrue="1" operator="greaterThan">
      <formula>$F$46</formula>
    </cfRule>
  </conditionalFormatting>
  <conditionalFormatting sqref="H69:I71">
    <cfRule type="cellIs" dxfId="2242" priority="45" stopIfTrue="1" operator="lessThanOrEqual">
      <formula>0</formula>
    </cfRule>
    <cfRule type="cellIs" dxfId="2241" priority="42" stopIfTrue="1" operator="greaterThan">
      <formula>$F$51</formula>
    </cfRule>
  </conditionalFormatting>
  <conditionalFormatting sqref="H84:I84">
    <cfRule type="cellIs" dxfId="2240" priority="69" stopIfTrue="1" operator="lessThanOrEqual">
      <formula>0</formula>
    </cfRule>
    <cfRule type="cellIs" dxfId="2239" priority="68" stopIfTrue="1" operator="greaterThan">
      <formula>$J84</formula>
    </cfRule>
  </conditionalFormatting>
  <conditionalFormatting sqref="I68">
    <cfRule type="cellIs" dxfId="2238" priority="30" stopIfTrue="1" operator="lessThanOrEqual">
      <formula>0</formula>
    </cfRule>
    <cfRule type="cellIs" dxfId="2237" priority="31" stopIfTrue="1" operator="greaterThan">
      <formula>$F$46</formula>
    </cfRule>
    <cfRule type="cellIs" dxfId="2236" priority="32" stopIfTrue="1" operator="lessThanOrEqual">
      <formula>0</formula>
    </cfRule>
    <cfRule type="cellIs" dxfId="2235" priority="34" stopIfTrue="1" operator="lessThanOrEqual">
      <formula>0</formula>
    </cfRule>
    <cfRule type="cellIs" dxfId="2234" priority="33" stopIfTrue="1" operator="greaterThan">
      <formula>$F$44</formula>
    </cfRule>
    <cfRule type="cellIs" dxfId="2233" priority="29" stopIfTrue="1" operator="greaterThan">
      <formula>$F$44</formula>
    </cfRule>
  </conditionalFormatting>
  <conditionalFormatting sqref="I69:I71">
    <cfRule type="cellIs" dxfId="2232" priority="46" stopIfTrue="1" operator="greaterThan">
      <formula>$F$49</formula>
    </cfRule>
    <cfRule type="cellIs" dxfId="2231" priority="51" stopIfTrue="1" operator="lessThanOrEqual">
      <formula>0</formula>
    </cfRule>
    <cfRule type="cellIs" dxfId="2230" priority="47" stopIfTrue="1" operator="lessThanOrEqual">
      <formula>0</formula>
    </cfRule>
    <cfRule type="cellIs" dxfId="2229" priority="50" stopIfTrue="1" operator="greaterThan">
      <formula>$F$49</formula>
    </cfRule>
    <cfRule type="cellIs" dxfId="2228" priority="49" stopIfTrue="1" operator="lessThanOrEqual">
      <formula>0</formula>
    </cfRule>
    <cfRule type="cellIs" dxfId="2227" priority="48" stopIfTrue="1" operator="greaterThan">
      <formula>$F$51</formula>
    </cfRule>
  </conditionalFormatting>
  <conditionalFormatting sqref="I75:I83">
    <cfRule type="cellIs" dxfId="2226" priority="83" stopIfTrue="1" operator="lessThanOrEqual">
      <formula>0</formula>
    </cfRule>
    <cfRule type="cellIs" dxfId="2225" priority="82" stopIfTrue="1" operator="greaterThan">
      <formula>$J75</formula>
    </cfRule>
  </conditionalFormatting>
  <conditionalFormatting sqref="I86:I94">
    <cfRule type="cellIs" dxfId="2224" priority="112" stopIfTrue="1" operator="lessThanOrEqual">
      <formula>0</formula>
    </cfRule>
    <cfRule type="cellIs" dxfId="2223" priority="111" stopIfTrue="1" operator="greaterThan">
      <formula>4.5</formula>
    </cfRule>
  </conditionalFormatting>
  <conditionalFormatting sqref="I10:J36">
    <cfRule type="cellIs" dxfId="2222" priority="2" operator="lessThan">
      <formula>97.9</formula>
    </cfRule>
  </conditionalFormatting>
  <conditionalFormatting sqref="J39:J41">
    <cfRule type="cellIs" dxfId="2221" priority="59" stopIfTrue="1" operator="greaterThan">
      <formula>100</formula>
    </cfRule>
    <cfRule type="cellIs" dxfId="2220" priority="60" operator="lessThan">
      <formula>98</formula>
    </cfRule>
    <cfRule type="cellIs" dxfId="2219" priority="58" stopIfTrue="1" operator="lessThan">
      <formula>96.8</formula>
    </cfRule>
  </conditionalFormatting>
  <conditionalFormatting sqref="J39:J43">
    <cfRule type="cellIs" dxfId="2218" priority="57" operator="lessThan">
      <formula>97.4</formula>
    </cfRule>
  </conditionalFormatting>
  <conditionalFormatting sqref="J44">
    <cfRule type="cellIs" dxfId="2217" priority="61" operator="lessThan">
      <formula>98</formula>
    </cfRule>
  </conditionalFormatting>
  <conditionalFormatting sqref="J45:J47">
    <cfRule type="cellIs" dxfId="2216" priority="62" stopIfTrue="1" operator="lessThan">
      <formula>96.8</formula>
    </cfRule>
    <cfRule type="cellIs" dxfId="2215" priority="63" stopIfTrue="1" operator="greaterThan">
      <formula>100</formula>
    </cfRule>
  </conditionalFormatting>
  <conditionalFormatting sqref="J45:J48">
    <cfRule type="cellIs" dxfId="2214" priority="64" operator="lessThan">
      <formula>98</formula>
    </cfRule>
  </conditionalFormatting>
  <conditionalFormatting sqref="J84">
    <cfRule type="cellIs" dxfId="2213" priority="65" stopIfTrue="1" operator="greaterThan">
      <formula>$F84</formula>
    </cfRule>
    <cfRule type="cellIs" dxfId="2212" priority="66" stopIfTrue="1" operator="lessThanOrEqual">
      <formula>0</formula>
    </cfRule>
  </conditionalFormatting>
  <conditionalFormatting sqref="K10:K36">
    <cfRule type="cellIs" dxfId="2211" priority="10" operator="greaterThan">
      <formula>6.4</formula>
    </cfRule>
    <cfRule type="cellIs" dxfId="2210" priority="9" operator="lessThan">
      <formula>4</formula>
    </cfRule>
    <cfRule type="cellIs" dxfId="2209" priority="8" operator="greaterThan">
      <formula>6</formula>
    </cfRule>
  </conditionalFormatting>
  <conditionalFormatting sqref="K53:K57 K59:K62">
    <cfRule type="cellIs" dxfId="2208" priority="56" operator="notEqual">
      <formula>#REF!</formula>
    </cfRule>
  </conditionalFormatting>
  <conditionalFormatting sqref="K68:K71">
    <cfRule type="cellIs" dxfId="2207" priority="40" stopIfTrue="1" operator="lessThan">
      <formula>100%</formula>
    </cfRule>
  </conditionalFormatting>
  <conditionalFormatting sqref="K86:K91">
    <cfRule type="cellIs" dxfId="2206" priority="117" stopIfTrue="1" operator="lessThan">
      <formula>100%</formula>
    </cfRule>
  </conditionalFormatting>
  <conditionalFormatting sqref="K93:K94">
    <cfRule type="cellIs" dxfId="2205" priority="124" stopIfTrue="1" operator="lessThan">
      <formula>100%</formula>
    </cfRule>
  </conditionalFormatting>
  <conditionalFormatting sqref="K75:N78 L79:N79">
    <cfRule type="cellIs" dxfId="2204" priority="95" stopIfTrue="1" operator="lessThan">
      <formula>100%</formula>
    </cfRule>
  </conditionalFormatting>
  <conditionalFormatting sqref="K80:N84">
    <cfRule type="cellIs" dxfId="2203" priority="67" stopIfTrue="1" operator="lessThan">
      <formula>100%</formula>
    </cfRule>
  </conditionalFormatting>
  <conditionalFormatting sqref="L10:L36">
    <cfRule type="cellIs" dxfId="2202" priority="13" operator="greaterThan">
      <formula>65</formula>
    </cfRule>
    <cfRule type="cellIs" dxfId="2201" priority="12" operator="between">
      <formula>61</formula>
      <formula>65</formula>
    </cfRule>
  </conditionalFormatting>
  <conditionalFormatting sqref="L54:N54">
    <cfRule type="cellIs" dxfId="2200" priority="41" operator="notEqual">
      <formula>#REF!</formula>
    </cfRule>
  </conditionalFormatting>
  <conditionalFormatting sqref="L86:N94">
    <cfRule type="cellIs" dxfId="2199" priority="102" stopIfTrue="1" operator="lessThan">
      <formula>100%</formula>
    </cfRule>
  </conditionalFormatting>
  <conditionalFormatting sqref="M10:M36">
    <cfRule type="expression" dxfId="2198" priority="7">
      <formula>IF(+(IF(M10&lt;U10,0,IF(M10&gt;V10,0,1)))=0,1)</formula>
    </cfRule>
  </conditionalFormatting>
  <conditionalFormatting sqref="M39 L40:M50">
    <cfRule type="cellIs" dxfId="2197" priority="72" operator="lessThan">
      <formula>98</formula>
    </cfRule>
  </conditionalFormatting>
  <conditionalFormatting sqref="N10:N36">
    <cfRule type="expression" dxfId="2196" priority="3">
      <formula>IF(+(IF(N10&lt;W10,0,IF(N10&gt;X10,0,1)))=0,1)</formula>
    </cfRule>
  </conditionalFormatting>
  <conditionalFormatting sqref="P6">
    <cfRule type="cellIs" dxfId="2195" priority="98" operator="greaterThanOrEqual">
      <formula>19</formula>
    </cfRule>
  </conditionalFormatting>
  <dataValidations disablePrompts="1" count="1">
    <dataValidation type="list" allowBlank="1" showInputMessage="1" showErrorMessage="1" sqref="R8" xr:uid="{D32CF2D6-C47E-400C-8FBB-54B7EE65789C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8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3FFF-71E3-4F1D-BD6D-AC8E73CE4566}">
  <sheetPr>
    <pageSetUpPr fitToPage="1"/>
  </sheetPr>
  <dimension ref="A1:BE88"/>
  <sheetViews>
    <sheetView topLeftCell="A43" zoomScale="60" zoomScaleNormal="60" workbookViewId="0">
      <selection activeCell="J68" sqref="J68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21.33203125" style="275" customWidth="1"/>
    <col min="16" max="16" width="82.55468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73" t="s">
        <v>0</v>
      </c>
      <c r="T1" s="473"/>
      <c r="U1" s="473" t="s">
        <v>1</v>
      </c>
      <c r="V1" s="473"/>
      <c r="W1" s="473" t="s">
        <v>2</v>
      </c>
      <c r="X1" s="473"/>
      <c r="Y1" s="473" t="s">
        <v>124</v>
      </c>
      <c r="Z1" s="473"/>
    </row>
    <row r="2" spans="2:29" ht="14.4">
      <c r="B2" s="474" t="s">
        <v>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45813</v>
      </c>
      <c r="J4" s="398" t="s">
        <v>172</v>
      </c>
      <c r="K4" s="398"/>
      <c r="L4" s="11"/>
      <c r="M4" s="471" t="s">
        <v>8</v>
      </c>
      <c r="N4" s="472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68"/>
      <c r="D5" s="468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171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81" t="s">
        <v>17</v>
      </c>
      <c r="C8" s="483" t="s">
        <v>18</v>
      </c>
      <c r="D8" s="483" t="s">
        <v>19</v>
      </c>
      <c r="E8" s="356" t="s">
        <v>20</v>
      </c>
      <c r="F8" s="356" t="s">
        <v>21</v>
      </c>
      <c r="G8" s="483" t="s">
        <v>22</v>
      </c>
      <c r="H8" s="485" t="s">
        <v>144</v>
      </c>
      <c r="I8" s="483" t="s">
        <v>173</v>
      </c>
      <c r="J8" s="487" t="s">
        <v>23</v>
      </c>
      <c r="K8" s="489" t="s">
        <v>142</v>
      </c>
      <c r="L8" s="491" t="s">
        <v>24</v>
      </c>
      <c r="M8" s="359" t="s">
        <v>25</v>
      </c>
      <c r="N8" s="17" t="s">
        <v>26</v>
      </c>
      <c r="O8" s="543" t="s">
        <v>155</v>
      </c>
      <c r="P8" s="555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482"/>
      <c r="C9" s="484"/>
      <c r="D9" s="484"/>
      <c r="E9" s="357" t="s">
        <v>30</v>
      </c>
      <c r="F9" s="357" t="s">
        <v>31</v>
      </c>
      <c r="G9" s="484"/>
      <c r="H9" s="486"/>
      <c r="I9" s="484"/>
      <c r="J9" s="488"/>
      <c r="K9" s="490"/>
      <c r="L9" s="492"/>
      <c r="M9" s="20" t="s">
        <v>32</v>
      </c>
      <c r="N9" s="21" t="s">
        <v>41</v>
      </c>
      <c r="O9" s="556"/>
      <c r="P9" s="555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[24]Brewhouse!$A498</f>
        <v>CA392</v>
      </c>
      <c r="D10" s="279">
        <f>[24]Brewhouse!$AF498</f>
        <v>54.1</v>
      </c>
      <c r="E10" s="279">
        <f>[24]Brewhouse!$AI498</f>
        <v>51.3</v>
      </c>
      <c r="F10" s="278">
        <f>[24]Brewhouse!$V498</f>
        <v>70</v>
      </c>
      <c r="G10" s="279">
        <f>[24]Brewhouse!$AG498</f>
        <v>11.9</v>
      </c>
      <c r="H10" s="396">
        <v>11.8</v>
      </c>
      <c r="I10" s="368">
        <f>[24]Brewhouse!$AU498</f>
        <v>98.531405738757485</v>
      </c>
      <c r="J10" s="368">
        <f>[24]Brewhouse!$AV498</f>
        <v>101.46577014509344</v>
      </c>
      <c r="K10" s="281">
        <f>[24]Brewhouse!$Q498</f>
        <v>6.1180679785330847</v>
      </c>
      <c r="L10" s="276">
        <f>[24]Brewhouse!$P498</f>
        <v>60</v>
      </c>
      <c r="M10" s="397">
        <f>[24]Brewhouse!$U498-[24]Brewhouse!$T498</f>
        <v>0.11666666666666664</v>
      </c>
      <c r="N10" s="370">
        <f>[24]Brewhouse!$Z498</f>
        <v>0.25</v>
      </c>
      <c r="O10" s="371" t="str">
        <f>[24]Brewhouse!$AX498</f>
        <v>R. Regis</v>
      </c>
      <c r="P10" s="420"/>
      <c r="R10" s="277" t="str">
        <f t="shared" ref="R10:R38" si="0">B10</f>
        <v>CARIB</v>
      </c>
      <c r="S10" s="296">
        <f t="shared" ref="S10:S38" si="1">VLOOKUP($B10,$R$3:$X$9,2,FALSE)</f>
        <v>11.6</v>
      </c>
      <c r="T10" s="296">
        <f t="shared" ref="T10:T38" si="2">VLOOKUP($B10,$R$3:$X$9,3,FALSE)</f>
        <v>12</v>
      </c>
      <c r="U10" s="297">
        <f t="shared" ref="U10:U38" si="3">VLOOKUP($B10,$R$3:$X$9,4,FALSE)</f>
        <v>0</v>
      </c>
      <c r="V10" s="297">
        <f t="shared" ref="V10:V38" si="4">VLOOKUP($B10,$R$3:$X$9,5,FALSE)</f>
        <v>0.118055555555556</v>
      </c>
      <c r="W10" s="297">
        <f t="shared" ref="W10:W38" si="5">VLOOKUP($B10,$R$3:$X$9,6,FALSE)</f>
        <v>0.22569444444444445</v>
      </c>
      <c r="X10" s="297">
        <f t="shared" ref="X10:X38" si="6">VLOOKUP($B10,$R$3:$X$9,7,FALSE)</f>
        <v>0.2638888888888889</v>
      </c>
      <c r="Y10" s="297">
        <f t="shared" ref="Y10:Y38" si="7">VLOOKUP($B10,$R$3:$Z$9,8,FALSE)</f>
        <v>0</v>
      </c>
      <c r="Z10" s="296">
        <f t="shared" ref="Z10:Z38" si="8">VLOOKUP($B10,$R$3:$Z$9,9,FALSE)</f>
        <v>60</v>
      </c>
    </row>
    <row r="11" spans="2:29" ht="15.75" customHeight="1">
      <c r="B11" s="29" t="s">
        <v>6</v>
      </c>
      <c r="C11" s="366" t="str">
        <f>[24]Brewhouse!$A499</f>
        <v>CA393</v>
      </c>
      <c r="D11" s="279">
        <f>[24]Brewhouse!$AF499</f>
        <v>54.6</v>
      </c>
      <c r="E11" s="279">
        <f>[24]Brewhouse!$AI499</f>
        <v>52</v>
      </c>
      <c r="F11" s="278">
        <f>[24]Brewhouse!$V499</f>
        <v>71</v>
      </c>
      <c r="G11" s="279">
        <f>[24]Brewhouse!$AG499</f>
        <v>11.7</v>
      </c>
      <c r="H11" s="396">
        <v>11.8</v>
      </c>
      <c r="I11" s="368">
        <f>[24]Brewhouse!$AU499</f>
        <v>98.232112519036946</v>
      </c>
      <c r="J11" s="368">
        <f>[24]Brewhouse!$AV499</f>
        <v>101.15740512161997</v>
      </c>
      <c r="K11" s="392"/>
      <c r="L11" s="276">
        <f>[24]Brewhouse!$P499</f>
        <v>56</v>
      </c>
      <c r="M11" s="397">
        <f>[24]Brewhouse!$U499-[24]Brewhouse!$T499</f>
        <v>0.11319444444444443</v>
      </c>
      <c r="N11" s="370">
        <f>[24]Brewhouse!$Z499</f>
        <v>0.24374999999999997</v>
      </c>
      <c r="O11" s="371" t="str">
        <f>[24]Brewhouse!$AX499</f>
        <v>D. Gomez</v>
      </c>
      <c r="P11" s="420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[24]Brewhouse!$A500</f>
        <v>CA394</v>
      </c>
      <c r="D12" s="279">
        <f>[24]Brewhouse!$AF500</f>
        <v>53.8</v>
      </c>
      <c r="E12" s="279">
        <f>[24]Brewhouse!$AI500</f>
        <v>51.6</v>
      </c>
      <c r="F12" s="278">
        <f>[24]Brewhouse!$V500</f>
        <v>82</v>
      </c>
      <c r="G12" s="279">
        <f>[24]Brewhouse!$AG500</f>
        <v>11.7</v>
      </c>
      <c r="H12" s="396">
        <v>11.8</v>
      </c>
      <c r="I12" s="368">
        <f>[24]Brewhouse!$AU500</f>
        <v>97.476480884275105</v>
      </c>
      <c r="J12" s="368">
        <f>[24]Brewhouse!$AV500</f>
        <v>100.37927123606903</v>
      </c>
      <c r="K12" s="281">
        <f>[24]Brewhouse!$Q500</f>
        <v>5.3308128544423443</v>
      </c>
      <c r="L12" s="276">
        <f>[24]Brewhouse!$P500</f>
        <v>60</v>
      </c>
      <c r="M12" s="397">
        <f>[24]Brewhouse!$U500-[24]Brewhouse!$T500</f>
        <v>0.12361111111111112</v>
      </c>
      <c r="N12" s="370">
        <f>[24]Brewhouse!$Z500</f>
        <v>0.25138888888888888</v>
      </c>
      <c r="O12" s="371" t="str">
        <f>[24]Brewhouse!$AX500</f>
        <v>D. Gomez</v>
      </c>
      <c r="P12" s="420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[24]Brewhouse!$A501</f>
        <v>CA395</v>
      </c>
      <c r="D13" s="279">
        <f>[24]Brewhouse!$AF501</f>
        <v>53.1</v>
      </c>
      <c r="E13" s="279">
        <f>[24]Brewhouse!$AI501</f>
        <v>50.5</v>
      </c>
      <c r="F13" s="278">
        <f>[24]Brewhouse!$V501</f>
        <v>66</v>
      </c>
      <c r="G13" s="279">
        <f>[24]Brewhouse!$AG501</f>
        <v>11.8</v>
      </c>
      <c r="H13" s="396">
        <v>11.8</v>
      </c>
      <c r="I13" s="368">
        <f>[24]Brewhouse!$AU501</f>
        <v>95.636317134607069</v>
      </c>
      <c r="J13" s="368">
        <f>[24]Brewhouse!$AV501</f>
        <v>98.368043581237401</v>
      </c>
      <c r="K13" s="392"/>
      <c r="L13" s="276">
        <f>[24]Brewhouse!$P501</f>
        <v>61</v>
      </c>
      <c r="M13" s="397">
        <f>[24]Brewhouse!$U501-[24]Brewhouse!$T501</f>
        <v>0.11319444444444438</v>
      </c>
      <c r="N13" s="370">
        <f>[24]Brewhouse!$Z501</f>
        <v>0.24999999999999994</v>
      </c>
      <c r="O13" s="371" t="str">
        <f>[24]Brewhouse!$AX501</f>
        <v>D. Gomez</v>
      </c>
      <c r="P13" s="420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[24]Brewhouse!$A502</f>
        <v>CA396</v>
      </c>
      <c r="D14" s="279">
        <f>[24]Brewhouse!$AF502</f>
        <v>52.9</v>
      </c>
      <c r="E14" s="279">
        <f>[24]Brewhouse!$AI502</f>
        <v>50</v>
      </c>
      <c r="F14" s="278">
        <f>[24]Brewhouse!$V502</f>
        <v>58</v>
      </c>
      <c r="G14" s="279">
        <f>[24]Brewhouse!$AG502</f>
        <v>11.9</v>
      </c>
      <c r="H14" s="396">
        <v>11.8</v>
      </c>
      <c r="I14" s="368">
        <f>[24]Brewhouse!$AU502</f>
        <v>96.480040939898842</v>
      </c>
      <c r="J14" s="368">
        <f>[24]Brewhouse!$AV502</f>
        <v>99.233457962692228</v>
      </c>
      <c r="K14" s="281">
        <f>[24]Brewhouse!$Q502</f>
        <v>6.2522851919561262</v>
      </c>
      <c r="L14" s="276">
        <f>[24]Brewhouse!$P502</f>
        <v>60</v>
      </c>
      <c r="M14" s="397">
        <f>[24]Brewhouse!$U502-[24]Brewhouse!$T502</f>
        <v>0.10624999999999996</v>
      </c>
      <c r="N14" s="370">
        <f>[24]Brewhouse!$Z502</f>
        <v>0.2416666666666667</v>
      </c>
      <c r="O14" s="371" t="str">
        <f>[24]Brewhouse!$AX502</f>
        <v>K.Benjamin</v>
      </c>
      <c r="P14" s="420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[24]Brewhouse!$A503</f>
        <v>CA397</v>
      </c>
      <c r="D15" s="279">
        <f>[24]Brewhouse!$AF503</f>
        <v>53.4</v>
      </c>
      <c r="E15" s="279">
        <f>[24]Brewhouse!$AI503</f>
        <v>50.5</v>
      </c>
      <c r="F15" s="278">
        <f>[24]Brewhouse!$V503</f>
        <v>61</v>
      </c>
      <c r="G15" s="279">
        <f>[24]Brewhouse!$AG503</f>
        <v>11.9</v>
      </c>
      <c r="H15" s="367"/>
      <c r="I15" s="368">
        <f>[24]Brewhouse!$AU503</f>
        <v>97.20406658494251</v>
      </c>
      <c r="J15" s="368">
        <f>[24]Brewhouse!$AV503</f>
        <v>99.978757704291723</v>
      </c>
      <c r="K15" s="281">
        <f>[24]Brewhouse!$Q503</f>
        <v>2.9834254143646364</v>
      </c>
      <c r="L15" s="276">
        <f>[24]Brewhouse!$P503</f>
        <v>60</v>
      </c>
      <c r="M15" s="397">
        <f>[24]Brewhouse!$U503-[24]Brewhouse!$T503</f>
        <v>0.10902777777777783</v>
      </c>
      <c r="N15" s="370">
        <f>[24]Brewhouse!$Z503</f>
        <v>0.2368055555555556</v>
      </c>
      <c r="O15" s="371" t="str">
        <f>[24]Brewhouse!$AX503</f>
        <v>K.Benjamin</v>
      </c>
      <c r="P15" s="420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[24]Brewhouse!$A504</f>
        <v>CA398</v>
      </c>
      <c r="D16" s="279">
        <f>[24]Brewhouse!$AF504</f>
        <v>53.3</v>
      </c>
      <c r="E16" s="279">
        <f>[24]Brewhouse!$AI504</f>
        <v>50.5</v>
      </c>
      <c r="F16" s="278">
        <f>[24]Brewhouse!$V504</f>
        <v>61</v>
      </c>
      <c r="G16" s="279">
        <f>[24]Brewhouse!$AG504</f>
        <v>11.9</v>
      </c>
      <c r="H16" s="367"/>
      <c r="I16" s="368">
        <f>[24]Brewhouse!$AU504</f>
        <v>98.20551375276743</v>
      </c>
      <c r="J16" s="368">
        <f>[24]Brewhouse!$AV504</f>
        <v>101.12856990888834</v>
      </c>
      <c r="K16" s="281">
        <f>[24]Brewhouse!$Q504</f>
        <v>5.4316546762589981</v>
      </c>
      <c r="L16" s="276">
        <f>[24]Brewhouse!$P504</f>
        <v>61</v>
      </c>
      <c r="M16" s="397">
        <f>[24]Brewhouse!$U504-[24]Brewhouse!$T504</f>
        <v>0.1118055555555556</v>
      </c>
      <c r="N16" s="370">
        <f>[24]Brewhouse!$Z504</f>
        <v>0.23958333333333337</v>
      </c>
      <c r="O16" s="371" t="str">
        <f>[24]Brewhouse!$AX504</f>
        <v>K.Benjamin</v>
      </c>
      <c r="P16" s="420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2:26" ht="15.75" customHeight="1">
      <c r="B17" s="29" t="s">
        <v>6</v>
      </c>
      <c r="C17" s="366" t="str">
        <f>[24]Brewhouse!$A505</f>
        <v>CA399</v>
      </c>
      <c r="D17" s="279">
        <f>[24]Brewhouse!$AF505</f>
        <v>53.6</v>
      </c>
      <c r="E17" s="279">
        <f>[24]Brewhouse!$AI505</f>
        <v>51</v>
      </c>
      <c r="F17" s="278">
        <f>[24]Brewhouse!$V505</f>
        <v>66</v>
      </c>
      <c r="G17" s="279">
        <f>[24]Brewhouse!$AG505</f>
        <v>11.7</v>
      </c>
      <c r="H17" s="396">
        <v>11.8</v>
      </c>
      <c r="I17" s="368">
        <f>[24]Brewhouse!$AU505</f>
        <v>97.425305329060635</v>
      </c>
      <c r="J17" s="368">
        <f>[24]Brewhouse!$AV505</f>
        <v>100.32513882742207</v>
      </c>
      <c r="K17" s="281">
        <f>[24]Brewhouse!$Q505</f>
        <v>3.8827838827838779</v>
      </c>
      <c r="L17" s="276">
        <f>[24]Brewhouse!$P505</f>
        <v>53.2</v>
      </c>
      <c r="M17" s="397">
        <f>[24]Brewhouse!$U505-[24]Brewhouse!$T505</f>
        <v>0.1118055555555556</v>
      </c>
      <c r="N17" s="370">
        <f>[24]Brewhouse!$Z505</f>
        <v>0.24027777777777781</v>
      </c>
      <c r="O17" s="371" t="str">
        <f>[24]Brewhouse!$AX505</f>
        <v>R. Regis</v>
      </c>
      <c r="P17" s="420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2:26" ht="15.75" customHeight="1">
      <c r="B18" s="29" t="s">
        <v>6</v>
      </c>
      <c r="C18" s="366" t="str">
        <f>[24]Brewhouse!$A506</f>
        <v>CA400</v>
      </c>
      <c r="D18" s="279">
        <f>[24]Brewhouse!$AF506</f>
        <v>53.9</v>
      </c>
      <c r="E18" s="279">
        <f>[24]Brewhouse!$AI506</f>
        <v>51.1</v>
      </c>
      <c r="F18" s="278">
        <f>[24]Brewhouse!$V506</f>
        <v>65</v>
      </c>
      <c r="G18" s="279">
        <f>[24]Brewhouse!$AG506</f>
        <v>11.8</v>
      </c>
      <c r="H18" s="396">
        <v>11.8</v>
      </c>
      <c r="I18" s="368">
        <f>[24]Brewhouse!$AU506</f>
        <v>98.005016161360899</v>
      </c>
      <c r="J18" s="368">
        <f>[24]Brewhouse!$AV506</f>
        <v>100.92274916632704</v>
      </c>
      <c r="K18" s="281">
        <f>[24]Brewhouse!$Q506</f>
        <v>5.0357142857142865</v>
      </c>
      <c r="L18" s="276">
        <f>[24]Brewhouse!$P506</f>
        <v>53.9</v>
      </c>
      <c r="M18" s="397">
        <f>[24]Brewhouse!$U506-[24]Brewhouse!$T506</f>
        <v>0.10902777777777795</v>
      </c>
      <c r="N18" s="370">
        <f>[24]Brewhouse!$Z506</f>
        <v>0.23888888888888893</v>
      </c>
      <c r="O18" s="371" t="str">
        <f>[24]Brewhouse!$AX506</f>
        <v>R. Regis</v>
      </c>
      <c r="P18" s="420"/>
      <c r="R18" s="277" t="str">
        <f t="shared" si="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2:26" ht="15.75" customHeight="1">
      <c r="B19" s="29" t="s">
        <v>6</v>
      </c>
      <c r="C19" s="366" t="str">
        <f>[24]Brewhouse!$A507</f>
        <v>CA401</v>
      </c>
      <c r="D19" s="279">
        <f>[24]Brewhouse!$AF507</f>
        <v>52.8</v>
      </c>
      <c r="E19" s="279">
        <f>[24]Brewhouse!$AI507</f>
        <v>50.8</v>
      </c>
      <c r="F19" s="278">
        <f>[24]Brewhouse!$V507</f>
        <v>69</v>
      </c>
      <c r="G19" s="279">
        <f>[24]Brewhouse!$AG507</f>
        <v>11.8</v>
      </c>
      <c r="H19" s="396">
        <v>11.7</v>
      </c>
      <c r="I19" s="368">
        <f>[24]Brewhouse!$AU507</f>
        <v>97.308789773401159</v>
      </c>
      <c r="J19" s="368">
        <f>[24]Brewhouse!$AV507</f>
        <v>100.20595425342873</v>
      </c>
      <c r="K19" s="281">
        <f>[24]Brewhouse!$Q507</f>
        <v>7.0000000000000036</v>
      </c>
      <c r="L19" s="276">
        <f>[24]Brewhouse!$P507</f>
        <v>52.8</v>
      </c>
      <c r="M19" s="397">
        <f>[24]Brewhouse!$U507-[24]Brewhouse!$T507</f>
        <v>0.1201388888888888</v>
      </c>
      <c r="N19" s="370">
        <f>[24]Brewhouse!$Z507</f>
        <v>0.25972222222222219</v>
      </c>
      <c r="O19" s="371" t="str">
        <f>[24]Brewhouse!$AX507</f>
        <v>R. Regis</v>
      </c>
      <c r="P19" s="420"/>
      <c r="R19" s="277" t="str">
        <f t="shared" si="0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2:26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20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20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20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20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20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20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20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20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37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74"/>
      <c r="N28" s="370"/>
      <c r="O28" s="371"/>
      <c r="P28" s="420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37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74"/>
      <c r="N29" s="370"/>
      <c r="O29" s="371"/>
      <c r="P29" s="420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37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74"/>
      <c r="N30" s="370"/>
      <c r="O30" s="371"/>
      <c r="P30" s="420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20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20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20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20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7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20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7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20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7" ht="15.75" customHeight="1" thickBot="1">
      <c r="B37" s="358"/>
      <c r="C37" s="358"/>
      <c r="D37" s="358"/>
      <c r="E37" s="358"/>
      <c r="F37" s="294"/>
      <c r="G37" s="294"/>
      <c r="H37" s="348"/>
      <c r="I37" s="497" t="s">
        <v>34</v>
      </c>
      <c r="J37" s="497"/>
      <c r="K37" s="497"/>
      <c r="L37" s="497"/>
      <c r="M37" s="497"/>
      <c r="N37" s="497"/>
      <c r="O37" s="1"/>
      <c r="P37" s="12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7" ht="15" thickBot="1">
      <c r="B38" s="388" t="s">
        <v>145</v>
      </c>
      <c r="C38" s="388"/>
      <c r="D38" s="475" t="s">
        <v>35</v>
      </c>
      <c r="E38" s="476"/>
      <c r="F38" s="294"/>
      <c r="G38" s="294"/>
      <c r="H38" s="348"/>
      <c r="I38" s="24" t="s">
        <v>17</v>
      </c>
      <c r="J38" s="25" t="s">
        <v>36</v>
      </c>
      <c r="K38" s="26" t="s">
        <v>138</v>
      </c>
      <c r="L38" s="25" t="s">
        <v>37</v>
      </c>
      <c r="M38" s="25" t="s">
        <v>38</v>
      </c>
      <c r="N38" s="27" t="s">
        <v>39</v>
      </c>
      <c r="O38" s="294"/>
      <c r="P38" s="12"/>
      <c r="R38" s="277" t="str">
        <f t="shared" si="0"/>
        <v>BRAND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7" ht="15" customHeight="1">
      <c r="A39" s="28"/>
      <c r="B39" s="558" t="str">
        <f>I39</f>
        <v>CARIB</v>
      </c>
      <c r="C39" s="362">
        <f>[24]Process!D432</f>
        <v>12.28</v>
      </c>
      <c r="D39" s="501">
        <v>11.92</v>
      </c>
      <c r="E39" s="502"/>
      <c r="F39" s="294"/>
      <c r="G39" s="294"/>
      <c r="H39" s="348"/>
      <c r="I39" s="29" t="s">
        <v>6</v>
      </c>
      <c r="J39" s="280">
        <f>AVERAGE(I10:I19)</f>
        <v>97.450504881810815</v>
      </c>
      <c r="K39" s="284">
        <f>COUNTA([24]Brewhouse!$A$493:$A$507)</f>
        <v>15</v>
      </c>
      <c r="L39" s="302">
        <f>AVERAGE([24]Brewhouse!$AU$493:$AU$507)</f>
        <v>98.274879819059663</v>
      </c>
      <c r="M39" s="302">
        <f>AVERAGE([24]Brewhouse!$AU$102:$AU$171,[24]Brewhouse!$AU$173:$AU$253,[24]Brewhouse!$AU$255:$AU$339,[24]Brewhouse!$AU$341:$AU$346,[24]Brewhouse!$AU$348,[24]Brewhouse!$AU$349:$AU$406,[24]Brewhouse!$AU$408:$AU$491,[24]Brewhouse!$AU$493:$AU$507)</f>
        <v>97.683610742667582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</row>
    <row r="40" spans="1:27" ht="15" customHeight="1">
      <c r="A40" s="28"/>
      <c r="B40" s="512"/>
      <c r="C40" s="349">
        <f>[24]Process!D433</f>
        <v>12.43</v>
      </c>
      <c r="D40" s="503"/>
      <c r="E40" s="504"/>
      <c r="F40" s="294"/>
      <c r="G40" s="294"/>
      <c r="H40" s="348"/>
      <c r="I40" s="33" t="s">
        <v>9</v>
      </c>
      <c r="J40" s="280"/>
      <c r="K40" s="284"/>
      <c r="L40" s="302"/>
      <c r="M40" s="302">
        <f>AVERAGE([25]Brewhouse!$AS$15:$AS$64,[25]Brewhouse!$AS$66:$AS$103,[25]Brewhouse!$AS$105:$AS$140,[25]Brewhouse!$AS$142:$AS$193,[25]Brewhouse!$AS$195:$AS$240)</f>
        <v>97.875552945082219</v>
      </c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</row>
    <row r="41" spans="1:27" ht="14.7" customHeight="1">
      <c r="A41" s="28"/>
      <c r="B41" s="512"/>
      <c r="C41" s="349">
        <f>[24]Process!D456</f>
        <v>11.71</v>
      </c>
      <c r="D41" s="501">
        <v>11.96</v>
      </c>
      <c r="E41" s="502"/>
      <c r="F41" s="294"/>
      <c r="G41" s="294"/>
      <c r="H41" s="348"/>
      <c r="I41" s="34" t="s">
        <v>12</v>
      </c>
      <c r="J41" s="280"/>
      <c r="K41" s="284"/>
      <c r="L41" s="302"/>
      <c r="M41" s="302">
        <f>AVERAGE([26]Brewhouse!$AU$4:$AU$7,[26]Brewhouse!$AU$9:$AU$22,[26]Brewhouse!$AU$24:$AU$35,[26]Brewhouse!$AU$37:$AU$45,[26]Brewhouse!$AU$47:$AU$62)</f>
        <v>97.179377138297156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</row>
    <row r="42" spans="1:27" ht="14.7" customHeight="1">
      <c r="A42" s="28"/>
      <c r="B42" s="512"/>
      <c r="C42" s="349">
        <f>[24]Process!D457</f>
        <v>11.77</v>
      </c>
      <c r="D42" s="503"/>
      <c r="E42" s="504"/>
      <c r="F42" s="294"/>
      <c r="G42" s="294"/>
      <c r="H42" s="348"/>
      <c r="I42" s="22" t="s">
        <v>33</v>
      </c>
      <c r="J42" s="280"/>
      <c r="K42" s="284"/>
      <c r="L42" s="302"/>
      <c r="M42" s="302">
        <f>AVERAGE([23]Brewhouse!$AV$5:$AV$14,[23]Brewhouse!$AV$16:$AV$19,[23]Brewhouse!$AV$21:$AV$24,[23]Brewhouse!$AV$26:$AV$33,[23]Brewhouse!$AV$35:$AV$46)</f>
        <v>99.005314486149061</v>
      </c>
      <c r="N42" s="3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</row>
    <row r="43" spans="1:27" ht="14.7" customHeight="1">
      <c r="A43" s="28"/>
      <c r="B43" s="512"/>
      <c r="C43" s="349">
        <f>[24]Process!D458</f>
        <v>11.66</v>
      </c>
      <c r="D43" s="501">
        <v>11.93</v>
      </c>
      <c r="E43" s="502"/>
      <c r="F43" s="419"/>
      <c r="G43" s="294"/>
      <c r="H43" s="348"/>
      <c r="I43" s="35" t="s">
        <v>29</v>
      </c>
      <c r="J43" s="280"/>
      <c r="K43" s="284"/>
      <c r="L43" s="302"/>
      <c r="M43" s="302"/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</row>
    <row r="44" spans="1:27" ht="14.7" customHeight="1">
      <c r="A44" s="28"/>
      <c r="B44" s="512"/>
      <c r="C44" s="349">
        <f>[24]Process!D459</f>
        <v>11.63</v>
      </c>
      <c r="D44" s="503"/>
      <c r="E44" s="504"/>
      <c r="F44" s="419"/>
      <c r="G44" s="294"/>
      <c r="H44" s="348"/>
      <c r="I44" s="36" t="s">
        <v>15</v>
      </c>
      <c r="J44" s="323"/>
      <c r="K44" s="284"/>
      <c r="L44" s="302"/>
      <c r="M44" s="302">
        <f>AVERAGE([27]Brewhouse!$AT$4:$AT$11,[27]Brewhouse!$AT$13:$AT$16)</f>
        <v>94.677025542378772</v>
      </c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4.7" customHeight="1">
      <c r="A45" s="28"/>
      <c r="B45" s="512"/>
      <c r="C45" s="349">
        <f>[24]Process!D460</f>
        <v>11.82</v>
      </c>
      <c r="D45" s="501">
        <v>11.89</v>
      </c>
      <c r="E45" s="502"/>
      <c r="F45" s="419"/>
      <c r="G45" s="294"/>
      <c r="H45" s="348"/>
      <c r="I45" s="37" t="s">
        <v>16</v>
      </c>
      <c r="J45" s="323"/>
      <c r="K45" s="284">
        <f>COUNTA([22]Brewhouse!$A$45:$A$50)</f>
        <v>6</v>
      </c>
      <c r="L45" s="302">
        <f>AVERAGE([22]Brewhouse!$AY$45:$AY$50)</f>
        <v>96.288901438431267</v>
      </c>
      <c r="M45" s="302">
        <f>AVERAGE([22]Brewhouse!$AY$6:$AY$13,[22]Brewhouse!$AY$15:$AY$20,[22]Brewhouse!$AY$22:$AY$29,[22]Brewhouse!$AY$31:$AY$34,[22]Brewhouse!$AY$36:$AY$43,[22]Brewhouse!$AY$45:$AY$50)</f>
        <v>96.612624784592427</v>
      </c>
      <c r="N45" s="30">
        <v>98</v>
      </c>
      <c r="O45" s="11"/>
      <c r="P45" s="31" t="s">
        <v>41</v>
      </c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4.7" customHeight="1">
      <c r="A46" s="28"/>
      <c r="B46" s="512"/>
      <c r="C46" s="349">
        <f>[24]Process!D461</f>
        <v>11.83</v>
      </c>
      <c r="D46" s="503"/>
      <c r="E46" s="504"/>
      <c r="F46" s="294"/>
      <c r="G46" s="294"/>
      <c r="H46" s="348"/>
      <c r="I46" s="411" t="s">
        <v>158</v>
      </c>
      <c r="J46" s="326"/>
      <c r="K46" s="284"/>
      <c r="L46" s="305"/>
      <c r="M46" s="305">
        <f>AVERAGE([28]Brewhouse!$AU$5:$AU$8)</f>
        <v>91.006888337619571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  <c r="AA46" s="296"/>
    </row>
    <row r="47" spans="1:27" ht="14.7" customHeight="1">
      <c r="A47" s="28"/>
      <c r="B47" s="512"/>
      <c r="C47" s="349">
        <f>[24]Process!D462</f>
        <v>11.8</v>
      </c>
      <c r="D47" s="501">
        <v>12.47</v>
      </c>
      <c r="E47" s="502"/>
      <c r="F47" s="294"/>
      <c r="G47" s="294"/>
      <c r="H47" s="348"/>
      <c r="I47" s="410" t="s">
        <v>157</v>
      </c>
      <c r="J47" s="326"/>
      <c r="K47" s="284"/>
      <c r="L47" s="305"/>
      <c r="M47" s="305"/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  <c r="AA47" s="296"/>
    </row>
    <row r="48" spans="1:27" ht="15" customHeight="1" thickBot="1">
      <c r="A48" s="28"/>
      <c r="B48" s="512"/>
      <c r="C48" s="349">
        <f>[24]Process!D463</f>
        <v>11.67</v>
      </c>
      <c r="D48" s="503"/>
      <c r="E48" s="504"/>
      <c r="F48" s="294"/>
      <c r="G48" s="294"/>
      <c r="H48" s="348"/>
      <c r="I48" s="406" t="s">
        <v>156</v>
      </c>
      <c r="J48" s="327"/>
      <c r="K48" s="407"/>
      <c r="L48" s="408"/>
      <c r="M48" s="408"/>
      <c r="N48" s="409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  <c r="AA48" s="296"/>
    </row>
    <row r="49" spans="1:56" ht="15" customHeight="1" thickBot="1">
      <c r="A49" s="28"/>
      <c r="B49" s="512"/>
      <c r="C49" s="349"/>
      <c r="D49" s="501"/>
      <c r="E49" s="502"/>
      <c r="F49" s="294"/>
      <c r="G49" s="294"/>
      <c r="H49" s="348"/>
      <c r="I49" s="1"/>
      <c r="J49" s="39"/>
      <c r="K49" s="404">
        <f>SUM(K39:K48)</f>
        <v>21</v>
      </c>
      <c r="L49" s="405">
        <f>((L39*K39)+(L40*K40)+(L41*K41)+(L42*K42)+(L43*K43)+(K46*L46)+(L44*K44)+(L45*K45)+(L48*K48))/(K49)</f>
        <v>97.707457424594423</v>
      </c>
      <c r="M49" s="405">
        <f>AVERAGE('[29]Jan 31st'!$L$65,'[30]Feb 28th'!$L$35,'[31]Mar. 31st'!$L$35,'[32]Apr. 30th'!$L$45,'[33]May 30th'!$L$37,L49)</f>
        <v>97.647785143660585</v>
      </c>
      <c r="N49" s="4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  <c r="AA49" s="296"/>
    </row>
    <row r="50" spans="1:56" ht="15" thickBot="1">
      <c r="B50" s="513"/>
      <c r="C50" s="350"/>
      <c r="D50" s="503"/>
      <c r="E50" s="504"/>
      <c r="F50" s="294"/>
      <c r="G50" s="42"/>
      <c r="H50" s="41"/>
      <c r="I50" s="42"/>
      <c r="J50" s="42"/>
      <c r="K50" s="351"/>
      <c r="L50" s="348"/>
      <c r="M50" s="348"/>
      <c r="N50" s="11"/>
      <c r="O50" s="294"/>
      <c r="P50" s="12"/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5" thickBot="1">
      <c r="B51" s="559" t="str">
        <f>I45</f>
        <v>STARMALT</v>
      </c>
      <c r="C51" s="362">
        <f>[22]Process!D44</f>
        <v>17.2</v>
      </c>
      <c r="D51" s="514">
        <v>17.190000000000001</v>
      </c>
      <c r="E51" s="515"/>
      <c r="F51" s="294"/>
      <c r="G51" s="42"/>
      <c r="H51" s="41"/>
      <c r="I51" s="42"/>
      <c r="J51" s="551" t="s">
        <v>129</v>
      </c>
      <c r="K51" s="551"/>
      <c r="L51" s="294"/>
      <c r="M51" s="294"/>
      <c r="N51" s="294"/>
      <c r="O51" s="294"/>
      <c r="P51" s="12"/>
    </row>
    <row r="52" spans="1:56" ht="13.5" customHeight="1" thickBot="1">
      <c r="B52" s="560"/>
      <c r="C52" s="349">
        <f>[22]Process!D45</f>
        <v>17.2</v>
      </c>
      <c r="D52" s="516"/>
      <c r="E52" s="504"/>
      <c r="F52" s="294"/>
      <c r="G52" s="42"/>
      <c r="H52" s="41"/>
      <c r="I52" s="42"/>
      <c r="J52" s="292" t="s">
        <v>17</v>
      </c>
      <c r="K52" s="293" t="s">
        <v>147</v>
      </c>
      <c r="L52" s="518" t="s">
        <v>136</v>
      </c>
      <c r="M52" s="518"/>
      <c r="N52" s="519"/>
      <c r="O52" s="294"/>
      <c r="P52" s="12"/>
    </row>
    <row r="53" spans="1:56" ht="15" customHeight="1" thickBot="1">
      <c r="B53" s="560"/>
      <c r="C53" s="349">
        <f>[22]Process!D46</f>
        <v>17.2</v>
      </c>
      <c r="D53" s="520">
        <v>17.190000000000001</v>
      </c>
      <c r="E53" s="502"/>
      <c r="F53" s="294"/>
      <c r="G53" s="42"/>
      <c r="H53" s="41"/>
      <c r="I53" s="42"/>
      <c r="J53" s="287" t="s">
        <v>6</v>
      </c>
      <c r="K53" s="324">
        <v>10</v>
      </c>
      <c r="L53" s="343" t="s">
        <v>37</v>
      </c>
      <c r="M53" s="307" t="s">
        <v>38</v>
      </c>
      <c r="N53" s="307" t="s">
        <v>84</v>
      </c>
      <c r="O53" s="294"/>
      <c r="P53" s="12"/>
    </row>
    <row r="54" spans="1:56" ht="15.75" customHeight="1" thickBot="1">
      <c r="B54" s="560"/>
      <c r="C54" s="349">
        <f>[22]Process!D47</f>
        <v>17.399999999999999</v>
      </c>
      <c r="D54" s="516"/>
      <c r="E54" s="504"/>
      <c r="F54" s="294"/>
      <c r="G54" s="42"/>
      <c r="H54" s="41"/>
      <c r="I54" s="42"/>
      <c r="J54" s="345" t="s">
        <v>9</v>
      </c>
      <c r="K54" s="324"/>
      <c r="L54" s="344">
        <f>AVERAGE('June 2nd'!K57,'June 4th'!K63,'June 3rd'!K63)</f>
        <v>7</v>
      </c>
      <c r="M54" s="325">
        <f>AVERAGE('[29]Jan 29th '!$M$70,'[30]Feb 28th'!$L$40,'[31]Mar. 31st'!$L$40,'[32]Apr. 30th'!$L$50,'[33]May 30th'!$L$42,L54)</f>
        <v>6.7011068641503426</v>
      </c>
      <c r="N54" s="418">
        <v>9.1999999999999993</v>
      </c>
      <c r="O54" s="294"/>
      <c r="P54" s="12"/>
    </row>
    <row r="55" spans="1:56" ht="15" customHeight="1">
      <c r="B55" s="560"/>
      <c r="C55" s="349">
        <f>[22]Process!D48</f>
        <v>17.399999999999999</v>
      </c>
      <c r="D55" s="520">
        <v>17.190000000000001</v>
      </c>
      <c r="E55" s="502"/>
      <c r="F55" s="294"/>
      <c r="G55" s="42"/>
      <c r="H55" s="41"/>
      <c r="I55" s="42"/>
      <c r="J55" s="288" t="s">
        <v>40</v>
      </c>
      <c r="K55" s="324"/>
      <c r="L55" s="294"/>
      <c r="M55" s="294"/>
      <c r="N55" s="294"/>
      <c r="O55" s="294"/>
      <c r="P55" s="12"/>
    </row>
    <row r="56" spans="1:56" ht="15" customHeight="1">
      <c r="B56" s="560"/>
      <c r="C56" s="349">
        <f>[22]Process!D49</f>
        <v>16.899999999999999</v>
      </c>
      <c r="D56" s="516"/>
      <c r="E56" s="504"/>
      <c r="F56" s="294"/>
      <c r="G56" s="42"/>
      <c r="H56" s="41"/>
      <c r="I56" s="42"/>
      <c r="J56" s="289" t="s">
        <v>33</v>
      </c>
      <c r="K56" s="324"/>
      <c r="L56" s="294"/>
      <c r="M56" s="294"/>
      <c r="N56" s="294"/>
      <c r="O56" s="294"/>
      <c r="P56" s="12"/>
    </row>
    <row r="57" spans="1:56" ht="14.4">
      <c r="B57" s="560"/>
      <c r="C57" s="349"/>
      <c r="D57" s="520"/>
      <c r="E57" s="502"/>
      <c r="F57" s="294"/>
      <c r="G57" s="42"/>
      <c r="H57" s="41"/>
      <c r="I57" s="42"/>
      <c r="J57" s="290" t="s">
        <v>16</v>
      </c>
      <c r="K57" s="324"/>
      <c r="L57" s="294"/>
      <c r="M57" s="294"/>
      <c r="N57" s="294"/>
      <c r="O57" s="294"/>
      <c r="P57" s="12"/>
      <c r="BC57" s="44"/>
      <c r="BD57" s="44"/>
    </row>
    <row r="58" spans="1:56" ht="14.4">
      <c r="B58" s="560"/>
      <c r="C58" s="349"/>
      <c r="D58" s="516"/>
      <c r="E58" s="504"/>
      <c r="F58" s="294"/>
      <c r="G58" s="42"/>
      <c r="H58" s="41"/>
      <c r="I58" s="42"/>
      <c r="J58" s="291" t="s">
        <v>15</v>
      </c>
      <c r="K58" s="426"/>
      <c r="L58" s="294"/>
      <c r="M58" s="294"/>
      <c r="N58" s="294"/>
      <c r="O58" s="294"/>
      <c r="P58" s="12"/>
      <c r="BC58" s="44"/>
      <c r="BD58" s="44"/>
    </row>
    <row r="59" spans="1:56" ht="14.4">
      <c r="B59" s="560"/>
      <c r="C59" s="349"/>
      <c r="D59" s="545"/>
      <c r="E59" s="546"/>
      <c r="F59" s="294"/>
      <c r="G59" s="42"/>
      <c r="H59" s="41"/>
      <c r="I59" s="42"/>
      <c r="J59" s="291" t="s">
        <v>149</v>
      </c>
      <c r="K59" s="324"/>
      <c r="L59" s="294"/>
      <c r="M59" s="294"/>
      <c r="N59" s="294"/>
      <c r="O59" s="294"/>
      <c r="P59" s="12"/>
      <c r="BC59" s="44"/>
      <c r="BD59" s="44"/>
    </row>
    <row r="60" spans="1:56" ht="15" thickBot="1">
      <c r="B60" s="561"/>
      <c r="C60" s="350"/>
      <c r="D60" s="547"/>
      <c r="E60" s="548"/>
      <c r="F60" s="294"/>
      <c r="G60" s="42"/>
      <c r="H60" s="41"/>
      <c r="I60" s="42"/>
      <c r="J60" s="291" t="s">
        <v>148</v>
      </c>
      <c r="K60" s="324"/>
      <c r="L60" s="294"/>
      <c r="M60" s="294"/>
      <c r="N60" s="294"/>
      <c r="O60" s="294"/>
      <c r="P60" s="12"/>
      <c r="BC60" s="44"/>
      <c r="BD60" s="44"/>
    </row>
    <row r="61" spans="1:56" ht="17.7" customHeight="1" thickBot="1">
      <c r="B61" s="312" t="s">
        <v>139</v>
      </c>
      <c r="C61" s="313"/>
      <c r="D61" s="524">
        <f>AVERAGE(D39:E60)</f>
        <v>13.967499999999999</v>
      </c>
      <c r="E61" s="525"/>
      <c r="F61" s="294"/>
      <c r="G61" s="42"/>
      <c r="H61" s="41"/>
      <c r="I61" s="42"/>
      <c r="J61" s="295" t="s">
        <v>134</v>
      </c>
      <c r="K61" s="324"/>
      <c r="L61" s="294"/>
      <c r="M61" s="294"/>
      <c r="N61" s="294"/>
      <c r="O61" s="294"/>
      <c r="P61" s="12"/>
      <c r="BC61" s="44"/>
      <c r="BD61" s="44"/>
    </row>
    <row r="62" spans="1:56" ht="17.7" customHeight="1">
      <c r="B62" s="363"/>
      <c r="C62" s="364"/>
      <c r="D62" s="365"/>
      <c r="E62" s="365"/>
      <c r="F62" s="294"/>
      <c r="G62" s="42"/>
      <c r="H62" s="41"/>
      <c r="I62" s="42"/>
      <c r="J62" s="295" t="s">
        <v>131</v>
      </c>
      <c r="K62" s="324"/>
      <c r="L62" s="294"/>
      <c r="M62" s="294"/>
      <c r="N62" s="294"/>
      <c r="O62" s="294"/>
      <c r="P62" s="12"/>
      <c r="BC62" s="44"/>
      <c r="BD62" s="44"/>
    </row>
    <row r="63" spans="1:56" ht="15.75" customHeight="1">
      <c r="B63" s="45"/>
      <c r="C63" s="11"/>
      <c r="D63" s="11"/>
      <c r="E63" s="46"/>
      <c r="F63" s="294"/>
      <c r="G63" s="42"/>
      <c r="H63" s="41"/>
      <c r="I63" s="42"/>
      <c r="J63" s="346" t="s">
        <v>130</v>
      </c>
      <c r="K63" s="324">
        <f>SUM(K53:K62)</f>
        <v>10</v>
      </c>
      <c r="L63" s="294"/>
      <c r="M63" s="294"/>
      <c r="N63" s="294"/>
      <c r="O63" s="294"/>
      <c r="P63" s="12"/>
    </row>
    <row r="64" spans="1:56" ht="20.25" customHeight="1">
      <c r="B64" s="15" t="s">
        <v>42</v>
      </c>
      <c r="C64" s="1" t="s">
        <v>43</v>
      </c>
      <c r="D64" s="1"/>
      <c r="E64" s="1"/>
      <c r="F64" s="294"/>
      <c r="G64" s="42"/>
      <c r="H64" s="41"/>
      <c r="I64" s="42"/>
      <c r="L64" s="294"/>
      <c r="P64" s="334"/>
    </row>
    <row r="65" spans="2:57" ht="15" customHeight="1" thickBot="1"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8"/>
      <c r="O65" s="48"/>
      <c r="P65" s="49"/>
    </row>
    <row r="66" spans="2:57" ht="15" customHeight="1" thickBot="1">
      <c r="B66" s="526" t="s">
        <v>17</v>
      </c>
      <c r="C66" s="526" t="s">
        <v>44</v>
      </c>
      <c r="D66" s="528" t="s">
        <v>45</v>
      </c>
      <c r="E66" s="483" t="s">
        <v>46</v>
      </c>
      <c r="F66" s="543" t="s">
        <v>47</v>
      </c>
      <c r="G66" s="537" t="s">
        <v>48</v>
      </c>
      <c r="H66" s="526" t="s">
        <v>49</v>
      </c>
      <c r="I66" s="526" t="s">
        <v>50</v>
      </c>
      <c r="J66" s="531" t="s">
        <v>28</v>
      </c>
      <c r="K66" s="481" t="s">
        <v>51</v>
      </c>
      <c r="L66" s="493" t="s">
        <v>52</v>
      </c>
      <c r="M66" s="531" t="s">
        <v>53</v>
      </c>
      <c r="N66" s="13"/>
      <c r="O66" s="13"/>
      <c r="P66" s="50"/>
    </row>
    <row r="67" spans="2:57" ht="28.5" customHeight="1" thickTop="1" thickBot="1">
      <c r="B67" s="527"/>
      <c r="C67" s="527"/>
      <c r="D67" s="529"/>
      <c r="E67" s="530"/>
      <c r="F67" s="544"/>
      <c r="G67" s="538"/>
      <c r="H67" s="527"/>
      <c r="I67" s="527"/>
      <c r="J67" s="532"/>
      <c r="K67" s="541"/>
      <c r="L67" s="542"/>
      <c r="M67" s="532"/>
      <c r="N67" s="13"/>
      <c r="O67" s="13"/>
      <c r="P67" s="50"/>
      <c r="Q67" s="355"/>
      <c r="AB67" s="51">
        <v>43474</v>
      </c>
      <c r="AC67" s="51">
        <v>43475</v>
      </c>
      <c r="AD67" s="51">
        <v>43476</v>
      </c>
      <c r="AE67" s="51">
        <v>43477</v>
      </c>
      <c r="AF67" s="51">
        <v>43478</v>
      </c>
      <c r="AG67" s="51">
        <v>43479</v>
      </c>
      <c r="AH67" s="51">
        <v>43480</v>
      </c>
      <c r="AI67" s="51">
        <v>43481</v>
      </c>
      <c r="AJ67" s="51">
        <v>43482</v>
      </c>
      <c r="AK67" s="51">
        <v>43483</v>
      </c>
      <c r="AL67" s="51">
        <v>43484</v>
      </c>
      <c r="AM67" s="51">
        <v>43485</v>
      </c>
      <c r="AN67" s="51">
        <v>43486</v>
      </c>
      <c r="AO67" s="51">
        <v>43487</v>
      </c>
      <c r="AP67" s="51">
        <v>43488</v>
      </c>
      <c r="AQ67" s="51">
        <v>43489</v>
      </c>
      <c r="AR67" s="51">
        <v>43490</v>
      </c>
      <c r="AS67" s="51">
        <v>43491</v>
      </c>
      <c r="AT67" s="51">
        <v>43492</v>
      </c>
      <c r="AU67" s="51">
        <v>43493</v>
      </c>
      <c r="AV67" s="51">
        <v>43494</v>
      </c>
      <c r="AW67" s="51">
        <v>43495</v>
      </c>
      <c r="AX67" s="51">
        <v>43496</v>
      </c>
    </row>
    <row r="68" spans="2:57" s="54" customFormat="1" ht="51" customHeight="1">
      <c r="B68" s="387" t="str">
        <f>B75</f>
        <v>CARIB</v>
      </c>
      <c r="C68" s="283">
        <v>45812</v>
      </c>
      <c r="D68" s="377">
        <f>[34]June_2025!$G$3</f>
        <v>505.60000000000008</v>
      </c>
      <c r="E68" s="378"/>
      <c r="F68" s="379">
        <f>[35]CARIB!$L$6+[35]CARIB!$L$30</f>
        <v>490.873786407767</v>
      </c>
      <c r="G68" s="303">
        <f>[34]June_2025!$G$7</f>
        <v>464.8</v>
      </c>
      <c r="H68" s="320">
        <f>(D68-F68)/D68*100</f>
        <v>2.9126213592233143</v>
      </c>
      <c r="I68" s="322">
        <f>((F68+E68)-G68)/(F68+E68)*100</f>
        <v>5.3117088607594933</v>
      </c>
      <c r="J68" s="392" t="s">
        <v>170</v>
      </c>
      <c r="K68" s="286">
        <f>[36]June_2025!$G$18</f>
        <v>0.54362573099415201</v>
      </c>
      <c r="L68" s="314">
        <f>(((D68+E68)-G68)/(D68+E68))*100</f>
        <v>8.0696202531645689</v>
      </c>
      <c r="M68" s="417" t="s">
        <v>169</v>
      </c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6"/>
      <c r="AC68" s="416"/>
      <c r="AD68" s="416"/>
      <c r="AE68" s="416"/>
      <c r="AF68" s="416"/>
      <c r="AG68" s="416"/>
      <c r="AH68" s="416"/>
      <c r="AI68" s="416"/>
      <c r="AJ68" s="416"/>
      <c r="AK68" s="416"/>
      <c r="AL68" s="416"/>
      <c r="AM68" s="416"/>
      <c r="AN68" s="416"/>
      <c r="AO68" s="416"/>
      <c r="AP68" s="416"/>
      <c r="AQ68" s="416"/>
      <c r="AR68" s="416"/>
      <c r="AS68" s="416"/>
      <c r="AT68" s="416"/>
      <c r="AU68" s="416"/>
      <c r="AV68" s="416"/>
      <c r="AW68" s="416"/>
    </row>
    <row r="69" spans="2:57" s="54" customFormat="1" ht="23.25" customHeight="1">
      <c r="B69" s="33"/>
      <c r="C69" s="283"/>
      <c r="D69" s="377"/>
      <c r="E69" s="378"/>
      <c r="F69" s="379"/>
      <c r="G69" s="303"/>
      <c r="H69" s="320"/>
      <c r="I69" s="322"/>
      <c r="J69" s="281"/>
      <c r="K69" s="286"/>
      <c r="L69" s="314"/>
      <c r="M69" s="417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416"/>
      <c r="AC69" s="416"/>
      <c r="AD69" s="416"/>
      <c r="AE69" s="416"/>
      <c r="AF69" s="416"/>
      <c r="AG69" s="416"/>
      <c r="AH69" s="416"/>
      <c r="AI69" s="416"/>
      <c r="AJ69" s="416"/>
      <c r="AK69" s="416"/>
      <c r="AL69" s="416"/>
      <c r="AM69" s="416"/>
      <c r="AN69" s="416"/>
      <c r="AO69" s="416"/>
      <c r="AP69" s="416"/>
      <c r="AQ69" s="416"/>
      <c r="AR69" s="416"/>
      <c r="AS69" s="416"/>
      <c r="AT69" s="416"/>
      <c r="AU69" s="416"/>
      <c r="AV69" s="416"/>
      <c r="AW69" s="416"/>
    </row>
    <row r="70" spans="2:57" s="54" customFormat="1" ht="53.25" customHeight="1">
      <c r="B70" s="428" t="str">
        <f>B81</f>
        <v>STARMALT</v>
      </c>
      <c r="C70" s="283">
        <v>45812</v>
      </c>
      <c r="D70" s="377">
        <f>[34]June_2025!$G$55</f>
        <v>308.29999999999995</v>
      </c>
      <c r="E70" s="378"/>
      <c r="F70" s="379"/>
      <c r="G70" s="303">
        <f>[34]June_2025!$G$59</f>
        <v>294.5</v>
      </c>
      <c r="H70" s="320"/>
      <c r="I70" s="322"/>
      <c r="J70" s="392" t="s">
        <v>170</v>
      </c>
      <c r="K70" s="286">
        <f>[36]June_2025!$G$53</f>
        <v>0.34444444444444444</v>
      </c>
      <c r="L70" s="314">
        <f>(((D70+E70)-G70)/(D70+E70))*100</f>
        <v>4.4761595848199667</v>
      </c>
      <c r="M70" s="417" t="s">
        <v>167</v>
      </c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>
        <f>[20]January_2019!L7</f>
        <v>0</v>
      </c>
      <c r="AC70" s="57">
        <f>[20]January_2019!M7</f>
        <v>0</v>
      </c>
      <c r="AD70" s="57">
        <f>[20]January_2019!N7</f>
        <v>0</v>
      </c>
      <c r="AE70" s="57">
        <f>[20]January_2019!O7</f>
        <v>0</v>
      </c>
      <c r="AF70" s="57">
        <f>[20]January_2019!P7</f>
        <v>0</v>
      </c>
      <c r="AG70" s="57">
        <f>[20]January_2019!Q7</f>
        <v>0</v>
      </c>
      <c r="AH70" s="57">
        <f>[20]January_2019!R7</f>
        <v>0</v>
      </c>
      <c r="AI70" s="57">
        <f>[20]January_2019!S7</f>
        <v>0</v>
      </c>
      <c r="AJ70" s="57">
        <f>[20]January_2019!T7</f>
        <v>0</v>
      </c>
      <c r="AK70" s="57">
        <f>[20]January_2019!U7</f>
        <v>0</v>
      </c>
      <c r="AL70" s="57">
        <f>[20]January_2019!V7</f>
        <v>0</v>
      </c>
      <c r="AM70" s="57">
        <f>[20]January_2019!W7</f>
        <v>0</v>
      </c>
      <c r="AN70" s="57">
        <f>[20]January_2019!X7</f>
        <v>0</v>
      </c>
      <c r="AO70" s="57">
        <f>[20]January_2019!Y7</f>
        <v>0</v>
      </c>
      <c r="AP70" s="57">
        <f>[20]January_2019!Z7</f>
        <v>0</v>
      </c>
      <c r="AQ70" s="57">
        <f>[20]January_2019!AA7</f>
        <v>0</v>
      </c>
      <c r="AR70" s="57">
        <f>[20]January_2019!AB7</f>
        <v>0</v>
      </c>
      <c r="AS70" s="57">
        <f>[20]January_2019!AC7</f>
        <v>0</v>
      </c>
      <c r="AT70" s="57">
        <f>[20]January_2019!AD7</f>
        <v>0</v>
      </c>
      <c r="AU70" s="57">
        <f>[20]January_2019!AE7</f>
        <v>0</v>
      </c>
      <c r="AV70" s="57">
        <f>[20]January_2019!AF7</f>
        <v>0</v>
      </c>
      <c r="AW70" s="57">
        <f>[20]January_2019!AG7</f>
        <v>0</v>
      </c>
      <c r="AX70" s="277">
        <f>[20]January_2019!AH7</f>
        <v>0</v>
      </c>
      <c r="AY70" s="277"/>
      <c r="AZ70" s="277"/>
      <c r="BA70" s="277"/>
      <c r="BB70" s="277"/>
      <c r="BC70" s="277"/>
      <c r="BD70" s="277"/>
      <c r="BE70" s="277"/>
    </row>
    <row r="71" spans="2:57" s="54" customFormat="1" ht="16.5" customHeight="1">
      <c r="B71" s="423"/>
      <c r="C71" s="283"/>
      <c r="D71" s="377"/>
      <c r="E71" s="378"/>
      <c r="F71" s="379"/>
      <c r="G71" s="303"/>
      <c r="H71" s="320"/>
      <c r="I71" s="322"/>
      <c r="J71" s="281"/>
      <c r="K71" s="286"/>
      <c r="L71" s="314"/>
      <c r="M71" s="417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416"/>
      <c r="AC71" s="416"/>
      <c r="AD71" s="416"/>
      <c r="AE71" s="416"/>
      <c r="AF71" s="416"/>
      <c r="AG71" s="416"/>
      <c r="AH71" s="416"/>
      <c r="AI71" s="416"/>
      <c r="AJ71" s="416"/>
      <c r="AK71" s="416"/>
      <c r="AL71" s="416"/>
      <c r="AM71" s="416"/>
      <c r="AN71" s="416"/>
      <c r="AO71" s="416"/>
      <c r="AP71" s="416"/>
      <c r="AQ71" s="416"/>
      <c r="AR71" s="416"/>
      <c r="AS71" s="416"/>
      <c r="AT71" s="416"/>
      <c r="AU71" s="416"/>
      <c r="AV71" s="416"/>
      <c r="AW71" s="416"/>
    </row>
    <row r="72" spans="2:57" ht="18" customHeight="1" thickBot="1">
      <c r="B72" s="59"/>
      <c r="C72" s="30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 t="s">
        <v>41</v>
      </c>
      <c r="O72" s="56"/>
      <c r="P72" s="60"/>
    </row>
    <row r="73" spans="2:57" ht="14.4" thickBot="1">
      <c r="B73" s="533" t="s">
        <v>55</v>
      </c>
      <c r="C73" s="534"/>
      <c r="D73" s="534"/>
      <c r="E73" s="534"/>
      <c r="F73" s="535"/>
      <c r="G73" s="533" t="s">
        <v>56</v>
      </c>
      <c r="H73" s="534"/>
      <c r="I73" s="534"/>
      <c r="J73" s="535"/>
      <c r="K73" s="533" t="s">
        <v>51</v>
      </c>
      <c r="L73" s="534"/>
      <c r="M73" s="534"/>
      <c r="N73" s="536"/>
      <c r="O73" s="56"/>
      <c r="P73" s="50"/>
    </row>
    <row r="74" spans="2:57">
      <c r="B74" s="61" t="s">
        <v>17</v>
      </c>
      <c r="C74" s="62" t="s">
        <v>36</v>
      </c>
      <c r="D74" s="62" t="s">
        <v>37</v>
      </c>
      <c r="E74" s="62" t="s">
        <v>38</v>
      </c>
      <c r="F74" s="63" t="s">
        <v>39</v>
      </c>
      <c r="G74" s="62" t="s">
        <v>36</v>
      </c>
      <c r="H74" s="62" t="s">
        <v>37</v>
      </c>
      <c r="I74" s="62" t="s">
        <v>38</v>
      </c>
      <c r="J74" s="63" t="s">
        <v>39</v>
      </c>
      <c r="K74" s="62" t="s">
        <v>36</v>
      </c>
      <c r="L74" s="62" t="s">
        <v>37</v>
      </c>
      <c r="M74" s="62" t="s">
        <v>38</v>
      </c>
      <c r="N74" s="63" t="s">
        <v>39</v>
      </c>
      <c r="O74" s="56"/>
      <c r="P74" s="64"/>
    </row>
    <row r="75" spans="2:57">
      <c r="B75" s="29" t="s">
        <v>6</v>
      </c>
      <c r="C75" s="65">
        <f>L68</f>
        <v>8.0696202531645689</v>
      </c>
      <c r="D75" s="76">
        <v>8.0696202531645689</v>
      </c>
      <c r="E75" s="76">
        <v>6.7070238320330846</v>
      </c>
      <c r="F75" s="66">
        <v>4.8</v>
      </c>
      <c r="G75" s="65">
        <f>[34]June_2025!$G$11</f>
        <v>6.5114782235571971</v>
      </c>
      <c r="H75" s="76">
        <v>6.5114782235571971</v>
      </c>
      <c r="I75" s="76">
        <v>6.8169852103479975</v>
      </c>
      <c r="J75" s="66">
        <v>4.8</v>
      </c>
      <c r="K75" s="67">
        <f>K68</f>
        <v>0.54362573099415201</v>
      </c>
      <c r="L75" s="194">
        <v>0.54362573099415201</v>
      </c>
      <c r="M75" s="194">
        <v>0.75567615140644151</v>
      </c>
      <c r="N75" s="68">
        <v>1</v>
      </c>
      <c r="O75" s="56"/>
      <c r="P75" s="69"/>
    </row>
    <row r="76" spans="2:57">
      <c r="B76" s="33" t="s">
        <v>9</v>
      </c>
      <c r="C76" s="65"/>
      <c r="D76" s="76">
        <v>-0.78125000000001632</v>
      </c>
      <c r="E76" s="76">
        <v>5.6884091424158765</v>
      </c>
      <c r="F76" s="66">
        <v>4.8</v>
      </c>
      <c r="G76" s="65"/>
      <c r="H76" s="76">
        <v>-1.1688644365024441</v>
      </c>
      <c r="I76" s="76">
        <v>5.531629643435461</v>
      </c>
      <c r="J76" s="66">
        <v>4.8</v>
      </c>
      <c r="K76" s="67"/>
      <c r="L76" s="194">
        <v>0.5808771929824561</v>
      </c>
      <c r="M76" s="194">
        <v>0.74128439277561164</v>
      </c>
      <c r="N76" s="68">
        <v>1</v>
      </c>
      <c r="P76" s="69"/>
    </row>
    <row r="77" spans="2:57">
      <c r="B77" s="34" t="s">
        <v>40</v>
      </c>
      <c r="C77" s="65"/>
      <c r="D77" s="76"/>
      <c r="E77" s="76">
        <v>11.904402895054256</v>
      </c>
      <c r="F77" s="66">
        <v>5.5</v>
      </c>
      <c r="G77" s="65"/>
      <c r="H77" s="76"/>
      <c r="I77" s="76">
        <v>13.27623252148428</v>
      </c>
      <c r="J77" s="66">
        <v>5.5</v>
      </c>
      <c r="K77" s="67"/>
      <c r="L77" s="194"/>
      <c r="M77" s="194">
        <v>0.54554653679653675</v>
      </c>
      <c r="N77" s="68">
        <v>1</v>
      </c>
      <c r="P77" s="69"/>
    </row>
    <row r="78" spans="2:57">
      <c r="B78" s="22" t="s">
        <v>33</v>
      </c>
      <c r="C78" s="65"/>
      <c r="D78" s="76">
        <v>3.7185929648241238</v>
      </c>
      <c r="E78" s="76">
        <v>4.2675953841355607</v>
      </c>
      <c r="F78" s="66">
        <v>3.3</v>
      </c>
      <c r="G78" s="65"/>
      <c r="H78" s="76">
        <v>3.5401443549560527</v>
      </c>
      <c r="I78" s="76">
        <v>4.1118286580052033</v>
      </c>
      <c r="J78" s="66">
        <v>3.3</v>
      </c>
      <c r="K78" s="67"/>
      <c r="L78" s="194">
        <v>0.33614035087719296</v>
      </c>
      <c r="M78" s="194">
        <v>0.78836257309941515</v>
      </c>
      <c r="N78" s="68">
        <v>1</v>
      </c>
      <c r="P78" s="69"/>
    </row>
    <row r="79" spans="2:57">
      <c r="B79" s="35" t="s">
        <v>29</v>
      </c>
      <c r="C79" s="65"/>
      <c r="D79" s="76"/>
      <c r="E79" s="76"/>
      <c r="F79" s="66">
        <v>3.3</v>
      </c>
      <c r="G79" s="282"/>
      <c r="H79" s="76"/>
      <c r="I79" s="76"/>
      <c r="J79" s="66">
        <v>3</v>
      </c>
      <c r="L79" s="194"/>
      <c r="M79" s="194"/>
      <c r="N79" s="68">
        <v>1</v>
      </c>
      <c r="P79" s="69"/>
    </row>
    <row r="80" spans="2:57">
      <c r="B80" s="36" t="s">
        <v>15</v>
      </c>
      <c r="C80" s="282"/>
      <c r="D80" s="76"/>
      <c r="E80" s="76">
        <v>7.8262258425171876</v>
      </c>
      <c r="F80" s="70">
        <f>[21]May_2022!$M$43</f>
        <v>3.4878406700073312</v>
      </c>
      <c r="G80" s="282"/>
      <c r="H80" s="76"/>
      <c r="I80" s="76">
        <v>9.4300678869947632</v>
      </c>
      <c r="J80" s="66">
        <v>5.5</v>
      </c>
      <c r="K80" s="67"/>
      <c r="L80" s="194"/>
      <c r="M80" s="194">
        <v>0.674970760233918</v>
      </c>
      <c r="N80" s="68">
        <v>1</v>
      </c>
      <c r="P80" s="69"/>
    </row>
    <row r="81" spans="2:16">
      <c r="B81" s="37" t="s">
        <v>16</v>
      </c>
      <c r="C81" s="65">
        <f>L70</f>
        <v>4.4761595848199667</v>
      </c>
      <c r="D81" s="76">
        <v>4.4761595848199667</v>
      </c>
      <c r="E81" s="76">
        <v>2.8990450204638254</v>
      </c>
      <c r="F81" s="66">
        <v>3.3</v>
      </c>
      <c r="G81" s="282">
        <f>[34]June_2025!$G$63</f>
        <v>4.5799898461408048</v>
      </c>
      <c r="H81" s="76">
        <v>4.5799898461408048</v>
      </c>
      <c r="I81" s="76">
        <v>4.4797971833783148</v>
      </c>
      <c r="J81" s="66">
        <v>3.3</v>
      </c>
      <c r="K81" s="67">
        <f>K70</f>
        <v>0.34444444444444444</v>
      </c>
      <c r="L81" s="194">
        <v>0.34444444444444444</v>
      </c>
      <c r="M81" s="194">
        <v>0.75981884057971016</v>
      </c>
      <c r="N81" s="71">
        <v>1</v>
      </c>
      <c r="P81" s="69"/>
    </row>
    <row r="82" spans="2:16" ht="14.4" thickBot="1">
      <c r="B82" s="38" t="s">
        <v>127</v>
      </c>
      <c r="C82" s="65"/>
      <c r="D82" s="76"/>
      <c r="E82" s="76"/>
      <c r="F82" s="66">
        <v>7.5</v>
      </c>
      <c r="G82" s="282"/>
      <c r="H82" s="76"/>
      <c r="I82" s="76"/>
      <c r="J82" s="66">
        <v>7.5</v>
      </c>
      <c r="K82" s="67"/>
      <c r="L82" s="194"/>
      <c r="M82" s="194"/>
      <c r="N82" s="71">
        <v>1</v>
      </c>
      <c r="P82" s="69"/>
    </row>
    <row r="83" spans="2:16" ht="14.4" thickBot="1">
      <c r="B83" s="415" t="s">
        <v>161</v>
      </c>
      <c r="C83" s="65"/>
      <c r="D83" s="76"/>
      <c r="E83" s="76">
        <v>4.8792508624938291</v>
      </c>
      <c r="F83" s="66">
        <v>4.8</v>
      </c>
      <c r="G83" s="282"/>
      <c r="H83" s="76"/>
      <c r="I83" s="76">
        <v>6.2003723782925313</v>
      </c>
      <c r="J83" s="66">
        <v>4.8</v>
      </c>
      <c r="K83" s="67"/>
      <c r="L83" s="194"/>
      <c r="M83" s="194">
        <v>0.33859649122807017</v>
      </c>
      <c r="N83" s="71">
        <v>1</v>
      </c>
      <c r="O83" s="74"/>
      <c r="P83" s="75"/>
    </row>
    <row r="84" spans="2:16">
      <c r="D84" s="76">
        <v>2.6645602948920439</v>
      </c>
      <c r="E84" s="76">
        <v>6.4596244581692179</v>
      </c>
      <c r="F84" s="341">
        <v>5.5</v>
      </c>
      <c r="H84" s="76">
        <v>2.2733883467987432</v>
      </c>
      <c r="I84" s="76">
        <v>6.8123907552237846</v>
      </c>
      <c r="J84" s="341">
        <v>5.5</v>
      </c>
      <c r="K84" s="67"/>
      <c r="L84" s="194">
        <v>0.47719298245614028</v>
      </c>
      <c r="M84" s="194">
        <v>0.71774244011453314</v>
      </c>
      <c r="N84" s="386">
        <v>1</v>
      </c>
    </row>
    <row r="88" spans="2:16">
      <c r="F88" s="315"/>
    </row>
  </sheetData>
  <mergeCells count="51">
    <mergeCell ref="M66:M67"/>
    <mergeCell ref="B73:F73"/>
    <mergeCell ref="G73:J73"/>
    <mergeCell ref="K73:N73"/>
    <mergeCell ref="G66:G67"/>
    <mergeCell ref="H66:H67"/>
    <mergeCell ref="I66:I67"/>
    <mergeCell ref="J66:J67"/>
    <mergeCell ref="K66:K67"/>
    <mergeCell ref="L66:L67"/>
    <mergeCell ref="F66:F67"/>
    <mergeCell ref="D61:E61"/>
    <mergeCell ref="B66:B67"/>
    <mergeCell ref="C66:C67"/>
    <mergeCell ref="D66:D67"/>
    <mergeCell ref="E66:E67"/>
    <mergeCell ref="B51:B60"/>
    <mergeCell ref="D51:E52"/>
    <mergeCell ref="J51:K51"/>
    <mergeCell ref="L52:N52"/>
    <mergeCell ref="D53:E54"/>
    <mergeCell ref="D55:E56"/>
    <mergeCell ref="D57:E58"/>
    <mergeCell ref="D59:E60"/>
    <mergeCell ref="I37:N37"/>
    <mergeCell ref="D38:E38"/>
    <mergeCell ref="B39:B50"/>
    <mergeCell ref="D39:E40"/>
    <mergeCell ref="D41:E42"/>
    <mergeCell ref="D43:E44"/>
    <mergeCell ref="D45:E46"/>
    <mergeCell ref="D47:E48"/>
    <mergeCell ref="D49:E50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61:B62">
    <cfRule type="cellIs" dxfId="2194" priority="109" operator="notBetween">
      <formula>#REF!</formula>
      <formula>#REF!</formula>
    </cfRule>
  </conditionalFormatting>
  <conditionalFormatting sqref="C65">
    <cfRule type="cellIs" dxfId="2193" priority="140" stopIfTrue="1" operator="lessThan">
      <formula>96</formula>
    </cfRule>
    <cfRule type="cellIs" dxfId="2192" priority="141" stopIfTrue="1" operator="greaterThan">
      <formula>100</formula>
    </cfRule>
  </conditionalFormatting>
  <conditionalFormatting sqref="C75:C76">
    <cfRule type="cellIs" dxfId="2191" priority="87" stopIfTrue="1" operator="lessThanOrEqual">
      <formula>0</formula>
    </cfRule>
  </conditionalFormatting>
  <conditionalFormatting sqref="C75:C79">
    <cfRule type="cellIs" dxfId="2190" priority="86" stopIfTrue="1" operator="greaterThan">
      <formula>$F75</formula>
    </cfRule>
  </conditionalFormatting>
  <conditionalFormatting sqref="C76">
    <cfRule type="cellIs" dxfId="2189" priority="144" stopIfTrue="1" operator="greaterThan">
      <formula>$F75</formula>
    </cfRule>
  </conditionalFormatting>
  <conditionalFormatting sqref="C77:C80">
    <cfRule type="cellIs" dxfId="2188" priority="93" stopIfTrue="1" operator="lessThanOrEqual">
      <formula>0</formula>
    </cfRule>
  </conditionalFormatting>
  <conditionalFormatting sqref="C80">
    <cfRule type="cellIs" dxfId="2187" priority="92" stopIfTrue="1" operator="greaterThan">
      <formula>$J80</formula>
    </cfRule>
  </conditionalFormatting>
  <conditionalFormatting sqref="C86:C90">
    <cfRule type="cellIs" dxfId="2186" priority="132" stopIfTrue="1" operator="lessThanOrEqual">
      <formula>0</formula>
    </cfRule>
  </conditionalFormatting>
  <conditionalFormatting sqref="C87:C90">
    <cfRule type="cellIs" dxfId="2185" priority="131" stopIfTrue="1" operator="greaterThan">
      <formula>$F$86</formula>
    </cfRule>
  </conditionalFormatting>
  <conditionalFormatting sqref="C92">
    <cfRule type="cellIs" dxfId="2184" priority="134" stopIfTrue="1" operator="lessThanOrEqual">
      <formula>0</formula>
    </cfRule>
    <cfRule type="cellIs" dxfId="2183" priority="133" stopIfTrue="1" operator="greaterThan">
      <formula>$F$86</formula>
    </cfRule>
  </conditionalFormatting>
  <conditionalFormatting sqref="C86:D86 D88:D94">
    <cfRule type="cellIs" dxfId="2182" priority="126" stopIfTrue="1" operator="greaterThan">
      <formula>4.5</formula>
    </cfRule>
  </conditionalFormatting>
  <conditionalFormatting sqref="D61:D62">
    <cfRule type="cellIs" dxfId="2181" priority="110" operator="notBetween">
      <formula>#REF!</formula>
      <formula>#REF!</formula>
    </cfRule>
  </conditionalFormatting>
  <conditionalFormatting sqref="D75:D82">
    <cfRule type="cellIs" dxfId="2180" priority="103" stopIfTrue="1" operator="lessThanOrEqual">
      <formula>0</formula>
    </cfRule>
  </conditionalFormatting>
  <conditionalFormatting sqref="D83">
    <cfRule type="cellIs" dxfId="2179" priority="102" stopIfTrue="1" operator="lessThanOrEqual">
      <formula>0</formula>
    </cfRule>
  </conditionalFormatting>
  <conditionalFormatting sqref="D86 D88:D94">
    <cfRule type="cellIs" dxfId="2178" priority="127" stopIfTrue="1" operator="lessThanOrEqual">
      <formula>0</formula>
    </cfRule>
  </conditionalFormatting>
  <conditionalFormatting sqref="D87">
    <cfRule type="cellIs" dxfId="2177" priority="119" stopIfTrue="1" operator="lessThanOrEqual">
      <formula>0</formula>
    </cfRule>
    <cfRule type="cellIs" dxfId="2176" priority="118" stopIfTrue="1" operator="greaterThan">
      <formula>$F$86</formula>
    </cfRule>
  </conditionalFormatting>
  <conditionalFormatting sqref="D75:E84">
    <cfRule type="cellIs" dxfId="2175" priority="83" stopIfTrue="1" operator="greaterThan">
      <formula>$F75</formula>
    </cfRule>
  </conditionalFormatting>
  <conditionalFormatting sqref="D84:E84">
    <cfRule type="cellIs" dxfId="2174" priority="84" stopIfTrue="1" operator="lessThanOrEqual">
      <formula>0</formula>
    </cfRule>
  </conditionalFormatting>
  <conditionalFormatting sqref="E10:E36">
    <cfRule type="cellIs" dxfId="2173" priority="4" operator="lessThan">
      <formula>48</formula>
    </cfRule>
  </conditionalFormatting>
  <conditionalFormatting sqref="E64 E65:F65">
    <cfRule type="cellIs" dxfId="2172" priority="123" stopIfTrue="1" operator="greaterThan">
      <formula>100</formula>
    </cfRule>
  </conditionalFormatting>
  <conditionalFormatting sqref="E65">
    <cfRule type="cellIs" dxfId="2171" priority="121" stopIfTrue="1" operator="greaterThan">
      <formula>100</formula>
    </cfRule>
    <cfRule type="cellIs" dxfId="2170" priority="120" stopIfTrue="1" operator="lessThan">
      <formula>96.8</formula>
    </cfRule>
  </conditionalFormatting>
  <conditionalFormatting sqref="E75:E83">
    <cfRule type="cellIs" dxfId="2169" priority="97" stopIfTrue="1" operator="lessThanOrEqual">
      <formula>0</formula>
    </cfRule>
  </conditionalFormatting>
  <conditionalFormatting sqref="E86:E94">
    <cfRule type="cellIs" dxfId="2168" priority="113" stopIfTrue="1" operator="lessThanOrEqual">
      <formula>0</formula>
    </cfRule>
    <cfRule type="cellIs" dxfId="2167" priority="112" stopIfTrue="1" operator="greaterThan">
      <formula>4.5</formula>
    </cfRule>
  </conditionalFormatting>
  <conditionalFormatting sqref="E65:F65 E64">
    <cfRule type="cellIs" dxfId="2166" priority="122" stopIfTrue="1" operator="lessThan">
      <formula>96.5</formula>
    </cfRule>
  </conditionalFormatting>
  <conditionalFormatting sqref="F10:F36">
    <cfRule type="cellIs" dxfId="2165" priority="5" operator="greaterThan">
      <formula>60</formula>
    </cfRule>
  </conditionalFormatting>
  <conditionalFormatting sqref="F65">
    <cfRule type="cellIs" dxfId="2164" priority="138" stopIfTrue="1" operator="lessThan">
      <formula>96.8</formula>
    </cfRule>
    <cfRule type="cellIs" dxfId="2163" priority="139" stopIfTrue="1" operator="greaterThan">
      <formula>100</formula>
    </cfRule>
  </conditionalFormatting>
  <conditionalFormatting sqref="F84">
    <cfRule type="cellIs" dxfId="2162" priority="99" stopIfTrue="1" operator="lessThanOrEqual">
      <formula>0</formula>
    </cfRule>
    <cfRule type="cellIs" dxfId="2161" priority="98" stopIfTrue="1" operator="greaterThan">
      <formula>$F84</formula>
    </cfRule>
  </conditionalFormatting>
  <conditionalFormatting sqref="G28:G30">
    <cfRule type="expression" dxfId="2160" priority="37">
      <formula>IF(+(IF(G28&lt;S28,0,IF(G28&gt;T28,0,1)))=0,1)</formula>
    </cfRule>
  </conditionalFormatting>
  <conditionalFormatting sqref="G75:G76 C81:C83">
    <cfRule type="cellIs" dxfId="2159" priority="104" stopIfTrue="1" operator="greaterThan">
      <formula>$F75</formula>
    </cfRule>
    <cfRule type="cellIs" dxfId="2158" priority="105" stopIfTrue="1" operator="lessThanOrEqual">
      <formula>0</formula>
    </cfRule>
  </conditionalFormatting>
  <conditionalFormatting sqref="G75:G76">
    <cfRule type="cellIs" dxfId="2157" priority="89" stopIfTrue="1" operator="lessThanOrEqual">
      <formula>0</formula>
    </cfRule>
    <cfRule type="cellIs" dxfId="2156" priority="88" stopIfTrue="1" operator="greaterThan">
      <formula>$F75</formula>
    </cfRule>
  </conditionalFormatting>
  <conditionalFormatting sqref="G77">
    <cfRule type="cellIs" dxfId="2155" priority="142" stopIfTrue="1" operator="greaterThan">
      <formula>$F76</formula>
    </cfRule>
    <cfRule type="cellIs" dxfId="2154" priority="143" stopIfTrue="1" operator="lessThanOrEqual">
      <formula>0</formula>
    </cfRule>
  </conditionalFormatting>
  <conditionalFormatting sqref="G78">
    <cfRule type="cellIs" dxfId="2153" priority="100" stopIfTrue="1" operator="greaterThan">
      <formula>$F78</formula>
    </cfRule>
    <cfRule type="cellIs" dxfId="2152" priority="101" stopIfTrue="1" operator="lessThanOrEqual">
      <formula>0</formula>
    </cfRule>
  </conditionalFormatting>
  <conditionalFormatting sqref="G79:G83">
    <cfRule type="cellIs" dxfId="2151" priority="107" stopIfTrue="1" operator="lessThanOrEqual">
      <formula>0</formula>
    </cfRule>
    <cfRule type="cellIs" dxfId="2150" priority="106" stopIfTrue="1" operator="greaterThan">
      <formula>$J79</formula>
    </cfRule>
  </conditionalFormatting>
  <conditionalFormatting sqref="G88:G93 C91 C93">
    <cfRule type="cellIs" dxfId="2149" priority="135" stopIfTrue="1" operator="greaterThan">
      <formula>4.5</formula>
    </cfRule>
    <cfRule type="cellIs" dxfId="2148" priority="136" stopIfTrue="1" operator="lessThanOrEqual">
      <formula>0</formula>
    </cfRule>
  </conditionalFormatting>
  <conditionalFormatting sqref="G10:H27">
    <cfRule type="expression" dxfId="2147" priority="1">
      <formula>IF(+(IF(G10&lt;#REF!,0,IF(G10&gt;#REF!,0,1)))=0,1)</formula>
    </cfRule>
  </conditionalFormatting>
  <conditionalFormatting sqref="G31:H36">
    <cfRule type="expression" dxfId="2146" priority="26">
      <formula>IF(+(IF(G31&lt;#REF!,0,IF(G31&gt;#REF!,0,1)))=0,1)</formula>
    </cfRule>
  </conditionalFormatting>
  <conditionalFormatting sqref="G87:H87">
    <cfRule type="cellIs" dxfId="2145" priority="116" stopIfTrue="1" operator="greaterThan">
      <formula>$F$86</formula>
    </cfRule>
    <cfRule type="cellIs" dxfId="2144" priority="117" stopIfTrue="1" operator="lessThanOrEqual">
      <formula>0</formula>
    </cfRule>
  </conditionalFormatting>
  <conditionalFormatting sqref="H28:H30">
    <cfRule type="expression" dxfId="2143" priority="52">
      <formula>IF(+(IF(H28&lt;#REF!,0,IF(H28&gt;#REF!,0,1)))=0,1)</formula>
    </cfRule>
  </conditionalFormatting>
  <conditionalFormatting sqref="H50:H64">
    <cfRule type="cellIs" dxfId="2142" priority="114" stopIfTrue="1" operator="greaterThan">
      <formula>0</formula>
    </cfRule>
  </conditionalFormatting>
  <conditionalFormatting sqref="H68">
    <cfRule type="cellIs" dxfId="2141" priority="22" stopIfTrue="1" operator="greaterThan">
      <formula>$F$41</formula>
    </cfRule>
    <cfRule type="cellIs" dxfId="2140" priority="14" stopIfTrue="1" operator="greaterThan">
      <formula>$F$38</formula>
    </cfRule>
    <cfRule type="cellIs" dxfId="2139" priority="13" stopIfTrue="1" operator="lessThanOrEqual">
      <formula>0</formula>
    </cfRule>
    <cfRule type="cellIs" dxfId="2138" priority="25" stopIfTrue="1" operator="lessThanOrEqual">
      <formula>0</formula>
    </cfRule>
    <cfRule type="cellIs" dxfId="2137" priority="24" stopIfTrue="1" operator="greaterThan">
      <formula>$F$39</formula>
    </cfRule>
    <cfRule type="cellIs" dxfId="2136" priority="23" stopIfTrue="1" operator="lessThanOrEqual">
      <formula>0</formula>
    </cfRule>
  </conditionalFormatting>
  <conditionalFormatting sqref="H69:H71">
    <cfRule type="cellIs" dxfId="2135" priority="57" stopIfTrue="1" operator="greaterThan">
      <formula>$F$49</formula>
    </cfRule>
    <cfRule type="cellIs" dxfId="2134" priority="56" stopIfTrue="1" operator="lessThanOrEqual">
      <formula>0</formula>
    </cfRule>
    <cfRule type="cellIs" dxfId="2133" priority="65" stopIfTrue="1" operator="greaterThan">
      <formula>$F$52</formula>
    </cfRule>
    <cfRule type="cellIs" dxfId="2132" priority="66" stopIfTrue="1" operator="lessThanOrEqual">
      <formula>0</formula>
    </cfRule>
    <cfRule type="cellIs" dxfId="2131" priority="67" stopIfTrue="1" operator="greaterThan">
      <formula>$F$50</formula>
    </cfRule>
    <cfRule type="cellIs" dxfId="2130" priority="68" stopIfTrue="1" operator="lessThanOrEqual">
      <formula>0</formula>
    </cfRule>
  </conditionalFormatting>
  <conditionalFormatting sqref="H75:H82">
    <cfRule type="cellIs" dxfId="2129" priority="91" stopIfTrue="1" operator="lessThanOrEqual">
      <formula>0</formula>
    </cfRule>
    <cfRule type="cellIs" dxfId="2128" priority="90" stopIfTrue="1" operator="greaterThan">
      <formula>$J75</formula>
    </cfRule>
  </conditionalFormatting>
  <conditionalFormatting sqref="H83">
    <cfRule type="cellIs" dxfId="2127" priority="94" operator="greaterThan">
      <formula>5.3</formula>
    </cfRule>
  </conditionalFormatting>
  <conditionalFormatting sqref="H86 H88:H94">
    <cfRule type="cellIs" dxfId="2126" priority="128" stopIfTrue="1" operator="greaterThan">
      <formula>4.5</formula>
    </cfRule>
    <cfRule type="cellIs" dxfId="2125" priority="129" stopIfTrue="1" operator="lessThanOrEqual">
      <formula>0</formula>
    </cfRule>
  </conditionalFormatting>
  <conditionalFormatting sqref="H68:I68">
    <cfRule type="cellIs" dxfId="2124" priority="15" stopIfTrue="1" operator="lessThanOrEqual">
      <formula>0</formula>
    </cfRule>
    <cfRule type="cellIs" dxfId="2123" priority="12" stopIfTrue="1" operator="greaterThan">
      <formula>$F$40</formula>
    </cfRule>
  </conditionalFormatting>
  <conditionalFormatting sqref="H69:I71">
    <cfRule type="cellIs" dxfId="2122" priority="55" stopIfTrue="1" operator="greaterThan">
      <formula>$F$51</formula>
    </cfRule>
    <cfRule type="cellIs" dxfId="2121" priority="58" stopIfTrue="1" operator="lessThanOrEqual">
      <formula>0</formula>
    </cfRule>
  </conditionalFormatting>
  <conditionalFormatting sqref="H84:I84">
    <cfRule type="cellIs" dxfId="2120" priority="81" stopIfTrue="1" operator="greaterThan">
      <formula>$J84</formula>
    </cfRule>
    <cfRule type="cellIs" dxfId="2119" priority="82" stopIfTrue="1" operator="lessThanOrEqual">
      <formula>0</formula>
    </cfRule>
  </conditionalFormatting>
  <conditionalFormatting sqref="I68">
    <cfRule type="cellIs" dxfId="2118" priority="16" stopIfTrue="1" operator="greaterThan">
      <formula>$F$38</formula>
    </cfRule>
    <cfRule type="cellIs" dxfId="2117" priority="21" stopIfTrue="1" operator="lessThanOrEqual">
      <formula>0</formula>
    </cfRule>
    <cfRule type="cellIs" dxfId="2116" priority="20" stopIfTrue="1" operator="greaterThan">
      <formula>$F$38</formula>
    </cfRule>
    <cfRule type="cellIs" dxfId="2115" priority="19" stopIfTrue="1" operator="lessThanOrEqual">
      <formula>0</formula>
    </cfRule>
    <cfRule type="cellIs" dxfId="2114" priority="18" stopIfTrue="1" operator="greaterThan">
      <formula>$F$40</formula>
    </cfRule>
    <cfRule type="cellIs" dxfId="2113" priority="17" stopIfTrue="1" operator="lessThanOrEqual">
      <formula>0</formula>
    </cfRule>
  </conditionalFormatting>
  <conditionalFormatting sqref="I69:I71">
    <cfRule type="cellIs" dxfId="2112" priority="64" stopIfTrue="1" operator="lessThanOrEqual">
      <formula>0</formula>
    </cfRule>
    <cfRule type="cellIs" dxfId="2111" priority="63" stopIfTrue="1" operator="greaterThan">
      <formula>$F$49</formula>
    </cfRule>
    <cfRule type="cellIs" dxfId="2110" priority="62" stopIfTrue="1" operator="lessThanOrEqual">
      <formula>0</formula>
    </cfRule>
    <cfRule type="cellIs" dxfId="2109" priority="61" stopIfTrue="1" operator="greaterThan">
      <formula>$F$51</formula>
    </cfRule>
    <cfRule type="cellIs" dxfId="2108" priority="60" stopIfTrue="1" operator="lessThanOrEqual">
      <formula>0</formula>
    </cfRule>
    <cfRule type="cellIs" dxfId="2107" priority="59" stopIfTrue="1" operator="greaterThan">
      <formula>$F$49</formula>
    </cfRule>
  </conditionalFormatting>
  <conditionalFormatting sqref="I75:I83">
    <cfRule type="cellIs" dxfId="2106" priority="96" stopIfTrue="1" operator="lessThanOrEqual">
      <formula>0</formula>
    </cfRule>
    <cfRule type="cellIs" dxfId="2105" priority="95" stopIfTrue="1" operator="greaterThan">
      <formula>$J75</formula>
    </cfRule>
  </conditionalFormatting>
  <conditionalFormatting sqref="I86:I94">
    <cfRule type="cellIs" dxfId="2104" priority="125" stopIfTrue="1" operator="lessThanOrEqual">
      <formula>0</formula>
    </cfRule>
    <cfRule type="cellIs" dxfId="2103" priority="124" stopIfTrue="1" operator="greaterThan">
      <formula>4.5</formula>
    </cfRule>
  </conditionalFormatting>
  <conditionalFormatting sqref="I10:J36">
    <cfRule type="cellIs" dxfId="2102" priority="2" operator="lessThan">
      <formula>97.9</formula>
    </cfRule>
  </conditionalFormatting>
  <conditionalFormatting sqref="J39:J41">
    <cfRule type="cellIs" dxfId="2101" priority="71" stopIfTrue="1" operator="lessThan">
      <formula>96.8</formula>
    </cfRule>
    <cfRule type="cellIs" dxfId="2100" priority="72" stopIfTrue="1" operator="greaterThan">
      <formula>100</formula>
    </cfRule>
    <cfRule type="cellIs" dxfId="2099" priority="73" operator="lessThan">
      <formula>98</formula>
    </cfRule>
  </conditionalFormatting>
  <conditionalFormatting sqref="J39:J43">
    <cfRule type="cellIs" dxfId="2098" priority="70" operator="lessThan">
      <formula>97.4</formula>
    </cfRule>
  </conditionalFormatting>
  <conditionalFormatting sqref="J44">
    <cfRule type="cellIs" dxfId="2097" priority="74" operator="lessThan">
      <formula>98</formula>
    </cfRule>
  </conditionalFormatting>
  <conditionalFormatting sqref="J45:J47">
    <cfRule type="cellIs" dxfId="2096" priority="76" stopIfTrue="1" operator="greaterThan">
      <formula>100</formula>
    </cfRule>
    <cfRule type="cellIs" dxfId="2095" priority="75" stopIfTrue="1" operator="lessThan">
      <formula>96.8</formula>
    </cfRule>
  </conditionalFormatting>
  <conditionalFormatting sqref="J45:J48">
    <cfRule type="cellIs" dxfId="2094" priority="77" operator="lessThan">
      <formula>98</formula>
    </cfRule>
  </conditionalFormatting>
  <conditionalFormatting sqref="J84">
    <cfRule type="cellIs" dxfId="2093" priority="78" stopIfTrue="1" operator="greaterThan">
      <formula>$F84</formula>
    </cfRule>
    <cfRule type="cellIs" dxfId="2092" priority="79" stopIfTrue="1" operator="lessThanOrEqual">
      <formula>0</formula>
    </cfRule>
  </conditionalFormatting>
  <conditionalFormatting sqref="K10:K36">
    <cfRule type="cellIs" dxfId="2091" priority="7" operator="greaterThan">
      <formula>6</formula>
    </cfRule>
    <cfRule type="cellIs" dxfId="2090" priority="8" operator="lessThan">
      <formula>4</formula>
    </cfRule>
    <cfRule type="cellIs" dxfId="2089" priority="9" operator="greaterThan">
      <formula>6.4</formula>
    </cfRule>
  </conditionalFormatting>
  <conditionalFormatting sqref="K53:K57 K59:K62">
    <cfRule type="cellIs" dxfId="2088" priority="69" operator="notEqual">
      <formula>#REF!</formula>
    </cfRule>
  </conditionalFormatting>
  <conditionalFormatting sqref="K68:K71">
    <cfRule type="cellIs" dxfId="2087" priority="53" stopIfTrue="1" operator="lessThan">
      <formula>100%</formula>
    </cfRule>
  </conditionalFormatting>
  <conditionalFormatting sqref="K86:K91">
    <cfRule type="cellIs" dxfId="2086" priority="130" stopIfTrue="1" operator="lessThan">
      <formula>100%</formula>
    </cfRule>
  </conditionalFormatting>
  <conditionalFormatting sqref="K93:K94">
    <cfRule type="cellIs" dxfId="2085" priority="137" stopIfTrue="1" operator="lessThan">
      <formula>100%</formula>
    </cfRule>
  </conditionalFormatting>
  <conditionalFormatting sqref="K75:N78 L79:N79">
    <cfRule type="cellIs" dxfId="2084" priority="108" stopIfTrue="1" operator="lessThan">
      <formula>100%</formula>
    </cfRule>
  </conditionalFormatting>
  <conditionalFormatting sqref="K80:N84">
    <cfRule type="cellIs" dxfId="2083" priority="80" stopIfTrue="1" operator="lessThan">
      <formula>100%</formula>
    </cfRule>
  </conditionalFormatting>
  <conditionalFormatting sqref="L10:L36">
    <cfRule type="cellIs" dxfId="2082" priority="10" operator="between">
      <formula>61</formula>
      <formula>65</formula>
    </cfRule>
    <cfRule type="cellIs" dxfId="2081" priority="11" operator="greaterThan">
      <formula>65</formula>
    </cfRule>
  </conditionalFormatting>
  <conditionalFormatting sqref="L54:N54">
    <cfRule type="cellIs" dxfId="2080" priority="54" operator="notEqual">
      <formula>#REF!</formula>
    </cfRule>
  </conditionalFormatting>
  <conditionalFormatting sqref="L86:N94">
    <cfRule type="cellIs" dxfId="2079" priority="115" stopIfTrue="1" operator="lessThan">
      <formula>100%</formula>
    </cfRule>
  </conditionalFormatting>
  <conditionalFormatting sqref="M10:M36">
    <cfRule type="expression" dxfId="2078" priority="6">
      <formula>IF(+(IF(M10&lt;U10,0,IF(M10&gt;V10,0,1)))=0,1)</formula>
    </cfRule>
  </conditionalFormatting>
  <conditionalFormatting sqref="M39 L40:M50">
    <cfRule type="cellIs" dxfId="2077" priority="85" operator="lessThan">
      <formula>98</formula>
    </cfRule>
  </conditionalFormatting>
  <conditionalFormatting sqref="N10:N36">
    <cfRule type="expression" dxfId="2076" priority="3">
      <formula>IF(+(IF(N10&lt;W10,0,IF(N10&gt;X10,0,1)))=0,1)</formula>
    </cfRule>
  </conditionalFormatting>
  <conditionalFormatting sqref="P6">
    <cfRule type="cellIs" dxfId="2075" priority="111" operator="greaterThanOrEqual">
      <formula>19</formula>
    </cfRule>
  </conditionalFormatting>
  <dataValidations disablePrompts="1" count="1">
    <dataValidation type="list" allowBlank="1" showInputMessage="1" showErrorMessage="1" sqref="R8" xr:uid="{1A4C9CA1-6D16-443C-9049-3BAC6BC11589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8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16FD-5CB6-4F5B-A9EE-47BCD206B077}">
  <sheetPr>
    <pageSetUpPr fitToPage="1"/>
  </sheetPr>
  <dimension ref="A1:BE88"/>
  <sheetViews>
    <sheetView topLeftCell="A25" zoomScale="60" zoomScaleNormal="60" workbookViewId="0">
      <selection activeCell="B29" sqref="B29:O29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21.33203125" style="275" customWidth="1"/>
    <col min="16" max="16" width="82.55468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73" t="s">
        <v>0</v>
      </c>
      <c r="T1" s="473"/>
      <c r="U1" s="473" t="s">
        <v>1</v>
      </c>
      <c r="V1" s="473"/>
      <c r="W1" s="473" t="s">
        <v>2</v>
      </c>
      <c r="X1" s="473"/>
      <c r="Y1" s="473" t="s">
        <v>124</v>
      </c>
      <c r="Z1" s="473"/>
    </row>
    <row r="2" spans="2:29" ht="14.4">
      <c r="B2" s="474" t="s">
        <v>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45814</v>
      </c>
      <c r="J4" s="398" t="s">
        <v>172</v>
      </c>
      <c r="K4" s="398"/>
      <c r="L4" s="11"/>
      <c r="M4" s="471" t="s">
        <v>8</v>
      </c>
      <c r="N4" s="472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68"/>
      <c r="D5" s="468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171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81" t="s">
        <v>17</v>
      </c>
      <c r="C8" s="483" t="s">
        <v>18</v>
      </c>
      <c r="D8" s="483" t="s">
        <v>19</v>
      </c>
      <c r="E8" s="356" t="s">
        <v>20</v>
      </c>
      <c r="F8" s="356" t="s">
        <v>21</v>
      </c>
      <c r="G8" s="483" t="s">
        <v>22</v>
      </c>
      <c r="H8" s="485" t="s">
        <v>144</v>
      </c>
      <c r="I8" s="483" t="s">
        <v>173</v>
      </c>
      <c r="J8" s="487" t="s">
        <v>23</v>
      </c>
      <c r="K8" s="489" t="s">
        <v>142</v>
      </c>
      <c r="L8" s="491" t="s">
        <v>24</v>
      </c>
      <c r="M8" s="359" t="s">
        <v>25</v>
      </c>
      <c r="N8" s="17" t="s">
        <v>26</v>
      </c>
      <c r="O8" s="543" t="s">
        <v>155</v>
      </c>
      <c r="P8" s="555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482"/>
      <c r="C9" s="484"/>
      <c r="D9" s="484"/>
      <c r="E9" s="357" t="s">
        <v>30</v>
      </c>
      <c r="F9" s="357" t="s">
        <v>31</v>
      </c>
      <c r="G9" s="484"/>
      <c r="H9" s="486"/>
      <c r="I9" s="484"/>
      <c r="J9" s="488"/>
      <c r="K9" s="490"/>
      <c r="L9" s="492"/>
      <c r="M9" s="20" t="s">
        <v>32</v>
      </c>
      <c r="N9" s="21" t="s">
        <v>41</v>
      </c>
      <c r="O9" s="556"/>
      <c r="P9" s="555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29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97"/>
      <c r="N10" s="370"/>
      <c r="O10" s="371"/>
      <c r="P10" s="420"/>
      <c r="R10" s="277">
        <f t="shared" ref="R10:R38" si="0">B10</f>
        <v>0</v>
      </c>
      <c r="S10" s="296" t="e">
        <f t="shared" ref="S10:S38" si="1">VLOOKUP($B10,$R$3:$X$9,2,FALSE)</f>
        <v>#N/A</v>
      </c>
      <c r="T10" s="296" t="e">
        <f t="shared" ref="T10:T38" si="2">VLOOKUP($B10,$R$3:$X$9,3,FALSE)</f>
        <v>#N/A</v>
      </c>
      <c r="U10" s="297" t="e">
        <f t="shared" ref="U10:U38" si="3">VLOOKUP($B10,$R$3:$X$9,4,FALSE)</f>
        <v>#N/A</v>
      </c>
      <c r="V10" s="297" t="e">
        <f t="shared" ref="V10:V38" si="4">VLOOKUP($B10,$R$3:$X$9,5,FALSE)</f>
        <v>#N/A</v>
      </c>
      <c r="W10" s="297" t="e">
        <f t="shared" ref="W10:W38" si="5">VLOOKUP($B10,$R$3:$X$9,6,FALSE)</f>
        <v>#N/A</v>
      </c>
      <c r="X10" s="297" t="e">
        <f t="shared" ref="X10:X38" si="6">VLOOKUP($B10,$R$3:$X$9,7,FALSE)</f>
        <v>#N/A</v>
      </c>
      <c r="Y10" s="297" t="e">
        <f t="shared" ref="Y10:Y38" si="7">VLOOKUP($B10,$R$3:$Z$9,8,FALSE)</f>
        <v>#N/A</v>
      </c>
      <c r="Z10" s="296" t="e">
        <f t="shared" ref="Z10:Z38" si="8">VLOOKUP($B10,$R$3:$Z$9,9,FALSE)</f>
        <v>#N/A</v>
      </c>
    </row>
    <row r="11" spans="2:29" ht="15.75" hidden="1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392"/>
      <c r="L11" s="276"/>
      <c r="M11" s="397"/>
      <c r="N11" s="370"/>
      <c r="O11" s="371"/>
      <c r="P11" s="420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371"/>
      <c r="P12" s="420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392"/>
      <c r="L13" s="276"/>
      <c r="M13" s="397"/>
      <c r="N13" s="370"/>
      <c r="O13" s="371"/>
      <c r="P13" s="420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371"/>
      <c r="P14" s="420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29"/>
      <c r="C15" s="366"/>
      <c r="D15" s="279"/>
      <c r="E15" s="279"/>
      <c r="F15" s="278"/>
      <c r="G15" s="279"/>
      <c r="H15" s="367"/>
      <c r="I15" s="368"/>
      <c r="J15" s="368"/>
      <c r="K15" s="281"/>
      <c r="L15" s="276"/>
      <c r="M15" s="397"/>
      <c r="N15" s="370"/>
      <c r="O15" s="371"/>
      <c r="P15" s="420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29"/>
      <c r="C16" s="366"/>
      <c r="D16" s="279"/>
      <c r="E16" s="279"/>
      <c r="F16" s="278"/>
      <c r="G16" s="279"/>
      <c r="H16" s="367"/>
      <c r="I16" s="368"/>
      <c r="J16" s="368"/>
      <c r="K16" s="281"/>
      <c r="L16" s="276"/>
      <c r="M16" s="397"/>
      <c r="N16" s="370"/>
      <c r="O16" s="371"/>
      <c r="P16" s="420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20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20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20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customHeight="1">
      <c r="B20" s="29" t="s">
        <v>6</v>
      </c>
      <c r="C20" s="366" t="str">
        <f>[24]Brewhouse!$A508</f>
        <v>CA402</v>
      </c>
      <c r="D20" s="279">
        <f>[24]Brewhouse!$AF508</f>
        <v>53.3</v>
      </c>
      <c r="E20" s="279">
        <f>[24]Brewhouse!$AI508</f>
        <v>50.69</v>
      </c>
      <c r="F20" s="278">
        <f>[24]Brewhouse!$V508</f>
        <v>88</v>
      </c>
      <c r="G20" s="279">
        <f>[24]Brewhouse!$AG508</f>
        <v>11.9</v>
      </c>
      <c r="H20" s="396">
        <v>11.7</v>
      </c>
      <c r="I20" s="368">
        <f>[24]Brewhouse!$AU508</f>
        <v>97.963623821913586</v>
      </c>
      <c r="J20" s="368">
        <f>[24]Brewhouse!$AV508</f>
        <v>100.8802846079797</v>
      </c>
      <c r="K20" s="281">
        <f>[24]Brewhouse!$Q508</f>
        <v>6.2745098039215739</v>
      </c>
      <c r="L20" s="276">
        <f>[24]Brewhouse!$P508</f>
        <v>60</v>
      </c>
      <c r="M20" s="397">
        <f>[24]Brewhouse!$U508-[24]Brewhouse!$T508</f>
        <v>0.12916666666666665</v>
      </c>
      <c r="N20" s="370">
        <f>[24]Brewhouse!$Z508</f>
        <v>0.27152777777777776</v>
      </c>
      <c r="O20" s="371" t="str">
        <f>[24]Brewhouse!$AX508</f>
        <v>R. Regis</v>
      </c>
      <c r="P20" s="420"/>
      <c r="R20" s="277" t="str">
        <f t="shared" si="0"/>
        <v>CARIB</v>
      </c>
      <c r="S20" s="296">
        <f t="shared" si="1"/>
        <v>11.6</v>
      </c>
      <c r="T20" s="296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296">
        <f t="shared" si="8"/>
        <v>60</v>
      </c>
    </row>
    <row r="21" spans="2:26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20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customHeight="1">
      <c r="B22" s="33" t="s">
        <v>9</v>
      </c>
      <c r="C22" s="366" t="str">
        <f>[25]Brewhouse!$A242</f>
        <v>ST223</v>
      </c>
      <c r="D22" s="279">
        <f>[25]Brewhouse!$AD242</f>
        <v>52.9</v>
      </c>
      <c r="E22" s="279">
        <f>[25]Brewhouse!$AG242</f>
        <v>50</v>
      </c>
      <c r="F22" s="278">
        <f>[25]Brewhouse!$V242</f>
        <v>86</v>
      </c>
      <c r="G22" s="279">
        <f>[25]Brewhouse!$AE242</f>
        <v>11.6</v>
      </c>
      <c r="H22" s="396">
        <v>11.6</v>
      </c>
      <c r="I22" s="429">
        <f>[25]Brewhouse!$AS242</f>
        <v>95.024171381581283</v>
      </c>
      <c r="J22" s="429">
        <f>[25]Brewhouse!$AT242</f>
        <v>97.367547839761173</v>
      </c>
      <c r="K22" s="430">
        <f>[25]Brewhouse!$Q242</f>
        <v>7.7634011090573063</v>
      </c>
      <c r="L22" s="276">
        <f>[25]Brewhouse!$P242</f>
        <v>60</v>
      </c>
      <c r="M22" s="374">
        <f>[25]Brewhouse!$U242-[25]Brewhouse!$T242</f>
        <v>0.13611111111111113</v>
      </c>
      <c r="N22" s="370">
        <f>[25]Brewhouse!$AW242</f>
        <v>0.26666666666666666</v>
      </c>
      <c r="O22" s="422" t="str">
        <f>[25]Brewhouse!$AV242</f>
        <v>D. Gomaz</v>
      </c>
      <c r="P22" s="420"/>
      <c r="R22" s="277" t="str">
        <f t="shared" si="0"/>
        <v>STAG</v>
      </c>
      <c r="S22" s="296">
        <f t="shared" si="1"/>
        <v>11.6</v>
      </c>
      <c r="T22" s="296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296">
        <f t="shared" si="8"/>
        <v>60</v>
      </c>
    </row>
    <row r="23" spans="2:26" ht="15.75" customHeight="1">
      <c r="B23" s="33" t="s">
        <v>9</v>
      </c>
      <c r="C23" s="366" t="str">
        <f>[25]Brewhouse!$A243</f>
        <v>ST224</v>
      </c>
      <c r="D23" s="279">
        <f>[25]Brewhouse!$AD243</f>
        <v>52.2</v>
      </c>
      <c r="E23" s="279">
        <f>[25]Brewhouse!$AG243</f>
        <v>48.91</v>
      </c>
      <c r="F23" s="278">
        <f>[25]Brewhouse!$V243</f>
        <v>85</v>
      </c>
      <c r="G23" s="279">
        <f>[25]Brewhouse!$AE243</f>
        <v>11.9</v>
      </c>
      <c r="H23" s="396">
        <v>11.9</v>
      </c>
      <c r="I23" s="429">
        <f>[25]Brewhouse!$AS243</f>
        <v>95.603326677587518</v>
      </c>
      <c r="J23" s="429">
        <f>[25]Brewhouse!$AT243</f>
        <v>97.960219234935067</v>
      </c>
      <c r="K23" s="430">
        <f>[25]Brewhouse!$Q243</f>
        <v>5.4307116104868891</v>
      </c>
      <c r="L23" s="276">
        <f>[25]Brewhouse!$P243</f>
        <v>61</v>
      </c>
      <c r="M23" s="374">
        <f>[25]Brewhouse!$U243-[25]Brewhouse!$T243</f>
        <v>0.12708333333333333</v>
      </c>
      <c r="N23" s="370">
        <f>[25]Brewhouse!$AW243</f>
        <v>0.2590277777777778</v>
      </c>
      <c r="O23" s="422" t="str">
        <f>[25]Brewhouse!$AV243</f>
        <v>D. Gomaz</v>
      </c>
      <c r="P23" s="420"/>
      <c r="R23" s="277" t="str">
        <f t="shared" si="0"/>
        <v>STAG</v>
      </c>
      <c r="S23" s="296">
        <f t="shared" si="1"/>
        <v>11.6</v>
      </c>
      <c r="T23" s="296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296">
        <f t="shared" si="8"/>
        <v>60</v>
      </c>
    </row>
    <row r="24" spans="2:26" ht="15.75" customHeight="1">
      <c r="B24" s="33" t="s">
        <v>9</v>
      </c>
      <c r="C24" s="366" t="str">
        <f>[25]Brewhouse!$A244</f>
        <v>ST225</v>
      </c>
      <c r="D24" s="279">
        <f>[25]Brewhouse!$AD244</f>
        <v>53.3</v>
      </c>
      <c r="E24" s="279">
        <f>[25]Brewhouse!$AG244</f>
        <v>50.4</v>
      </c>
      <c r="F24" s="278">
        <f>[25]Brewhouse!$V244</f>
        <v>89</v>
      </c>
      <c r="G24" s="279">
        <f>[25]Brewhouse!$AE244</f>
        <v>11.8</v>
      </c>
      <c r="H24" s="396">
        <v>11.7</v>
      </c>
      <c r="I24" s="429">
        <f>[25]Brewhouse!$AS244</f>
        <v>97.891004589246791</v>
      </c>
      <c r="J24" s="429">
        <f>[25]Brewhouse!$AT244</f>
        <v>100.30271959943934</v>
      </c>
      <c r="K24" s="430">
        <f>[25]Brewhouse!$Q244</f>
        <v>4.734848484848472</v>
      </c>
      <c r="L24" s="276">
        <f>[25]Brewhouse!$P244</f>
        <v>61</v>
      </c>
      <c r="M24" s="374">
        <f>[25]Brewhouse!$U244-[25]Brewhouse!$T244</f>
        <v>0.13194444444444453</v>
      </c>
      <c r="N24" s="370">
        <f>[25]Brewhouse!$AW244</f>
        <v>0.28125000000000006</v>
      </c>
      <c r="O24" s="422" t="str">
        <f>[25]Brewhouse!$AV244</f>
        <v>D. Gomaz</v>
      </c>
      <c r="P24" s="420"/>
      <c r="R24" s="277" t="str">
        <f t="shared" si="0"/>
        <v>STAG</v>
      </c>
      <c r="S24" s="296">
        <f t="shared" si="1"/>
        <v>11.6</v>
      </c>
      <c r="T24" s="296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296">
        <f t="shared" si="8"/>
        <v>60</v>
      </c>
    </row>
    <row r="25" spans="2:26" ht="15.75" customHeight="1">
      <c r="B25" s="33" t="s">
        <v>9</v>
      </c>
      <c r="C25" s="366" t="str">
        <f>[25]Brewhouse!$A245</f>
        <v>ST226</v>
      </c>
      <c r="D25" s="279">
        <f>[25]Brewhouse!$AD245</f>
        <v>52.6</v>
      </c>
      <c r="E25" s="279">
        <f>[25]Brewhouse!$AG245</f>
        <v>50</v>
      </c>
      <c r="F25" s="278">
        <f>[25]Brewhouse!$V245</f>
        <v>82</v>
      </c>
      <c r="G25" s="279">
        <f>[25]Brewhouse!$AE245</f>
        <v>11.7</v>
      </c>
      <c r="H25" s="396">
        <v>11.8</v>
      </c>
      <c r="I25" s="429">
        <f>[25]Brewhouse!$AS245</f>
        <v>96.127502387330068</v>
      </c>
      <c r="J25" s="429">
        <f>[25]Brewhouse!$AT245</f>
        <v>98.49654487328624</v>
      </c>
      <c r="K25" s="430">
        <f>[25]Brewhouse!$Q245</f>
        <v>5.4844606946983543</v>
      </c>
      <c r="L25" s="276">
        <f>[25]Brewhouse!$P245</f>
        <v>59</v>
      </c>
      <c r="M25" s="374">
        <f>[25]Brewhouse!$U245-[25]Brewhouse!$T245</f>
        <v>0.12361111111111112</v>
      </c>
      <c r="N25" s="370">
        <f>[25]Brewhouse!$AW245</f>
        <v>0.27430555555555547</v>
      </c>
      <c r="O25" s="422" t="str">
        <f>[25]Brewhouse!$AV245</f>
        <v>K. Benjamin</v>
      </c>
      <c r="P25" s="420"/>
      <c r="R25" s="277" t="str">
        <f t="shared" si="0"/>
        <v>STAG</v>
      </c>
      <c r="S25" s="296">
        <f t="shared" si="1"/>
        <v>11.6</v>
      </c>
      <c r="T25" s="296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296">
        <f t="shared" si="8"/>
        <v>60</v>
      </c>
    </row>
    <row r="26" spans="2:26" ht="15.75" customHeight="1">
      <c r="B26" s="33" t="s">
        <v>9</v>
      </c>
      <c r="C26" s="366" t="str">
        <f>[25]Brewhouse!$A246</f>
        <v>ST227</v>
      </c>
      <c r="D26" s="279">
        <f>[25]Brewhouse!$AD246</f>
        <v>52.6</v>
      </c>
      <c r="E26" s="279">
        <f>[25]Brewhouse!$AG246</f>
        <v>49.9</v>
      </c>
      <c r="F26" s="278">
        <f>[25]Brewhouse!$V246</f>
        <v>75</v>
      </c>
      <c r="G26" s="279">
        <f>[25]Brewhouse!$AE246</f>
        <v>11.8</v>
      </c>
      <c r="H26" s="396">
        <v>11.8</v>
      </c>
      <c r="I26" s="429">
        <f>[25]Brewhouse!$AS246</f>
        <v>96.919863670702682</v>
      </c>
      <c r="J26" s="429">
        <f>[25]Brewhouse!$AT246</f>
        <v>99.307652936746521</v>
      </c>
      <c r="K26" s="430">
        <f>[25]Brewhouse!$Q246</f>
        <v>4.9632352941176388</v>
      </c>
      <c r="L26" s="276">
        <f>[25]Brewhouse!$P246</f>
        <v>60</v>
      </c>
      <c r="M26" s="374">
        <f>[25]Brewhouse!$U246-[25]Brewhouse!$T246</f>
        <v>0.12430555555555556</v>
      </c>
      <c r="N26" s="370">
        <f>[25]Brewhouse!$AW246</f>
        <v>0.26805555555555549</v>
      </c>
      <c r="O26" s="422" t="str">
        <f>[25]Brewhouse!$AV246</f>
        <v>K. Benjamin</v>
      </c>
      <c r="P26" s="420"/>
      <c r="R26" s="277" t="str">
        <f t="shared" si="0"/>
        <v>STAG</v>
      </c>
      <c r="S26" s="296">
        <f t="shared" si="1"/>
        <v>11.6</v>
      </c>
      <c r="T26" s="296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296">
        <f t="shared" si="8"/>
        <v>60</v>
      </c>
    </row>
    <row r="27" spans="2:26" ht="15.75" customHeight="1">
      <c r="B27" s="33" t="s">
        <v>9</v>
      </c>
      <c r="C27" s="366" t="str">
        <f>[25]Brewhouse!$A247</f>
        <v>ST228</v>
      </c>
      <c r="D27" s="279">
        <f>[25]Brewhouse!$AD247</f>
        <v>53.4</v>
      </c>
      <c r="E27" s="279">
        <f>[25]Brewhouse!$AG247</f>
        <v>50.7</v>
      </c>
      <c r="F27" s="278">
        <f>[25]Brewhouse!$V247</f>
        <v>79</v>
      </c>
      <c r="G27" s="279">
        <f>[25]Brewhouse!$AE247</f>
        <v>11.8</v>
      </c>
      <c r="H27" s="396">
        <v>11.7</v>
      </c>
      <c r="I27" s="429">
        <f>[25]Brewhouse!$AS247</f>
        <v>98.103519034372525</v>
      </c>
      <c r="J27" s="429">
        <f>[25]Brewhouse!$AT247</f>
        <v>100.52283481084572</v>
      </c>
      <c r="K27" s="430">
        <f>[25]Brewhouse!$Q247</f>
        <v>3.1365313653136586</v>
      </c>
      <c r="L27" s="276">
        <f>[25]Brewhouse!$P247</f>
        <v>59</v>
      </c>
      <c r="M27" s="374">
        <f>[25]Brewhouse!$U247-[25]Brewhouse!$T247</f>
        <v>0.12013888888888891</v>
      </c>
      <c r="N27" s="370">
        <f>[25]Brewhouse!$AW247</f>
        <v>0.26111111111111107</v>
      </c>
      <c r="O27" s="422" t="str">
        <f>[25]Brewhouse!$AV247</f>
        <v>K. Benjamin</v>
      </c>
      <c r="P27" s="420"/>
      <c r="R27" s="277" t="str">
        <f t="shared" si="0"/>
        <v>STAG</v>
      </c>
      <c r="S27" s="296">
        <f t="shared" si="1"/>
        <v>11.6</v>
      </c>
      <c r="T27" s="296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296">
        <f t="shared" si="8"/>
        <v>60</v>
      </c>
    </row>
    <row r="28" spans="2:26" ht="15.75" customHeight="1">
      <c r="B28" s="33" t="s">
        <v>9</v>
      </c>
      <c r="C28" s="366" t="str">
        <f>[25]Brewhouse!$A248</f>
        <v>ST229</v>
      </c>
      <c r="D28" s="279">
        <f>[25]Brewhouse!$AD248</f>
        <v>53.4</v>
      </c>
      <c r="E28" s="279">
        <f>[25]Brewhouse!$AG248</f>
        <v>51</v>
      </c>
      <c r="F28" s="278">
        <f>[25]Brewhouse!$V248</f>
        <v>82</v>
      </c>
      <c r="G28" s="279">
        <f>[25]Brewhouse!$AE248</f>
        <v>11.8</v>
      </c>
      <c r="H28" s="396">
        <v>11.7</v>
      </c>
      <c r="I28" s="429">
        <f>[25]Brewhouse!$AS248</f>
        <v>98.807821942068728</v>
      </c>
      <c r="J28" s="429">
        <f>[25]Brewhouse!$AT248</f>
        <v>101.24371437631785</v>
      </c>
      <c r="K28" s="430">
        <f>[25]Brewhouse!$Q248</f>
        <v>3.8461538461538485</v>
      </c>
      <c r="L28" s="276">
        <f>[25]Brewhouse!$P248</f>
        <v>62</v>
      </c>
      <c r="M28" s="374">
        <f>[25]Brewhouse!$U248-[25]Brewhouse!$T248</f>
        <v>0.12847222222222221</v>
      </c>
      <c r="N28" s="370">
        <f>[25]Brewhouse!$AW248</f>
        <v>0.26805555555555549</v>
      </c>
      <c r="O28" s="422" t="str">
        <f>[25]Brewhouse!$AV248</f>
        <v>R. Regis</v>
      </c>
      <c r="P28" s="420"/>
      <c r="R28" s="277" t="str">
        <f t="shared" si="0"/>
        <v>STAG</v>
      </c>
      <c r="S28" s="296">
        <f t="shared" si="1"/>
        <v>11.6</v>
      </c>
      <c r="T28" s="296">
        <f t="shared" si="2"/>
        <v>12</v>
      </c>
      <c r="U28" s="297">
        <f t="shared" si="3"/>
        <v>0</v>
      </c>
      <c r="V28" s="297">
        <f t="shared" si="4"/>
        <v>0.118055555555556</v>
      </c>
      <c r="W28" s="297">
        <f t="shared" si="5"/>
        <v>0.22569444444444445</v>
      </c>
      <c r="X28" s="297">
        <f t="shared" si="6"/>
        <v>0.2638888888888889</v>
      </c>
      <c r="Y28" s="297">
        <f t="shared" si="7"/>
        <v>0</v>
      </c>
      <c r="Z28" s="296">
        <f t="shared" si="8"/>
        <v>60</v>
      </c>
    </row>
    <row r="29" spans="2:26" ht="15.75" customHeight="1">
      <c r="B29" s="33" t="s">
        <v>9</v>
      </c>
      <c r="C29" s="366" t="str">
        <f>[25]Brewhouse!$A249</f>
        <v>ST230</v>
      </c>
      <c r="D29" s="279">
        <f>[25]Brewhouse!$AD249</f>
        <v>53.1</v>
      </c>
      <c r="E29" s="279">
        <f>[25]Brewhouse!$AG249</f>
        <v>50.5</v>
      </c>
      <c r="F29" s="278">
        <f>[25]Brewhouse!$V249</f>
        <v>79</v>
      </c>
      <c r="G29" s="279">
        <f>[25]Brewhouse!$AE249</f>
        <v>11.8</v>
      </c>
      <c r="H29" s="396">
        <v>11.8</v>
      </c>
      <c r="I29" s="429">
        <f>[25]Brewhouse!$AS249</f>
        <v>97.839117805381775</v>
      </c>
      <c r="J29" s="429">
        <f>[25]Brewhouse!$AT249</f>
        <v>100.2511289412559</v>
      </c>
      <c r="K29" s="430">
        <f>[25]Brewhouse!$Q249</f>
        <v>4.7445255474452459</v>
      </c>
      <c r="L29" s="276">
        <f>[25]Brewhouse!$P249</f>
        <v>60</v>
      </c>
      <c r="M29" s="374">
        <f>[25]Brewhouse!$U249-[25]Brewhouse!$T249</f>
        <v>0.12638888888888888</v>
      </c>
      <c r="N29" s="370">
        <f>[25]Brewhouse!$AW249</f>
        <v>0.2763888888888888</v>
      </c>
      <c r="O29" s="422" t="str">
        <f>[25]Brewhouse!$AV249</f>
        <v>R. Regis</v>
      </c>
      <c r="P29" s="420"/>
      <c r="R29" s="277" t="str">
        <f t="shared" si="0"/>
        <v>STAG</v>
      </c>
      <c r="S29" s="296">
        <f t="shared" si="1"/>
        <v>11.6</v>
      </c>
      <c r="T29" s="296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296">
        <f t="shared" si="8"/>
        <v>60</v>
      </c>
    </row>
    <row r="30" spans="2:26" ht="15.75" customHeight="1">
      <c r="B30" s="33"/>
      <c r="C30" s="366"/>
      <c r="D30" s="279"/>
      <c r="E30" s="279"/>
      <c r="F30" s="278"/>
      <c r="G30" s="279"/>
      <c r="H30" s="396"/>
      <c r="I30" s="429"/>
      <c r="J30" s="429"/>
      <c r="K30" s="430"/>
      <c r="L30" s="276"/>
      <c r="M30" s="374"/>
      <c r="N30" s="370"/>
      <c r="O30" s="422"/>
      <c r="P30" s="420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20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20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20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20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7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20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7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20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7" ht="15.75" customHeight="1" thickBot="1">
      <c r="B37" s="358"/>
      <c r="C37" s="358"/>
      <c r="D37" s="358"/>
      <c r="E37" s="358"/>
      <c r="F37" s="294"/>
      <c r="G37" s="294"/>
      <c r="H37" s="348"/>
      <c r="I37" s="497" t="s">
        <v>34</v>
      </c>
      <c r="J37" s="497"/>
      <c r="K37" s="497"/>
      <c r="L37" s="497"/>
      <c r="M37" s="497"/>
      <c r="N37" s="497"/>
      <c r="O37" s="1"/>
      <c r="P37" s="12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7" ht="15" thickBot="1">
      <c r="B38" s="388" t="s">
        <v>145</v>
      </c>
      <c r="C38" s="388"/>
      <c r="D38" s="475" t="s">
        <v>35</v>
      </c>
      <c r="E38" s="476"/>
      <c r="F38" s="294"/>
      <c r="G38" s="294"/>
      <c r="H38" s="348"/>
      <c r="I38" s="24" t="s">
        <v>17</v>
      </c>
      <c r="J38" s="25" t="s">
        <v>36</v>
      </c>
      <c r="K38" s="26" t="s">
        <v>138</v>
      </c>
      <c r="L38" s="25" t="s">
        <v>37</v>
      </c>
      <c r="M38" s="25" t="s">
        <v>38</v>
      </c>
      <c r="N38" s="27" t="s">
        <v>39</v>
      </c>
      <c r="O38" s="294"/>
      <c r="P38" s="12"/>
      <c r="R38" s="277" t="str">
        <f t="shared" si="0"/>
        <v>BRAND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7" ht="15" customHeight="1">
      <c r="A39" s="28"/>
      <c r="B39" s="558"/>
      <c r="C39" s="362"/>
      <c r="D39" s="501"/>
      <c r="E39" s="502"/>
      <c r="F39" s="294"/>
      <c r="G39" s="294"/>
      <c r="H39" s="348"/>
      <c r="I39" s="29" t="s">
        <v>6</v>
      </c>
      <c r="J39" s="280">
        <f>I20</f>
        <v>97.963623821913586</v>
      </c>
      <c r="K39" s="284">
        <f>COUNTA([24]Brewhouse!$A$493:$A$508)</f>
        <v>16</v>
      </c>
      <c r="L39" s="302">
        <f>AVERAGE([24]Brewhouse!$AU$493:$AU$508)</f>
        <v>98.25542631923804</v>
      </c>
      <c r="M39" s="302">
        <f>AVERAGE([24]Brewhouse!$AU$102:$AU$171,[24]Brewhouse!$AU$173:$AU$253,[24]Brewhouse!$AU$255:$AU$339,[24]Brewhouse!$AU$341:$AU$346,[24]Brewhouse!$AU$348,[24]Brewhouse!$AU$349:$AU$406,[24]Brewhouse!$AU$408:$AU$491,[24]Brewhouse!$AU$493:$AU$508)</f>
        <v>97.684309029648247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</row>
    <row r="40" spans="1:27" ht="15" customHeight="1">
      <c r="A40" s="28"/>
      <c r="B40" s="512"/>
      <c r="C40" s="349"/>
      <c r="D40" s="503"/>
      <c r="E40" s="504"/>
      <c r="F40" s="294"/>
      <c r="G40" s="294"/>
      <c r="H40" s="348"/>
      <c r="I40" s="33" t="s">
        <v>9</v>
      </c>
      <c r="J40" s="280">
        <f>AVERAGE(I22:I29)</f>
        <v>97.039540936033916</v>
      </c>
      <c r="K40" s="284">
        <f>COUNTA([25]Brewhouse!$A$242:$A$249)</f>
        <v>8</v>
      </c>
      <c r="L40" s="302">
        <f>AVERAGE([25]Brewhouse!$AS$242:$AS$249)</f>
        <v>97.039540936033916</v>
      </c>
      <c r="M40" s="302">
        <f>AVERAGE([25]Brewhouse!$AS$15:$AS$64,[25]Brewhouse!$AS$66:$AS$103,[25]Brewhouse!$AS$105:$AS$140,[25]Brewhouse!$AS$142:$AS$193,[25]Brewhouse!$AS$195:$AS$240,[25]Brewhouse!$AS$242:$AS$249)</f>
        <v>97.846474266506647</v>
      </c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</row>
    <row r="41" spans="1:27" ht="14.7" customHeight="1">
      <c r="A41" s="28"/>
      <c r="B41" s="512"/>
      <c r="C41" s="349"/>
      <c r="D41" s="501"/>
      <c r="E41" s="502"/>
      <c r="F41" s="294"/>
      <c r="G41" s="294"/>
      <c r="H41" s="348"/>
      <c r="I41" s="34" t="s">
        <v>12</v>
      </c>
      <c r="J41" s="280"/>
      <c r="K41" s="284"/>
      <c r="L41" s="302"/>
      <c r="M41" s="302">
        <f>AVERAGE([26]Brewhouse!$AU$4:$AU$7,[26]Brewhouse!$AU$9:$AU$22,[26]Brewhouse!$AU$24:$AU$35,[26]Brewhouse!$AU$37:$AU$45,[26]Brewhouse!$AU$47:$AU$62)</f>
        <v>97.179377138297156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</row>
    <row r="42" spans="1:27" ht="14.7" customHeight="1">
      <c r="A42" s="28"/>
      <c r="B42" s="512"/>
      <c r="C42" s="349"/>
      <c r="D42" s="503"/>
      <c r="E42" s="504"/>
      <c r="F42" s="294"/>
      <c r="G42" s="294"/>
      <c r="H42" s="348"/>
      <c r="I42" s="22" t="s">
        <v>33</v>
      </c>
      <c r="J42" s="280"/>
      <c r="K42" s="284"/>
      <c r="L42" s="302"/>
      <c r="M42" s="302">
        <f>AVERAGE([23]Brewhouse!$AV$5:$AV$14,[23]Brewhouse!$AV$16:$AV$19,[23]Brewhouse!$AV$21:$AV$24,[23]Brewhouse!$AV$26:$AV$33,[23]Brewhouse!$AV$35:$AV$46)</f>
        <v>99.005314486149061</v>
      </c>
      <c r="N42" s="3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</row>
    <row r="43" spans="1:27" ht="14.7" customHeight="1">
      <c r="A43" s="28"/>
      <c r="B43" s="512"/>
      <c r="C43" s="349"/>
      <c r="D43" s="501"/>
      <c r="E43" s="502"/>
      <c r="F43" s="419"/>
      <c r="G43" s="294"/>
      <c r="H43" s="348"/>
      <c r="I43" s="35" t="s">
        <v>29</v>
      </c>
      <c r="J43" s="280"/>
      <c r="K43" s="284"/>
      <c r="L43" s="302"/>
      <c r="M43" s="302"/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</row>
    <row r="44" spans="1:27" ht="14.7" customHeight="1">
      <c r="A44" s="28"/>
      <c r="B44" s="512"/>
      <c r="C44" s="349"/>
      <c r="D44" s="503"/>
      <c r="E44" s="504"/>
      <c r="F44" s="419"/>
      <c r="G44" s="294"/>
      <c r="H44" s="348"/>
      <c r="I44" s="36" t="s">
        <v>15</v>
      </c>
      <c r="J44" s="323"/>
      <c r="K44" s="284"/>
      <c r="L44" s="302"/>
      <c r="M44" s="302">
        <f>AVERAGE([27]Brewhouse!$AT$4:$AT$11,[27]Brewhouse!$AT$13:$AT$16)</f>
        <v>94.677025542378772</v>
      </c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4.7" customHeight="1">
      <c r="A45" s="28"/>
      <c r="B45" s="512"/>
      <c r="C45" s="349"/>
      <c r="D45" s="501"/>
      <c r="E45" s="502"/>
      <c r="F45" s="419"/>
      <c r="G45" s="294"/>
      <c r="H45" s="348"/>
      <c r="I45" s="37" t="s">
        <v>16</v>
      </c>
      <c r="J45" s="323"/>
      <c r="K45" s="284">
        <f>COUNTA([22]Brewhouse!$A$45:$A$50)</f>
        <v>6</v>
      </c>
      <c r="L45" s="302">
        <f>AVERAGE([22]Brewhouse!$AY$45:$AY$50)</f>
        <v>96.288901438431267</v>
      </c>
      <c r="M45" s="302">
        <f>AVERAGE([22]Brewhouse!$AY$6:$AY$13,[22]Brewhouse!$AY$15:$AY$20,[22]Brewhouse!$AY$22:$AY$29,[22]Brewhouse!$AY$31:$AY$34,[22]Brewhouse!$AY$36:$AY$43,[22]Brewhouse!$AY$45:$AY$50)</f>
        <v>96.612624784592427</v>
      </c>
      <c r="N45" s="30">
        <v>98</v>
      </c>
      <c r="O45" s="11"/>
      <c r="P45" s="31" t="s">
        <v>41</v>
      </c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4.7" customHeight="1">
      <c r="A46" s="28"/>
      <c r="B46" s="512"/>
      <c r="C46" s="349"/>
      <c r="D46" s="503"/>
      <c r="E46" s="504"/>
      <c r="F46" s="294"/>
      <c r="G46" s="294"/>
      <c r="H46" s="348"/>
      <c r="I46" s="411" t="s">
        <v>158</v>
      </c>
      <c r="J46" s="326"/>
      <c r="K46" s="284"/>
      <c r="L46" s="305"/>
      <c r="M46" s="305">
        <f>AVERAGE([28]Brewhouse!$AU$5:$AU$8)</f>
        <v>91.006888337619571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  <c r="AA46" s="296"/>
    </row>
    <row r="47" spans="1:27" ht="14.7" customHeight="1">
      <c r="A47" s="28"/>
      <c r="B47" s="512"/>
      <c r="C47" s="349"/>
      <c r="D47" s="501"/>
      <c r="E47" s="502"/>
      <c r="F47" s="294"/>
      <c r="G47" s="294"/>
      <c r="H47" s="348"/>
      <c r="I47" s="410" t="s">
        <v>157</v>
      </c>
      <c r="J47" s="326"/>
      <c r="K47" s="284"/>
      <c r="L47" s="305"/>
      <c r="M47" s="305"/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  <c r="AA47" s="296"/>
    </row>
    <row r="48" spans="1:27" ht="15" customHeight="1" thickBot="1">
      <c r="A48" s="28"/>
      <c r="B48" s="512"/>
      <c r="C48" s="349"/>
      <c r="D48" s="503"/>
      <c r="E48" s="504"/>
      <c r="F48" s="294"/>
      <c r="G48" s="294"/>
      <c r="H48" s="348"/>
      <c r="I48" s="406" t="s">
        <v>156</v>
      </c>
      <c r="J48" s="327"/>
      <c r="K48" s="407"/>
      <c r="L48" s="408"/>
      <c r="M48" s="408"/>
      <c r="N48" s="409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  <c r="AA48" s="296"/>
    </row>
    <row r="49" spans="1:56" ht="15" customHeight="1" thickBot="1">
      <c r="A49" s="28"/>
      <c r="B49" s="512"/>
      <c r="C49" s="349"/>
      <c r="D49" s="501"/>
      <c r="E49" s="502"/>
      <c r="F49" s="294"/>
      <c r="G49" s="294"/>
      <c r="H49" s="348"/>
      <c r="I49" s="1"/>
      <c r="J49" s="39"/>
      <c r="K49" s="404">
        <f>SUM(K39:K48)</f>
        <v>30</v>
      </c>
      <c r="L49" s="405">
        <f>((L39*K39)+(L40*K40)+(L41*K41)+(L42*K42)+(L43*K43)+(K46*L46)+(L44*K44)+(L45*K45)+(L48*K48))/(K49)</f>
        <v>97.537885240888926</v>
      </c>
      <c r="M49" s="405">
        <f>AVERAGE('[29]Jan 31st'!$L$65,'[30]Feb 28th'!$L$35,'[31]Mar. 31st'!$L$35,'[32]Apr. 30th'!$L$45,'[33]May 30th'!$L$37,L49)</f>
        <v>97.619523113043002</v>
      </c>
      <c r="N49" s="4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  <c r="AA49" s="296"/>
    </row>
    <row r="50" spans="1:56" ht="15" thickBot="1">
      <c r="B50" s="513"/>
      <c r="C50" s="350"/>
      <c r="D50" s="503"/>
      <c r="E50" s="504"/>
      <c r="F50" s="294"/>
      <c r="G50" s="42"/>
      <c r="H50" s="41"/>
      <c r="I50" s="42"/>
      <c r="J50" s="42"/>
      <c r="K50" s="351"/>
      <c r="L50" s="348"/>
      <c r="M50" s="348"/>
      <c r="N50" s="11"/>
      <c r="O50" s="294"/>
      <c r="P50" s="12"/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5" thickBot="1">
      <c r="B51" s="559"/>
      <c r="C51" s="362"/>
      <c r="D51" s="514"/>
      <c r="E51" s="515"/>
      <c r="F51" s="294"/>
      <c r="G51" s="42"/>
      <c r="H51" s="41"/>
      <c r="I51" s="42"/>
      <c r="J51" s="551" t="s">
        <v>129</v>
      </c>
      <c r="K51" s="551"/>
      <c r="L51" s="294"/>
      <c r="M51" s="294"/>
      <c r="N51" s="294"/>
      <c r="O51" s="294"/>
      <c r="P51" s="12"/>
    </row>
    <row r="52" spans="1:56" ht="13.5" customHeight="1" thickBot="1">
      <c r="B52" s="560"/>
      <c r="C52" s="349"/>
      <c r="D52" s="516"/>
      <c r="E52" s="504"/>
      <c r="F52" s="294"/>
      <c r="G52" s="42"/>
      <c r="H52" s="41"/>
      <c r="I52" s="42"/>
      <c r="J52" s="292" t="s">
        <v>17</v>
      </c>
      <c r="K52" s="293" t="s">
        <v>147</v>
      </c>
      <c r="L52" s="518" t="s">
        <v>136</v>
      </c>
      <c r="M52" s="518"/>
      <c r="N52" s="519"/>
      <c r="O52" s="294"/>
      <c r="P52" s="12"/>
    </row>
    <row r="53" spans="1:56" ht="15" customHeight="1" thickBot="1">
      <c r="B53" s="560"/>
      <c r="C53" s="349"/>
      <c r="D53" s="520"/>
      <c r="E53" s="502"/>
      <c r="F53" s="294"/>
      <c r="G53" s="42"/>
      <c r="H53" s="41"/>
      <c r="I53" s="42"/>
      <c r="J53" s="287" t="s">
        <v>6</v>
      </c>
      <c r="K53" s="324">
        <v>1</v>
      </c>
      <c r="L53" s="343" t="s">
        <v>37</v>
      </c>
      <c r="M53" s="307" t="s">
        <v>38</v>
      </c>
      <c r="N53" s="307" t="s">
        <v>84</v>
      </c>
      <c r="O53" s="294"/>
      <c r="P53" s="12"/>
    </row>
    <row r="54" spans="1:56" ht="15.75" customHeight="1" thickBot="1">
      <c r="B54" s="560"/>
      <c r="C54" s="349"/>
      <c r="D54" s="516"/>
      <c r="E54" s="504"/>
      <c r="F54" s="294"/>
      <c r="G54" s="42"/>
      <c r="H54" s="41"/>
      <c r="I54" s="42"/>
      <c r="J54" s="345" t="s">
        <v>9</v>
      </c>
      <c r="K54" s="324">
        <v>8</v>
      </c>
      <c r="L54" s="344">
        <f>AVERAGE('June 2nd'!K57,'June 5th '!K63,'June 3rd'!K63,'June 4th'!K63)</f>
        <v>7.5</v>
      </c>
      <c r="M54" s="325">
        <f>AVERAGE('[29]Jan 29th '!$M$70,'[30]Feb 28th'!$L$40,'[31]Mar. 31st'!$L$40,'[32]Apr. 30th'!$L$50,'[33]May 30th'!$L$42,L54)</f>
        <v>6.7844401974836757</v>
      </c>
      <c r="N54" s="418">
        <v>9.1999999999999993</v>
      </c>
      <c r="O54" s="294"/>
      <c r="P54" s="12"/>
    </row>
    <row r="55" spans="1:56" ht="15" customHeight="1">
      <c r="B55" s="560"/>
      <c r="C55" s="349"/>
      <c r="D55" s="520"/>
      <c r="E55" s="502"/>
      <c r="F55" s="294"/>
      <c r="G55" s="42"/>
      <c r="H55" s="41"/>
      <c r="I55" s="42"/>
      <c r="J55" s="288" t="s">
        <v>40</v>
      </c>
      <c r="K55" s="324"/>
      <c r="L55" s="294"/>
      <c r="M55" s="294"/>
      <c r="N55" s="294"/>
      <c r="O55" s="294"/>
      <c r="P55" s="12"/>
    </row>
    <row r="56" spans="1:56" ht="15" customHeight="1">
      <c r="B56" s="560"/>
      <c r="C56" s="349"/>
      <c r="D56" s="516"/>
      <c r="E56" s="504"/>
      <c r="F56" s="294"/>
      <c r="G56" s="42"/>
      <c r="H56" s="41"/>
      <c r="I56" s="42"/>
      <c r="J56" s="289" t="s">
        <v>33</v>
      </c>
      <c r="K56" s="324"/>
      <c r="L56" s="294"/>
      <c r="M56" s="294"/>
      <c r="N56" s="294"/>
      <c r="O56" s="294"/>
      <c r="P56" s="12"/>
    </row>
    <row r="57" spans="1:56" ht="14.4">
      <c r="B57" s="560"/>
      <c r="C57" s="349"/>
      <c r="D57" s="520"/>
      <c r="E57" s="502"/>
      <c r="F57" s="294"/>
      <c r="G57" s="42"/>
      <c r="H57" s="41"/>
      <c r="I57" s="42"/>
      <c r="J57" s="290" t="s">
        <v>16</v>
      </c>
      <c r="K57" s="324"/>
      <c r="L57" s="294"/>
      <c r="M57" s="294"/>
      <c r="N57" s="294"/>
      <c r="O57" s="294"/>
      <c r="P57" s="12"/>
      <c r="BC57" s="44"/>
      <c r="BD57" s="44"/>
    </row>
    <row r="58" spans="1:56" ht="14.4">
      <c r="B58" s="560"/>
      <c r="C58" s="349"/>
      <c r="D58" s="516"/>
      <c r="E58" s="504"/>
      <c r="F58" s="294"/>
      <c r="G58" s="42"/>
      <c r="H58" s="41"/>
      <c r="I58" s="42"/>
      <c r="J58" s="291" t="s">
        <v>15</v>
      </c>
      <c r="K58" s="426"/>
      <c r="L58" s="294"/>
      <c r="M58" s="294"/>
      <c r="N58" s="294"/>
      <c r="O58" s="294"/>
      <c r="P58" s="12"/>
      <c r="BC58" s="44"/>
      <c r="BD58" s="44"/>
    </row>
    <row r="59" spans="1:56" ht="14.4">
      <c r="B59" s="560"/>
      <c r="C59" s="349"/>
      <c r="D59" s="545"/>
      <c r="E59" s="546"/>
      <c r="F59" s="294"/>
      <c r="G59" s="42"/>
      <c r="H59" s="41"/>
      <c r="I59" s="42"/>
      <c r="J59" s="291" t="s">
        <v>149</v>
      </c>
      <c r="K59" s="324"/>
      <c r="L59" s="294"/>
      <c r="M59" s="294"/>
      <c r="N59" s="294"/>
      <c r="O59" s="294"/>
      <c r="P59" s="12"/>
      <c r="BC59" s="44"/>
      <c r="BD59" s="44"/>
    </row>
    <row r="60" spans="1:56" ht="15" thickBot="1">
      <c r="B60" s="561"/>
      <c r="C60" s="350"/>
      <c r="D60" s="547"/>
      <c r="E60" s="548"/>
      <c r="F60" s="294"/>
      <c r="G60" s="42"/>
      <c r="H60" s="41"/>
      <c r="I60" s="42"/>
      <c r="J60" s="291" t="s">
        <v>148</v>
      </c>
      <c r="K60" s="324"/>
      <c r="L60" s="294"/>
      <c r="M60" s="294"/>
      <c r="N60" s="294"/>
      <c r="O60" s="294"/>
      <c r="P60" s="12"/>
      <c r="BC60" s="44"/>
      <c r="BD60" s="44"/>
    </row>
    <row r="61" spans="1:56" ht="17.7" customHeight="1" thickBot="1">
      <c r="B61" s="312" t="s">
        <v>139</v>
      </c>
      <c r="C61" s="313"/>
      <c r="D61" s="524" t="e">
        <f>AVERAGE(D39:E60)</f>
        <v>#DIV/0!</v>
      </c>
      <c r="E61" s="525"/>
      <c r="F61" s="294"/>
      <c r="G61" s="42"/>
      <c r="H61" s="41"/>
      <c r="I61" s="42"/>
      <c r="J61" s="295" t="s">
        <v>134</v>
      </c>
      <c r="K61" s="324"/>
      <c r="L61" s="294"/>
      <c r="M61" s="294"/>
      <c r="N61" s="294"/>
      <c r="O61" s="294"/>
      <c r="P61" s="12"/>
      <c r="BC61" s="44"/>
      <c r="BD61" s="44"/>
    </row>
    <row r="62" spans="1:56" ht="17.7" customHeight="1">
      <c r="B62" s="363"/>
      <c r="C62" s="364"/>
      <c r="D62" s="365"/>
      <c r="E62" s="365"/>
      <c r="F62" s="294"/>
      <c r="G62" s="42"/>
      <c r="H62" s="41"/>
      <c r="I62" s="42"/>
      <c r="J62" s="295" t="s">
        <v>131</v>
      </c>
      <c r="K62" s="324"/>
      <c r="L62" s="294"/>
      <c r="M62" s="294"/>
      <c r="N62" s="294"/>
      <c r="O62" s="294"/>
      <c r="P62" s="12"/>
      <c r="BC62" s="44"/>
      <c r="BD62" s="44"/>
    </row>
    <row r="63" spans="1:56" ht="15.75" customHeight="1">
      <c r="B63" s="45"/>
      <c r="C63" s="11"/>
      <c r="D63" s="11"/>
      <c r="E63" s="46"/>
      <c r="F63" s="294"/>
      <c r="G63" s="42"/>
      <c r="H63" s="41"/>
      <c r="I63" s="42"/>
      <c r="J63" s="346" t="s">
        <v>130</v>
      </c>
      <c r="K63" s="324">
        <f>SUM(K53:K62)</f>
        <v>9</v>
      </c>
      <c r="L63" s="294"/>
      <c r="M63" s="294"/>
      <c r="N63" s="294"/>
      <c r="O63" s="294"/>
      <c r="P63" s="12"/>
    </row>
    <row r="64" spans="1:56" ht="20.25" customHeight="1">
      <c r="B64" s="15" t="s">
        <v>42</v>
      </c>
      <c r="C64" s="1" t="s">
        <v>43</v>
      </c>
      <c r="D64" s="1"/>
      <c r="E64" s="1"/>
      <c r="F64" s="294"/>
      <c r="G64" s="42"/>
      <c r="H64" s="41"/>
      <c r="I64" s="42"/>
      <c r="L64" s="294"/>
      <c r="P64" s="334"/>
    </row>
    <row r="65" spans="2:57" ht="15" customHeight="1" thickBot="1"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8"/>
      <c r="O65" s="48"/>
      <c r="P65" s="49"/>
    </row>
    <row r="66" spans="2:57" ht="15" customHeight="1" thickBot="1">
      <c r="B66" s="526" t="s">
        <v>17</v>
      </c>
      <c r="C66" s="526" t="s">
        <v>44</v>
      </c>
      <c r="D66" s="528" t="s">
        <v>45</v>
      </c>
      <c r="E66" s="483" t="s">
        <v>46</v>
      </c>
      <c r="F66" s="543" t="s">
        <v>47</v>
      </c>
      <c r="G66" s="537" t="s">
        <v>48</v>
      </c>
      <c r="H66" s="526" t="s">
        <v>49</v>
      </c>
      <c r="I66" s="526" t="s">
        <v>50</v>
      </c>
      <c r="J66" s="531" t="s">
        <v>28</v>
      </c>
      <c r="K66" s="481" t="s">
        <v>51</v>
      </c>
      <c r="L66" s="493" t="s">
        <v>52</v>
      </c>
      <c r="M66" s="531" t="s">
        <v>53</v>
      </c>
      <c r="N66" s="13"/>
      <c r="O66" s="13"/>
      <c r="P66" s="50"/>
    </row>
    <row r="67" spans="2:57" ht="28.5" customHeight="1" thickTop="1" thickBot="1">
      <c r="B67" s="527"/>
      <c r="C67" s="527"/>
      <c r="D67" s="529"/>
      <c r="E67" s="530"/>
      <c r="F67" s="544"/>
      <c r="G67" s="538"/>
      <c r="H67" s="527"/>
      <c r="I67" s="527"/>
      <c r="J67" s="532"/>
      <c r="K67" s="541"/>
      <c r="L67" s="542"/>
      <c r="M67" s="532"/>
      <c r="N67" s="13"/>
      <c r="O67" s="13"/>
      <c r="P67" s="50"/>
      <c r="Q67" s="355"/>
      <c r="AB67" s="51">
        <v>43474</v>
      </c>
      <c r="AC67" s="51">
        <v>43475</v>
      </c>
      <c r="AD67" s="51">
        <v>43476</v>
      </c>
      <c r="AE67" s="51">
        <v>43477</v>
      </c>
      <c r="AF67" s="51">
        <v>43478</v>
      </c>
      <c r="AG67" s="51">
        <v>43479</v>
      </c>
      <c r="AH67" s="51">
        <v>43480</v>
      </c>
      <c r="AI67" s="51">
        <v>43481</v>
      </c>
      <c r="AJ67" s="51">
        <v>43482</v>
      </c>
      <c r="AK67" s="51">
        <v>43483</v>
      </c>
      <c r="AL67" s="51">
        <v>43484</v>
      </c>
      <c r="AM67" s="51">
        <v>43485</v>
      </c>
      <c r="AN67" s="51">
        <v>43486</v>
      </c>
      <c r="AO67" s="51">
        <v>43487</v>
      </c>
      <c r="AP67" s="51">
        <v>43488</v>
      </c>
      <c r="AQ67" s="51">
        <v>43489</v>
      </c>
      <c r="AR67" s="51">
        <v>43490</v>
      </c>
      <c r="AS67" s="51">
        <v>43491</v>
      </c>
      <c r="AT67" s="51">
        <v>43492</v>
      </c>
      <c r="AU67" s="51">
        <v>43493</v>
      </c>
      <c r="AV67" s="51">
        <v>43494</v>
      </c>
      <c r="AW67" s="51">
        <v>43495</v>
      </c>
      <c r="AX67" s="51">
        <v>43496</v>
      </c>
    </row>
    <row r="68" spans="2:57" s="54" customFormat="1" ht="51" customHeight="1">
      <c r="B68" s="387" t="str">
        <f>B75</f>
        <v>CARIB</v>
      </c>
      <c r="C68" s="283">
        <v>45813</v>
      </c>
      <c r="D68" s="377"/>
      <c r="E68" s="378"/>
      <c r="F68" s="379">
        <f>82.2+78</f>
        <v>160.19999999999999</v>
      </c>
      <c r="G68" s="303">
        <f>79+73.6</f>
        <v>152.6</v>
      </c>
      <c r="H68" s="320" t="e">
        <f>(D68-F68)/D68*100</f>
        <v>#DIV/0!</v>
      </c>
      <c r="I68" s="322">
        <f>((F68+E68)-G68)/(F68+E68)*100</f>
        <v>4.7440699126092358</v>
      </c>
      <c r="J68" s="392"/>
      <c r="K68" s="286"/>
      <c r="L68" s="314"/>
      <c r="M68" s="417" t="s">
        <v>174</v>
      </c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6"/>
      <c r="AC68" s="416"/>
      <c r="AD68" s="416"/>
      <c r="AE68" s="416"/>
      <c r="AF68" s="416"/>
      <c r="AG68" s="416"/>
      <c r="AH68" s="416"/>
      <c r="AI68" s="416"/>
      <c r="AJ68" s="416"/>
      <c r="AK68" s="416"/>
      <c r="AL68" s="416"/>
      <c r="AM68" s="416"/>
      <c r="AN68" s="416"/>
      <c r="AO68" s="416"/>
      <c r="AP68" s="416"/>
      <c r="AQ68" s="416"/>
      <c r="AR68" s="416"/>
      <c r="AS68" s="416"/>
      <c r="AT68" s="416"/>
      <c r="AU68" s="416"/>
      <c r="AV68" s="416"/>
      <c r="AW68" s="416"/>
    </row>
    <row r="69" spans="2:57" s="54" customFormat="1" ht="23.25" customHeight="1">
      <c r="B69" s="33"/>
      <c r="C69" s="283"/>
      <c r="D69" s="377"/>
      <c r="E69" s="378"/>
      <c r="F69" s="379"/>
      <c r="G69" s="303"/>
      <c r="H69" s="320"/>
      <c r="I69" s="322"/>
      <c r="J69" s="281"/>
      <c r="K69" s="286"/>
      <c r="L69" s="314"/>
      <c r="M69" s="417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416"/>
      <c r="AC69" s="416"/>
      <c r="AD69" s="416"/>
      <c r="AE69" s="416"/>
      <c r="AF69" s="416"/>
      <c r="AG69" s="416"/>
      <c r="AH69" s="416"/>
      <c r="AI69" s="416"/>
      <c r="AJ69" s="416"/>
      <c r="AK69" s="416"/>
      <c r="AL69" s="416"/>
      <c r="AM69" s="416"/>
      <c r="AN69" s="416"/>
      <c r="AO69" s="416"/>
      <c r="AP69" s="416"/>
      <c r="AQ69" s="416"/>
      <c r="AR69" s="416"/>
      <c r="AS69" s="416"/>
      <c r="AT69" s="416"/>
      <c r="AU69" s="416"/>
      <c r="AV69" s="416"/>
      <c r="AW69" s="416"/>
    </row>
    <row r="70" spans="2:57" s="54" customFormat="1" ht="53.25" hidden="1" customHeight="1">
      <c r="B70" s="428" t="str">
        <f>B81</f>
        <v>STARMALT</v>
      </c>
      <c r="C70" s="283">
        <v>45812</v>
      </c>
      <c r="D70" s="377"/>
      <c r="E70" s="378"/>
      <c r="F70" s="379"/>
      <c r="G70" s="303"/>
      <c r="H70" s="320"/>
      <c r="I70" s="322"/>
      <c r="J70" s="392" t="s">
        <v>170</v>
      </c>
      <c r="K70" s="286"/>
      <c r="L70" s="314" t="e">
        <f>(((D70+E70)-G70)/(D70+E70))*100</f>
        <v>#DIV/0!</v>
      </c>
      <c r="M70" s="417" t="s">
        <v>167</v>
      </c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>
        <f>[20]January_2019!L7</f>
        <v>0</v>
      </c>
      <c r="AC70" s="57">
        <f>[20]January_2019!M7</f>
        <v>0</v>
      </c>
      <c r="AD70" s="57">
        <f>[20]January_2019!N7</f>
        <v>0</v>
      </c>
      <c r="AE70" s="57">
        <f>[20]January_2019!O7</f>
        <v>0</v>
      </c>
      <c r="AF70" s="57">
        <f>[20]January_2019!P7</f>
        <v>0</v>
      </c>
      <c r="AG70" s="57">
        <f>[20]January_2019!Q7</f>
        <v>0</v>
      </c>
      <c r="AH70" s="57">
        <f>[20]January_2019!R7</f>
        <v>0</v>
      </c>
      <c r="AI70" s="57">
        <f>[20]January_2019!S7</f>
        <v>0</v>
      </c>
      <c r="AJ70" s="57">
        <f>[20]January_2019!T7</f>
        <v>0</v>
      </c>
      <c r="AK70" s="57">
        <f>[20]January_2019!U7</f>
        <v>0</v>
      </c>
      <c r="AL70" s="57">
        <f>[20]January_2019!V7</f>
        <v>0</v>
      </c>
      <c r="AM70" s="57">
        <f>[20]January_2019!W7</f>
        <v>0</v>
      </c>
      <c r="AN70" s="57">
        <f>[20]January_2019!X7</f>
        <v>0</v>
      </c>
      <c r="AO70" s="57">
        <f>[20]January_2019!Y7</f>
        <v>0</v>
      </c>
      <c r="AP70" s="57">
        <f>[20]January_2019!Z7</f>
        <v>0</v>
      </c>
      <c r="AQ70" s="57">
        <f>[20]January_2019!AA7</f>
        <v>0</v>
      </c>
      <c r="AR70" s="57">
        <f>[20]January_2019!AB7</f>
        <v>0</v>
      </c>
      <c r="AS70" s="57">
        <f>[20]January_2019!AC7</f>
        <v>0</v>
      </c>
      <c r="AT70" s="57">
        <f>[20]January_2019!AD7</f>
        <v>0</v>
      </c>
      <c r="AU70" s="57">
        <f>[20]January_2019!AE7</f>
        <v>0</v>
      </c>
      <c r="AV70" s="57">
        <f>[20]January_2019!AF7</f>
        <v>0</v>
      </c>
      <c r="AW70" s="57">
        <f>[20]January_2019!AG7</f>
        <v>0</v>
      </c>
      <c r="AX70" s="277">
        <f>[20]January_2019!AH7</f>
        <v>0</v>
      </c>
      <c r="AY70" s="277"/>
      <c r="AZ70" s="277"/>
      <c r="BA70" s="277"/>
      <c r="BB70" s="277"/>
      <c r="BC70" s="277"/>
      <c r="BD70" s="277"/>
      <c r="BE70" s="277"/>
    </row>
    <row r="71" spans="2:57" s="54" customFormat="1" ht="16.5" customHeight="1">
      <c r="B71" s="423"/>
      <c r="C71" s="283"/>
      <c r="D71" s="377"/>
      <c r="E71" s="378"/>
      <c r="F71" s="379"/>
      <c r="G71" s="303"/>
      <c r="H71" s="320"/>
      <c r="I71" s="322"/>
      <c r="J71" s="281"/>
      <c r="K71" s="286"/>
      <c r="L71" s="314"/>
      <c r="M71" s="417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416"/>
      <c r="AC71" s="416"/>
      <c r="AD71" s="416"/>
      <c r="AE71" s="416"/>
      <c r="AF71" s="416"/>
      <c r="AG71" s="416"/>
      <c r="AH71" s="416"/>
      <c r="AI71" s="416"/>
      <c r="AJ71" s="416"/>
      <c r="AK71" s="416"/>
      <c r="AL71" s="416"/>
      <c r="AM71" s="416"/>
      <c r="AN71" s="416"/>
      <c r="AO71" s="416"/>
      <c r="AP71" s="416"/>
      <c r="AQ71" s="416"/>
      <c r="AR71" s="416"/>
      <c r="AS71" s="416"/>
      <c r="AT71" s="416"/>
      <c r="AU71" s="416"/>
      <c r="AV71" s="416"/>
      <c r="AW71" s="416"/>
    </row>
    <row r="72" spans="2:57" ht="18" customHeight="1" thickBot="1">
      <c r="B72" s="59"/>
      <c r="C72" s="30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 t="s">
        <v>41</v>
      </c>
      <c r="O72" s="56"/>
      <c r="P72" s="60"/>
    </row>
    <row r="73" spans="2:57" ht="14.4" thickBot="1">
      <c r="B73" s="533" t="s">
        <v>55</v>
      </c>
      <c r="C73" s="534"/>
      <c r="D73" s="534"/>
      <c r="E73" s="534"/>
      <c r="F73" s="535"/>
      <c r="G73" s="533" t="s">
        <v>56</v>
      </c>
      <c r="H73" s="534"/>
      <c r="I73" s="534"/>
      <c r="J73" s="535"/>
      <c r="K73" s="533" t="s">
        <v>51</v>
      </c>
      <c r="L73" s="534"/>
      <c r="M73" s="534"/>
      <c r="N73" s="536"/>
      <c r="O73" s="56"/>
      <c r="P73" s="50"/>
    </row>
    <row r="74" spans="2:57">
      <c r="B74" s="61" t="s">
        <v>17</v>
      </c>
      <c r="C74" s="62" t="s">
        <v>36</v>
      </c>
      <c r="D74" s="62" t="s">
        <v>37</v>
      </c>
      <c r="E74" s="62" t="s">
        <v>38</v>
      </c>
      <c r="F74" s="63" t="s">
        <v>39</v>
      </c>
      <c r="G74" s="62" t="s">
        <v>36</v>
      </c>
      <c r="H74" s="62" t="s">
        <v>37</v>
      </c>
      <c r="I74" s="62" t="s">
        <v>38</v>
      </c>
      <c r="J74" s="63" t="s">
        <v>39</v>
      </c>
      <c r="K74" s="62" t="s">
        <v>36</v>
      </c>
      <c r="L74" s="62" t="s">
        <v>37</v>
      </c>
      <c r="M74" s="62" t="s">
        <v>38</v>
      </c>
      <c r="N74" s="63" t="s">
        <v>39</v>
      </c>
      <c r="O74" s="56"/>
      <c r="P74" s="64"/>
    </row>
    <row r="75" spans="2:57">
      <c r="B75" s="29" t="s">
        <v>6</v>
      </c>
      <c r="C75" s="65"/>
      <c r="D75" s="76">
        <v>8.0696202531645689</v>
      </c>
      <c r="E75" s="76">
        <v>6.7070238320330846</v>
      </c>
      <c r="F75" s="66">
        <v>4.8</v>
      </c>
      <c r="G75" s="65"/>
      <c r="H75" s="76">
        <v>6.5114782235571971</v>
      </c>
      <c r="I75" s="76">
        <v>6.8169852103479975</v>
      </c>
      <c r="J75" s="66">
        <v>4.8</v>
      </c>
      <c r="K75" s="67"/>
      <c r="L75" s="194">
        <v>0.54362573099415201</v>
      </c>
      <c r="M75" s="194">
        <v>0.75567615140644151</v>
      </c>
      <c r="N75" s="68">
        <v>1</v>
      </c>
      <c r="O75" s="56"/>
      <c r="P75" s="69"/>
    </row>
    <row r="76" spans="2:57">
      <c r="B76" s="33" t="s">
        <v>9</v>
      </c>
      <c r="C76" s="65"/>
      <c r="D76" s="76">
        <v>-0.78125000000001632</v>
      </c>
      <c r="E76" s="76">
        <v>5.6884091424158765</v>
      </c>
      <c r="F76" s="66">
        <v>4.8</v>
      </c>
      <c r="G76" s="65"/>
      <c r="H76" s="76">
        <v>-1.1688644365024441</v>
      </c>
      <c r="I76" s="76">
        <v>5.531629643435461</v>
      </c>
      <c r="J76" s="66">
        <v>4.8</v>
      </c>
      <c r="K76" s="67"/>
      <c r="L76" s="194">
        <v>0.5808771929824561</v>
      </c>
      <c r="M76" s="194">
        <v>0.74128439277561164</v>
      </c>
      <c r="N76" s="68">
        <v>1</v>
      </c>
      <c r="P76" s="69"/>
    </row>
    <row r="77" spans="2:57">
      <c r="B77" s="34" t="s">
        <v>40</v>
      </c>
      <c r="C77" s="65"/>
      <c r="D77" s="76"/>
      <c r="E77" s="76">
        <v>11.904402895054256</v>
      </c>
      <c r="F77" s="66">
        <v>5.5</v>
      </c>
      <c r="G77" s="65"/>
      <c r="H77" s="76"/>
      <c r="I77" s="76">
        <v>13.27623252148428</v>
      </c>
      <c r="J77" s="66">
        <v>5.5</v>
      </c>
      <c r="K77" s="67"/>
      <c r="L77" s="194"/>
      <c r="M77" s="194">
        <v>0.54554653679653675</v>
      </c>
      <c r="N77" s="68">
        <v>1</v>
      </c>
      <c r="P77" s="69"/>
    </row>
    <row r="78" spans="2:57">
      <c r="B78" s="22" t="s">
        <v>33</v>
      </c>
      <c r="C78" s="65"/>
      <c r="D78" s="76">
        <v>3.7185929648241238</v>
      </c>
      <c r="E78" s="76">
        <v>4.2675953841355607</v>
      </c>
      <c r="F78" s="66">
        <v>3.3</v>
      </c>
      <c r="G78" s="65"/>
      <c r="H78" s="76">
        <v>3.5401443549560527</v>
      </c>
      <c r="I78" s="76">
        <v>4.1118286580052033</v>
      </c>
      <c r="J78" s="66">
        <v>3.3</v>
      </c>
      <c r="K78" s="67"/>
      <c r="L78" s="194">
        <v>0.33614035087719296</v>
      </c>
      <c r="M78" s="194">
        <v>0.78836257309941515</v>
      </c>
      <c r="N78" s="68">
        <v>1</v>
      </c>
      <c r="P78" s="69"/>
    </row>
    <row r="79" spans="2:57">
      <c r="B79" s="35" t="s">
        <v>29</v>
      </c>
      <c r="C79" s="65"/>
      <c r="D79" s="76"/>
      <c r="E79" s="76"/>
      <c r="F79" s="66">
        <v>3.3</v>
      </c>
      <c r="G79" s="282"/>
      <c r="H79" s="76"/>
      <c r="I79" s="76"/>
      <c r="J79" s="66">
        <v>3</v>
      </c>
      <c r="L79" s="194"/>
      <c r="M79" s="194"/>
      <c r="N79" s="68">
        <v>1</v>
      </c>
      <c r="P79" s="69"/>
    </row>
    <row r="80" spans="2:57">
      <c r="B80" s="36" t="s">
        <v>15</v>
      </c>
      <c r="C80" s="282"/>
      <c r="D80" s="76"/>
      <c r="E80" s="76">
        <v>7.8262258425171876</v>
      </c>
      <c r="F80" s="70">
        <f>[21]May_2022!$M$43</f>
        <v>3.4878406700073312</v>
      </c>
      <c r="G80" s="282"/>
      <c r="H80" s="76"/>
      <c r="I80" s="76">
        <v>9.4300678869947632</v>
      </c>
      <c r="J80" s="66">
        <v>5.5</v>
      </c>
      <c r="K80" s="67"/>
      <c r="L80" s="194"/>
      <c r="M80" s="194">
        <v>0.674970760233918</v>
      </c>
      <c r="N80" s="68">
        <v>1</v>
      </c>
      <c r="P80" s="69"/>
    </row>
    <row r="81" spans="2:16">
      <c r="B81" s="37" t="s">
        <v>16</v>
      </c>
      <c r="C81" s="65"/>
      <c r="D81" s="76">
        <v>4.4761595848199667</v>
      </c>
      <c r="E81" s="76">
        <v>2.8990450204638254</v>
      </c>
      <c r="F81" s="66">
        <v>3.3</v>
      </c>
      <c r="G81" s="282"/>
      <c r="H81" s="76">
        <v>4.5799898461408048</v>
      </c>
      <c r="I81" s="76">
        <v>4.4797971833783148</v>
      </c>
      <c r="J81" s="66">
        <v>3.3</v>
      </c>
      <c r="K81" s="67"/>
      <c r="L81" s="194">
        <v>0.34444444444444444</v>
      </c>
      <c r="M81" s="194">
        <v>0.75981884057971016</v>
      </c>
      <c r="N81" s="71">
        <v>1</v>
      </c>
      <c r="P81" s="69"/>
    </row>
    <row r="82" spans="2:16" ht="14.4" thickBot="1">
      <c r="B82" s="38" t="s">
        <v>127</v>
      </c>
      <c r="C82" s="65"/>
      <c r="D82" s="76"/>
      <c r="E82" s="76"/>
      <c r="F82" s="66">
        <v>7.5</v>
      </c>
      <c r="G82" s="282"/>
      <c r="H82" s="76"/>
      <c r="I82" s="76"/>
      <c r="J82" s="66">
        <v>7.5</v>
      </c>
      <c r="K82" s="67"/>
      <c r="L82" s="194"/>
      <c r="M82" s="194"/>
      <c r="N82" s="71">
        <v>1</v>
      </c>
      <c r="P82" s="69"/>
    </row>
    <row r="83" spans="2:16" ht="14.4" thickBot="1">
      <c r="B83" s="415" t="s">
        <v>161</v>
      </c>
      <c r="C83" s="65"/>
      <c r="D83" s="76"/>
      <c r="E83" s="76">
        <v>4.8792508624938291</v>
      </c>
      <c r="F83" s="66">
        <v>4.8</v>
      </c>
      <c r="G83" s="282"/>
      <c r="H83" s="76"/>
      <c r="I83" s="76">
        <v>6.2003723782925313</v>
      </c>
      <c r="J83" s="66">
        <v>4.8</v>
      </c>
      <c r="K83" s="67"/>
      <c r="L83" s="194"/>
      <c r="M83" s="194">
        <v>0.33859649122807017</v>
      </c>
      <c r="N83" s="71">
        <v>1</v>
      </c>
      <c r="O83" s="74"/>
      <c r="P83" s="75"/>
    </row>
    <row r="84" spans="2:16">
      <c r="D84" s="76">
        <v>2.6645602948920439</v>
      </c>
      <c r="E84" s="76">
        <v>6.4596244581692179</v>
      </c>
      <c r="F84" s="341">
        <v>5.5</v>
      </c>
      <c r="H84" s="76">
        <v>2.2733883467987432</v>
      </c>
      <c r="I84" s="76">
        <v>6.8123907552237846</v>
      </c>
      <c r="J84" s="341">
        <v>5.5</v>
      </c>
      <c r="K84" s="67"/>
      <c r="L84" s="194">
        <v>0.47719298245614028</v>
      </c>
      <c r="M84" s="194">
        <v>0.71774244011453314</v>
      </c>
      <c r="N84" s="386">
        <v>1</v>
      </c>
    </row>
    <row r="88" spans="2:16">
      <c r="F88" s="315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7:N37"/>
    <mergeCell ref="D38:E38"/>
    <mergeCell ref="B39:B50"/>
    <mergeCell ref="D39:E40"/>
    <mergeCell ref="D41:E42"/>
    <mergeCell ref="D43:E44"/>
    <mergeCell ref="D45:E46"/>
    <mergeCell ref="D47:E48"/>
    <mergeCell ref="D49:E50"/>
    <mergeCell ref="B51:B60"/>
    <mergeCell ref="D51:E52"/>
    <mergeCell ref="J51:K51"/>
    <mergeCell ref="L52:N52"/>
    <mergeCell ref="D53:E54"/>
    <mergeCell ref="D55:E56"/>
    <mergeCell ref="D57:E58"/>
    <mergeCell ref="D59:E60"/>
    <mergeCell ref="D61:E61"/>
    <mergeCell ref="B66:B67"/>
    <mergeCell ref="C66:C67"/>
    <mergeCell ref="D66:D67"/>
    <mergeCell ref="E66:E67"/>
    <mergeCell ref="M66:M67"/>
    <mergeCell ref="B73:F73"/>
    <mergeCell ref="G73:J73"/>
    <mergeCell ref="K73:N73"/>
    <mergeCell ref="G66:G67"/>
    <mergeCell ref="H66:H67"/>
    <mergeCell ref="I66:I67"/>
    <mergeCell ref="J66:J67"/>
    <mergeCell ref="K66:K67"/>
    <mergeCell ref="L66:L67"/>
    <mergeCell ref="F66:F67"/>
  </mergeCells>
  <conditionalFormatting sqref="B61:B62">
    <cfRule type="cellIs" dxfId="2074" priority="96" operator="notBetween">
      <formula>#REF!</formula>
      <formula>#REF!</formula>
    </cfRule>
  </conditionalFormatting>
  <conditionalFormatting sqref="C65">
    <cfRule type="cellIs" dxfId="2073" priority="128" stopIfTrue="1" operator="greaterThan">
      <formula>100</formula>
    </cfRule>
    <cfRule type="cellIs" dxfId="2072" priority="127" stopIfTrue="1" operator="lessThan">
      <formula>96</formula>
    </cfRule>
  </conditionalFormatting>
  <conditionalFormatting sqref="C75:C76">
    <cfRule type="cellIs" dxfId="2071" priority="74" stopIfTrue="1" operator="lessThanOrEqual">
      <formula>0</formula>
    </cfRule>
  </conditionalFormatting>
  <conditionalFormatting sqref="C75:C79">
    <cfRule type="cellIs" dxfId="2070" priority="73" stopIfTrue="1" operator="greaterThan">
      <formula>$F75</formula>
    </cfRule>
  </conditionalFormatting>
  <conditionalFormatting sqref="C76">
    <cfRule type="cellIs" dxfId="2069" priority="131" stopIfTrue="1" operator="greaterThan">
      <formula>$F75</formula>
    </cfRule>
  </conditionalFormatting>
  <conditionalFormatting sqref="C77:C80">
    <cfRule type="cellIs" dxfId="2068" priority="80" stopIfTrue="1" operator="lessThanOrEqual">
      <formula>0</formula>
    </cfRule>
  </conditionalFormatting>
  <conditionalFormatting sqref="C80">
    <cfRule type="cellIs" dxfId="2067" priority="79" stopIfTrue="1" operator="greaterThan">
      <formula>$J80</formula>
    </cfRule>
  </conditionalFormatting>
  <conditionalFormatting sqref="C86:C90">
    <cfRule type="cellIs" dxfId="2066" priority="119" stopIfTrue="1" operator="lessThanOrEqual">
      <formula>0</formula>
    </cfRule>
  </conditionalFormatting>
  <conditionalFormatting sqref="C87:C90">
    <cfRule type="cellIs" dxfId="2065" priority="118" stopIfTrue="1" operator="greaterThan">
      <formula>$F$86</formula>
    </cfRule>
  </conditionalFormatting>
  <conditionalFormatting sqref="C92">
    <cfRule type="cellIs" dxfId="2064" priority="121" stopIfTrue="1" operator="lessThanOrEqual">
      <formula>0</formula>
    </cfRule>
    <cfRule type="cellIs" dxfId="2063" priority="120" stopIfTrue="1" operator="greaterThan">
      <formula>$F$86</formula>
    </cfRule>
  </conditionalFormatting>
  <conditionalFormatting sqref="C86:D86 D88:D94">
    <cfRule type="cellIs" dxfId="2062" priority="113" stopIfTrue="1" operator="greaterThan">
      <formula>4.5</formula>
    </cfRule>
  </conditionalFormatting>
  <conditionalFormatting sqref="D61:D62">
    <cfRule type="cellIs" dxfId="2061" priority="97" operator="notBetween">
      <formula>#REF!</formula>
      <formula>#REF!</formula>
    </cfRule>
  </conditionalFormatting>
  <conditionalFormatting sqref="D75:D82">
    <cfRule type="cellIs" dxfId="2060" priority="90" stopIfTrue="1" operator="lessThanOrEqual">
      <formula>0</formula>
    </cfRule>
  </conditionalFormatting>
  <conditionalFormatting sqref="D83">
    <cfRule type="cellIs" dxfId="2059" priority="89" stopIfTrue="1" operator="lessThanOrEqual">
      <formula>0</formula>
    </cfRule>
  </conditionalFormatting>
  <conditionalFormatting sqref="D86 D88:D94">
    <cfRule type="cellIs" dxfId="2058" priority="114" stopIfTrue="1" operator="lessThanOrEqual">
      <formula>0</formula>
    </cfRule>
  </conditionalFormatting>
  <conditionalFormatting sqref="D87">
    <cfRule type="cellIs" dxfId="2057" priority="106" stopIfTrue="1" operator="lessThanOrEqual">
      <formula>0</formula>
    </cfRule>
    <cfRule type="cellIs" dxfId="2056" priority="105" stopIfTrue="1" operator="greaterThan">
      <formula>$F$86</formula>
    </cfRule>
  </conditionalFormatting>
  <conditionalFormatting sqref="D75:E84">
    <cfRule type="cellIs" dxfId="2055" priority="70" stopIfTrue="1" operator="greaterThan">
      <formula>$F75</formula>
    </cfRule>
  </conditionalFormatting>
  <conditionalFormatting sqref="D84:E84">
    <cfRule type="cellIs" dxfId="2054" priority="71" stopIfTrue="1" operator="lessThanOrEqual">
      <formula>0</formula>
    </cfRule>
  </conditionalFormatting>
  <conditionalFormatting sqref="E10:E36">
    <cfRule type="cellIs" dxfId="2053" priority="2" operator="lessThan">
      <formula>48</formula>
    </cfRule>
  </conditionalFormatting>
  <conditionalFormatting sqref="E64 E65:F65">
    <cfRule type="cellIs" dxfId="2052" priority="110" stopIfTrue="1" operator="greaterThan">
      <formula>100</formula>
    </cfRule>
  </conditionalFormatting>
  <conditionalFormatting sqref="E65">
    <cfRule type="cellIs" dxfId="2051" priority="108" stopIfTrue="1" operator="greaterThan">
      <formula>100</formula>
    </cfRule>
    <cfRule type="cellIs" dxfId="2050" priority="107" stopIfTrue="1" operator="lessThan">
      <formula>96.8</formula>
    </cfRule>
  </conditionalFormatting>
  <conditionalFormatting sqref="E75:E83">
    <cfRule type="cellIs" dxfId="2049" priority="84" stopIfTrue="1" operator="lessThanOrEqual">
      <formula>0</formula>
    </cfRule>
  </conditionalFormatting>
  <conditionalFormatting sqref="E86:E94">
    <cfRule type="cellIs" dxfId="2048" priority="100" stopIfTrue="1" operator="lessThanOrEqual">
      <formula>0</formula>
    </cfRule>
    <cfRule type="cellIs" dxfId="2047" priority="99" stopIfTrue="1" operator="greaterThan">
      <formula>4.5</formula>
    </cfRule>
  </conditionalFormatting>
  <conditionalFormatting sqref="E65:F65 E64">
    <cfRule type="cellIs" dxfId="2046" priority="109" stopIfTrue="1" operator="lessThan">
      <formula>96.5</formula>
    </cfRule>
  </conditionalFormatting>
  <conditionalFormatting sqref="F10:F36">
    <cfRule type="cellIs" dxfId="2045" priority="3" operator="greaterThan">
      <formula>60</formula>
    </cfRule>
  </conditionalFormatting>
  <conditionalFormatting sqref="F65">
    <cfRule type="cellIs" dxfId="2044" priority="125" stopIfTrue="1" operator="lessThan">
      <formula>96.8</formula>
    </cfRule>
    <cfRule type="cellIs" dxfId="2043" priority="126" stopIfTrue="1" operator="greaterThan">
      <formula>100</formula>
    </cfRule>
  </conditionalFormatting>
  <conditionalFormatting sqref="F84">
    <cfRule type="cellIs" dxfId="2042" priority="85" stopIfTrue="1" operator="greaterThan">
      <formula>$F84</formula>
    </cfRule>
    <cfRule type="cellIs" dxfId="2041" priority="86" stopIfTrue="1" operator="lessThanOrEqual">
      <formula>0</formula>
    </cfRule>
  </conditionalFormatting>
  <conditionalFormatting sqref="G75:G76 C81:C83">
    <cfRule type="cellIs" dxfId="2040" priority="91" stopIfTrue="1" operator="greaterThan">
      <formula>$F75</formula>
    </cfRule>
    <cfRule type="cellIs" dxfId="2039" priority="92" stopIfTrue="1" operator="lessThanOrEqual">
      <formula>0</formula>
    </cfRule>
  </conditionalFormatting>
  <conditionalFormatting sqref="G75:G76">
    <cfRule type="cellIs" dxfId="2038" priority="76" stopIfTrue="1" operator="lessThanOrEqual">
      <formula>0</formula>
    </cfRule>
    <cfRule type="cellIs" dxfId="2037" priority="75" stopIfTrue="1" operator="greaterThan">
      <formula>$F75</formula>
    </cfRule>
  </conditionalFormatting>
  <conditionalFormatting sqref="G77">
    <cfRule type="cellIs" dxfId="2036" priority="130" stopIfTrue="1" operator="lessThanOrEqual">
      <formula>0</formula>
    </cfRule>
    <cfRule type="cellIs" dxfId="2035" priority="129" stopIfTrue="1" operator="greaterThan">
      <formula>$F76</formula>
    </cfRule>
  </conditionalFormatting>
  <conditionalFormatting sqref="G78">
    <cfRule type="cellIs" dxfId="2034" priority="87" stopIfTrue="1" operator="greaterThan">
      <formula>$F78</formula>
    </cfRule>
    <cfRule type="cellIs" dxfId="2033" priority="88" stopIfTrue="1" operator="lessThanOrEqual">
      <formula>0</formula>
    </cfRule>
  </conditionalFormatting>
  <conditionalFormatting sqref="G79:G83">
    <cfRule type="cellIs" dxfId="2032" priority="94" stopIfTrue="1" operator="lessThanOrEqual">
      <formula>0</formula>
    </cfRule>
    <cfRule type="cellIs" dxfId="2031" priority="93" stopIfTrue="1" operator="greaterThan">
      <formula>$J79</formula>
    </cfRule>
  </conditionalFormatting>
  <conditionalFormatting sqref="G88:G93 C91 C93">
    <cfRule type="cellIs" dxfId="2030" priority="122" stopIfTrue="1" operator="greaterThan">
      <formula>4.5</formula>
    </cfRule>
    <cfRule type="cellIs" dxfId="2029" priority="123" stopIfTrue="1" operator="lessThanOrEqual">
      <formula>0</formula>
    </cfRule>
  </conditionalFormatting>
  <conditionalFormatting sqref="G10:H36">
    <cfRule type="expression" dxfId="2028" priority="4">
      <formula>IF(+(IF(G10&lt;#REF!,0,IF(G10&gt;#REF!,0,1)))=0,1)</formula>
    </cfRule>
  </conditionalFormatting>
  <conditionalFormatting sqref="G87:H87">
    <cfRule type="cellIs" dxfId="2027" priority="104" stopIfTrue="1" operator="lessThanOrEqual">
      <formula>0</formula>
    </cfRule>
    <cfRule type="cellIs" dxfId="2026" priority="103" stopIfTrue="1" operator="greaterThan">
      <formula>$F$86</formula>
    </cfRule>
  </conditionalFormatting>
  <conditionalFormatting sqref="H50:H64">
    <cfRule type="cellIs" dxfId="2025" priority="101" stopIfTrue="1" operator="greaterThan">
      <formula>0</formula>
    </cfRule>
  </conditionalFormatting>
  <conditionalFormatting sqref="H68">
    <cfRule type="cellIs" dxfId="2024" priority="36" stopIfTrue="1" operator="lessThanOrEqual">
      <formula>0</formula>
    </cfRule>
    <cfRule type="cellIs" dxfId="2023" priority="24" stopIfTrue="1" operator="lessThanOrEqual">
      <formula>0</formula>
    </cfRule>
    <cfRule type="cellIs" dxfId="2022" priority="25" stopIfTrue="1" operator="greaterThan">
      <formula>$F$38</formula>
    </cfRule>
    <cfRule type="cellIs" dxfId="2021" priority="33" stopIfTrue="1" operator="greaterThan">
      <formula>$F$41</formula>
    </cfRule>
    <cfRule type="cellIs" dxfId="2020" priority="34" stopIfTrue="1" operator="lessThanOrEqual">
      <formula>0</formula>
    </cfRule>
    <cfRule type="cellIs" dxfId="2019" priority="35" stopIfTrue="1" operator="greaterThan">
      <formula>$F$39</formula>
    </cfRule>
  </conditionalFormatting>
  <conditionalFormatting sqref="H69:H71">
    <cfRule type="cellIs" dxfId="2018" priority="44" stopIfTrue="1" operator="greaterThan">
      <formula>$F$49</formula>
    </cfRule>
    <cfRule type="cellIs" dxfId="2017" priority="43" stopIfTrue="1" operator="lessThanOrEqual">
      <formula>0</formula>
    </cfRule>
    <cfRule type="cellIs" dxfId="2016" priority="55" stopIfTrue="1" operator="lessThanOrEqual">
      <formula>0</formula>
    </cfRule>
    <cfRule type="cellIs" dxfId="2015" priority="54" stopIfTrue="1" operator="greaterThan">
      <formula>$F$50</formula>
    </cfRule>
    <cfRule type="cellIs" dxfId="2014" priority="53" stopIfTrue="1" operator="lessThanOrEqual">
      <formula>0</formula>
    </cfRule>
    <cfRule type="cellIs" dxfId="2013" priority="52" stopIfTrue="1" operator="greaterThan">
      <formula>$F$52</formula>
    </cfRule>
  </conditionalFormatting>
  <conditionalFormatting sqref="H75:H82">
    <cfRule type="cellIs" dxfId="2012" priority="78" stopIfTrue="1" operator="lessThanOrEqual">
      <formula>0</formula>
    </cfRule>
    <cfRule type="cellIs" dxfId="2011" priority="77" stopIfTrue="1" operator="greaterThan">
      <formula>$J75</formula>
    </cfRule>
  </conditionalFormatting>
  <conditionalFormatting sqref="H83">
    <cfRule type="cellIs" dxfId="2010" priority="81" operator="greaterThan">
      <formula>5.3</formula>
    </cfRule>
  </conditionalFormatting>
  <conditionalFormatting sqref="H86 H88:H94">
    <cfRule type="cellIs" dxfId="2009" priority="115" stopIfTrue="1" operator="greaterThan">
      <formula>4.5</formula>
    </cfRule>
    <cfRule type="cellIs" dxfId="2008" priority="116" stopIfTrue="1" operator="lessThanOrEqual">
      <formula>0</formula>
    </cfRule>
  </conditionalFormatting>
  <conditionalFormatting sqref="H68:I68">
    <cfRule type="cellIs" dxfId="2007" priority="26" stopIfTrue="1" operator="lessThanOrEqual">
      <formula>0</formula>
    </cfRule>
    <cfRule type="cellIs" dxfId="2006" priority="23" stopIfTrue="1" operator="greaterThan">
      <formula>$F$40</formula>
    </cfRule>
  </conditionalFormatting>
  <conditionalFormatting sqref="H69:I71">
    <cfRule type="cellIs" dxfId="2005" priority="45" stopIfTrue="1" operator="lessThanOrEqual">
      <formula>0</formula>
    </cfRule>
    <cfRule type="cellIs" dxfId="2004" priority="42" stopIfTrue="1" operator="greaterThan">
      <formula>$F$51</formula>
    </cfRule>
  </conditionalFormatting>
  <conditionalFormatting sqref="H84:I84">
    <cfRule type="cellIs" dxfId="2003" priority="68" stopIfTrue="1" operator="greaterThan">
      <formula>$J84</formula>
    </cfRule>
    <cfRule type="cellIs" dxfId="2002" priority="69" stopIfTrue="1" operator="lessThanOrEqual">
      <formula>0</formula>
    </cfRule>
  </conditionalFormatting>
  <conditionalFormatting sqref="I68">
    <cfRule type="cellIs" dxfId="2001" priority="28" stopIfTrue="1" operator="lessThanOrEqual">
      <formula>0</formula>
    </cfRule>
    <cfRule type="cellIs" dxfId="2000" priority="27" stopIfTrue="1" operator="greaterThan">
      <formula>$F$38</formula>
    </cfRule>
    <cfRule type="cellIs" dxfId="1999" priority="32" stopIfTrue="1" operator="lessThanOrEqual">
      <formula>0</formula>
    </cfRule>
    <cfRule type="cellIs" dxfId="1998" priority="31" stopIfTrue="1" operator="greaterThan">
      <formula>$F$38</formula>
    </cfRule>
    <cfRule type="cellIs" dxfId="1997" priority="30" stopIfTrue="1" operator="lessThanOrEqual">
      <formula>0</formula>
    </cfRule>
    <cfRule type="cellIs" dxfId="1996" priority="29" stopIfTrue="1" operator="greaterThan">
      <formula>$F$40</formula>
    </cfRule>
  </conditionalFormatting>
  <conditionalFormatting sqref="I69:I71">
    <cfRule type="cellIs" dxfId="1995" priority="48" stopIfTrue="1" operator="greaterThan">
      <formula>$F$51</formula>
    </cfRule>
    <cfRule type="cellIs" dxfId="1994" priority="46" stopIfTrue="1" operator="greaterThan">
      <formula>$F$49</formula>
    </cfRule>
    <cfRule type="cellIs" dxfId="1993" priority="47" stopIfTrue="1" operator="lessThanOrEqual">
      <formula>0</formula>
    </cfRule>
    <cfRule type="cellIs" dxfId="1992" priority="49" stopIfTrue="1" operator="lessThanOrEqual">
      <formula>0</formula>
    </cfRule>
    <cfRule type="cellIs" dxfId="1991" priority="51" stopIfTrue="1" operator="lessThanOrEqual">
      <formula>0</formula>
    </cfRule>
    <cfRule type="cellIs" dxfId="1990" priority="50" stopIfTrue="1" operator="greaterThan">
      <formula>$F$49</formula>
    </cfRule>
  </conditionalFormatting>
  <conditionalFormatting sqref="I75:I83">
    <cfRule type="cellIs" dxfId="1989" priority="83" stopIfTrue="1" operator="lessThanOrEqual">
      <formula>0</formula>
    </cfRule>
    <cfRule type="cellIs" dxfId="1988" priority="82" stopIfTrue="1" operator="greaterThan">
      <formula>$J75</formula>
    </cfRule>
  </conditionalFormatting>
  <conditionalFormatting sqref="I86:I94">
    <cfRule type="cellIs" dxfId="1987" priority="111" stopIfTrue="1" operator="greaterThan">
      <formula>4.5</formula>
    </cfRule>
    <cfRule type="cellIs" dxfId="1986" priority="112" stopIfTrue="1" operator="lessThanOrEqual">
      <formula>0</formula>
    </cfRule>
  </conditionalFormatting>
  <conditionalFormatting sqref="I10:J36">
    <cfRule type="cellIs" dxfId="1985" priority="9" operator="lessThan">
      <formula>97.9</formula>
    </cfRule>
  </conditionalFormatting>
  <conditionalFormatting sqref="J39:J41">
    <cfRule type="cellIs" dxfId="1984" priority="59" stopIfTrue="1" operator="greaterThan">
      <formula>100</formula>
    </cfRule>
    <cfRule type="cellIs" dxfId="1983" priority="60" operator="lessThan">
      <formula>98</formula>
    </cfRule>
    <cfRule type="cellIs" dxfId="1982" priority="58" stopIfTrue="1" operator="lessThan">
      <formula>96.8</formula>
    </cfRule>
  </conditionalFormatting>
  <conditionalFormatting sqref="J39:J43">
    <cfRule type="cellIs" dxfId="1981" priority="57" operator="lessThan">
      <formula>97.4</formula>
    </cfRule>
  </conditionalFormatting>
  <conditionalFormatting sqref="J44">
    <cfRule type="cellIs" dxfId="1980" priority="61" operator="lessThan">
      <formula>98</formula>
    </cfRule>
  </conditionalFormatting>
  <conditionalFormatting sqref="J45:J47">
    <cfRule type="cellIs" dxfId="1979" priority="63" stopIfTrue="1" operator="greaterThan">
      <formula>100</formula>
    </cfRule>
    <cfRule type="cellIs" dxfId="1978" priority="62" stopIfTrue="1" operator="lessThan">
      <formula>96.8</formula>
    </cfRule>
  </conditionalFormatting>
  <conditionalFormatting sqref="J45:J48">
    <cfRule type="cellIs" dxfId="1977" priority="64" operator="lessThan">
      <formula>98</formula>
    </cfRule>
  </conditionalFormatting>
  <conditionalFormatting sqref="J84">
    <cfRule type="cellIs" dxfId="1976" priority="66" stopIfTrue="1" operator="lessThanOrEqual">
      <formula>0</formula>
    </cfRule>
    <cfRule type="cellIs" dxfId="1975" priority="65" stopIfTrue="1" operator="greaterThan">
      <formula>$F84</formula>
    </cfRule>
  </conditionalFormatting>
  <conditionalFormatting sqref="K10:K36">
    <cfRule type="cellIs" dxfId="1974" priority="8" operator="greaterThan">
      <formula>6.4</formula>
    </cfRule>
    <cfRule type="cellIs" dxfId="1973" priority="7" operator="lessThan">
      <formula>4</formula>
    </cfRule>
    <cfRule type="cellIs" dxfId="1972" priority="6" operator="greaterThan">
      <formula>6</formula>
    </cfRule>
  </conditionalFormatting>
  <conditionalFormatting sqref="K53:K57 K59:K62">
    <cfRule type="cellIs" dxfId="1971" priority="56" operator="notEqual">
      <formula>#REF!</formula>
    </cfRule>
  </conditionalFormatting>
  <conditionalFormatting sqref="K68:K71">
    <cfRule type="cellIs" dxfId="1970" priority="40" stopIfTrue="1" operator="lessThan">
      <formula>100%</formula>
    </cfRule>
  </conditionalFormatting>
  <conditionalFormatting sqref="K86:K91">
    <cfRule type="cellIs" dxfId="1969" priority="117" stopIfTrue="1" operator="lessThan">
      <formula>100%</formula>
    </cfRule>
  </conditionalFormatting>
  <conditionalFormatting sqref="K93:K94">
    <cfRule type="cellIs" dxfId="1968" priority="124" stopIfTrue="1" operator="lessThan">
      <formula>100%</formula>
    </cfRule>
  </conditionalFormatting>
  <conditionalFormatting sqref="K75:N78 L79:N79">
    <cfRule type="cellIs" dxfId="1967" priority="95" stopIfTrue="1" operator="lessThan">
      <formula>100%</formula>
    </cfRule>
  </conditionalFormatting>
  <conditionalFormatting sqref="K80:N84">
    <cfRule type="cellIs" dxfId="1966" priority="67" stopIfTrue="1" operator="lessThan">
      <formula>100%</formula>
    </cfRule>
  </conditionalFormatting>
  <conditionalFormatting sqref="L10:L21 L31:L36">
    <cfRule type="cellIs" dxfId="1965" priority="22" operator="greaterThan">
      <formula>65</formula>
    </cfRule>
    <cfRule type="cellIs" dxfId="1964" priority="21" operator="between">
      <formula>61</formula>
      <formula>65</formula>
    </cfRule>
  </conditionalFormatting>
  <conditionalFormatting sqref="L22:M30">
    <cfRule type="cellIs" dxfId="1963" priority="11" operator="greaterThan">
      <formula>65</formula>
    </cfRule>
    <cfRule type="cellIs" dxfId="1962" priority="10" operator="between">
      <formula>61</formula>
      <formula>65</formula>
    </cfRule>
  </conditionalFormatting>
  <conditionalFormatting sqref="L54:N54">
    <cfRule type="cellIs" dxfId="1961" priority="41" operator="notEqual">
      <formula>#REF!</formula>
    </cfRule>
  </conditionalFormatting>
  <conditionalFormatting sqref="L86:N94">
    <cfRule type="cellIs" dxfId="1960" priority="102" stopIfTrue="1" operator="lessThan">
      <formula>100%</formula>
    </cfRule>
  </conditionalFormatting>
  <conditionalFormatting sqref="M10:M36">
    <cfRule type="expression" dxfId="1959" priority="5">
      <formula>IF(+(IF(M10&lt;U10,0,IF(M10&gt;V10,0,1)))=0,1)</formula>
    </cfRule>
  </conditionalFormatting>
  <conditionalFormatting sqref="M39 L40:M50">
    <cfRule type="cellIs" dxfId="1958" priority="72" operator="lessThan">
      <formula>98</formula>
    </cfRule>
  </conditionalFormatting>
  <conditionalFormatting sqref="N10:N36">
    <cfRule type="expression" dxfId="1957" priority="1">
      <formula>IF(+(IF(N10&lt;W10,0,IF(N10&gt;X10,0,1)))=0,1)</formula>
    </cfRule>
  </conditionalFormatting>
  <conditionalFormatting sqref="P6">
    <cfRule type="cellIs" dxfId="1956" priority="98" operator="greaterThanOrEqual">
      <formula>19</formula>
    </cfRule>
  </conditionalFormatting>
  <dataValidations count="1">
    <dataValidation type="list" allowBlank="1" showInputMessage="1" showErrorMessage="1" sqref="R8" xr:uid="{50C855B9-E9E2-4CCA-9CDC-0668FD9ADB05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8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7DF5-F99E-496B-811C-5F210878EE2D}">
  <sheetPr>
    <pageSetUpPr fitToPage="1"/>
  </sheetPr>
  <dimension ref="A1:BE88"/>
  <sheetViews>
    <sheetView tabSelected="1" zoomScale="60" zoomScaleNormal="60" workbookViewId="0">
      <selection activeCell="B21" sqref="B21:O21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21.33203125" style="275" customWidth="1"/>
    <col min="16" max="16" width="82.55468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73" t="s">
        <v>0</v>
      </c>
      <c r="T1" s="473"/>
      <c r="U1" s="473" t="s">
        <v>1</v>
      </c>
      <c r="V1" s="473"/>
      <c r="W1" s="473" t="s">
        <v>2</v>
      </c>
      <c r="X1" s="473"/>
      <c r="Y1" s="473" t="s">
        <v>124</v>
      </c>
      <c r="Z1" s="473"/>
    </row>
    <row r="2" spans="2:29" ht="14.4">
      <c r="B2" s="474" t="s">
        <v>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45818</v>
      </c>
      <c r="J4" s="398" t="s">
        <v>172</v>
      </c>
      <c r="K4" s="398"/>
      <c r="L4" s="11"/>
      <c r="M4" s="471" t="s">
        <v>8</v>
      </c>
      <c r="N4" s="472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68"/>
      <c r="D5" s="468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171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81" t="s">
        <v>17</v>
      </c>
      <c r="C8" s="483" t="s">
        <v>18</v>
      </c>
      <c r="D8" s="483" t="s">
        <v>19</v>
      </c>
      <c r="E8" s="356" t="s">
        <v>20</v>
      </c>
      <c r="F8" s="356" t="s">
        <v>21</v>
      </c>
      <c r="G8" s="483" t="s">
        <v>22</v>
      </c>
      <c r="H8" s="485" t="s">
        <v>144</v>
      </c>
      <c r="I8" s="483" t="s">
        <v>173</v>
      </c>
      <c r="J8" s="487" t="s">
        <v>23</v>
      </c>
      <c r="K8" s="489" t="s">
        <v>142</v>
      </c>
      <c r="L8" s="491" t="s">
        <v>24</v>
      </c>
      <c r="M8" s="359" t="s">
        <v>25</v>
      </c>
      <c r="N8" s="17" t="s">
        <v>26</v>
      </c>
      <c r="O8" s="543" t="s">
        <v>155</v>
      </c>
      <c r="P8" s="555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482"/>
      <c r="C9" s="484"/>
      <c r="D9" s="484"/>
      <c r="E9" s="357" t="s">
        <v>30</v>
      </c>
      <c r="F9" s="357" t="s">
        <v>31</v>
      </c>
      <c r="G9" s="484"/>
      <c r="H9" s="486"/>
      <c r="I9" s="484"/>
      <c r="J9" s="488"/>
      <c r="K9" s="490"/>
      <c r="L9" s="492"/>
      <c r="M9" s="20" t="s">
        <v>32</v>
      </c>
      <c r="N9" s="21" t="s">
        <v>41</v>
      </c>
      <c r="O9" s="556"/>
      <c r="P9" s="555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36"/>
      <c r="C10" s="366"/>
      <c r="D10" s="279"/>
      <c r="E10" s="279"/>
      <c r="F10" s="278"/>
      <c r="G10" s="279"/>
      <c r="H10" s="396"/>
      <c r="I10" s="429"/>
      <c r="J10" s="429"/>
      <c r="K10" s="430"/>
      <c r="L10" s="276"/>
      <c r="M10" s="374"/>
      <c r="N10" s="370"/>
      <c r="O10" s="422"/>
      <c r="P10" s="420"/>
      <c r="R10" s="277">
        <f t="shared" ref="R10:R38" si="0">B10</f>
        <v>0</v>
      </c>
      <c r="S10" s="296" t="e">
        <f t="shared" ref="S10:S38" si="1">VLOOKUP($B10,$R$3:$X$9,2,FALSE)</f>
        <v>#N/A</v>
      </c>
      <c r="T10" s="296" t="e">
        <f t="shared" ref="T10:T38" si="2">VLOOKUP($B10,$R$3:$X$9,3,FALSE)</f>
        <v>#N/A</v>
      </c>
      <c r="U10" s="297" t="e">
        <f t="shared" ref="U10:U38" si="3">VLOOKUP($B10,$R$3:$X$9,4,FALSE)</f>
        <v>#N/A</v>
      </c>
      <c r="V10" s="297" t="e">
        <f t="shared" ref="V10:V38" si="4">VLOOKUP($B10,$R$3:$X$9,5,FALSE)</f>
        <v>#N/A</v>
      </c>
      <c r="W10" s="297" t="e">
        <f t="shared" ref="W10:W38" si="5">VLOOKUP($B10,$R$3:$X$9,6,FALSE)</f>
        <v>#N/A</v>
      </c>
      <c r="X10" s="297" t="e">
        <f t="shared" ref="X10:X38" si="6">VLOOKUP($B10,$R$3:$X$9,7,FALSE)</f>
        <v>#N/A</v>
      </c>
      <c r="Y10" s="297" t="e">
        <f t="shared" ref="Y10:Y38" si="7">VLOOKUP($B10,$R$3:$Z$9,8,FALSE)</f>
        <v>#N/A</v>
      </c>
      <c r="Z10" s="296" t="e">
        <f t="shared" ref="Z10:Z38" si="8">VLOOKUP($B10,$R$3:$Z$9,9,FALSE)</f>
        <v>#N/A</v>
      </c>
    </row>
    <row r="11" spans="2:29" ht="15.75" hidden="1" customHeight="1">
      <c r="B11" s="36"/>
      <c r="C11" s="366"/>
      <c r="D11" s="279"/>
      <c r="E11" s="279"/>
      <c r="F11" s="278"/>
      <c r="G11" s="279"/>
      <c r="H11" s="396"/>
      <c r="I11" s="429"/>
      <c r="J11" s="429"/>
      <c r="K11" s="430"/>
      <c r="L11" s="276"/>
      <c r="M11" s="374"/>
      <c r="N11" s="370"/>
      <c r="O11" s="422"/>
      <c r="P11" s="420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36"/>
      <c r="C12" s="366"/>
      <c r="D12" s="279"/>
      <c r="E12" s="279"/>
      <c r="F12" s="278"/>
      <c r="G12" s="279"/>
      <c r="H12" s="396"/>
      <c r="I12" s="429"/>
      <c r="J12" s="429"/>
      <c r="K12" s="430"/>
      <c r="L12" s="276"/>
      <c r="M12" s="374"/>
      <c r="N12" s="370"/>
      <c r="O12" s="422"/>
      <c r="P12" s="420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36"/>
      <c r="C13" s="366"/>
      <c r="D13" s="279"/>
      <c r="E13" s="279"/>
      <c r="F13" s="278"/>
      <c r="G13" s="279"/>
      <c r="H13" s="396"/>
      <c r="I13" s="429"/>
      <c r="J13" s="429"/>
      <c r="K13" s="430"/>
      <c r="L13" s="276"/>
      <c r="M13" s="374"/>
      <c r="N13" s="370"/>
      <c r="O13" s="422"/>
      <c r="P13" s="420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36"/>
      <c r="C14" s="366"/>
      <c r="D14" s="279"/>
      <c r="E14" s="279"/>
      <c r="F14" s="278"/>
      <c r="G14" s="279"/>
      <c r="H14" s="396"/>
      <c r="I14" s="429"/>
      <c r="J14" s="429"/>
      <c r="K14" s="430"/>
      <c r="L14" s="276"/>
      <c r="M14" s="374"/>
      <c r="N14" s="370"/>
      <c r="O14" s="422"/>
      <c r="P14" s="420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36"/>
      <c r="C15" s="366"/>
      <c r="D15" s="279"/>
      <c r="E15" s="279"/>
      <c r="F15" s="278"/>
      <c r="G15" s="279"/>
      <c r="H15" s="396"/>
      <c r="I15" s="429"/>
      <c r="J15" s="429"/>
      <c r="K15" s="430"/>
      <c r="L15" s="276"/>
      <c r="M15" s="374"/>
      <c r="N15" s="370"/>
      <c r="O15" s="422"/>
      <c r="P15" s="420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36"/>
      <c r="C16" s="366"/>
      <c r="D16" s="279"/>
      <c r="E16" s="279"/>
      <c r="F16" s="278"/>
      <c r="G16" s="279"/>
      <c r="H16" s="396"/>
      <c r="I16" s="429"/>
      <c r="J16" s="429"/>
      <c r="K16" s="430"/>
      <c r="L16" s="276"/>
      <c r="M16" s="374"/>
      <c r="N16" s="370"/>
      <c r="O16" s="422"/>
      <c r="P16" s="420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hidden="1" customHeight="1">
      <c r="B17" s="36"/>
      <c r="C17" s="366"/>
      <c r="D17" s="279"/>
      <c r="E17" s="279"/>
      <c r="F17" s="278"/>
      <c r="G17" s="279"/>
      <c r="H17" s="396"/>
      <c r="I17" s="429"/>
      <c r="J17" s="429"/>
      <c r="K17" s="430"/>
      <c r="L17" s="276"/>
      <c r="M17" s="374"/>
      <c r="N17" s="370"/>
      <c r="O17" s="422"/>
      <c r="P17" s="420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customHeight="1">
      <c r="B18" s="36" t="s">
        <v>15</v>
      </c>
      <c r="C18" s="366" t="str">
        <f>[27]Brewhouse!$A18</f>
        <v>MK013</v>
      </c>
      <c r="D18" s="279">
        <f>[27]Brewhouse!$AF18</f>
        <v>54.2</v>
      </c>
      <c r="E18" s="279">
        <f>[27]Brewhouse!$AI18</f>
        <v>51.1</v>
      </c>
      <c r="F18" s="278">
        <f>[27]Brewhouse!$X18</f>
        <v>79</v>
      </c>
      <c r="G18" s="279">
        <f>[27]Brewhouse!$AG18</f>
        <v>13.2</v>
      </c>
      <c r="H18" s="433">
        <v>13.2</v>
      </c>
      <c r="I18" s="429">
        <f>[27]Brewhouse!$AT18</f>
        <v>93.502897385814322</v>
      </c>
      <c r="J18" s="429">
        <f>[27]Brewhouse!$AU18</f>
        <v>95.9440342248744</v>
      </c>
      <c r="K18" s="430">
        <f>[27]Brewhouse!$S18</f>
        <v>9.0421768707482997</v>
      </c>
      <c r="L18" s="276">
        <f>[27]Brewhouse!$R18</f>
        <v>79</v>
      </c>
      <c r="M18" s="374">
        <f>[27]Brewhouse!$W18-[27]Brewhouse!$V18</f>
        <v>0.15138888888888891</v>
      </c>
      <c r="N18" s="370">
        <f>[27]Brewhouse!$AA18</f>
        <v>0.30763888888888891</v>
      </c>
      <c r="O18" s="422" t="str">
        <f>[27]Brewhouse!$AX18</f>
        <v>D. Gomez</v>
      </c>
      <c r="P18" s="420"/>
      <c r="R18" s="277" t="str">
        <f t="shared" si="0"/>
        <v>MACKESON</v>
      </c>
      <c r="S18" s="296">
        <f t="shared" si="1"/>
        <v>13.3</v>
      </c>
      <c r="T18" s="296">
        <f t="shared" si="2"/>
        <v>13.5</v>
      </c>
      <c r="U18" s="297">
        <f t="shared" si="3"/>
        <v>0</v>
      </c>
      <c r="V18" s="297">
        <f t="shared" si="4"/>
        <v>0.12905092592592593</v>
      </c>
      <c r="W18" s="297">
        <f t="shared" si="5"/>
        <v>0.27430555555555552</v>
      </c>
      <c r="X18" s="297">
        <f t="shared" si="6"/>
        <v>0.30208333333333331</v>
      </c>
      <c r="Y18" s="297">
        <f t="shared" si="7"/>
        <v>0</v>
      </c>
      <c r="Z18" s="296">
        <f t="shared" si="8"/>
        <v>0</v>
      </c>
    </row>
    <row r="19" spans="2:26" ht="15.75" customHeight="1">
      <c r="B19" s="36" t="s">
        <v>15</v>
      </c>
      <c r="C19" s="366" t="str">
        <f>[27]Brewhouse!$A19</f>
        <v>MK014</v>
      </c>
      <c r="D19" s="279">
        <f>[27]Brewhouse!$AF19</f>
        <v>54.5</v>
      </c>
      <c r="E19" s="279">
        <f>[27]Brewhouse!$AI19</f>
        <v>51.5</v>
      </c>
      <c r="F19" s="278">
        <f>[27]Brewhouse!$X19</f>
        <v>69</v>
      </c>
      <c r="G19" s="279">
        <f>[27]Brewhouse!$AG19</f>
        <v>13.4</v>
      </c>
      <c r="H19" s="433">
        <v>13.4</v>
      </c>
      <c r="I19" s="429">
        <f>[27]Brewhouse!$AT19</f>
        <v>95.829405051357114</v>
      </c>
      <c r="J19" s="429">
        <f>[27]Brewhouse!$AU19</f>
        <v>98.330780330539824</v>
      </c>
      <c r="K19" s="430">
        <f>[27]Brewhouse!$S19</f>
        <v>7.5372013651877161</v>
      </c>
      <c r="L19" s="276">
        <f>[27]Brewhouse!$R19</f>
        <v>91</v>
      </c>
      <c r="M19" s="374">
        <f>[27]Brewhouse!$W19-[27]Brewhouse!$V19</f>
        <v>0.14097222222222222</v>
      </c>
      <c r="N19" s="370">
        <f>[27]Brewhouse!$AA19</f>
        <v>0.30069444444444443</v>
      </c>
      <c r="O19" s="422" t="str">
        <f>[27]Brewhouse!$AX19</f>
        <v>D. Gomez</v>
      </c>
      <c r="P19" s="420" t="s">
        <v>175</v>
      </c>
      <c r="R19" s="277" t="str">
        <f t="shared" si="0"/>
        <v>MACKESON</v>
      </c>
      <c r="S19" s="296">
        <f t="shared" si="1"/>
        <v>13.3</v>
      </c>
      <c r="T19" s="296">
        <f t="shared" si="2"/>
        <v>13.5</v>
      </c>
      <c r="U19" s="297">
        <f t="shared" si="3"/>
        <v>0</v>
      </c>
      <c r="V19" s="297">
        <f t="shared" si="4"/>
        <v>0.12905092592592593</v>
      </c>
      <c r="W19" s="297">
        <f t="shared" si="5"/>
        <v>0.27430555555555552</v>
      </c>
      <c r="X19" s="297">
        <f t="shared" si="6"/>
        <v>0.30208333333333331</v>
      </c>
      <c r="Y19" s="297">
        <f t="shared" si="7"/>
        <v>0</v>
      </c>
      <c r="Z19" s="296">
        <f t="shared" si="8"/>
        <v>0</v>
      </c>
    </row>
    <row r="20" spans="2:26" ht="15.75" customHeight="1">
      <c r="B20" s="36" t="s">
        <v>15</v>
      </c>
      <c r="C20" s="366" t="str">
        <f>[27]Brewhouse!$A20</f>
        <v>MK015</v>
      </c>
      <c r="D20" s="279">
        <f>[27]Brewhouse!$AF20</f>
        <v>54.3</v>
      </c>
      <c r="E20" s="279">
        <f>[27]Brewhouse!$AI20</f>
        <v>51.3</v>
      </c>
      <c r="F20" s="278">
        <f>[27]Brewhouse!$X20</f>
        <v>50</v>
      </c>
      <c r="G20" s="279">
        <f>[27]Brewhouse!$AG20</f>
        <v>13.3</v>
      </c>
      <c r="H20" s="433">
        <v>13.3</v>
      </c>
      <c r="I20" s="429">
        <f>[27]Brewhouse!$AT20</f>
        <v>94.712550055902142</v>
      </c>
      <c r="J20" s="429">
        <f>[27]Brewhouse!$AU20</f>
        <v>97.184772764696191</v>
      </c>
      <c r="K20" s="430">
        <f>[27]Brewhouse!$S20</f>
        <v>7.5630136986301402</v>
      </c>
      <c r="L20" s="276">
        <f>[27]Brewhouse!$R20</f>
        <v>75</v>
      </c>
      <c r="M20" s="374">
        <f>[27]Brewhouse!$W20-[27]Brewhouse!$V20</f>
        <v>0.14930555555555558</v>
      </c>
      <c r="N20" s="370">
        <f>[27]Brewhouse!$AA20</f>
        <v>0.31458333333333333</v>
      </c>
      <c r="O20" s="422" t="str">
        <f>[27]Brewhouse!$AX20</f>
        <v>D. Gomez</v>
      </c>
      <c r="P20" s="420"/>
      <c r="R20" s="277" t="str">
        <f t="shared" si="0"/>
        <v>MACKESON</v>
      </c>
      <c r="S20" s="296">
        <f t="shared" si="1"/>
        <v>13.3</v>
      </c>
      <c r="T20" s="296">
        <f t="shared" si="2"/>
        <v>13.5</v>
      </c>
      <c r="U20" s="297">
        <f t="shared" si="3"/>
        <v>0</v>
      </c>
      <c r="V20" s="297">
        <f t="shared" si="4"/>
        <v>0.12905092592592593</v>
      </c>
      <c r="W20" s="297">
        <f t="shared" si="5"/>
        <v>0.27430555555555552</v>
      </c>
      <c r="X20" s="297">
        <f t="shared" si="6"/>
        <v>0.30208333333333331</v>
      </c>
      <c r="Y20" s="297">
        <f t="shared" si="7"/>
        <v>0</v>
      </c>
      <c r="Z20" s="296">
        <f t="shared" si="8"/>
        <v>0</v>
      </c>
    </row>
    <row r="21" spans="2:26" ht="15.75" customHeight="1">
      <c r="B21" s="36" t="s">
        <v>15</v>
      </c>
      <c r="C21" s="366" t="str">
        <f>[27]Brewhouse!$A21</f>
        <v>MK016</v>
      </c>
      <c r="D21" s="279">
        <f>[27]Brewhouse!$AF21</f>
        <v>54.5</v>
      </c>
      <c r="E21" s="279">
        <f>[27]Brewhouse!$AI21</f>
        <v>51.7</v>
      </c>
      <c r="F21" s="278">
        <f>[27]Brewhouse!$X21</f>
        <v>50</v>
      </c>
      <c r="G21" s="279">
        <f>[27]Brewhouse!$AG21</f>
        <v>13.4</v>
      </c>
      <c r="H21" s="433">
        <v>13.4</v>
      </c>
      <c r="I21" s="429">
        <f>[27]Brewhouse!$AT21</f>
        <v>96.201558080682787</v>
      </c>
      <c r="J21" s="429">
        <f>[27]Brewhouse!$AU21</f>
        <v>98.712647438619598</v>
      </c>
      <c r="K21" s="430">
        <f>[27]Brewhouse!$S21</f>
        <v>6.5806896551724146</v>
      </c>
      <c r="L21" s="276">
        <f>[27]Brewhouse!$R21</f>
        <v>78</v>
      </c>
      <c r="M21" s="374">
        <f>[27]Brewhouse!$W21-[27]Brewhouse!$V21</f>
        <v>0.13472222222222219</v>
      </c>
      <c r="N21" s="370">
        <f>[27]Brewhouse!$AA21</f>
        <v>0.32083333333333336</v>
      </c>
      <c r="O21" s="422" t="str">
        <f>[27]Brewhouse!$AX21</f>
        <v>K.Benjamin</v>
      </c>
      <c r="P21" s="420" t="s">
        <v>176</v>
      </c>
      <c r="R21" s="277" t="str">
        <f t="shared" si="0"/>
        <v>MACKESON</v>
      </c>
      <c r="S21" s="296">
        <f t="shared" si="1"/>
        <v>13.3</v>
      </c>
      <c r="T21" s="296">
        <f t="shared" si="2"/>
        <v>13.5</v>
      </c>
      <c r="U21" s="297">
        <f t="shared" si="3"/>
        <v>0</v>
      </c>
      <c r="V21" s="297">
        <f t="shared" si="4"/>
        <v>0.12905092592592593</v>
      </c>
      <c r="W21" s="297">
        <f t="shared" si="5"/>
        <v>0.27430555555555552</v>
      </c>
      <c r="X21" s="297">
        <f t="shared" si="6"/>
        <v>0.30208333333333331</v>
      </c>
      <c r="Y21" s="297">
        <f t="shared" si="7"/>
        <v>0</v>
      </c>
      <c r="Z21" s="296">
        <f t="shared" si="8"/>
        <v>0</v>
      </c>
    </row>
    <row r="22" spans="2:26" ht="15.75" customHeight="1">
      <c r="B22" s="36"/>
      <c r="C22" s="366"/>
      <c r="D22" s="279"/>
      <c r="E22" s="279"/>
      <c r="F22" s="278"/>
      <c r="G22" s="279"/>
      <c r="H22" s="433"/>
      <c r="I22" s="429"/>
      <c r="J22" s="429"/>
      <c r="K22" s="430"/>
      <c r="L22" s="276"/>
      <c r="M22" s="374"/>
      <c r="N22" s="370"/>
      <c r="O22" s="422"/>
      <c r="P22" s="420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customHeight="1">
      <c r="B23" s="36"/>
      <c r="C23" s="366"/>
      <c r="D23" s="279"/>
      <c r="E23" s="279"/>
      <c r="F23" s="278"/>
      <c r="G23" s="279"/>
      <c r="H23" s="396"/>
      <c r="I23" s="429"/>
      <c r="J23" s="429"/>
      <c r="K23" s="430"/>
      <c r="L23" s="276"/>
      <c r="M23" s="374"/>
      <c r="N23" s="370"/>
      <c r="O23" s="422"/>
      <c r="P23" s="420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36"/>
      <c r="C24" s="366"/>
      <c r="D24" s="279"/>
      <c r="E24" s="279"/>
      <c r="F24" s="278"/>
      <c r="G24" s="279"/>
      <c r="H24" s="396"/>
      <c r="I24" s="429"/>
      <c r="J24" s="429"/>
      <c r="K24" s="430"/>
      <c r="L24" s="276"/>
      <c r="M24" s="374"/>
      <c r="N24" s="370"/>
      <c r="O24" s="422"/>
      <c r="P24" s="420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36"/>
      <c r="C25" s="366"/>
      <c r="D25" s="279"/>
      <c r="E25" s="279"/>
      <c r="F25" s="278"/>
      <c r="G25" s="279"/>
      <c r="H25" s="396"/>
      <c r="I25" s="429"/>
      <c r="J25" s="429"/>
      <c r="K25" s="430"/>
      <c r="L25" s="276"/>
      <c r="M25" s="374"/>
      <c r="N25" s="370"/>
      <c r="O25" s="422"/>
      <c r="P25" s="420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33"/>
      <c r="C26" s="366"/>
      <c r="D26" s="279"/>
      <c r="E26" s="279"/>
      <c r="F26" s="278"/>
      <c r="G26" s="279"/>
      <c r="H26" s="396"/>
      <c r="I26" s="429"/>
      <c r="J26" s="429"/>
      <c r="K26" s="430"/>
      <c r="L26" s="276"/>
      <c r="M26" s="374"/>
      <c r="N26" s="370"/>
      <c r="O26" s="422"/>
      <c r="P26" s="420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33"/>
      <c r="C27" s="366"/>
      <c r="D27" s="279"/>
      <c r="E27" s="279"/>
      <c r="F27" s="278"/>
      <c r="G27" s="279"/>
      <c r="H27" s="396"/>
      <c r="I27" s="429"/>
      <c r="J27" s="429"/>
      <c r="K27" s="430"/>
      <c r="L27" s="276"/>
      <c r="M27" s="374"/>
      <c r="N27" s="370"/>
      <c r="O27" s="422"/>
      <c r="P27" s="420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33"/>
      <c r="C28" s="366"/>
      <c r="D28" s="279"/>
      <c r="E28" s="279"/>
      <c r="F28" s="278"/>
      <c r="G28" s="279"/>
      <c r="H28" s="396"/>
      <c r="I28" s="429"/>
      <c r="J28" s="429"/>
      <c r="K28" s="430"/>
      <c r="L28" s="276"/>
      <c r="M28" s="374"/>
      <c r="N28" s="370"/>
      <c r="O28" s="422"/>
      <c r="P28" s="420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33"/>
      <c r="C29" s="366"/>
      <c r="D29" s="279"/>
      <c r="E29" s="279"/>
      <c r="F29" s="278"/>
      <c r="G29" s="279"/>
      <c r="H29" s="396"/>
      <c r="I29" s="429"/>
      <c r="J29" s="429"/>
      <c r="K29" s="430"/>
      <c r="L29" s="276"/>
      <c r="M29" s="374"/>
      <c r="N29" s="370"/>
      <c r="O29" s="422"/>
      <c r="P29" s="420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33"/>
      <c r="C30" s="366"/>
      <c r="D30" s="279"/>
      <c r="E30" s="279"/>
      <c r="F30" s="278"/>
      <c r="G30" s="279"/>
      <c r="H30" s="396"/>
      <c r="I30" s="429"/>
      <c r="J30" s="429"/>
      <c r="K30" s="430"/>
      <c r="L30" s="276"/>
      <c r="M30" s="374"/>
      <c r="N30" s="370"/>
      <c r="O30" s="422"/>
      <c r="P30" s="420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20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20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20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20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7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20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7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20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7" ht="15.75" customHeight="1" thickBot="1">
      <c r="B37" s="358"/>
      <c r="C37" s="358"/>
      <c r="D37" s="358"/>
      <c r="E37" s="358"/>
      <c r="F37" s="294"/>
      <c r="G37" s="294"/>
      <c r="H37" s="348"/>
      <c r="I37" s="497" t="s">
        <v>34</v>
      </c>
      <c r="J37" s="497"/>
      <c r="K37" s="497"/>
      <c r="L37" s="497"/>
      <c r="M37" s="497"/>
      <c r="N37" s="497"/>
      <c r="O37" s="1"/>
      <c r="P37" s="12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7" ht="15" thickBot="1">
      <c r="B38" s="431" t="s">
        <v>177</v>
      </c>
      <c r="C38" s="388"/>
      <c r="D38" s="475" t="s">
        <v>35</v>
      </c>
      <c r="E38" s="476"/>
      <c r="F38" s="294"/>
      <c r="G38" s="294"/>
      <c r="H38" s="348"/>
      <c r="I38" s="24" t="s">
        <v>17</v>
      </c>
      <c r="J38" s="25" t="s">
        <v>36</v>
      </c>
      <c r="K38" s="26" t="s">
        <v>138</v>
      </c>
      <c r="L38" s="25" t="s">
        <v>37</v>
      </c>
      <c r="M38" s="25" t="s">
        <v>38</v>
      </c>
      <c r="N38" s="27" t="s">
        <v>39</v>
      </c>
      <c r="O38" s="294"/>
      <c r="P38" s="12"/>
      <c r="R38" s="277" t="str">
        <f t="shared" si="0"/>
        <v>BRAND 7TH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7" ht="15" customHeight="1">
      <c r="A39" s="28"/>
      <c r="B39" s="558" t="str">
        <f>J62</f>
        <v>CARIBE</v>
      </c>
      <c r="C39" s="362"/>
      <c r="D39" s="501"/>
      <c r="E39" s="502"/>
      <c r="F39" s="294"/>
      <c r="G39" s="294"/>
      <c r="H39" s="348"/>
      <c r="I39" s="29" t="s">
        <v>6</v>
      </c>
      <c r="J39" s="280"/>
      <c r="K39" s="284">
        <f>COUNTA([24]Brewhouse!$A$493:$A$508)</f>
        <v>16</v>
      </c>
      <c r="L39" s="302">
        <f>AVERAGE([24]Brewhouse!$AU$493:$AU$508)</f>
        <v>98.25542631923804</v>
      </c>
      <c r="M39" s="302">
        <f>AVERAGE([24]Brewhouse!$AU$102:$AU$171,[24]Brewhouse!$AU$173:$AU$253,[24]Brewhouse!$AU$255:$AU$339,[24]Brewhouse!$AU$341:$AU$346,[24]Brewhouse!$AU$348,[24]Brewhouse!$AU$349:$AU$406,[24]Brewhouse!$AU$408:$AU$491,[24]Brewhouse!$AU$493:$AU$508)</f>
        <v>97.684309029648247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</row>
    <row r="40" spans="1:27" ht="15" customHeight="1">
      <c r="A40" s="28"/>
      <c r="B40" s="512"/>
      <c r="C40" s="349"/>
      <c r="D40" s="503"/>
      <c r="E40" s="504"/>
      <c r="F40" s="294"/>
      <c r="G40" s="294"/>
      <c r="H40" s="348"/>
      <c r="I40" s="33" t="s">
        <v>9</v>
      </c>
      <c r="J40" s="280"/>
      <c r="K40" s="284">
        <f>COUNTA([25]Brewhouse!$A$242:$A$249)</f>
        <v>8</v>
      </c>
      <c r="L40" s="302">
        <f>AVERAGE([25]Brewhouse!$AS$242:$AS$249)</f>
        <v>97.039540936033916</v>
      </c>
      <c r="M40" s="302">
        <f>AVERAGE([25]Brewhouse!$AS$15:$AS$64,[25]Brewhouse!$AS$66:$AS$103,[25]Brewhouse!$AS$105:$AS$140,[25]Brewhouse!$AS$142:$AS$193,[25]Brewhouse!$AS$195:$AS$240,[25]Brewhouse!$AS$242:$AS$249)</f>
        <v>97.846474266506647</v>
      </c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</row>
    <row r="41" spans="1:27" ht="14.7" customHeight="1">
      <c r="A41" s="28"/>
      <c r="B41" s="512"/>
      <c r="C41" s="349"/>
      <c r="D41" s="501"/>
      <c r="E41" s="502"/>
      <c r="F41" s="294"/>
      <c r="G41" s="294"/>
      <c r="H41" s="348"/>
      <c r="I41" s="34" t="s">
        <v>12</v>
      </c>
      <c r="J41" s="280"/>
      <c r="K41" s="284"/>
      <c r="L41" s="302"/>
      <c r="M41" s="302">
        <f>AVERAGE([26]Brewhouse!$AU$4:$AU$7,[26]Brewhouse!$AU$9:$AU$22,[26]Brewhouse!$AU$24:$AU$35,[26]Brewhouse!$AU$37:$AU$45,[26]Brewhouse!$AU$47:$AU$62)</f>
        <v>97.179377138297156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</row>
    <row r="42" spans="1:27" ht="14.7" customHeight="1">
      <c r="A42" s="28"/>
      <c r="B42" s="512"/>
      <c r="C42" s="349"/>
      <c r="D42" s="503"/>
      <c r="E42" s="504"/>
      <c r="F42" s="294"/>
      <c r="G42" s="294"/>
      <c r="H42" s="348"/>
      <c r="I42" s="22" t="s">
        <v>33</v>
      </c>
      <c r="J42" s="280"/>
      <c r="K42" s="284"/>
      <c r="L42" s="302"/>
      <c r="M42" s="302">
        <f>AVERAGE([23]Brewhouse!$AV$5:$AV$14,[23]Brewhouse!$AV$16:$AV$19,[23]Brewhouse!$AV$21:$AV$24,[23]Brewhouse!$AV$26:$AV$33,[23]Brewhouse!$AV$35:$AV$46)</f>
        <v>99.005314486149061</v>
      </c>
      <c r="N42" s="3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</row>
    <row r="43" spans="1:27" ht="14.7" customHeight="1">
      <c r="A43" s="28"/>
      <c r="B43" s="512"/>
      <c r="C43" s="349"/>
      <c r="D43" s="501"/>
      <c r="E43" s="502"/>
      <c r="F43" s="419"/>
      <c r="G43" s="294"/>
      <c r="H43" s="348"/>
      <c r="I43" s="35" t="s">
        <v>29</v>
      </c>
      <c r="J43" s="280"/>
      <c r="K43" s="284"/>
      <c r="L43" s="302"/>
      <c r="M43" s="302"/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</row>
    <row r="44" spans="1:27" ht="14.7" customHeight="1">
      <c r="A44" s="28"/>
      <c r="B44" s="512"/>
      <c r="C44" s="349"/>
      <c r="D44" s="503"/>
      <c r="E44" s="504"/>
      <c r="F44" s="419"/>
      <c r="G44" s="294"/>
      <c r="H44" s="348"/>
      <c r="I44" s="36" t="s">
        <v>15</v>
      </c>
      <c r="J44" s="323">
        <f>AVERAGE(I18:I21)</f>
        <v>95.061602643439088</v>
      </c>
      <c r="K44" s="284">
        <f>COUNTA([27]Brewhouse!$A$18:$A$21)</f>
        <v>4</v>
      </c>
      <c r="L44" s="302">
        <f>AVERAGE([27]Brewhouse!$AT$18:$AT$21)</f>
        <v>95.061602643439088</v>
      </c>
      <c r="M44" s="302">
        <f>AVERAGE([27]Brewhouse!$AT$4:$AT$11,[27]Brewhouse!$AT$13:$AT$16,[27]Brewhouse!$AT$18:$AT$21)</f>
        <v>94.773169817643847</v>
      </c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4.7" customHeight="1">
      <c r="A45" s="28"/>
      <c r="B45" s="512"/>
      <c r="C45" s="349"/>
      <c r="D45" s="501"/>
      <c r="E45" s="502"/>
      <c r="F45" s="419"/>
      <c r="G45" s="294"/>
      <c r="H45" s="348"/>
      <c r="I45" s="37" t="s">
        <v>16</v>
      </c>
      <c r="J45" s="323"/>
      <c r="K45" s="284">
        <f>COUNTA([22]Brewhouse!$A$45:$A$50)</f>
        <v>6</v>
      </c>
      <c r="L45" s="302">
        <f>AVERAGE([22]Brewhouse!$AY$45:$AY$50)</f>
        <v>96.288901438431267</v>
      </c>
      <c r="M45" s="302">
        <f>AVERAGE([22]Brewhouse!$AY$6:$AY$13,[22]Brewhouse!$AY$15:$AY$20,[22]Brewhouse!$AY$22:$AY$29,[22]Brewhouse!$AY$31:$AY$34,[22]Brewhouse!$AY$36:$AY$43,[22]Brewhouse!$AY$45:$AY$50)</f>
        <v>96.612624784592427</v>
      </c>
      <c r="N45" s="30">
        <v>98</v>
      </c>
      <c r="O45" s="11"/>
      <c r="P45" s="31" t="s">
        <v>41</v>
      </c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4.7" customHeight="1">
      <c r="A46" s="28"/>
      <c r="B46" s="512"/>
      <c r="C46" s="349"/>
      <c r="D46" s="503"/>
      <c r="E46" s="504"/>
      <c r="F46" s="294"/>
      <c r="G46" s="294"/>
      <c r="H46" s="348"/>
      <c r="I46" s="411" t="s">
        <v>158</v>
      </c>
      <c r="J46" s="326"/>
      <c r="K46" s="284"/>
      <c r="L46" s="305"/>
      <c r="M46" s="305">
        <f>AVERAGE([28]Brewhouse!$AU$5:$AU$8)</f>
        <v>91.006888337619571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  <c r="AA46" s="296"/>
    </row>
    <row r="47" spans="1:27" ht="14.7" customHeight="1">
      <c r="A47" s="28"/>
      <c r="B47" s="512"/>
      <c r="C47" s="349"/>
      <c r="D47" s="501"/>
      <c r="E47" s="502"/>
      <c r="F47" s="294"/>
      <c r="G47" s="294"/>
      <c r="H47" s="348"/>
      <c r="I47" s="410" t="s">
        <v>157</v>
      </c>
      <c r="J47" s="326"/>
      <c r="K47" s="284"/>
      <c r="L47" s="305"/>
      <c r="M47" s="305"/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  <c r="AA47" s="296"/>
    </row>
    <row r="48" spans="1:27" ht="15" customHeight="1" thickBot="1">
      <c r="A48" s="28"/>
      <c r="B48" s="512"/>
      <c r="C48" s="349"/>
      <c r="D48" s="503"/>
      <c r="E48" s="504"/>
      <c r="F48" s="294"/>
      <c r="G48" s="294"/>
      <c r="H48" s="348"/>
      <c r="I48" s="406" t="s">
        <v>156</v>
      </c>
      <c r="J48" s="327"/>
      <c r="K48" s="407"/>
      <c r="L48" s="408"/>
      <c r="M48" s="408"/>
      <c r="N48" s="409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  <c r="AA48" s="296"/>
    </row>
    <row r="49" spans="1:56" ht="15" customHeight="1" thickBot="1">
      <c r="A49" s="28"/>
      <c r="B49" s="512"/>
      <c r="C49" s="349"/>
      <c r="D49" s="501"/>
      <c r="E49" s="502"/>
      <c r="F49" s="294"/>
      <c r="G49" s="294"/>
      <c r="H49" s="348"/>
      <c r="I49" s="1"/>
      <c r="J49" s="39"/>
      <c r="K49" s="404">
        <f>SUM(K39:K48)</f>
        <v>34</v>
      </c>
      <c r="L49" s="405">
        <f>((L39*K39)+(L40*K40)+(L41*K41)+(L42*K42)+(L43*K43)+(K46*L46)+(L44*K44)+(L45*K45)+(L48*K48))/(K49)</f>
        <v>97.246557876483052</v>
      </c>
      <c r="M49" s="405">
        <f>AVERAGE('[29]Jan 31st'!$L$65,'[30]Feb 28th'!$L$35,'[31]Mar. 31st'!$L$35,'[32]Apr. 30th'!$L$45,'[33]May 30th'!$L$37,L49)</f>
        <v>97.570968552308685</v>
      </c>
      <c r="N49" s="4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  <c r="AA49" s="296"/>
    </row>
    <row r="50" spans="1:56" ht="15" thickBot="1">
      <c r="B50" s="513"/>
      <c r="C50" s="350"/>
      <c r="D50" s="503"/>
      <c r="E50" s="504"/>
      <c r="F50" s="294"/>
      <c r="G50" s="42"/>
      <c r="H50" s="41"/>
      <c r="I50" s="42"/>
      <c r="J50" s="42"/>
      <c r="K50" s="351"/>
      <c r="L50" s="348"/>
      <c r="M50" s="348"/>
      <c r="N50" s="11"/>
      <c r="O50" s="294"/>
      <c r="P50" s="12"/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5" thickBot="1">
      <c r="B51" s="559" t="str">
        <f>I39</f>
        <v>CARIB</v>
      </c>
      <c r="C51" s="362">
        <v>12.32</v>
      </c>
      <c r="D51" s="514">
        <v>11.84</v>
      </c>
      <c r="E51" s="515"/>
      <c r="F51" s="294"/>
      <c r="G51" s="42"/>
      <c r="H51" s="41"/>
      <c r="I51" s="42"/>
      <c r="J51" s="551" t="s">
        <v>129</v>
      </c>
      <c r="K51" s="551"/>
      <c r="L51" s="294"/>
      <c r="M51" s="294"/>
      <c r="N51" s="294"/>
      <c r="O51" s="294"/>
      <c r="P51" s="12"/>
    </row>
    <row r="52" spans="1:56" ht="13.5" customHeight="1" thickBot="1">
      <c r="B52" s="560"/>
      <c r="C52" s="349">
        <v>12</v>
      </c>
      <c r="D52" s="516"/>
      <c r="E52" s="504"/>
      <c r="F52" s="294"/>
      <c r="G52" s="42"/>
      <c r="H52" s="41"/>
      <c r="I52" s="42"/>
      <c r="J52" s="292" t="s">
        <v>17</v>
      </c>
      <c r="K52" s="293" t="s">
        <v>147</v>
      </c>
      <c r="L52" s="518" t="s">
        <v>136</v>
      </c>
      <c r="M52" s="518"/>
      <c r="N52" s="519"/>
      <c r="O52" s="294"/>
      <c r="P52" s="12"/>
    </row>
    <row r="53" spans="1:56" ht="15" customHeight="1" thickBot="1">
      <c r="B53" s="560"/>
      <c r="C53" s="349">
        <v>11.65</v>
      </c>
      <c r="D53" s="545">
        <v>11.93</v>
      </c>
      <c r="E53" s="546"/>
      <c r="F53" s="294"/>
      <c r="G53" s="42"/>
      <c r="H53" s="41"/>
      <c r="I53" s="42"/>
      <c r="J53" s="287" t="s">
        <v>6</v>
      </c>
      <c r="K53" s="324"/>
      <c r="L53" s="343" t="s">
        <v>37</v>
      </c>
      <c r="M53" s="307" t="s">
        <v>38</v>
      </c>
      <c r="N53" s="307" t="s">
        <v>84</v>
      </c>
      <c r="O53" s="294"/>
      <c r="P53" s="12"/>
    </row>
    <row r="54" spans="1:56" ht="15.75" customHeight="1" thickBot="1">
      <c r="B54" s="560"/>
      <c r="C54" s="349">
        <v>11.82</v>
      </c>
      <c r="D54" s="516"/>
      <c r="E54" s="504"/>
      <c r="F54" s="294"/>
      <c r="G54" s="42"/>
      <c r="H54" s="41"/>
      <c r="I54" s="42"/>
      <c r="J54" s="345" t="s">
        <v>9</v>
      </c>
      <c r="K54" s="324"/>
      <c r="L54" s="344">
        <f>AVERAGE('June 2nd'!K57,'June 6th'!K63,'June 3rd'!K63,'June 4th'!K63,'June 5th '!K63)</f>
        <v>6.8</v>
      </c>
      <c r="M54" s="325">
        <f>AVERAGE('[29]Jan 29th '!$M$70,'[30]Feb 28th'!$L$40,'[31]Mar. 31st'!$L$40,'[32]Apr. 30th'!$L$50,'[33]May 30th'!$L$42,L54)</f>
        <v>6.6677735308170085</v>
      </c>
      <c r="N54" s="418">
        <v>9.1999999999999993</v>
      </c>
      <c r="O54" s="294"/>
      <c r="P54" s="12"/>
    </row>
    <row r="55" spans="1:56" ht="15" customHeight="1">
      <c r="B55" s="560"/>
      <c r="C55" s="349"/>
      <c r="D55" s="545"/>
      <c r="E55" s="546"/>
      <c r="F55" s="294"/>
      <c r="G55" s="42"/>
      <c r="H55" s="41"/>
      <c r="I55" s="42"/>
      <c r="J55" s="288" t="s">
        <v>40</v>
      </c>
      <c r="K55" s="324"/>
      <c r="L55" s="294"/>
      <c r="M55" s="294"/>
      <c r="N55" s="294"/>
      <c r="O55" s="294"/>
      <c r="P55" s="12"/>
    </row>
    <row r="56" spans="1:56" ht="15" customHeight="1">
      <c r="B56" s="560"/>
      <c r="C56" s="349"/>
      <c r="D56" s="516"/>
      <c r="E56" s="504"/>
      <c r="F56" s="294"/>
      <c r="G56" s="42"/>
      <c r="H56" s="41"/>
      <c r="I56" s="42"/>
      <c r="J56" s="289" t="s">
        <v>33</v>
      </c>
      <c r="K56" s="324"/>
      <c r="L56" s="294"/>
      <c r="M56" s="294"/>
      <c r="N56" s="294"/>
      <c r="O56" s="294"/>
      <c r="P56" s="12"/>
    </row>
    <row r="57" spans="1:56" ht="14.4">
      <c r="B57" s="560"/>
      <c r="C57" s="349"/>
      <c r="D57" s="545"/>
      <c r="E57" s="546"/>
      <c r="F57" s="294"/>
      <c r="G57" s="42"/>
      <c r="H57" s="41"/>
      <c r="I57" s="42"/>
      <c r="J57" s="290" t="s">
        <v>16</v>
      </c>
      <c r="K57" s="324"/>
      <c r="L57" s="294"/>
      <c r="M57" s="294"/>
      <c r="N57" s="294"/>
      <c r="O57" s="294"/>
      <c r="P57" s="12"/>
      <c r="BC57" s="44"/>
      <c r="BD57" s="44"/>
    </row>
    <row r="58" spans="1:56" ht="14.4">
      <c r="B58" s="560"/>
      <c r="C58" s="349"/>
      <c r="D58" s="516"/>
      <c r="E58" s="504"/>
      <c r="F58" s="294"/>
      <c r="G58" s="42"/>
      <c r="H58" s="41"/>
      <c r="I58" s="42"/>
      <c r="J58" s="291" t="s">
        <v>15</v>
      </c>
      <c r="K58" s="324">
        <v>4</v>
      </c>
      <c r="L58" s="294"/>
      <c r="M58" s="294"/>
      <c r="N58" s="294"/>
      <c r="O58" s="294"/>
      <c r="P58" s="12"/>
      <c r="BC58" s="44"/>
      <c r="BD58" s="44"/>
    </row>
    <row r="59" spans="1:56" ht="14.4">
      <c r="B59" s="560"/>
      <c r="C59" s="349"/>
      <c r="D59" s="545"/>
      <c r="E59" s="546"/>
      <c r="F59" s="294"/>
      <c r="G59" s="42"/>
      <c r="H59" s="41"/>
      <c r="I59" s="42"/>
      <c r="J59" s="291" t="s">
        <v>149</v>
      </c>
      <c r="K59" s="324"/>
      <c r="L59" s="294"/>
      <c r="M59" s="294"/>
      <c r="N59" s="294"/>
      <c r="O59" s="294"/>
      <c r="P59" s="12"/>
      <c r="BC59" s="44"/>
      <c r="BD59" s="44"/>
    </row>
    <row r="60" spans="1:56" ht="15" thickBot="1">
      <c r="B60" s="561"/>
      <c r="C60" s="350"/>
      <c r="D60" s="547"/>
      <c r="E60" s="548"/>
      <c r="F60" s="294"/>
      <c r="G60" s="42"/>
      <c r="H60" s="41"/>
      <c r="I60" s="42"/>
      <c r="J60" s="291" t="s">
        <v>148</v>
      </c>
      <c r="K60" s="324"/>
      <c r="L60" s="294"/>
      <c r="M60" s="294"/>
      <c r="N60" s="294"/>
      <c r="O60" s="294"/>
      <c r="P60" s="12"/>
      <c r="BC60" s="44"/>
      <c r="BD60" s="44"/>
    </row>
    <row r="61" spans="1:56" ht="17.7" customHeight="1" thickBot="1">
      <c r="B61" s="312" t="s">
        <v>139</v>
      </c>
      <c r="C61" s="313"/>
      <c r="D61" s="562">
        <f>AVERAGE(D39:E60)</f>
        <v>11.885</v>
      </c>
      <c r="E61" s="563"/>
      <c r="F61" s="294"/>
      <c r="G61" s="42"/>
      <c r="H61" s="41"/>
      <c r="I61" s="42"/>
      <c r="J61" s="295" t="s">
        <v>134</v>
      </c>
      <c r="K61" s="324"/>
      <c r="L61" s="294"/>
      <c r="M61" s="294"/>
      <c r="N61" s="294"/>
      <c r="O61" s="294"/>
      <c r="P61" s="12"/>
      <c r="BC61" s="44"/>
      <c r="BD61" s="44"/>
    </row>
    <row r="62" spans="1:56" ht="17.7" customHeight="1">
      <c r="B62" s="363"/>
      <c r="C62" s="364"/>
      <c r="D62" s="365"/>
      <c r="E62" s="365"/>
      <c r="F62" s="294"/>
      <c r="G62" s="42"/>
      <c r="H62" s="41"/>
      <c r="I62" s="42"/>
      <c r="J62" s="295" t="s">
        <v>131</v>
      </c>
      <c r="K62" s="324"/>
      <c r="L62" s="294"/>
      <c r="M62" s="294"/>
      <c r="N62" s="294"/>
      <c r="O62" s="294"/>
      <c r="P62" s="12"/>
      <c r="BC62" s="44"/>
      <c r="BD62" s="44"/>
    </row>
    <row r="63" spans="1:56" ht="15.75" customHeight="1">
      <c r="B63" s="45"/>
      <c r="C63" s="11"/>
      <c r="D63" s="11"/>
      <c r="E63" s="46"/>
      <c r="F63" s="294"/>
      <c r="G63" s="42"/>
      <c r="H63" s="41"/>
      <c r="I63" s="42"/>
      <c r="J63" s="346" t="s">
        <v>130</v>
      </c>
      <c r="K63" s="324">
        <f>SUM(K53:K62)</f>
        <v>4</v>
      </c>
      <c r="L63" s="294"/>
      <c r="M63" s="294"/>
      <c r="N63" s="294"/>
      <c r="O63" s="294"/>
      <c r="P63" s="12"/>
    </row>
    <row r="64" spans="1:56" ht="20.25" customHeight="1">
      <c r="B64" s="15" t="s">
        <v>42</v>
      </c>
      <c r="C64" s="1" t="s">
        <v>43</v>
      </c>
      <c r="D64" s="1"/>
      <c r="E64" s="1"/>
      <c r="F64" s="294"/>
      <c r="G64" s="42"/>
      <c r="H64" s="41"/>
      <c r="I64" s="42"/>
      <c r="L64" s="294"/>
      <c r="P64" s="334"/>
    </row>
    <row r="65" spans="2:57" ht="15" customHeight="1" thickBot="1"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8"/>
      <c r="O65" s="48"/>
      <c r="P65" s="49"/>
    </row>
    <row r="66" spans="2:57" ht="15" customHeight="1" thickBot="1">
      <c r="B66" s="526" t="s">
        <v>17</v>
      </c>
      <c r="C66" s="526" t="s">
        <v>44</v>
      </c>
      <c r="D66" s="528" t="s">
        <v>45</v>
      </c>
      <c r="E66" s="483" t="s">
        <v>46</v>
      </c>
      <c r="F66" s="543" t="s">
        <v>47</v>
      </c>
      <c r="G66" s="537" t="s">
        <v>48</v>
      </c>
      <c r="H66" s="526" t="s">
        <v>49</v>
      </c>
      <c r="I66" s="526" t="s">
        <v>50</v>
      </c>
      <c r="J66" s="531" t="s">
        <v>28</v>
      </c>
      <c r="K66" s="481" t="s">
        <v>51</v>
      </c>
      <c r="L66" s="493" t="s">
        <v>52</v>
      </c>
      <c r="M66" s="531" t="s">
        <v>53</v>
      </c>
      <c r="N66" s="13"/>
      <c r="O66" s="13"/>
      <c r="P66" s="50"/>
    </row>
    <row r="67" spans="2:57" ht="28.5" customHeight="1" thickTop="1" thickBot="1">
      <c r="B67" s="527"/>
      <c r="C67" s="527"/>
      <c r="D67" s="529"/>
      <c r="E67" s="530"/>
      <c r="F67" s="544"/>
      <c r="G67" s="538"/>
      <c r="H67" s="527"/>
      <c r="I67" s="527"/>
      <c r="J67" s="532"/>
      <c r="K67" s="541"/>
      <c r="L67" s="542"/>
      <c r="M67" s="532"/>
      <c r="N67" s="13"/>
      <c r="O67" s="13"/>
      <c r="P67" s="50"/>
      <c r="Q67" s="355"/>
      <c r="AB67" s="51">
        <v>43474</v>
      </c>
      <c r="AC67" s="51">
        <v>43475</v>
      </c>
      <c r="AD67" s="51">
        <v>43476</v>
      </c>
      <c r="AE67" s="51">
        <v>43477</v>
      </c>
      <c r="AF67" s="51">
        <v>43478</v>
      </c>
      <c r="AG67" s="51">
        <v>43479</v>
      </c>
      <c r="AH67" s="51">
        <v>43480</v>
      </c>
      <c r="AI67" s="51">
        <v>43481</v>
      </c>
      <c r="AJ67" s="51">
        <v>43482</v>
      </c>
      <c r="AK67" s="51">
        <v>43483</v>
      </c>
      <c r="AL67" s="51">
        <v>43484</v>
      </c>
      <c r="AM67" s="51">
        <v>43485</v>
      </c>
      <c r="AN67" s="51">
        <v>43486</v>
      </c>
      <c r="AO67" s="51">
        <v>43487</v>
      </c>
      <c r="AP67" s="51">
        <v>43488</v>
      </c>
      <c r="AQ67" s="51">
        <v>43489</v>
      </c>
      <c r="AR67" s="51">
        <v>43490</v>
      </c>
      <c r="AS67" s="51">
        <v>43491</v>
      </c>
      <c r="AT67" s="51">
        <v>43492</v>
      </c>
      <c r="AU67" s="51">
        <v>43493</v>
      </c>
      <c r="AV67" s="51">
        <v>43494</v>
      </c>
      <c r="AW67" s="51">
        <v>43495</v>
      </c>
      <c r="AX67" s="51">
        <v>43496</v>
      </c>
    </row>
    <row r="68" spans="2:57" s="54" customFormat="1" ht="51" customHeight="1">
      <c r="B68" s="387" t="str">
        <f>B75</f>
        <v>CARIB</v>
      </c>
      <c r="C68" s="432">
        <v>45815</v>
      </c>
      <c r="D68" s="377">
        <f>[34]June_2025!$I$3</f>
        <v>207.79999999999998</v>
      </c>
      <c r="E68" s="378"/>
      <c r="F68" s="379"/>
      <c r="G68" s="303">
        <f>[34]June_2025!$I$7</f>
        <v>200</v>
      </c>
      <c r="H68" s="320"/>
      <c r="I68" s="322"/>
      <c r="J68" s="392" t="s">
        <v>170</v>
      </c>
      <c r="K68" s="286">
        <f>[36]June_2025!$I$18</f>
        <v>0.23391812865497078</v>
      </c>
      <c r="L68" s="391">
        <f>(((D68+E68)-G68)/(D68+E68))*100</f>
        <v>3.753609239653505</v>
      </c>
      <c r="M68" s="417" t="s">
        <v>178</v>
      </c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6"/>
      <c r="AC68" s="416"/>
      <c r="AD68" s="416"/>
      <c r="AE68" s="416"/>
      <c r="AF68" s="416"/>
      <c r="AG68" s="416"/>
      <c r="AH68" s="416"/>
      <c r="AI68" s="416"/>
      <c r="AJ68" s="416"/>
      <c r="AK68" s="416"/>
      <c r="AL68" s="416"/>
      <c r="AM68" s="416"/>
      <c r="AN68" s="416"/>
      <c r="AO68" s="416"/>
      <c r="AP68" s="416"/>
      <c r="AQ68" s="416"/>
      <c r="AR68" s="416"/>
      <c r="AS68" s="416"/>
      <c r="AT68" s="416"/>
      <c r="AU68" s="416"/>
      <c r="AV68" s="416"/>
      <c r="AW68" s="416"/>
    </row>
    <row r="69" spans="2:57" s="54" customFormat="1" ht="23.25" customHeight="1">
      <c r="B69" s="33"/>
      <c r="C69" s="283"/>
      <c r="D69" s="377"/>
      <c r="E69" s="378"/>
      <c r="F69" s="379"/>
      <c r="G69" s="303"/>
      <c r="H69" s="320"/>
      <c r="I69" s="322"/>
      <c r="J69" s="281"/>
      <c r="K69" s="286"/>
      <c r="L69" s="314"/>
      <c r="M69" s="417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416"/>
      <c r="AC69" s="416"/>
      <c r="AD69" s="416"/>
      <c r="AE69" s="416"/>
      <c r="AF69" s="416"/>
      <c r="AG69" s="416"/>
      <c r="AH69" s="416"/>
      <c r="AI69" s="416"/>
      <c r="AJ69" s="416"/>
      <c r="AK69" s="416"/>
      <c r="AL69" s="416"/>
      <c r="AM69" s="416"/>
      <c r="AN69" s="416"/>
      <c r="AO69" s="416"/>
      <c r="AP69" s="416"/>
      <c r="AQ69" s="416"/>
      <c r="AR69" s="416"/>
      <c r="AS69" s="416"/>
      <c r="AT69" s="416"/>
      <c r="AU69" s="416"/>
      <c r="AV69" s="416"/>
      <c r="AW69" s="416"/>
    </row>
    <row r="70" spans="2:57" s="54" customFormat="1" ht="53.25" hidden="1" customHeight="1">
      <c r="B70" s="428" t="str">
        <f>B81</f>
        <v>STARMALT</v>
      </c>
      <c r="C70" s="283">
        <v>45812</v>
      </c>
      <c r="D70" s="377"/>
      <c r="E70" s="378"/>
      <c r="F70" s="379"/>
      <c r="G70" s="303"/>
      <c r="H70" s="320"/>
      <c r="I70" s="322"/>
      <c r="J70" s="392" t="s">
        <v>170</v>
      </c>
      <c r="K70" s="286"/>
      <c r="L70" s="314" t="e">
        <f>(((D70+E70)-G70)/(D70+E70))*100</f>
        <v>#DIV/0!</v>
      </c>
      <c r="M70" s="417" t="s">
        <v>167</v>
      </c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>
        <f>[20]January_2019!L7</f>
        <v>0</v>
      </c>
      <c r="AC70" s="57">
        <f>[20]January_2019!M7</f>
        <v>0</v>
      </c>
      <c r="AD70" s="57">
        <f>[20]January_2019!N7</f>
        <v>0</v>
      </c>
      <c r="AE70" s="57">
        <f>[20]January_2019!O7</f>
        <v>0</v>
      </c>
      <c r="AF70" s="57">
        <f>[20]January_2019!P7</f>
        <v>0</v>
      </c>
      <c r="AG70" s="57">
        <f>[20]January_2019!Q7</f>
        <v>0</v>
      </c>
      <c r="AH70" s="57">
        <f>[20]January_2019!R7</f>
        <v>0</v>
      </c>
      <c r="AI70" s="57">
        <f>[20]January_2019!S7</f>
        <v>0</v>
      </c>
      <c r="AJ70" s="57">
        <f>[20]January_2019!T7</f>
        <v>0</v>
      </c>
      <c r="AK70" s="57">
        <f>[20]January_2019!U7</f>
        <v>0</v>
      </c>
      <c r="AL70" s="57">
        <f>[20]January_2019!V7</f>
        <v>0</v>
      </c>
      <c r="AM70" s="57">
        <f>[20]January_2019!W7</f>
        <v>0</v>
      </c>
      <c r="AN70" s="57">
        <f>[20]January_2019!X7</f>
        <v>0</v>
      </c>
      <c r="AO70" s="57">
        <f>[20]January_2019!Y7</f>
        <v>0</v>
      </c>
      <c r="AP70" s="57">
        <f>[20]January_2019!Z7</f>
        <v>0</v>
      </c>
      <c r="AQ70" s="57">
        <f>[20]January_2019!AA7</f>
        <v>0</v>
      </c>
      <c r="AR70" s="57">
        <f>[20]January_2019!AB7</f>
        <v>0</v>
      </c>
      <c r="AS70" s="57">
        <f>[20]January_2019!AC7</f>
        <v>0</v>
      </c>
      <c r="AT70" s="57">
        <f>[20]January_2019!AD7</f>
        <v>0</v>
      </c>
      <c r="AU70" s="57">
        <f>[20]January_2019!AE7</f>
        <v>0</v>
      </c>
      <c r="AV70" s="57">
        <f>[20]January_2019!AF7</f>
        <v>0</v>
      </c>
      <c r="AW70" s="57">
        <f>[20]January_2019!AG7</f>
        <v>0</v>
      </c>
      <c r="AX70" s="277">
        <f>[20]January_2019!AH7</f>
        <v>0</v>
      </c>
      <c r="AY70" s="277"/>
      <c r="AZ70" s="277"/>
      <c r="BA70" s="277"/>
      <c r="BB70" s="277"/>
      <c r="BC70" s="277"/>
      <c r="BD70" s="277"/>
      <c r="BE70" s="277"/>
    </row>
    <row r="71" spans="2:57" s="54" customFormat="1" ht="16.5" customHeight="1">
      <c r="B71" s="423"/>
      <c r="C71" s="283"/>
      <c r="D71" s="377"/>
      <c r="E71" s="378"/>
      <c r="F71" s="379"/>
      <c r="G71" s="303"/>
      <c r="H71" s="320"/>
      <c r="I71" s="322"/>
      <c r="J71" s="281"/>
      <c r="K71" s="286"/>
      <c r="L71" s="314"/>
      <c r="M71" s="417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416"/>
      <c r="AC71" s="416"/>
      <c r="AD71" s="416"/>
      <c r="AE71" s="416"/>
      <c r="AF71" s="416"/>
      <c r="AG71" s="416"/>
      <c r="AH71" s="416"/>
      <c r="AI71" s="416"/>
      <c r="AJ71" s="416"/>
      <c r="AK71" s="416"/>
      <c r="AL71" s="416"/>
      <c r="AM71" s="416"/>
      <c r="AN71" s="416"/>
      <c r="AO71" s="416"/>
      <c r="AP71" s="416"/>
      <c r="AQ71" s="416"/>
      <c r="AR71" s="416"/>
      <c r="AS71" s="416"/>
      <c r="AT71" s="416"/>
      <c r="AU71" s="416"/>
      <c r="AV71" s="416"/>
      <c r="AW71" s="416"/>
    </row>
    <row r="72" spans="2:57" ht="18" customHeight="1" thickBot="1">
      <c r="B72" s="59"/>
      <c r="C72" s="30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 t="s">
        <v>41</v>
      </c>
      <c r="O72" s="56"/>
      <c r="P72" s="60"/>
    </row>
    <row r="73" spans="2:57" ht="14.4" thickBot="1">
      <c r="B73" s="533" t="s">
        <v>55</v>
      </c>
      <c r="C73" s="534"/>
      <c r="D73" s="534"/>
      <c r="E73" s="534"/>
      <c r="F73" s="535"/>
      <c r="G73" s="533" t="s">
        <v>56</v>
      </c>
      <c r="H73" s="534"/>
      <c r="I73" s="534"/>
      <c r="J73" s="535"/>
      <c r="K73" s="533" t="s">
        <v>51</v>
      </c>
      <c r="L73" s="534"/>
      <c r="M73" s="534"/>
      <c r="N73" s="536"/>
      <c r="O73" s="56"/>
      <c r="P73" s="50"/>
    </row>
    <row r="74" spans="2:57">
      <c r="B74" s="61" t="s">
        <v>17</v>
      </c>
      <c r="C74" s="62" t="s">
        <v>36</v>
      </c>
      <c r="D74" s="62" t="s">
        <v>37</v>
      </c>
      <c r="E74" s="62" t="s">
        <v>38</v>
      </c>
      <c r="F74" s="63" t="s">
        <v>39</v>
      </c>
      <c r="G74" s="62" t="s">
        <v>36</v>
      </c>
      <c r="H74" s="62" t="s">
        <v>37</v>
      </c>
      <c r="I74" s="62" t="s">
        <v>38</v>
      </c>
      <c r="J74" s="63" t="s">
        <v>39</v>
      </c>
      <c r="K74" s="62" t="s">
        <v>36</v>
      </c>
      <c r="L74" s="62" t="s">
        <v>37</v>
      </c>
      <c r="M74" s="62" t="s">
        <v>38</v>
      </c>
      <c r="N74" s="63" t="s">
        <v>39</v>
      </c>
      <c r="O74" s="56"/>
      <c r="P74" s="64"/>
    </row>
    <row r="75" spans="2:57">
      <c r="B75" s="29" t="s">
        <v>6</v>
      </c>
      <c r="C75" s="65">
        <f>L68</f>
        <v>3.753609239653505</v>
      </c>
      <c r="D75" s="76">
        <v>6.8124474348191786</v>
      </c>
      <c r="E75" s="76">
        <v>6.6758241199592669</v>
      </c>
      <c r="F75" s="66">
        <v>4.8</v>
      </c>
      <c r="G75" s="65">
        <f>[34]June_2025!$I$11</f>
        <v>4.6005774783445617</v>
      </c>
      <c r="H75" s="76">
        <v>5.9513755765704239</v>
      </c>
      <c r="I75" s="76">
        <v>6.7933261291297908</v>
      </c>
      <c r="J75" s="66">
        <v>4.8</v>
      </c>
      <c r="K75" s="67">
        <f>K68</f>
        <v>0.23391812865497078</v>
      </c>
      <c r="L75" s="194">
        <v>0.38877192982456144</v>
      </c>
      <c r="M75" s="194">
        <v>0.74612590818985658</v>
      </c>
      <c r="N75" s="68">
        <v>1</v>
      </c>
      <c r="O75" s="56"/>
      <c r="P75" s="69"/>
    </row>
    <row r="76" spans="2:57">
      <c r="B76" s="33" t="s">
        <v>9</v>
      </c>
      <c r="C76" s="65"/>
      <c r="D76" s="76">
        <v>4.8418127404873719</v>
      </c>
      <c r="E76" s="76">
        <v>6.2116707410659178</v>
      </c>
      <c r="F76" s="66">
        <v>4.8</v>
      </c>
      <c r="G76" s="65"/>
      <c r="H76" s="76">
        <v>4.4483307922375284</v>
      </c>
      <c r="I76" s="76">
        <v>6.0535596383377923</v>
      </c>
      <c r="J76" s="66">
        <v>4.8</v>
      </c>
      <c r="K76" s="67"/>
      <c r="L76" s="194">
        <v>0.52064327485380113</v>
      </c>
      <c r="M76" s="194">
        <v>0.73710738872423709</v>
      </c>
      <c r="N76" s="68">
        <v>1</v>
      </c>
      <c r="P76" s="69"/>
    </row>
    <row r="77" spans="2:57">
      <c r="B77" s="34" t="s">
        <v>40</v>
      </c>
      <c r="C77" s="65"/>
      <c r="D77" s="76"/>
      <c r="E77" s="76">
        <v>11.904402895054256</v>
      </c>
      <c r="F77" s="66">
        <v>5.5</v>
      </c>
      <c r="G77" s="65"/>
      <c r="H77" s="76"/>
      <c r="I77" s="76">
        <v>13.27623252148428</v>
      </c>
      <c r="J77" s="66">
        <v>5.5</v>
      </c>
      <c r="K77" s="67"/>
      <c r="L77" s="194"/>
      <c r="M77" s="194">
        <v>0.54554653679653675</v>
      </c>
      <c r="N77" s="68">
        <v>1</v>
      </c>
      <c r="P77" s="69"/>
    </row>
    <row r="78" spans="2:57">
      <c r="B78" s="22" t="s">
        <v>33</v>
      </c>
      <c r="C78" s="65"/>
      <c r="D78" s="76">
        <v>3.7185929648241238</v>
      </c>
      <c r="E78" s="76">
        <v>4.2675953841355607</v>
      </c>
      <c r="F78" s="66">
        <v>3.3</v>
      </c>
      <c r="G78" s="65"/>
      <c r="H78" s="76">
        <v>3.5401443549560527</v>
      </c>
      <c r="I78" s="76">
        <v>4.1118286580052033</v>
      </c>
      <c r="J78" s="66">
        <v>3.3</v>
      </c>
      <c r="K78" s="67"/>
      <c r="L78" s="194">
        <v>0.33614035087719296</v>
      </c>
      <c r="M78" s="194">
        <v>0.78836257309941515</v>
      </c>
      <c r="N78" s="68">
        <v>1</v>
      </c>
      <c r="P78" s="69"/>
    </row>
    <row r="79" spans="2:57">
      <c r="B79" s="35" t="s">
        <v>29</v>
      </c>
      <c r="C79" s="65"/>
      <c r="D79" s="76"/>
      <c r="E79" s="76"/>
      <c r="F79" s="66">
        <v>3.3</v>
      </c>
      <c r="G79" s="282"/>
      <c r="H79" s="76"/>
      <c r="I79" s="76"/>
      <c r="J79" s="66">
        <v>3</v>
      </c>
      <c r="L79" s="194"/>
      <c r="M79" s="194"/>
      <c r="N79" s="68">
        <v>1</v>
      </c>
      <c r="P79" s="69"/>
    </row>
    <row r="80" spans="2:57">
      <c r="B80" s="36" t="s">
        <v>15</v>
      </c>
      <c r="C80" s="282"/>
      <c r="D80" s="76"/>
      <c r="E80" s="76">
        <v>7.8262258425171876</v>
      </c>
      <c r="F80" s="70">
        <f>[21]May_2022!$M$43</f>
        <v>3.4878406700073312</v>
      </c>
      <c r="G80" s="282"/>
      <c r="H80" s="76"/>
      <c r="I80" s="76">
        <v>9.4300678869947632</v>
      </c>
      <c r="J80" s="66">
        <v>5.5</v>
      </c>
      <c r="K80" s="67"/>
      <c r="L80" s="194"/>
      <c r="M80" s="194">
        <v>0.674970760233918</v>
      </c>
      <c r="N80" s="68">
        <v>1</v>
      </c>
      <c r="P80" s="69"/>
    </row>
    <row r="81" spans="2:16">
      <c r="B81" s="37" t="s">
        <v>16</v>
      </c>
      <c r="C81" s="65"/>
      <c r="D81" s="76">
        <v>4.4761595848199667</v>
      </c>
      <c r="E81" s="76">
        <v>2.8990450204638254</v>
      </c>
      <c r="F81" s="66">
        <v>3.3</v>
      </c>
      <c r="G81" s="282"/>
      <c r="H81" s="76">
        <v>4.5799898461408048</v>
      </c>
      <c r="I81" s="76">
        <v>4.4797971833783148</v>
      </c>
      <c r="J81" s="66">
        <v>3.3</v>
      </c>
      <c r="K81" s="67"/>
      <c r="L81" s="194">
        <v>0.34444444444444444</v>
      </c>
      <c r="M81" s="194">
        <v>0.75981884057971016</v>
      </c>
      <c r="N81" s="71">
        <v>1</v>
      </c>
      <c r="P81" s="69"/>
    </row>
    <row r="82" spans="2:16" ht="14.4" thickBot="1">
      <c r="B82" s="38" t="s">
        <v>127</v>
      </c>
      <c r="C82" s="65"/>
      <c r="D82" s="76"/>
      <c r="E82" s="76"/>
      <c r="F82" s="66">
        <v>7.5</v>
      </c>
      <c r="G82" s="282"/>
      <c r="H82" s="76"/>
      <c r="I82" s="76"/>
      <c r="J82" s="66">
        <v>7.5</v>
      </c>
      <c r="K82" s="67"/>
      <c r="L82" s="194"/>
      <c r="M82" s="194"/>
      <c r="N82" s="71">
        <v>1</v>
      </c>
      <c r="P82" s="69"/>
    </row>
    <row r="83" spans="2:16" ht="14.4" thickBot="1">
      <c r="B83" s="415" t="s">
        <v>161</v>
      </c>
      <c r="C83" s="65"/>
      <c r="D83" s="76"/>
      <c r="E83" s="76">
        <v>4.8792508624938291</v>
      </c>
      <c r="F83" s="66">
        <v>4.8</v>
      </c>
      <c r="G83" s="282"/>
      <c r="H83" s="76"/>
      <c r="I83" s="76">
        <v>6.2003723782925313</v>
      </c>
      <c r="J83" s="66">
        <v>4.8</v>
      </c>
      <c r="K83" s="67"/>
      <c r="L83" s="194"/>
      <c r="M83" s="194">
        <v>0.33859649122807017</v>
      </c>
      <c r="N83" s="71">
        <v>1</v>
      </c>
      <c r="O83" s="74"/>
      <c r="P83" s="75"/>
    </row>
    <row r="84" spans="2:16">
      <c r="D84" s="76">
        <v>5.416180474523526</v>
      </c>
      <c r="E84" s="76">
        <v>6.5935010731194845</v>
      </c>
      <c r="F84" s="341">
        <v>5.5</v>
      </c>
      <c r="H84" s="76">
        <v>4.8970460944558836</v>
      </c>
      <c r="I84" s="76">
        <v>6.9379513638137311</v>
      </c>
      <c r="J84" s="341">
        <v>5.5</v>
      </c>
      <c r="K84" s="67"/>
      <c r="L84" s="194">
        <v>0.41656920077972703</v>
      </c>
      <c r="M84" s="194">
        <v>0.71061104209799852</v>
      </c>
      <c r="N84" s="386">
        <v>1</v>
      </c>
    </row>
    <row r="88" spans="2:16">
      <c r="F88" s="315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7:N37"/>
    <mergeCell ref="D38:E38"/>
    <mergeCell ref="B39:B50"/>
    <mergeCell ref="D39:E40"/>
    <mergeCell ref="D41:E42"/>
    <mergeCell ref="D43:E44"/>
    <mergeCell ref="D45:E46"/>
    <mergeCell ref="D47:E48"/>
    <mergeCell ref="D49:E50"/>
    <mergeCell ref="B51:B60"/>
    <mergeCell ref="D51:E52"/>
    <mergeCell ref="J51:K51"/>
    <mergeCell ref="L52:N52"/>
    <mergeCell ref="D53:E54"/>
    <mergeCell ref="D55:E56"/>
    <mergeCell ref="D57:E58"/>
    <mergeCell ref="D59:E60"/>
    <mergeCell ref="D61:E61"/>
    <mergeCell ref="B66:B67"/>
    <mergeCell ref="C66:C67"/>
    <mergeCell ref="D66:D67"/>
    <mergeCell ref="E66:E67"/>
    <mergeCell ref="M66:M67"/>
    <mergeCell ref="B73:F73"/>
    <mergeCell ref="G73:J73"/>
    <mergeCell ref="K73:N73"/>
    <mergeCell ref="G66:G67"/>
    <mergeCell ref="H66:H67"/>
    <mergeCell ref="I66:I67"/>
    <mergeCell ref="J66:J67"/>
    <mergeCell ref="K66:K67"/>
    <mergeCell ref="L66:L67"/>
    <mergeCell ref="F66:F67"/>
  </mergeCells>
  <conditionalFormatting sqref="B61:B62">
    <cfRule type="cellIs" dxfId="1955" priority="97" operator="notBetween">
      <formula>#REF!</formula>
      <formula>#REF!</formula>
    </cfRule>
  </conditionalFormatting>
  <conditionalFormatting sqref="C65">
    <cfRule type="cellIs" dxfId="1954" priority="129" stopIfTrue="1" operator="greaterThan">
      <formula>100</formula>
    </cfRule>
    <cfRule type="cellIs" dxfId="1953" priority="128" stopIfTrue="1" operator="lessThan">
      <formula>96</formula>
    </cfRule>
  </conditionalFormatting>
  <conditionalFormatting sqref="C75:C76">
    <cfRule type="cellIs" dxfId="1952" priority="75" stopIfTrue="1" operator="lessThanOrEqual">
      <formula>0</formula>
    </cfRule>
  </conditionalFormatting>
  <conditionalFormatting sqref="C75:C79">
    <cfRule type="cellIs" dxfId="1951" priority="74" stopIfTrue="1" operator="greaterThan">
      <formula>$F75</formula>
    </cfRule>
  </conditionalFormatting>
  <conditionalFormatting sqref="C76">
    <cfRule type="cellIs" dxfId="1950" priority="132" stopIfTrue="1" operator="greaterThan">
      <formula>$F75</formula>
    </cfRule>
  </conditionalFormatting>
  <conditionalFormatting sqref="C77:C80">
    <cfRule type="cellIs" dxfId="1949" priority="81" stopIfTrue="1" operator="lessThanOrEqual">
      <formula>0</formula>
    </cfRule>
  </conditionalFormatting>
  <conditionalFormatting sqref="C80">
    <cfRule type="cellIs" dxfId="1948" priority="80" stopIfTrue="1" operator="greaterThan">
      <formula>$J80</formula>
    </cfRule>
  </conditionalFormatting>
  <conditionalFormatting sqref="C86:C90">
    <cfRule type="cellIs" dxfId="1947" priority="120" stopIfTrue="1" operator="lessThanOrEqual">
      <formula>0</formula>
    </cfRule>
  </conditionalFormatting>
  <conditionalFormatting sqref="C87:C90">
    <cfRule type="cellIs" dxfId="1946" priority="119" stopIfTrue="1" operator="greaterThan">
      <formula>$F$86</formula>
    </cfRule>
  </conditionalFormatting>
  <conditionalFormatting sqref="C92">
    <cfRule type="cellIs" dxfId="1945" priority="121" stopIfTrue="1" operator="greaterThan">
      <formula>$F$86</formula>
    </cfRule>
    <cfRule type="cellIs" dxfId="1944" priority="122" stopIfTrue="1" operator="lessThanOrEqual">
      <formula>0</formula>
    </cfRule>
  </conditionalFormatting>
  <conditionalFormatting sqref="C86:D86 D88:D94">
    <cfRule type="cellIs" dxfId="1943" priority="114" stopIfTrue="1" operator="greaterThan">
      <formula>4.5</formula>
    </cfRule>
  </conditionalFormatting>
  <conditionalFormatting sqref="D61:D62">
    <cfRule type="cellIs" dxfId="1942" priority="98" operator="notBetween">
      <formula>#REF!</formula>
      <formula>#REF!</formula>
    </cfRule>
  </conditionalFormatting>
  <conditionalFormatting sqref="D75:D82">
    <cfRule type="cellIs" dxfId="1941" priority="91" stopIfTrue="1" operator="lessThanOrEqual">
      <formula>0</formula>
    </cfRule>
  </conditionalFormatting>
  <conditionalFormatting sqref="D83">
    <cfRule type="cellIs" dxfId="1940" priority="90" stopIfTrue="1" operator="lessThanOrEqual">
      <formula>0</formula>
    </cfRule>
  </conditionalFormatting>
  <conditionalFormatting sqref="D86 D88:D94">
    <cfRule type="cellIs" dxfId="1939" priority="115" stopIfTrue="1" operator="lessThanOrEqual">
      <formula>0</formula>
    </cfRule>
  </conditionalFormatting>
  <conditionalFormatting sqref="D87">
    <cfRule type="cellIs" dxfId="1938" priority="107" stopIfTrue="1" operator="lessThanOrEqual">
      <formula>0</formula>
    </cfRule>
    <cfRule type="cellIs" dxfId="1937" priority="106" stopIfTrue="1" operator="greaterThan">
      <formula>$F$86</formula>
    </cfRule>
  </conditionalFormatting>
  <conditionalFormatting sqref="D75:E84">
    <cfRule type="cellIs" dxfId="1936" priority="71" stopIfTrue="1" operator="greaterThan">
      <formula>$F75</formula>
    </cfRule>
  </conditionalFormatting>
  <conditionalFormatting sqref="D84:E84">
    <cfRule type="cellIs" dxfId="1935" priority="72" stopIfTrue="1" operator="lessThanOrEqual">
      <formula>0</formula>
    </cfRule>
  </conditionalFormatting>
  <conditionalFormatting sqref="E10:E36">
    <cfRule type="cellIs" dxfId="1934" priority="7" operator="lessThan">
      <formula>48</formula>
    </cfRule>
  </conditionalFormatting>
  <conditionalFormatting sqref="E64 E65:F65">
    <cfRule type="cellIs" dxfId="1933" priority="111" stopIfTrue="1" operator="greaterThan">
      <formula>100</formula>
    </cfRule>
  </conditionalFormatting>
  <conditionalFormatting sqref="E65">
    <cfRule type="cellIs" dxfId="1932" priority="108" stopIfTrue="1" operator="lessThan">
      <formula>96.8</formula>
    </cfRule>
    <cfRule type="cellIs" dxfId="1931" priority="109" stopIfTrue="1" operator="greaterThan">
      <formula>100</formula>
    </cfRule>
  </conditionalFormatting>
  <conditionalFormatting sqref="E75:E83">
    <cfRule type="cellIs" dxfId="1930" priority="85" stopIfTrue="1" operator="lessThanOrEqual">
      <formula>0</formula>
    </cfRule>
  </conditionalFormatting>
  <conditionalFormatting sqref="E86:E94">
    <cfRule type="cellIs" dxfId="1929" priority="101" stopIfTrue="1" operator="lessThanOrEqual">
      <formula>0</formula>
    </cfRule>
    <cfRule type="cellIs" dxfId="1928" priority="100" stopIfTrue="1" operator="greaterThan">
      <formula>4.5</formula>
    </cfRule>
  </conditionalFormatting>
  <conditionalFormatting sqref="E65:F65 E64">
    <cfRule type="cellIs" dxfId="1927" priority="110" stopIfTrue="1" operator="lessThan">
      <formula>96.5</formula>
    </cfRule>
  </conditionalFormatting>
  <conditionalFormatting sqref="F10:F36">
    <cfRule type="cellIs" dxfId="1926" priority="8" operator="greaterThan">
      <formula>60</formula>
    </cfRule>
  </conditionalFormatting>
  <conditionalFormatting sqref="F65">
    <cfRule type="cellIs" dxfId="1925" priority="126" stopIfTrue="1" operator="lessThan">
      <formula>96.8</formula>
    </cfRule>
    <cfRule type="cellIs" dxfId="1924" priority="127" stopIfTrue="1" operator="greaterThan">
      <formula>100</formula>
    </cfRule>
  </conditionalFormatting>
  <conditionalFormatting sqref="F84">
    <cfRule type="cellIs" dxfId="1923" priority="87" stopIfTrue="1" operator="lessThanOrEqual">
      <formula>0</formula>
    </cfRule>
    <cfRule type="cellIs" dxfId="1922" priority="86" stopIfTrue="1" operator="greaterThan">
      <formula>$F84</formula>
    </cfRule>
  </conditionalFormatting>
  <conditionalFormatting sqref="G10:G25">
    <cfRule type="expression" dxfId="1921" priority="10">
      <formula>IF(+(IF(G10&lt;S10,0,IF(G10&gt;T10,0,1)))=0,1)</formula>
    </cfRule>
  </conditionalFormatting>
  <conditionalFormatting sqref="G75:G76 C81:C83">
    <cfRule type="cellIs" dxfId="1920" priority="93" stopIfTrue="1" operator="lessThanOrEqual">
      <formula>0</formula>
    </cfRule>
    <cfRule type="cellIs" dxfId="1919" priority="92" stopIfTrue="1" operator="greaterThan">
      <formula>$F75</formula>
    </cfRule>
  </conditionalFormatting>
  <conditionalFormatting sqref="G75:G76">
    <cfRule type="cellIs" dxfId="1918" priority="76" stopIfTrue="1" operator="greaterThan">
      <formula>$F75</formula>
    </cfRule>
    <cfRule type="cellIs" dxfId="1917" priority="77" stopIfTrue="1" operator="lessThanOrEqual">
      <formula>0</formula>
    </cfRule>
  </conditionalFormatting>
  <conditionalFormatting sqref="G77">
    <cfRule type="cellIs" dxfId="1916" priority="130" stopIfTrue="1" operator="greaterThan">
      <formula>$F76</formula>
    </cfRule>
    <cfRule type="cellIs" dxfId="1915" priority="131" stopIfTrue="1" operator="lessThanOrEqual">
      <formula>0</formula>
    </cfRule>
  </conditionalFormatting>
  <conditionalFormatting sqref="G78">
    <cfRule type="cellIs" dxfId="1914" priority="89" stopIfTrue="1" operator="lessThanOrEqual">
      <formula>0</formula>
    </cfRule>
    <cfRule type="cellIs" dxfId="1913" priority="88" stopIfTrue="1" operator="greaterThan">
      <formula>$F78</formula>
    </cfRule>
  </conditionalFormatting>
  <conditionalFormatting sqref="G79:G83">
    <cfRule type="cellIs" dxfId="1912" priority="95" stopIfTrue="1" operator="lessThanOrEqual">
      <formula>0</formula>
    </cfRule>
    <cfRule type="cellIs" dxfId="1911" priority="94" stopIfTrue="1" operator="greaterThan">
      <formula>$J79</formula>
    </cfRule>
  </conditionalFormatting>
  <conditionalFormatting sqref="G88:G93 C91 C93">
    <cfRule type="cellIs" dxfId="1910" priority="123" stopIfTrue="1" operator="greaterThan">
      <formula>4.5</formula>
    </cfRule>
    <cfRule type="cellIs" dxfId="1909" priority="124" stopIfTrue="1" operator="lessThanOrEqual">
      <formula>0</formula>
    </cfRule>
  </conditionalFormatting>
  <conditionalFormatting sqref="G26:H36">
    <cfRule type="expression" dxfId="1908" priority="17">
      <formula>IF(+(IF(G26&lt;#REF!,0,IF(G26&gt;#REF!,0,1)))=0,1)</formula>
    </cfRule>
  </conditionalFormatting>
  <conditionalFormatting sqref="G87:H87">
    <cfRule type="cellIs" dxfId="1907" priority="104" stopIfTrue="1" operator="greaterThan">
      <formula>$F$86</formula>
    </cfRule>
    <cfRule type="cellIs" dxfId="1906" priority="105" stopIfTrue="1" operator="lessThanOrEqual">
      <formula>0</formula>
    </cfRule>
  </conditionalFormatting>
  <conditionalFormatting sqref="H10:H17 H23:H25">
    <cfRule type="expression" dxfId="1905" priority="9">
      <formula>IF(+(IF(H10&lt;T10,0,IF(H10&gt;U10,0,1)))=0,1)</formula>
    </cfRule>
  </conditionalFormatting>
  <conditionalFormatting sqref="H50:H64">
    <cfRule type="cellIs" dxfId="1904" priority="102" stopIfTrue="1" operator="greaterThan">
      <formula>0</formula>
    </cfRule>
  </conditionalFormatting>
  <conditionalFormatting sqref="H68">
    <cfRule type="cellIs" dxfId="1903" priority="40" stopIfTrue="1" operator="lessThanOrEqual">
      <formula>0</formula>
    </cfRule>
    <cfRule type="cellIs" dxfId="1902" priority="37" stopIfTrue="1" operator="greaterThan">
      <formula>$F$41</formula>
    </cfRule>
    <cfRule type="cellIs" dxfId="1901" priority="38" stopIfTrue="1" operator="lessThanOrEqual">
      <formula>0</formula>
    </cfRule>
    <cfRule type="cellIs" dxfId="1900" priority="39" stopIfTrue="1" operator="greaterThan">
      <formula>$F$39</formula>
    </cfRule>
    <cfRule type="cellIs" dxfId="1899" priority="28" stopIfTrue="1" operator="lessThanOrEqual">
      <formula>0</formula>
    </cfRule>
    <cfRule type="cellIs" dxfId="1898" priority="29" stopIfTrue="1" operator="greaterThan">
      <formula>$F$38</formula>
    </cfRule>
  </conditionalFormatting>
  <conditionalFormatting sqref="H69:H71">
    <cfRule type="cellIs" dxfId="1897" priority="55" stopIfTrue="1" operator="greaterThan">
      <formula>$F$50</formula>
    </cfRule>
    <cfRule type="cellIs" dxfId="1896" priority="54" stopIfTrue="1" operator="lessThanOrEqual">
      <formula>0</formula>
    </cfRule>
    <cfRule type="cellIs" dxfId="1895" priority="53" stopIfTrue="1" operator="greaterThan">
      <formula>$F$52</formula>
    </cfRule>
    <cfRule type="cellIs" dxfId="1894" priority="44" stopIfTrue="1" operator="lessThanOrEqual">
      <formula>0</formula>
    </cfRule>
    <cfRule type="cellIs" dxfId="1893" priority="56" stopIfTrue="1" operator="lessThanOrEqual">
      <formula>0</formula>
    </cfRule>
    <cfRule type="cellIs" dxfId="1892" priority="45" stopIfTrue="1" operator="greaterThan">
      <formula>$F$49</formula>
    </cfRule>
  </conditionalFormatting>
  <conditionalFormatting sqref="H75:H82">
    <cfRule type="cellIs" dxfId="1891" priority="78" stopIfTrue="1" operator="greaterThan">
      <formula>$J75</formula>
    </cfRule>
    <cfRule type="cellIs" dxfId="1890" priority="79" stopIfTrue="1" operator="lessThanOrEqual">
      <formula>0</formula>
    </cfRule>
  </conditionalFormatting>
  <conditionalFormatting sqref="H83">
    <cfRule type="cellIs" dxfId="1889" priority="82" operator="greaterThan">
      <formula>5.3</formula>
    </cfRule>
  </conditionalFormatting>
  <conditionalFormatting sqref="H86 H88:H94">
    <cfRule type="cellIs" dxfId="1888" priority="117" stopIfTrue="1" operator="lessThanOrEqual">
      <formula>0</formula>
    </cfRule>
    <cfRule type="cellIs" dxfId="1887" priority="116" stopIfTrue="1" operator="greaterThan">
      <formula>4.5</formula>
    </cfRule>
  </conditionalFormatting>
  <conditionalFormatting sqref="H68:I68">
    <cfRule type="cellIs" dxfId="1886" priority="27" stopIfTrue="1" operator="greaterThan">
      <formula>$F$40</formula>
    </cfRule>
    <cfRule type="cellIs" dxfId="1885" priority="30" stopIfTrue="1" operator="lessThanOrEqual">
      <formula>0</formula>
    </cfRule>
  </conditionalFormatting>
  <conditionalFormatting sqref="H69:I71">
    <cfRule type="cellIs" dxfId="1884" priority="46" stopIfTrue="1" operator="lessThanOrEqual">
      <formula>0</formula>
    </cfRule>
    <cfRule type="cellIs" dxfId="1883" priority="43" stopIfTrue="1" operator="greaterThan">
      <formula>$F$51</formula>
    </cfRule>
  </conditionalFormatting>
  <conditionalFormatting sqref="H84:I84">
    <cfRule type="cellIs" dxfId="1882" priority="70" stopIfTrue="1" operator="lessThanOrEqual">
      <formula>0</formula>
    </cfRule>
    <cfRule type="cellIs" dxfId="1881" priority="69" stopIfTrue="1" operator="greaterThan">
      <formula>$J84</formula>
    </cfRule>
  </conditionalFormatting>
  <conditionalFormatting sqref="I68">
    <cfRule type="cellIs" dxfId="1880" priority="31" stopIfTrue="1" operator="greaterThan">
      <formula>$F$38</formula>
    </cfRule>
    <cfRule type="cellIs" dxfId="1879" priority="32" stopIfTrue="1" operator="lessThanOrEqual">
      <formula>0</formula>
    </cfRule>
    <cfRule type="cellIs" dxfId="1878" priority="33" stopIfTrue="1" operator="greaterThan">
      <formula>$F$40</formula>
    </cfRule>
    <cfRule type="cellIs" dxfId="1877" priority="34" stopIfTrue="1" operator="lessThanOrEqual">
      <formula>0</formula>
    </cfRule>
    <cfRule type="cellIs" dxfId="1876" priority="35" stopIfTrue="1" operator="greaterThan">
      <formula>$F$38</formula>
    </cfRule>
    <cfRule type="cellIs" dxfId="1875" priority="36" stopIfTrue="1" operator="lessThanOrEqual">
      <formula>0</formula>
    </cfRule>
  </conditionalFormatting>
  <conditionalFormatting sqref="I69:I71">
    <cfRule type="cellIs" dxfId="1874" priority="50" stopIfTrue="1" operator="lessThanOrEqual">
      <formula>0</formula>
    </cfRule>
    <cfRule type="cellIs" dxfId="1873" priority="49" stopIfTrue="1" operator="greaterThan">
      <formula>$F$51</formula>
    </cfRule>
    <cfRule type="cellIs" dxfId="1872" priority="48" stopIfTrue="1" operator="lessThanOrEqual">
      <formula>0</formula>
    </cfRule>
    <cfRule type="cellIs" dxfId="1871" priority="52" stopIfTrue="1" operator="lessThanOrEqual">
      <formula>0</formula>
    </cfRule>
    <cfRule type="cellIs" dxfId="1870" priority="47" stopIfTrue="1" operator="greaterThan">
      <formula>$F$49</formula>
    </cfRule>
    <cfRule type="cellIs" dxfId="1869" priority="51" stopIfTrue="1" operator="greaterThan">
      <formula>$F$49</formula>
    </cfRule>
  </conditionalFormatting>
  <conditionalFormatting sqref="I75:I83">
    <cfRule type="cellIs" dxfId="1868" priority="83" stopIfTrue="1" operator="greaterThan">
      <formula>$J75</formula>
    </cfRule>
    <cfRule type="cellIs" dxfId="1867" priority="84" stopIfTrue="1" operator="lessThanOrEqual">
      <formula>0</formula>
    </cfRule>
  </conditionalFormatting>
  <conditionalFormatting sqref="I86:I94">
    <cfRule type="cellIs" dxfId="1866" priority="112" stopIfTrue="1" operator="greaterThan">
      <formula>4.5</formula>
    </cfRule>
    <cfRule type="cellIs" dxfId="1865" priority="113" stopIfTrue="1" operator="lessThanOrEqual">
      <formula>0</formula>
    </cfRule>
  </conditionalFormatting>
  <conditionalFormatting sqref="I10:J36">
    <cfRule type="cellIs" dxfId="1864" priority="13" operator="lessThan">
      <formula>97.9</formula>
    </cfRule>
  </conditionalFormatting>
  <conditionalFormatting sqref="J39:J41">
    <cfRule type="cellIs" dxfId="1863" priority="60" stopIfTrue="1" operator="greaterThan">
      <formula>100</formula>
    </cfRule>
    <cfRule type="cellIs" dxfId="1862" priority="59" stopIfTrue="1" operator="lessThan">
      <formula>96.8</formula>
    </cfRule>
    <cfRule type="cellIs" dxfId="1861" priority="61" operator="lessThan">
      <formula>98</formula>
    </cfRule>
  </conditionalFormatting>
  <conditionalFormatting sqref="J39:J43">
    <cfRule type="cellIs" dxfId="1860" priority="58" operator="lessThan">
      <formula>97.4</formula>
    </cfRule>
  </conditionalFormatting>
  <conditionalFormatting sqref="J44">
    <cfRule type="cellIs" dxfId="1859" priority="62" operator="lessThan">
      <formula>98</formula>
    </cfRule>
  </conditionalFormatting>
  <conditionalFormatting sqref="J45:J47">
    <cfRule type="cellIs" dxfId="1858" priority="63" stopIfTrue="1" operator="lessThan">
      <formula>96.8</formula>
    </cfRule>
    <cfRule type="cellIs" dxfId="1857" priority="64" stopIfTrue="1" operator="greaterThan">
      <formula>100</formula>
    </cfRule>
  </conditionalFormatting>
  <conditionalFormatting sqref="J45:J48">
    <cfRule type="cellIs" dxfId="1856" priority="65" operator="lessThan">
      <formula>98</formula>
    </cfRule>
  </conditionalFormatting>
  <conditionalFormatting sqref="J84">
    <cfRule type="cellIs" dxfId="1855" priority="66" stopIfTrue="1" operator="greaterThan">
      <formula>$F84</formula>
    </cfRule>
    <cfRule type="cellIs" dxfId="1854" priority="67" stopIfTrue="1" operator="lessThanOrEqual">
      <formula>0</formula>
    </cfRule>
  </conditionalFormatting>
  <conditionalFormatting sqref="K10:K36">
    <cfRule type="cellIs" dxfId="1853" priority="6" operator="greaterThan">
      <formula>6.4</formula>
    </cfRule>
    <cfRule type="cellIs" dxfId="1852" priority="2" operator="greaterThan">
      <formula>6</formula>
    </cfRule>
    <cfRule type="cellIs" dxfId="1851" priority="3" operator="lessThan">
      <formula>4</formula>
    </cfRule>
  </conditionalFormatting>
  <conditionalFormatting sqref="K68:K71">
    <cfRule type="cellIs" dxfId="1850" priority="41" stopIfTrue="1" operator="lessThan">
      <formula>100%</formula>
    </cfRule>
  </conditionalFormatting>
  <conditionalFormatting sqref="K86:K91">
    <cfRule type="cellIs" dxfId="1849" priority="118" stopIfTrue="1" operator="lessThan">
      <formula>100%</formula>
    </cfRule>
  </conditionalFormatting>
  <conditionalFormatting sqref="K93:K94">
    <cfRule type="cellIs" dxfId="1848" priority="125" stopIfTrue="1" operator="lessThan">
      <formula>100%</formula>
    </cfRule>
  </conditionalFormatting>
  <conditionalFormatting sqref="K75:N78 L79:N79">
    <cfRule type="cellIs" dxfId="1847" priority="96" stopIfTrue="1" operator="lessThan">
      <formula>100%</formula>
    </cfRule>
  </conditionalFormatting>
  <conditionalFormatting sqref="K80:N84">
    <cfRule type="cellIs" dxfId="1846" priority="68" stopIfTrue="1" operator="lessThan">
      <formula>100%</formula>
    </cfRule>
  </conditionalFormatting>
  <conditionalFormatting sqref="L10:L25">
    <cfRule type="cellIs" dxfId="1845" priority="4" operator="between">
      <formula>61</formula>
      <formula>65</formula>
    </cfRule>
    <cfRule type="cellIs" dxfId="1844" priority="5" operator="greaterThan">
      <formula>65</formula>
    </cfRule>
  </conditionalFormatting>
  <conditionalFormatting sqref="L31:L36">
    <cfRule type="cellIs" dxfId="1843" priority="25" operator="between">
      <formula>61</formula>
      <formula>65</formula>
    </cfRule>
    <cfRule type="cellIs" dxfId="1842" priority="26" operator="greaterThan">
      <formula>65</formula>
    </cfRule>
  </conditionalFormatting>
  <conditionalFormatting sqref="L26:M30">
    <cfRule type="cellIs" dxfId="1841" priority="23" operator="between">
      <formula>61</formula>
      <formula>65</formula>
    </cfRule>
    <cfRule type="cellIs" dxfId="1840" priority="24" operator="greaterThan">
      <formula>65</formula>
    </cfRule>
  </conditionalFormatting>
  <conditionalFormatting sqref="L54:N54">
    <cfRule type="cellIs" dxfId="1839" priority="42" operator="notEqual">
      <formula>#REF!</formula>
    </cfRule>
  </conditionalFormatting>
  <conditionalFormatting sqref="L86:N94">
    <cfRule type="cellIs" dxfId="1838" priority="103" stopIfTrue="1" operator="lessThan">
      <formula>100%</formula>
    </cfRule>
  </conditionalFormatting>
  <conditionalFormatting sqref="M10:M36">
    <cfRule type="expression" dxfId="1837" priority="12">
      <formula>IF(+(IF(M10&lt;U10,0,IF(M10&gt;V10,0,1)))=0,1)</formula>
    </cfRule>
  </conditionalFormatting>
  <conditionalFormatting sqref="M39 L40:M50">
    <cfRule type="cellIs" dxfId="1836" priority="73" operator="lessThan">
      <formula>98</formula>
    </cfRule>
  </conditionalFormatting>
  <conditionalFormatting sqref="N10:N36">
    <cfRule type="expression" dxfId="1835" priority="11">
      <formula>IF(+(IF(N10&lt;W10,0,IF(N10&gt;X10,0,1)))=0,1)</formula>
    </cfRule>
  </conditionalFormatting>
  <conditionalFormatting sqref="P6">
    <cfRule type="cellIs" dxfId="1834" priority="99" operator="greaterThanOrEqual">
      <formula>19</formula>
    </cfRule>
  </conditionalFormatting>
  <dataValidations disablePrompts="1" count="1">
    <dataValidation type="list" allowBlank="1" showInputMessage="1" showErrorMessage="1" sqref="R8" xr:uid="{55794692-09C3-4545-A930-28F93A78E55A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8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2F98-2D93-4C61-BD95-2DA259C34A22}">
  <sheetPr>
    <pageSetUpPr fitToPage="1"/>
  </sheetPr>
  <dimension ref="A1:BE88"/>
  <sheetViews>
    <sheetView topLeftCell="A53" zoomScale="60" zoomScaleNormal="60" workbookViewId="0">
      <selection activeCell="P47" sqref="P47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21.33203125" style="275" customWidth="1"/>
    <col min="16" max="16" width="35.886718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73" t="s">
        <v>0</v>
      </c>
      <c r="T1" s="473"/>
      <c r="U1" s="473" t="s">
        <v>1</v>
      </c>
      <c r="V1" s="473"/>
      <c r="W1" s="473" t="s">
        <v>2</v>
      </c>
      <c r="X1" s="473"/>
      <c r="Y1" s="473" t="s">
        <v>124</v>
      </c>
      <c r="Z1" s="473"/>
    </row>
    <row r="2" spans="2:29" ht="14.4">
      <c r="B2" s="474" t="s">
        <v>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45819</v>
      </c>
      <c r="J4" s="398" t="s">
        <v>172</v>
      </c>
      <c r="K4" s="398"/>
      <c r="L4" s="11"/>
      <c r="M4" s="471" t="s">
        <v>8</v>
      </c>
      <c r="N4" s="472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68"/>
      <c r="D5" s="468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179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81" t="s">
        <v>17</v>
      </c>
      <c r="C8" s="483" t="s">
        <v>18</v>
      </c>
      <c r="D8" s="483" t="s">
        <v>19</v>
      </c>
      <c r="E8" s="356" t="s">
        <v>20</v>
      </c>
      <c r="F8" s="356" t="s">
        <v>21</v>
      </c>
      <c r="G8" s="483" t="s">
        <v>22</v>
      </c>
      <c r="H8" s="485" t="s">
        <v>144</v>
      </c>
      <c r="I8" s="483" t="s">
        <v>173</v>
      </c>
      <c r="J8" s="487" t="s">
        <v>23</v>
      </c>
      <c r="K8" s="489" t="s">
        <v>142</v>
      </c>
      <c r="L8" s="491" t="s">
        <v>24</v>
      </c>
      <c r="M8" s="359" t="s">
        <v>25</v>
      </c>
      <c r="N8" s="17" t="s">
        <v>26</v>
      </c>
      <c r="O8" s="543" t="s">
        <v>155</v>
      </c>
      <c r="P8" s="555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82"/>
      <c r="C9" s="484"/>
      <c r="D9" s="484"/>
      <c r="E9" s="357" t="s">
        <v>30</v>
      </c>
      <c r="F9" s="357" t="s">
        <v>31</v>
      </c>
      <c r="G9" s="484"/>
      <c r="H9" s="486"/>
      <c r="I9" s="484"/>
      <c r="J9" s="488"/>
      <c r="K9" s="490"/>
      <c r="L9" s="492"/>
      <c r="M9" s="20" t="s">
        <v>32</v>
      </c>
      <c r="N9" s="21" t="s">
        <v>41</v>
      </c>
      <c r="O9" s="556"/>
      <c r="P9" s="555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[24]Brewhouse!$A509</f>
        <v>CA403</v>
      </c>
      <c r="D10" s="279">
        <f>[24]Brewhouse!$AF509</f>
        <v>53.5</v>
      </c>
      <c r="E10" s="279">
        <f>[24]Brewhouse!$AI509</f>
        <v>49.7</v>
      </c>
      <c r="F10" s="278">
        <f>[24]Brewhouse!$V509</f>
        <v>60</v>
      </c>
      <c r="G10" s="279">
        <f>[24]Brewhouse!$AG509</f>
        <v>11.9</v>
      </c>
      <c r="H10" s="396">
        <v>12.1</v>
      </c>
      <c r="I10" s="368">
        <f>[24]Brewhouse!$AU509</f>
        <v>95.193774896809018</v>
      </c>
      <c r="J10" s="368">
        <f>[24]Brewhouse!$AV509</f>
        <v>97.912270782605574</v>
      </c>
      <c r="K10" s="281">
        <f>[24]Brewhouse!$Q509</f>
        <v>9.3381037567084064</v>
      </c>
      <c r="L10" s="276">
        <f>[24]Brewhouse!$P509</f>
        <v>61</v>
      </c>
      <c r="M10" s="397">
        <f>[24]Brewhouse!$U509-[24]Brewhouse!$T509</f>
        <v>0.12013888888888891</v>
      </c>
      <c r="N10" s="370">
        <f>[24]Brewhouse!$Z509</f>
        <v>0.25277777777777777</v>
      </c>
      <c r="O10" s="371" t="str">
        <f>[24]Brewhouse!$AX509</f>
        <v>R. Regis</v>
      </c>
      <c r="P10" s="420"/>
      <c r="R10" s="277" t="str">
        <f t="shared" ref="R10:R38" si="0">B10</f>
        <v>CARIB</v>
      </c>
      <c r="S10" s="296">
        <f t="shared" ref="S10:S38" si="1">VLOOKUP($B10,$R$3:$X$9,2,FALSE)</f>
        <v>11.6</v>
      </c>
      <c r="T10" s="296">
        <f t="shared" ref="T10:T38" si="2">VLOOKUP($B10,$R$3:$X$9,3,FALSE)</f>
        <v>12</v>
      </c>
      <c r="U10" s="297">
        <f t="shared" ref="U10:U38" si="3">VLOOKUP($B10,$R$3:$X$9,4,FALSE)</f>
        <v>0</v>
      </c>
      <c r="V10" s="297">
        <f t="shared" ref="V10:V38" si="4">VLOOKUP($B10,$R$3:$X$9,5,FALSE)</f>
        <v>0.118055555555556</v>
      </c>
      <c r="W10" s="297">
        <f t="shared" ref="W10:W38" si="5">VLOOKUP($B10,$R$3:$X$9,6,FALSE)</f>
        <v>0.22569444444444445</v>
      </c>
      <c r="X10" s="297">
        <f t="shared" ref="X10:X38" si="6">VLOOKUP($B10,$R$3:$X$9,7,FALSE)</f>
        <v>0.2638888888888889</v>
      </c>
      <c r="Y10" s="297">
        <f t="shared" ref="Y10:Y38" si="7">VLOOKUP($B10,$R$3:$Z$9,8,FALSE)</f>
        <v>0</v>
      </c>
      <c r="Z10" s="296">
        <f t="shared" ref="Z10:Z38" si="8">VLOOKUP($B10,$R$3:$Z$9,9,FALSE)</f>
        <v>60</v>
      </c>
    </row>
    <row r="11" spans="2:29" ht="15.75" customHeight="1">
      <c r="B11" s="29" t="s">
        <v>6</v>
      </c>
      <c r="C11" s="366" t="str">
        <f>[24]Brewhouse!$A510</f>
        <v>CA404</v>
      </c>
      <c r="D11" s="279">
        <f>[24]Brewhouse!$AF510</f>
        <v>52.9</v>
      </c>
      <c r="E11" s="279">
        <f>[24]Brewhouse!$AI510</f>
        <v>49.6</v>
      </c>
      <c r="F11" s="278">
        <f>[24]Brewhouse!$V510</f>
        <v>77</v>
      </c>
      <c r="G11" s="279">
        <f>[24]Brewhouse!$AG510</f>
        <v>12.2</v>
      </c>
      <c r="H11" s="396">
        <v>12.3</v>
      </c>
      <c r="I11" s="368">
        <f>[24]Brewhouse!$AU510</f>
        <v>101.54691869481707</v>
      </c>
      <c r="J11" s="368">
        <f>[24]Brewhouse!$AV510</f>
        <v>104.56598879173904</v>
      </c>
      <c r="K11" s="281">
        <f>[24]Brewhouse!$Q510</f>
        <v>8.5918003565062389</v>
      </c>
      <c r="L11" s="276">
        <f>[24]Brewhouse!$P510</f>
        <v>60</v>
      </c>
      <c r="M11" s="397">
        <f>[24]Brewhouse!$U510-[24]Brewhouse!$T510</f>
        <v>0.12013888888888891</v>
      </c>
      <c r="N11" s="370">
        <f>[24]Brewhouse!$Z510</f>
        <v>0.24791666666666667</v>
      </c>
      <c r="O11" s="371" t="str">
        <f>[24]Brewhouse!$AX510</f>
        <v>D. Gomez</v>
      </c>
      <c r="P11" s="420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[24]Brewhouse!$A511</f>
        <v>CA405</v>
      </c>
      <c r="D12" s="279">
        <f>[24]Brewhouse!$AF511</f>
        <v>56.8</v>
      </c>
      <c r="E12" s="279">
        <f>[24]Brewhouse!$AI511</f>
        <v>53.9</v>
      </c>
      <c r="F12" s="278">
        <f>[24]Brewhouse!$V511</f>
        <v>82</v>
      </c>
      <c r="G12" s="279">
        <f>[24]Brewhouse!$AG511</f>
        <v>11.3</v>
      </c>
      <c r="H12" s="396">
        <v>11.3</v>
      </c>
      <c r="I12" s="368">
        <f>[24]Brewhouse!$AU511</f>
        <v>98.522946643117706</v>
      </c>
      <c r="J12" s="368">
        <f>[24]Brewhouse!$AV511</f>
        <v>101.45642068824905</v>
      </c>
      <c r="K12" s="281">
        <f>[24]Brewhouse!$Q511</f>
        <v>5.5311355311355364</v>
      </c>
      <c r="L12" s="276">
        <f>[24]Brewhouse!$P511</f>
        <v>60</v>
      </c>
      <c r="M12" s="397">
        <f>[24]Brewhouse!$U511-[24]Brewhouse!$T511</f>
        <v>0.12777777777777777</v>
      </c>
      <c r="N12" s="370">
        <f>[24]Brewhouse!$Z511</f>
        <v>0.26111111111111107</v>
      </c>
      <c r="O12" s="371" t="str">
        <f>[24]Brewhouse!$AX511</f>
        <v>D. Gomez</v>
      </c>
      <c r="P12" s="420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[24]Brewhouse!$A512</f>
        <v>CA406</v>
      </c>
      <c r="D13" s="279">
        <f>[24]Brewhouse!$AF512</f>
        <v>53.7</v>
      </c>
      <c r="E13" s="279">
        <f>[24]Brewhouse!$AI512</f>
        <v>51.2</v>
      </c>
      <c r="F13" s="278">
        <f>[24]Brewhouse!$V512</f>
        <v>71</v>
      </c>
      <c r="G13" s="279">
        <f>[24]Brewhouse!$AG512</f>
        <v>11.9</v>
      </c>
      <c r="H13" s="396">
        <v>11.9</v>
      </c>
      <c r="I13" s="368">
        <f>[24]Brewhouse!$AU512</f>
        <v>98.826663752636136</v>
      </c>
      <c r="J13" s="368">
        <f>[24]Brewhouse!$AV512</f>
        <v>101.76918083076833</v>
      </c>
      <c r="K13" s="281">
        <f>[24]Brewhouse!$Q512</f>
        <v>5.2236135957066097</v>
      </c>
      <c r="L13" s="276">
        <f>[24]Brewhouse!$P512</f>
        <v>60</v>
      </c>
      <c r="M13" s="397">
        <f>[24]Brewhouse!$U512-[24]Brewhouse!$T512</f>
        <v>0.11111111111111116</v>
      </c>
      <c r="N13" s="370">
        <f>[24]Brewhouse!$Z512</f>
        <v>0.24444444444444446</v>
      </c>
      <c r="O13" s="371" t="str">
        <f>[24]Brewhouse!$AX512</f>
        <v>D. Gomez</v>
      </c>
      <c r="P13" s="420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[24]Brewhouse!$A513</f>
        <v>CA407</v>
      </c>
      <c r="D14" s="279">
        <f>[24]Brewhouse!$AF513</f>
        <v>53.3</v>
      </c>
      <c r="E14" s="279">
        <f>[24]Brewhouse!$AI513</f>
        <v>50.1</v>
      </c>
      <c r="F14" s="278">
        <f>[24]Brewhouse!$V513</f>
        <v>52</v>
      </c>
      <c r="G14" s="279">
        <f>[24]Brewhouse!$AG513</f>
        <v>11.8</v>
      </c>
      <c r="H14" s="396">
        <v>11.8</v>
      </c>
      <c r="I14" s="368">
        <f>[24]Brewhouse!$AU513</f>
        <v>95.464164524325369</v>
      </c>
      <c r="J14" s="368">
        <f>[24]Brewhouse!$AV513</f>
        <v>98.189489206153908</v>
      </c>
      <c r="K14" s="281">
        <f>[24]Brewhouse!$Q513</f>
        <v>6.5671641791044832</v>
      </c>
      <c r="L14" s="276">
        <f>[24]Brewhouse!$P513</f>
        <v>61</v>
      </c>
      <c r="M14" s="397">
        <f>[24]Brewhouse!$U513-[24]Brewhouse!$T513</f>
        <v>0.10416666666666663</v>
      </c>
      <c r="N14" s="370">
        <f>[24]Brewhouse!$Z513</f>
        <v>0.23263888888888884</v>
      </c>
      <c r="O14" s="371" t="str">
        <f>[24]Brewhouse!$AX513</f>
        <v>K.Benjamin</v>
      </c>
      <c r="P14" s="420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[24]Brewhouse!$A514</f>
        <v>CA408</v>
      </c>
      <c r="D15" s="279">
        <f>[24]Brewhouse!$AF514</f>
        <v>53.4</v>
      </c>
      <c r="E15" s="279">
        <f>[24]Brewhouse!$AI514</f>
        <v>50.6</v>
      </c>
      <c r="F15" s="278">
        <f>[24]Brewhouse!$V514</f>
        <v>54</v>
      </c>
      <c r="G15" s="279">
        <f>[24]Brewhouse!$AG514</f>
        <v>11.9</v>
      </c>
      <c r="H15" s="396">
        <v>11.8</v>
      </c>
      <c r="I15" s="368">
        <f>[24]Brewhouse!$AU514</f>
        <v>97.517026447740761</v>
      </c>
      <c r="J15" s="368">
        <f>[24]Brewhouse!$AV514</f>
        <v>100.30034473883016</v>
      </c>
      <c r="K15" s="281">
        <f>[24]Brewhouse!$Q514</f>
        <v>8.7636363636363637</v>
      </c>
      <c r="L15" s="276">
        <f>[24]Brewhouse!$P514</f>
        <v>59</v>
      </c>
      <c r="M15" s="397">
        <f>[24]Brewhouse!$U514-[24]Brewhouse!$T514</f>
        <v>0.11180555555555549</v>
      </c>
      <c r="N15" s="370">
        <f>[24]Brewhouse!$Z514</f>
        <v>0.24236111111111103</v>
      </c>
      <c r="O15" s="371" t="str">
        <f>[24]Brewhouse!$AX514</f>
        <v>K.Benjamin</v>
      </c>
      <c r="P15" s="420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[24]Brewhouse!$A515</f>
        <v>CA409</v>
      </c>
      <c r="D16" s="279">
        <f>[24]Brewhouse!$AF515</f>
        <v>52.6</v>
      </c>
      <c r="E16" s="279">
        <f>[24]Brewhouse!$AI515</f>
        <v>49.7</v>
      </c>
      <c r="F16" s="278">
        <f>[24]Brewhouse!$V515</f>
        <v>51</v>
      </c>
      <c r="G16" s="279">
        <f>[24]Brewhouse!$AG515</f>
        <v>12</v>
      </c>
      <c r="H16" s="396">
        <v>11.7</v>
      </c>
      <c r="I16" s="368">
        <f>[24]Brewhouse!$AU515</f>
        <v>96.153051693044588</v>
      </c>
      <c r="J16" s="368">
        <f>[24]Brewhouse!$AV515</f>
        <v>98.898643092720235</v>
      </c>
      <c r="K16" s="281">
        <f>[24]Brewhouse!$Q515</f>
        <v>7.0377019748653531</v>
      </c>
      <c r="L16" s="276">
        <f>[24]Brewhouse!$P515</f>
        <v>60</v>
      </c>
      <c r="M16" s="397">
        <f>[24]Brewhouse!$U515-[24]Brewhouse!$T515</f>
        <v>0.10347222222222219</v>
      </c>
      <c r="N16" s="370">
        <f>[24]Brewhouse!$Z515</f>
        <v>0.24097222222222225</v>
      </c>
      <c r="O16" s="371" t="str">
        <f>[24]Brewhouse!$AX515</f>
        <v>K.Benjamin</v>
      </c>
      <c r="P16" s="420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2:26" ht="15.7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20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20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20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20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20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20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20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20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20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20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20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33"/>
      <c r="C28" s="366"/>
      <c r="D28" s="279"/>
      <c r="E28" s="279"/>
      <c r="F28" s="278"/>
      <c r="G28" s="279"/>
      <c r="H28" s="396"/>
      <c r="I28" s="429"/>
      <c r="J28" s="429"/>
      <c r="K28" s="430"/>
      <c r="L28" s="276"/>
      <c r="M28" s="374"/>
      <c r="N28" s="370"/>
      <c r="O28" s="422"/>
      <c r="P28" s="420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33"/>
      <c r="C29" s="366"/>
      <c r="D29" s="279"/>
      <c r="E29" s="279"/>
      <c r="F29" s="278"/>
      <c r="G29" s="279"/>
      <c r="H29" s="396"/>
      <c r="I29" s="429"/>
      <c r="J29" s="429"/>
      <c r="K29" s="430"/>
      <c r="L29" s="276"/>
      <c r="M29" s="374"/>
      <c r="N29" s="370"/>
      <c r="O29" s="422"/>
      <c r="P29" s="420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33"/>
      <c r="C30" s="366"/>
      <c r="D30" s="279"/>
      <c r="E30" s="279"/>
      <c r="F30" s="278"/>
      <c r="G30" s="279"/>
      <c r="H30" s="396"/>
      <c r="I30" s="429"/>
      <c r="J30" s="429"/>
      <c r="K30" s="430"/>
      <c r="L30" s="276"/>
      <c r="M30" s="374"/>
      <c r="N30" s="370"/>
      <c r="O30" s="422"/>
      <c r="P30" s="420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20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20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20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20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7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20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7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20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7" ht="15.75" customHeight="1" thickBot="1">
      <c r="B37" s="358"/>
      <c r="C37" s="358"/>
      <c r="D37" s="358"/>
      <c r="E37" s="358"/>
      <c r="F37" s="294"/>
      <c r="G37" s="294"/>
      <c r="H37" s="348"/>
      <c r="I37" s="497" t="s">
        <v>34</v>
      </c>
      <c r="J37" s="497"/>
      <c r="K37" s="497"/>
      <c r="L37" s="497"/>
      <c r="M37" s="497"/>
      <c r="N37" s="497"/>
      <c r="O37" s="1"/>
      <c r="P37" s="12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7" ht="15" thickBot="1">
      <c r="B38" s="388" t="s">
        <v>180</v>
      </c>
      <c r="C38" s="388"/>
      <c r="D38" s="475" t="s">
        <v>35</v>
      </c>
      <c r="E38" s="476"/>
      <c r="F38" s="294"/>
      <c r="G38" s="294"/>
      <c r="H38" s="348"/>
      <c r="I38" s="24" t="s">
        <v>17</v>
      </c>
      <c r="J38" s="25" t="s">
        <v>36</v>
      </c>
      <c r="K38" s="26" t="s">
        <v>138</v>
      </c>
      <c r="L38" s="25" t="s">
        <v>37</v>
      </c>
      <c r="M38" s="25" t="s">
        <v>38</v>
      </c>
      <c r="N38" s="27" t="s">
        <v>39</v>
      </c>
      <c r="O38" s="294"/>
      <c r="P38" s="12"/>
      <c r="R38" s="277" t="str">
        <f t="shared" si="0"/>
        <v xml:space="preserve">BRAND 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7" ht="15" customHeight="1">
      <c r="A39" s="28"/>
      <c r="B39" s="558" t="str">
        <f>I39</f>
        <v>CARIB</v>
      </c>
      <c r="C39" s="362">
        <f>[24]Process!D468</f>
        <v>11.8</v>
      </c>
      <c r="D39" s="501">
        <v>11.91</v>
      </c>
      <c r="E39" s="502"/>
      <c r="F39" s="294"/>
      <c r="G39" s="294"/>
      <c r="H39" s="348"/>
      <c r="I39" s="29" t="s">
        <v>6</v>
      </c>
      <c r="J39" s="280">
        <f>AVERAGE(I10:I19)</f>
        <v>97.603506664641515</v>
      </c>
      <c r="K39" s="284">
        <f>COUNTA([24]Brewhouse!$A$493:$A$515)</f>
        <v>23</v>
      </c>
      <c r="L39" s="302">
        <f>AVERAGE([24]Brewhouse!$AU$493:$AU$515)</f>
        <v>98.057015989578218</v>
      </c>
      <c r="M39" s="302">
        <f>AVERAGE([24]Brewhouse!$AU$102:$AU$171,[24]Brewhouse!$AU$173:$AU$253,[24]Brewhouse!$AU$255:$AU$339,[24]Brewhouse!$AU$341:$AU$346,[24]Brewhouse!$AU$348,[24]Brewhouse!$AU$349:$AU$406,[24]Brewhouse!$AU$408:$AU$491,[24]Brewhouse!$AU$493:$AU$515)</f>
        <v>97.682922714562366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</row>
    <row r="40" spans="1:27" ht="15" customHeight="1">
      <c r="A40" s="28"/>
      <c r="B40" s="512"/>
      <c r="C40" s="349">
        <f>[24]Process!D469</f>
        <v>11.89</v>
      </c>
      <c r="D40" s="503"/>
      <c r="E40" s="504"/>
      <c r="F40" s="294"/>
      <c r="G40" s="294"/>
      <c r="H40" s="348"/>
      <c r="I40" s="33" t="s">
        <v>9</v>
      </c>
      <c r="J40" s="280"/>
      <c r="K40" s="284">
        <f>COUNTA([25]Brewhouse!$A$242:$A$249)</f>
        <v>8</v>
      </c>
      <c r="L40" s="302">
        <f>AVERAGE([25]Brewhouse!$AS$242:$AS$249)</f>
        <v>97.039540936033916</v>
      </c>
      <c r="M40" s="302">
        <f>AVERAGE([25]Brewhouse!$AS$15:$AS$64,[25]Brewhouse!$AS$66:$AS$103,[25]Brewhouse!$AS$105:$AS$140,[25]Brewhouse!$AS$142:$AS$193,[25]Brewhouse!$AS$195:$AS$240,[25]Brewhouse!$AS$242:$AS$249)</f>
        <v>97.846474266506647</v>
      </c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</row>
    <row r="41" spans="1:27" ht="14.7" customHeight="1">
      <c r="A41" s="28"/>
      <c r="B41" s="512"/>
      <c r="C41" s="349">
        <f>[24]Process!D470</f>
        <v>11.87</v>
      </c>
      <c r="D41" s="501">
        <v>11.97</v>
      </c>
      <c r="E41" s="502"/>
      <c r="F41" s="294"/>
      <c r="G41" s="294"/>
      <c r="H41" s="348"/>
      <c r="I41" s="34" t="s">
        <v>12</v>
      </c>
      <c r="J41" s="280"/>
      <c r="K41" s="284"/>
      <c r="L41" s="302"/>
      <c r="M41" s="302">
        <f>AVERAGE([26]Brewhouse!$AU$4:$AU$7,[26]Brewhouse!$AU$9:$AU$22,[26]Brewhouse!$AU$24:$AU$35,[26]Brewhouse!$AU$37:$AU$45,[26]Brewhouse!$AU$47:$AU$62)</f>
        <v>97.179377138297156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</row>
    <row r="42" spans="1:27" ht="14.7" customHeight="1">
      <c r="A42" s="28"/>
      <c r="B42" s="512"/>
      <c r="C42" s="349">
        <f>[24]Process!D471</f>
        <v>11.85</v>
      </c>
      <c r="D42" s="503"/>
      <c r="E42" s="504"/>
      <c r="F42" s="294"/>
      <c r="G42" s="294"/>
      <c r="H42" s="348"/>
      <c r="I42" s="22" t="s">
        <v>33</v>
      </c>
      <c r="J42" s="280"/>
      <c r="K42" s="284"/>
      <c r="L42" s="302"/>
      <c r="M42" s="302">
        <f>AVERAGE([23]Brewhouse!$AV$5:$AV$14,[23]Brewhouse!$AV$16:$AV$19,[23]Brewhouse!$AV$21:$AV$24,[23]Brewhouse!$AV$26:$AV$33,[23]Brewhouse!$AV$35:$AV$46)</f>
        <v>99.005314486149061</v>
      </c>
      <c r="N42" s="3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</row>
    <row r="43" spans="1:27" ht="14.7" customHeight="1">
      <c r="A43" s="28"/>
      <c r="B43" s="512"/>
      <c r="C43" s="349"/>
      <c r="D43" s="501"/>
      <c r="E43" s="502"/>
      <c r="F43" s="419"/>
      <c r="G43" s="294"/>
      <c r="H43" s="348"/>
      <c r="I43" s="35" t="s">
        <v>29</v>
      </c>
      <c r="J43" s="280"/>
      <c r="K43" s="284"/>
      <c r="L43" s="302"/>
      <c r="M43" s="302"/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</row>
    <row r="44" spans="1:27" ht="14.7" customHeight="1">
      <c r="A44" s="28"/>
      <c r="B44" s="512"/>
      <c r="C44" s="349"/>
      <c r="D44" s="503"/>
      <c r="E44" s="504"/>
      <c r="F44" s="419"/>
      <c r="G44" s="294"/>
      <c r="H44" s="348"/>
      <c r="I44" s="36" t="s">
        <v>15</v>
      </c>
      <c r="J44" s="323"/>
      <c r="K44" s="284">
        <f>COUNTA([27]Brewhouse!$A$18:$A$21)</f>
        <v>4</v>
      </c>
      <c r="L44" s="302">
        <f>AVERAGE([27]Brewhouse!$AT$18:$AT$21)</f>
        <v>95.061602643439088</v>
      </c>
      <c r="M44" s="302">
        <f>AVERAGE([27]Brewhouse!$AT$4:$AT$11,[27]Brewhouse!$AT$13:$AT$16,[27]Brewhouse!$AT$18:$AT$21)</f>
        <v>94.773169817643847</v>
      </c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4.7" customHeight="1">
      <c r="A45" s="28"/>
      <c r="B45" s="512"/>
      <c r="C45" s="349"/>
      <c r="D45" s="501"/>
      <c r="E45" s="502"/>
      <c r="F45" s="419"/>
      <c r="G45" s="294"/>
      <c r="H45" s="348"/>
      <c r="I45" s="37" t="s">
        <v>16</v>
      </c>
      <c r="J45" s="323"/>
      <c r="K45" s="284">
        <f>COUNTA([22]Brewhouse!$A$45:$A$50)</f>
        <v>6</v>
      </c>
      <c r="L45" s="302">
        <f>AVERAGE([22]Brewhouse!$AY$45:$AY$50)</f>
        <v>96.288901438431267</v>
      </c>
      <c r="M45" s="302">
        <f>AVERAGE([22]Brewhouse!$AY$6:$AY$13,[22]Brewhouse!$AY$15:$AY$20,[22]Brewhouse!$AY$22:$AY$29,[22]Brewhouse!$AY$31:$AY$34,[22]Brewhouse!$AY$36:$AY$43,[22]Brewhouse!$AY$45:$AY$50)</f>
        <v>96.612624784592427</v>
      </c>
      <c r="N45" s="30">
        <v>98</v>
      </c>
      <c r="O45" s="11"/>
      <c r="P45" s="31" t="s">
        <v>41</v>
      </c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4.7" customHeight="1">
      <c r="A46" s="28"/>
      <c r="B46" s="512"/>
      <c r="C46" s="349"/>
      <c r="D46" s="503"/>
      <c r="E46" s="504"/>
      <c r="F46" s="294"/>
      <c r="G46" s="294"/>
      <c r="H46" s="348"/>
      <c r="I46" s="411" t="s">
        <v>158</v>
      </c>
      <c r="J46" s="326"/>
      <c r="K46" s="284"/>
      <c r="L46" s="305"/>
      <c r="M46" s="305">
        <f>AVERAGE([28]Brewhouse!$AU$5:$AU$8)</f>
        <v>91.006888337619571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  <c r="AA46" s="296"/>
    </row>
    <row r="47" spans="1:27" ht="14.7" customHeight="1">
      <c r="A47" s="28"/>
      <c r="B47" s="512"/>
      <c r="C47" s="349"/>
      <c r="D47" s="501"/>
      <c r="E47" s="502"/>
      <c r="F47" s="294"/>
      <c r="G47" s="294"/>
      <c r="H47" s="348"/>
      <c r="I47" s="410" t="s">
        <v>157</v>
      </c>
      <c r="J47" s="326"/>
      <c r="K47" s="284"/>
      <c r="L47" s="305"/>
      <c r="M47" s="305"/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  <c r="AA47" s="296"/>
    </row>
    <row r="48" spans="1:27" ht="15" customHeight="1" thickBot="1">
      <c r="A48" s="28"/>
      <c r="B48" s="512"/>
      <c r="C48" s="349"/>
      <c r="D48" s="503"/>
      <c r="E48" s="504"/>
      <c r="F48" s="294"/>
      <c r="G48" s="294"/>
      <c r="H48" s="348"/>
      <c r="I48" s="406" t="s">
        <v>156</v>
      </c>
      <c r="J48" s="327"/>
      <c r="K48" s="407"/>
      <c r="L48" s="408"/>
      <c r="M48" s="408"/>
      <c r="N48" s="409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  <c r="AA48" s="296"/>
    </row>
    <row r="49" spans="1:56" ht="15" customHeight="1" thickBot="1">
      <c r="A49" s="28"/>
      <c r="B49" s="512"/>
      <c r="C49" s="349"/>
      <c r="D49" s="501"/>
      <c r="E49" s="502"/>
      <c r="F49" s="294"/>
      <c r="G49" s="294"/>
      <c r="H49" s="348"/>
      <c r="I49" s="1"/>
      <c r="J49" s="39"/>
      <c r="K49" s="404">
        <f>SUM(K39:K48)</f>
        <v>41</v>
      </c>
      <c r="L49" s="405">
        <f>((L39*K39)+(L40*K40)+(L41*K41)+(L42*K42)+(L43*K43)+(K46*L46)+(L44*K44)+(L45*K45)+(L48*K48))/(K49)</f>
        <v>97.307500352510104</v>
      </c>
      <c r="M49" s="405">
        <f>AVERAGE('[29]Jan 31st'!$L$65,'[30]Feb 28th'!$L$35,'[31]Mar. 31st'!$L$35,'[32]Apr. 30th'!$L$45,'[33]May 30th'!$L$37,L49)</f>
        <v>97.581125631646543</v>
      </c>
      <c r="N49" s="4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  <c r="AA49" s="296"/>
    </row>
    <row r="50" spans="1:56" ht="15" thickBot="1">
      <c r="B50" s="513"/>
      <c r="C50" s="350"/>
      <c r="D50" s="503"/>
      <c r="E50" s="504"/>
      <c r="F50" s="294"/>
      <c r="G50" s="42"/>
      <c r="H50" s="41"/>
      <c r="I50" s="42"/>
      <c r="J50" s="42"/>
      <c r="K50" s="351"/>
      <c r="L50" s="348"/>
      <c r="M50" s="348"/>
      <c r="N50" s="11"/>
      <c r="O50" s="294"/>
      <c r="P50" s="12"/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5" thickBot="1">
      <c r="B51" s="564" t="str">
        <f>I39</f>
        <v>CARIB</v>
      </c>
      <c r="C51" s="362">
        <f>[24]Process!D442</f>
        <v>11.45</v>
      </c>
      <c r="D51" s="514">
        <v>11.84</v>
      </c>
      <c r="E51" s="515"/>
      <c r="F51" s="294"/>
      <c r="G51" s="42"/>
      <c r="H51" s="41"/>
      <c r="I51" s="42"/>
      <c r="J51" s="551" t="s">
        <v>129</v>
      </c>
      <c r="K51" s="551"/>
      <c r="L51" s="294"/>
      <c r="M51" s="294"/>
      <c r="N51" s="294"/>
      <c r="O51" s="294"/>
      <c r="P51" s="12"/>
    </row>
    <row r="52" spans="1:56" ht="13.5" customHeight="1" thickBot="1">
      <c r="B52" s="565"/>
      <c r="C52" s="349">
        <f>[24]Process!D443</f>
        <v>11.7</v>
      </c>
      <c r="D52" s="516"/>
      <c r="E52" s="504"/>
      <c r="F52" s="294"/>
      <c r="G52" s="42"/>
      <c r="H52" s="41"/>
      <c r="I52" s="42"/>
      <c r="J52" s="292" t="s">
        <v>17</v>
      </c>
      <c r="K52" s="293" t="s">
        <v>147</v>
      </c>
      <c r="L52" s="518" t="s">
        <v>136</v>
      </c>
      <c r="M52" s="518"/>
      <c r="N52" s="519"/>
      <c r="O52" s="294"/>
      <c r="P52" s="12"/>
    </row>
    <row r="53" spans="1:56" ht="15" customHeight="1" thickBot="1">
      <c r="B53" s="565"/>
      <c r="C53" s="349">
        <f>[24]Process!D444</f>
        <v>11.9</v>
      </c>
      <c r="D53" s="545">
        <v>11.85</v>
      </c>
      <c r="E53" s="546"/>
      <c r="F53" s="294"/>
      <c r="G53" s="42"/>
      <c r="H53" s="41"/>
      <c r="I53" s="42"/>
      <c r="J53" s="287" t="s">
        <v>6</v>
      </c>
      <c r="K53" s="324">
        <v>7</v>
      </c>
      <c r="L53" s="343" t="s">
        <v>37</v>
      </c>
      <c r="M53" s="307" t="s">
        <v>38</v>
      </c>
      <c r="N53" s="307" t="s">
        <v>84</v>
      </c>
      <c r="O53" s="294"/>
      <c r="P53" s="12"/>
    </row>
    <row r="54" spans="1:56" ht="15.75" customHeight="1" thickBot="1">
      <c r="B54" s="565"/>
      <c r="C54" s="349">
        <f>[24]Process!D445</f>
        <v>11.9</v>
      </c>
      <c r="D54" s="516"/>
      <c r="E54" s="504"/>
      <c r="F54" s="294"/>
      <c r="G54" s="42"/>
      <c r="H54" s="41"/>
      <c r="I54" s="42"/>
      <c r="J54" s="345" t="s">
        <v>9</v>
      </c>
      <c r="K54" s="324"/>
      <c r="L54" s="344">
        <f>AVERAGE('June 2nd'!K57,'June 10th'!K63,'June 3rd'!K63,'June 4th'!K63,'June 5th '!K63,'June 6th'!K63)</f>
        <v>6.833333333333333</v>
      </c>
      <c r="M54" s="325">
        <f>AVERAGE('[29]Jan 29th '!$M$70,'[30]Feb 28th'!$L$40,'[31]Mar. 31st'!$L$40,'[32]Apr. 30th'!$L$50,'[33]May 30th'!$L$42,L54)</f>
        <v>6.6733290863725649</v>
      </c>
      <c r="N54" s="418">
        <v>9.1999999999999993</v>
      </c>
      <c r="O54" s="294"/>
      <c r="P54" s="12"/>
    </row>
    <row r="55" spans="1:56" ht="15" customHeight="1">
      <c r="B55" s="565"/>
      <c r="C55" s="349">
        <f>[24]Process!D452</f>
        <v>11.62</v>
      </c>
      <c r="D55" s="545">
        <v>11.91</v>
      </c>
      <c r="E55" s="546"/>
      <c r="F55" s="294"/>
      <c r="G55" s="42"/>
      <c r="H55" s="41"/>
      <c r="I55" s="42"/>
      <c r="J55" s="288" t="s">
        <v>40</v>
      </c>
      <c r="K55" s="324"/>
      <c r="L55" s="294"/>
      <c r="M55" s="294"/>
      <c r="N55" s="294"/>
      <c r="O55" s="294"/>
      <c r="P55" s="12"/>
    </row>
    <row r="56" spans="1:56" ht="15" customHeight="1">
      <c r="B56" s="565"/>
      <c r="C56" s="349">
        <f>[24]Process!D453</f>
        <v>11.4</v>
      </c>
      <c r="D56" s="516"/>
      <c r="E56" s="504"/>
      <c r="F56" s="294"/>
      <c r="G56" s="42"/>
      <c r="H56" s="41"/>
      <c r="I56" s="42"/>
      <c r="J56" s="289" t="s">
        <v>33</v>
      </c>
      <c r="K56" s="324"/>
      <c r="L56" s="294"/>
      <c r="M56" s="294"/>
      <c r="N56" s="294"/>
      <c r="O56" s="294"/>
      <c r="P56" s="12"/>
    </row>
    <row r="57" spans="1:56" ht="14.4">
      <c r="B57" s="565"/>
      <c r="C57" s="349">
        <f>[24]Process!D454</f>
        <v>11.6</v>
      </c>
      <c r="D57" s="545"/>
      <c r="E57" s="546"/>
      <c r="F57" s="294"/>
      <c r="G57" s="42"/>
      <c r="H57" s="41"/>
      <c r="I57" s="42"/>
      <c r="J57" s="290" t="s">
        <v>16</v>
      </c>
      <c r="K57" s="324"/>
      <c r="L57" s="294"/>
      <c r="M57" s="294"/>
      <c r="N57" s="294"/>
      <c r="O57" s="294"/>
      <c r="P57" s="12"/>
      <c r="BC57" s="44"/>
      <c r="BD57" s="44"/>
    </row>
    <row r="58" spans="1:56" ht="14.4">
      <c r="B58" s="565"/>
      <c r="C58" s="349">
        <f>[24]Process!D455</f>
        <v>11.7</v>
      </c>
      <c r="D58" s="516"/>
      <c r="E58" s="504"/>
      <c r="F58" s="294"/>
      <c r="G58" s="42"/>
      <c r="H58" s="41"/>
      <c r="I58" s="42"/>
      <c r="J58" s="291" t="s">
        <v>15</v>
      </c>
      <c r="K58" s="324"/>
      <c r="L58" s="294"/>
      <c r="M58" s="294"/>
      <c r="N58" s="294"/>
      <c r="O58" s="294"/>
      <c r="P58" s="12"/>
      <c r="BC58" s="44"/>
      <c r="BD58" s="44"/>
    </row>
    <row r="59" spans="1:56" ht="14.4">
      <c r="B59" s="565"/>
      <c r="C59" s="349"/>
      <c r="D59" s="545"/>
      <c r="E59" s="546"/>
      <c r="F59" s="294"/>
      <c r="G59" s="42"/>
      <c r="H59" s="41"/>
      <c r="I59" s="42"/>
      <c r="J59" s="291" t="s">
        <v>149</v>
      </c>
      <c r="K59" s="324"/>
      <c r="L59" s="294"/>
      <c r="M59" s="294"/>
      <c r="N59" s="294"/>
      <c r="O59" s="294"/>
      <c r="P59" s="12"/>
      <c r="BC59" s="44"/>
      <c r="BD59" s="44"/>
    </row>
    <row r="60" spans="1:56" ht="15" thickBot="1">
      <c r="B60" s="566"/>
      <c r="C60" s="350"/>
      <c r="D60" s="547"/>
      <c r="E60" s="548"/>
      <c r="F60" s="294"/>
      <c r="G60" s="42"/>
      <c r="H60" s="41"/>
      <c r="I60" s="42"/>
      <c r="J60" s="291" t="s">
        <v>148</v>
      </c>
      <c r="K60" s="324"/>
      <c r="L60" s="294"/>
      <c r="M60" s="294"/>
      <c r="N60" s="294"/>
      <c r="O60" s="294"/>
      <c r="P60" s="12"/>
      <c r="BC60" s="44"/>
      <c r="BD60" s="44"/>
    </row>
    <row r="61" spans="1:56" ht="17.7" customHeight="1" thickBot="1">
      <c r="B61" s="312" t="s">
        <v>139</v>
      </c>
      <c r="C61" s="313"/>
      <c r="D61" s="562">
        <f>AVERAGE(D39:E60)</f>
        <v>11.896000000000001</v>
      </c>
      <c r="E61" s="563"/>
      <c r="F61" s="294"/>
      <c r="G61" s="42"/>
      <c r="H61" s="41"/>
      <c r="I61" s="42"/>
      <c r="J61" s="295" t="s">
        <v>134</v>
      </c>
      <c r="K61" s="324"/>
      <c r="L61" s="294"/>
      <c r="M61" s="294"/>
      <c r="N61" s="294"/>
      <c r="O61" s="294"/>
      <c r="P61" s="12"/>
      <c r="BC61" s="44"/>
      <c r="BD61" s="44"/>
    </row>
    <row r="62" spans="1:56" ht="17.7" customHeight="1">
      <c r="B62" s="363"/>
      <c r="C62" s="364"/>
      <c r="D62" s="365"/>
      <c r="E62" s="365"/>
      <c r="F62" s="294"/>
      <c r="G62" s="42"/>
      <c r="H62" s="41"/>
      <c r="I62" s="42"/>
      <c r="J62" s="295" t="s">
        <v>131</v>
      </c>
      <c r="K62" s="324"/>
      <c r="L62" s="294"/>
      <c r="M62" s="294"/>
      <c r="N62" s="294"/>
      <c r="O62" s="294"/>
      <c r="P62" s="12"/>
      <c r="BC62" s="44"/>
      <c r="BD62" s="44"/>
    </row>
    <row r="63" spans="1:56" ht="15.75" customHeight="1">
      <c r="B63" s="45"/>
      <c r="C63" s="11"/>
      <c r="D63" s="11"/>
      <c r="E63" s="46"/>
      <c r="F63" s="294"/>
      <c r="G63" s="42"/>
      <c r="H63" s="41"/>
      <c r="I63" s="42"/>
      <c r="J63" s="346" t="s">
        <v>130</v>
      </c>
      <c r="K63" s="324">
        <f>SUM(K53:K62)</f>
        <v>7</v>
      </c>
      <c r="L63" s="294"/>
      <c r="M63" s="294"/>
      <c r="N63" s="294"/>
      <c r="O63" s="294"/>
      <c r="P63" s="12"/>
    </row>
    <row r="64" spans="1:56" ht="20.25" customHeight="1">
      <c r="B64" s="15" t="s">
        <v>42</v>
      </c>
      <c r="C64" s="1" t="s">
        <v>43</v>
      </c>
      <c r="D64" s="1"/>
      <c r="E64" s="1"/>
      <c r="F64" s="294"/>
      <c r="G64" s="42"/>
      <c r="H64" s="41"/>
      <c r="I64" s="42"/>
      <c r="L64" s="294"/>
      <c r="P64" s="334"/>
    </row>
    <row r="65" spans="2:57" ht="15" customHeight="1" thickBot="1"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8"/>
      <c r="O65" s="48"/>
      <c r="P65" s="49"/>
    </row>
    <row r="66" spans="2:57" ht="15" customHeight="1" thickBot="1">
      <c r="B66" s="526" t="s">
        <v>17</v>
      </c>
      <c r="C66" s="526" t="s">
        <v>44</v>
      </c>
      <c r="D66" s="528" t="s">
        <v>45</v>
      </c>
      <c r="E66" s="483" t="s">
        <v>46</v>
      </c>
      <c r="F66" s="543" t="s">
        <v>47</v>
      </c>
      <c r="G66" s="537" t="s">
        <v>48</v>
      </c>
      <c r="H66" s="526" t="s">
        <v>49</v>
      </c>
      <c r="I66" s="526" t="s">
        <v>50</v>
      </c>
      <c r="J66" s="531" t="s">
        <v>28</v>
      </c>
      <c r="K66" s="481" t="s">
        <v>51</v>
      </c>
      <c r="L66" s="493" t="s">
        <v>52</v>
      </c>
      <c r="M66" s="531" t="s">
        <v>53</v>
      </c>
      <c r="N66" s="13"/>
      <c r="O66" s="13"/>
      <c r="P66" s="50"/>
    </row>
    <row r="67" spans="2:57" ht="28.5" customHeight="1" thickTop="1" thickBot="1">
      <c r="B67" s="527"/>
      <c r="C67" s="527"/>
      <c r="D67" s="529"/>
      <c r="E67" s="530"/>
      <c r="F67" s="544"/>
      <c r="G67" s="538"/>
      <c r="H67" s="527"/>
      <c r="I67" s="527"/>
      <c r="J67" s="532"/>
      <c r="K67" s="541"/>
      <c r="L67" s="542"/>
      <c r="M67" s="532"/>
      <c r="N67" s="13"/>
      <c r="O67" s="13"/>
      <c r="P67" s="50"/>
      <c r="Q67" s="355"/>
      <c r="AB67" s="51">
        <v>43474</v>
      </c>
      <c r="AC67" s="51">
        <v>43475</v>
      </c>
      <c r="AD67" s="51">
        <v>43476</v>
      </c>
      <c r="AE67" s="51">
        <v>43477</v>
      </c>
      <c r="AF67" s="51">
        <v>43478</v>
      </c>
      <c r="AG67" s="51">
        <v>43479</v>
      </c>
      <c r="AH67" s="51">
        <v>43480</v>
      </c>
      <c r="AI67" s="51">
        <v>43481</v>
      </c>
      <c r="AJ67" s="51">
        <v>43482</v>
      </c>
      <c r="AK67" s="51">
        <v>43483</v>
      </c>
      <c r="AL67" s="51">
        <v>43484</v>
      </c>
      <c r="AM67" s="51">
        <v>43485</v>
      </c>
      <c r="AN67" s="51">
        <v>43486</v>
      </c>
      <c r="AO67" s="51">
        <v>43487</v>
      </c>
      <c r="AP67" s="51">
        <v>43488</v>
      </c>
      <c r="AQ67" s="51">
        <v>43489</v>
      </c>
      <c r="AR67" s="51">
        <v>43490</v>
      </c>
      <c r="AS67" s="51">
        <v>43491</v>
      </c>
      <c r="AT67" s="51">
        <v>43492</v>
      </c>
      <c r="AU67" s="51">
        <v>43493</v>
      </c>
      <c r="AV67" s="51">
        <v>43494</v>
      </c>
      <c r="AW67" s="51">
        <v>43495</v>
      </c>
      <c r="AX67" s="51">
        <v>43496</v>
      </c>
    </row>
    <row r="68" spans="2:57" s="54" customFormat="1" ht="51" customHeight="1">
      <c r="B68" s="387" t="str">
        <f>B75</f>
        <v>CARIB</v>
      </c>
      <c r="C68" s="432">
        <v>45818</v>
      </c>
      <c r="D68" s="377">
        <f>[34]June_2025!$L$3</f>
        <v>198.2</v>
      </c>
      <c r="E68" s="378"/>
      <c r="F68" s="379"/>
      <c r="G68" s="303">
        <f>[34]June_2025!$L$7</f>
        <v>175</v>
      </c>
      <c r="H68" s="320"/>
      <c r="I68" s="322"/>
      <c r="J68" s="392" t="s">
        <v>182</v>
      </c>
      <c r="K68" s="286">
        <f>[36]June_2025!$L$18</f>
        <v>0.61403508771929827</v>
      </c>
      <c r="L68" s="314">
        <f>(((D68+E68)-G68)/(D68+E68))*100</f>
        <v>11.705348133198784</v>
      </c>
      <c r="M68" s="417" t="s">
        <v>178</v>
      </c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6"/>
      <c r="AC68" s="416"/>
      <c r="AD68" s="416"/>
      <c r="AE68" s="416"/>
      <c r="AF68" s="416"/>
      <c r="AG68" s="416"/>
      <c r="AH68" s="416"/>
      <c r="AI68" s="416"/>
      <c r="AJ68" s="416"/>
      <c r="AK68" s="416"/>
      <c r="AL68" s="416"/>
      <c r="AM68" s="416"/>
      <c r="AN68" s="416"/>
      <c r="AO68" s="416"/>
      <c r="AP68" s="416"/>
      <c r="AQ68" s="416"/>
      <c r="AR68" s="416"/>
      <c r="AS68" s="416"/>
      <c r="AT68" s="416"/>
      <c r="AU68" s="416"/>
      <c r="AV68" s="416"/>
      <c r="AW68" s="416"/>
    </row>
    <row r="69" spans="2:57" s="54" customFormat="1" ht="23.25" customHeight="1">
      <c r="B69" s="33"/>
      <c r="C69" s="283"/>
      <c r="D69" s="377"/>
      <c r="E69" s="378"/>
      <c r="F69" s="379"/>
      <c r="G69" s="303"/>
      <c r="H69" s="320"/>
      <c r="I69" s="322"/>
      <c r="J69" s="281"/>
      <c r="K69" s="286"/>
      <c r="L69" s="314"/>
      <c r="M69" s="417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416"/>
      <c r="AC69" s="416"/>
      <c r="AD69" s="416"/>
      <c r="AE69" s="416"/>
      <c r="AF69" s="416"/>
      <c r="AG69" s="416"/>
      <c r="AH69" s="416"/>
      <c r="AI69" s="416"/>
      <c r="AJ69" s="416"/>
      <c r="AK69" s="416"/>
      <c r="AL69" s="416"/>
      <c r="AM69" s="416"/>
      <c r="AN69" s="416"/>
      <c r="AO69" s="416"/>
      <c r="AP69" s="416"/>
      <c r="AQ69" s="416"/>
      <c r="AR69" s="416"/>
      <c r="AS69" s="416"/>
      <c r="AT69" s="416"/>
      <c r="AU69" s="416"/>
      <c r="AV69" s="416"/>
      <c r="AW69" s="416"/>
    </row>
    <row r="70" spans="2:57" s="54" customFormat="1" ht="53.25" customHeight="1">
      <c r="B70" s="414" t="str">
        <f>B75</f>
        <v>CARIB</v>
      </c>
      <c r="C70" s="432">
        <v>45818</v>
      </c>
      <c r="D70" s="377">
        <f>[34]June_2025!$M$3</f>
        <v>413.29999999999995</v>
      </c>
      <c r="E70" s="378"/>
      <c r="F70" s="379"/>
      <c r="G70" s="303">
        <f>[34]June_2025!$M$7</f>
        <v>385.1</v>
      </c>
      <c r="H70" s="320"/>
      <c r="I70" s="322"/>
      <c r="J70" s="392" t="s">
        <v>181</v>
      </c>
      <c r="K70" s="286">
        <f>[36]June_2025!$M$18</f>
        <v>0.67561403508771933</v>
      </c>
      <c r="L70" s="314">
        <f>(((D70+E70)-G70)/(D70+E70))*100</f>
        <v>6.8231308976530212</v>
      </c>
      <c r="M70" s="417" t="s">
        <v>169</v>
      </c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>
        <f>[20]January_2019!L7</f>
        <v>0</v>
      </c>
      <c r="AC70" s="57">
        <f>[20]January_2019!M7</f>
        <v>0</v>
      </c>
      <c r="AD70" s="57">
        <f>[20]January_2019!N7</f>
        <v>0</v>
      </c>
      <c r="AE70" s="57">
        <f>[20]January_2019!O7</f>
        <v>0</v>
      </c>
      <c r="AF70" s="57">
        <f>[20]January_2019!P7</f>
        <v>0</v>
      </c>
      <c r="AG70" s="57">
        <f>[20]January_2019!Q7</f>
        <v>0</v>
      </c>
      <c r="AH70" s="57">
        <f>[20]January_2019!R7</f>
        <v>0</v>
      </c>
      <c r="AI70" s="57">
        <f>[20]January_2019!S7</f>
        <v>0</v>
      </c>
      <c r="AJ70" s="57">
        <f>[20]January_2019!T7</f>
        <v>0</v>
      </c>
      <c r="AK70" s="57">
        <f>[20]January_2019!U7</f>
        <v>0</v>
      </c>
      <c r="AL70" s="57">
        <f>[20]January_2019!V7</f>
        <v>0</v>
      </c>
      <c r="AM70" s="57">
        <f>[20]January_2019!W7</f>
        <v>0</v>
      </c>
      <c r="AN70" s="57">
        <f>[20]January_2019!X7</f>
        <v>0</v>
      </c>
      <c r="AO70" s="57">
        <f>[20]January_2019!Y7</f>
        <v>0</v>
      </c>
      <c r="AP70" s="57">
        <f>[20]January_2019!Z7</f>
        <v>0</v>
      </c>
      <c r="AQ70" s="57">
        <f>[20]January_2019!AA7</f>
        <v>0</v>
      </c>
      <c r="AR70" s="57">
        <f>[20]January_2019!AB7</f>
        <v>0</v>
      </c>
      <c r="AS70" s="57">
        <f>[20]January_2019!AC7</f>
        <v>0</v>
      </c>
      <c r="AT70" s="57">
        <f>[20]January_2019!AD7</f>
        <v>0</v>
      </c>
      <c r="AU70" s="57">
        <f>[20]January_2019!AE7</f>
        <v>0</v>
      </c>
      <c r="AV70" s="57">
        <f>[20]January_2019!AF7</f>
        <v>0</v>
      </c>
      <c r="AW70" s="57">
        <f>[20]January_2019!AG7</f>
        <v>0</v>
      </c>
      <c r="AX70" s="277">
        <f>[20]January_2019!AH7</f>
        <v>0</v>
      </c>
      <c r="AY70" s="277"/>
      <c r="AZ70" s="277"/>
      <c r="BA70" s="277"/>
      <c r="BB70" s="277"/>
      <c r="BC70" s="277"/>
      <c r="BD70" s="277"/>
      <c r="BE70" s="277"/>
    </row>
    <row r="71" spans="2:57" s="54" customFormat="1" ht="16.5" customHeight="1">
      <c r="B71" s="423"/>
      <c r="C71" s="283"/>
      <c r="D71" s="377"/>
      <c r="E71" s="378"/>
      <c r="F71" s="379"/>
      <c r="G71" s="303"/>
      <c r="H71" s="320"/>
      <c r="I71" s="322"/>
      <c r="J71" s="281"/>
      <c r="K71" s="286"/>
      <c r="L71" s="314"/>
      <c r="M71" s="417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416"/>
      <c r="AC71" s="416"/>
      <c r="AD71" s="416"/>
      <c r="AE71" s="416"/>
      <c r="AF71" s="416"/>
      <c r="AG71" s="416"/>
      <c r="AH71" s="416"/>
      <c r="AI71" s="416"/>
      <c r="AJ71" s="416"/>
      <c r="AK71" s="416"/>
      <c r="AL71" s="416"/>
      <c r="AM71" s="416"/>
      <c r="AN71" s="416"/>
      <c r="AO71" s="416"/>
      <c r="AP71" s="416"/>
      <c r="AQ71" s="416"/>
      <c r="AR71" s="416"/>
      <c r="AS71" s="416"/>
      <c r="AT71" s="416"/>
      <c r="AU71" s="416"/>
      <c r="AV71" s="416"/>
      <c r="AW71" s="416"/>
    </row>
    <row r="72" spans="2:57" ht="18" customHeight="1" thickBot="1">
      <c r="B72" s="59"/>
      <c r="C72" s="30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 t="s">
        <v>41</v>
      </c>
      <c r="O72" s="56"/>
      <c r="P72" s="60"/>
    </row>
    <row r="73" spans="2:57" ht="14.4" thickBot="1">
      <c r="B73" s="533" t="s">
        <v>55</v>
      </c>
      <c r="C73" s="534"/>
      <c r="D73" s="534"/>
      <c r="E73" s="534"/>
      <c r="F73" s="535"/>
      <c r="G73" s="533" t="s">
        <v>56</v>
      </c>
      <c r="H73" s="534"/>
      <c r="I73" s="534"/>
      <c r="J73" s="535"/>
      <c r="K73" s="533" t="s">
        <v>51</v>
      </c>
      <c r="L73" s="534"/>
      <c r="M73" s="534"/>
      <c r="N73" s="536"/>
      <c r="O73" s="56"/>
      <c r="P73" s="50"/>
    </row>
    <row r="74" spans="2:57">
      <c r="B74" s="61" t="s">
        <v>17</v>
      </c>
      <c r="C74" s="62" t="s">
        <v>36</v>
      </c>
      <c r="D74" s="62" t="s">
        <v>37</v>
      </c>
      <c r="E74" s="62" t="s">
        <v>38</v>
      </c>
      <c r="F74" s="63" t="s">
        <v>39</v>
      </c>
      <c r="G74" s="62" t="s">
        <v>36</v>
      </c>
      <c r="H74" s="62" t="s">
        <v>37</v>
      </c>
      <c r="I74" s="62" t="s">
        <v>38</v>
      </c>
      <c r="J74" s="63" t="s">
        <v>39</v>
      </c>
      <c r="K74" s="62" t="s">
        <v>36</v>
      </c>
      <c r="L74" s="62" t="s">
        <v>37</v>
      </c>
      <c r="M74" s="62" t="s">
        <v>38</v>
      </c>
      <c r="N74" s="63" t="s">
        <v>39</v>
      </c>
      <c r="O74" s="56"/>
      <c r="P74" s="64"/>
    </row>
    <row r="75" spans="2:57">
      <c r="B75" s="29" t="s">
        <v>6</v>
      </c>
      <c r="C75" s="65">
        <f>AVERAGE(L68,L70)</f>
        <v>9.2642395154259027</v>
      </c>
      <c r="D75" s="76">
        <v>7.5477394520341328</v>
      </c>
      <c r="E75" s="76">
        <v>6.7279750007149213</v>
      </c>
      <c r="F75" s="66">
        <v>4.8</v>
      </c>
      <c r="G75" s="65">
        <f>AVERAGE([34]June_2025!$L$11,[34]June_2025!$M$11)</f>
        <v>7.9932668590219818</v>
      </c>
      <c r="H75" s="76">
        <v>6.4245885030114174</v>
      </c>
      <c r="I75" s="76">
        <v>6.7990284004289432</v>
      </c>
      <c r="J75" s="66">
        <v>4.8</v>
      </c>
      <c r="K75" s="67">
        <f>AVERAGE(K68,K70)</f>
        <v>0.64482456140350886</v>
      </c>
      <c r="L75" s="194">
        <v>0.5167982456140352</v>
      </c>
      <c r="M75" s="194">
        <v>0.7425484383579195</v>
      </c>
      <c r="N75" s="68">
        <v>1</v>
      </c>
      <c r="O75" s="56"/>
      <c r="P75" s="69"/>
    </row>
    <row r="76" spans="2:57">
      <c r="B76" s="33" t="s">
        <v>9</v>
      </c>
      <c r="C76" s="65"/>
      <c r="D76" s="76">
        <v>4.8418127404873719</v>
      </c>
      <c r="E76" s="76">
        <v>6.2116707410659178</v>
      </c>
      <c r="F76" s="66">
        <v>4.8</v>
      </c>
      <c r="G76" s="65"/>
      <c r="H76" s="76">
        <v>4.4483307922375284</v>
      </c>
      <c r="I76" s="76">
        <v>6.0535596383377923</v>
      </c>
      <c r="J76" s="66">
        <v>4.8</v>
      </c>
      <c r="K76" s="67"/>
      <c r="L76" s="194">
        <v>0.52064327485380113</v>
      </c>
      <c r="M76" s="194">
        <v>0.73710738872423709</v>
      </c>
      <c r="N76" s="68">
        <v>1</v>
      </c>
      <c r="P76" s="69"/>
    </row>
    <row r="77" spans="2:57">
      <c r="B77" s="34" t="s">
        <v>40</v>
      </c>
      <c r="C77" s="65"/>
      <c r="D77" s="76"/>
      <c r="E77" s="76">
        <v>11.904402895054256</v>
      </c>
      <c r="F77" s="66">
        <v>5.5</v>
      </c>
      <c r="G77" s="65"/>
      <c r="H77" s="76"/>
      <c r="I77" s="76">
        <v>13.27623252148428</v>
      </c>
      <c r="J77" s="66">
        <v>5.5</v>
      </c>
      <c r="K77" s="67"/>
      <c r="L77" s="194"/>
      <c r="M77" s="194">
        <v>0.54554653679653675</v>
      </c>
      <c r="N77" s="68">
        <v>1</v>
      </c>
      <c r="P77" s="69"/>
    </row>
    <row r="78" spans="2:57">
      <c r="B78" s="22" t="s">
        <v>33</v>
      </c>
      <c r="C78" s="65"/>
      <c r="D78" s="76">
        <v>3.7185929648241238</v>
      </c>
      <c r="E78" s="76">
        <v>4.2675953841355607</v>
      </c>
      <c r="F78" s="66">
        <v>3.3</v>
      </c>
      <c r="G78" s="65"/>
      <c r="H78" s="76">
        <v>3.5401443549560527</v>
      </c>
      <c r="I78" s="76">
        <v>4.1118286580052033</v>
      </c>
      <c r="J78" s="66">
        <v>3.3</v>
      </c>
      <c r="K78" s="67"/>
      <c r="L78" s="194">
        <v>0.33614035087719296</v>
      </c>
      <c r="M78" s="194">
        <v>0.78836257309941515</v>
      </c>
      <c r="N78" s="68">
        <v>1</v>
      </c>
      <c r="P78" s="69"/>
    </row>
    <row r="79" spans="2:57">
      <c r="B79" s="35" t="s">
        <v>29</v>
      </c>
      <c r="C79" s="65"/>
      <c r="D79" s="76"/>
      <c r="E79" s="76"/>
      <c r="F79" s="66">
        <v>3.3</v>
      </c>
      <c r="G79" s="282"/>
      <c r="H79" s="76"/>
      <c r="I79" s="76"/>
      <c r="J79" s="66">
        <v>3</v>
      </c>
      <c r="L79" s="194"/>
      <c r="M79" s="194"/>
      <c r="N79" s="68">
        <v>1</v>
      </c>
      <c r="P79" s="69"/>
    </row>
    <row r="80" spans="2:57">
      <c r="B80" s="36" t="s">
        <v>15</v>
      </c>
      <c r="C80" s="282"/>
      <c r="D80" s="76"/>
      <c r="E80" s="76">
        <v>7.8262258425171876</v>
      </c>
      <c r="F80" s="70">
        <f>[21]May_2022!$M$43</f>
        <v>3.4878406700073312</v>
      </c>
      <c r="G80" s="282"/>
      <c r="H80" s="76"/>
      <c r="I80" s="76">
        <v>9.4300678869947632</v>
      </c>
      <c r="J80" s="66">
        <v>5.5</v>
      </c>
      <c r="K80" s="67"/>
      <c r="L80" s="194"/>
      <c r="M80" s="194">
        <v>0.674970760233918</v>
      </c>
      <c r="N80" s="68">
        <v>1</v>
      </c>
      <c r="P80" s="69"/>
    </row>
    <row r="81" spans="2:16">
      <c r="B81" s="37" t="s">
        <v>16</v>
      </c>
      <c r="C81" s="65"/>
      <c r="D81" s="76">
        <v>4.4761595848199667</v>
      </c>
      <c r="E81" s="76">
        <v>2.8990450204638254</v>
      </c>
      <c r="F81" s="66">
        <v>3.3</v>
      </c>
      <c r="G81" s="282"/>
      <c r="H81" s="76">
        <v>4.5799898461408048</v>
      </c>
      <c r="I81" s="76">
        <v>4.4797971833783148</v>
      </c>
      <c r="J81" s="66">
        <v>3.3</v>
      </c>
      <c r="K81" s="67"/>
      <c r="L81" s="194">
        <v>0.34444444444444444</v>
      </c>
      <c r="M81" s="194">
        <v>0.75981884057971016</v>
      </c>
      <c r="N81" s="71">
        <v>1</v>
      </c>
      <c r="P81" s="69"/>
    </row>
    <row r="82" spans="2:16" ht="14.4" thickBot="1">
      <c r="B82" s="38" t="s">
        <v>127</v>
      </c>
      <c r="C82" s="65"/>
      <c r="D82" s="76"/>
      <c r="E82" s="76"/>
      <c r="F82" s="66">
        <v>7.5</v>
      </c>
      <c r="G82" s="282"/>
      <c r="H82" s="76"/>
      <c r="I82" s="76"/>
      <c r="J82" s="66">
        <v>7.5</v>
      </c>
      <c r="K82" s="67"/>
      <c r="L82" s="194"/>
      <c r="M82" s="194"/>
      <c r="N82" s="71">
        <v>1</v>
      </c>
      <c r="P82" s="69"/>
    </row>
    <row r="83" spans="2:16" ht="14.4" thickBot="1">
      <c r="B83" s="415" t="s">
        <v>161</v>
      </c>
      <c r="C83" s="65"/>
      <c r="D83" s="76"/>
      <c r="E83" s="76">
        <v>4.8792508624938291</v>
      </c>
      <c r="F83" s="66">
        <v>4.8</v>
      </c>
      <c r="G83" s="282"/>
      <c r="H83" s="76"/>
      <c r="I83" s="76">
        <v>6.2003723782925313</v>
      </c>
      <c r="J83" s="66">
        <v>4.8</v>
      </c>
      <c r="K83" s="67"/>
      <c r="L83" s="194"/>
      <c r="M83" s="194">
        <v>0.33859649122807017</v>
      </c>
      <c r="N83" s="71">
        <v>1</v>
      </c>
      <c r="O83" s="74"/>
      <c r="P83" s="75"/>
    </row>
    <row r="84" spans="2:16">
      <c r="D84" s="76">
        <v>6.1012629764269448</v>
      </c>
      <c r="E84" s="76">
        <v>6.6223477715983803</v>
      </c>
      <c r="F84" s="341">
        <v>5.5</v>
      </c>
      <c r="H84" s="76">
        <v>5.3400148410607402</v>
      </c>
      <c r="I84" s="76">
        <v>6.9386212142640735</v>
      </c>
      <c r="J84" s="341">
        <v>5.5</v>
      </c>
      <c r="K84" s="67"/>
      <c r="L84" s="194">
        <v>0.47363304093567254</v>
      </c>
      <c r="M84" s="194">
        <v>0.70909412081984902</v>
      </c>
      <c r="N84" s="386">
        <v>1</v>
      </c>
    </row>
    <row r="88" spans="2:16">
      <c r="F88" s="315"/>
    </row>
  </sheetData>
  <mergeCells count="51">
    <mergeCell ref="M66:M67"/>
    <mergeCell ref="B73:F73"/>
    <mergeCell ref="G73:J73"/>
    <mergeCell ref="K73:N73"/>
    <mergeCell ref="G66:G67"/>
    <mergeCell ref="H66:H67"/>
    <mergeCell ref="I66:I67"/>
    <mergeCell ref="J66:J67"/>
    <mergeCell ref="K66:K67"/>
    <mergeCell ref="L66:L67"/>
    <mergeCell ref="F66:F67"/>
    <mergeCell ref="D61:E61"/>
    <mergeCell ref="B66:B67"/>
    <mergeCell ref="C66:C67"/>
    <mergeCell ref="D66:D67"/>
    <mergeCell ref="E66:E67"/>
    <mergeCell ref="B51:B60"/>
    <mergeCell ref="D51:E52"/>
    <mergeCell ref="J51:K51"/>
    <mergeCell ref="L52:N52"/>
    <mergeCell ref="D53:E54"/>
    <mergeCell ref="D55:E56"/>
    <mergeCell ref="D57:E58"/>
    <mergeCell ref="D59:E60"/>
    <mergeCell ref="I37:N37"/>
    <mergeCell ref="D38:E38"/>
    <mergeCell ref="B39:B50"/>
    <mergeCell ref="D39:E40"/>
    <mergeCell ref="D41:E42"/>
    <mergeCell ref="D43:E44"/>
    <mergeCell ref="D45:E46"/>
    <mergeCell ref="D47:E48"/>
    <mergeCell ref="D49:E50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61:B62">
    <cfRule type="cellIs" dxfId="1833" priority="98" operator="notBetween">
      <formula>#REF!</formula>
      <formula>#REF!</formula>
    </cfRule>
  </conditionalFormatting>
  <conditionalFormatting sqref="C65">
    <cfRule type="cellIs" dxfId="1832" priority="129" stopIfTrue="1" operator="lessThan">
      <formula>96</formula>
    </cfRule>
    <cfRule type="cellIs" dxfId="1831" priority="130" stopIfTrue="1" operator="greaterThan">
      <formula>100</formula>
    </cfRule>
  </conditionalFormatting>
  <conditionalFormatting sqref="C75:C76">
    <cfRule type="cellIs" dxfId="1830" priority="76" stopIfTrue="1" operator="lessThanOrEqual">
      <formula>0</formula>
    </cfRule>
  </conditionalFormatting>
  <conditionalFormatting sqref="C75:C79">
    <cfRule type="cellIs" dxfId="1829" priority="75" stopIfTrue="1" operator="greaterThan">
      <formula>$F75</formula>
    </cfRule>
  </conditionalFormatting>
  <conditionalFormatting sqref="C76">
    <cfRule type="cellIs" dxfId="1828" priority="133" stopIfTrue="1" operator="greaterThan">
      <formula>$F75</formula>
    </cfRule>
  </conditionalFormatting>
  <conditionalFormatting sqref="C77:C80">
    <cfRule type="cellIs" dxfId="1827" priority="82" stopIfTrue="1" operator="lessThanOrEqual">
      <formula>0</formula>
    </cfRule>
  </conditionalFormatting>
  <conditionalFormatting sqref="C80">
    <cfRule type="cellIs" dxfId="1826" priority="81" stopIfTrue="1" operator="greaterThan">
      <formula>$J80</formula>
    </cfRule>
  </conditionalFormatting>
  <conditionalFormatting sqref="C86:C90">
    <cfRule type="cellIs" dxfId="1825" priority="121" stopIfTrue="1" operator="lessThanOrEqual">
      <formula>0</formula>
    </cfRule>
  </conditionalFormatting>
  <conditionalFormatting sqref="C87:C90">
    <cfRule type="cellIs" dxfId="1824" priority="120" stopIfTrue="1" operator="greaterThan">
      <formula>$F$86</formula>
    </cfRule>
  </conditionalFormatting>
  <conditionalFormatting sqref="C92">
    <cfRule type="cellIs" dxfId="1823" priority="122" stopIfTrue="1" operator="greaterThan">
      <formula>$F$86</formula>
    </cfRule>
    <cfRule type="cellIs" dxfId="1822" priority="123" stopIfTrue="1" operator="lessThanOrEqual">
      <formula>0</formula>
    </cfRule>
  </conditionalFormatting>
  <conditionalFormatting sqref="C86:D86 D88:D94">
    <cfRule type="cellIs" dxfId="1821" priority="115" stopIfTrue="1" operator="greaterThan">
      <formula>4.5</formula>
    </cfRule>
  </conditionalFormatting>
  <conditionalFormatting sqref="D61:D62">
    <cfRule type="cellIs" dxfId="1820" priority="99" operator="notBetween">
      <formula>#REF!</formula>
      <formula>#REF!</formula>
    </cfRule>
  </conditionalFormatting>
  <conditionalFormatting sqref="D75:D82">
    <cfRule type="cellIs" dxfId="1819" priority="92" stopIfTrue="1" operator="lessThanOrEqual">
      <formula>0</formula>
    </cfRule>
  </conditionalFormatting>
  <conditionalFormatting sqref="D83">
    <cfRule type="cellIs" dxfId="1818" priority="91" stopIfTrue="1" operator="lessThanOrEqual">
      <formula>0</formula>
    </cfRule>
  </conditionalFormatting>
  <conditionalFormatting sqref="D86 D88:D94">
    <cfRule type="cellIs" dxfId="1817" priority="116" stopIfTrue="1" operator="lessThanOrEqual">
      <formula>0</formula>
    </cfRule>
  </conditionalFormatting>
  <conditionalFormatting sqref="D87">
    <cfRule type="cellIs" dxfId="1816" priority="108" stopIfTrue="1" operator="lessThanOrEqual">
      <formula>0</formula>
    </cfRule>
    <cfRule type="cellIs" dxfId="1815" priority="107" stopIfTrue="1" operator="greaterThan">
      <formula>$F$86</formula>
    </cfRule>
  </conditionalFormatting>
  <conditionalFormatting sqref="D75:E84">
    <cfRule type="cellIs" dxfId="1814" priority="72" stopIfTrue="1" operator="greaterThan">
      <formula>$F75</formula>
    </cfRule>
  </conditionalFormatting>
  <conditionalFormatting sqref="D84:E84">
    <cfRule type="cellIs" dxfId="1813" priority="73" stopIfTrue="1" operator="lessThanOrEqual">
      <formula>0</formula>
    </cfRule>
  </conditionalFormatting>
  <conditionalFormatting sqref="E10:E36">
    <cfRule type="cellIs" dxfId="1812" priority="2" operator="lessThan">
      <formula>48</formula>
    </cfRule>
  </conditionalFormatting>
  <conditionalFormatting sqref="E64 E65:F65">
    <cfRule type="cellIs" dxfId="1811" priority="112" stopIfTrue="1" operator="greaterThan">
      <formula>100</formula>
    </cfRule>
  </conditionalFormatting>
  <conditionalFormatting sqref="E65">
    <cfRule type="cellIs" dxfId="1810" priority="110" stopIfTrue="1" operator="greaterThan">
      <formula>100</formula>
    </cfRule>
    <cfRule type="cellIs" dxfId="1809" priority="109" stopIfTrue="1" operator="lessThan">
      <formula>96.8</formula>
    </cfRule>
  </conditionalFormatting>
  <conditionalFormatting sqref="E75:E83">
    <cfRule type="cellIs" dxfId="1808" priority="86" stopIfTrue="1" operator="lessThanOrEqual">
      <formula>0</formula>
    </cfRule>
  </conditionalFormatting>
  <conditionalFormatting sqref="E86:E94">
    <cfRule type="cellIs" dxfId="1807" priority="102" stopIfTrue="1" operator="lessThanOrEqual">
      <formula>0</formula>
    </cfRule>
    <cfRule type="cellIs" dxfId="1806" priority="101" stopIfTrue="1" operator="greaterThan">
      <formula>4.5</formula>
    </cfRule>
  </conditionalFormatting>
  <conditionalFormatting sqref="E65:F65 E64">
    <cfRule type="cellIs" dxfId="1805" priority="111" stopIfTrue="1" operator="lessThan">
      <formula>96.5</formula>
    </cfRule>
  </conditionalFormatting>
  <conditionalFormatting sqref="F10:F36">
    <cfRule type="cellIs" dxfId="1804" priority="3" operator="greaterThan">
      <formula>60</formula>
    </cfRule>
  </conditionalFormatting>
  <conditionalFormatting sqref="F65">
    <cfRule type="cellIs" dxfId="1803" priority="127" stopIfTrue="1" operator="lessThan">
      <formula>96.8</formula>
    </cfRule>
    <cfRule type="cellIs" dxfId="1802" priority="128" stopIfTrue="1" operator="greaterThan">
      <formula>100</formula>
    </cfRule>
  </conditionalFormatting>
  <conditionalFormatting sqref="F84">
    <cfRule type="cellIs" dxfId="1801" priority="87" stopIfTrue="1" operator="greaterThan">
      <formula>$F84</formula>
    </cfRule>
    <cfRule type="cellIs" dxfId="1800" priority="88" stopIfTrue="1" operator="lessThanOrEqual">
      <formula>0</formula>
    </cfRule>
  </conditionalFormatting>
  <conditionalFormatting sqref="G75:G76 C81:C83">
    <cfRule type="cellIs" dxfId="1799" priority="93" stopIfTrue="1" operator="greaterThan">
      <formula>$F75</formula>
    </cfRule>
    <cfRule type="cellIs" dxfId="1798" priority="94" stopIfTrue="1" operator="lessThanOrEqual">
      <formula>0</formula>
    </cfRule>
  </conditionalFormatting>
  <conditionalFormatting sqref="G75:G76">
    <cfRule type="cellIs" dxfId="1797" priority="77" stopIfTrue="1" operator="greaterThan">
      <formula>$F75</formula>
    </cfRule>
    <cfRule type="cellIs" dxfId="1796" priority="78" stopIfTrue="1" operator="lessThanOrEqual">
      <formula>0</formula>
    </cfRule>
  </conditionalFormatting>
  <conditionalFormatting sqref="G77">
    <cfRule type="cellIs" dxfId="1795" priority="131" stopIfTrue="1" operator="greaterThan">
      <formula>$F76</formula>
    </cfRule>
    <cfRule type="cellIs" dxfId="1794" priority="132" stopIfTrue="1" operator="lessThanOrEqual">
      <formula>0</formula>
    </cfRule>
  </conditionalFormatting>
  <conditionalFormatting sqref="G78">
    <cfRule type="cellIs" dxfId="1793" priority="90" stopIfTrue="1" operator="lessThanOrEqual">
      <formula>0</formula>
    </cfRule>
    <cfRule type="cellIs" dxfId="1792" priority="89" stopIfTrue="1" operator="greaterThan">
      <formula>$F78</formula>
    </cfRule>
  </conditionalFormatting>
  <conditionalFormatting sqref="G79:G83">
    <cfRule type="cellIs" dxfId="1791" priority="95" stopIfTrue="1" operator="greaterThan">
      <formula>$J79</formula>
    </cfRule>
    <cfRule type="cellIs" dxfId="1790" priority="96" stopIfTrue="1" operator="lessThanOrEqual">
      <formula>0</formula>
    </cfRule>
  </conditionalFormatting>
  <conditionalFormatting sqref="G88:G93 C91 C93">
    <cfRule type="cellIs" dxfId="1789" priority="124" stopIfTrue="1" operator="greaterThan">
      <formula>4.5</formula>
    </cfRule>
    <cfRule type="cellIs" dxfId="1788" priority="125" stopIfTrue="1" operator="lessThanOrEqual">
      <formula>0</formula>
    </cfRule>
  </conditionalFormatting>
  <conditionalFormatting sqref="G10:H36">
    <cfRule type="expression" dxfId="1787" priority="4">
      <formula>IF(+(IF(G10&lt;#REF!,0,IF(G10&gt;#REF!,0,1)))=0,1)</formula>
    </cfRule>
  </conditionalFormatting>
  <conditionalFormatting sqref="G87:H87">
    <cfRule type="cellIs" dxfId="1786" priority="105" stopIfTrue="1" operator="greaterThan">
      <formula>$F$86</formula>
    </cfRule>
    <cfRule type="cellIs" dxfId="1785" priority="106" stopIfTrue="1" operator="lessThanOrEqual">
      <formula>0</formula>
    </cfRule>
  </conditionalFormatting>
  <conditionalFormatting sqref="H50:H64">
    <cfRule type="cellIs" dxfId="1784" priority="103" stopIfTrue="1" operator="greaterThan">
      <formula>0</formula>
    </cfRule>
  </conditionalFormatting>
  <conditionalFormatting sqref="H68">
    <cfRule type="cellIs" dxfId="1783" priority="42" stopIfTrue="1" operator="lessThanOrEqual">
      <formula>0</formula>
    </cfRule>
    <cfRule type="cellIs" dxfId="1782" priority="41" stopIfTrue="1" operator="greaterThan">
      <formula>$F$39</formula>
    </cfRule>
    <cfRule type="cellIs" dxfId="1781" priority="40" stopIfTrue="1" operator="lessThanOrEqual">
      <formula>0</formula>
    </cfRule>
    <cfRule type="cellIs" dxfId="1780" priority="39" stopIfTrue="1" operator="greaterThan">
      <formula>$F$41</formula>
    </cfRule>
    <cfRule type="cellIs" dxfId="1779" priority="31" stopIfTrue="1" operator="greaterThan">
      <formula>$F$38</formula>
    </cfRule>
    <cfRule type="cellIs" dxfId="1778" priority="30" stopIfTrue="1" operator="lessThanOrEqual">
      <formula>0</formula>
    </cfRule>
  </conditionalFormatting>
  <conditionalFormatting sqref="H69:H71">
    <cfRule type="cellIs" dxfId="1777" priority="55" stopIfTrue="1" operator="greaterThan">
      <formula>$F$52</formula>
    </cfRule>
    <cfRule type="cellIs" dxfId="1776" priority="47" stopIfTrue="1" operator="greaterThan">
      <formula>$F$49</formula>
    </cfRule>
    <cfRule type="cellIs" dxfId="1775" priority="56" stopIfTrue="1" operator="lessThanOrEqual">
      <formula>0</formula>
    </cfRule>
    <cfRule type="cellIs" dxfId="1774" priority="57" stopIfTrue="1" operator="greaterThan">
      <formula>$F$50</formula>
    </cfRule>
    <cfRule type="cellIs" dxfId="1773" priority="58" stopIfTrue="1" operator="lessThanOrEqual">
      <formula>0</formula>
    </cfRule>
    <cfRule type="cellIs" dxfId="1772" priority="46" stopIfTrue="1" operator="lessThanOrEqual">
      <formula>0</formula>
    </cfRule>
  </conditionalFormatting>
  <conditionalFormatting sqref="H75:H82">
    <cfRule type="cellIs" dxfId="1771" priority="79" stopIfTrue="1" operator="greaterThan">
      <formula>$J75</formula>
    </cfRule>
    <cfRule type="cellIs" dxfId="1770" priority="80" stopIfTrue="1" operator="lessThanOrEqual">
      <formula>0</formula>
    </cfRule>
  </conditionalFormatting>
  <conditionalFormatting sqref="H83">
    <cfRule type="cellIs" dxfId="1769" priority="83" operator="greaterThan">
      <formula>5.3</formula>
    </cfRule>
  </conditionalFormatting>
  <conditionalFormatting sqref="H86 H88:H94">
    <cfRule type="cellIs" dxfId="1768" priority="117" stopIfTrue="1" operator="greaterThan">
      <formula>4.5</formula>
    </cfRule>
    <cfRule type="cellIs" dxfId="1767" priority="118" stopIfTrue="1" operator="lessThanOrEqual">
      <formula>0</formula>
    </cfRule>
  </conditionalFormatting>
  <conditionalFormatting sqref="H68:I68">
    <cfRule type="cellIs" dxfId="1766" priority="32" stopIfTrue="1" operator="lessThanOrEqual">
      <formula>0</formula>
    </cfRule>
    <cfRule type="cellIs" dxfId="1765" priority="29" stopIfTrue="1" operator="greaterThan">
      <formula>$F$40</formula>
    </cfRule>
  </conditionalFormatting>
  <conditionalFormatting sqref="H69:I71">
    <cfRule type="cellIs" dxfId="1764" priority="48" stopIfTrue="1" operator="lessThanOrEqual">
      <formula>0</formula>
    </cfRule>
    <cfRule type="cellIs" dxfId="1763" priority="45" stopIfTrue="1" operator="greaterThan">
      <formula>$F$51</formula>
    </cfRule>
  </conditionalFormatting>
  <conditionalFormatting sqref="H84:I84">
    <cfRule type="cellIs" dxfId="1762" priority="71" stopIfTrue="1" operator="lessThanOrEqual">
      <formula>0</formula>
    </cfRule>
    <cfRule type="cellIs" dxfId="1761" priority="70" stopIfTrue="1" operator="greaterThan">
      <formula>$J84</formula>
    </cfRule>
  </conditionalFormatting>
  <conditionalFormatting sqref="I68">
    <cfRule type="cellIs" dxfId="1760" priority="38" stopIfTrue="1" operator="lessThanOrEqual">
      <formula>0</formula>
    </cfRule>
    <cfRule type="cellIs" dxfId="1759" priority="37" stopIfTrue="1" operator="greaterThan">
      <formula>$F$38</formula>
    </cfRule>
    <cfRule type="cellIs" dxfId="1758" priority="36" stopIfTrue="1" operator="lessThanOrEqual">
      <formula>0</formula>
    </cfRule>
    <cfRule type="cellIs" dxfId="1757" priority="35" stopIfTrue="1" operator="greaterThan">
      <formula>$F$40</formula>
    </cfRule>
    <cfRule type="cellIs" dxfId="1756" priority="34" stopIfTrue="1" operator="lessThanOrEqual">
      <formula>0</formula>
    </cfRule>
    <cfRule type="cellIs" dxfId="1755" priority="33" stopIfTrue="1" operator="greaterThan">
      <formula>$F$38</formula>
    </cfRule>
  </conditionalFormatting>
  <conditionalFormatting sqref="I69:I71">
    <cfRule type="cellIs" dxfId="1754" priority="54" stopIfTrue="1" operator="lessThanOrEqual">
      <formula>0</formula>
    </cfRule>
    <cfRule type="cellIs" dxfId="1753" priority="53" stopIfTrue="1" operator="greaterThan">
      <formula>$F$49</formula>
    </cfRule>
    <cfRule type="cellIs" dxfId="1752" priority="52" stopIfTrue="1" operator="lessThanOrEqual">
      <formula>0</formula>
    </cfRule>
    <cfRule type="cellIs" dxfId="1751" priority="51" stopIfTrue="1" operator="greaterThan">
      <formula>$F$51</formula>
    </cfRule>
    <cfRule type="cellIs" dxfId="1750" priority="50" stopIfTrue="1" operator="lessThanOrEqual">
      <formula>0</formula>
    </cfRule>
    <cfRule type="cellIs" dxfId="1749" priority="49" stopIfTrue="1" operator="greaterThan">
      <formula>$F$49</formula>
    </cfRule>
  </conditionalFormatting>
  <conditionalFormatting sqref="I75:I83">
    <cfRule type="cellIs" dxfId="1748" priority="84" stopIfTrue="1" operator="greaterThan">
      <formula>$J75</formula>
    </cfRule>
    <cfRule type="cellIs" dxfId="1747" priority="85" stopIfTrue="1" operator="lessThanOrEqual">
      <formula>0</formula>
    </cfRule>
  </conditionalFormatting>
  <conditionalFormatting sqref="I86:I94">
    <cfRule type="cellIs" dxfId="1746" priority="113" stopIfTrue="1" operator="greaterThan">
      <formula>4.5</formula>
    </cfRule>
    <cfRule type="cellIs" dxfId="1745" priority="114" stopIfTrue="1" operator="lessThanOrEqual">
      <formula>0</formula>
    </cfRule>
  </conditionalFormatting>
  <conditionalFormatting sqref="I10:J36">
    <cfRule type="cellIs" dxfId="1744" priority="9" operator="lessThan">
      <formula>97.9</formula>
    </cfRule>
  </conditionalFormatting>
  <conditionalFormatting sqref="J39:J41">
    <cfRule type="cellIs" dxfId="1743" priority="62" operator="lessThan">
      <formula>98</formula>
    </cfRule>
    <cfRule type="cellIs" dxfId="1742" priority="60" stopIfTrue="1" operator="lessThan">
      <formula>96.8</formula>
    </cfRule>
    <cfRule type="cellIs" dxfId="1741" priority="61" stopIfTrue="1" operator="greaterThan">
      <formula>100</formula>
    </cfRule>
  </conditionalFormatting>
  <conditionalFormatting sqref="J39:J43">
    <cfRule type="cellIs" dxfId="1740" priority="59" operator="lessThan">
      <formula>97.4</formula>
    </cfRule>
  </conditionalFormatting>
  <conditionalFormatting sqref="J44">
    <cfRule type="cellIs" dxfId="1739" priority="63" operator="lessThan">
      <formula>98</formula>
    </cfRule>
  </conditionalFormatting>
  <conditionalFormatting sqref="J45:J47">
    <cfRule type="cellIs" dxfId="1738" priority="65" stopIfTrue="1" operator="greaterThan">
      <formula>100</formula>
    </cfRule>
    <cfRule type="cellIs" dxfId="1737" priority="64" stopIfTrue="1" operator="lessThan">
      <formula>96.8</formula>
    </cfRule>
  </conditionalFormatting>
  <conditionalFormatting sqref="J45:J48">
    <cfRule type="cellIs" dxfId="1736" priority="66" operator="lessThan">
      <formula>98</formula>
    </cfRule>
  </conditionalFormatting>
  <conditionalFormatting sqref="J84">
    <cfRule type="cellIs" dxfId="1735" priority="68" stopIfTrue="1" operator="lessThanOrEqual">
      <formula>0</formula>
    </cfRule>
    <cfRule type="cellIs" dxfId="1734" priority="67" stopIfTrue="1" operator="greaterThan">
      <formula>$F84</formula>
    </cfRule>
  </conditionalFormatting>
  <conditionalFormatting sqref="K10:K36">
    <cfRule type="cellIs" dxfId="1733" priority="8" operator="greaterThan">
      <formula>6.4</formula>
    </cfRule>
    <cfRule type="cellIs" dxfId="1732" priority="7" operator="lessThan">
      <formula>4</formula>
    </cfRule>
    <cfRule type="cellIs" dxfId="1731" priority="6" operator="greaterThan">
      <formula>6</formula>
    </cfRule>
  </conditionalFormatting>
  <conditionalFormatting sqref="K68:K71">
    <cfRule type="cellIs" dxfId="1730" priority="43" stopIfTrue="1" operator="lessThan">
      <formula>100%</formula>
    </cfRule>
  </conditionalFormatting>
  <conditionalFormatting sqref="K86:K91">
    <cfRule type="cellIs" dxfId="1729" priority="119" stopIfTrue="1" operator="lessThan">
      <formula>100%</formula>
    </cfRule>
  </conditionalFormatting>
  <conditionalFormatting sqref="K93:K94">
    <cfRule type="cellIs" dxfId="1728" priority="126" stopIfTrue="1" operator="lessThan">
      <formula>100%</formula>
    </cfRule>
  </conditionalFormatting>
  <conditionalFormatting sqref="K75:N78 L79:N79">
    <cfRule type="cellIs" dxfId="1727" priority="97" stopIfTrue="1" operator="lessThan">
      <formula>100%</formula>
    </cfRule>
  </conditionalFormatting>
  <conditionalFormatting sqref="K80:N84">
    <cfRule type="cellIs" dxfId="1726" priority="69" stopIfTrue="1" operator="lessThan">
      <formula>100%</formula>
    </cfRule>
  </conditionalFormatting>
  <conditionalFormatting sqref="L10:L27">
    <cfRule type="cellIs" dxfId="1725" priority="11" operator="greaterThan">
      <formula>65</formula>
    </cfRule>
    <cfRule type="cellIs" dxfId="1724" priority="10" operator="between">
      <formula>61</formula>
      <formula>65</formula>
    </cfRule>
  </conditionalFormatting>
  <conditionalFormatting sqref="L31:L36">
    <cfRule type="cellIs" dxfId="1723" priority="27" operator="between">
      <formula>61</formula>
      <formula>65</formula>
    </cfRule>
    <cfRule type="cellIs" dxfId="1722" priority="28" operator="greaterThan">
      <formula>65</formula>
    </cfRule>
  </conditionalFormatting>
  <conditionalFormatting sqref="L28:M30">
    <cfRule type="cellIs" dxfId="1721" priority="26" operator="greaterThan">
      <formula>65</formula>
    </cfRule>
    <cfRule type="cellIs" dxfId="1720" priority="25" operator="between">
      <formula>61</formula>
      <formula>65</formula>
    </cfRule>
  </conditionalFormatting>
  <conditionalFormatting sqref="L54:N54">
    <cfRule type="cellIs" dxfId="1719" priority="44" operator="notEqual">
      <formula>#REF!</formula>
    </cfRule>
  </conditionalFormatting>
  <conditionalFormatting sqref="L86:N94">
    <cfRule type="cellIs" dxfId="1718" priority="104" stopIfTrue="1" operator="lessThan">
      <formula>100%</formula>
    </cfRule>
  </conditionalFormatting>
  <conditionalFormatting sqref="M10:M36">
    <cfRule type="expression" dxfId="1717" priority="5">
      <formula>IF(+(IF(M10&lt;U10,0,IF(M10&gt;V10,0,1)))=0,1)</formula>
    </cfRule>
  </conditionalFormatting>
  <conditionalFormatting sqref="M39 L40:M50">
    <cfRule type="cellIs" dxfId="1716" priority="74" operator="lessThan">
      <formula>98</formula>
    </cfRule>
  </conditionalFormatting>
  <conditionalFormatting sqref="N10:N36">
    <cfRule type="expression" dxfId="1715" priority="1">
      <formula>IF(+(IF(N10&lt;W10,0,IF(N10&gt;X10,0,1)))=0,1)</formula>
    </cfRule>
  </conditionalFormatting>
  <conditionalFormatting sqref="P6">
    <cfRule type="cellIs" dxfId="1714" priority="100" operator="greaterThanOrEqual">
      <formula>19</formula>
    </cfRule>
  </conditionalFormatting>
  <dataValidations disablePrompts="1" count="1">
    <dataValidation type="list" allowBlank="1" showInputMessage="1" showErrorMessage="1" sqref="R8" xr:uid="{40C0B558-5E65-4B53-B2B1-DFB0DEA707B1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8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D75E1-8B12-414C-9771-E5DE4268032C}">
  <sheetPr>
    <pageSetUpPr fitToPage="1"/>
  </sheetPr>
  <dimension ref="A1:BE88"/>
  <sheetViews>
    <sheetView topLeftCell="A19" zoomScale="60" zoomScaleNormal="60" workbookViewId="0">
      <selection activeCell="B25" sqref="B25:O25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21.33203125" style="275" customWidth="1"/>
    <col min="16" max="16" width="35.886718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73" t="s">
        <v>0</v>
      </c>
      <c r="T1" s="473"/>
      <c r="U1" s="473" t="s">
        <v>1</v>
      </c>
      <c r="V1" s="473"/>
      <c r="W1" s="473" t="s">
        <v>2</v>
      </c>
      <c r="X1" s="473"/>
      <c r="Y1" s="473" t="s">
        <v>124</v>
      </c>
      <c r="Z1" s="473"/>
    </row>
    <row r="2" spans="2:29" ht="14.4">
      <c r="B2" s="474" t="s">
        <v>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45820</v>
      </c>
      <c r="J4" s="398" t="s">
        <v>172</v>
      </c>
      <c r="K4" s="398"/>
      <c r="L4" s="11"/>
      <c r="M4" s="471" t="s">
        <v>8</v>
      </c>
      <c r="N4" s="472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68"/>
      <c r="D5" s="468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179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81" t="s">
        <v>17</v>
      </c>
      <c r="C8" s="483" t="s">
        <v>18</v>
      </c>
      <c r="D8" s="483" t="s">
        <v>19</v>
      </c>
      <c r="E8" s="356" t="s">
        <v>20</v>
      </c>
      <c r="F8" s="356" t="s">
        <v>21</v>
      </c>
      <c r="G8" s="483" t="s">
        <v>22</v>
      </c>
      <c r="H8" s="485" t="s">
        <v>144</v>
      </c>
      <c r="I8" s="483" t="s">
        <v>173</v>
      </c>
      <c r="J8" s="487" t="s">
        <v>23</v>
      </c>
      <c r="K8" s="489" t="s">
        <v>142</v>
      </c>
      <c r="L8" s="491" t="s">
        <v>24</v>
      </c>
      <c r="M8" s="359" t="s">
        <v>25</v>
      </c>
      <c r="N8" s="17" t="s">
        <v>26</v>
      </c>
      <c r="O8" s="543" t="s">
        <v>155</v>
      </c>
      <c r="P8" s="555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82"/>
      <c r="C9" s="484"/>
      <c r="D9" s="484"/>
      <c r="E9" s="357" t="s">
        <v>30</v>
      </c>
      <c r="F9" s="357" t="s">
        <v>31</v>
      </c>
      <c r="G9" s="484"/>
      <c r="H9" s="486"/>
      <c r="I9" s="484"/>
      <c r="J9" s="488"/>
      <c r="K9" s="490"/>
      <c r="L9" s="492"/>
      <c r="M9" s="20" t="s">
        <v>32</v>
      </c>
      <c r="N9" s="21" t="s">
        <v>41</v>
      </c>
      <c r="O9" s="556"/>
      <c r="P9" s="555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29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97"/>
      <c r="N10" s="370"/>
      <c r="O10" s="371"/>
      <c r="P10" s="420"/>
      <c r="R10" s="277">
        <f t="shared" ref="R10:R38" si="0">B10</f>
        <v>0</v>
      </c>
      <c r="S10" s="296" t="e">
        <f t="shared" ref="S10:S38" si="1">VLOOKUP($B10,$R$3:$X$9,2,FALSE)</f>
        <v>#N/A</v>
      </c>
      <c r="T10" s="296" t="e">
        <f t="shared" ref="T10:T38" si="2">VLOOKUP($B10,$R$3:$X$9,3,FALSE)</f>
        <v>#N/A</v>
      </c>
      <c r="U10" s="297" t="e">
        <f t="shared" ref="U10:U38" si="3">VLOOKUP($B10,$R$3:$X$9,4,FALSE)</f>
        <v>#N/A</v>
      </c>
      <c r="V10" s="297" t="e">
        <f t="shared" ref="V10:V38" si="4">VLOOKUP($B10,$R$3:$X$9,5,FALSE)</f>
        <v>#N/A</v>
      </c>
      <c r="W10" s="297" t="e">
        <f t="shared" ref="W10:W38" si="5">VLOOKUP($B10,$R$3:$X$9,6,FALSE)</f>
        <v>#N/A</v>
      </c>
      <c r="X10" s="297" t="e">
        <f t="shared" ref="X10:X38" si="6">VLOOKUP($B10,$R$3:$X$9,7,FALSE)</f>
        <v>#N/A</v>
      </c>
      <c r="Y10" s="297" t="e">
        <f t="shared" ref="Y10:Y38" si="7">VLOOKUP($B10,$R$3:$Z$9,8,FALSE)</f>
        <v>#N/A</v>
      </c>
      <c r="Z10" s="296" t="e">
        <f t="shared" ref="Z10:Z38" si="8">VLOOKUP($B10,$R$3:$Z$9,9,FALSE)</f>
        <v>#N/A</v>
      </c>
    </row>
    <row r="11" spans="2:29" ht="15.75" hidden="1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97"/>
      <c r="N11" s="370"/>
      <c r="O11" s="371"/>
      <c r="P11" s="420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371"/>
      <c r="P12" s="420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371"/>
      <c r="P13" s="420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371"/>
      <c r="P14" s="420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420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20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customHeight="1">
      <c r="B17" s="29" t="s">
        <v>6</v>
      </c>
      <c r="C17" s="366" t="str">
        <f>[24]Brewhouse!$A516</f>
        <v>CA410</v>
      </c>
      <c r="D17" s="279">
        <f>[24]Brewhouse!$AF516</f>
        <v>53.2</v>
      </c>
      <c r="E17" s="279">
        <f>[24]Brewhouse!$AI516</f>
        <v>50.3</v>
      </c>
      <c r="F17" s="278">
        <f>[24]Brewhouse!$V516</f>
        <v>59</v>
      </c>
      <c r="G17" s="279">
        <f>[24]Brewhouse!$AG516</f>
        <v>12</v>
      </c>
      <c r="H17" s="396">
        <v>11.9</v>
      </c>
      <c r="I17" s="368">
        <f>[24]Brewhouse!$AU516</f>
        <v>98.680823909592263</v>
      </c>
      <c r="J17" s="368">
        <f>[24]Brewhouse!$AV516</f>
        <v>101.61802752268254</v>
      </c>
      <c r="K17" s="281">
        <f>[24]Brewhouse!$Q516</f>
        <v>7.0000000000000036</v>
      </c>
      <c r="L17" s="276">
        <f>[24]Brewhouse!$P516</f>
        <v>61</v>
      </c>
      <c r="M17" s="397">
        <f>[24]Brewhouse!$U516-[24]Brewhouse!$T516</f>
        <v>0.10694444444444445</v>
      </c>
      <c r="N17" s="370">
        <f>[24]Brewhouse!$Z516</f>
        <v>0.24583333333333335</v>
      </c>
      <c r="O17" s="371" t="str">
        <f>[24]Brewhouse!$AX516</f>
        <v>K.Benjamin</v>
      </c>
      <c r="P17" s="420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2:26" ht="15.75" customHeight="1">
      <c r="B18" s="29" t="s">
        <v>6</v>
      </c>
      <c r="C18" s="366" t="str">
        <f>[24]Brewhouse!$A517</f>
        <v>CA411</v>
      </c>
      <c r="D18" s="279">
        <f>[24]Brewhouse!$AF517</f>
        <v>54.3</v>
      </c>
      <c r="E18" s="279">
        <f>[24]Brewhouse!$AI517</f>
        <v>51.5</v>
      </c>
      <c r="F18" s="278">
        <f>[24]Brewhouse!$V517</f>
        <v>59</v>
      </c>
      <c r="G18" s="279">
        <f>[24]Brewhouse!$AG517</f>
        <v>11.6</v>
      </c>
      <c r="H18" s="396">
        <v>11.6</v>
      </c>
      <c r="I18" s="368">
        <f>[24]Brewhouse!$AU517</f>
        <v>97.011248461874814</v>
      </c>
      <c r="J18" s="368">
        <f>[24]Brewhouse!$AV517</f>
        <v>99.899395748378495</v>
      </c>
      <c r="K18" s="281">
        <f>[24]Brewhouse!$Q517</f>
        <v>5.8865248226950362</v>
      </c>
      <c r="L18" s="276">
        <f>[24]Brewhouse!$P517</f>
        <v>60</v>
      </c>
      <c r="M18" s="397">
        <f>[24]Brewhouse!$U517-[24]Brewhouse!$T517</f>
        <v>0.10833333333333334</v>
      </c>
      <c r="N18" s="370">
        <f>[24]Brewhouse!$Z517</f>
        <v>0.25277777777777777</v>
      </c>
      <c r="O18" s="371" t="str">
        <f>[24]Brewhouse!$AX517</f>
        <v>R. Regis</v>
      </c>
      <c r="P18" s="420"/>
      <c r="R18" s="277" t="str">
        <f t="shared" si="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2:26" ht="15.75" customHeight="1">
      <c r="B19" s="29" t="s">
        <v>6</v>
      </c>
      <c r="C19" s="366" t="str">
        <f>[24]Brewhouse!$A518</f>
        <v>CA412</v>
      </c>
      <c r="D19" s="279">
        <f>[24]Brewhouse!$AF518</f>
        <v>54.3</v>
      </c>
      <c r="E19" s="279">
        <f>[24]Brewhouse!$AI518</f>
        <v>51.5</v>
      </c>
      <c r="F19" s="278">
        <f>[24]Brewhouse!$V518</f>
        <v>63</v>
      </c>
      <c r="G19" s="279">
        <f>[24]Brewhouse!$AG518</f>
        <v>11.8</v>
      </c>
      <c r="H19" s="396">
        <v>11.9</v>
      </c>
      <c r="I19" s="368">
        <f>[24]Brewhouse!$AU518</f>
        <v>98.283916514367903</v>
      </c>
      <c r="J19" s="368">
        <f>[24]Brewhouse!$AV518</f>
        <v>101.21059278272264</v>
      </c>
      <c r="K19" s="281">
        <f>[24]Brewhouse!$Q518</f>
        <v>5.2049910873440313</v>
      </c>
      <c r="L19" s="276">
        <f>[24]Brewhouse!$P518</f>
        <v>60</v>
      </c>
      <c r="M19" s="397">
        <f>[24]Brewhouse!$U518-[24]Brewhouse!$T518</f>
        <v>0.1069444444444444</v>
      </c>
      <c r="N19" s="370">
        <f>[24]Brewhouse!$Z518</f>
        <v>0.26111111111111107</v>
      </c>
      <c r="O19" s="371" t="str">
        <f>[24]Brewhouse!$AX518</f>
        <v>R. Regis</v>
      </c>
      <c r="P19" s="420"/>
      <c r="R19" s="277" t="str">
        <f t="shared" si="0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2:26" ht="15.75" customHeight="1">
      <c r="B20" s="29" t="s">
        <v>6</v>
      </c>
      <c r="C20" s="366" t="str">
        <f>[24]Brewhouse!$A519</f>
        <v>CA413</v>
      </c>
      <c r="D20" s="279">
        <f>[24]Brewhouse!$AF519</f>
        <v>55.1</v>
      </c>
      <c r="E20" s="279">
        <f>[24]Brewhouse!$AI519</f>
        <v>52.3</v>
      </c>
      <c r="F20" s="278">
        <f>[24]Brewhouse!$V519</f>
        <v>67</v>
      </c>
      <c r="G20" s="279">
        <f>[24]Brewhouse!$AG519</f>
        <v>11.6</v>
      </c>
      <c r="H20" s="396">
        <v>11.6</v>
      </c>
      <c r="I20" s="368">
        <f>[24]Brewhouse!$AU519</f>
        <v>98.396014539498395</v>
      </c>
      <c r="J20" s="368">
        <f>[24]Brewhouse!$AV519</f>
        <v>101.32554884944038</v>
      </c>
      <c r="K20" s="281">
        <f>[24]Brewhouse!$Q519</f>
        <v>4.8398576512455493</v>
      </c>
      <c r="L20" s="276">
        <f>[24]Brewhouse!$P519</f>
        <v>60</v>
      </c>
      <c r="M20" s="397">
        <f>[24]Brewhouse!$U519-[24]Brewhouse!$T519</f>
        <v>0.11874999999999997</v>
      </c>
      <c r="N20" s="370">
        <f>[24]Brewhouse!$Z519</f>
        <v>0.25208333333333327</v>
      </c>
      <c r="O20" s="371" t="str">
        <f>[24]Brewhouse!$AX519</f>
        <v>R. Regis</v>
      </c>
      <c r="P20" s="420"/>
      <c r="R20" s="277" t="str">
        <f t="shared" si="0"/>
        <v>CARIB</v>
      </c>
      <c r="S20" s="296">
        <f t="shared" si="1"/>
        <v>11.6</v>
      </c>
      <c r="T20" s="296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296">
        <f t="shared" si="8"/>
        <v>60</v>
      </c>
    </row>
    <row r="21" spans="2:26" ht="15.75" customHeight="1">
      <c r="B21" s="29" t="s">
        <v>6</v>
      </c>
      <c r="C21" s="366" t="str">
        <f>[24]Brewhouse!$A520</f>
        <v>CA414</v>
      </c>
      <c r="D21" s="279">
        <f>[24]Brewhouse!$AF520</f>
        <v>54.1</v>
      </c>
      <c r="E21" s="279">
        <f>[24]Brewhouse!$AI520</f>
        <v>51.8</v>
      </c>
      <c r="F21" s="278">
        <f>[24]Brewhouse!$V520</f>
        <v>81</v>
      </c>
      <c r="G21" s="279">
        <f>[24]Brewhouse!$AG520</f>
        <v>11.7</v>
      </c>
      <c r="H21" s="396">
        <v>11.8</v>
      </c>
      <c r="I21" s="368">
        <f>[24]Brewhouse!$AU520</f>
        <v>97.854296701656025</v>
      </c>
      <c r="J21" s="368">
        <f>[24]Brewhouse!$AV520</f>
        <v>100.7683381788445</v>
      </c>
      <c r="K21" s="281">
        <f>[24]Brewhouse!$Q520</f>
        <v>4.6785714285714244</v>
      </c>
      <c r="L21" s="276">
        <f>[24]Brewhouse!$P520</f>
        <v>60</v>
      </c>
      <c r="M21" s="397">
        <f>[24]Brewhouse!$U520-[24]Brewhouse!$T520</f>
        <v>0.12013888888888891</v>
      </c>
      <c r="N21" s="370">
        <f>[24]Brewhouse!$Z520</f>
        <v>0.24861111111111112</v>
      </c>
      <c r="O21" s="371" t="str">
        <f>[24]Brewhouse!$AX520</f>
        <v>R. Regis</v>
      </c>
      <c r="P21" s="420"/>
      <c r="R21" s="277" t="str">
        <f t="shared" si="0"/>
        <v>CARIB</v>
      </c>
      <c r="S21" s="296">
        <f t="shared" si="1"/>
        <v>11.6</v>
      </c>
      <c r="T21" s="296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296">
        <f t="shared" si="8"/>
        <v>60</v>
      </c>
    </row>
    <row r="22" spans="2:26" ht="15.75" customHeight="1">
      <c r="B22" s="29" t="s">
        <v>6</v>
      </c>
      <c r="C22" s="366" t="str">
        <f>[24]Brewhouse!$A521</f>
        <v>CA415</v>
      </c>
      <c r="D22" s="279">
        <f>[24]Brewhouse!$AF521</f>
        <v>53</v>
      </c>
      <c r="E22" s="279">
        <f>[24]Brewhouse!$AI521</f>
        <v>49.7</v>
      </c>
      <c r="F22" s="278">
        <f>[24]Brewhouse!$V521</f>
        <v>78</v>
      </c>
      <c r="G22" s="279">
        <f>[24]Brewhouse!$AG521</f>
        <v>11.9</v>
      </c>
      <c r="H22" s="396">
        <v>11.9</v>
      </c>
      <c r="I22" s="368">
        <f>[24]Brewhouse!$AU521</f>
        <v>95.428407789866725</v>
      </c>
      <c r="J22" s="368">
        <f>[24]Brewhouse!$AV521</f>
        <v>98.153009921578075</v>
      </c>
      <c r="K22" s="281">
        <f>[24]Brewhouse!$Q521</f>
        <v>7.9211469534050085</v>
      </c>
      <c r="L22" s="276">
        <f>[24]Brewhouse!$P521</f>
        <v>58</v>
      </c>
      <c r="M22" s="397">
        <f>[24]Brewhouse!$U521-[24]Brewhouse!$T521</f>
        <v>0.11944444444444446</v>
      </c>
      <c r="N22" s="370">
        <f>[24]Brewhouse!$Z521</f>
        <v>0.25277777777777777</v>
      </c>
      <c r="O22" s="371" t="str">
        <f>[24]Brewhouse!$AX521</f>
        <v>D. Gomez</v>
      </c>
      <c r="P22" s="420"/>
      <c r="R22" s="277" t="str">
        <f t="shared" si="0"/>
        <v>CARIB</v>
      </c>
      <c r="S22" s="296">
        <f t="shared" si="1"/>
        <v>11.6</v>
      </c>
      <c r="T22" s="296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296">
        <f t="shared" si="8"/>
        <v>60</v>
      </c>
    </row>
    <row r="23" spans="2:26" ht="15.75" customHeight="1">
      <c r="B23" s="29" t="s">
        <v>6</v>
      </c>
      <c r="C23" s="366" t="str">
        <f>[24]Brewhouse!$A522</f>
        <v>CA416</v>
      </c>
      <c r="D23" s="279">
        <f>[24]Brewhouse!$AF522</f>
        <v>53.1</v>
      </c>
      <c r="E23" s="279">
        <f>[24]Brewhouse!$AI522</f>
        <v>50.2</v>
      </c>
      <c r="F23" s="278">
        <f>[24]Brewhouse!$V522</f>
        <v>77</v>
      </c>
      <c r="G23" s="279">
        <f>[24]Brewhouse!$AG522</f>
        <v>12</v>
      </c>
      <c r="H23" s="396">
        <v>11.9</v>
      </c>
      <c r="I23" s="368">
        <f>[24]Brewhouse!$AU522</f>
        <v>97.99538000287356</v>
      </c>
      <c r="J23" s="368">
        <f>[24]Brewhouse!$AV522</f>
        <v>100.91282612724154</v>
      </c>
      <c r="K23" s="281">
        <f>[24]Brewhouse!$Q522</f>
        <v>6.9581056466302371</v>
      </c>
      <c r="L23" s="276">
        <f>[24]Brewhouse!$P522</f>
        <v>61</v>
      </c>
      <c r="M23" s="397">
        <f>[24]Brewhouse!$U522-[24]Brewhouse!$T522</f>
        <v>0.11875000000000002</v>
      </c>
      <c r="N23" s="370">
        <f>[24]Brewhouse!$Z522</f>
        <v>0.25069444444444444</v>
      </c>
      <c r="O23" s="371" t="str">
        <f>[24]Brewhouse!$AX522</f>
        <v>D. Gomez</v>
      </c>
      <c r="P23" s="420"/>
      <c r="R23" s="277" t="str">
        <f t="shared" si="0"/>
        <v>CARIB</v>
      </c>
      <c r="S23" s="296">
        <f t="shared" si="1"/>
        <v>11.6</v>
      </c>
      <c r="T23" s="296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296">
        <f t="shared" si="8"/>
        <v>60</v>
      </c>
    </row>
    <row r="24" spans="2:26" ht="15.75" customHeight="1">
      <c r="B24" s="29" t="s">
        <v>6</v>
      </c>
      <c r="C24" s="366" t="str">
        <f>[24]Brewhouse!$A523</f>
        <v>CA417</v>
      </c>
      <c r="D24" s="279">
        <f>[24]Brewhouse!$AF523</f>
        <v>53.2</v>
      </c>
      <c r="E24" s="279">
        <f>[24]Brewhouse!$AI523</f>
        <v>50.3</v>
      </c>
      <c r="F24" s="278">
        <f>[24]Brewhouse!$V523</f>
        <v>53</v>
      </c>
      <c r="G24" s="279">
        <f>[24]Brewhouse!$AG523</f>
        <v>11.7</v>
      </c>
      <c r="H24" s="396">
        <v>11.8</v>
      </c>
      <c r="I24" s="368">
        <f>[24]Brewhouse!$AU523</f>
        <v>95.729634833153412</v>
      </c>
      <c r="J24" s="368">
        <f>[24]Brewhouse!$AV523</f>
        <v>98.579470043394323</v>
      </c>
      <c r="K24" s="281">
        <f>[24]Brewhouse!$Q523</f>
        <v>5.8227848101265804</v>
      </c>
      <c r="L24" s="276">
        <f>[24]Brewhouse!$P523</f>
        <v>58</v>
      </c>
      <c r="M24" s="397">
        <f>[24]Brewhouse!$U523-[24]Brewhouse!$T523</f>
        <v>9.8611111111111094E-2</v>
      </c>
      <c r="N24" s="370">
        <f>[24]Brewhouse!$Z523</f>
        <v>0.2319444444444444</v>
      </c>
      <c r="O24" s="371" t="str">
        <f>[24]Brewhouse!$AX523</f>
        <v>D. Gomez</v>
      </c>
      <c r="P24" s="420"/>
      <c r="R24" s="277" t="str">
        <f t="shared" si="0"/>
        <v>CARIB</v>
      </c>
      <c r="S24" s="296">
        <f t="shared" si="1"/>
        <v>11.6</v>
      </c>
      <c r="T24" s="296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296">
        <f t="shared" si="8"/>
        <v>60</v>
      </c>
    </row>
    <row r="25" spans="2:26" ht="15.75" customHeight="1">
      <c r="B25" s="29" t="s">
        <v>6</v>
      </c>
      <c r="C25" s="366" t="str">
        <f>[24]Brewhouse!$A524</f>
        <v>CA418</v>
      </c>
      <c r="D25" s="279">
        <f>[24]Brewhouse!$AF524</f>
        <v>53.8</v>
      </c>
      <c r="E25" s="279">
        <f>[24]Brewhouse!$AI524</f>
        <v>51.1</v>
      </c>
      <c r="F25" s="278">
        <f>[24]Brewhouse!$V524</f>
        <v>69</v>
      </c>
      <c r="G25" s="279">
        <f>[24]Brewhouse!$AG524</f>
        <v>11.7</v>
      </c>
      <c r="H25" s="396">
        <v>11.7</v>
      </c>
      <c r="I25" s="368">
        <f>[24]Brewhouse!$AU524</f>
        <v>96.651238339921917</v>
      </c>
      <c r="J25" s="368">
        <f>[24]Brewhouse!$AV524</f>
        <v>99.529297086341487</v>
      </c>
      <c r="K25" s="281">
        <f>[24]Brewhouse!$Q524</f>
        <v>4.187725631768954</v>
      </c>
      <c r="L25" s="276">
        <f>[24]Brewhouse!$P524</f>
        <v>63</v>
      </c>
      <c r="M25" s="397">
        <f>[24]Brewhouse!$U524-[24]Brewhouse!$T524</f>
        <v>0.11319444444444438</v>
      </c>
      <c r="N25" s="370">
        <f>[24]Brewhouse!$Z524</f>
        <v>0.23611111111111105</v>
      </c>
      <c r="O25" s="371" t="str">
        <f>[24]Brewhouse!$AX524</f>
        <v>K.Benjamin</v>
      </c>
      <c r="P25" s="420"/>
      <c r="R25" s="277" t="str">
        <f t="shared" si="0"/>
        <v>CARIB</v>
      </c>
      <c r="S25" s="296">
        <f t="shared" si="1"/>
        <v>11.6</v>
      </c>
      <c r="T25" s="296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296">
        <f t="shared" si="8"/>
        <v>60</v>
      </c>
    </row>
    <row r="26" spans="2:26" ht="15.75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20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20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20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20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20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20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20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20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20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7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20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7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20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7" ht="15.75" customHeight="1" thickBot="1">
      <c r="B37" s="358"/>
      <c r="C37" s="358"/>
      <c r="D37" s="358"/>
      <c r="E37" s="358"/>
      <c r="F37" s="294"/>
      <c r="G37" s="294"/>
      <c r="H37" s="348"/>
      <c r="I37" s="497" t="s">
        <v>34</v>
      </c>
      <c r="J37" s="497"/>
      <c r="K37" s="497"/>
      <c r="L37" s="497"/>
      <c r="M37" s="497"/>
      <c r="N37" s="497"/>
      <c r="O37" s="1"/>
      <c r="P37" s="12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7" ht="15" thickBot="1">
      <c r="B38" s="388" t="s">
        <v>180</v>
      </c>
      <c r="C38" s="388"/>
      <c r="D38" s="475" t="s">
        <v>35</v>
      </c>
      <c r="E38" s="476"/>
      <c r="F38" s="294"/>
      <c r="G38" s="294"/>
      <c r="H38" s="348"/>
      <c r="I38" s="24" t="s">
        <v>17</v>
      </c>
      <c r="J38" s="25" t="s">
        <v>36</v>
      </c>
      <c r="K38" s="26" t="s">
        <v>138</v>
      </c>
      <c r="L38" s="25" t="s">
        <v>37</v>
      </c>
      <c r="M38" s="25" t="s">
        <v>38</v>
      </c>
      <c r="N38" s="27" t="s">
        <v>39</v>
      </c>
      <c r="O38" s="294"/>
      <c r="P38" s="12"/>
      <c r="R38" s="277" t="str">
        <f t="shared" si="0"/>
        <v xml:space="preserve">BRAND 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7" ht="15" customHeight="1">
      <c r="A39" s="28"/>
      <c r="B39" s="558"/>
      <c r="C39" s="362"/>
      <c r="D39" s="501"/>
      <c r="E39" s="502"/>
      <c r="F39" s="294"/>
      <c r="G39" s="294"/>
      <c r="H39" s="348"/>
      <c r="I39" s="29" t="s">
        <v>6</v>
      </c>
      <c r="J39" s="280">
        <f>AVERAGE(I17:I25)</f>
        <v>97.336773454756113</v>
      </c>
      <c r="K39" s="284">
        <f>COUNTA([24]Brewhouse!$A$493:$A$524)</f>
        <v>32</v>
      </c>
      <c r="L39" s="302">
        <f>AVERAGE([24]Brewhouse!$AU$493:$AU$524)</f>
        <v>97.854447776659498</v>
      </c>
      <c r="M39" s="302">
        <f>AVERAGE([24]Brewhouse!$AU$102:$AU$171,[24]Brewhouse!$AU$173:$AU$253,[24]Brewhouse!$AU$255:$AU$339,[24]Brewhouse!$AU$341:$AU$346,[24]Brewhouse!$AU$348,[24]Brewhouse!$AU$349:$AU$406,[24]Brewhouse!$AU$408:$AU$491,[24]Brewhouse!$AU$493:$AU$524)</f>
        <v>97.675451867228404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</row>
    <row r="40" spans="1:27" ht="15" customHeight="1">
      <c r="A40" s="28"/>
      <c r="B40" s="512"/>
      <c r="C40" s="349"/>
      <c r="D40" s="503"/>
      <c r="E40" s="504"/>
      <c r="F40" s="294"/>
      <c r="G40" s="294"/>
      <c r="H40" s="348"/>
      <c r="I40" s="33" t="s">
        <v>9</v>
      </c>
      <c r="J40" s="280"/>
      <c r="K40" s="284">
        <f>COUNTA([25]Brewhouse!$A$242:$A$249)</f>
        <v>8</v>
      </c>
      <c r="L40" s="302">
        <f>AVERAGE([25]Brewhouse!$AS$242:$AS$249)</f>
        <v>97.039540936033916</v>
      </c>
      <c r="M40" s="302">
        <f>AVERAGE([25]Brewhouse!$AS$15:$AS$64,[25]Brewhouse!$AS$66:$AS$103,[25]Brewhouse!$AS$105:$AS$140,[25]Brewhouse!$AS$142:$AS$193,[25]Brewhouse!$AS$195:$AS$240,[25]Brewhouse!$AS$242:$AS$249)</f>
        <v>97.846474266506647</v>
      </c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</row>
    <row r="41" spans="1:27" ht="14.7" customHeight="1">
      <c r="A41" s="28"/>
      <c r="B41" s="512"/>
      <c r="C41" s="349"/>
      <c r="D41" s="501"/>
      <c r="E41" s="502"/>
      <c r="F41" s="294"/>
      <c r="G41" s="294"/>
      <c r="H41" s="348"/>
      <c r="I41" s="34" t="s">
        <v>12</v>
      </c>
      <c r="J41" s="280"/>
      <c r="K41" s="284"/>
      <c r="L41" s="302"/>
      <c r="M41" s="302">
        <f>AVERAGE([26]Brewhouse!$AU$4:$AU$7,[26]Brewhouse!$AU$9:$AU$22,[26]Brewhouse!$AU$24:$AU$35,[26]Brewhouse!$AU$37:$AU$45,[26]Brewhouse!$AU$47:$AU$62)</f>
        <v>97.179377138297156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</row>
    <row r="42" spans="1:27" ht="14.7" customHeight="1">
      <c r="A42" s="28"/>
      <c r="B42" s="512"/>
      <c r="C42" s="349"/>
      <c r="D42" s="503"/>
      <c r="E42" s="504"/>
      <c r="F42" s="294"/>
      <c r="G42" s="294"/>
      <c r="H42" s="348"/>
      <c r="I42" s="22" t="s">
        <v>33</v>
      </c>
      <c r="J42" s="280"/>
      <c r="K42" s="284"/>
      <c r="L42" s="302"/>
      <c r="M42" s="302">
        <f>AVERAGE([23]Brewhouse!$AV$5:$AV$14,[23]Brewhouse!$AV$16:$AV$19,[23]Brewhouse!$AV$21:$AV$24,[23]Brewhouse!$AV$26:$AV$33,[23]Brewhouse!$AV$35:$AV$46)</f>
        <v>99.005314486149061</v>
      </c>
      <c r="N42" s="3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</row>
    <row r="43" spans="1:27" ht="14.7" customHeight="1">
      <c r="A43" s="28"/>
      <c r="B43" s="512"/>
      <c r="C43" s="349"/>
      <c r="D43" s="501"/>
      <c r="E43" s="502"/>
      <c r="F43" s="419"/>
      <c r="G43" s="294"/>
      <c r="H43" s="348"/>
      <c r="I43" s="35" t="s">
        <v>29</v>
      </c>
      <c r="J43" s="280"/>
      <c r="K43" s="284"/>
      <c r="L43" s="302"/>
      <c r="M43" s="302"/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</row>
    <row r="44" spans="1:27" ht="14.7" customHeight="1">
      <c r="A44" s="28"/>
      <c r="B44" s="512"/>
      <c r="C44" s="349"/>
      <c r="D44" s="503"/>
      <c r="E44" s="504"/>
      <c r="F44" s="419"/>
      <c r="G44" s="294"/>
      <c r="H44" s="348"/>
      <c r="I44" s="36" t="s">
        <v>15</v>
      </c>
      <c r="J44" s="323"/>
      <c r="K44" s="284">
        <f>COUNTA([27]Brewhouse!$A$18:$A$21)</f>
        <v>4</v>
      </c>
      <c r="L44" s="302">
        <f>AVERAGE([27]Brewhouse!$AT$18:$AT$21)</f>
        <v>95.061602643439088</v>
      </c>
      <c r="M44" s="302">
        <f>AVERAGE([27]Brewhouse!$AT$4:$AT$11,[27]Brewhouse!$AT$13:$AT$16,[27]Brewhouse!$AT$18:$AT$21)</f>
        <v>94.773169817643847</v>
      </c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4.7" customHeight="1">
      <c r="A45" s="28"/>
      <c r="B45" s="512"/>
      <c r="C45" s="349"/>
      <c r="D45" s="501"/>
      <c r="E45" s="502"/>
      <c r="F45" s="419"/>
      <c r="G45" s="294"/>
      <c r="H45" s="348"/>
      <c r="I45" s="37" t="s">
        <v>16</v>
      </c>
      <c r="J45" s="323"/>
      <c r="K45" s="284">
        <f>COUNTA([22]Brewhouse!$A$45:$A$50)</f>
        <v>6</v>
      </c>
      <c r="L45" s="302">
        <f>AVERAGE([22]Brewhouse!$AY$45:$AY$50)</f>
        <v>96.288901438431267</v>
      </c>
      <c r="M45" s="302">
        <f>AVERAGE([22]Brewhouse!$AY$6:$AY$13,[22]Brewhouse!$AY$15:$AY$20,[22]Brewhouse!$AY$22:$AY$29,[22]Brewhouse!$AY$31:$AY$34,[22]Brewhouse!$AY$36:$AY$43,[22]Brewhouse!$AY$45:$AY$50)</f>
        <v>96.612624784592427</v>
      </c>
      <c r="N45" s="30">
        <v>98</v>
      </c>
      <c r="O45" s="11"/>
      <c r="P45" s="31" t="s">
        <v>41</v>
      </c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4.7" customHeight="1">
      <c r="A46" s="28"/>
      <c r="B46" s="512"/>
      <c r="C46" s="349"/>
      <c r="D46" s="503"/>
      <c r="E46" s="504"/>
      <c r="F46" s="294"/>
      <c r="G46" s="294"/>
      <c r="H46" s="348"/>
      <c r="I46" s="411" t="s">
        <v>158</v>
      </c>
      <c r="J46" s="326"/>
      <c r="K46" s="284"/>
      <c r="L46" s="305"/>
      <c r="M46" s="305">
        <f>AVERAGE([28]Brewhouse!$AU$5:$AU$8)</f>
        <v>91.006888337619571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  <c r="AA46" s="296"/>
    </row>
    <row r="47" spans="1:27" ht="14.7" customHeight="1">
      <c r="A47" s="28"/>
      <c r="B47" s="512"/>
      <c r="C47" s="349"/>
      <c r="D47" s="501"/>
      <c r="E47" s="502"/>
      <c r="F47" s="294"/>
      <c r="G47" s="294"/>
      <c r="H47" s="348"/>
      <c r="I47" s="410" t="s">
        <v>157</v>
      </c>
      <c r="J47" s="326"/>
      <c r="K47" s="284"/>
      <c r="L47" s="305"/>
      <c r="M47" s="305"/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  <c r="AA47" s="296"/>
    </row>
    <row r="48" spans="1:27" ht="15" customHeight="1" thickBot="1">
      <c r="A48" s="28"/>
      <c r="B48" s="512"/>
      <c r="C48" s="349"/>
      <c r="D48" s="503"/>
      <c r="E48" s="504"/>
      <c r="F48" s="294"/>
      <c r="G48" s="294"/>
      <c r="H48" s="348"/>
      <c r="I48" s="406" t="s">
        <v>156</v>
      </c>
      <c r="J48" s="327"/>
      <c r="K48" s="407"/>
      <c r="L48" s="408"/>
      <c r="M48" s="408"/>
      <c r="N48" s="409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  <c r="AA48" s="296"/>
    </row>
    <row r="49" spans="1:56" ht="15" customHeight="1" thickBot="1">
      <c r="A49" s="28"/>
      <c r="B49" s="512"/>
      <c r="C49" s="349"/>
      <c r="D49" s="501"/>
      <c r="E49" s="502"/>
      <c r="F49" s="294"/>
      <c r="G49" s="294"/>
      <c r="H49" s="348"/>
      <c r="I49" s="1"/>
      <c r="J49" s="39"/>
      <c r="K49" s="404">
        <f>SUM(K39:K48)</f>
        <v>50</v>
      </c>
      <c r="L49" s="405">
        <f>((L39*K39)+(L40*K40)+(L41*K41)+(L42*K42)+(L43*K43)+(K46*L46)+(L44*K44)+(L45*K45)+(L48*K48))/(K49)</f>
        <v>97.312769510914393</v>
      </c>
      <c r="M49" s="405">
        <f>AVERAGE('[29]Jan 31st'!$L$65,'[30]Feb 28th'!$L$35,'[31]Mar. 31st'!$L$35,'[32]Apr. 30th'!$L$45,'[33]May 30th'!$L$37,L49)</f>
        <v>97.582003824713908</v>
      </c>
      <c r="N49" s="4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  <c r="AA49" s="296"/>
    </row>
    <row r="50" spans="1:56" ht="15" thickBot="1">
      <c r="B50" s="513"/>
      <c r="C50" s="350"/>
      <c r="D50" s="503"/>
      <c r="E50" s="504"/>
      <c r="F50" s="294"/>
      <c r="G50" s="42"/>
      <c r="H50" s="41"/>
      <c r="I50" s="42"/>
      <c r="J50" s="42"/>
      <c r="K50" s="351"/>
      <c r="L50" s="348"/>
      <c r="M50" s="348"/>
      <c r="N50" s="11"/>
      <c r="O50" s="294"/>
      <c r="P50" s="12"/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5" thickBot="1">
      <c r="B51" s="564"/>
      <c r="C51" s="362"/>
      <c r="D51" s="514"/>
      <c r="E51" s="515"/>
      <c r="F51" s="294"/>
      <c r="G51" s="42"/>
      <c r="H51" s="41"/>
      <c r="I51" s="42"/>
      <c r="J51" s="551" t="s">
        <v>129</v>
      </c>
      <c r="K51" s="551"/>
      <c r="L51" s="294"/>
      <c r="M51" s="294"/>
      <c r="N51" s="294"/>
      <c r="O51" s="294"/>
      <c r="P51" s="12"/>
    </row>
    <row r="52" spans="1:56" ht="13.5" customHeight="1" thickBot="1">
      <c r="B52" s="565"/>
      <c r="C52" s="349"/>
      <c r="D52" s="516"/>
      <c r="E52" s="504"/>
      <c r="F52" s="294"/>
      <c r="G52" s="42"/>
      <c r="H52" s="41"/>
      <c r="I52" s="42"/>
      <c r="J52" s="292" t="s">
        <v>17</v>
      </c>
      <c r="K52" s="293" t="s">
        <v>147</v>
      </c>
      <c r="L52" s="518" t="s">
        <v>136</v>
      </c>
      <c r="M52" s="518"/>
      <c r="N52" s="519"/>
      <c r="O52" s="294"/>
      <c r="P52" s="12"/>
    </row>
    <row r="53" spans="1:56" ht="15" customHeight="1" thickBot="1">
      <c r="B53" s="565"/>
      <c r="C53" s="349"/>
      <c r="D53" s="545"/>
      <c r="E53" s="546"/>
      <c r="F53" s="294"/>
      <c r="G53" s="42"/>
      <c r="H53" s="41"/>
      <c r="I53" s="42"/>
      <c r="J53" s="287" t="s">
        <v>6</v>
      </c>
      <c r="K53" s="324">
        <v>9</v>
      </c>
      <c r="L53" s="343" t="s">
        <v>37</v>
      </c>
      <c r="M53" s="307" t="s">
        <v>38</v>
      </c>
      <c r="N53" s="307" t="s">
        <v>84</v>
      </c>
      <c r="O53" s="294"/>
      <c r="P53" s="12"/>
    </row>
    <row r="54" spans="1:56" ht="15.75" customHeight="1" thickBot="1">
      <c r="B54" s="565"/>
      <c r="C54" s="349"/>
      <c r="D54" s="516"/>
      <c r="E54" s="504"/>
      <c r="F54" s="294"/>
      <c r="G54" s="42"/>
      <c r="H54" s="41"/>
      <c r="I54" s="42"/>
      <c r="J54" s="345" t="s">
        <v>9</v>
      </c>
      <c r="K54" s="324"/>
      <c r="L54" s="344">
        <f>AVERAGE('June 2nd'!K57,'June 11th'!K63,'June 3rd'!K63,'June 4th'!K63,'June 5th '!K63,'June 6th'!K63,'June 10th'!K63)</f>
        <v>7.1428571428571432</v>
      </c>
      <c r="M54" s="325">
        <f>AVERAGE('[29]Jan 29th '!$M$70,'[30]Feb 28th'!$L$40,'[31]Mar. 31st'!$L$40,'[32]Apr. 30th'!$L$50,'[33]May 30th'!$L$42,L54)</f>
        <v>6.7249163879598663</v>
      </c>
      <c r="N54" s="418">
        <v>9.1999999999999993</v>
      </c>
      <c r="O54" s="294"/>
      <c r="P54" s="12"/>
    </row>
    <row r="55" spans="1:56" ht="15" customHeight="1">
      <c r="B55" s="565"/>
      <c r="C55" s="349"/>
      <c r="D55" s="545"/>
      <c r="E55" s="546"/>
      <c r="F55" s="294"/>
      <c r="G55" s="42"/>
      <c r="H55" s="41"/>
      <c r="I55" s="42"/>
      <c r="J55" s="288" t="s">
        <v>40</v>
      </c>
      <c r="K55" s="324"/>
      <c r="L55" s="294"/>
      <c r="M55" s="294"/>
      <c r="N55" s="294"/>
      <c r="O55" s="294"/>
      <c r="P55" s="12"/>
    </row>
    <row r="56" spans="1:56" ht="15" customHeight="1">
      <c r="B56" s="565"/>
      <c r="C56" s="349"/>
      <c r="D56" s="516"/>
      <c r="E56" s="504"/>
      <c r="F56" s="294"/>
      <c r="G56" s="42"/>
      <c r="H56" s="41"/>
      <c r="I56" s="42"/>
      <c r="J56" s="289" t="s">
        <v>33</v>
      </c>
      <c r="K56" s="324"/>
      <c r="L56" s="294"/>
      <c r="M56" s="294"/>
      <c r="N56" s="294"/>
      <c r="O56" s="294"/>
      <c r="P56" s="12"/>
    </row>
    <row r="57" spans="1:56" ht="14.4">
      <c r="B57" s="565"/>
      <c r="C57" s="349"/>
      <c r="D57" s="545"/>
      <c r="E57" s="546"/>
      <c r="F57" s="294"/>
      <c r="G57" s="42"/>
      <c r="H57" s="41"/>
      <c r="I57" s="42"/>
      <c r="J57" s="290" t="s">
        <v>16</v>
      </c>
      <c r="K57" s="324"/>
      <c r="L57" s="294"/>
      <c r="M57" s="294"/>
      <c r="N57" s="294"/>
      <c r="O57" s="294"/>
      <c r="P57" s="12"/>
      <c r="BC57" s="44"/>
      <c r="BD57" s="44"/>
    </row>
    <row r="58" spans="1:56" ht="14.4">
      <c r="B58" s="565"/>
      <c r="C58" s="349"/>
      <c r="D58" s="516"/>
      <c r="E58" s="504"/>
      <c r="F58" s="294"/>
      <c r="G58" s="42"/>
      <c r="H58" s="41"/>
      <c r="I58" s="42"/>
      <c r="J58" s="291" t="s">
        <v>15</v>
      </c>
      <c r="K58" s="324"/>
      <c r="L58" s="294"/>
      <c r="M58" s="294"/>
      <c r="N58" s="294"/>
      <c r="O58" s="294"/>
      <c r="P58" s="12"/>
      <c r="BC58" s="44"/>
      <c r="BD58" s="44"/>
    </row>
    <row r="59" spans="1:56" ht="14.4">
      <c r="B59" s="565"/>
      <c r="C59" s="349"/>
      <c r="D59" s="545"/>
      <c r="E59" s="546"/>
      <c r="F59" s="294"/>
      <c r="G59" s="42"/>
      <c r="H59" s="41"/>
      <c r="I59" s="42"/>
      <c r="J59" s="291" t="s">
        <v>149</v>
      </c>
      <c r="K59" s="324"/>
      <c r="L59" s="294"/>
      <c r="M59" s="294"/>
      <c r="N59" s="294"/>
      <c r="O59" s="294"/>
      <c r="P59" s="12"/>
      <c r="BC59" s="44"/>
      <c r="BD59" s="44"/>
    </row>
    <row r="60" spans="1:56" ht="15" thickBot="1">
      <c r="B60" s="566"/>
      <c r="C60" s="350"/>
      <c r="D60" s="547"/>
      <c r="E60" s="548"/>
      <c r="F60" s="294"/>
      <c r="G60" s="42"/>
      <c r="H60" s="41"/>
      <c r="I60" s="42"/>
      <c r="J60" s="291" t="s">
        <v>148</v>
      </c>
      <c r="K60" s="324"/>
      <c r="L60" s="294"/>
      <c r="M60" s="294"/>
      <c r="N60" s="294"/>
      <c r="O60" s="294"/>
      <c r="P60" s="12"/>
      <c r="BC60" s="44"/>
      <c r="BD60" s="44"/>
    </row>
    <row r="61" spans="1:56" ht="17.7" customHeight="1" thickBot="1">
      <c r="B61" s="312" t="s">
        <v>139</v>
      </c>
      <c r="C61" s="313"/>
      <c r="D61" s="562" t="e">
        <f>AVERAGE(D39:E60)</f>
        <v>#DIV/0!</v>
      </c>
      <c r="E61" s="563"/>
      <c r="F61" s="294"/>
      <c r="G61" s="42"/>
      <c r="H61" s="41"/>
      <c r="I61" s="42"/>
      <c r="J61" s="295" t="s">
        <v>134</v>
      </c>
      <c r="K61" s="324"/>
      <c r="L61" s="294"/>
      <c r="M61" s="294"/>
      <c r="N61" s="294"/>
      <c r="O61" s="294"/>
      <c r="P61" s="12"/>
      <c r="BC61" s="44"/>
      <c r="BD61" s="44"/>
    </row>
    <row r="62" spans="1:56" ht="17.7" customHeight="1">
      <c r="B62" s="363"/>
      <c r="C62" s="364"/>
      <c r="D62" s="365"/>
      <c r="E62" s="365"/>
      <c r="F62" s="294"/>
      <c r="G62" s="42"/>
      <c r="H62" s="41"/>
      <c r="I62" s="42"/>
      <c r="J62" s="295" t="s">
        <v>131</v>
      </c>
      <c r="K62" s="324"/>
      <c r="L62" s="294"/>
      <c r="M62" s="294"/>
      <c r="N62" s="294"/>
      <c r="O62" s="294"/>
      <c r="P62" s="12"/>
      <c r="BC62" s="44"/>
      <c r="BD62" s="44"/>
    </row>
    <row r="63" spans="1:56" ht="15.75" customHeight="1">
      <c r="B63" s="45"/>
      <c r="C63" s="11"/>
      <c r="D63" s="11"/>
      <c r="E63" s="46"/>
      <c r="F63" s="294"/>
      <c r="G63" s="42"/>
      <c r="H63" s="41"/>
      <c r="I63" s="42"/>
      <c r="J63" s="346" t="s">
        <v>130</v>
      </c>
      <c r="K63" s="324">
        <f>SUM(K53:K62)</f>
        <v>9</v>
      </c>
      <c r="L63" s="294"/>
      <c r="M63" s="294"/>
      <c r="N63" s="294"/>
      <c r="O63" s="294"/>
      <c r="P63" s="12"/>
    </row>
    <row r="64" spans="1:56" ht="20.25" customHeight="1">
      <c r="B64" s="15" t="s">
        <v>42</v>
      </c>
      <c r="C64" s="1" t="s">
        <v>43</v>
      </c>
      <c r="D64" s="1"/>
      <c r="E64" s="1"/>
      <c r="F64" s="294"/>
      <c r="G64" s="42"/>
      <c r="H64" s="41"/>
      <c r="I64" s="42"/>
      <c r="L64" s="294"/>
      <c r="P64" s="334"/>
    </row>
    <row r="65" spans="2:57" ht="15" customHeight="1" thickBot="1"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8"/>
      <c r="O65" s="48"/>
      <c r="P65" s="49"/>
    </row>
    <row r="66" spans="2:57" ht="15" customHeight="1" thickBot="1">
      <c r="B66" s="526" t="s">
        <v>17</v>
      </c>
      <c r="C66" s="526" t="s">
        <v>44</v>
      </c>
      <c r="D66" s="528" t="s">
        <v>45</v>
      </c>
      <c r="E66" s="483" t="s">
        <v>46</v>
      </c>
      <c r="F66" s="543" t="s">
        <v>47</v>
      </c>
      <c r="G66" s="537" t="s">
        <v>48</v>
      </c>
      <c r="H66" s="526" t="s">
        <v>49</v>
      </c>
      <c r="I66" s="526" t="s">
        <v>50</v>
      </c>
      <c r="J66" s="531" t="s">
        <v>28</v>
      </c>
      <c r="K66" s="481" t="s">
        <v>51</v>
      </c>
      <c r="L66" s="493" t="s">
        <v>52</v>
      </c>
      <c r="M66" s="531" t="s">
        <v>53</v>
      </c>
      <c r="N66" s="13"/>
      <c r="O66" s="13"/>
      <c r="P66" s="50"/>
    </row>
    <row r="67" spans="2:57" ht="28.5" customHeight="1" thickTop="1" thickBot="1">
      <c r="B67" s="527"/>
      <c r="C67" s="527"/>
      <c r="D67" s="529"/>
      <c r="E67" s="530"/>
      <c r="F67" s="544"/>
      <c r="G67" s="538"/>
      <c r="H67" s="527"/>
      <c r="I67" s="527"/>
      <c r="J67" s="532"/>
      <c r="K67" s="541"/>
      <c r="L67" s="542"/>
      <c r="M67" s="532"/>
      <c r="N67" s="13"/>
      <c r="O67" s="13"/>
      <c r="P67" s="50"/>
      <c r="Q67" s="355"/>
      <c r="AB67" s="51">
        <v>43474</v>
      </c>
      <c r="AC67" s="51">
        <v>43475</v>
      </c>
      <c r="AD67" s="51">
        <v>43476</v>
      </c>
      <c r="AE67" s="51">
        <v>43477</v>
      </c>
      <c r="AF67" s="51">
        <v>43478</v>
      </c>
      <c r="AG67" s="51">
        <v>43479</v>
      </c>
      <c r="AH67" s="51">
        <v>43480</v>
      </c>
      <c r="AI67" s="51">
        <v>43481</v>
      </c>
      <c r="AJ67" s="51">
        <v>43482</v>
      </c>
      <c r="AK67" s="51">
        <v>43483</v>
      </c>
      <c r="AL67" s="51">
        <v>43484</v>
      </c>
      <c r="AM67" s="51">
        <v>43485</v>
      </c>
      <c r="AN67" s="51">
        <v>43486</v>
      </c>
      <c r="AO67" s="51">
        <v>43487</v>
      </c>
      <c r="AP67" s="51">
        <v>43488</v>
      </c>
      <c r="AQ67" s="51">
        <v>43489</v>
      </c>
      <c r="AR67" s="51">
        <v>43490</v>
      </c>
      <c r="AS67" s="51">
        <v>43491</v>
      </c>
      <c r="AT67" s="51">
        <v>43492</v>
      </c>
      <c r="AU67" s="51">
        <v>43493</v>
      </c>
      <c r="AV67" s="51">
        <v>43494</v>
      </c>
      <c r="AW67" s="51">
        <v>43495</v>
      </c>
      <c r="AX67" s="51">
        <v>43496</v>
      </c>
    </row>
    <row r="68" spans="2:57" s="54" customFormat="1" ht="51" hidden="1" customHeight="1">
      <c r="B68" s="387" t="str">
        <f>B75</f>
        <v>CARIB</v>
      </c>
      <c r="C68" s="432">
        <v>45818</v>
      </c>
      <c r="D68" s="377"/>
      <c r="E68" s="378"/>
      <c r="F68" s="379"/>
      <c r="G68" s="303"/>
      <c r="H68" s="320"/>
      <c r="I68" s="322"/>
      <c r="J68" s="392" t="s">
        <v>182</v>
      </c>
      <c r="K68" s="286"/>
      <c r="L68" s="314" t="e">
        <f>(((D68+E68)-G68)/(D68+E68))*100</f>
        <v>#DIV/0!</v>
      </c>
      <c r="M68" s="417" t="s">
        <v>178</v>
      </c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6"/>
      <c r="AC68" s="416"/>
      <c r="AD68" s="416"/>
      <c r="AE68" s="416"/>
      <c r="AF68" s="416"/>
      <c r="AG68" s="416"/>
      <c r="AH68" s="416"/>
      <c r="AI68" s="416"/>
      <c r="AJ68" s="416"/>
      <c r="AK68" s="416"/>
      <c r="AL68" s="416"/>
      <c r="AM68" s="416"/>
      <c r="AN68" s="416"/>
      <c r="AO68" s="416"/>
      <c r="AP68" s="416"/>
      <c r="AQ68" s="416"/>
      <c r="AR68" s="416"/>
      <c r="AS68" s="416"/>
      <c r="AT68" s="416"/>
      <c r="AU68" s="416"/>
      <c r="AV68" s="416"/>
      <c r="AW68" s="416"/>
    </row>
    <row r="69" spans="2:57" s="54" customFormat="1" ht="23.25" hidden="1" customHeight="1">
      <c r="B69" s="33"/>
      <c r="C69" s="283"/>
      <c r="D69" s="377"/>
      <c r="E69" s="378"/>
      <c r="F69" s="379"/>
      <c r="G69" s="303"/>
      <c r="H69" s="320"/>
      <c r="I69" s="322"/>
      <c r="J69" s="281"/>
      <c r="K69" s="286"/>
      <c r="L69" s="314"/>
      <c r="M69" s="417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416"/>
      <c r="AC69" s="416"/>
      <c r="AD69" s="416"/>
      <c r="AE69" s="416"/>
      <c r="AF69" s="416"/>
      <c r="AG69" s="416"/>
      <c r="AH69" s="416"/>
      <c r="AI69" s="416"/>
      <c r="AJ69" s="416"/>
      <c r="AK69" s="416"/>
      <c r="AL69" s="416"/>
      <c r="AM69" s="416"/>
      <c r="AN69" s="416"/>
      <c r="AO69" s="416"/>
      <c r="AP69" s="416"/>
      <c r="AQ69" s="416"/>
      <c r="AR69" s="416"/>
      <c r="AS69" s="416"/>
      <c r="AT69" s="416"/>
      <c r="AU69" s="416"/>
      <c r="AV69" s="416"/>
      <c r="AW69" s="416"/>
    </row>
    <row r="70" spans="2:57" s="54" customFormat="1" ht="53.25" hidden="1" customHeight="1">
      <c r="B70" s="414" t="str">
        <f>B75</f>
        <v>CARIB</v>
      </c>
      <c r="C70" s="432">
        <v>45818</v>
      </c>
      <c r="D70" s="377"/>
      <c r="E70" s="378"/>
      <c r="F70" s="379"/>
      <c r="G70" s="303"/>
      <c r="H70" s="320"/>
      <c r="I70" s="322"/>
      <c r="J70" s="392" t="s">
        <v>181</v>
      </c>
      <c r="K70" s="286"/>
      <c r="L70" s="314" t="e">
        <f>(((D70+E70)-G70)/(D70+E70))*100</f>
        <v>#DIV/0!</v>
      </c>
      <c r="M70" s="417" t="s">
        <v>169</v>
      </c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>
        <f>[20]January_2019!L7</f>
        <v>0</v>
      </c>
      <c r="AC70" s="57">
        <f>[20]January_2019!M7</f>
        <v>0</v>
      </c>
      <c r="AD70" s="57">
        <f>[20]January_2019!N7</f>
        <v>0</v>
      </c>
      <c r="AE70" s="57">
        <f>[20]January_2019!O7</f>
        <v>0</v>
      </c>
      <c r="AF70" s="57">
        <f>[20]January_2019!P7</f>
        <v>0</v>
      </c>
      <c r="AG70" s="57">
        <f>[20]January_2019!Q7</f>
        <v>0</v>
      </c>
      <c r="AH70" s="57">
        <f>[20]January_2019!R7</f>
        <v>0</v>
      </c>
      <c r="AI70" s="57">
        <f>[20]January_2019!S7</f>
        <v>0</v>
      </c>
      <c r="AJ70" s="57">
        <f>[20]January_2019!T7</f>
        <v>0</v>
      </c>
      <c r="AK70" s="57">
        <f>[20]January_2019!U7</f>
        <v>0</v>
      </c>
      <c r="AL70" s="57">
        <f>[20]January_2019!V7</f>
        <v>0</v>
      </c>
      <c r="AM70" s="57">
        <f>[20]January_2019!W7</f>
        <v>0</v>
      </c>
      <c r="AN70" s="57">
        <f>[20]January_2019!X7</f>
        <v>0</v>
      </c>
      <c r="AO70" s="57">
        <f>[20]January_2019!Y7</f>
        <v>0</v>
      </c>
      <c r="AP70" s="57">
        <f>[20]January_2019!Z7</f>
        <v>0</v>
      </c>
      <c r="AQ70" s="57">
        <f>[20]January_2019!AA7</f>
        <v>0</v>
      </c>
      <c r="AR70" s="57">
        <f>[20]January_2019!AB7</f>
        <v>0</v>
      </c>
      <c r="AS70" s="57">
        <f>[20]January_2019!AC7</f>
        <v>0</v>
      </c>
      <c r="AT70" s="57">
        <f>[20]January_2019!AD7</f>
        <v>0</v>
      </c>
      <c r="AU70" s="57">
        <f>[20]January_2019!AE7</f>
        <v>0</v>
      </c>
      <c r="AV70" s="57">
        <f>[20]January_2019!AF7</f>
        <v>0</v>
      </c>
      <c r="AW70" s="57">
        <f>[20]January_2019!AG7</f>
        <v>0</v>
      </c>
      <c r="AX70" s="277">
        <f>[20]January_2019!AH7</f>
        <v>0</v>
      </c>
      <c r="AY70" s="277"/>
      <c r="AZ70" s="277"/>
      <c r="BA70" s="277"/>
      <c r="BB70" s="277"/>
      <c r="BC70" s="277"/>
      <c r="BD70" s="277"/>
      <c r="BE70" s="277"/>
    </row>
    <row r="71" spans="2:57" s="54" customFormat="1" ht="16.5" customHeight="1">
      <c r="B71" s="423"/>
      <c r="C71" s="283"/>
      <c r="D71" s="377"/>
      <c r="E71" s="378"/>
      <c r="F71" s="379"/>
      <c r="G71" s="303"/>
      <c r="H71" s="320"/>
      <c r="I71" s="322"/>
      <c r="J71" s="281"/>
      <c r="K71" s="286"/>
      <c r="L71" s="314"/>
      <c r="M71" s="417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416"/>
      <c r="AC71" s="416"/>
      <c r="AD71" s="416"/>
      <c r="AE71" s="416"/>
      <c r="AF71" s="416"/>
      <c r="AG71" s="416"/>
      <c r="AH71" s="416"/>
      <c r="AI71" s="416"/>
      <c r="AJ71" s="416"/>
      <c r="AK71" s="416"/>
      <c r="AL71" s="416"/>
      <c r="AM71" s="416"/>
      <c r="AN71" s="416"/>
      <c r="AO71" s="416"/>
      <c r="AP71" s="416"/>
      <c r="AQ71" s="416"/>
      <c r="AR71" s="416"/>
      <c r="AS71" s="416"/>
      <c r="AT71" s="416"/>
      <c r="AU71" s="416"/>
      <c r="AV71" s="416"/>
      <c r="AW71" s="416"/>
    </row>
    <row r="72" spans="2:57" ht="18" customHeight="1" thickBot="1">
      <c r="B72" s="59"/>
      <c r="C72" s="30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 t="s">
        <v>41</v>
      </c>
      <c r="O72" s="56"/>
      <c r="P72" s="60"/>
    </row>
    <row r="73" spans="2:57" ht="14.4" thickBot="1">
      <c r="B73" s="533" t="s">
        <v>55</v>
      </c>
      <c r="C73" s="534"/>
      <c r="D73" s="534"/>
      <c r="E73" s="534"/>
      <c r="F73" s="535"/>
      <c r="G73" s="533" t="s">
        <v>56</v>
      </c>
      <c r="H73" s="534"/>
      <c r="I73" s="534"/>
      <c r="J73" s="535"/>
      <c r="K73" s="533" t="s">
        <v>51</v>
      </c>
      <c r="L73" s="534"/>
      <c r="M73" s="534"/>
      <c r="N73" s="536"/>
      <c r="O73" s="56"/>
      <c r="P73" s="50"/>
    </row>
    <row r="74" spans="2:57">
      <c r="B74" s="61" t="s">
        <v>17</v>
      </c>
      <c r="C74" s="62" t="s">
        <v>36</v>
      </c>
      <c r="D74" s="62" t="s">
        <v>37</v>
      </c>
      <c r="E74" s="62" t="s">
        <v>38</v>
      </c>
      <c r="F74" s="63" t="s">
        <v>39</v>
      </c>
      <c r="G74" s="62" t="s">
        <v>36</v>
      </c>
      <c r="H74" s="62" t="s">
        <v>37</v>
      </c>
      <c r="I74" s="62" t="s">
        <v>38</v>
      </c>
      <c r="J74" s="63" t="s">
        <v>39</v>
      </c>
      <c r="K74" s="62" t="s">
        <v>36</v>
      </c>
      <c r="L74" s="62" t="s">
        <v>37</v>
      </c>
      <c r="M74" s="62" t="s">
        <v>38</v>
      </c>
      <c r="N74" s="63" t="s">
        <v>39</v>
      </c>
      <c r="O74" s="56"/>
      <c r="P74" s="64"/>
    </row>
    <row r="75" spans="2:57">
      <c r="B75" s="29" t="s">
        <v>6</v>
      </c>
      <c r="C75" s="65"/>
      <c r="D75" s="76">
        <v>7.5477394520341328</v>
      </c>
      <c r="E75" s="76">
        <v>6.7279750007149213</v>
      </c>
      <c r="F75" s="66">
        <v>4.8</v>
      </c>
      <c r="G75" s="65"/>
      <c r="H75" s="76">
        <v>6.4245885030114174</v>
      </c>
      <c r="I75" s="76">
        <v>6.7990284004289432</v>
      </c>
      <c r="J75" s="66">
        <v>4.8</v>
      </c>
      <c r="K75" s="67"/>
      <c r="L75" s="194">
        <v>0.5167982456140352</v>
      </c>
      <c r="M75" s="194">
        <v>0.7425484383579195</v>
      </c>
      <c r="N75" s="68">
        <v>1</v>
      </c>
      <c r="O75" s="56"/>
      <c r="P75" s="69"/>
    </row>
    <row r="76" spans="2:57">
      <c r="B76" s="33" t="s">
        <v>9</v>
      </c>
      <c r="C76" s="65"/>
      <c r="D76" s="76">
        <v>4.8418127404873719</v>
      </c>
      <c r="E76" s="76">
        <v>6.2116707410659178</v>
      </c>
      <c r="F76" s="66">
        <v>4.8</v>
      </c>
      <c r="G76" s="65"/>
      <c r="H76" s="76">
        <v>4.4483307922375284</v>
      </c>
      <c r="I76" s="76">
        <v>6.0535596383377923</v>
      </c>
      <c r="J76" s="66">
        <v>4.8</v>
      </c>
      <c r="K76" s="67"/>
      <c r="L76" s="194">
        <v>0.52064327485380113</v>
      </c>
      <c r="M76" s="194">
        <v>0.73710738872423709</v>
      </c>
      <c r="N76" s="68">
        <v>1</v>
      </c>
      <c r="P76" s="69"/>
    </row>
    <row r="77" spans="2:57">
      <c r="B77" s="34" t="s">
        <v>40</v>
      </c>
      <c r="C77" s="65"/>
      <c r="D77" s="76"/>
      <c r="E77" s="76">
        <v>11.904402895054256</v>
      </c>
      <c r="F77" s="66">
        <v>5.5</v>
      </c>
      <c r="G77" s="65"/>
      <c r="H77" s="76"/>
      <c r="I77" s="76">
        <v>13.27623252148428</v>
      </c>
      <c r="J77" s="66">
        <v>5.5</v>
      </c>
      <c r="K77" s="67"/>
      <c r="L77" s="194"/>
      <c r="M77" s="194">
        <v>0.54554653679653675</v>
      </c>
      <c r="N77" s="68">
        <v>1</v>
      </c>
      <c r="P77" s="69"/>
    </row>
    <row r="78" spans="2:57">
      <c r="B78" s="22" t="s">
        <v>33</v>
      </c>
      <c r="C78" s="65"/>
      <c r="D78" s="76">
        <v>3.7185929648241238</v>
      </c>
      <c r="E78" s="76">
        <v>4.2675953841355607</v>
      </c>
      <c r="F78" s="66">
        <v>3.3</v>
      </c>
      <c r="G78" s="65"/>
      <c r="H78" s="76">
        <v>3.5401443549560527</v>
      </c>
      <c r="I78" s="76">
        <v>4.1118286580052033</v>
      </c>
      <c r="J78" s="66">
        <v>3.3</v>
      </c>
      <c r="K78" s="67"/>
      <c r="L78" s="194">
        <v>0.33614035087719296</v>
      </c>
      <c r="M78" s="194">
        <v>0.78836257309941515</v>
      </c>
      <c r="N78" s="68">
        <v>1</v>
      </c>
      <c r="P78" s="69"/>
    </row>
    <row r="79" spans="2:57">
      <c r="B79" s="35" t="s">
        <v>29</v>
      </c>
      <c r="C79" s="65"/>
      <c r="D79" s="76"/>
      <c r="E79" s="76"/>
      <c r="F79" s="66">
        <v>3.3</v>
      </c>
      <c r="G79" s="282"/>
      <c r="H79" s="76"/>
      <c r="I79" s="76"/>
      <c r="J79" s="66">
        <v>3</v>
      </c>
      <c r="L79" s="194"/>
      <c r="M79" s="194"/>
      <c r="N79" s="68">
        <v>1</v>
      </c>
      <c r="P79" s="69"/>
    </row>
    <row r="80" spans="2:57">
      <c r="B80" s="36" t="s">
        <v>15</v>
      </c>
      <c r="C80" s="282"/>
      <c r="D80" s="76"/>
      <c r="E80" s="76">
        <v>7.8262258425171876</v>
      </c>
      <c r="F80" s="70">
        <f>[21]May_2022!$M$43</f>
        <v>3.4878406700073312</v>
      </c>
      <c r="G80" s="282"/>
      <c r="H80" s="76"/>
      <c r="I80" s="76">
        <v>9.4300678869947632</v>
      </c>
      <c r="J80" s="66">
        <v>5.5</v>
      </c>
      <c r="K80" s="67"/>
      <c r="L80" s="194"/>
      <c r="M80" s="194">
        <v>0.674970760233918</v>
      </c>
      <c r="N80" s="68">
        <v>1</v>
      </c>
      <c r="P80" s="69"/>
    </row>
    <row r="81" spans="2:16">
      <c r="B81" s="37" t="s">
        <v>16</v>
      </c>
      <c r="C81" s="65"/>
      <c r="D81" s="76">
        <v>4.4761595848199667</v>
      </c>
      <c r="E81" s="76">
        <v>2.8990450204638254</v>
      </c>
      <c r="F81" s="66">
        <v>3.3</v>
      </c>
      <c r="G81" s="282"/>
      <c r="H81" s="76">
        <v>4.5799898461408048</v>
      </c>
      <c r="I81" s="76">
        <v>4.4797971833783148</v>
      </c>
      <c r="J81" s="66">
        <v>3.3</v>
      </c>
      <c r="K81" s="67"/>
      <c r="L81" s="194">
        <v>0.34444444444444444</v>
      </c>
      <c r="M81" s="194">
        <v>0.75981884057971016</v>
      </c>
      <c r="N81" s="71">
        <v>1</v>
      </c>
      <c r="P81" s="69"/>
    </row>
    <row r="82" spans="2:16" ht="14.4" thickBot="1">
      <c r="B82" s="38" t="s">
        <v>127</v>
      </c>
      <c r="C82" s="65"/>
      <c r="D82" s="76"/>
      <c r="E82" s="76"/>
      <c r="F82" s="66">
        <v>7.5</v>
      </c>
      <c r="G82" s="282"/>
      <c r="H82" s="76"/>
      <c r="I82" s="76"/>
      <c r="J82" s="66">
        <v>7.5</v>
      </c>
      <c r="K82" s="67"/>
      <c r="L82" s="194"/>
      <c r="M82" s="194"/>
      <c r="N82" s="71">
        <v>1</v>
      </c>
      <c r="P82" s="69"/>
    </row>
    <row r="83" spans="2:16" ht="14.4" thickBot="1">
      <c r="B83" s="415" t="s">
        <v>161</v>
      </c>
      <c r="C83" s="65"/>
      <c r="D83" s="76"/>
      <c r="E83" s="76">
        <v>4.8792508624938291</v>
      </c>
      <c r="F83" s="66">
        <v>4.8</v>
      </c>
      <c r="G83" s="282"/>
      <c r="H83" s="76"/>
      <c r="I83" s="76">
        <v>6.2003723782925313</v>
      </c>
      <c r="J83" s="66">
        <v>4.8</v>
      </c>
      <c r="K83" s="67"/>
      <c r="L83" s="194"/>
      <c r="M83" s="194">
        <v>0.33859649122807017</v>
      </c>
      <c r="N83" s="71">
        <v>1</v>
      </c>
      <c r="O83" s="74"/>
      <c r="P83" s="75"/>
    </row>
    <row r="84" spans="2:16">
      <c r="D84" s="76">
        <v>6.1012629764269448</v>
      </c>
      <c r="E84" s="76">
        <v>6.6223477715983803</v>
      </c>
      <c r="F84" s="341">
        <v>5.5</v>
      </c>
      <c r="H84" s="76">
        <v>5.3400148410607402</v>
      </c>
      <c r="I84" s="76">
        <v>6.9386212142640735</v>
      </c>
      <c r="J84" s="341">
        <v>5.5</v>
      </c>
      <c r="K84" s="67"/>
      <c r="L84" s="194">
        <v>0.47363304093567254</v>
      </c>
      <c r="M84" s="194">
        <v>0.70909412081984902</v>
      </c>
      <c r="N84" s="386">
        <v>1</v>
      </c>
    </row>
    <row r="88" spans="2:16">
      <c r="F88" s="315"/>
    </row>
  </sheetData>
  <mergeCells count="51">
    <mergeCell ref="M66:M67"/>
    <mergeCell ref="B73:F73"/>
    <mergeCell ref="G73:J73"/>
    <mergeCell ref="K73:N73"/>
    <mergeCell ref="G66:G67"/>
    <mergeCell ref="H66:H67"/>
    <mergeCell ref="I66:I67"/>
    <mergeCell ref="J66:J67"/>
    <mergeCell ref="K66:K67"/>
    <mergeCell ref="L66:L67"/>
    <mergeCell ref="F66:F67"/>
    <mergeCell ref="D61:E61"/>
    <mergeCell ref="B66:B67"/>
    <mergeCell ref="C66:C67"/>
    <mergeCell ref="D66:D67"/>
    <mergeCell ref="E66:E67"/>
    <mergeCell ref="B51:B60"/>
    <mergeCell ref="D51:E52"/>
    <mergeCell ref="J51:K51"/>
    <mergeCell ref="L52:N52"/>
    <mergeCell ref="D53:E54"/>
    <mergeCell ref="D55:E56"/>
    <mergeCell ref="D57:E58"/>
    <mergeCell ref="D59:E60"/>
    <mergeCell ref="I37:N37"/>
    <mergeCell ref="D38:E38"/>
    <mergeCell ref="B39:B50"/>
    <mergeCell ref="D39:E40"/>
    <mergeCell ref="D41:E42"/>
    <mergeCell ref="D43:E44"/>
    <mergeCell ref="D45:E46"/>
    <mergeCell ref="D47:E48"/>
    <mergeCell ref="D49:E50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61:B62">
    <cfRule type="cellIs" dxfId="1713" priority="85" operator="notBetween">
      <formula>#REF!</formula>
      <formula>#REF!</formula>
    </cfRule>
  </conditionalFormatting>
  <conditionalFormatting sqref="C65">
    <cfRule type="cellIs" dxfId="1712" priority="117" stopIfTrue="1" operator="greaterThan">
      <formula>100</formula>
    </cfRule>
    <cfRule type="cellIs" dxfId="1711" priority="116" stopIfTrue="1" operator="lessThan">
      <formula>96</formula>
    </cfRule>
  </conditionalFormatting>
  <conditionalFormatting sqref="C75:C76">
    <cfRule type="cellIs" dxfId="1710" priority="63" stopIfTrue="1" operator="lessThanOrEqual">
      <formula>0</formula>
    </cfRule>
  </conditionalFormatting>
  <conditionalFormatting sqref="C75:C79">
    <cfRule type="cellIs" dxfId="1709" priority="62" stopIfTrue="1" operator="greaterThan">
      <formula>$F75</formula>
    </cfRule>
  </conditionalFormatting>
  <conditionalFormatting sqref="C76">
    <cfRule type="cellIs" dxfId="1708" priority="120" stopIfTrue="1" operator="greaterThan">
      <formula>$F75</formula>
    </cfRule>
  </conditionalFormatting>
  <conditionalFormatting sqref="C77:C80">
    <cfRule type="cellIs" dxfId="1707" priority="69" stopIfTrue="1" operator="lessThanOrEqual">
      <formula>0</formula>
    </cfRule>
  </conditionalFormatting>
  <conditionalFormatting sqref="C80">
    <cfRule type="cellIs" dxfId="1706" priority="68" stopIfTrue="1" operator="greaterThan">
      <formula>$J80</formula>
    </cfRule>
  </conditionalFormatting>
  <conditionalFormatting sqref="C86:C90">
    <cfRule type="cellIs" dxfId="1705" priority="108" stopIfTrue="1" operator="lessThanOrEqual">
      <formula>0</formula>
    </cfRule>
  </conditionalFormatting>
  <conditionalFormatting sqref="C87:C90">
    <cfRule type="cellIs" dxfId="1704" priority="107" stopIfTrue="1" operator="greaterThan">
      <formula>$F$86</formula>
    </cfRule>
  </conditionalFormatting>
  <conditionalFormatting sqref="C92">
    <cfRule type="cellIs" dxfId="1703" priority="110" stopIfTrue="1" operator="lessThanOrEqual">
      <formula>0</formula>
    </cfRule>
    <cfRule type="cellIs" dxfId="1702" priority="109" stopIfTrue="1" operator="greaterThan">
      <formula>$F$86</formula>
    </cfRule>
  </conditionalFormatting>
  <conditionalFormatting sqref="C86:D86 D88:D94">
    <cfRule type="cellIs" dxfId="1701" priority="102" stopIfTrue="1" operator="greaterThan">
      <formula>4.5</formula>
    </cfRule>
  </conditionalFormatting>
  <conditionalFormatting sqref="D61:D62">
    <cfRule type="cellIs" dxfId="1700" priority="86" operator="notBetween">
      <formula>#REF!</formula>
      <formula>#REF!</formula>
    </cfRule>
  </conditionalFormatting>
  <conditionalFormatting sqref="D75:D82">
    <cfRule type="cellIs" dxfId="1699" priority="79" stopIfTrue="1" operator="lessThanOrEqual">
      <formula>0</formula>
    </cfRule>
  </conditionalFormatting>
  <conditionalFormatting sqref="D83">
    <cfRule type="cellIs" dxfId="1698" priority="78" stopIfTrue="1" operator="lessThanOrEqual">
      <formula>0</formula>
    </cfRule>
  </conditionalFormatting>
  <conditionalFormatting sqref="D86 D88:D94">
    <cfRule type="cellIs" dxfId="1697" priority="103" stopIfTrue="1" operator="lessThanOrEqual">
      <formula>0</formula>
    </cfRule>
  </conditionalFormatting>
  <conditionalFormatting sqref="D87">
    <cfRule type="cellIs" dxfId="1696" priority="94" stopIfTrue="1" operator="greaterThan">
      <formula>$F$86</formula>
    </cfRule>
    <cfRule type="cellIs" dxfId="1695" priority="95" stopIfTrue="1" operator="lessThanOrEqual">
      <formula>0</formula>
    </cfRule>
  </conditionalFormatting>
  <conditionalFormatting sqref="D75:E84">
    <cfRule type="cellIs" dxfId="1694" priority="59" stopIfTrue="1" operator="greaterThan">
      <formula>$F75</formula>
    </cfRule>
  </conditionalFormatting>
  <conditionalFormatting sqref="D84:E84">
    <cfRule type="cellIs" dxfId="1693" priority="60" stopIfTrue="1" operator="lessThanOrEqual">
      <formula>0</formula>
    </cfRule>
  </conditionalFormatting>
  <conditionalFormatting sqref="E10:E36">
    <cfRule type="cellIs" dxfId="1692" priority="2" operator="lessThan">
      <formula>48</formula>
    </cfRule>
  </conditionalFormatting>
  <conditionalFormatting sqref="E64 E65:F65">
    <cfRule type="cellIs" dxfId="1691" priority="99" stopIfTrue="1" operator="greaterThan">
      <formula>100</formula>
    </cfRule>
  </conditionalFormatting>
  <conditionalFormatting sqref="E65">
    <cfRule type="cellIs" dxfId="1690" priority="96" stopIfTrue="1" operator="lessThan">
      <formula>96.8</formula>
    </cfRule>
    <cfRule type="cellIs" dxfId="1689" priority="97" stopIfTrue="1" operator="greaterThan">
      <formula>100</formula>
    </cfRule>
  </conditionalFormatting>
  <conditionalFormatting sqref="E75:E83">
    <cfRule type="cellIs" dxfId="1688" priority="73" stopIfTrue="1" operator="lessThanOrEqual">
      <formula>0</formula>
    </cfRule>
  </conditionalFormatting>
  <conditionalFormatting sqref="E86:E94">
    <cfRule type="cellIs" dxfId="1687" priority="88" stopIfTrue="1" operator="greaterThan">
      <formula>4.5</formula>
    </cfRule>
    <cfRule type="cellIs" dxfId="1686" priority="89" stopIfTrue="1" operator="lessThanOrEqual">
      <formula>0</formula>
    </cfRule>
  </conditionalFormatting>
  <conditionalFormatting sqref="E65:F65 E64">
    <cfRule type="cellIs" dxfId="1685" priority="98" stopIfTrue="1" operator="lessThan">
      <formula>96.5</formula>
    </cfRule>
  </conditionalFormatting>
  <conditionalFormatting sqref="F10:F36">
    <cfRule type="cellIs" dxfId="1684" priority="3" operator="greaterThan">
      <formula>60</formula>
    </cfRule>
  </conditionalFormatting>
  <conditionalFormatting sqref="F65">
    <cfRule type="cellIs" dxfId="1683" priority="114" stopIfTrue="1" operator="lessThan">
      <formula>96.8</formula>
    </cfRule>
    <cfRule type="cellIs" dxfId="1682" priority="115" stopIfTrue="1" operator="greaterThan">
      <formula>100</formula>
    </cfRule>
  </conditionalFormatting>
  <conditionalFormatting sqref="F84">
    <cfRule type="cellIs" dxfId="1681" priority="75" stopIfTrue="1" operator="lessThanOrEqual">
      <formula>0</formula>
    </cfRule>
    <cfRule type="cellIs" dxfId="1680" priority="74" stopIfTrue="1" operator="greaterThan">
      <formula>$F84</formula>
    </cfRule>
  </conditionalFormatting>
  <conditionalFormatting sqref="G75:G76 C81:C83">
    <cfRule type="cellIs" dxfId="1679" priority="81" stopIfTrue="1" operator="lessThanOrEqual">
      <formula>0</formula>
    </cfRule>
    <cfRule type="cellIs" dxfId="1678" priority="80" stopIfTrue="1" operator="greaterThan">
      <formula>$F75</formula>
    </cfRule>
  </conditionalFormatting>
  <conditionalFormatting sqref="G75:G76">
    <cfRule type="cellIs" dxfId="1677" priority="64" stopIfTrue="1" operator="greaterThan">
      <formula>$F75</formula>
    </cfRule>
    <cfRule type="cellIs" dxfId="1676" priority="65" stopIfTrue="1" operator="lessThanOrEqual">
      <formula>0</formula>
    </cfRule>
  </conditionalFormatting>
  <conditionalFormatting sqref="G77">
    <cfRule type="cellIs" dxfId="1675" priority="118" stopIfTrue="1" operator="greaterThan">
      <formula>$F76</formula>
    </cfRule>
    <cfRule type="cellIs" dxfId="1674" priority="119" stopIfTrue="1" operator="lessThanOrEqual">
      <formula>0</formula>
    </cfRule>
  </conditionalFormatting>
  <conditionalFormatting sqref="G78">
    <cfRule type="cellIs" dxfId="1673" priority="77" stopIfTrue="1" operator="lessThanOrEqual">
      <formula>0</formula>
    </cfRule>
    <cfRule type="cellIs" dxfId="1672" priority="76" stopIfTrue="1" operator="greaterThan">
      <formula>$F78</formula>
    </cfRule>
  </conditionalFormatting>
  <conditionalFormatting sqref="G79:G83">
    <cfRule type="cellIs" dxfId="1671" priority="83" stopIfTrue="1" operator="lessThanOrEqual">
      <formula>0</formula>
    </cfRule>
    <cfRule type="cellIs" dxfId="1670" priority="82" stopIfTrue="1" operator="greaterThan">
      <formula>$J79</formula>
    </cfRule>
  </conditionalFormatting>
  <conditionalFormatting sqref="G88:G93 C91 C93">
    <cfRule type="cellIs" dxfId="1669" priority="111" stopIfTrue="1" operator="greaterThan">
      <formula>4.5</formula>
    </cfRule>
    <cfRule type="cellIs" dxfId="1668" priority="112" stopIfTrue="1" operator="lessThanOrEqual">
      <formula>0</formula>
    </cfRule>
  </conditionalFormatting>
  <conditionalFormatting sqref="G10:H36">
    <cfRule type="expression" dxfId="1667" priority="4">
      <formula>IF(+(IF(G10&lt;#REF!,0,IF(G10&gt;#REF!,0,1)))=0,1)</formula>
    </cfRule>
  </conditionalFormatting>
  <conditionalFormatting sqref="G87:H87">
    <cfRule type="cellIs" dxfId="1666" priority="93" stopIfTrue="1" operator="lessThanOrEqual">
      <formula>0</formula>
    </cfRule>
    <cfRule type="cellIs" dxfId="1665" priority="92" stopIfTrue="1" operator="greaterThan">
      <formula>$F$86</formula>
    </cfRule>
  </conditionalFormatting>
  <conditionalFormatting sqref="H50:H64">
    <cfRule type="cellIs" dxfId="1664" priority="90" stopIfTrue="1" operator="greaterThan">
      <formula>0</formula>
    </cfRule>
  </conditionalFormatting>
  <conditionalFormatting sqref="H68">
    <cfRule type="cellIs" dxfId="1663" priority="26" stopIfTrue="1" operator="greaterThan">
      <formula>$F$41</formula>
    </cfRule>
    <cfRule type="cellIs" dxfId="1662" priority="17" stopIfTrue="1" operator="lessThanOrEqual">
      <formula>0</formula>
    </cfRule>
    <cfRule type="cellIs" dxfId="1661" priority="18" stopIfTrue="1" operator="greaterThan">
      <formula>$F$38</formula>
    </cfRule>
    <cfRule type="cellIs" dxfId="1660" priority="27" stopIfTrue="1" operator="lessThanOrEqual">
      <formula>0</formula>
    </cfRule>
    <cfRule type="cellIs" dxfId="1659" priority="28" stopIfTrue="1" operator="greaterThan">
      <formula>$F$39</formula>
    </cfRule>
    <cfRule type="cellIs" dxfId="1658" priority="29" stopIfTrue="1" operator="lessThanOrEqual">
      <formula>0</formula>
    </cfRule>
  </conditionalFormatting>
  <conditionalFormatting sqref="H69:H71">
    <cfRule type="cellIs" dxfId="1657" priority="33" stopIfTrue="1" operator="lessThanOrEqual">
      <formula>0</formula>
    </cfRule>
    <cfRule type="cellIs" dxfId="1656" priority="34" stopIfTrue="1" operator="greaterThan">
      <formula>$F$49</formula>
    </cfRule>
    <cfRule type="cellIs" dxfId="1655" priority="45" stopIfTrue="1" operator="lessThanOrEqual">
      <formula>0</formula>
    </cfRule>
    <cfRule type="cellIs" dxfId="1654" priority="42" stopIfTrue="1" operator="greaterThan">
      <formula>$F$52</formula>
    </cfRule>
    <cfRule type="cellIs" dxfId="1653" priority="44" stopIfTrue="1" operator="greaterThan">
      <formula>$F$50</formula>
    </cfRule>
    <cfRule type="cellIs" dxfId="1652" priority="43" stopIfTrue="1" operator="lessThanOrEqual">
      <formula>0</formula>
    </cfRule>
  </conditionalFormatting>
  <conditionalFormatting sqref="H75:H82">
    <cfRule type="cellIs" dxfId="1651" priority="66" stopIfTrue="1" operator="greaterThan">
      <formula>$J75</formula>
    </cfRule>
    <cfRule type="cellIs" dxfId="1650" priority="67" stopIfTrue="1" operator="lessThanOrEqual">
      <formula>0</formula>
    </cfRule>
  </conditionalFormatting>
  <conditionalFormatting sqref="H83">
    <cfRule type="cellIs" dxfId="1649" priority="70" operator="greaterThan">
      <formula>5.3</formula>
    </cfRule>
  </conditionalFormatting>
  <conditionalFormatting sqref="H86 H88:H94">
    <cfRule type="cellIs" dxfId="1648" priority="105" stopIfTrue="1" operator="lessThanOrEqual">
      <formula>0</formula>
    </cfRule>
    <cfRule type="cellIs" dxfId="1647" priority="104" stopIfTrue="1" operator="greaterThan">
      <formula>4.5</formula>
    </cfRule>
  </conditionalFormatting>
  <conditionalFormatting sqref="H68:I68">
    <cfRule type="cellIs" dxfId="1646" priority="19" stopIfTrue="1" operator="lessThanOrEqual">
      <formula>0</formula>
    </cfRule>
    <cfRule type="cellIs" dxfId="1645" priority="16" stopIfTrue="1" operator="greaterThan">
      <formula>$F$40</formula>
    </cfRule>
  </conditionalFormatting>
  <conditionalFormatting sqref="H69:I71">
    <cfRule type="cellIs" dxfId="1644" priority="32" stopIfTrue="1" operator="greaterThan">
      <formula>$F$51</formula>
    </cfRule>
    <cfRule type="cellIs" dxfId="1643" priority="35" stopIfTrue="1" operator="lessThanOrEqual">
      <formula>0</formula>
    </cfRule>
  </conditionalFormatting>
  <conditionalFormatting sqref="H84:I84">
    <cfRule type="cellIs" dxfId="1642" priority="58" stopIfTrue="1" operator="lessThanOrEqual">
      <formula>0</formula>
    </cfRule>
    <cfRule type="cellIs" dxfId="1641" priority="57" stopIfTrue="1" operator="greaterThan">
      <formula>$J84</formula>
    </cfRule>
  </conditionalFormatting>
  <conditionalFormatting sqref="I68">
    <cfRule type="cellIs" dxfId="1640" priority="20" stopIfTrue="1" operator="greaterThan">
      <formula>$F$38</formula>
    </cfRule>
    <cfRule type="cellIs" dxfId="1639" priority="23" stopIfTrue="1" operator="lessThanOrEqual">
      <formula>0</formula>
    </cfRule>
    <cfRule type="cellIs" dxfId="1638" priority="24" stopIfTrue="1" operator="greaterThan">
      <formula>$F$38</formula>
    </cfRule>
    <cfRule type="cellIs" dxfId="1637" priority="25" stopIfTrue="1" operator="lessThanOrEqual">
      <formula>0</formula>
    </cfRule>
    <cfRule type="cellIs" dxfId="1636" priority="21" stopIfTrue="1" operator="lessThanOrEqual">
      <formula>0</formula>
    </cfRule>
    <cfRule type="cellIs" dxfId="1635" priority="22" stopIfTrue="1" operator="greaterThan">
      <formula>$F$40</formula>
    </cfRule>
  </conditionalFormatting>
  <conditionalFormatting sqref="I69:I71">
    <cfRule type="cellIs" dxfId="1634" priority="37" stopIfTrue="1" operator="lessThanOrEqual">
      <formula>0</formula>
    </cfRule>
    <cfRule type="cellIs" dxfId="1633" priority="40" stopIfTrue="1" operator="greaterThan">
      <formula>$F$49</formula>
    </cfRule>
    <cfRule type="cellIs" dxfId="1632" priority="39" stopIfTrue="1" operator="lessThanOrEqual">
      <formula>0</formula>
    </cfRule>
    <cfRule type="cellIs" dxfId="1631" priority="36" stopIfTrue="1" operator="greaterThan">
      <formula>$F$49</formula>
    </cfRule>
    <cfRule type="cellIs" dxfId="1630" priority="38" stopIfTrue="1" operator="greaterThan">
      <formula>$F$51</formula>
    </cfRule>
    <cfRule type="cellIs" dxfId="1629" priority="41" stopIfTrue="1" operator="lessThanOrEqual">
      <formula>0</formula>
    </cfRule>
  </conditionalFormatting>
  <conditionalFormatting sqref="I75:I83">
    <cfRule type="cellIs" dxfId="1628" priority="71" stopIfTrue="1" operator="greaterThan">
      <formula>$J75</formula>
    </cfRule>
    <cfRule type="cellIs" dxfId="1627" priority="72" stopIfTrue="1" operator="lessThanOrEqual">
      <formula>0</formula>
    </cfRule>
  </conditionalFormatting>
  <conditionalFormatting sqref="I86:I94">
    <cfRule type="cellIs" dxfId="1626" priority="100" stopIfTrue="1" operator="greaterThan">
      <formula>4.5</formula>
    </cfRule>
    <cfRule type="cellIs" dxfId="1625" priority="101" stopIfTrue="1" operator="lessThanOrEqual">
      <formula>0</formula>
    </cfRule>
  </conditionalFormatting>
  <conditionalFormatting sqref="I10:J36">
    <cfRule type="cellIs" dxfId="1624" priority="9" operator="lessThan">
      <formula>97.9</formula>
    </cfRule>
  </conditionalFormatting>
  <conditionalFormatting sqref="J39:J41">
    <cfRule type="cellIs" dxfId="1623" priority="48" stopIfTrue="1" operator="greaterThan">
      <formula>100</formula>
    </cfRule>
    <cfRule type="cellIs" dxfId="1622" priority="47" stopIfTrue="1" operator="lessThan">
      <formula>96.8</formula>
    </cfRule>
    <cfRule type="cellIs" dxfId="1621" priority="49" operator="lessThan">
      <formula>98</formula>
    </cfRule>
  </conditionalFormatting>
  <conditionalFormatting sqref="J39:J43">
    <cfRule type="cellIs" dxfId="1620" priority="46" operator="lessThan">
      <formula>97.4</formula>
    </cfRule>
  </conditionalFormatting>
  <conditionalFormatting sqref="J44">
    <cfRule type="cellIs" dxfId="1619" priority="50" operator="lessThan">
      <formula>98</formula>
    </cfRule>
  </conditionalFormatting>
  <conditionalFormatting sqref="J45:J47">
    <cfRule type="cellIs" dxfId="1618" priority="52" stopIfTrue="1" operator="greaterThan">
      <formula>100</formula>
    </cfRule>
    <cfRule type="cellIs" dxfId="1617" priority="51" stopIfTrue="1" operator="lessThan">
      <formula>96.8</formula>
    </cfRule>
  </conditionalFormatting>
  <conditionalFormatting sqref="J45:J48">
    <cfRule type="cellIs" dxfId="1616" priority="53" operator="lessThan">
      <formula>98</formula>
    </cfRule>
  </conditionalFormatting>
  <conditionalFormatting sqref="J84">
    <cfRule type="cellIs" dxfId="1615" priority="54" stopIfTrue="1" operator="greaterThan">
      <formula>$F84</formula>
    </cfRule>
    <cfRule type="cellIs" dxfId="1614" priority="55" stopIfTrue="1" operator="lessThanOrEqual">
      <formula>0</formula>
    </cfRule>
  </conditionalFormatting>
  <conditionalFormatting sqref="K10:K36">
    <cfRule type="cellIs" dxfId="1613" priority="6" operator="greaterThan">
      <formula>6</formula>
    </cfRule>
    <cfRule type="cellIs" dxfId="1612" priority="7" operator="lessThan">
      <formula>4</formula>
    </cfRule>
    <cfRule type="cellIs" dxfId="1611" priority="8" operator="greaterThan">
      <formula>6.4</formula>
    </cfRule>
  </conditionalFormatting>
  <conditionalFormatting sqref="K68:K71">
    <cfRule type="cellIs" dxfId="1610" priority="30" stopIfTrue="1" operator="lessThan">
      <formula>100%</formula>
    </cfRule>
  </conditionalFormatting>
  <conditionalFormatting sqref="K86:K91">
    <cfRule type="cellIs" dxfId="1609" priority="106" stopIfTrue="1" operator="lessThan">
      <formula>100%</formula>
    </cfRule>
  </conditionalFormatting>
  <conditionalFormatting sqref="K93:K94">
    <cfRule type="cellIs" dxfId="1608" priority="113" stopIfTrue="1" operator="lessThan">
      <formula>100%</formula>
    </cfRule>
  </conditionalFormatting>
  <conditionalFormatting sqref="K75:N78 L79:N79">
    <cfRule type="cellIs" dxfId="1607" priority="84" stopIfTrue="1" operator="lessThan">
      <formula>100%</formula>
    </cfRule>
  </conditionalFormatting>
  <conditionalFormatting sqref="K80:N84">
    <cfRule type="cellIs" dxfId="1606" priority="56" stopIfTrue="1" operator="lessThan">
      <formula>100%</formula>
    </cfRule>
  </conditionalFormatting>
  <conditionalFormatting sqref="L10:L36">
    <cfRule type="cellIs" dxfId="1605" priority="10" operator="between">
      <formula>61</formula>
      <formula>65</formula>
    </cfRule>
    <cfRule type="cellIs" dxfId="1604" priority="11" operator="greaterThan">
      <formula>65</formula>
    </cfRule>
  </conditionalFormatting>
  <conditionalFormatting sqref="L54:N54">
    <cfRule type="cellIs" dxfId="1603" priority="31" operator="notEqual">
      <formula>#REF!</formula>
    </cfRule>
  </conditionalFormatting>
  <conditionalFormatting sqref="L86:N94">
    <cfRule type="cellIs" dxfId="1602" priority="91" stopIfTrue="1" operator="lessThan">
      <formula>100%</formula>
    </cfRule>
  </conditionalFormatting>
  <conditionalFormatting sqref="M10:M36">
    <cfRule type="expression" dxfId="1601" priority="5">
      <formula>IF(+(IF(M10&lt;U10,0,IF(M10&gt;V10,0,1)))=0,1)</formula>
    </cfRule>
  </conditionalFormatting>
  <conditionalFormatting sqref="M39 L40:M50">
    <cfRule type="cellIs" dxfId="1600" priority="61" operator="lessThan">
      <formula>98</formula>
    </cfRule>
  </conditionalFormatting>
  <conditionalFormatting sqref="N10:N36">
    <cfRule type="expression" dxfId="1599" priority="1">
      <formula>IF(+(IF(N10&lt;W10,0,IF(N10&gt;X10,0,1)))=0,1)</formula>
    </cfRule>
  </conditionalFormatting>
  <conditionalFormatting sqref="P6">
    <cfRule type="cellIs" dxfId="1598" priority="87" operator="greaterThanOrEqual">
      <formula>19</formula>
    </cfRule>
  </conditionalFormatting>
  <dataValidations count="1">
    <dataValidation type="list" allowBlank="1" showInputMessage="1" showErrorMessage="1" sqref="R8" xr:uid="{FF6A7291-67BF-4DD9-9372-7CA51279C635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8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2ED8F-0F8A-4CFD-AF23-6FC3983A063E}">
  <sheetPr>
    <pageSetUpPr fitToPage="1"/>
  </sheetPr>
  <dimension ref="A1:BE88"/>
  <sheetViews>
    <sheetView topLeftCell="A16" zoomScale="60" zoomScaleNormal="60" workbookViewId="0">
      <selection activeCell="D57" sqref="D57:E58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21.33203125" style="275" customWidth="1"/>
    <col min="16" max="16" width="35.886718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73" t="s">
        <v>0</v>
      </c>
      <c r="T1" s="473"/>
      <c r="U1" s="473" t="s">
        <v>1</v>
      </c>
      <c r="V1" s="473"/>
      <c r="W1" s="473" t="s">
        <v>2</v>
      </c>
      <c r="X1" s="473"/>
      <c r="Y1" s="473" t="s">
        <v>124</v>
      </c>
      <c r="Z1" s="473"/>
    </row>
    <row r="2" spans="2:29" ht="14.4">
      <c r="B2" s="474" t="s">
        <v>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45821</v>
      </c>
      <c r="J4" s="398" t="s">
        <v>172</v>
      </c>
      <c r="K4" s="398"/>
      <c r="L4" s="11"/>
      <c r="M4" s="471" t="s">
        <v>8</v>
      </c>
      <c r="N4" s="472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68"/>
      <c r="D5" s="468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179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81" t="s">
        <v>17</v>
      </c>
      <c r="C8" s="483" t="s">
        <v>18</v>
      </c>
      <c r="D8" s="483" t="s">
        <v>19</v>
      </c>
      <c r="E8" s="356" t="s">
        <v>20</v>
      </c>
      <c r="F8" s="356" t="s">
        <v>21</v>
      </c>
      <c r="G8" s="483" t="s">
        <v>22</v>
      </c>
      <c r="H8" s="485" t="s">
        <v>144</v>
      </c>
      <c r="I8" s="483" t="s">
        <v>173</v>
      </c>
      <c r="J8" s="487" t="s">
        <v>23</v>
      </c>
      <c r="K8" s="489" t="s">
        <v>142</v>
      </c>
      <c r="L8" s="491" t="s">
        <v>24</v>
      </c>
      <c r="M8" s="359" t="s">
        <v>25</v>
      </c>
      <c r="N8" s="17" t="s">
        <v>26</v>
      </c>
      <c r="O8" s="543" t="s">
        <v>155</v>
      </c>
      <c r="P8" s="555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82"/>
      <c r="C9" s="484"/>
      <c r="D9" s="484"/>
      <c r="E9" s="357" t="s">
        <v>30</v>
      </c>
      <c r="F9" s="357" t="s">
        <v>31</v>
      </c>
      <c r="G9" s="484"/>
      <c r="H9" s="486"/>
      <c r="I9" s="484"/>
      <c r="J9" s="488"/>
      <c r="K9" s="490"/>
      <c r="L9" s="492"/>
      <c r="M9" s="20" t="s">
        <v>32</v>
      </c>
      <c r="N9" s="21" t="s">
        <v>41</v>
      </c>
      <c r="O9" s="556"/>
      <c r="P9" s="555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3" t="s">
        <v>9</v>
      </c>
      <c r="C10" s="366" t="str">
        <f>[25]Brewhouse!$A250</f>
        <v>ST231</v>
      </c>
      <c r="D10" s="279">
        <f>[25]Brewhouse!$AD250</f>
        <v>52.9</v>
      </c>
      <c r="E10" s="279">
        <f>[25]Brewhouse!$AG250</f>
        <v>50.2</v>
      </c>
      <c r="F10" s="278">
        <f>[25]Brewhouse!$V250</f>
        <v>65</v>
      </c>
      <c r="G10" s="279">
        <f>[25]Brewhouse!$AE250</f>
        <v>11.8</v>
      </c>
      <c r="H10" s="396">
        <v>11.8</v>
      </c>
      <c r="I10" s="429">
        <f>[25]Brewhouse!$AS250</f>
        <v>97.502548221829173</v>
      </c>
      <c r="J10" s="429">
        <f>[25]Brewhouse!$AT250</f>
        <v>99.904692934362231</v>
      </c>
      <c r="K10" s="430">
        <f>[25]Brewhouse!$Q250</f>
        <v>4.0590405904059086</v>
      </c>
      <c r="L10" s="276">
        <f>[25]Brewhouse!$P250</f>
        <v>58</v>
      </c>
      <c r="M10" s="374">
        <f>[25]Brewhouse!$U250-[25]Brewhouse!$T250</f>
        <v>0.11527777777777781</v>
      </c>
      <c r="N10" s="370">
        <f>[25]Brewhouse!$AW250</f>
        <v>0.24791666666666673</v>
      </c>
      <c r="O10" s="422" t="str">
        <f>[25]Brewhouse!$AV250</f>
        <v>R.Sookram</v>
      </c>
      <c r="P10" s="420"/>
      <c r="R10" s="277" t="str">
        <f t="shared" ref="R10:R38" si="0">B10</f>
        <v>STAG</v>
      </c>
      <c r="S10" s="296">
        <f t="shared" ref="S10:S38" si="1">VLOOKUP($B10,$R$3:$X$9,2,FALSE)</f>
        <v>11.6</v>
      </c>
      <c r="T10" s="296">
        <f t="shared" ref="T10:T38" si="2">VLOOKUP($B10,$R$3:$X$9,3,FALSE)</f>
        <v>12</v>
      </c>
      <c r="U10" s="297">
        <f t="shared" ref="U10:U38" si="3">VLOOKUP($B10,$R$3:$X$9,4,FALSE)</f>
        <v>0</v>
      </c>
      <c r="V10" s="297">
        <f t="shared" ref="V10:V38" si="4">VLOOKUP($B10,$R$3:$X$9,5,FALSE)</f>
        <v>0.118055555555556</v>
      </c>
      <c r="W10" s="297">
        <f t="shared" ref="W10:W38" si="5">VLOOKUP($B10,$R$3:$X$9,6,FALSE)</f>
        <v>0.22569444444444445</v>
      </c>
      <c r="X10" s="297">
        <f t="shared" ref="X10:X38" si="6">VLOOKUP($B10,$R$3:$X$9,7,FALSE)</f>
        <v>0.2638888888888889</v>
      </c>
      <c r="Y10" s="297">
        <f t="shared" ref="Y10:Y38" si="7">VLOOKUP($B10,$R$3:$Z$9,8,FALSE)</f>
        <v>0</v>
      </c>
      <c r="Z10" s="296">
        <f t="shared" ref="Z10:Z38" si="8">VLOOKUP($B10,$R$3:$Z$9,9,FALSE)</f>
        <v>60</v>
      </c>
    </row>
    <row r="11" spans="2:29" ht="15.75" customHeight="1">
      <c r="B11" s="33" t="s">
        <v>9</v>
      </c>
      <c r="C11" s="366" t="str">
        <f>[25]Brewhouse!$A251</f>
        <v>ST232</v>
      </c>
      <c r="D11" s="279">
        <f>[25]Brewhouse!$AD251</f>
        <v>53.6</v>
      </c>
      <c r="E11" s="279">
        <f>[25]Brewhouse!$AG251</f>
        <v>50.9</v>
      </c>
      <c r="F11" s="278">
        <f>[25]Brewhouse!$V251</f>
        <v>89</v>
      </c>
      <c r="G11" s="279">
        <f>[25]Brewhouse!$AE251</f>
        <v>11.7</v>
      </c>
      <c r="H11" s="396">
        <v>11.6</v>
      </c>
      <c r="I11" s="429">
        <f>[25]Brewhouse!$AS251</f>
        <v>97.980878408450792</v>
      </c>
      <c r="J11" s="429">
        <f>[25]Brewhouse!$AT251</f>
        <v>100.39480761635954</v>
      </c>
      <c r="K11" s="430">
        <f>[25]Brewhouse!$Q251</f>
        <v>3.4798534798534773</v>
      </c>
      <c r="L11" s="276">
        <f>[25]Brewhouse!$P251</f>
        <v>59</v>
      </c>
      <c r="M11" s="374">
        <f>[25]Brewhouse!$U251-[25]Brewhouse!$T251</f>
        <v>0.12638888888888888</v>
      </c>
      <c r="N11" s="370">
        <f>[25]Brewhouse!$AW251</f>
        <v>0.27291666666666664</v>
      </c>
      <c r="O11" s="422" t="str">
        <f>[25]Brewhouse!$AV251</f>
        <v>R.Sookram</v>
      </c>
      <c r="P11" s="420"/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33" t="s">
        <v>9</v>
      </c>
      <c r="C12" s="366" t="str">
        <f>[25]Brewhouse!$A252</f>
        <v>ST233</v>
      </c>
      <c r="D12" s="279">
        <f>[25]Brewhouse!$AD252</f>
        <v>53.8</v>
      </c>
      <c r="E12" s="279">
        <f>[25]Brewhouse!$AG252</f>
        <v>51.2</v>
      </c>
      <c r="F12" s="278">
        <f>[25]Brewhouse!$V252</f>
        <v>87</v>
      </c>
      <c r="G12" s="279">
        <f>[25]Brewhouse!$AE252</f>
        <v>11.8</v>
      </c>
      <c r="H12" s="396">
        <v>11.8</v>
      </c>
      <c r="I12" s="429">
        <f>[25]Brewhouse!$AS252</f>
        <v>99.44483005891739</v>
      </c>
      <c r="J12" s="429">
        <f>[25]Brewhouse!$AT252</f>
        <v>101.89482625974793</v>
      </c>
      <c r="K12" s="430">
        <f>[25]Brewhouse!$Q252</f>
        <v>3.4671532846715305</v>
      </c>
      <c r="L12" s="276">
        <f>[25]Brewhouse!$P252</f>
        <v>61</v>
      </c>
      <c r="M12" s="374">
        <f>[25]Brewhouse!$U252-[25]Brewhouse!$T252</f>
        <v>0.12708333333333333</v>
      </c>
      <c r="N12" s="370">
        <f>[25]Brewhouse!$AW252</f>
        <v>0.28680555555555554</v>
      </c>
      <c r="O12" s="422" t="str">
        <f>[25]Brewhouse!$AV252</f>
        <v>D. Gomaz</v>
      </c>
      <c r="P12" s="420"/>
      <c r="R12" s="277" t="str">
        <f t="shared" si="0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33" t="s">
        <v>9</v>
      </c>
      <c r="C13" s="366" t="str">
        <f>[25]Brewhouse!$A253</f>
        <v>ST234</v>
      </c>
      <c r="D13" s="279">
        <f>[25]Brewhouse!$AD253</f>
        <v>53.5</v>
      </c>
      <c r="E13" s="279">
        <f>[25]Brewhouse!$AG253</f>
        <v>51.2</v>
      </c>
      <c r="F13" s="278">
        <f>[25]Brewhouse!$V253</f>
        <v>91</v>
      </c>
      <c r="G13" s="279">
        <f>[25]Brewhouse!$AE253</f>
        <v>11.7</v>
      </c>
      <c r="H13" s="396">
        <v>11.7</v>
      </c>
      <c r="I13" s="429">
        <f>[25]Brewhouse!$AS253</f>
        <v>98.558368850936759</v>
      </c>
      <c r="J13" s="429">
        <f>[25]Brewhouse!$AT253</f>
        <v>100.98652553944225</v>
      </c>
      <c r="K13" s="430">
        <f>[25]Brewhouse!$Q253</f>
        <v>3.3088235294117601</v>
      </c>
      <c r="L13" s="276">
        <f>[25]Brewhouse!$P253</f>
        <v>61</v>
      </c>
      <c r="M13" s="374">
        <f>[25]Brewhouse!$U253-[25]Brewhouse!$T253</f>
        <v>0.12847222222222221</v>
      </c>
      <c r="N13" s="370">
        <f>[25]Brewhouse!$AW253</f>
        <v>0.30208333333333326</v>
      </c>
      <c r="O13" s="422" t="str">
        <f>[25]Brewhouse!$AV253</f>
        <v>D. Gomaz</v>
      </c>
      <c r="P13" s="420"/>
      <c r="R13" s="277" t="str">
        <f t="shared" si="0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33" t="s">
        <v>9</v>
      </c>
      <c r="C14" s="366" t="str">
        <f>[25]Brewhouse!$A254</f>
        <v>ST235</v>
      </c>
      <c r="D14" s="279">
        <f>[25]Brewhouse!$AD254</f>
        <v>51.5</v>
      </c>
      <c r="E14" s="279">
        <f>[25]Brewhouse!$AG254</f>
        <v>48.4</v>
      </c>
      <c r="F14" s="278">
        <f>[25]Brewhouse!$V254</f>
        <v>55</v>
      </c>
      <c r="G14" s="279">
        <f>[25]Brewhouse!$AE254</f>
        <v>11.9</v>
      </c>
      <c r="H14" s="396">
        <v>11.8</v>
      </c>
      <c r="I14" s="429">
        <f>[25]Brewhouse!$AS254</f>
        <v>94.844423775739514</v>
      </c>
      <c r="J14" s="429">
        <f>[25]Brewhouse!$AT254</f>
        <v>97.18108097333193</v>
      </c>
      <c r="K14" s="430">
        <f>[25]Brewhouse!$Q254</f>
        <v>6.8441064638783295</v>
      </c>
      <c r="L14" s="276">
        <f>[25]Brewhouse!$P254</f>
        <v>62</v>
      </c>
      <c r="M14" s="374">
        <f>[25]Brewhouse!$U254-[25]Brewhouse!$T254</f>
        <v>0.11388888888888882</v>
      </c>
      <c r="N14" s="370">
        <f>[25]Brewhouse!$AW254</f>
        <v>0.25208333333333333</v>
      </c>
      <c r="O14" s="422" t="str">
        <f>[25]Brewhouse!$AV254</f>
        <v>D. Gomaz</v>
      </c>
      <c r="P14" s="420"/>
      <c r="R14" s="277" t="str">
        <f t="shared" si="0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33" t="s">
        <v>9</v>
      </c>
      <c r="C15" s="366" t="str">
        <f>[25]Brewhouse!$A255</f>
        <v>ST236</v>
      </c>
      <c r="D15" s="279">
        <f>[25]Brewhouse!$AD255</f>
        <v>53.6</v>
      </c>
      <c r="E15" s="279">
        <f>[25]Brewhouse!$AG255</f>
        <v>50.9</v>
      </c>
      <c r="F15" s="278">
        <f>[25]Brewhouse!$V255</f>
        <v>57</v>
      </c>
      <c r="G15" s="279">
        <f>[25]Brewhouse!$AE255</f>
        <v>11.8</v>
      </c>
      <c r="H15" s="396">
        <v>11.7</v>
      </c>
      <c r="I15" s="429">
        <f>[25]Brewhouse!$AS255</f>
        <v>98.490515164685618</v>
      </c>
      <c r="J15" s="429">
        <f>[25]Brewhouse!$AT255</f>
        <v>100.91937459313701</v>
      </c>
      <c r="K15" s="430">
        <f>[25]Brewhouse!$Q255</f>
        <v>6.0329067641681977</v>
      </c>
      <c r="L15" s="276">
        <f>[25]Brewhouse!$P255</f>
        <v>60</v>
      </c>
      <c r="M15" s="374">
        <f>[25]Brewhouse!$U255-[25]Brewhouse!$T255</f>
        <v>0.11597222222222237</v>
      </c>
      <c r="N15" s="370">
        <f>[25]Brewhouse!$AW255</f>
        <v>0.2597222222222223</v>
      </c>
      <c r="O15" s="422" t="str">
        <f>[25]Brewhouse!$AV255</f>
        <v>K. Benjamin</v>
      </c>
      <c r="P15" s="420"/>
      <c r="R15" s="277" t="str">
        <f t="shared" si="0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33" t="s">
        <v>9</v>
      </c>
      <c r="C16" s="366" t="str">
        <f>[25]Brewhouse!$A256</f>
        <v>ST237</v>
      </c>
      <c r="D16" s="279">
        <f>[25]Brewhouse!$AD256</f>
        <v>53.3</v>
      </c>
      <c r="E16" s="279">
        <f>[25]Brewhouse!$AG256</f>
        <v>50.3</v>
      </c>
      <c r="F16" s="278">
        <f>[25]Brewhouse!$V256</f>
        <v>58</v>
      </c>
      <c r="G16" s="279">
        <f>[25]Brewhouse!$AE256</f>
        <v>11.9</v>
      </c>
      <c r="H16" s="396">
        <v>11.9</v>
      </c>
      <c r="I16" s="429">
        <f>[25]Brewhouse!$AS256</f>
        <v>98.197131955684057</v>
      </c>
      <c r="J16" s="429">
        <f>[25]Brewhouse!$AT256</f>
        <v>100.61875630599475</v>
      </c>
      <c r="K16" s="430">
        <f>[25]Brewhouse!$Q256</f>
        <v>7.0909090909090882</v>
      </c>
      <c r="L16" s="276">
        <f>[25]Brewhouse!$P256</f>
        <v>62</v>
      </c>
      <c r="M16" s="374">
        <f>[25]Brewhouse!$U256-[25]Brewhouse!$T256</f>
        <v>0.12916666666666665</v>
      </c>
      <c r="N16" s="370">
        <f>[25]Brewhouse!$AW256</f>
        <v>0.26041666666666652</v>
      </c>
      <c r="O16" s="422" t="str">
        <f>[25]Brewhouse!$AV256</f>
        <v>K. Benjamin</v>
      </c>
      <c r="P16" s="420"/>
      <c r="R16" s="277" t="str">
        <f t="shared" si="0"/>
        <v>STAG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2:26" ht="15.75" customHeight="1">
      <c r="B17" s="33"/>
      <c r="C17" s="366"/>
      <c r="D17" s="279"/>
      <c r="E17" s="279"/>
      <c r="F17" s="278"/>
      <c r="G17" s="279"/>
      <c r="H17" s="396"/>
      <c r="I17" s="429"/>
      <c r="J17" s="429"/>
      <c r="K17" s="430"/>
      <c r="L17" s="276"/>
      <c r="M17" s="374"/>
      <c r="N17" s="370"/>
      <c r="O17" s="422"/>
      <c r="P17" s="420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customHeight="1">
      <c r="B18" s="33"/>
      <c r="C18" s="366"/>
      <c r="D18" s="279"/>
      <c r="E18" s="279"/>
      <c r="F18" s="278"/>
      <c r="G18" s="279"/>
      <c r="H18" s="396"/>
      <c r="I18" s="429"/>
      <c r="J18" s="429"/>
      <c r="K18" s="430"/>
      <c r="L18" s="276"/>
      <c r="M18" s="374"/>
      <c r="N18" s="370"/>
      <c r="O18" s="422"/>
      <c r="P18" s="420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hidden="1" customHeight="1">
      <c r="B19" s="33"/>
      <c r="C19" s="366"/>
      <c r="D19" s="279"/>
      <c r="E19" s="279"/>
      <c r="F19" s="278"/>
      <c r="G19" s="279"/>
      <c r="H19" s="396"/>
      <c r="I19" s="429"/>
      <c r="J19" s="429"/>
      <c r="K19" s="430"/>
      <c r="L19" s="276"/>
      <c r="M19" s="374"/>
      <c r="N19" s="370"/>
      <c r="O19" s="422"/>
      <c r="P19" s="420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33"/>
      <c r="C20" s="366"/>
      <c r="D20" s="279"/>
      <c r="E20" s="279"/>
      <c r="F20" s="278"/>
      <c r="G20" s="279"/>
      <c r="H20" s="396"/>
      <c r="I20" s="429"/>
      <c r="J20" s="429"/>
      <c r="K20" s="430"/>
      <c r="L20" s="276"/>
      <c r="M20" s="374"/>
      <c r="N20" s="370"/>
      <c r="O20" s="422"/>
      <c r="P20" s="420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hidden="1" customHeight="1">
      <c r="B21" s="33"/>
      <c r="C21" s="366"/>
      <c r="D21" s="279"/>
      <c r="E21" s="279"/>
      <c r="F21" s="278"/>
      <c r="G21" s="279"/>
      <c r="H21" s="396"/>
      <c r="I21" s="429"/>
      <c r="J21" s="429"/>
      <c r="K21" s="430"/>
      <c r="L21" s="276"/>
      <c r="M21" s="374"/>
      <c r="N21" s="370"/>
      <c r="O21" s="422"/>
      <c r="P21" s="420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hidden="1" customHeight="1">
      <c r="B22" s="33"/>
      <c r="C22" s="366"/>
      <c r="D22" s="279"/>
      <c r="E22" s="279"/>
      <c r="F22" s="278"/>
      <c r="G22" s="279"/>
      <c r="H22" s="396"/>
      <c r="I22" s="429"/>
      <c r="J22" s="429"/>
      <c r="K22" s="430"/>
      <c r="L22" s="276"/>
      <c r="M22" s="374"/>
      <c r="N22" s="370"/>
      <c r="O22" s="422"/>
      <c r="P22" s="420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hidden="1" customHeight="1">
      <c r="B23" s="33"/>
      <c r="C23" s="366"/>
      <c r="D23" s="279"/>
      <c r="E23" s="279"/>
      <c r="F23" s="278"/>
      <c r="G23" s="279"/>
      <c r="H23" s="396"/>
      <c r="I23" s="429"/>
      <c r="J23" s="429"/>
      <c r="K23" s="430"/>
      <c r="L23" s="276"/>
      <c r="M23" s="374"/>
      <c r="N23" s="370"/>
      <c r="O23" s="422"/>
      <c r="P23" s="420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20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20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20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20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20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20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20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20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20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20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20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7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20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7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20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7" ht="15.75" customHeight="1" thickBot="1">
      <c r="B37" s="358"/>
      <c r="C37" s="358"/>
      <c r="D37" s="358"/>
      <c r="E37" s="358"/>
      <c r="F37" s="294"/>
      <c r="G37" s="294"/>
      <c r="H37" s="348"/>
      <c r="I37" s="497" t="s">
        <v>34</v>
      </c>
      <c r="J37" s="497"/>
      <c r="K37" s="497"/>
      <c r="L37" s="497"/>
      <c r="M37" s="497"/>
      <c r="N37" s="497"/>
      <c r="O37" s="1"/>
      <c r="P37" s="12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7" ht="15" thickBot="1">
      <c r="B38" s="388" t="s">
        <v>180</v>
      </c>
      <c r="C38" s="388"/>
      <c r="D38" s="475" t="s">
        <v>35</v>
      </c>
      <c r="E38" s="476"/>
      <c r="F38" s="294"/>
      <c r="G38" s="294"/>
      <c r="H38" s="348"/>
      <c r="I38" s="24" t="s">
        <v>17</v>
      </c>
      <c r="J38" s="25" t="s">
        <v>36</v>
      </c>
      <c r="K38" s="26" t="s">
        <v>138</v>
      </c>
      <c r="L38" s="25" t="s">
        <v>37</v>
      </c>
      <c r="M38" s="25" t="s">
        <v>38</v>
      </c>
      <c r="N38" s="27" t="s">
        <v>39</v>
      </c>
      <c r="O38" s="294"/>
      <c r="P38" s="12"/>
      <c r="R38" s="277" t="str">
        <f t="shared" si="0"/>
        <v xml:space="preserve">BRAND 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7" ht="15" customHeight="1">
      <c r="A39" s="28"/>
      <c r="B39" s="558" t="str">
        <f>I39</f>
        <v>CARIB</v>
      </c>
      <c r="C39" s="362">
        <f>[24]Process!D447</f>
        <v>11.75</v>
      </c>
      <c r="D39" s="501">
        <v>11.84</v>
      </c>
      <c r="E39" s="502"/>
      <c r="F39" s="294"/>
      <c r="G39" s="294"/>
      <c r="H39" s="348"/>
      <c r="I39" s="29" t="s">
        <v>6</v>
      </c>
      <c r="J39" s="280"/>
      <c r="K39" s="284">
        <f>COUNTA([24]Brewhouse!$A$493:$A$524)</f>
        <v>32</v>
      </c>
      <c r="L39" s="302">
        <f>AVERAGE([24]Brewhouse!$AU$493:$AU$524)</f>
        <v>97.854447776659498</v>
      </c>
      <c r="M39" s="302">
        <f>AVERAGE([24]Brewhouse!$AU$102:$AU$171,[24]Brewhouse!$AU$173:$AU$253,[24]Brewhouse!$AU$255:$AU$339,[24]Brewhouse!$AU$341:$AU$346,[24]Brewhouse!$AU$348,[24]Brewhouse!$AU$349:$AU$406,[24]Brewhouse!$AU$408:$AU$491,[24]Brewhouse!$AU$493:$AU$524)</f>
        <v>97.675451867228404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</row>
    <row r="40" spans="1:27" ht="15" customHeight="1">
      <c r="A40" s="28"/>
      <c r="B40" s="512"/>
      <c r="C40" s="349">
        <f>[24]Process!D448</f>
        <v>11.6</v>
      </c>
      <c r="D40" s="503"/>
      <c r="E40" s="504"/>
      <c r="F40" s="294"/>
      <c r="G40" s="294"/>
      <c r="H40" s="348"/>
      <c r="I40" s="33" t="s">
        <v>9</v>
      </c>
      <c r="J40" s="280">
        <f>AVERAGE(I10:I16)</f>
        <v>97.859813776606188</v>
      </c>
      <c r="K40" s="284">
        <f>COUNTA([25]Brewhouse!$A$242:$A$256)</f>
        <v>15</v>
      </c>
      <c r="L40" s="302">
        <f>AVERAGE([25]Brewhouse!$AS$242:$AS$256)</f>
        <v>97.42233492830097</v>
      </c>
      <c r="M40" s="302">
        <f>AVERAGE([25]Brewhouse!$AS$15:$AS$64,[25]Brewhouse!$AS$66:$AS$103,[25]Brewhouse!$AS$105:$AS$140,[25]Brewhouse!$AS$142:$AS$193,[25]Brewhouse!$AS$195:$AS$240,[25]Brewhouse!$AS$242:$AS$256)</f>
        <v>97.84686826047583</v>
      </c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</row>
    <row r="41" spans="1:27" ht="14.7" customHeight="1">
      <c r="A41" s="28"/>
      <c r="B41" s="512"/>
      <c r="C41" s="349">
        <f>[24]Process!D449</f>
        <v>11.6</v>
      </c>
      <c r="D41" s="501">
        <v>11.89</v>
      </c>
      <c r="E41" s="502"/>
      <c r="F41" s="294"/>
      <c r="G41" s="294"/>
      <c r="H41" s="348"/>
      <c r="I41" s="34" t="s">
        <v>12</v>
      </c>
      <c r="J41" s="280"/>
      <c r="K41" s="284"/>
      <c r="L41" s="302"/>
      <c r="M41" s="302">
        <f>AVERAGE([26]Brewhouse!$AU$4:$AU$7,[26]Brewhouse!$AU$9:$AU$22,[26]Brewhouse!$AU$24:$AU$35,[26]Brewhouse!$AU$37:$AU$45,[26]Brewhouse!$AU$47:$AU$62)</f>
        <v>97.179377138297156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</row>
    <row r="42" spans="1:27" ht="14.7" customHeight="1">
      <c r="A42" s="28"/>
      <c r="B42" s="512"/>
      <c r="C42" s="349">
        <f>[24]Process!D450</f>
        <v>11.79</v>
      </c>
      <c r="D42" s="503"/>
      <c r="E42" s="504"/>
      <c r="F42" s="294"/>
      <c r="G42" s="294"/>
      <c r="H42" s="348"/>
      <c r="I42" s="22" t="s">
        <v>33</v>
      </c>
      <c r="J42" s="280"/>
      <c r="K42" s="284"/>
      <c r="L42" s="302"/>
      <c r="M42" s="302">
        <f>AVERAGE([23]Brewhouse!$AV$5:$AV$14,[23]Brewhouse!$AV$16:$AV$19,[23]Brewhouse!$AV$21:$AV$24,[23]Brewhouse!$AV$26:$AV$33,[23]Brewhouse!$AV$35:$AV$46)</f>
        <v>99.005314486149061</v>
      </c>
      <c r="N42" s="3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</row>
    <row r="43" spans="1:27" ht="14.7" customHeight="1">
      <c r="A43" s="28"/>
      <c r="B43" s="512"/>
      <c r="C43" s="349">
        <f>[24]Process!D451</f>
        <v>11.9</v>
      </c>
      <c r="D43" s="501">
        <v>12.02</v>
      </c>
      <c r="E43" s="502"/>
      <c r="F43" s="419"/>
      <c r="G43" s="294"/>
      <c r="H43" s="348"/>
      <c r="I43" s="35" t="s">
        <v>29</v>
      </c>
      <c r="J43" s="280"/>
      <c r="K43" s="284"/>
      <c r="L43" s="302"/>
      <c r="M43" s="302"/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</row>
    <row r="44" spans="1:27" ht="14.7" customHeight="1">
      <c r="A44" s="28"/>
      <c r="B44" s="512"/>
      <c r="C44" s="349">
        <f>[24]Process!D472</f>
        <v>11.98</v>
      </c>
      <c r="D44" s="503"/>
      <c r="E44" s="504"/>
      <c r="F44" s="419"/>
      <c r="G44" s="294"/>
      <c r="H44" s="348"/>
      <c r="I44" s="36" t="s">
        <v>15</v>
      </c>
      <c r="J44" s="323"/>
      <c r="K44" s="284">
        <f>COUNTA([27]Brewhouse!$A$18:$A$21)</f>
        <v>4</v>
      </c>
      <c r="L44" s="302">
        <f>AVERAGE([27]Brewhouse!$AT$18:$AT$21)</f>
        <v>95.061602643439088</v>
      </c>
      <c r="M44" s="302">
        <f>AVERAGE([27]Brewhouse!$AT$4:$AT$11,[27]Brewhouse!$AT$13:$AT$16,[27]Brewhouse!$AT$18:$AT$21)</f>
        <v>94.773169817643847</v>
      </c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4.7" customHeight="1">
      <c r="A45" s="28"/>
      <c r="B45" s="512"/>
      <c r="C45" s="349">
        <f>[24]Process!D473</f>
        <v>11.71</v>
      </c>
      <c r="D45" s="501">
        <v>11.9</v>
      </c>
      <c r="E45" s="502"/>
      <c r="F45" s="419"/>
      <c r="G45" s="294"/>
      <c r="H45" s="348"/>
      <c r="I45" s="37" t="s">
        <v>16</v>
      </c>
      <c r="J45" s="323"/>
      <c r="K45" s="284">
        <f>COUNTA([22]Brewhouse!$A$45:$A$50)</f>
        <v>6</v>
      </c>
      <c r="L45" s="302">
        <f>AVERAGE([22]Brewhouse!$AY$45:$AY$50)</f>
        <v>96.288901438431267</v>
      </c>
      <c r="M45" s="302">
        <f>AVERAGE([22]Brewhouse!$AY$6:$AY$13,[22]Brewhouse!$AY$15:$AY$20,[22]Brewhouse!$AY$22:$AY$29,[22]Brewhouse!$AY$31:$AY$34,[22]Brewhouse!$AY$36:$AY$43,[22]Brewhouse!$AY$45:$AY$50)</f>
        <v>96.612624784592427</v>
      </c>
      <c r="N45" s="30">
        <v>98</v>
      </c>
      <c r="O45" s="11"/>
      <c r="P45" s="31" t="s">
        <v>41</v>
      </c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4.7" customHeight="1">
      <c r="A46" s="28"/>
      <c r="B46" s="512"/>
      <c r="C46" s="349">
        <f>[24]Process!D474</f>
        <v>12.12</v>
      </c>
      <c r="D46" s="503"/>
      <c r="E46" s="504"/>
      <c r="F46" s="294"/>
      <c r="G46" s="294"/>
      <c r="H46" s="348"/>
      <c r="I46" s="411" t="s">
        <v>158</v>
      </c>
      <c r="J46" s="326"/>
      <c r="K46" s="284"/>
      <c r="L46" s="305"/>
      <c r="M46" s="305">
        <f>AVERAGE([28]Brewhouse!$AU$5:$AU$8)</f>
        <v>91.006888337619571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  <c r="AA46" s="296"/>
    </row>
    <row r="47" spans="1:27" ht="14.7" customHeight="1">
      <c r="A47" s="28"/>
      <c r="B47" s="512"/>
      <c r="C47" s="349">
        <f>[24]Process!D475</f>
        <v>12.03</v>
      </c>
      <c r="D47" s="501">
        <v>11.92</v>
      </c>
      <c r="E47" s="502"/>
      <c r="F47" s="294"/>
      <c r="G47" s="294"/>
      <c r="H47" s="348"/>
      <c r="I47" s="410" t="s">
        <v>157</v>
      </c>
      <c r="J47" s="326"/>
      <c r="K47" s="284"/>
      <c r="L47" s="305"/>
      <c r="M47" s="305"/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  <c r="AA47" s="296"/>
    </row>
    <row r="48" spans="1:27" ht="15" customHeight="1" thickBot="1">
      <c r="A48" s="28"/>
      <c r="B48" s="512"/>
      <c r="C48" s="349">
        <f>[24]Process!D476</f>
        <v>11.61</v>
      </c>
      <c r="D48" s="503"/>
      <c r="E48" s="504"/>
      <c r="F48" s="294"/>
      <c r="G48" s="294"/>
      <c r="H48" s="348"/>
      <c r="I48" s="406" t="s">
        <v>156</v>
      </c>
      <c r="J48" s="327"/>
      <c r="K48" s="407"/>
      <c r="L48" s="408"/>
      <c r="M48" s="408"/>
      <c r="N48" s="409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  <c r="AA48" s="296"/>
    </row>
    <row r="49" spans="1:56" ht="15" customHeight="1" thickBot="1">
      <c r="A49" s="28"/>
      <c r="B49" s="512"/>
      <c r="C49" s="349">
        <f>[24]Process!D477</f>
        <v>11.64</v>
      </c>
      <c r="D49" s="501">
        <v>12.09</v>
      </c>
      <c r="E49" s="502"/>
      <c r="F49" s="294"/>
      <c r="G49" s="294"/>
      <c r="H49" s="348"/>
      <c r="I49" s="1"/>
      <c r="J49" s="39"/>
      <c r="K49" s="404">
        <f>SUM(K39:K48)</f>
        <v>57</v>
      </c>
      <c r="L49" s="405">
        <f>((L39*K39)+(L40*K40)+(L41*K41)+(L42*K42)+(L43*K43)+(K46*L46)+(L44*K44)+(L45*K45)+(L48*K48))/(K49)</f>
        <v>97.379950385648456</v>
      </c>
      <c r="M49" s="405">
        <f>AVERAGE('[29]Jan 31st'!$L$65,'[30]Feb 28th'!$L$35,'[31]Mar. 31st'!$L$35,'[32]Apr. 30th'!$L$45,'[33]May 30th'!$L$37,L49)</f>
        <v>97.593200637169602</v>
      </c>
      <c r="N49" s="4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  <c r="AA49" s="296"/>
    </row>
    <row r="50" spans="1:56" ht="15" thickBot="1">
      <c r="B50" s="512"/>
      <c r="C50" s="350">
        <f>[24]Process!D478</f>
        <v>11.64</v>
      </c>
      <c r="D50" s="503"/>
      <c r="E50" s="504"/>
      <c r="F50" s="294"/>
      <c r="G50" s="42"/>
      <c r="H50" s="41"/>
      <c r="I50" s="42"/>
      <c r="J50" s="42"/>
      <c r="K50" s="351"/>
      <c r="L50" s="348"/>
      <c r="M50" s="348"/>
      <c r="N50" s="11"/>
      <c r="O50" s="294"/>
      <c r="P50" s="12"/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5" thickBot="1">
      <c r="B51" s="513"/>
      <c r="C51" s="362">
        <f>[24]Process!D479</f>
        <v>11.6</v>
      </c>
      <c r="D51" s="514">
        <v>12.08</v>
      </c>
      <c r="E51" s="515"/>
      <c r="F51" s="294"/>
      <c r="G51" s="42"/>
      <c r="H51" s="41"/>
      <c r="I51" s="42"/>
      <c r="J51" s="551" t="s">
        <v>129</v>
      </c>
      <c r="K51" s="551"/>
      <c r="L51" s="294"/>
      <c r="M51" s="294"/>
      <c r="N51" s="294"/>
      <c r="O51" s="294"/>
      <c r="P51" s="12"/>
    </row>
    <row r="52" spans="1:56" ht="13.5" customHeight="1" thickBot="1">
      <c r="B52" s="567" t="str">
        <f>I41</f>
        <v>GUINNESS</v>
      </c>
      <c r="C52" s="349"/>
      <c r="D52" s="516"/>
      <c r="E52" s="504"/>
      <c r="F52" s="294"/>
      <c r="G52" s="42"/>
      <c r="H52" s="41"/>
      <c r="I52" s="42"/>
      <c r="J52" s="292" t="s">
        <v>17</v>
      </c>
      <c r="K52" s="293" t="s">
        <v>147</v>
      </c>
      <c r="L52" s="518" t="s">
        <v>136</v>
      </c>
      <c r="M52" s="518"/>
      <c r="N52" s="519"/>
      <c r="O52" s="294"/>
      <c r="P52" s="12"/>
    </row>
    <row r="53" spans="1:56" ht="15" customHeight="1" thickBot="1">
      <c r="B53" s="568"/>
      <c r="C53" s="349"/>
      <c r="D53" s="545">
        <v>17.71</v>
      </c>
      <c r="E53" s="546"/>
      <c r="F53" s="294"/>
      <c r="G53" s="42"/>
      <c r="H53" s="41"/>
      <c r="I53" s="42"/>
      <c r="J53" s="287" t="s">
        <v>6</v>
      </c>
      <c r="K53" s="324"/>
      <c r="L53" s="343" t="s">
        <v>37</v>
      </c>
      <c r="M53" s="307" t="s">
        <v>38</v>
      </c>
      <c r="N53" s="307" t="s">
        <v>84</v>
      </c>
      <c r="O53" s="294"/>
      <c r="P53" s="12"/>
    </row>
    <row r="54" spans="1:56" ht="15.75" customHeight="1" thickBot="1">
      <c r="B54" s="568"/>
      <c r="C54" s="349"/>
      <c r="D54" s="516"/>
      <c r="E54" s="504"/>
      <c r="F54" s="294"/>
      <c r="G54" s="42"/>
      <c r="H54" s="41"/>
      <c r="I54" s="42"/>
      <c r="J54" s="345" t="s">
        <v>9</v>
      </c>
      <c r="K54" s="324">
        <v>7</v>
      </c>
      <c r="L54" s="344">
        <f>AVERAGE('June 2nd'!K57,'June 12th '!K63,'June 3rd'!K63,'June 4th'!K63,'June 5th '!K63,'June 6th'!K63,'June 10th'!K63,'June 11th'!K63)</f>
        <v>7.125</v>
      </c>
      <c r="M54" s="325">
        <f>AVERAGE('[29]Jan 29th '!$M$70,'[30]Feb 28th'!$L$40,'[31]Mar. 31st'!$L$40,'[32]Apr. 30th'!$L$50,'[33]May 30th'!$L$42,L54)</f>
        <v>6.7219401974836757</v>
      </c>
      <c r="N54" s="418">
        <v>9.1999999999999993</v>
      </c>
      <c r="O54" s="294"/>
      <c r="P54" s="12"/>
    </row>
    <row r="55" spans="1:56" ht="15" customHeight="1">
      <c r="B55" s="568"/>
      <c r="C55" s="349"/>
      <c r="D55" s="545">
        <v>17.79</v>
      </c>
      <c r="E55" s="546"/>
      <c r="F55" s="294"/>
      <c r="G55" s="42"/>
      <c r="H55" s="41"/>
      <c r="I55" s="42"/>
      <c r="J55" s="288" t="s">
        <v>40</v>
      </c>
      <c r="K55" s="324"/>
      <c r="L55" s="294"/>
      <c r="M55" s="294"/>
      <c r="N55" s="294"/>
      <c r="O55" s="294"/>
      <c r="P55" s="12"/>
    </row>
    <row r="56" spans="1:56" ht="15" customHeight="1">
      <c r="B56" s="568"/>
      <c r="C56" s="349"/>
      <c r="D56" s="516"/>
      <c r="E56" s="504"/>
      <c r="F56" s="294"/>
      <c r="G56" s="42"/>
      <c r="H56" s="41"/>
      <c r="I56" s="42"/>
      <c r="J56" s="289" t="s">
        <v>33</v>
      </c>
      <c r="K56" s="324"/>
      <c r="L56" s="294"/>
      <c r="M56" s="294"/>
      <c r="N56" s="294"/>
      <c r="O56" s="294"/>
      <c r="P56" s="12"/>
    </row>
    <row r="57" spans="1:56" ht="14.4">
      <c r="B57" s="568"/>
      <c r="C57" s="349"/>
      <c r="D57" s="545"/>
      <c r="E57" s="546"/>
      <c r="F57" s="294"/>
      <c r="G57" s="42"/>
      <c r="H57" s="41"/>
      <c r="I57" s="42"/>
      <c r="J57" s="290" t="s">
        <v>16</v>
      </c>
      <c r="K57" s="324"/>
      <c r="L57" s="294"/>
      <c r="M57" s="294"/>
      <c r="N57" s="294"/>
      <c r="O57" s="294"/>
      <c r="P57" s="12"/>
      <c r="BC57" s="44"/>
      <c r="BD57" s="44"/>
    </row>
    <row r="58" spans="1:56" ht="14.4">
      <c r="B58" s="568"/>
      <c r="C58" s="349"/>
      <c r="D58" s="516"/>
      <c r="E58" s="504"/>
      <c r="F58" s="294"/>
      <c r="G58" s="42"/>
      <c r="H58" s="41"/>
      <c r="I58" s="42"/>
      <c r="J58" s="291" t="s">
        <v>15</v>
      </c>
      <c r="K58" s="324"/>
      <c r="L58" s="294"/>
      <c r="M58" s="294"/>
      <c r="N58" s="294"/>
      <c r="O58" s="294"/>
      <c r="P58" s="12"/>
      <c r="BC58" s="44"/>
      <c r="BD58" s="44"/>
    </row>
    <row r="59" spans="1:56" ht="14.4">
      <c r="B59" s="568"/>
      <c r="C59" s="349"/>
      <c r="D59" s="545"/>
      <c r="E59" s="546"/>
      <c r="F59" s="294"/>
      <c r="G59" s="42"/>
      <c r="H59" s="41"/>
      <c r="I59" s="42"/>
      <c r="J59" s="291" t="s">
        <v>149</v>
      </c>
      <c r="K59" s="324"/>
      <c r="L59" s="294"/>
      <c r="M59" s="294"/>
      <c r="N59" s="294"/>
      <c r="O59" s="294"/>
      <c r="P59" s="12"/>
      <c r="BC59" s="44"/>
      <c r="BD59" s="44"/>
    </row>
    <row r="60" spans="1:56" ht="15" thickBot="1">
      <c r="B60" s="569"/>
      <c r="C60" s="350"/>
      <c r="D60" s="547"/>
      <c r="E60" s="548"/>
      <c r="F60" s="294"/>
      <c r="G60" s="42"/>
      <c r="H60" s="41"/>
      <c r="I60" s="42"/>
      <c r="J60" s="291" t="s">
        <v>148</v>
      </c>
      <c r="K60" s="324"/>
      <c r="L60" s="294"/>
      <c r="M60" s="294"/>
      <c r="N60" s="294"/>
      <c r="O60" s="294"/>
      <c r="P60" s="12"/>
      <c r="BC60" s="44"/>
      <c r="BD60" s="44"/>
    </row>
    <row r="61" spans="1:56" ht="17.7" customHeight="1" thickBot="1">
      <c r="B61" s="312" t="s">
        <v>139</v>
      </c>
      <c r="C61" s="313"/>
      <c r="D61" s="562">
        <f>AVERAGE(D39:E60)</f>
        <v>13.248888888888887</v>
      </c>
      <c r="E61" s="563"/>
      <c r="F61" s="294"/>
      <c r="G61" s="42"/>
      <c r="H61" s="41"/>
      <c r="I61" s="42"/>
      <c r="J61" s="295" t="s">
        <v>134</v>
      </c>
      <c r="K61" s="324"/>
      <c r="L61" s="294"/>
      <c r="M61" s="294"/>
      <c r="N61" s="294"/>
      <c r="O61" s="294"/>
      <c r="P61" s="12"/>
      <c r="BC61" s="44"/>
      <c r="BD61" s="44"/>
    </row>
    <row r="62" spans="1:56" ht="17.7" customHeight="1">
      <c r="B62" s="363"/>
      <c r="C62" s="364"/>
      <c r="D62" s="365"/>
      <c r="E62" s="365"/>
      <c r="F62" s="294"/>
      <c r="G62" s="42"/>
      <c r="H62" s="41"/>
      <c r="I62" s="42"/>
      <c r="J62" s="295" t="s">
        <v>131</v>
      </c>
      <c r="K62" s="324"/>
      <c r="L62" s="294"/>
      <c r="M62" s="294"/>
      <c r="N62" s="294"/>
      <c r="O62" s="294"/>
      <c r="P62" s="12"/>
      <c r="BC62" s="44"/>
      <c r="BD62" s="44"/>
    </row>
    <row r="63" spans="1:56" ht="15.75" customHeight="1">
      <c r="B63" s="45"/>
      <c r="C63" s="11"/>
      <c r="D63" s="11"/>
      <c r="E63" s="46"/>
      <c r="F63" s="294"/>
      <c r="G63" s="42"/>
      <c r="H63" s="41"/>
      <c r="I63" s="42"/>
      <c r="J63" s="346" t="s">
        <v>130</v>
      </c>
      <c r="K63" s="324">
        <f>SUM(K53:K62)</f>
        <v>7</v>
      </c>
      <c r="L63" s="294"/>
      <c r="M63" s="294"/>
      <c r="N63" s="294"/>
      <c r="O63" s="294"/>
      <c r="P63" s="12"/>
    </row>
    <row r="64" spans="1:56" ht="20.25" customHeight="1">
      <c r="B64" s="15" t="s">
        <v>42</v>
      </c>
      <c r="C64" s="1" t="s">
        <v>43</v>
      </c>
      <c r="D64" s="1"/>
      <c r="E64" s="1"/>
      <c r="F64" s="294"/>
      <c r="G64" s="42"/>
      <c r="H64" s="41"/>
      <c r="I64" s="42"/>
      <c r="L64" s="294"/>
      <c r="P64" s="334"/>
    </row>
    <row r="65" spans="2:57" ht="15" customHeight="1" thickBot="1"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8"/>
      <c r="O65" s="48"/>
      <c r="P65" s="49"/>
    </row>
    <row r="66" spans="2:57" ht="15" customHeight="1" thickBot="1">
      <c r="B66" s="526" t="s">
        <v>17</v>
      </c>
      <c r="C66" s="526" t="s">
        <v>44</v>
      </c>
      <c r="D66" s="528" t="s">
        <v>45</v>
      </c>
      <c r="E66" s="483" t="s">
        <v>46</v>
      </c>
      <c r="F66" s="543" t="s">
        <v>47</v>
      </c>
      <c r="G66" s="537" t="s">
        <v>48</v>
      </c>
      <c r="H66" s="526" t="s">
        <v>49</v>
      </c>
      <c r="I66" s="526" t="s">
        <v>50</v>
      </c>
      <c r="J66" s="531" t="s">
        <v>28</v>
      </c>
      <c r="K66" s="481" t="s">
        <v>51</v>
      </c>
      <c r="L66" s="493" t="s">
        <v>52</v>
      </c>
      <c r="M66" s="531" t="s">
        <v>53</v>
      </c>
      <c r="N66" s="13"/>
      <c r="O66" s="13"/>
      <c r="P66" s="50"/>
    </row>
    <row r="67" spans="2:57" ht="28.5" customHeight="1" thickTop="1" thickBot="1">
      <c r="B67" s="527"/>
      <c r="C67" s="527"/>
      <c r="D67" s="529"/>
      <c r="E67" s="530"/>
      <c r="F67" s="544"/>
      <c r="G67" s="538"/>
      <c r="H67" s="527"/>
      <c r="I67" s="527"/>
      <c r="J67" s="532"/>
      <c r="K67" s="541"/>
      <c r="L67" s="542"/>
      <c r="M67" s="532"/>
      <c r="N67" s="13"/>
      <c r="O67" s="13"/>
      <c r="P67" s="50"/>
      <c r="Q67" s="355"/>
      <c r="AB67" s="51">
        <v>43474</v>
      </c>
      <c r="AC67" s="51">
        <v>43475</v>
      </c>
      <c r="AD67" s="51">
        <v>43476</v>
      </c>
      <c r="AE67" s="51">
        <v>43477</v>
      </c>
      <c r="AF67" s="51">
        <v>43478</v>
      </c>
      <c r="AG67" s="51">
        <v>43479</v>
      </c>
      <c r="AH67" s="51">
        <v>43480</v>
      </c>
      <c r="AI67" s="51">
        <v>43481</v>
      </c>
      <c r="AJ67" s="51">
        <v>43482</v>
      </c>
      <c r="AK67" s="51">
        <v>43483</v>
      </c>
      <c r="AL67" s="51">
        <v>43484</v>
      </c>
      <c r="AM67" s="51">
        <v>43485</v>
      </c>
      <c r="AN67" s="51">
        <v>43486</v>
      </c>
      <c r="AO67" s="51">
        <v>43487</v>
      </c>
      <c r="AP67" s="51">
        <v>43488</v>
      </c>
      <c r="AQ67" s="51">
        <v>43489</v>
      </c>
      <c r="AR67" s="51">
        <v>43490</v>
      </c>
      <c r="AS67" s="51">
        <v>43491</v>
      </c>
      <c r="AT67" s="51">
        <v>43492</v>
      </c>
      <c r="AU67" s="51">
        <v>43493</v>
      </c>
      <c r="AV67" s="51">
        <v>43494</v>
      </c>
      <c r="AW67" s="51">
        <v>43495</v>
      </c>
      <c r="AX67" s="51">
        <v>43496</v>
      </c>
    </row>
    <row r="68" spans="2:57" s="54" customFormat="1" ht="51" customHeight="1">
      <c r="B68" s="387" t="str">
        <f>B75</f>
        <v>CARIB</v>
      </c>
      <c r="C68" s="432">
        <v>45820</v>
      </c>
      <c r="D68" s="377">
        <f>[34]June_2025!$O$3</f>
        <v>705.11</v>
      </c>
      <c r="E68" s="378"/>
      <c r="F68" s="379"/>
      <c r="G68" s="303">
        <f>[34]June_2025!$O$7</f>
        <v>670.7</v>
      </c>
      <c r="H68" s="320"/>
      <c r="I68" s="322"/>
      <c r="J68" s="392" t="s">
        <v>184</v>
      </c>
      <c r="K68" s="286">
        <f>[36]June_2025!$O$18</f>
        <v>0.58833333333333337</v>
      </c>
      <c r="L68" s="314">
        <f>(((D68+E68)-G68)/(D68+E68))*100</f>
        <v>4.8800896314050242</v>
      </c>
      <c r="M68" s="417" t="s">
        <v>183</v>
      </c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6"/>
      <c r="AC68" s="416"/>
      <c r="AD68" s="416"/>
      <c r="AE68" s="416"/>
      <c r="AF68" s="416"/>
      <c r="AG68" s="416"/>
      <c r="AH68" s="416"/>
      <c r="AI68" s="416"/>
      <c r="AJ68" s="416"/>
      <c r="AK68" s="416"/>
      <c r="AL68" s="416"/>
      <c r="AM68" s="416"/>
      <c r="AN68" s="416"/>
      <c r="AO68" s="416"/>
      <c r="AP68" s="416"/>
      <c r="AQ68" s="416"/>
      <c r="AR68" s="416"/>
      <c r="AS68" s="416"/>
      <c r="AT68" s="416"/>
      <c r="AU68" s="416"/>
      <c r="AV68" s="416"/>
      <c r="AW68" s="416"/>
    </row>
    <row r="69" spans="2:57" s="54" customFormat="1" ht="23.25" customHeight="1">
      <c r="B69" s="33"/>
      <c r="C69" s="283"/>
      <c r="D69" s="377"/>
      <c r="E69" s="378"/>
      <c r="F69" s="379"/>
      <c r="G69" s="303"/>
      <c r="H69" s="320"/>
      <c r="I69" s="322"/>
      <c r="J69" s="281"/>
      <c r="K69" s="286"/>
      <c r="L69" s="314"/>
      <c r="M69" s="417"/>
      <c r="N69" s="13"/>
      <c r="O69" s="13"/>
      <c r="P69" s="50"/>
      <c r="R69" s="275"/>
      <c r="S69" s="275"/>
      <c r="T69" s="275"/>
      <c r="U69" s="275"/>
      <c r="V69" s="275"/>
      <c r="W69" s="275"/>
      <c r="X69" s="275"/>
      <c r="Y69" s="275"/>
      <c r="Z69" s="275"/>
      <c r="AA69" s="275"/>
      <c r="AB69" s="416"/>
      <c r="AC69" s="416"/>
      <c r="AD69" s="416"/>
      <c r="AE69" s="416"/>
      <c r="AF69" s="416"/>
      <c r="AG69" s="416"/>
      <c r="AH69" s="416"/>
      <c r="AI69" s="416"/>
      <c r="AJ69" s="416"/>
      <c r="AK69" s="416"/>
      <c r="AL69" s="416"/>
      <c r="AM69" s="416"/>
      <c r="AN69" s="416"/>
      <c r="AO69" s="416"/>
      <c r="AP69" s="416"/>
      <c r="AQ69" s="416"/>
      <c r="AR69" s="416"/>
      <c r="AS69" s="416"/>
      <c r="AT69" s="416"/>
      <c r="AU69" s="416"/>
      <c r="AV69" s="416"/>
      <c r="AW69" s="416"/>
    </row>
    <row r="70" spans="2:57" s="54" customFormat="1" ht="53.25" customHeight="1">
      <c r="B70" s="436" t="str">
        <f>B77</f>
        <v>GUINN</v>
      </c>
      <c r="C70" s="432">
        <v>45820</v>
      </c>
      <c r="D70" s="377">
        <f>[34]June_2025!$O$23</f>
        <v>213.09999999999997</v>
      </c>
      <c r="E70" s="378">
        <f>[35]GUINNESS!$S$6</f>
        <v>5.0999999999999996</v>
      </c>
      <c r="F70" s="379"/>
      <c r="G70" s="303">
        <f>[34]June_2025!$O$28</f>
        <v>197.4</v>
      </c>
      <c r="H70" s="320"/>
      <c r="I70" s="322"/>
      <c r="J70" s="392" t="s">
        <v>181</v>
      </c>
      <c r="K70" s="286">
        <f>[36]June_2025!$O$32</f>
        <v>0.34631578947368424</v>
      </c>
      <c r="L70" s="314">
        <f>(((D70+E70)-G70)/(D70+E70))*100</f>
        <v>9.5325389550870572</v>
      </c>
      <c r="M70" s="417" t="s">
        <v>169</v>
      </c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57">
        <f>[20]January_2019!L7</f>
        <v>0</v>
      </c>
      <c r="AC70" s="57">
        <f>[20]January_2019!M7</f>
        <v>0</v>
      </c>
      <c r="AD70" s="57">
        <f>[20]January_2019!N7</f>
        <v>0</v>
      </c>
      <c r="AE70" s="57">
        <f>[20]January_2019!O7</f>
        <v>0</v>
      </c>
      <c r="AF70" s="57">
        <f>[20]January_2019!P7</f>
        <v>0</v>
      </c>
      <c r="AG70" s="57">
        <f>[20]January_2019!Q7</f>
        <v>0</v>
      </c>
      <c r="AH70" s="57">
        <f>[20]January_2019!R7</f>
        <v>0</v>
      </c>
      <c r="AI70" s="57">
        <f>[20]January_2019!S7</f>
        <v>0</v>
      </c>
      <c r="AJ70" s="57">
        <f>[20]January_2019!T7</f>
        <v>0</v>
      </c>
      <c r="AK70" s="57">
        <f>[20]January_2019!U7</f>
        <v>0</v>
      </c>
      <c r="AL70" s="57">
        <f>[20]January_2019!V7</f>
        <v>0</v>
      </c>
      <c r="AM70" s="57">
        <f>[20]January_2019!W7</f>
        <v>0</v>
      </c>
      <c r="AN70" s="57">
        <f>[20]January_2019!X7</f>
        <v>0</v>
      </c>
      <c r="AO70" s="57">
        <f>[20]January_2019!Y7</f>
        <v>0</v>
      </c>
      <c r="AP70" s="57">
        <f>[20]January_2019!Z7</f>
        <v>0</v>
      </c>
      <c r="AQ70" s="57">
        <f>[20]January_2019!AA7</f>
        <v>0</v>
      </c>
      <c r="AR70" s="57">
        <f>[20]January_2019!AB7</f>
        <v>0</v>
      </c>
      <c r="AS70" s="57">
        <f>[20]January_2019!AC7</f>
        <v>0</v>
      </c>
      <c r="AT70" s="57">
        <f>[20]January_2019!AD7</f>
        <v>0</v>
      </c>
      <c r="AU70" s="57">
        <f>[20]January_2019!AE7</f>
        <v>0</v>
      </c>
      <c r="AV70" s="57">
        <f>[20]January_2019!AF7</f>
        <v>0</v>
      </c>
      <c r="AW70" s="57">
        <f>[20]January_2019!AG7</f>
        <v>0</v>
      </c>
      <c r="AX70" s="277">
        <f>[20]January_2019!AH7</f>
        <v>0</v>
      </c>
      <c r="AY70" s="277"/>
      <c r="AZ70" s="277"/>
      <c r="BA70" s="277"/>
      <c r="BB70" s="277"/>
      <c r="BC70" s="277"/>
      <c r="BD70" s="277"/>
      <c r="BE70" s="277"/>
    </row>
    <row r="71" spans="2:57" s="54" customFormat="1" ht="16.5" customHeight="1">
      <c r="B71" s="423"/>
      <c r="C71" s="283"/>
      <c r="D71" s="377"/>
      <c r="E71" s="378"/>
      <c r="F71" s="379"/>
      <c r="G71" s="303"/>
      <c r="H71" s="320"/>
      <c r="I71" s="322"/>
      <c r="J71" s="281"/>
      <c r="K71" s="286"/>
      <c r="L71" s="314"/>
      <c r="M71" s="417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416"/>
      <c r="AC71" s="416"/>
      <c r="AD71" s="416"/>
      <c r="AE71" s="416"/>
      <c r="AF71" s="416"/>
      <c r="AG71" s="416"/>
      <c r="AH71" s="416"/>
      <c r="AI71" s="416"/>
      <c r="AJ71" s="416"/>
      <c r="AK71" s="416"/>
      <c r="AL71" s="416"/>
      <c r="AM71" s="416"/>
      <c r="AN71" s="416"/>
      <c r="AO71" s="416"/>
      <c r="AP71" s="416"/>
      <c r="AQ71" s="416"/>
      <c r="AR71" s="416"/>
      <c r="AS71" s="416"/>
      <c r="AT71" s="416"/>
      <c r="AU71" s="416"/>
      <c r="AV71" s="416"/>
      <c r="AW71" s="416"/>
    </row>
    <row r="72" spans="2:57" ht="18" customHeight="1" thickBot="1">
      <c r="B72" s="59"/>
      <c r="C72" s="30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 t="s">
        <v>41</v>
      </c>
      <c r="O72" s="56"/>
      <c r="P72" s="60"/>
    </row>
    <row r="73" spans="2:57" ht="14.4" thickBot="1">
      <c r="B73" s="533" t="s">
        <v>55</v>
      </c>
      <c r="C73" s="534"/>
      <c r="D73" s="534"/>
      <c r="E73" s="534"/>
      <c r="F73" s="535"/>
      <c r="G73" s="533" t="s">
        <v>56</v>
      </c>
      <c r="H73" s="534"/>
      <c r="I73" s="534"/>
      <c r="J73" s="535"/>
      <c r="K73" s="533" t="s">
        <v>51</v>
      </c>
      <c r="L73" s="534"/>
      <c r="M73" s="534"/>
      <c r="N73" s="536"/>
      <c r="O73" s="56"/>
      <c r="P73" s="50"/>
    </row>
    <row r="74" spans="2:57">
      <c r="B74" s="61" t="s">
        <v>17</v>
      </c>
      <c r="C74" s="62" t="s">
        <v>36</v>
      </c>
      <c r="D74" s="62" t="s">
        <v>37</v>
      </c>
      <c r="E74" s="62" t="s">
        <v>38</v>
      </c>
      <c r="F74" s="63" t="s">
        <v>39</v>
      </c>
      <c r="G74" s="62" t="s">
        <v>36</v>
      </c>
      <c r="H74" s="62" t="s">
        <v>37</v>
      </c>
      <c r="I74" s="62" t="s">
        <v>38</v>
      </c>
      <c r="J74" s="63" t="s">
        <v>39</v>
      </c>
      <c r="K74" s="62" t="s">
        <v>36</v>
      </c>
      <c r="L74" s="62" t="s">
        <v>37</v>
      </c>
      <c r="M74" s="62" t="s">
        <v>38</v>
      </c>
      <c r="N74" s="63" t="s">
        <v>39</v>
      </c>
      <c r="O74" s="56"/>
      <c r="P74" s="64"/>
    </row>
    <row r="75" spans="2:57">
      <c r="B75" s="29" t="s">
        <v>6</v>
      </c>
      <c r="C75" s="65">
        <f>L68</f>
        <v>4.8800896314050242</v>
      </c>
      <c r="D75" s="76">
        <v>6.6211496495091309</v>
      </c>
      <c r="E75" s="76">
        <v>6.6658915943888024</v>
      </c>
      <c r="F75" s="66">
        <v>4.8</v>
      </c>
      <c r="G75" s="65">
        <f>[34]June_2025!$O$11</f>
        <v>3.4131429617594895</v>
      </c>
      <c r="H75" s="76">
        <v>5.3799595332193206</v>
      </c>
      <c r="I75" s="76">
        <v>6.6856909379529688</v>
      </c>
      <c r="J75" s="66">
        <v>4.8</v>
      </c>
      <c r="K75" s="67">
        <f>K68</f>
        <v>0.58833333333333337</v>
      </c>
      <c r="L75" s="194">
        <v>0.53110526315789475</v>
      </c>
      <c r="M75" s="194">
        <v>0.7398726237851484</v>
      </c>
      <c r="N75" s="68">
        <v>1</v>
      </c>
      <c r="O75" s="56"/>
      <c r="P75" s="69"/>
    </row>
    <row r="76" spans="2:57">
      <c r="B76" s="33" t="s">
        <v>9</v>
      </c>
      <c r="C76" s="65"/>
      <c r="D76" s="76">
        <v>5.3441641727233629</v>
      </c>
      <c r="E76" s="76">
        <v>6.2557098590467053</v>
      </c>
      <c r="F76" s="66">
        <v>4.8</v>
      </c>
      <c r="G76" s="65"/>
      <c r="H76" s="76">
        <v>4.9536022438629788</v>
      </c>
      <c r="I76" s="76">
        <v>6.0976701609123367</v>
      </c>
      <c r="J76" s="66">
        <v>4.8</v>
      </c>
      <c r="K76" s="67"/>
      <c r="L76" s="194">
        <v>0.5178947368421053</v>
      </c>
      <c r="M76" s="194">
        <v>0.73691678756849477</v>
      </c>
      <c r="N76" s="68">
        <v>1</v>
      </c>
      <c r="P76" s="69"/>
    </row>
    <row r="77" spans="2:57">
      <c r="B77" s="34" t="s">
        <v>40</v>
      </c>
      <c r="C77" s="65">
        <f>L70</f>
        <v>9.5325389550870572</v>
      </c>
      <c r="D77" s="76">
        <v>9.5325389550870572</v>
      </c>
      <c r="E77" s="76">
        <v>11.724137931034448</v>
      </c>
      <c r="F77" s="66">
        <v>5.5</v>
      </c>
      <c r="G77" s="65">
        <f>[34]June_2025!$O$32</f>
        <v>8.9041107529384682</v>
      </c>
      <c r="H77" s="76">
        <v>8.9041107529384682</v>
      </c>
      <c r="I77" s="76">
        <v>12.945763927425185</v>
      </c>
      <c r="J77" s="66">
        <v>5.5</v>
      </c>
      <c r="K77" s="67">
        <f>K70</f>
        <v>0.34631578947368424</v>
      </c>
      <c r="L77" s="194">
        <v>0.34631578947368424</v>
      </c>
      <c r="M77" s="194">
        <v>0.52867261020307088</v>
      </c>
      <c r="N77" s="68">
        <v>1</v>
      </c>
      <c r="P77" s="69"/>
    </row>
    <row r="78" spans="2:57">
      <c r="B78" s="22" t="s">
        <v>33</v>
      </c>
      <c r="C78" s="65"/>
      <c r="D78" s="76">
        <v>3.7185929648241238</v>
      </c>
      <c r="E78" s="76">
        <v>4.2675953841355607</v>
      </c>
      <c r="F78" s="66">
        <v>3.3</v>
      </c>
      <c r="G78" s="65"/>
      <c r="H78" s="76">
        <v>3.5401443549560527</v>
      </c>
      <c r="I78" s="76">
        <v>4.1118286580052033</v>
      </c>
      <c r="J78" s="66">
        <v>3.3</v>
      </c>
      <c r="K78" s="67"/>
      <c r="L78" s="194">
        <v>0.33614035087719296</v>
      </c>
      <c r="M78" s="194">
        <v>0.78836257309941515</v>
      </c>
      <c r="N78" s="68">
        <v>1</v>
      </c>
      <c r="P78" s="69"/>
    </row>
    <row r="79" spans="2:57">
      <c r="B79" s="35" t="s">
        <v>29</v>
      </c>
      <c r="C79" s="65"/>
      <c r="D79" s="76"/>
      <c r="E79" s="76"/>
      <c r="F79" s="66">
        <v>3.3</v>
      </c>
      <c r="G79" s="282"/>
      <c r="H79" s="76"/>
      <c r="I79" s="76"/>
      <c r="J79" s="66">
        <v>3</v>
      </c>
      <c r="L79" s="194"/>
      <c r="M79" s="194"/>
      <c r="N79" s="68">
        <v>1</v>
      </c>
      <c r="P79" s="69"/>
    </row>
    <row r="80" spans="2:57">
      <c r="B80" s="36" t="s">
        <v>15</v>
      </c>
      <c r="C80" s="282"/>
      <c r="D80" s="76"/>
      <c r="E80" s="76">
        <v>7.8262258425171876</v>
      </c>
      <c r="F80" s="70">
        <f>[21]May_2022!$M$43</f>
        <v>3.4878406700073312</v>
      </c>
      <c r="G80" s="282"/>
      <c r="H80" s="76"/>
      <c r="I80" s="76">
        <v>9.4300678869947632</v>
      </c>
      <c r="J80" s="66">
        <v>5.5</v>
      </c>
      <c r="K80" s="67"/>
      <c r="L80" s="194"/>
      <c r="M80" s="194">
        <v>0.674970760233918</v>
      </c>
      <c r="N80" s="68">
        <v>1</v>
      </c>
      <c r="P80" s="69"/>
    </row>
    <row r="81" spans="2:16">
      <c r="B81" s="37" t="s">
        <v>16</v>
      </c>
      <c r="C81" s="65"/>
      <c r="D81" s="76">
        <v>4.4761595848199667</v>
      </c>
      <c r="E81" s="76">
        <v>2.8990450204638254</v>
      </c>
      <c r="F81" s="66">
        <v>3.3</v>
      </c>
      <c r="G81" s="282"/>
      <c r="H81" s="76">
        <v>4.5799898461408048</v>
      </c>
      <c r="I81" s="76">
        <v>4.4797971833783148</v>
      </c>
      <c r="J81" s="66">
        <v>3.3</v>
      </c>
      <c r="K81" s="67"/>
      <c r="L81" s="194">
        <v>0.34444444444444444</v>
      </c>
      <c r="M81" s="194">
        <v>0.75981884057971016</v>
      </c>
      <c r="N81" s="71">
        <v>1</v>
      </c>
      <c r="P81" s="69"/>
    </row>
    <row r="82" spans="2:16" ht="14.4" thickBot="1">
      <c r="B82" s="38" t="s">
        <v>127</v>
      </c>
      <c r="C82" s="65"/>
      <c r="D82" s="76"/>
      <c r="E82" s="76"/>
      <c r="F82" s="66">
        <v>7.5</v>
      </c>
      <c r="G82" s="282"/>
      <c r="H82" s="76"/>
      <c r="I82" s="76"/>
      <c r="J82" s="66">
        <v>7.5</v>
      </c>
      <c r="K82" s="67"/>
      <c r="L82" s="194"/>
      <c r="M82" s="194"/>
      <c r="N82" s="71">
        <v>1</v>
      </c>
      <c r="P82" s="69"/>
    </row>
    <row r="83" spans="2:16" ht="14.4" thickBot="1">
      <c r="B83" s="415" t="s">
        <v>161</v>
      </c>
      <c r="C83" s="65"/>
      <c r="D83" s="76"/>
      <c r="E83" s="76">
        <v>4.8792508624938291</v>
      </c>
      <c r="F83" s="66">
        <v>4.8</v>
      </c>
      <c r="G83" s="282"/>
      <c r="H83" s="76"/>
      <c r="I83" s="76">
        <v>6.2003723782925313</v>
      </c>
      <c r="J83" s="66">
        <v>4.8</v>
      </c>
      <c r="K83" s="67"/>
      <c r="L83" s="194">
        <v>0</v>
      </c>
      <c r="M83" s="194">
        <v>0.33859649122807017</v>
      </c>
      <c r="N83" s="71">
        <v>1</v>
      </c>
      <c r="O83" s="74"/>
      <c r="P83" s="75"/>
    </row>
    <row r="84" spans="2:16">
      <c r="D84" s="76">
        <v>6.2008402916797651</v>
      </c>
      <c r="E84" s="76">
        <v>6.6192086500294165</v>
      </c>
      <c r="F84" s="341">
        <v>5.5</v>
      </c>
      <c r="H84" s="76">
        <v>5.4183928946808075</v>
      </c>
      <c r="I84" s="76">
        <v>6.9071154045293177</v>
      </c>
      <c r="J84" s="341">
        <v>5.5</v>
      </c>
      <c r="K84" s="67"/>
      <c r="L84" s="194">
        <v>0.47182163742690064</v>
      </c>
      <c r="M84" s="194">
        <v>0.70358303677342815</v>
      </c>
      <c r="N84" s="386">
        <v>1</v>
      </c>
    </row>
    <row r="88" spans="2:16">
      <c r="F88" s="315"/>
    </row>
  </sheetData>
  <mergeCells count="51">
    <mergeCell ref="B73:F73"/>
    <mergeCell ref="G73:J73"/>
    <mergeCell ref="K73:N73"/>
    <mergeCell ref="B39:B51"/>
    <mergeCell ref="G66:G67"/>
    <mergeCell ref="H66:H67"/>
    <mergeCell ref="I66:I67"/>
    <mergeCell ref="J66:J67"/>
    <mergeCell ref="K66:K67"/>
    <mergeCell ref="L66:L67"/>
    <mergeCell ref="D61:E61"/>
    <mergeCell ref="B66:B67"/>
    <mergeCell ref="C66:C67"/>
    <mergeCell ref="D66:D67"/>
    <mergeCell ref="E66:E67"/>
    <mergeCell ref="F66:F67"/>
    <mergeCell ref="M66:M67"/>
    <mergeCell ref="D45:E46"/>
    <mergeCell ref="D47:E48"/>
    <mergeCell ref="D49:E50"/>
    <mergeCell ref="D51:E52"/>
    <mergeCell ref="J51:K51"/>
    <mergeCell ref="L52:N52"/>
    <mergeCell ref="D53:E54"/>
    <mergeCell ref="D55:E56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K8:K9"/>
    <mergeCell ref="L8:L9"/>
    <mergeCell ref="O8:O9"/>
    <mergeCell ref="I8:I9"/>
    <mergeCell ref="J8:J9"/>
    <mergeCell ref="B52:B60"/>
    <mergeCell ref="M4:N4"/>
    <mergeCell ref="S1:T1"/>
    <mergeCell ref="U1:V1"/>
    <mergeCell ref="W1:X1"/>
    <mergeCell ref="D41:E42"/>
    <mergeCell ref="D43:E44"/>
    <mergeCell ref="I37:N37"/>
    <mergeCell ref="D38:E38"/>
    <mergeCell ref="D39:E40"/>
    <mergeCell ref="D57:E58"/>
    <mergeCell ref="D59:E60"/>
  </mergeCells>
  <conditionalFormatting sqref="B61:B62">
    <cfRule type="cellIs" dxfId="1597" priority="92" operator="notBetween">
      <formula>#REF!</formula>
      <formula>#REF!</formula>
    </cfRule>
  </conditionalFormatting>
  <conditionalFormatting sqref="C65">
    <cfRule type="cellIs" dxfId="1596" priority="124" stopIfTrue="1" operator="greaterThan">
      <formula>100</formula>
    </cfRule>
    <cfRule type="cellIs" dxfId="1595" priority="123" stopIfTrue="1" operator="lessThan">
      <formula>96</formula>
    </cfRule>
  </conditionalFormatting>
  <conditionalFormatting sqref="C75:C76">
    <cfRule type="cellIs" dxfId="1594" priority="70" stopIfTrue="1" operator="lessThanOrEqual">
      <formula>0</formula>
    </cfRule>
  </conditionalFormatting>
  <conditionalFormatting sqref="C75:C79">
    <cfRule type="cellIs" dxfId="1593" priority="69" stopIfTrue="1" operator="greaterThan">
      <formula>$F75</formula>
    </cfRule>
  </conditionalFormatting>
  <conditionalFormatting sqref="C76">
    <cfRule type="cellIs" dxfId="1592" priority="127" stopIfTrue="1" operator="greaterThan">
      <formula>$F75</formula>
    </cfRule>
  </conditionalFormatting>
  <conditionalFormatting sqref="C77:C80">
    <cfRule type="cellIs" dxfId="1591" priority="76" stopIfTrue="1" operator="lessThanOrEqual">
      <formula>0</formula>
    </cfRule>
  </conditionalFormatting>
  <conditionalFormatting sqref="C80">
    <cfRule type="cellIs" dxfId="1590" priority="75" stopIfTrue="1" operator="greaterThan">
      <formula>$J80</formula>
    </cfRule>
  </conditionalFormatting>
  <conditionalFormatting sqref="C86:C90">
    <cfRule type="cellIs" dxfId="1589" priority="115" stopIfTrue="1" operator="lessThanOrEqual">
      <formula>0</formula>
    </cfRule>
  </conditionalFormatting>
  <conditionalFormatting sqref="C87:C90">
    <cfRule type="cellIs" dxfId="1588" priority="114" stopIfTrue="1" operator="greaterThan">
      <formula>$F$86</formula>
    </cfRule>
  </conditionalFormatting>
  <conditionalFormatting sqref="C92">
    <cfRule type="cellIs" dxfId="1587" priority="116" stopIfTrue="1" operator="greaterThan">
      <formula>$F$86</formula>
    </cfRule>
    <cfRule type="cellIs" dxfId="1586" priority="117" stopIfTrue="1" operator="lessThanOrEqual">
      <formula>0</formula>
    </cfRule>
  </conditionalFormatting>
  <conditionalFormatting sqref="C86:D86 D88:D94">
    <cfRule type="cellIs" dxfId="1585" priority="109" stopIfTrue="1" operator="greaterThan">
      <formula>4.5</formula>
    </cfRule>
  </conditionalFormatting>
  <conditionalFormatting sqref="D61:D62">
    <cfRule type="cellIs" dxfId="1584" priority="93" operator="notBetween">
      <formula>#REF!</formula>
      <formula>#REF!</formula>
    </cfRule>
  </conditionalFormatting>
  <conditionalFormatting sqref="D75:D82">
    <cfRule type="cellIs" dxfId="1583" priority="86" stopIfTrue="1" operator="lessThanOrEqual">
      <formula>0</formula>
    </cfRule>
  </conditionalFormatting>
  <conditionalFormatting sqref="D83">
    <cfRule type="cellIs" dxfId="1582" priority="85" stopIfTrue="1" operator="lessThanOrEqual">
      <formula>0</formula>
    </cfRule>
  </conditionalFormatting>
  <conditionalFormatting sqref="D86 D88:D94">
    <cfRule type="cellIs" dxfId="1581" priority="110" stopIfTrue="1" operator="lessThanOrEqual">
      <formula>0</formula>
    </cfRule>
  </conditionalFormatting>
  <conditionalFormatting sqref="D87">
    <cfRule type="cellIs" dxfId="1580" priority="102" stopIfTrue="1" operator="lessThanOrEqual">
      <formula>0</formula>
    </cfRule>
    <cfRule type="cellIs" dxfId="1579" priority="101" stopIfTrue="1" operator="greaterThan">
      <formula>$F$86</formula>
    </cfRule>
  </conditionalFormatting>
  <conditionalFormatting sqref="D75:E84">
    <cfRule type="cellIs" dxfId="1578" priority="66" stopIfTrue="1" operator="greaterThan">
      <formula>$F75</formula>
    </cfRule>
  </conditionalFormatting>
  <conditionalFormatting sqref="D84:E84">
    <cfRule type="cellIs" dxfId="1577" priority="67" stopIfTrue="1" operator="lessThanOrEqual">
      <formula>0</formula>
    </cfRule>
  </conditionalFormatting>
  <conditionalFormatting sqref="E10:E36">
    <cfRule type="cellIs" dxfId="1576" priority="2" operator="lessThan">
      <formula>48</formula>
    </cfRule>
  </conditionalFormatting>
  <conditionalFormatting sqref="E64 E65:F65">
    <cfRule type="cellIs" dxfId="1575" priority="106" stopIfTrue="1" operator="greaterThan">
      <formula>100</formula>
    </cfRule>
  </conditionalFormatting>
  <conditionalFormatting sqref="E65">
    <cfRule type="cellIs" dxfId="1574" priority="104" stopIfTrue="1" operator="greaterThan">
      <formula>100</formula>
    </cfRule>
    <cfRule type="cellIs" dxfId="1573" priority="103" stopIfTrue="1" operator="lessThan">
      <formula>96.8</formula>
    </cfRule>
  </conditionalFormatting>
  <conditionalFormatting sqref="E75:E83">
    <cfRule type="cellIs" dxfId="1572" priority="80" stopIfTrue="1" operator="lessThanOrEqual">
      <formula>0</formula>
    </cfRule>
  </conditionalFormatting>
  <conditionalFormatting sqref="E86:E94">
    <cfRule type="cellIs" dxfId="1571" priority="96" stopIfTrue="1" operator="lessThanOrEqual">
      <formula>0</formula>
    </cfRule>
    <cfRule type="cellIs" dxfId="1570" priority="95" stopIfTrue="1" operator="greaterThan">
      <formula>4.5</formula>
    </cfRule>
  </conditionalFormatting>
  <conditionalFormatting sqref="E65:F65 E64">
    <cfRule type="cellIs" dxfId="1569" priority="105" stopIfTrue="1" operator="lessThan">
      <formula>96.5</formula>
    </cfRule>
  </conditionalFormatting>
  <conditionalFormatting sqref="F10:F36">
    <cfRule type="cellIs" dxfId="1568" priority="3" operator="greaterThan">
      <formula>60</formula>
    </cfRule>
  </conditionalFormatting>
  <conditionalFormatting sqref="F65">
    <cfRule type="cellIs" dxfId="1567" priority="121" stopIfTrue="1" operator="lessThan">
      <formula>96.8</formula>
    </cfRule>
    <cfRule type="cellIs" dxfId="1566" priority="122" stopIfTrue="1" operator="greaterThan">
      <formula>100</formula>
    </cfRule>
  </conditionalFormatting>
  <conditionalFormatting sqref="F84">
    <cfRule type="cellIs" dxfId="1565" priority="81" stopIfTrue="1" operator="greaterThan">
      <formula>$F84</formula>
    </cfRule>
    <cfRule type="cellIs" dxfId="1564" priority="82" stopIfTrue="1" operator="lessThanOrEqual">
      <formula>0</formula>
    </cfRule>
  </conditionalFormatting>
  <conditionalFormatting sqref="G75:G76 C81:C83">
    <cfRule type="cellIs" dxfId="1563" priority="88" stopIfTrue="1" operator="lessThanOrEqual">
      <formula>0</formula>
    </cfRule>
    <cfRule type="cellIs" dxfId="1562" priority="87" stopIfTrue="1" operator="greaterThan">
      <formula>$F75</formula>
    </cfRule>
  </conditionalFormatting>
  <conditionalFormatting sqref="G75:G76">
    <cfRule type="cellIs" dxfId="1561" priority="72" stopIfTrue="1" operator="lessThanOrEqual">
      <formula>0</formula>
    </cfRule>
    <cfRule type="cellIs" dxfId="1560" priority="71" stopIfTrue="1" operator="greaterThan">
      <formula>$F75</formula>
    </cfRule>
  </conditionalFormatting>
  <conditionalFormatting sqref="G77">
    <cfRule type="cellIs" dxfId="1559" priority="125" stopIfTrue="1" operator="greaterThan">
      <formula>$F76</formula>
    </cfRule>
    <cfRule type="cellIs" dxfId="1558" priority="126" stopIfTrue="1" operator="lessThanOrEqual">
      <formula>0</formula>
    </cfRule>
  </conditionalFormatting>
  <conditionalFormatting sqref="G78">
    <cfRule type="cellIs" dxfId="1557" priority="84" stopIfTrue="1" operator="lessThanOrEqual">
      <formula>0</formula>
    </cfRule>
    <cfRule type="cellIs" dxfId="1556" priority="83" stopIfTrue="1" operator="greaterThan">
      <formula>$F78</formula>
    </cfRule>
  </conditionalFormatting>
  <conditionalFormatting sqref="G79:G83">
    <cfRule type="cellIs" dxfId="1555" priority="89" stopIfTrue="1" operator="greaterThan">
      <formula>$J79</formula>
    </cfRule>
    <cfRule type="cellIs" dxfId="1554" priority="90" stopIfTrue="1" operator="lessThanOrEqual">
      <formula>0</formula>
    </cfRule>
  </conditionalFormatting>
  <conditionalFormatting sqref="G88:G93 C91 C93">
    <cfRule type="cellIs" dxfId="1553" priority="119" stopIfTrue="1" operator="lessThanOrEqual">
      <formula>0</formula>
    </cfRule>
    <cfRule type="cellIs" dxfId="1552" priority="118" stopIfTrue="1" operator="greaterThan">
      <formula>4.5</formula>
    </cfRule>
  </conditionalFormatting>
  <conditionalFormatting sqref="G10:H36">
    <cfRule type="expression" dxfId="1551" priority="4">
      <formula>IF(+(IF(G10&lt;#REF!,0,IF(G10&gt;#REF!,0,1)))=0,1)</formula>
    </cfRule>
  </conditionalFormatting>
  <conditionalFormatting sqref="G87:H87">
    <cfRule type="cellIs" dxfId="1550" priority="99" stopIfTrue="1" operator="greaterThan">
      <formula>$F$86</formula>
    </cfRule>
    <cfRule type="cellIs" dxfId="1549" priority="100" stopIfTrue="1" operator="lessThanOrEqual">
      <formula>0</formula>
    </cfRule>
  </conditionalFormatting>
  <conditionalFormatting sqref="H50:H64">
    <cfRule type="cellIs" dxfId="1548" priority="97" stopIfTrue="1" operator="greaterThan">
      <formula>0</formula>
    </cfRule>
  </conditionalFormatting>
  <conditionalFormatting sqref="H68">
    <cfRule type="cellIs" dxfId="1547" priority="24" stopIfTrue="1" operator="lessThanOrEqual">
      <formula>0</formula>
    </cfRule>
    <cfRule type="cellIs" dxfId="1546" priority="25" stopIfTrue="1" operator="greaterThan">
      <formula>$F$38</formula>
    </cfRule>
    <cfRule type="cellIs" dxfId="1545" priority="33" stopIfTrue="1" operator="greaterThan">
      <formula>$F$41</formula>
    </cfRule>
    <cfRule type="cellIs" dxfId="1544" priority="34" stopIfTrue="1" operator="lessThanOrEqual">
      <formula>0</formula>
    </cfRule>
    <cfRule type="cellIs" dxfId="1543" priority="35" stopIfTrue="1" operator="greaterThan">
      <formula>$F$39</formula>
    </cfRule>
    <cfRule type="cellIs" dxfId="1542" priority="36" stopIfTrue="1" operator="lessThanOrEqual">
      <formula>0</formula>
    </cfRule>
  </conditionalFormatting>
  <conditionalFormatting sqref="H69:H71">
    <cfRule type="cellIs" dxfId="1541" priority="52" stopIfTrue="1" operator="lessThanOrEqual">
      <formula>0</formula>
    </cfRule>
    <cfRule type="cellIs" dxfId="1540" priority="51" stopIfTrue="1" operator="greaterThan">
      <formula>$F$50</formula>
    </cfRule>
    <cfRule type="cellIs" dxfId="1539" priority="50" stopIfTrue="1" operator="lessThanOrEqual">
      <formula>0</formula>
    </cfRule>
    <cfRule type="cellIs" dxfId="1538" priority="49" stopIfTrue="1" operator="greaterThan">
      <formula>$F$52</formula>
    </cfRule>
    <cfRule type="cellIs" dxfId="1537" priority="40" stopIfTrue="1" operator="lessThanOrEqual">
      <formula>0</formula>
    </cfRule>
    <cfRule type="cellIs" dxfId="1536" priority="41" stopIfTrue="1" operator="greaterThan">
      <formula>$F$49</formula>
    </cfRule>
  </conditionalFormatting>
  <conditionalFormatting sqref="H75:H82">
    <cfRule type="cellIs" dxfId="1535" priority="73" stopIfTrue="1" operator="greaterThan">
      <formula>$J75</formula>
    </cfRule>
    <cfRule type="cellIs" dxfId="1534" priority="74" stopIfTrue="1" operator="lessThanOrEqual">
      <formula>0</formula>
    </cfRule>
  </conditionalFormatting>
  <conditionalFormatting sqref="H83">
    <cfRule type="cellIs" dxfId="1533" priority="77" operator="greaterThan">
      <formula>5.3</formula>
    </cfRule>
  </conditionalFormatting>
  <conditionalFormatting sqref="H86 H88:H94">
    <cfRule type="cellIs" dxfId="1532" priority="112" stopIfTrue="1" operator="lessThanOrEqual">
      <formula>0</formula>
    </cfRule>
    <cfRule type="cellIs" dxfId="1531" priority="111" stopIfTrue="1" operator="greaterThan">
      <formula>4.5</formula>
    </cfRule>
  </conditionalFormatting>
  <conditionalFormatting sqref="H68:I68">
    <cfRule type="cellIs" dxfId="1530" priority="26" stopIfTrue="1" operator="lessThanOrEqual">
      <formula>0</formula>
    </cfRule>
    <cfRule type="cellIs" dxfId="1529" priority="23" stopIfTrue="1" operator="greaterThan">
      <formula>$F$40</formula>
    </cfRule>
  </conditionalFormatting>
  <conditionalFormatting sqref="H69:I71">
    <cfRule type="cellIs" dxfId="1528" priority="39" stopIfTrue="1" operator="greaterThan">
      <formula>$F$51</formula>
    </cfRule>
    <cfRule type="cellIs" dxfId="1527" priority="42" stopIfTrue="1" operator="lessThanOrEqual">
      <formula>0</formula>
    </cfRule>
  </conditionalFormatting>
  <conditionalFormatting sqref="H84:I84">
    <cfRule type="cellIs" dxfId="1526" priority="65" stopIfTrue="1" operator="lessThanOrEqual">
      <formula>0</formula>
    </cfRule>
    <cfRule type="cellIs" dxfId="1525" priority="64" stopIfTrue="1" operator="greaterThan">
      <formula>$J84</formula>
    </cfRule>
  </conditionalFormatting>
  <conditionalFormatting sqref="I68">
    <cfRule type="cellIs" dxfId="1524" priority="27" stopIfTrue="1" operator="greaterThan">
      <formula>$F$38</formula>
    </cfRule>
    <cfRule type="cellIs" dxfId="1523" priority="28" stopIfTrue="1" operator="lessThanOrEqual">
      <formula>0</formula>
    </cfRule>
    <cfRule type="cellIs" dxfId="1522" priority="32" stopIfTrue="1" operator="lessThanOrEqual">
      <formula>0</formula>
    </cfRule>
    <cfRule type="cellIs" dxfId="1521" priority="29" stopIfTrue="1" operator="greaterThan">
      <formula>$F$40</formula>
    </cfRule>
    <cfRule type="cellIs" dxfId="1520" priority="30" stopIfTrue="1" operator="lessThanOrEqual">
      <formula>0</formula>
    </cfRule>
    <cfRule type="cellIs" dxfId="1519" priority="31" stopIfTrue="1" operator="greaterThan">
      <formula>$F$38</formula>
    </cfRule>
  </conditionalFormatting>
  <conditionalFormatting sqref="I69:I71">
    <cfRule type="cellIs" dxfId="1518" priority="47" stopIfTrue="1" operator="greaterThan">
      <formula>$F$49</formula>
    </cfRule>
    <cfRule type="cellIs" dxfId="1517" priority="46" stopIfTrue="1" operator="lessThanOrEqual">
      <formula>0</formula>
    </cfRule>
    <cfRule type="cellIs" dxfId="1516" priority="44" stopIfTrue="1" operator="lessThanOrEqual">
      <formula>0</formula>
    </cfRule>
    <cfRule type="cellIs" dxfId="1515" priority="43" stopIfTrue="1" operator="greaterThan">
      <formula>$F$49</formula>
    </cfRule>
    <cfRule type="cellIs" dxfId="1514" priority="45" stopIfTrue="1" operator="greaterThan">
      <formula>$F$51</formula>
    </cfRule>
    <cfRule type="cellIs" dxfId="1513" priority="48" stopIfTrue="1" operator="lessThanOrEqual">
      <formula>0</formula>
    </cfRule>
  </conditionalFormatting>
  <conditionalFormatting sqref="I75:I83">
    <cfRule type="cellIs" dxfId="1512" priority="79" stopIfTrue="1" operator="lessThanOrEqual">
      <formula>0</formula>
    </cfRule>
    <cfRule type="cellIs" dxfId="1511" priority="78" stopIfTrue="1" operator="greaterThan">
      <formula>$J75</formula>
    </cfRule>
  </conditionalFormatting>
  <conditionalFormatting sqref="I86:I94">
    <cfRule type="cellIs" dxfId="1510" priority="107" stopIfTrue="1" operator="greaterThan">
      <formula>4.5</formula>
    </cfRule>
    <cfRule type="cellIs" dxfId="1509" priority="108" stopIfTrue="1" operator="lessThanOrEqual">
      <formula>0</formula>
    </cfRule>
  </conditionalFormatting>
  <conditionalFormatting sqref="I10:J36">
    <cfRule type="cellIs" dxfId="1508" priority="9" operator="lessThan">
      <formula>97.9</formula>
    </cfRule>
  </conditionalFormatting>
  <conditionalFormatting sqref="J39:J41">
    <cfRule type="cellIs" dxfId="1507" priority="55" stopIfTrue="1" operator="greaterThan">
      <formula>100</formula>
    </cfRule>
    <cfRule type="cellIs" dxfId="1506" priority="54" stopIfTrue="1" operator="lessThan">
      <formula>96.8</formula>
    </cfRule>
    <cfRule type="cellIs" dxfId="1505" priority="56" operator="lessThan">
      <formula>98</formula>
    </cfRule>
  </conditionalFormatting>
  <conditionalFormatting sqref="J39:J43">
    <cfRule type="cellIs" dxfId="1504" priority="53" operator="lessThan">
      <formula>97.4</formula>
    </cfRule>
  </conditionalFormatting>
  <conditionalFormatting sqref="J44">
    <cfRule type="cellIs" dxfId="1503" priority="57" operator="lessThan">
      <formula>98</formula>
    </cfRule>
  </conditionalFormatting>
  <conditionalFormatting sqref="J45:J47">
    <cfRule type="cellIs" dxfId="1502" priority="58" stopIfTrue="1" operator="lessThan">
      <formula>96.8</formula>
    </cfRule>
    <cfRule type="cellIs" dxfId="1501" priority="59" stopIfTrue="1" operator="greaterThan">
      <formula>100</formula>
    </cfRule>
  </conditionalFormatting>
  <conditionalFormatting sqref="J45:J48">
    <cfRule type="cellIs" dxfId="1500" priority="60" operator="lessThan">
      <formula>98</formula>
    </cfRule>
  </conditionalFormatting>
  <conditionalFormatting sqref="J84">
    <cfRule type="cellIs" dxfId="1499" priority="61" stopIfTrue="1" operator="greaterThan">
      <formula>$F84</formula>
    </cfRule>
    <cfRule type="cellIs" dxfId="1498" priority="62" stopIfTrue="1" operator="lessThanOrEqual">
      <formula>0</formula>
    </cfRule>
  </conditionalFormatting>
  <conditionalFormatting sqref="K10:K36">
    <cfRule type="cellIs" dxfId="1497" priority="6" operator="greaterThan">
      <formula>6</formula>
    </cfRule>
    <cfRule type="cellIs" dxfId="1496" priority="7" operator="lessThan">
      <formula>4</formula>
    </cfRule>
    <cfRule type="cellIs" dxfId="1495" priority="8" operator="greaterThan">
      <formula>6.4</formula>
    </cfRule>
  </conditionalFormatting>
  <conditionalFormatting sqref="K68:K71">
    <cfRule type="cellIs" dxfId="1494" priority="37" stopIfTrue="1" operator="lessThan">
      <formula>100%</formula>
    </cfRule>
  </conditionalFormatting>
  <conditionalFormatting sqref="K86:K91">
    <cfRule type="cellIs" dxfId="1493" priority="113" stopIfTrue="1" operator="lessThan">
      <formula>100%</formula>
    </cfRule>
  </conditionalFormatting>
  <conditionalFormatting sqref="K93:K94">
    <cfRule type="cellIs" dxfId="1492" priority="120" stopIfTrue="1" operator="lessThan">
      <formula>100%</formula>
    </cfRule>
  </conditionalFormatting>
  <conditionalFormatting sqref="K75:N78 L79:N79">
    <cfRule type="cellIs" dxfId="1491" priority="91" stopIfTrue="1" operator="lessThan">
      <formula>100%</formula>
    </cfRule>
  </conditionalFormatting>
  <conditionalFormatting sqref="K80:N84">
    <cfRule type="cellIs" dxfId="1490" priority="63" stopIfTrue="1" operator="lessThan">
      <formula>100%</formula>
    </cfRule>
  </conditionalFormatting>
  <conditionalFormatting sqref="L24:L36">
    <cfRule type="cellIs" dxfId="1489" priority="21" operator="between">
      <formula>61</formula>
      <formula>65</formula>
    </cfRule>
    <cfRule type="cellIs" dxfId="1488" priority="22" operator="greaterThan">
      <formula>65</formula>
    </cfRule>
  </conditionalFormatting>
  <conditionalFormatting sqref="L10:M23">
    <cfRule type="cellIs" dxfId="1487" priority="11" operator="greaterThan">
      <formula>65</formula>
    </cfRule>
    <cfRule type="cellIs" dxfId="1486" priority="10" operator="between">
      <formula>61</formula>
      <formula>65</formula>
    </cfRule>
  </conditionalFormatting>
  <conditionalFormatting sqref="L54:N54">
    <cfRule type="cellIs" dxfId="1485" priority="38" operator="notEqual">
      <formula>#REF!</formula>
    </cfRule>
  </conditionalFormatting>
  <conditionalFormatting sqref="L86:N94">
    <cfRule type="cellIs" dxfId="1484" priority="98" stopIfTrue="1" operator="lessThan">
      <formula>100%</formula>
    </cfRule>
  </conditionalFormatting>
  <conditionalFormatting sqref="M10:M36">
    <cfRule type="expression" dxfId="1483" priority="5">
      <formula>IF(+(IF(M10&lt;U10,0,IF(M10&gt;V10,0,1)))=0,1)</formula>
    </cfRule>
  </conditionalFormatting>
  <conditionalFormatting sqref="M39 L40:M50">
    <cfRule type="cellIs" dxfId="1482" priority="68" operator="lessThan">
      <formula>98</formula>
    </cfRule>
  </conditionalFormatting>
  <conditionalFormatting sqref="N10:N36">
    <cfRule type="expression" dxfId="1481" priority="1">
      <formula>IF(+(IF(N10&lt;W10,0,IF(N10&gt;X10,0,1)))=0,1)</formula>
    </cfRule>
  </conditionalFormatting>
  <conditionalFormatting sqref="P6">
    <cfRule type="cellIs" dxfId="1480" priority="94" operator="greaterThanOrEqual">
      <formula>19</formula>
    </cfRule>
  </conditionalFormatting>
  <dataValidations count="1">
    <dataValidation type="list" allowBlank="1" showInputMessage="1" showErrorMessage="1" sqref="R8" xr:uid="{E0A59A26-B57B-42F1-B878-8D522ED51F14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8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65EC-CA41-46EE-AD6A-01092A9F4C1D}">
  <sheetPr>
    <pageSetUpPr fitToPage="1"/>
  </sheetPr>
  <dimension ref="A1:BE90"/>
  <sheetViews>
    <sheetView topLeftCell="A18" zoomScale="60" zoomScaleNormal="60" workbookViewId="0">
      <selection activeCell="B21" sqref="B21:O21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36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21.33203125" style="275" customWidth="1"/>
    <col min="16" max="16" width="35.886718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73" t="s">
        <v>0</v>
      </c>
      <c r="T1" s="473"/>
      <c r="U1" s="473" t="s">
        <v>1</v>
      </c>
      <c r="V1" s="473"/>
      <c r="W1" s="473" t="s">
        <v>2</v>
      </c>
      <c r="X1" s="473"/>
      <c r="Y1" s="473" t="s">
        <v>124</v>
      </c>
      <c r="Z1" s="473"/>
    </row>
    <row r="2" spans="2:29" ht="14.4">
      <c r="B2" s="474" t="s">
        <v>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45824</v>
      </c>
      <c r="J4" s="398" t="s">
        <v>172</v>
      </c>
      <c r="K4" s="398"/>
      <c r="L4" s="11"/>
      <c r="M4" s="471" t="s">
        <v>8</v>
      </c>
      <c r="N4" s="472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68"/>
      <c r="D5" s="468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179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81" t="s">
        <v>17</v>
      </c>
      <c r="C8" s="483" t="s">
        <v>18</v>
      </c>
      <c r="D8" s="483" t="s">
        <v>19</v>
      </c>
      <c r="E8" s="356" t="s">
        <v>20</v>
      </c>
      <c r="F8" s="356" t="s">
        <v>21</v>
      </c>
      <c r="G8" s="483" t="s">
        <v>22</v>
      </c>
      <c r="H8" s="485" t="s">
        <v>144</v>
      </c>
      <c r="I8" s="483" t="s">
        <v>173</v>
      </c>
      <c r="J8" s="487" t="s">
        <v>23</v>
      </c>
      <c r="K8" s="489" t="s">
        <v>142</v>
      </c>
      <c r="L8" s="491" t="s">
        <v>24</v>
      </c>
      <c r="M8" s="359" t="s">
        <v>25</v>
      </c>
      <c r="N8" s="17" t="s">
        <v>26</v>
      </c>
      <c r="O8" s="543" t="s">
        <v>155</v>
      </c>
      <c r="P8" s="555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82"/>
      <c r="C9" s="484"/>
      <c r="D9" s="484"/>
      <c r="E9" s="357" t="s">
        <v>30</v>
      </c>
      <c r="F9" s="357" t="s">
        <v>31</v>
      </c>
      <c r="G9" s="484"/>
      <c r="H9" s="486"/>
      <c r="I9" s="484"/>
      <c r="J9" s="488"/>
      <c r="K9" s="490"/>
      <c r="L9" s="492"/>
      <c r="M9" s="20" t="s">
        <v>32</v>
      </c>
      <c r="N9" s="21" t="s">
        <v>41</v>
      </c>
      <c r="O9" s="556"/>
      <c r="P9" s="555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33"/>
      <c r="C10" s="366"/>
      <c r="D10" s="279"/>
      <c r="E10" s="279"/>
      <c r="F10" s="278"/>
      <c r="G10" s="279"/>
      <c r="H10" s="396"/>
      <c r="I10" s="429"/>
      <c r="J10" s="429"/>
      <c r="K10" s="430"/>
      <c r="L10" s="276"/>
      <c r="M10" s="374"/>
      <c r="N10" s="370"/>
      <c r="O10" s="422"/>
      <c r="P10" s="420"/>
      <c r="R10" s="277">
        <f t="shared" ref="R10:R40" si="0">B10</f>
        <v>0</v>
      </c>
      <c r="S10" s="296" t="e">
        <f t="shared" ref="S10:S40" si="1">VLOOKUP($B10,$R$3:$X$9,2,FALSE)</f>
        <v>#N/A</v>
      </c>
      <c r="T10" s="296" t="e">
        <f t="shared" ref="T10:T40" si="2">VLOOKUP($B10,$R$3:$X$9,3,FALSE)</f>
        <v>#N/A</v>
      </c>
      <c r="U10" s="297" t="e">
        <f t="shared" ref="U10:U40" si="3">VLOOKUP($B10,$R$3:$X$9,4,FALSE)</f>
        <v>#N/A</v>
      </c>
      <c r="V10" s="297" t="e">
        <f t="shared" ref="V10:V40" si="4">VLOOKUP($B10,$R$3:$X$9,5,FALSE)</f>
        <v>#N/A</v>
      </c>
      <c r="W10" s="297" t="e">
        <f t="shared" ref="W10:W40" si="5">VLOOKUP($B10,$R$3:$X$9,6,FALSE)</f>
        <v>#N/A</v>
      </c>
      <c r="X10" s="297" t="e">
        <f t="shared" ref="X10:X40" si="6">VLOOKUP($B10,$R$3:$X$9,7,FALSE)</f>
        <v>#N/A</v>
      </c>
      <c r="Y10" s="297" t="e">
        <f t="shared" ref="Y10:Y40" si="7">VLOOKUP($B10,$R$3:$Z$9,8,FALSE)</f>
        <v>#N/A</v>
      </c>
      <c r="Z10" s="296" t="e">
        <f t="shared" ref="Z10:Z40" si="8">VLOOKUP($B10,$R$3:$Z$9,9,FALSE)</f>
        <v>#N/A</v>
      </c>
    </row>
    <row r="11" spans="2:29" ht="15.75" hidden="1" customHeight="1">
      <c r="B11" s="33"/>
      <c r="C11" s="366"/>
      <c r="D11" s="279"/>
      <c r="E11" s="279"/>
      <c r="F11" s="278"/>
      <c r="G11" s="279"/>
      <c r="H11" s="396"/>
      <c r="I11" s="429"/>
      <c r="J11" s="429"/>
      <c r="K11" s="430"/>
      <c r="L11" s="276"/>
      <c r="M11" s="374"/>
      <c r="N11" s="370"/>
      <c r="O11" s="422"/>
      <c r="P11" s="420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33"/>
      <c r="C12" s="366"/>
      <c r="D12" s="279"/>
      <c r="E12" s="279"/>
      <c r="F12" s="278"/>
      <c r="G12" s="279"/>
      <c r="H12" s="396"/>
      <c r="I12" s="429"/>
      <c r="J12" s="429"/>
      <c r="K12" s="430"/>
      <c r="L12" s="276"/>
      <c r="M12" s="374"/>
      <c r="N12" s="370"/>
      <c r="O12" s="422"/>
      <c r="P12" s="420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33"/>
      <c r="C13" s="366"/>
      <c r="D13" s="279"/>
      <c r="E13" s="279"/>
      <c r="F13" s="278"/>
      <c r="G13" s="279"/>
      <c r="H13" s="396"/>
      <c r="I13" s="429"/>
      <c r="J13" s="429"/>
      <c r="K13" s="430"/>
      <c r="L13" s="276"/>
      <c r="M13" s="374"/>
      <c r="N13" s="370"/>
      <c r="O13" s="422"/>
      <c r="P13" s="420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33"/>
      <c r="C14" s="366"/>
      <c r="D14" s="279"/>
      <c r="E14" s="279"/>
      <c r="F14" s="278"/>
      <c r="G14" s="279"/>
      <c r="H14" s="396"/>
      <c r="I14" s="429"/>
      <c r="J14" s="429"/>
      <c r="K14" s="430"/>
      <c r="L14" s="276"/>
      <c r="M14" s="374"/>
      <c r="N14" s="370"/>
      <c r="O14" s="422"/>
      <c r="P14" s="420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33"/>
      <c r="C15" s="366"/>
      <c r="D15" s="279"/>
      <c r="E15" s="279"/>
      <c r="F15" s="278"/>
      <c r="G15" s="279"/>
      <c r="H15" s="396"/>
      <c r="I15" s="429"/>
      <c r="J15" s="429"/>
      <c r="K15" s="430"/>
      <c r="L15" s="276"/>
      <c r="M15" s="374"/>
      <c r="N15" s="370"/>
      <c r="O15" s="422"/>
      <c r="P15" s="420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customHeight="1">
      <c r="B16" s="441" t="s">
        <v>190</v>
      </c>
      <c r="C16" s="366"/>
      <c r="D16" s="279"/>
      <c r="E16" s="279"/>
      <c r="F16" s="278"/>
      <c r="G16" s="279"/>
      <c r="H16" s="396"/>
      <c r="I16" s="429"/>
      <c r="J16" s="429"/>
      <c r="K16" s="430"/>
      <c r="L16" s="276"/>
      <c r="M16" s="374"/>
      <c r="N16" s="370"/>
      <c r="O16" s="422"/>
      <c r="P16" s="420"/>
      <c r="R16" s="277" t="str">
        <f t="shared" si="0"/>
        <v>JUNE 13TH 2025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customHeight="1">
      <c r="B17" s="33" t="s">
        <v>9</v>
      </c>
      <c r="C17" s="366" t="str">
        <f>[25]Brewhouse!$A257</f>
        <v>ST238</v>
      </c>
      <c r="D17" s="279">
        <f>[25]Brewhouse!$AD257</f>
        <v>53</v>
      </c>
      <c r="E17" s="279">
        <f>[25]Brewhouse!$AG257</f>
        <v>50.2</v>
      </c>
      <c r="F17" s="278">
        <f>[25]Brewhouse!$V257</f>
        <v>60</v>
      </c>
      <c r="G17" s="279">
        <f>[25]Brewhouse!$AE257</f>
        <v>11.8</v>
      </c>
      <c r="H17" s="396">
        <v>11.8</v>
      </c>
      <c r="I17" s="429">
        <f>[25]Brewhouse!$AS257</f>
        <v>97.136028708589762</v>
      </c>
      <c r="J17" s="429">
        <f>[25]Brewhouse!$AT257</f>
        <v>99.531485355117454</v>
      </c>
      <c r="K17" s="430">
        <f>[25]Brewhouse!$Q257</f>
        <v>4.5787545787545785</v>
      </c>
      <c r="L17" s="276">
        <f>[25]Brewhouse!$P257</f>
        <v>60</v>
      </c>
      <c r="M17" s="374">
        <f>[25]Brewhouse!$U257-[25]Brewhouse!$T257</f>
        <v>0.1138888888888889</v>
      </c>
      <c r="N17" s="370">
        <f>[25]Brewhouse!$AW257</f>
        <v>0.25347222222222227</v>
      </c>
      <c r="O17" s="422" t="str">
        <f>[25]Brewhouse!$AV257</f>
        <v>K. Benjamin</v>
      </c>
      <c r="P17" s="420"/>
      <c r="R17" s="277" t="str">
        <f t="shared" si="0"/>
        <v>STAG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2:26" ht="15.75" customHeight="1">
      <c r="B18" s="33" t="s">
        <v>9</v>
      </c>
      <c r="C18" s="366" t="str">
        <f>[25]Brewhouse!$A258</f>
        <v>ST239</v>
      </c>
      <c r="D18" s="279">
        <f>[25]Brewhouse!$AD258</f>
        <v>53.3</v>
      </c>
      <c r="E18" s="279">
        <f>[25]Brewhouse!$AG258</f>
        <v>50.7</v>
      </c>
      <c r="F18" s="278">
        <f>[25]Brewhouse!$V258</f>
        <v>64</v>
      </c>
      <c r="G18" s="279">
        <f>[25]Brewhouse!$AE258</f>
        <v>11.8</v>
      </c>
      <c r="H18" s="396">
        <v>11.8</v>
      </c>
      <c r="I18" s="429">
        <f>[25]Brewhouse!$AS258</f>
        <v>98.349989106466737</v>
      </c>
      <c r="J18" s="429">
        <f>[25]Brewhouse!$AT258</f>
        <v>100.77380431959617</v>
      </c>
      <c r="K18" s="430">
        <f>[25]Brewhouse!$Q258</f>
        <v>4.0293040293040345</v>
      </c>
      <c r="L18" s="276">
        <f>[25]Brewhouse!$P258</f>
        <v>58</v>
      </c>
      <c r="M18" s="374">
        <f>[25]Brewhouse!$U258-[25]Brewhouse!$T258</f>
        <v>0.10625000000000001</v>
      </c>
      <c r="N18" s="370">
        <f>[25]Brewhouse!$AW258</f>
        <v>0.25069444444444444</v>
      </c>
      <c r="O18" s="422" t="str">
        <f>[25]Brewhouse!$AV258</f>
        <v>R.Sookram</v>
      </c>
      <c r="P18" s="420"/>
      <c r="R18" s="277" t="str">
        <f t="shared" si="0"/>
        <v>STAG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2:26" ht="15.75" customHeight="1">
      <c r="B19" s="33" t="s">
        <v>9</v>
      </c>
      <c r="C19" s="366" t="str">
        <f>[25]Brewhouse!$A259</f>
        <v>ST240</v>
      </c>
      <c r="D19" s="279">
        <f>[25]Brewhouse!$AD259</f>
        <v>54.3</v>
      </c>
      <c r="E19" s="279">
        <f>[25]Brewhouse!$AG259</f>
        <v>51.9</v>
      </c>
      <c r="F19" s="278">
        <f>[25]Brewhouse!$V259</f>
        <v>56</v>
      </c>
      <c r="G19" s="279">
        <f>[25]Brewhouse!$AE259</f>
        <v>11.6</v>
      </c>
      <c r="H19" s="396">
        <v>11.6</v>
      </c>
      <c r="I19" s="429">
        <f>[25]Brewhouse!$AS259</f>
        <v>98.882895456577998</v>
      </c>
      <c r="J19" s="429">
        <f>[25]Brewhouse!$AT259</f>
        <v>101.31984403688223</v>
      </c>
      <c r="K19" s="430">
        <f>[25]Brewhouse!$Q259</f>
        <v>5.1001821493624719</v>
      </c>
      <c r="L19" s="276">
        <f>[25]Brewhouse!$P259</f>
        <v>58</v>
      </c>
      <c r="M19" s="374">
        <f>[25]Brewhouse!$U259-[25]Brewhouse!$T259</f>
        <v>0.1118055555555556</v>
      </c>
      <c r="N19" s="370">
        <f>[25]Brewhouse!$AW259</f>
        <v>0.36458333333333331</v>
      </c>
      <c r="O19" s="422" t="str">
        <f>[25]Brewhouse!$AV259</f>
        <v>R.Sookram</v>
      </c>
      <c r="P19" s="420"/>
      <c r="R19" s="277" t="str">
        <f t="shared" si="0"/>
        <v>STAG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2:26" ht="15.75" customHeight="1">
      <c r="B20" s="33" t="s">
        <v>9</v>
      </c>
      <c r="C20" s="366" t="str">
        <f>[25]Brewhouse!$A260</f>
        <v>ST241</v>
      </c>
      <c r="D20" s="279">
        <f>[25]Brewhouse!$AD260</f>
        <v>53.6</v>
      </c>
      <c r="E20" s="279">
        <f>[25]Brewhouse!$AG260</f>
        <v>50.9</v>
      </c>
      <c r="F20" s="278">
        <f>[25]Brewhouse!$V260</f>
        <v>59</v>
      </c>
      <c r="G20" s="279">
        <f>[25]Brewhouse!$AE260</f>
        <v>11.7</v>
      </c>
      <c r="H20" s="367"/>
      <c r="I20" s="429">
        <f>[25]Brewhouse!$AS260</f>
        <v>97.980878408450792</v>
      </c>
      <c r="J20" s="429">
        <f>[25]Brewhouse!$AT260</f>
        <v>100.39480761635954</v>
      </c>
      <c r="K20" s="430">
        <f>[25]Brewhouse!$Q260</f>
        <v>3.8321167883211578</v>
      </c>
      <c r="L20" s="276">
        <f>[25]Brewhouse!$P260</f>
        <v>58</v>
      </c>
      <c r="M20" s="374">
        <f>[25]Brewhouse!$U260-[25]Brewhouse!$T260</f>
        <v>0.10902777777777772</v>
      </c>
      <c r="N20" s="370">
        <f>[25]Brewhouse!$AW260</f>
        <v>0.26805555555555555</v>
      </c>
      <c r="O20" s="422" t="str">
        <f>[25]Brewhouse!$AV260</f>
        <v>D. Gomaz</v>
      </c>
      <c r="P20" s="420"/>
      <c r="R20" s="277" t="str">
        <f t="shared" si="0"/>
        <v>STAG</v>
      </c>
      <c r="S20" s="296">
        <f t="shared" si="1"/>
        <v>11.6</v>
      </c>
      <c r="T20" s="296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296">
        <f t="shared" si="8"/>
        <v>60</v>
      </c>
    </row>
    <row r="21" spans="2:26" ht="15.75" customHeight="1">
      <c r="B21" s="33" t="s">
        <v>9</v>
      </c>
      <c r="C21" s="366" t="str">
        <f>[25]Brewhouse!$A261</f>
        <v>ST242</v>
      </c>
      <c r="D21" s="279">
        <f>[25]Brewhouse!$AD261</f>
        <v>53.8</v>
      </c>
      <c r="E21" s="279">
        <f>[25]Brewhouse!$AG261</f>
        <v>51.8</v>
      </c>
      <c r="F21" s="278">
        <f>[25]Brewhouse!$V261</f>
        <v>65</v>
      </c>
      <c r="G21" s="279">
        <f>[25]Brewhouse!$AE261</f>
        <v>11.6</v>
      </c>
      <c r="H21" s="396">
        <v>11.4</v>
      </c>
      <c r="I21" s="429">
        <f>[25]Brewhouse!$AS261</f>
        <v>98.816500310647015</v>
      </c>
      <c r="J21" s="429">
        <f>[25]Brewhouse!$AT261</f>
        <v>101.25101651623578</v>
      </c>
      <c r="K21" s="392">
        <f>[25]Brewhouse!$Q261</f>
        <v>-0.95419847328244278</v>
      </c>
      <c r="L21" s="276">
        <f>[25]Brewhouse!$P261</f>
        <v>59</v>
      </c>
      <c r="M21" s="374">
        <f>[25]Brewhouse!$U261-[25]Brewhouse!$T261</f>
        <v>0.10833333333333328</v>
      </c>
      <c r="N21" s="370">
        <f>[25]Brewhouse!$AW261</f>
        <v>0.26874999999999993</v>
      </c>
      <c r="O21" s="422" t="str">
        <f>[25]Brewhouse!$AV261</f>
        <v>D. Gomaz</v>
      </c>
      <c r="P21" s="420"/>
      <c r="R21" s="277" t="str">
        <f t="shared" si="0"/>
        <v>STAG</v>
      </c>
      <c r="S21" s="296">
        <f t="shared" si="1"/>
        <v>11.6</v>
      </c>
      <c r="T21" s="296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296">
        <f t="shared" si="8"/>
        <v>60</v>
      </c>
    </row>
    <row r="22" spans="2:26" ht="15.75" customHeight="1">
      <c r="B22" s="33"/>
      <c r="C22" s="366"/>
      <c r="D22" s="279"/>
      <c r="E22" s="279"/>
      <c r="F22" s="278"/>
      <c r="G22" s="279"/>
      <c r="H22" s="396"/>
      <c r="I22" s="429"/>
      <c r="J22" s="429"/>
      <c r="K22" s="430"/>
      <c r="L22" s="276"/>
      <c r="M22" s="374"/>
      <c r="N22" s="370"/>
      <c r="O22" s="422"/>
      <c r="P22" s="420"/>
      <c r="R22" s="277">
        <f t="shared" ref="R22:R35" si="9">B22</f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customHeight="1">
      <c r="B23" s="441" t="s">
        <v>189</v>
      </c>
      <c r="C23" s="283"/>
      <c r="D23" s="438"/>
      <c r="E23" s="439"/>
      <c r="F23" s="278"/>
      <c r="G23" s="279"/>
      <c r="H23" s="440"/>
      <c r="I23" s="280"/>
      <c r="J23" s="280"/>
      <c r="K23" s="281"/>
      <c r="L23" s="276"/>
      <c r="M23" s="374"/>
      <c r="N23" s="370"/>
      <c r="O23" s="371"/>
      <c r="P23" s="420"/>
      <c r="R23" s="277" t="str">
        <f t="shared" si="9"/>
        <v>JUNE 14TH 2025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customHeight="1">
      <c r="B24" s="373" t="s">
        <v>188</v>
      </c>
      <c r="C24" s="283" t="str">
        <f>[28]Brewhouse!$A10</f>
        <v>HP005</v>
      </c>
      <c r="D24" s="438">
        <f>[28]Brewhouse!$AF10</f>
        <v>55.4</v>
      </c>
      <c r="E24" s="439">
        <f>[28]Brewhouse!$AI10</f>
        <v>51.9</v>
      </c>
      <c r="F24" s="278">
        <f>[28]Brewhouse!$V10</f>
        <v>59</v>
      </c>
      <c r="G24" s="279">
        <f>[28]Brewhouse!$AG10</f>
        <v>11.4</v>
      </c>
      <c r="H24" s="440">
        <v>11.4</v>
      </c>
      <c r="I24" s="280">
        <f>[28]Brewhouse!$AU10</f>
        <v>94.811455712610496</v>
      </c>
      <c r="J24" s="280">
        <f>[28]Brewhouse!$AV10</f>
        <v>97.609583791002549</v>
      </c>
      <c r="K24" s="281">
        <f>[28]Brewhouse!$Q10</f>
        <v>7.9704797047970484</v>
      </c>
      <c r="L24" s="276">
        <f>[28]Brewhouse!$P10</f>
        <v>62</v>
      </c>
      <c r="M24" s="374">
        <f>[28]Brewhouse!$U10-[28]Brewhouse!$T10</f>
        <v>0.125</v>
      </c>
      <c r="N24" s="370">
        <f>[28]Brewhouse!$Z10</f>
        <v>0.26875000000000004</v>
      </c>
      <c r="O24" s="371" t="str">
        <f>[28]Brewhouse!$AW10</f>
        <v>K.Benjamin</v>
      </c>
      <c r="P24" s="420"/>
      <c r="R24" s="277" t="str">
        <f t="shared" si="9"/>
        <v>HR-PILSNER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customHeight="1">
      <c r="B25" s="373" t="s">
        <v>188</v>
      </c>
      <c r="C25" s="283" t="str">
        <f>[28]Brewhouse!$A11</f>
        <v>HP006</v>
      </c>
      <c r="D25" s="438">
        <f>[28]Brewhouse!$AF11</f>
        <v>57.9</v>
      </c>
      <c r="E25" s="439">
        <f>[28]Brewhouse!$AI11</f>
        <v>54.5</v>
      </c>
      <c r="F25" s="278">
        <f>[28]Brewhouse!$V11</f>
        <v>66</v>
      </c>
      <c r="G25" s="279">
        <f>[28]Brewhouse!$AG11</f>
        <v>11.3</v>
      </c>
      <c r="H25" s="440">
        <v>11.3</v>
      </c>
      <c r="I25" s="280">
        <f>[28]Brewhouse!$AU11</f>
        <v>98.883453602895727</v>
      </c>
      <c r="J25" s="280">
        <f>[28]Brewhouse!$AV11</f>
        <v>101.80137360678722</v>
      </c>
      <c r="K25" s="281">
        <f>[28]Brewhouse!$Q11</f>
        <v>7.4426807760141074</v>
      </c>
      <c r="L25" s="276">
        <f>[28]Brewhouse!$P11</f>
        <v>62</v>
      </c>
      <c r="M25" s="374">
        <f>[28]Brewhouse!$U11-[28]Brewhouse!$T11</f>
        <v>0.12222222222222223</v>
      </c>
      <c r="N25" s="370">
        <f>[28]Brewhouse!$Z11</f>
        <v>0.26180555555555557</v>
      </c>
      <c r="O25" s="371" t="str">
        <f>[28]Brewhouse!$AW11</f>
        <v>K.Benjamin</v>
      </c>
      <c r="P25" s="420"/>
      <c r="R25" s="277" t="str">
        <f t="shared" si="9"/>
        <v>HR-PILSNER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customHeight="1">
      <c r="B26" s="373" t="s">
        <v>188</v>
      </c>
      <c r="C26" s="283" t="str">
        <f>[28]Brewhouse!$A12</f>
        <v>HP007</v>
      </c>
      <c r="D26" s="438">
        <f>[28]Brewhouse!$AF12</f>
        <v>58.6</v>
      </c>
      <c r="E26" s="439">
        <f>[28]Brewhouse!$AI12</f>
        <v>55.2</v>
      </c>
      <c r="F26" s="278">
        <f>[28]Brewhouse!$V12</f>
        <v>66</v>
      </c>
      <c r="G26" s="279">
        <f>[28]Brewhouse!$AG12</f>
        <v>11.1</v>
      </c>
      <c r="H26" s="440">
        <v>11.2</v>
      </c>
      <c r="I26" s="280">
        <f>[28]Brewhouse!$AU12</f>
        <v>98.52698786953647</v>
      </c>
      <c r="J26" s="280">
        <f>[28]Brewhouse!$AV12</f>
        <v>101.43400541583618</v>
      </c>
      <c r="K26" s="281">
        <f>[28]Brewhouse!$Q12</f>
        <v>6.4298401420959106</v>
      </c>
      <c r="L26" s="276">
        <f>[28]Brewhouse!$P12</f>
        <v>61</v>
      </c>
      <c r="M26" s="374">
        <f>[28]Brewhouse!$U12-[28]Brewhouse!$T12</f>
        <v>0.11388888888888882</v>
      </c>
      <c r="N26" s="370">
        <f>[28]Brewhouse!$Z12</f>
        <v>0.25763888888888886</v>
      </c>
      <c r="O26" s="371" t="str">
        <f>[28]Brewhouse!$AW12</f>
        <v>K.Benjamin</v>
      </c>
      <c r="P26" s="420"/>
      <c r="R26" s="277" t="str">
        <f t="shared" si="9"/>
        <v>HR-PILSNER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customHeight="1">
      <c r="B27" s="373" t="s">
        <v>188</v>
      </c>
      <c r="C27" s="283" t="str">
        <f>[28]Brewhouse!$A13</f>
        <v>HP008</v>
      </c>
      <c r="D27" s="438">
        <f>[28]Brewhouse!$AF13</f>
        <v>58.7</v>
      </c>
      <c r="E27" s="439">
        <f>[28]Brewhouse!$AI13</f>
        <v>55.3</v>
      </c>
      <c r="F27" s="278">
        <f>[28]Brewhouse!$V13</f>
        <v>72</v>
      </c>
      <c r="G27" s="279">
        <f>[28]Brewhouse!$AG13</f>
        <v>11</v>
      </c>
      <c r="H27" s="440">
        <v>11.2</v>
      </c>
      <c r="I27" s="280">
        <f>[28]Brewhouse!$AU13</f>
        <v>97.731882466029035</v>
      </c>
      <c r="J27" s="280">
        <f>[28]Brewhouse!$AV13</f>
        <v>100.61563109722245</v>
      </c>
      <c r="K27" s="281">
        <f>[28]Brewhouse!$Q13</f>
        <v>6.0000000000000036</v>
      </c>
      <c r="L27" s="276">
        <f>[28]Brewhouse!$P13</f>
        <v>61</v>
      </c>
      <c r="M27" s="374">
        <f>[28]Brewhouse!$U13-[28]Brewhouse!$T13</f>
        <v>0.12638888888888888</v>
      </c>
      <c r="N27" s="370">
        <f>[28]Brewhouse!$Z13</f>
        <v>0.26458333333333339</v>
      </c>
      <c r="O27" s="371" t="str">
        <f>[28]Brewhouse!$AW13</f>
        <v>K.Benjamin</v>
      </c>
      <c r="P27" s="420"/>
      <c r="R27" s="277" t="str">
        <f t="shared" si="9"/>
        <v>HR-PILSNER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customHeight="1">
      <c r="B28" s="373"/>
      <c r="C28" s="283"/>
      <c r="D28" s="438"/>
      <c r="E28" s="439"/>
      <c r="F28" s="278"/>
      <c r="G28" s="279"/>
      <c r="H28" s="440"/>
      <c r="I28" s="280"/>
      <c r="J28" s="280"/>
      <c r="K28" s="281"/>
      <c r="L28" s="276"/>
      <c r="M28" s="374"/>
      <c r="N28" s="370"/>
      <c r="O28" s="371"/>
      <c r="P28" s="420"/>
      <c r="R28" s="277">
        <f t="shared" si="9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customHeight="1">
      <c r="B29" s="373"/>
      <c r="C29" s="283"/>
      <c r="D29" s="438"/>
      <c r="E29" s="439"/>
      <c r="F29" s="278"/>
      <c r="G29" s="279"/>
      <c r="H29" s="440"/>
      <c r="I29" s="280"/>
      <c r="J29" s="280"/>
      <c r="K29" s="281"/>
      <c r="L29" s="276"/>
      <c r="M29" s="374"/>
      <c r="N29" s="370"/>
      <c r="O29" s="371"/>
      <c r="P29" s="420"/>
      <c r="R29" s="277">
        <f t="shared" si="9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373"/>
      <c r="C30" s="283"/>
      <c r="D30" s="438"/>
      <c r="E30" s="439"/>
      <c r="F30" s="278"/>
      <c r="G30" s="279"/>
      <c r="H30" s="440"/>
      <c r="I30" s="280"/>
      <c r="J30" s="280"/>
      <c r="K30" s="281"/>
      <c r="L30" s="276"/>
      <c r="M30" s="374"/>
      <c r="N30" s="370"/>
      <c r="O30" s="371"/>
      <c r="P30" s="420"/>
      <c r="R30" s="277">
        <f t="shared" si="9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373"/>
      <c r="C31" s="283"/>
      <c r="D31" s="438"/>
      <c r="E31" s="439"/>
      <c r="F31" s="278"/>
      <c r="G31" s="279"/>
      <c r="H31" s="440"/>
      <c r="I31" s="280"/>
      <c r="J31" s="280"/>
      <c r="K31" s="281"/>
      <c r="L31" s="276"/>
      <c r="M31" s="374"/>
      <c r="N31" s="370"/>
      <c r="O31" s="371"/>
      <c r="P31" s="420"/>
      <c r="R31" s="277">
        <f t="shared" si="9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373"/>
      <c r="C32" s="283"/>
      <c r="D32" s="438"/>
      <c r="E32" s="439"/>
      <c r="F32" s="278"/>
      <c r="G32" s="279"/>
      <c r="H32" s="440"/>
      <c r="I32" s="280"/>
      <c r="J32" s="280"/>
      <c r="K32" s="281"/>
      <c r="L32" s="276"/>
      <c r="M32" s="374"/>
      <c r="N32" s="370"/>
      <c r="O32" s="371"/>
      <c r="P32" s="420"/>
      <c r="R32" s="277">
        <f t="shared" si="9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hidden="1" customHeight="1">
      <c r="B33" s="373"/>
      <c r="C33" s="283"/>
      <c r="D33" s="438"/>
      <c r="E33" s="439"/>
      <c r="F33" s="278"/>
      <c r="G33" s="279"/>
      <c r="H33" s="440"/>
      <c r="I33" s="280"/>
      <c r="J33" s="280"/>
      <c r="K33" s="281"/>
      <c r="L33" s="276"/>
      <c r="M33" s="374"/>
      <c r="N33" s="370"/>
      <c r="O33" s="371"/>
      <c r="P33" s="420"/>
      <c r="R33" s="277">
        <f t="shared" si="9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.75" hidden="1" customHeight="1">
      <c r="B34" s="373"/>
      <c r="C34" s="283"/>
      <c r="D34" s="438"/>
      <c r="E34" s="439"/>
      <c r="F34" s="278"/>
      <c r="G34" s="279"/>
      <c r="H34" s="440"/>
      <c r="I34" s="280"/>
      <c r="J34" s="280"/>
      <c r="K34" s="281"/>
      <c r="L34" s="276"/>
      <c r="M34" s="374"/>
      <c r="N34" s="370"/>
      <c r="O34" s="371"/>
      <c r="P34" s="420"/>
      <c r="R34" s="277">
        <f t="shared" si="9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7" ht="15.75" hidden="1" customHeight="1">
      <c r="B35" s="373"/>
      <c r="C35" s="283"/>
      <c r="D35" s="438"/>
      <c r="E35" s="439"/>
      <c r="F35" s="278"/>
      <c r="G35" s="279"/>
      <c r="H35" s="440"/>
      <c r="I35" s="280"/>
      <c r="J35" s="280"/>
      <c r="K35" s="281"/>
      <c r="L35" s="276"/>
      <c r="M35" s="374"/>
      <c r="N35" s="370"/>
      <c r="O35" s="371"/>
      <c r="P35" s="420"/>
      <c r="R35" s="277">
        <f t="shared" si="9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7" ht="15.75" hidden="1" customHeight="1">
      <c r="B36" s="373"/>
      <c r="C36" s="283"/>
      <c r="D36" s="438"/>
      <c r="E36" s="439"/>
      <c r="F36" s="278"/>
      <c r="G36" s="279"/>
      <c r="H36" s="440"/>
      <c r="I36" s="280"/>
      <c r="J36" s="280"/>
      <c r="K36" s="281"/>
      <c r="L36" s="276"/>
      <c r="M36" s="374"/>
      <c r="N36" s="370"/>
      <c r="O36" s="371"/>
      <c r="P36" s="420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7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20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7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20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7" ht="15.75" customHeight="1" thickBot="1">
      <c r="B39" s="358"/>
      <c r="C39" s="358"/>
      <c r="D39" s="358"/>
      <c r="E39" s="358"/>
      <c r="F39" s="294"/>
      <c r="G39" s="294"/>
      <c r="H39" s="348"/>
      <c r="I39" s="497" t="s">
        <v>34</v>
      </c>
      <c r="J39" s="497"/>
      <c r="K39" s="497"/>
      <c r="L39" s="497"/>
      <c r="M39" s="497"/>
      <c r="N39" s="497"/>
      <c r="O39" s="1"/>
      <c r="P39" s="12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7" ht="15" thickBot="1">
      <c r="B40" s="388" t="s">
        <v>180</v>
      </c>
      <c r="C40" s="388"/>
      <c r="D40" s="475" t="s">
        <v>35</v>
      </c>
      <c r="E40" s="476"/>
      <c r="F40" s="294"/>
      <c r="G40" s="294"/>
      <c r="H40" s="348"/>
      <c r="I40" s="24" t="s">
        <v>17</v>
      </c>
      <c r="J40" s="25" t="s">
        <v>36</v>
      </c>
      <c r="K40" s="26" t="s">
        <v>138</v>
      </c>
      <c r="L40" s="25" t="s">
        <v>37</v>
      </c>
      <c r="M40" s="25" t="s">
        <v>38</v>
      </c>
      <c r="N40" s="27" t="s">
        <v>39</v>
      </c>
      <c r="O40" s="294"/>
      <c r="P40" s="12"/>
      <c r="R40" s="277" t="str">
        <f t="shared" si="0"/>
        <v xml:space="preserve">BRAND 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7" ht="15" customHeight="1">
      <c r="A41" s="28"/>
      <c r="B41" s="570" t="str">
        <f>I46</f>
        <v>MACKESON</v>
      </c>
      <c r="C41" s="362">
        <f>[27]Process!D18</f>
        <v>13.2</v>
      </c>
      <c r="D41" s="501">
        <v>14.18</v>
      </c>
      <c r="E41" s="502"/>
      <c r="F41" s="294"/>
      <c r="G41" s="294"/>
      <c r="H41" s="348"/>
      <c r="I41" s="29" t="s">
        <v>6</v>
      </c>
      <c r="J41" s="280"/>
      <c r="K41" s="284">
        <f>COUNTA([24]Brewhouse!$A$493:$A$524)</f>
        <v>32</v>
      </c>
      <c r="L41" s="302">
        <f>AVERAGE([24]Brewhouse!$AU$493:$AU$524)</f>
        <v>97.854447776659498</v>
      </c>
      <c r="M41" s="302">
        <f>AVERAGE([24]Brewhouse!$AU$102:$AU$171,[24]Brewhouse!$AU$173:$AU$253,[24]Brewhouse!$AU$255:$AU$339,[24]Brewhouse!$AU$341:$AU$346,[24]Brewhouse!$AU$348,[24]Brewhouse!$AU$349:$AU$406,[24]Brewhouse!$AU$408:$AU$491,[24]Brewhouse!$AU$493:$AU$524)</f>
        <v>97.675451867228404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</row>
    <row r="42" spans="1:27" ht="15" customHeight="1">
      <c r="A42" s="28"/>
      <c r="B42" s="571"/>
      <c r="C42" s="349">
        <f>[27]Process!D19</f>
        <v>13.4</v>
      </c>
      <c r="D42" s="503"/>
      <c r="E42" s="504"/>
      <c r="F42" s="294"/>
      <c r="G42" s="294"/>
      <c r="H42" s="348"/>
      <c r="I42" s="33" t="s">
        <v>9</v>
      </c>
      <c r="J42" s="280">
        <f>AVERAGE(I17:I21)</f>
        <v>98.233258398146461</v>
      </c>
      <c r="K42" s="284">
        <f>COUNTA([25]Brewhouse!$A$242:$A$261)</f>
        <v>20</v>
      </c>
      <c r="L42" s="302">
        <f>AVERAGE([25]Brewhouse!$AS$242:$AS$261)</f>
        <v>97.625065795762325</v>
      </c>
      <c r="M42" s="302">
        <f>AVERAGE([25]Brewhouse!$AS$15:$AS$64,[25]Brewhouse!$AS$66:$AS$103,[25]Brewhouse!$AS$105:$AS$140,[25]Brewhouse!$AS$142:$AS$193,[25]Brewhouse!$AS$195:$AS$240,[25]Brewhouse!$AS$242:$AS$261)</f>
        <v>97.854851527783097</v>
      </c>
      <c r="N42" s="3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</row>
    <row r="43" spans="1:27" ht="14.7" customHeight="1">
      <c r="A43" s="28"/>
      <c r="B43" s="571"/>
      <c r="C43" s="349">
        <f>[27]Process!D20</f>
        <v>13.3</v>
      </c>
      <c r="D43" s="501">
        <v>14.03</v>
      </c>
      <c r="E43" s="502"/>
      <c r="F43" s="294"/>
      <c r="G43" s="294"/>
      <c r="H43" s="348"/>
      <c r="I43" s="34" t="s">
        <v>12</v>
      </c>
      <c r="J43" s="280"/>
      <c r="K43" s="284"/>
      <c r="L43" s="302"/>
      <c r="M43" s="302">
        <f>AVERAGE([26]Brewhouse!$AU$4:$AU$7,[26]Brewhouse!$AU$9:$AU$22,[26]Brewhouse!$AU$24:$AU$35,[26]Brewhouse!$AU$37:$AU$45,[26]Brewhouse!$AU$47:$AU$62)</f>
        <v>97.179377138297156</v>
      </c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</row>
    <row r="44" spans="1:27" ht="14.7" customHeight="1">
      <c r="A44" s="28"/>
      <c r="B44" s="571"/>
      <c r="C44" s="349">
        <f>[27]Process!D21</f>
        <v>13.4</v>
      </c>
      <c r="D44" s="503"/>
      <c r="E44" s="504"/>
      <c r="F44" s="294"/>
      <c r="G44" s="294"/>
      <c r="H44" s="348"/>
      <c r="I44" s="22" t="s">
        <v>33</v>
      </c>
      <c r="J44" s="280"/>
      <c r="K44" s="284"/>
      <c r="L44" s="302"/>
      <c r="M44" s="302">
        <f>AVERAGE([23]Brewhouse!$AV$5:$AV$14,[23]Brewhouse!$AV$16:$AV$19,[23]Brewhouse!$AV$21:$AV$24,[23]Brewhouse!$AV$26:$AV$33,[23]Brewhouse!$AV$35:$AV$46)</f>
        <v>99.005314486149061</v>
      </c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</row>
    <row r="45" spans="1:27" ht="14.7" customHeight="1">
      <c r="A45" s="28"/>
      <c r="B45" s="571"/>
      <c r="C45" s="349"/>
      <c r="D45" s="501"/>
      <c r="E45" s="502"/>
      <c r="F45" s="419"/>
      <c r="G45" s="294"/>
      <c r="H45" s="348"/>
      <c r="I45" s="35" t="s">
        <v>29</v>
      </c>
      <c r="J45" s="280"/>
      <c r="K45" s="284"/>
      <c r="L45" s="302"/>
      <c r="M45" s="302"/>
      <c r="N45" s="3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</row>
    <row r="46" spans="1:27" ht="14.7" customHeight="1">
      <c r="A46" s="28"/>
      <c r="B46" s="571"/>
      <c r="C46" s="349"/>
      <c r="D46" s="503"/>
      <c r="E46" s="504"/>
      <c r="F46" s="419"/>
      <c r="G46" s="294"/>
      <c r="H46" s="348"/>
      <c r="I46" s="36" t="s">
        <v>15</v>
      </c>
      <c r="J46" s="323"/>
      <c r="K46" s="284">
        <f>COUNTA([27]Brewhouse!$A$18:$A$21)</f>
        <v>4</v>
      </c>
      <c r="L46" s="302">
        <f>AVERAGE([27]Brewhouse!$AT$18:$AT$21)</f>
        <v>95.061602643439088</v>
      </c>
      <c r="M46" s="302">
        <f>AVERAGE([27]Brewhouse!$AT$4:$AT$11,[27]Brewhouse!$AT$13:$AT$16,[27]Brewhouse!$AT$18:$AT$21)</f>
        <v>94.773169817643847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  <c r="AA46" s="296"/>
    </row>
    <row r="47" spans="1:27" ht="14.7" customHeight="1">
      <c r="A47" s="28"/>
      <c r="B47" s="571"/>
      <c r="C47" s="349"/>
      <c r="D47" s="501"/>
      <c r="E47" s="502"/>
      <c r="F47" s="419"/>
      <c r="G47" s="294"/>
      <c r="H47" s="348"/>
      <c r="I47" s="37" t="s">
        <v>16</v>
      </c>
      <c r="J47" s="323"/>
      <c r="K47" s="284">
        <f>COUNTA([22]Brewhouse!$A$45:$A$50)</f>
        <v>6</v>
      </c>
      <c r="L47" s="302">
        <f>AVERAGE([22]Brewhouse!$AY$45:$AY$50)</f>
        <v>96.288901438431267</v>
      </c>
      <c r="M47" s="302">
        <f>AVERAGE([22]Brewhouse!$AY$6:$AY$13,[22]Brewhouse!$AY$15:$AY$20,[22]Brewhouse!$AY$22:$AY$29,[22]Brewhouse!$AY$31:$AY$34,[22]Brewhouse!$AY$36:$AY$43,[22]Brewhouse!$AY$45:$AY$50)</f>
        <v>96.612624784592427</v>
      </c>
      <c r="N47" s="30">
        <v>98</v>
      </c>
      <c r="O47" s="11"/>
      <c r="P47" s="31" t="s">
        <v>41</v>
      </c>
      <c r="R47" s="277"/>
      <c r="S47" s="296"/>
      <c r="T47" s="296"/>
      <c r="U47" s="297"/>
      <c r="V47" s="297"/>
      <c r="W47" s="297"/>
      <c r="X47" s="297"/>
      <c r="Y47" s="297"/>
      <c r="Z47" s="296"/>
      <c r="AA47" s="296"/>
    </row>
    <row r="48" spans="1:27" ht="14.7" customHeight="1">
      <c r="A48" s="28"/>
      <c r="B48" s="571"/>
      <c r="C48" s="349"/>
      <c r="D48" s="503"/>
      <c r="E48" s="504"/>
      <c r="F48" s="294"/>
      <c r="G48" s="294"/>
      <c r="H48" s="348"/>
      <c r="I48" s="411" t="s">
        <v>158</v>
      </c>
      <c r="J48" s="326">
        <f>AVERAGE(I24:I27)</f>
        <v>97.488444912767932</v>
      </c>
      <c r="K48" s="284">
        <f>COUNTA([28]Brewhouse!$A$10:$A$13)</f>
        <v>4</v>
      </c>
      <c r="L48" s="305">
        <f>AVERAGE([28]Brewhouse!$AU$10:$AU$13)</f>
        <v>97.488444912767932</v>
      </c>
      <c r="M48" s="305">
        <f>AVERAGE([28]Brewhouse!$AU$5:$AU$8,[28]Brewhouse!$AU$10:$AU$13)</f>
        <v>94.247666625193744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  <c r="AA48" s="296"/>
    </row>
    <row r="49" spans="1:56" ht="14.7" customHeight="1">
      <c r="A49" s="28"/>
      <c r="B49" s="571"/>
      <c r="C49" s="349"/>
      <c r="D49" s="501"/>
      <c r="E49" s="502"/>
      <c r="F49" s="294"/>
      <c r="G49" s="294"/>
      <c r="H49" s="348"/>
      <c r="I49" s="410" t="s">
        <v>157</v>
      </c>
      <c r="J49" s="326"/>
      <c r="K49" s="284"/>
      <c r="L49" s="305"/>
      <c r="M49" s="305"/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  <c r="AA49" s="296"/>
    </row>
    <row r="50" spans="1:56" ht="15" customHeight="1" thickBot="1">
      <c r="A50" s="28"/>
      <c r="B50" s="571"/>
      <c r="C50" s="349"/>
      <c r="D50" s="503"/>
      <c r="E50" s="504"/>
      <c r="F50" s="294"/>
      <c r="G50" s="294"/>
      <c r="H50" s="348"/>
      <c r="I50" s="406" t="s">
        <v>156</v>
      </c>
      <c r="J50" s="327"/>
      <c r="K50" s="407"/>
      <c r="L50" s="408"/>
      <c r="M50" s="408"/>
      <c r="N50" s="409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5" customHeight="1" thickBot="1">
      <c r="A51" s="28"/>
      <c r="B51" s="571"/>
      <c r="C51" s="349"/>
      <c r="D51" s="501"/>
      <c r="E51" s="502"/>
      <c r="F51" s="294"/>
      <c r="G51" s="294"/>
      <c r="H51" s="348"/>
      <c r="I51" s="1"/>
      <c r="J51" s="39"/>
      <c r="K51" s="404">
        <f>SUM(K41:K50)</f>
        <v>66</v>
      </c>
      <c r="L51" s="405">
        <f>((L41*K41)+(L42*K42)+(L43*K43)+(L44*K44)+(L45*K45)+(K48*L48)+(L46*K46)+(L47*K47)+(L50*K50))/(K51)</f>
        <v>97.451170357935851</v>
      </c>
      <c r="M51" s="405">
        <f>AVERAGE('[29]Jan 31st'!$L$65,'[30]Feb 28th'!$L$35,'[31]Mar. 31st'!$L$35,'[32]Apr. 30th'!$L$45,'[33]May 30th'!$L$37,L51)</f>
        <v>97.605070632550834</v>
      </c>
      <c r="N51" s="4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5" thickBot="1">
      <c r="B52" s="572"/>
      <c r="C52" s="350"/>
      <c r="D52" s="503"/>
      <c r="E52" s="504"/>
      <c r="F52" s="294"/>
      <c r="G52" s="42"/>
      <c r="H52" s="41"/>
      <c r="I52" s="42"/>
      <c r="J52" s="42"/>
      <c r="K52" s="351"/>
      <c r="L52" s="348"/>
      <c r="M52" s="348"/>
      <c r="N52" s="11"/>
      <c r="O52" s="294"/>
      <c r="P52" s="12"/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5" thickBot="1">
      <c r="B53" s="434"/>
      <c r="C53" s="362"/>
      <c r="D53" s="514"/>
      <c r="E53" s="515"/>
      <c r="F53" s="294"/>
      <c r="G53" s="42"/>
      <c r="H53" s="41"/>
      <c r="I53" s="42"/>
      <c r="J53" s="551" t="s">
        <v>129</v>
      </c>
      <c r="K53" s="551"/>
      <c r="L53" s="294"/>
      <c r="M53" s="294"/>
      <c r="N53" s="294"/>
      <c r="O53" s="294"/>
      <c r="P53" s="12"/>
    </row>
    <row r="54" spans="1:56" ht="13.5" customHeight="1" thickBot="1">
      <c r="B54" s="434"/>
      <c r="C54" s="349"/>
      <c r="D54" s="516"/>
      <c r="E54" s="504"/>
      <c r="F54" s="294"/>
      <c r="G54" s="42"/>
      <c r="H54" s="41"/>
      <c r="I54" s="293" t="s">
        <v>187</v>
      </c>
      <c r="J54" s="292" t="s">
        <v>17</v>
      </c>
      <c r="K54" s="293" t="s">
        <v>186</v>
      </c>
      <c r="L54" s="518" t="s">
        <v>136</v>
      </c>
      <c r="M54" s="518"/>
      <c r="N54" s="519"/>
      <c r="O54" s="294"/>
      <c r="P54" s="12"/>
    </row>
    <row r="55" spans="1:56" ht="15" customHeight="1" thickBot="1">
      <c r="B55" s="434"/>
      <c r="C55" s="349"/>
      <c r="D55" s="545"/>
      <c r="E55" s="546"/>
      <c r="F55" s="294"/>
      <c r="G55" s="42"/>
      <c r="H55" s="41"/>
      <c r="I55" s="324"/>
      <c r="J55" s="287" t="s">
        <v>6</v>
      </c>
      <c r="K55" s="324"/>
      <c r="L55" s="343" t="s">
        <v>37</v>
      </c>
      <c r="M55" s="307" t="s">
        <v>38</v>
      </c>
      <c r="N55" s="307" t="s">
        <v>84</v>
      </c>
      <c r="O55" s="294"/>
      <c r="P55" s="12"/>
    </row>
    <row r="56" spans="1:56" ht="15.75" customHeight="1" thickBot="1">
      <c r="B56" s="434"/>
      <c r="C56" s="349"/>
      <c r="D56" s="516"/>
      <c r="E56" s="504"/>
      <c r="F56" s="294"/>
      <c r="G56" s="42"/>
      <c r="H56" s="41"/>
      <c r="I56" s="324"/>
      <c r="J56" s="345" t="s">
        <v>9</v>
      </c>
      <c r="K56" s="324">
        <v>5</v>
      </c>
      <c r="L56" s="344">
        <f>AVERAGE('June 2nd'!K57,'June 13th'!K65,'June 3rd'!K63,'June 4th'!K63,'June 5th '!K63,'June 6th'!K63,'June 10th'!K63,'June 11th'!K63,'June 12th '!K63,I65)</f>
        <v>6.6</v>
      </c>
      <c r="M56" s="325">
        <f>AVERAGE('[29]Jan 29th '!$M$70,'[30]Feb 28th'!$L$40,'[31]Mar. 31st'!$L$40,'[32]Apr. 30th'!$L$50,'[33]May 30th'!$L$42,L56)</f>
        <v>6.6344401974836762</v>
      </c>
      <c r="N56" s="418">
        <v>9.1999999999999993</v>
      </c>
      <c r="O56" s="294"/>
      <c r="P56" s="12"/>
    </row>
    <row r="57" spans="1:56" ht="15" customHeight="1">
      <c r="B57" s="434"/>
      <c r="C57" s="349"/>
      <c r="D57" s="545"/>
      <c r="E57" s="546"/>
      <c r="F57" s="294"/>
      <c r="G57" s="42"/>
      <c r="H57" s="41"/>
      <c r="I57" s="324"/>
      <c r="J57" s="288" t="s">
        <v>40</v>
      </c>
      <c r="K57" s="324"/>
      <c r="L57" s="294"/>
      <c r="M57" s="294"/>
      <c r="N57" s="294"/>
      <c r="O57" s="294"/>
      <c r="P57" s="12"/>
    </row>
    <row r="58" spans="1:56" ht="15" customHeight="1">
      <c r="B58" s="434"/>
      <c r="C58" s="349"/>
      <c r="D58" s="516"/>
      <c r="E58" s="504"/>
      <c r="F58" s="294"/>
      <c r="G58" s="42"/>
      <c r="H58" s="41"/>
      <c r="I58" s="324"/>
      <c r="J58" s="289" t="s">
        <v>33</v>
      </c>
      <c r="K58" s="324"/>
      <c r="L58" s="294"/>
      <c r="M58" s="294"/>
      <c r="N58" s="294"/>
      <c r="O58" s="294"/>
      <c r="P58" s="12"/>
    </row>
    <row r="59" spans="1:56" ht="14.4">
      <c r="B59" s="434"/>
      <c r="C59" s="349"/>
      <c r="D59" s="545"/>
      <c r="E59" s="546"/>
      <c r="F59" s="294"/>
      <c r="G59" s="42"/>
      <c r="H59" s="41"/>
      <c r="I59" s="324"/>
      <c r="J59" s="290" t="s">
        <v>16</v>
      </c>
      <c r="K59" s="324"/>
      <c r="L59" s="294"/>
      <c r="M59" s="294"/>
      <c r="N59" s="294"/>
      <c r="O59" s="294"/>
      <c r="P59" s="12"/>
      <c r="BC59" s="44"/>
      <c r="BD59" s="44"/>
    </row>
    <row r="60" spans="1:56" ht="14.4">
      <c r="B60" s="434"/>
      <c r="C60" s="349"/>
      <c r="D60" s="516"/>
      <c r="E60" s="504"/>
      <c r="F60" s="294"/>
      <c r="G60" s="42"/>
      <c r="H60" s="41"/>
      <c r="I60" s="324"/>
      <c r="J60" s="291" t="s">
        <v>15</v>
      </c>
      <c r="K60" s="324"/>
      <c r="L60" s="294"/>
      <c r="M60" s="294"/>
      <c r="N60" s="294"/>
      <c r="O60" s="294"/>
      <c r="P60" s="12"/>
      <c r="BC60" s="44"/>
      <c r="BD60" s="44"/>
    </row>
    <row r="61" spans="1:56" ht="14.4">
      <c r="B61" s="434"/>
      <c r="C61" s="349"/>
      <c r="D61" s="545"/>
      <c r="E61" s="546"/>
      <c r="F61" s="294"/>
      <c r="G61" s="42"/>
      <c r="H61" s="41"/>
      <c r="I61" s="324"/>
      <c r="J61" s="291" t="s">
        <v>149</v>
      </c>
      <c r="K61" s="324"/>
      <c r="L61" s="294"/>
      <c r="M61" s="294"/>
      <c r="N61" s="294"/>
      <c r="O61" s="294"/>
      <c r="P61" s="12"/>
      <c r="BC61" s="44"/>
      <c r="BD61" s="44"/>
    </row>
    <row r="62" spans="1:56" ht="15" thickBot="1">
      <c r="B62" s="435"/>
      <c r="C62" s="350"/>
      <c r="D62" s="547"/>
      <c r="E62" s="548"/>
      <c r="F62" s="294"/>
      <c r="G62" s="42"/>
      <c r="H62" s="41"/>
      <c r="I62" s="324"/>
      <c r="J62" s="291" t="s">
        <v>148</v>
      </c>
      <c r="K62" s="324"/>
      <c r="L62" s="294"/>
      <c r="M62" s="294"/>
      <c r="N62" s="294"/>
      <c r="O62" s="294"/>
      <c r="P62" s="12"/>
      <c r="BC62" s="44"/>
      <c r="BD62" s="44"/>
    </row>
    <row r="63" spans="1:56" ht="17.7" customHeight="1" thickBot="1">
      <c r="B63" s="312" t="s">
        <v>139</v>
      </c>
      <c r="C63" s="313"/>
      <c r="D63" s="562">
        <f>AVERAGE(D41:E62)</f>
        <v>14.105</v>
      </c>
      <c r="E63" s="563"/>
      <c r="F63" s="294"/>
      <c r="G63" s="42"/>
      <c r="H63" s="41"/>
      <c r="I63" s="324">
        <v>4</v>
      </c>
      <c r="J63" s="295" t="s">
        <v>134</v>
      </c>
      <c r="K63" s="324"/>
      <c r="L63" s="294"/>
      <c r="M63" s="294"/>
      <c r="N63" s="294"/>
      <c r="O63" s="294"/>
      <c r="P63" s="12"/>
      <c r="BC63" s="44"/>
      <c r="BD63" s="44"/>
    </row>
    <row r="64" spans="1:56" ht="17.7" customHeight="1">
      <c r="B64" s="363"/>
      <c r="C64" s="364"/>
      <c r="D64" s="365"/>
      <c r="E64" s="365"/>
      <c r="F64" s="294"/>
      <c r="G64" s="42"/>
      <c r="H64" s="41"/>
      <c r="I64" s="324"/>
      <c r="J64" s="295" t="s">
        <v>131</v>
      </c>
      <c r="K64" s="324"/>
      <c r="L64" s="294"/>
      <c r="M64" s="294"/>
      <c r="N64" s="294"/>
      <c r="O64" s="294"/>
      <c r="P64" s="12"/>
      <c r="BC64" s="44"/>
      <c r="BD64" s="44"/>
    </row>
    <row r="65" spans="2:57" ht="15.75" customHeight="1">
      <c r="B65" s="45"/>
      <c r="C65" s="11"/>
      <c r="D65" s="11"/>
      <c r="E65" s="46"/>
      <c r="F65" s="294"/>
      <c r="G65" s="42"/>
      <c r="H65" s="41"/>
      <c r="I65" s="324">
        <f>SUM(I55:I64)</f>
        <v>4</v>
      </c>
      <c r="J65" s="346" t="s">
        <v>130</v>
      </c>
      <c r="K65" s="324">
        <f>SUM(K55:K64)</f>
        <v>5</v>
      </c>
      <c r="L65" s="294"/>
      <c r="M65" s="294"/>
      <c r="N65" s="294"/>
      <c r="O65" s="294"/>
      <c r="P65" s="12"/>
    </row>
    <row r="66" spans="2:57" ht="20.25" customHeight="1">
      <c r="B66" s="15" t="s">
        <v>42</v>
      </c>
      <c r="C66" s="1" t="s">
        <v>43</v>
      </c>
      <c r="D66" s="1"/>
      <c r="E66" s="1"/>
      <c r="F66" s="294"/>
      <c r="G66" s="42"/>
      <c r="H66" s="41"/>
      <c r="I66" s="42"/>
      <c r="L66" s="294"/>
      <c r="P66" s="334"/>
    </row>
    <row r="67" spans="2:57" ht="15" customHeight="1" thickBot="1"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8"/>
      <c r="O67" s="48"/>
      <c r="P67" s="49"/>
    </row>
    <row r="68" spans="2:57" ht="15" customHeight="1" thickBot="1">
      <c r="B68" s="526" t="s">
        <v>17</v>
      </c>
      <c r="C68" s="526" t="s">
        <v>44</v>
      </c>
      <c r="D68" s="528" t="s">
        <v>45</v>
      </c>
      <c r="E68" s="483" t="s">
        <v>46</v>
      </c>
      <c r="F68" s="543" t="s">
        <v>47</v>
      </c>
      <c r="G68" s="537" t="s">
        <v>48</v>
      </c>
      <c r="H68" s="526" t="s">
        <v>49</v>
      </c>
      <c r="I68" s="526" t="s">
        <v>50</v>
      </c>
      <c r="J68" s="531" t="s">
        <v>28</v>
      </c>
      <c r="K68" s="481" t="s">
        <v>51</v>
      </c>
      <c r="L68" s="493" t="s">
        <v>52</v>
      </c>
      <c r="M68" s="531" t="s">
        <v>53</v>
      </c>
      <c r="N68" s="13"/>
      <c r="O68" s="13"/>
      <c r="P68" s="50"/>
    </row>
    <row r="69" spans="2:57" ht="28.5" customHeight="1" thickTop="1" thickBot="1">
      <c r="B69" s="527"/>
      <c r="C69" s="527"/>
      <c r="D69" s="529"/>
      <c r="E69" s="530"/>
      <c r="F69" s="544"/>
      <c r="G69" s="538"/>
      <c r="H69" s="527"/>
      <c r="I69" s="527"/>
      <c r="J69" s="532"/>
      <c r="K69" s="541"/>
      <c r="L69" s="542"/>
      <c r="M69" s="532"/>
      <c r="N69" s="13"/>
      <c r="O69" s="13"/>
      <c r="P69" s="50"/>
      <c r="Q69" s="355"/>
      <c r="AB69" s="51">
        <v>43474</v>
      </c>
      <c r="AC69" s="51">
        <v>43475</v>
      </c>
      <c r="AD69" s="51">
        <v>43476</v>
      </c>
      <c r="AE69" s="51">
        <v>43477</v>
      </c>
      <c r="AF69" s="51">
        <v>43478</v>
      </c>
      <c r="AG69" s="51">
        <v>43479</v>
      </c>
      <c r="AH69" s="51">
        <v>43480</v>
      </c>
      <c r="AI69" s="51">
        <v>43481</v>
      </c>
      <c r="AJ69" s="51">
        <v>43482</v>
      </c>
      <c r="AK69" s="51">
        <v>43483</v>
      </c>
      <c r="AL69" s="51">
        <v>43484</v>
      </c>
      <c r="AM69" s="51">
        <v>43485</v>
      </c>
      <c r="AN69" s="51">
        <v>43486</v>
      </c>
      <c r="AO69" s="51">
        <v>43487</v>
      </c>
      <c r="AP69" s="51">
        <v>43488</v>
      </c>
      <c r="AQ69" s="51">
        <v>43489</v>
      </c>
      <c r="AR69" s="51">
        <v>43490</v>
      </c>
      <c r="AS69" s="51">
        <v>43491</v>
      </c>
      <c r="AT69" s="51">
        <v>43492</v>
      </c>
      <c r="AU69" s="51">
        <v>43493</v>
      </c>
      <c r="AV69" s="51">
        <v>43494</v>
      </c>
      <c r="AW69" s="51">
        <v>43495</v>
      </c>
      <c r="AX69" s="51">
        <v>43496</v>
      </c>
    </row>
    <row r="70" spans="2:57" s="54" customFormat="1" ht="51" customHeight="1">
      <c r="B70" s="437" t="str">
        <f>B82</f>
        <v>MACKESON</v>
      </c>
      <c r="C70" s="432">
        <v>45821</v>
      </c>
      <c r="D70" s="377">
        <f>[34]June_2025!$P$34</f>
        <v>205.59999999999997</v>
      </c>
      <c r="E70" s="378"/>
      <c r="F70" s="379"/>
      <c r="G70" s="303">
        <f>[34]June_2025!$P$39</f>
        <v>197.3</v>
      </c>
      <c r="H70" s="320"/>
      <c r="I70" s="322"/>
      <c r="J70" s="392" t="s">
        <v>181</v>
      </c>
      <c r="K70" s="286">
        <f>[36]June_2025!$P$39</f>
        <v>0.34614035087719303</v>
      </c>
      <c r="L70" s="391">
        <f>(((D70+E70)-G70)/(D70+E70))*100</f>
        <v>4.0369649805447256</v>
      </c>
      <c r="M70" s="417" t="s">
        <v>185</v>
      </c>
      <c r="N70" s="13"/>
      <c r="O70" s="13"/>
      <c r="P70" s="50"/>
      <c r="R70" s="275"/>
      <c r="S70" s="275"/>
      <c r="T70" s="275"/>
      <c r="U70" s="275"/>
      <c r="V70" s="275"/>
      <c r="W70" s="275"/>
      <c r="X70" s="275"/>
      <c r="Y70" s="275"/>
      <c r="Z70" s="275"/>
      <c r="AA70" s="275"/>
      <c r="AB70" s="416"/>
      <c r="AC70" s="416"/>
      <c r="AD70" s="416"/>
      <c r="AE70" s="416"/>
      <c r="AF70" s="416"/>
      <c r="AG70" s="416"/>
      <c r="AH70" s="416"/>
      <c r="AI70" s="416"/>
      <c r="AJ70" s="416"/>
      <c r="AK70" s="416"/>
      <c r="AL70" s="416"/>
      <c r="AM70" s="416"/>
      <c r="AN70" s="416"/>
      <c r="AO70" s="416"/>
      <c r="AP70" s="416"/>
      <c r="AQ70" s="416"/>
      <c r="AR70" s="416"/>
      <c r="AS70" s="416"/>
      <c r="AT70" s="416"/>
      <c r="AU70" s="416"/>
      <c r="AV70" s="416"/>
      <c r="AW70" s="416"/>
    </row>
    <row r="71" spans="2:57" s="54" customFormat="1" ht="23.25" customHeight="1">
      <c r="B71" s="33"/>
      <c r="C71" s="283"/>
      <c r="D71" s="377"/>
      <c r="E71" s="378"/>
      <c r="F71" s="379"/>
      <c r="G71" s="303"/>
      <c r="H71" s="320"/>
      <c r="I71" s="322"/>
      <c r="J71" s="281"/>
      <c r="K71" s="286"/>
      <c r="L71" s="314"/>
      <c r="M71" s="417"/>
      <c r="N71" s="13"/>
      <c r="O71" s="13"/>
      <c r="P71" s="50"/>
      <c r="R71" s="275"/>
      <c r="S71" s="275"/>
      <c r="T71" s="275"/>
      <c r="U71" s="275"/>
      <c r="V71" s="275"/>
      <c r="W71" s="275"/>
      <c r="X71" s="275"/>
      <c r="Y71" s="275"/>
      <c r="Z71" s="275"/>
      <c r="AA71" s="275"/>
      <c r="AB71" s="416"/>
      <c r="AC71" s="416"/>
      <c r="AD71" s="416"/>
      <c r="AE71" s="416"/>
      <c r="AF71" s="416"/>
      <c r="AG71" s="416"/>
      <c r="AH71" s="416"/>
      <c r="AI71" s="416"/>
      <c r="AJ71" s="416"/>
      <c r="AK71" s="416"/>
      <c r="AL71" s="416"/>
      <c r="AM71" s="416"/>
      <c r="AN71" s="416"/>
      <c r="AO71" s="416"/>
      <c r="AP71" s="416"/>
      <c r="AQ71" s="416"/>
      <c r="AR71" s="416"/>
      <c r="AS71" s="416"/>
      <c r="AT71" s="416"/>
      <c r="AU71" s="416"/>
      <c r="AV71" s="416"/>
      <c r="AW71" s="416"/>
    </row>
    <row r="72" spans="2:57" s="54" customFormat="1" ht="53.25" hidden="1" customHeight="1">
      <c r="B72" s="436" t="str">
        <f>B79</f>
        <v>GUINN</v>
      </c>
      <c r="C72" s="432">
        <v>45820</v>
      </c>
      <c r="D72" s="377"/>
      <c r="E72" s="378"/>
      <c r="F72" s="379"/>
      <c r="G72" s="303"/>
      <c r="H72" s="320"/>
      <c r="I72" s="322"/>
      <c r="J72" s="392" t="s">
        <v>181</v>
      </c>
      <c r="K72" s="286"/>
      <c r="L72" s="314" t="e">
        <f>(((D72+E72)-G72)/(D72+E72))*100</f>
        <v>#DIV/0!</v>
      </c>
      <c r="M72" s="417" t="s">
        <v>169</v>
      </c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57">
        <f>[20]January_2019!L7</f>
        <v>0</v>
      </c>
      <c r="AC72" s="57">
        <f>[20]January_2019!M7</f>
        <v>0</v>
      </c>
      <c r="AD72" s="57">
        <f>[20]January_2019!N7</f>
        <v>0</v>
      </c>
      <c r="AE72" s="57">
        <f>[20]January_2019!O7</f>
        <v>0</v>
      </c>
      <c r="AF72" s="57">
        <f>[20]January_2019!P7</f>
        <v>0</v>
      </c>
      <c r="AG72" s="57">
        <f>[20]January_2019!Q7</f>
        <v>0</v>
      </c>
      <c r="AH72" s="57">
        <f>[20]January_2019!R7</f>
        <v>0</v>
      </c>
      <c r="AI72" s="57">
        <f>[20]January_2019!S7</f>
        <v>0</v>
      </c>
      <c r="AJ72" s="57">
        <f>[20]January_2019!T7</f>
        <v>0</v>
      </c>
      <c r="AK72" s="57">
        <f>[20]January_2019!U7</f>
        <v>0</v>
      </c>
      <c r="AL72" s="57">
        <f>[20]January_2019!V7</f>
        <v>0</v>
      </c>
      <c r="AM72" s="57">
        <f>[20]January_2019!W7</f>
        <v>0</v>
      </c>
      <c r="AN72" s="57">
        <f>[20]January_2019!X7</f>
        <v>0</v>
      </c>
      <c r="AO72" s="57">
        <f>[20]January_2019!Y7</f>
        <v>0</v>
      </c>
      <c r="AP72" s="57">
        <f>[20]January_2019!Z7</f>
        <v>0</v>
      </c>
      <c r="AQ72" s="57">
        <f>[20]January_2019!AA7</f>
        <v>0</v>
      </c>
      <c r="AR72" s="57">
        <f>[20]January_2019!AB7</f>
        <v>0</v>
      </c>
      <c r="AS72" s="57">
        <f>[20]January_2019!AC7</f>
        <v>0</v>
      </c>
      <c r="AT72" s="57">
        <f>[20]January_2019!AD7</f>
        <v>0</v>
      </c>
      <c r="AU72" s="57">
        <f>[20]January_2019!AE7</f>
        <v>0</v>
      </c>
      <c r="AV72" s="57">
        <f>[20]January_2019!AF7</f>
        <v>0</v>
      </c>
      <c r="AW72" s="57">
        <f>[20]January_2019!AG7</f>
        <v>0</v>
      </c>
      <c r="AX72" s="277">
        <f>[20]January_2019!AH7</f>
        <v>0</v>
      </c>
      <c r="AY72" s="277"/>
      <c r="AZ72" s="277"/>
      <c r="BA72" s="277"/>
      <c r="BB72" s="277"/>
      <c r="BC72" s="277"/>
      <c r="BD72" s="277"/>
      <c r="BE72" s="277"/>
    </row>
    <row r="73" spans="2:57" s="54" customFormat="1" ht="16.5" customHeight="1">
      <c r="B73" s="423"/>
      <c r="C73" s="283"/>
      <c r="D73" s="377"/>
      <c r="E73" s="378"/>
      <c r="F73" s="379"/>
      <c r="G73" s="303"/>
      <c r="H73" s="320"/>
      <c r="I73" s="322"/>
      <c r="J73" s="281"/>
      <c r="K73" s="286"/>
      <c r="L73" s="314"/>
      <c r="M73" s="417"/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416"/>
      <c r="AC73" s="416"/>
      <c r="AD73" s="416"/>
      <c r="AE73" s="416"/>
      <c r="AF73" s="416"/>
      <c r="AG73" s="416"/>
      <c r="AH73" s="416"/>
      <c r="AI73" s="416"/>
      <c r="AJ73" s="416"/>
      <c r="AK73" s="416"/>
      <c r="AL73" s="416"/>
      <c r="AM73" s="416"/>
      <c r="AN73" s="416"/>
      <c r="AO73" s="416"/>
      <c r="AP73" s="416"/>
      <c r="AQ73" s="416"/>
      <c r="AR73" s="416"/>
      <c r="AS73" s="416"/>
      <c r="AT73" s="416"/>
      <c r="AU73" s="416"/>
      <c r="AV73" s="416"/>
      <c r="AW73" s="416"/>
    </row>
    <row r="74" spans="2:57" ht="18" customHeight="1" thickBot="1">
      <c r="B74" s="59"/>
      <c r="C74" s="30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 t="s">
        <v>41</v>
      </c>
      <c r="O74" s="56"/>
      <c r="P74" s="60"/>
    </row>
    <row r="75" spans="2:57" ht="14.4" thickBot="1">
      <c r="B75" s="533" t="s">
        <v>55</v>
      </c>
      <c r="C75" s="534"/>
      <c r="D75" s="534"/>
      <c r="E75" s="534"/>
      <c r="F75" s="535"/>
      <c r="G75" s="533" t="s">
        <v>56</v>
      </c>
      <c r="H75" s="534"/>
      <c r="I75" s="534"/>
      <c r="J75" s="535"/>
      <c r="K75" s="533" t="s">
        <v>51</v>
      </c>
      <c r="L75" s="534"/>
      <c r="M75" s="534"/>
      <c r="N75" s="536"/>
      <c r="O75" s="56"/>
      <c r="P75" s="50"/>
    </row>
    <row r="76" spans="2:57">
      <c r="B76" s="61" t="s">
        <v>17</v>
      </c>
      <c r="C76" s="62" t="s">
        <v>36</v>
      </c>
      <c r="D76" s="62" t="s">
        <v>37</v>
      </c>
      <c r="E76" s="62" t="s">
        <v>38</v>
      </c>
      <c r="F76" s="63" t="s">
        <v>39</v>
      </c>
      <c r="G76" s="62" t="s">
        <v>36</v>
      </c>
      <c r="H76" s="62" t="s">
        <v>37</v>
      </c>
      <c r="I76" s="62" t="s">
        <v>38</v>
      </c>
      <c r="J76" s="63" t="s">
        <v>39</v>
      </c>
      <c r="K76" s="62" t="s">
        <v>36</v>
      </c>
      <c r="L76" s="62" t="s">
        <v>37</v>
      </c>
      <c r="M76" s="62" t="s">
        <v>38</v>
      </c>
      <c r="N76" s="63" t="s">
        <v>39</v>
      </c>
      <c r="O76" s="56"/>
      <c r="P76" s="64"/>
    </row>
    <row r="77" spans="2:57">
      <c r="B77" s="29" t="s">
        <v>6</v>
      </c>
      <c r="C77" s="65"/>
      <c r="D77" s="76">
        <v>6.6211496495091309</v>
      </c>
      <c r="E77" s="76">
        <v>6.6658915943888024</v>
      </c>
      <c r="F77" s="66">
        <v>4.8</v>
      </c>
      <c r="G77" s="65"/>
      <c r="H77" s="76">
        <v>5.3799595332193206</v>
      </c>
      <c r="I77" s="76">
        <v>6.6856909379529688</v>
      </c>
      <c r="J77" s="66">
        <v>4.8</v>
      </c>
      <c r="K77" s="67"/>
      <c r="L77" s="194">
        <v>0.53110526315789475</v>
      </c>
      <c r="M77" s="194">
        <v>0.7398726237851484</v>
      </c>
      <c r="N77" s="68">
        <v>1</v>
      </c>
      <c r="O77" s="56"/>
      <c r="P77" s="69"/>
    </row>
    <row r="78" spans="2:57">
      <c r="B78" s="33" t="s">
        <v>9</v>
      </c>
      <c r="C78" s="65"/>
      <c r="D78" s="76">
        <v>5.3441641727233629</v>
      </c>
      <c r="E78" s="76">
        <v>6.2557098590467053</v>
      </c>
      <c r="F78" s="66">
        <v>4.8</v>
      </c>
      <c r="G78" s="65"/>
      <c r="H78" s="76">
        <v>4.9536022438629788</v>
      </c>
      <c r="I78" s="76">
        <v>6.0976701609123367</v>
      </c>
      <c r="J78" s="66">
        <v>4.8</v>
      </c>
      <c r="K78" s="67"/>
      <c r="L78" s="194">
        <v>0.5178947368421053</v>
      </c>
      <c r="M78" s="194">
        <v>0.73691678756849477</v>
      </c>
      <c r="N78" s="68">
        <v>1</v>
      </c>
      <c r="P78" s="69"/>
    </row>
    <row r="79" spans="2:57">
      <c r="B79" s="34" t="s">
        <v>40</v>
      </c>
      <c r="C79" s="65"/>
      <c r="D79" s="76">
        <v>9.5325389550870572</v>
      </c>
      <c r="E79" s="76">
        <v>11.724137931034448</v>
      </c>
      <c r="F79" s="66">
        <v>5.5</v>
      </c>
      <c r="G79" s="65"/>
      <c r="H79" s="76">
        <v>8.9041107529384682</v>
      </c>
      <c r="I79" s="76">
        <v>12.945763927425185</v>
      </c>
      <c r="J79" s="66">
        <v>5.5</v>
      </c>
      <c r="K79" s="67"/>
      <c r="L79" s="194">
        <v>0.34631578947368424</v>
      </c>
      <c r="M79" s="194">
        <v>0.52867261020307088</v>
      </c>
      <c r="N79" s="68">
        <v>1</v>
      </c>
      <c r="P79" s="69"/>
    </row>
    <row r="80" spans="2:57">
      <c r="B80" s="22" t="s">
        <v>33</v>
      </c>
      <c r="C80" s="65"/>
      <c r="D80" s="76">
        <v>3.7185929648241238</v>
      </c>
      <c r="E80" s="76">
        <v>4.2675953841355607</v>
      </c>
      <c r="F80" s="66">
        <v>3.3</v>
      </c>
      <c r="G80" s="65"/>
      <c r="H80" s="76">
        <v>3.5401443549560527</v>
      </c>
      <c r="I80" s="76">
        <v>4.1118286580052033</v>
      </c>
      <c r="J80" s="66">
        <v>3.3</v>
      </c>
      <c r="K80" s="67"/>
      <c r="L80" s="194">
        <v>0.33614035087719296</v>
      </c>
      <c r="M80" s="194">
        <v>0.78836257309941515</v>
      </c>
      <c r="N80" s="68">
        <v>1</v>
      </c>
      <c r="P80" s="69"/>
    </row>
    <row r="81" spans="2:16">
      <c r="B81" s="35" t="s">
        <v>29</v>
      </c>
      <c r="C81" s="65"/>
      <c r="D81" s="76"/>
      <c r="E81" s="76"/>
      <c r="F81" s="66">
        <v>3.3</v>
      </c>
      <c r="G81" s="282"/>
      <c r="H81" s="76"/>
      <c r="I81" s="76"/>
      <c r="J81" s="66">
        <v>3</v>
      </c>
      <c r="L81" s="194"/>
      <c r="M81" s="194"/>
      <c r="N81" s="68">
        <v>1</v>
      </c>
      <c r="P81" s="69"/>
    </row>
    <row r="82" spans="2:16">
      <c r="B82" s="36" t="s">
        <v>15</v>
      </c>
      <c r="C82" s="282">
        <f>L70</f>
        <v>4.0369649805447256</v>
      </c>
      <c r="D82" s="76">
        <v>6.2559694364851799</v>
      </c>
      <c r="E82" s="76">
        <v>7.4326750448833208</v>
      </c>
      <c r="F82" s="70">
        <f>[21]May_2022!$M$43</f>
        <v>3.4878406700073312</v>
      </c>
      <c r="G82" s="282">
        <f>[34]June_2025!$P$43</f>
        <v>7.6606905670809748</v>
      </c>
      <c r="H82" s="76">
        <v>8.1287053133197986</v>
      </c>
      <c r="I82" s="76">
        <v>9.1036584057436691</v>
      </c>
      <c r="J82" s="66">
        <v>5.5</v>
      </c>
      <c r="K82" s="67">
        <f>K70</f>
        <v>0.34614035087719303</v>
      </c>
      <c r="L82" s="194">
        <v>0.34438596491228074</v>
      </c>
      <c r="M82" s="194">
        <v>0.59232456140350875</v>
      </c>
      <c r="N82" s="68">
        <v>1</v>
      </c>
      <c r="P82" s="69"/>
    </row>
    <row r="83" spans="2:16">
      <c r="B83" s="37" t="s">
        <v>16</v>
      </c>
      <c r="C83" s="65"/>
      <c r="D83" s="76">
        <v>4.4761595848199667</v>
      </c>
      <c r="E83" s="76">
        <v>2.8990450204638254</v>
      </c>
      <c r="F83" s="66">
        <v>3.3</v>
      </c>
      <c r="G83" s="282"/>
      <c r="H83" s="76">
        <v>4.5799898461408048</v>
      </c>
      <c r="I83" s="76">
        <v>4.4797971833783148</v>
      </c>
      <c r="J83" s="66">
        <v>3.3</v>
      </c>
      <c r="K83" s="67"/>
      <c r="L83" s="194">
        <v>0.34444444444444444</v>
      </c>
      <c r="M83" s="194">
        <v>0.75981884057971016</v>
      </c>
      <c r="N83" s="71">
        <v>1</v>
      </c>
      <c r="P83" s="69"/>
    </row>
    <row r="84" spans="2:16" ht="14.4" thickBot="1">
      <c r="B84" s="38" t="s">
        <v>127</v>
      </c>
      <c r="C84" s="65"/>
      <c r="D84" s="76"/>
      <c r="E84" s="76"/>
      <c r="F84" s="66">
        <v>7.5</v>
      </c>
      <c r="G84" s="282"/>
      <c r="H84" s="76"/>
      <c r="I84" s="76"/>
      <c r="J84" s="66">
        <v>7.5</v>
      </c>
      <c r="K84" s="67"/>
      <c r="L84" s="194"/>
      <c r="M84" s="194"/>
      <c r="N84" s="71">
        <v>1</v>
      </c>
      <c r="P84" s="69"/>
    </row>
    <row r="85" spans="2:16" ht="14.4" thickBot="1">
      <c r="B85" s="415" t="s">
        <v>161</v>
      </c>
      <c r="C85" s="65"/>
      <c r="D85" s="76"/>
      <c r="E85" s="76">
        <v>4.8792508624938291</v>
      </c>
      <c r="F85" s="66">
        <v>4.8</v>
      </c>
      <c r="G85" s="282"/>
      <c r="H85" s="76"/>
      <c r="I85" s="76">
        <v>6.2003723782925313</v>
      </c>
      <c r="J85" s="66">
        <v>4.8</v>
      </c>
      <c r="K85" s="67"/>
      <c r="L85" s="194"/>
      <c r="M85" s="194">
        <v>0.33859649122807017</v>
      </c>
      <c r="N85" s="71">
        <v>1</v>
      </c>
      <c r="O85" s="74"/>
      <c r="P85" s="75"/>
    </row>
    <row r="86" spans="2:16">
      <c r="D86" s="76">
        <v>6.2038773904830311</v>
      </c>
      <c r="E86" s="76">
        <v>6.6172852243583602</v>
      </c>
      <c r="F86" s="341">
        <v>5.5</v>
      </c>
      <c r="H86" s="76">
        <v>5.5863861693632995</v>
      </c>
      <c r="I86" s="76">
        <v>6.91439852369263</v>
      </c>
      <c r="J86" s="341">
        <v>5.5</v>
      </c>
      <c r="K86" s="67"/>
      <c r="L86" s="194">
        <v>0.46023657628920794</v>
      </c>
      <c r="M86" s="194">
        <v>0.69958025415444769</v>
      </c>
      <c r="N86" s="386">
        <v>1</v>
      </c>
    </row>
    <row r="90" spans="2:16">
      <c r="F90" s="315"/>
    </row>
  </sheetData>
  <mergeCells count="50">
    <mergeCell ref="M4:N4"/>
    <mergeCell ref="S1:T1"/>
    <mergeCell ref="U1:V1"/>
    <mergeCell ref="W1:X1"/>
    <mergeCell ref="Y1:Z1"/>
    <mergeCell ref="B2:O2"/>
    <mergeCell ref="O8:O9"/>
    <mergeCell ref="P8:P9"/>
    <mergeCell ref="C5:D5"/>
    <mergeCell ref="B8:B9"/>
    <mergeCell ref="C8:C9"/>
    <mergeCell ref="D8:D9"/>
    <mergeCell ref="G8:G9"/>
    <mergeCell ref="D43:E44"/>
    <mergeCell ref="D45:E46"/>
    <mergeCell ref="J8:J9"/>
    <mergeCell ref="K8:K9"/>
    <mergeCell ref="L8:L9"/>
    <mergeCell ref="I8:I9"/>
    <mergeCell ref="H8:H9"/>
    <mergeCell ref="I39:N39"/>
    <mergeCell ref="D40:E40"/>
    <mergeCell ref="D41:E42"/>
    <mergeCell ref="D61:E62"/>
    <mergeCell ref="M68:M69"/>
    <mergeCell ref="D47:E48"/>
    <mergeCell ref="D49:E50"/>
    <mergeCell ref="D51:E52"/>
    <mergeCell ref="D53:E54"/>
    <mergeCell ref="J53:K53"/>
    <mergeCell ref="L54:N54"/>
    <mergeCell ref="D55:E56"/>
    <mergeCell ref="D57:E58"/>
    <mergeCell ref="D59:E60"/>
    <mergeCell ref="B75:F75"/>
    <mergeCell ref="G75:J75"/>
    <mergeCell ref="K75:N75"/>
    <mergeCell ref="B41:B52"/>
    <mergeCell ref="G68:G69"/>
    <mergeCell ref="H68:H69"/>
    <mergeCell ref="I68:I69"/>
    <mergeCell ref="J68:J69"/>
    <mergeCell ref="K68:K69"/>
    <mergeCell ref="L68:L69"/>
    <mergeCell ref="D63:E63"/>
    <mergeCell ref="B68:B69"/>
    <mergeCell ref="C68:C69"/>
    <mergeCell ref="D68:D69"/>
    <mergeCell ref="E68:E69"/>
    <mergeCell ref="F68:F69"/>
  </mergeCells>
  <conditionalFormatting sqref="B63:B64">
    <cfRule type="cellIs" dxfId="1479" priority="93" operator="notBetween">
      <formula>#REF!</formula>
      <formula>#REF!</formula>
    </cfRule>
  </conditionalFormatting>
  <conditionalFormatting sqref="C67">
    <cfRule type="cellIs" dxfId="1478" priority="125" stopIfTrue="1" operator="greaterThan">
      <formula>100</formula>
    </cfRule>
    <cfRule type="cellIs" dxfId="1477" priority="124" stopIfTrue="1" operator="lessThan">
      <formula>96</formula>
    </cfRule>
  </conditionalFormatting>
  <conditionalFormatting sqref="C77:C78">
    <cfRule type="cellIs" dxfId="1476" priority="71" stopIfTrue="1" operator="lessThanOrEqual">
      <formula>0</formula>
    </cfRule>
  </conditionalFormatting>
  <conditionalFormatting sqref="C77:C81">
    <cfRule type="cellIs" dxfId="1475" priority="70" stopIfTrue="1" operator="greaterThan">
      <formula>$F77</formula>
    </cfRule>
  </conditionalFormatting>
  <conditionalFormatting sqref="C78">
    <cfRule type="cellIs" dxfId="1474" priority="128" stopIfTrue="1" operator="greaterThan">
      <formula>$F77</formula>
    </cfRule>
  </conditionalFormatting>
  <conditionalFormatting sqref="C79:C82">
    <cfRule type="cellIs" dxfId="1473" priority="77" stopIfTrue="1" operator="lessThanOrEqual">
      <formula>0</formula>
    </cfRule>
  </conditionalFormatting>
  <conditionalFormatting sqref="C82">
    <cfRule type="cellIs" dxfId="1472" priority="76" stopIfTrue="1" operator="greaterThan">
      <formula>$J82</formula>
    </cfRule>
  </conditionalFormatting>
  <conditionalFormatting sqref="C88:C92">
    <cfRule type="cellIs" dxfId="1471" priority="116" stopIfTrue="1" operator="lessThanOrEqual">
      <formula>0</formula>
    </cfRule>
  </conditionalFormatting>
  <conditionalFormatting sqref="C89:C92">
    <cfRule type="cellIs" dxfId="1470" priority="115" stopIfTrue="1" operator="greaterThan">
      <formula>$F$88</formula>
    </cfRule>
  </conditionalFormatting>
  <conditionalFormatting sqref="C94">
    <cfRule type="cellIs" dxfId="1469" priority="117" stopIfTrue="1" operator="greaterThan">
      <formula>$F$88</formula>
    </cfRule>
    <cfRule type="cellIs" dxfId="1468" priority="118" stopIfTrue="1" operator="lessThanOrEqual">
      <formula>0</formula>
    </cfRule>
  </conditionalFormatting>
  <conditionalFormatting sqref="C88:D88 D90:D96">
    <cfRule type="cellIs" dxfId="1467" priority="110" stopIfTrue="1" operator="greaterThan">
      <formula>4.5</formula>
    </cfRule>
  </conditionalFormatting>
  <conditionalFormatting sqref="D63:D64">
    <cfRule type="cellIs" dxfId="1466" priority="94" operator="notBetween">
      <formula>#REF!</formula>
      <formula>#REF!</formula>
    </cfRule>
  </conditionalFormatting>
  <conditionalFormatting sqref="D77:D84">
    <cfRule type="cellIs" dxfId="1465" priority="87" stopIfTrue="1" operator="lessThanOrEqual">
      <formula>0</formula>
    </cfRule>
  </conditionalFormatting>
  <conditionalFormatting sqref="D85">
    <cfRule type="cellIs" dxfId="1464" priority="86" stopIfTrue="1" operator="lessThanOrEqual">
      <formula>0</formula>
    </cfRule>
  </conditionalFormatting>
  <conditionalFormatting sqref="D88 D90:D96">
    <cfRule type="cellIs" dxfId="1463" priority="111" stopIfTrue="1" operator="lessThanOrEqual">
      <formula>0</formula>
    </cfRule>
  </conditionalFormatting>
  <conditionalFormatting sqref="D89">
    <cfRule type="cellIs" dxfId="1462" priority="103" stopIfTrue="1" operator="lessThanOrEqual">
      <formula>0</formula>
    </cfRule>
    <cfRule type="cellIs" dxfId="1461" priority="102" stopIfTrue="1" operator="greaterThan">
      <formula>$F$88</formula>
    </cfRule>
  </conditionalFormatting>
  <conditionalFormatting sqref="D77:E86">
    <cfRule type="cellIs" dxfId="1460" priority="67" stopIfTrue="1" operator="greaterThan">
      <formula>$F77</formula>
    </cfRule>
  </conditionalFormatting>
  <conditionalFormatting sqref="D86:E86">
    <cfRule type="cellIs" dxfId="1459" priority="68" stopIfTrue="1" operator="lessThanOrEqual">
      <formula>0</formula>
    </cfRule>
  </conditionalFormatting>
  <conditionalFormatting sqref="E10:E22 E37:E38">
    <cfRule type="cellIs" dxfId="1458" priority="12" operator="lessThan">
      <formula>48</formula>
    </cfRule>
  </conditionalFormatting>
  <conditionalFormatting sqref="E66 E67:F67">
    <cfRule type="cellIs" dxfId="1457" priority="107" stopIfTrue="1" operator="greaterThan">
      <formula>100</formula>
    </cfRule>
  </conditionalFormatting>
  <conditionalFormatting sqref="E67">
    <cfRule type="cellIs" dxfId="1456" priority="104" stopIfTrue="1" operator="lessThan">
      <formula>96.8</formula>
    </cfRule>
    <cfRule type="cellIs" dxfId="1455" priority="105" stopIfTrue="1" operator="greaterThan">
      <formula>100</formula>
    </cfRule>
  </conditionalFormatting>
  <conditionalFormatting sqref="E77:E85">
    <cfRule type="cellIs" dxfId="1454" priority="81" stopIfTrue="1" operator="lessThanOrEqual">
      <formula>0</formula>
    </cfRule>
  </conditionalFormatting>
  <conditionalFormatting sqref="E88:E96">
    <cfRule type="cellIs" dxfId="1453" priority="97" stopIfTrue="1" operator="lessThanOrEqual">
      <formula>0</formula>
    </cfRule>
    <cfRule type="cellIs" dxfId="1452" priority="96" stopIfTrue="1" operator="greaterThan">
      <formula>4.5</formula>
    </cfRule>
  </conditionalFormatting>
  <conditionalFormatting sqref="E67:F67 E66">
    <cfRule type="cellIs" dxfId="1451" priority="106" stopIfTrue="1" operator="lessThan">
      <formula>96.5</formula>
    </cfRule>
  </conditionalFormatting>
  <conditionalFormatting sqref="F10:F22 F37:F38">
    <cfRule type="cellIs" dxfId="1450" priority="13" operator="greaterThan">
      <formula>60</formula>
    </cfRule>
  </conditionalFormatting>
  <conditionalFormatting sqref="F23:F36">
    <cfRule type="cellIs" dxfId="1449" priority="6" operator="greaterThan">
      <formula>$AA23</formula>
    </cfRule>
  </conditionalFormatting>
  <conditionalFormatting sqref="F67">
    <cfRule type="cellIs" dxfId="1448" priority="123" stopIfTrue="1" operator="greaterThan">
      <formula>100</formula>
    </cfRule>
    <cfRule type="cellIs" dxfId="1447" priority="122" stopIfTrue="1" operator="lessThan">
      <formula>96.8</formula>
    </cfRule>
  </conditionalFormatting>
  <conditionalFormatting sqref="F86">
    <cfRule type="cellIs" dxfId="1446" priority="83" stopIfTrue="1" operator="lessThanOrEqual">
      <formula>0</formula>
    </cfRule>
    <cfRule type="cellIs" dxfId="1445" priority="82" stopIfTrue="1" operator="greaterThan">
      <formula>$F86</formula>
    </cfRule>
  </conditionalFormatting>
  <conditionalFormatting sqref="G23:G36">
    <cfRule type="expression" dxfId="1444" priority="9">
      <formula>IF(+(IF(G23&lt;T23,0,IF(G23&gt;U23,0,1)))=0,1)</formula>
    </cfRule>
  </conditionalFormatting>
  <conditionalFormatting sqref="G77:G78 C83:C85">
    <cfRule type="cellIs" dxfId="1443" priority="89" stopIfTrue="1" operator="lessThanOrEqual">
      <formula>0</formula>
    </cfRule>
    <cfRule type="cellIs" dxfId="1442" priority="88" stopIfTrue="1" operator="greaterThan">
      <formula>$F77</formula>
    </cfRule>
  </conditionalFormatting>
  <conditionalFormatting sqref="G77:G78">
    <cfRule type="cellIs" dxfId="1441" priority="73" stopIfTrue="1" operator="lessThanOrEqual">
      <formula>0</formula>
    </cfRule>
    <cfRule type="cellIs" dxfId="1440" priority="72" stopIfTrue="1" operator="greaterThan">
      <formula>$F77</formula>
    </cfRule>
  </conditionalFormatting>
  <conditionalFormatting sqref="G79">
    <cfRule type="cellIs" dxfId="1439" priority="126" stopIfTrue="1" operator="greaterThan">
      <formula>$F78</formula>
    </cfRule>
    <cfRule type="cellIs" dxfId="1438" priority="127" stopIfTrue="1" operator="lessThanOrEqual">
      <formula>0</formula>
    </cfRule>
  </conditionalFormatting>
  <conditionalFormatting sqref="G80">
    <cfRule type="cellIs" dxfId="1437" priority="84" stopIfTrue="1" operator="greaterThan">
      <formula>$F80</formula>
    </cfRule>
    <cfRule type="cellIs" dxfId="1436" priority="85" stopIfTrue="1" operator="lessThanOrEqual">
      <formula>0</formula>
    </cfRule>
  </conditionalFormatting>
  <conditionalFormatting sqref="G81:G85">
    <cfRule type="cellIs" dxfId="1435" priority="91" stopIfTrue="1" operator="lessThanOrEqual">
      <formula>0</formula>
    </cfRule>
    <cfRule type="cellIs" dxfId="1434" priority="90" stopIfTrue="1" operator="greaterThan">
      <formula>$J81</formula>
    </cfRule>
  </conditionalFormatting>
  <conditionalFormatting sqref="G90:G95 C93 C95">
    <cfRule type="cellIs" dxfId="1433" priority="119" stopIfTrue="1" operator="greaterThan">
      <formula>4.5</formula>
    </cfRule>
    <cfRule type="cellIs" dxfId="1432" priority="120" stopIfTrue="1" operator="lessThanOrEqual">
      <formula>0</formula>
    </cfRule>
  </conditionalFormatting>
  <conditionalFormatting sqref="G10:H22 G37:H38">
    <cfRule type="expression" dxfId="1431" priority="14">
      <formula>IF(+(IF(G10&lt;#REF!,0,IF(G10&gt;#REF!,0,1)))=0,1)</formula>
    </cfRule>
  </conditionalFormatting>
  <conditionalFormatting sqref="G89:H89">
    <cfRule type="cellIs" dxfId="1430" priority="101" stopIfTrue="1" operator="lessThanOrEqual">
      <formula>0</formula>
    </cfRule>
    <cfRule type="cellIs" dxfId="1429" priority="100" stopIfTrue="1" operator="greaterThan">
      <formula>$F$88</formula>
    </cfRule>
  </conditionalFormatting>
  <conditionalFormatting sqref="H23:H36">
    <cfRule type="expression" dxfId="1428" priority="10">
      <formula>IF(+(IF(H23&lt;T23,0,IF(H23&gt;U23,0,1)))=0,1)</formula>
    </cfRule>
  </conditionalFormatting>
  <conditionalFormatting sqref="H52:H66">
    <cfRule type="cellIs" dxfId="1427" priority="98" stopIfTrue="1" operator="greaterThan">
      <formula>0</formula>
    </cfRule>
  </conditionalFormatting>
  <conditionalFormatting sqref="H70">
    <cfRule type="cellIs" dxfId="1426" priority="35" stopIfTrue="1" operator="lessThanOrEqual">
      <formula>0</formula>
    </cfRule>
    <cfRule type="cellIs" dxfId="1425" priority="34" stopIfTrue="1" operator="greaterThan">
      <formula>$F$43</formula>
    </cfRule>
    <cfRule type="cellIs" dxfId="1424" priority="36" stopIfTrue="1" operator="greaterThan">
      <formula>$F$41</formula>
    </cfRule>
    <cfRule type="cellIs" dxfId="1423" priority="37" stopIfTrue="1" operator="lessThanOrEqual">
      <formula>0</formula>
    </cfRule>
    <cfRule type="cellIs" dxfId="1422" priority="25" stopIfTrue="1" operator="lessThanOrEqual">
      <formula>0</formula>
    </cfRule>
    <cfRule type="cellIs" dxfId="1421" priority="26" stopIfTrue="1" operator="greaterThan">
      <formula>$F$40</formula>
    </cfRule>
  </conditionalFormatting>
  <conditionalFormatting sqref="H71:H73">
    <cfRule type="cellIs" dxfId="1420" priority="53" stopIfTrue="1" operator="lessThanOrEqual">
      <formula>0</formula>
    </cfRule>
    <cfRule type="cellIs" dxfId="1419" priority="51" stopIfTrue="1" operator="lessThanOrEqual">
      <formula>0</formula>
    </cfRule>
    <cfRule type="cellIs" dxfId="1418" priority="50" stopIfTrue="1" operator="greaterThan">
      <formula>$F$54</formula>
    </cfRule>
    <cfRule type="cellIs" dxfId="1417" priority="41" stopIfTrue="1" operator="lessThanOrEqual">
      <formula>0</formula>
    </cfRule>
    <cfRule type="cellIs" dxfId="1416" priority="52" stopIfTrue="1" operator="greaterThan">
      <formula>$F$52</formula>
    </cfRule>
    <cfRule type="cellIs" dxfId="1415" priority="42" stopIfTrue="1" operator="greaterThan">
      <formula>$F$51</formula>
    </cfRule>
  </conditionalFormatting>
  <conditionalFormatting sqref="H77:H84">
    <cfRule type="cellIs" dxfId="1414" priority="75" stopIfTrue="1" operator="lessThanOrEqual">
      <formula>0</formula>
    </cfRule>
    <cfRule type="cellIs" dxfId="1413" priority="74" stopIfTrue="1" operator="greaterThan">
      <formula>$J77</formula>
    </cfRule>
  </conditionalFormatting>
  <conditionalFormatting sqref="H85">
    <cfRule type="cellIs" dxfId="1412" priority="78" operator="greaterThan">
      <formula>5.3</formula>
    </cfRule>
  </conditionalFormatting>
  <conditionalFormatting sqref="H88 H90:H96">
    <cfRule type="cellIs" dxfId="1411" priority="113" stopIfTrue="1" operator="lessThanOrEqual">
      <formula>0</formula>
    </cfRule>
    <cfRule type="cellIs" dxfId="1410" priority="112" stopIfTrue="1" operator="greaterThan">
      <formula>4.5</formula>
    </cfRule>
  </conditionalFormatting>
  <conditionalFormatting sqref="H70:I70">
    <cfRule type="cellIs" dxfId="1409" priority="24" stopIfTrue="1" operator="greaterThan">
      <formula>$F$42</formula>
    </cfRule>
    <cfRule type="cellIs" dxfId="1408" priority="27" stopIfTrue="1" operator="lessThanOrEqual">
      <formula>0</formula>
    </cfRule>
  </conditionalFormatting>
  <conditionalFormatting sqref="H71:I73">
    <cfRule type="cellIs" dxfId="1407" priority="43" stopIfTrue="1" operator="lessThanOrEqual">
      <formula>0</formula>
    </cfRule>
    <cfRule type="cellIs" dxfId="1406" priority="40" stopIfTrue="1" operator="greaterThan">
      <formula>$F$53</formula>
    </cfRule>
  </conditionalFormatting>
  <conditionalFormatting sqref="H86:I86">
    <cfRule type="cellIs" dxfId="1405" priority="66" stopIfTrue="1" operator="lessThanOrEqual">
      <formula>0</formula>
    </cfRule>
    <cfRule type="cellIs" dxfId="1404" priority="65" stopIfTrue="1" operator="greaterThan">
      <formula>$J86</formula>
    </cfRule>
  </conditionalFormatting>
  <conditionalFormatting sqref="I70">
    <cfRule type="cellIs" dxfId="1403" priority="32" stopIfTrue="1" operator="greaterThan">
      <formula>$F$40</formula>
    </cfRule>
    <cfRule type="cellIs" dxfId="1402" priority="28" stopIfTrue="1" operator="greaterThan">
      <formula>$F$40</formula>
    </cfRule>
    <cfRule type="cellIs" dxfId="1401" priority="29" stopIfTrue="1" operator="lessThanOrEqual">
      <formula>0</formula>
    </cfRule>
    <cfRule type="cellIs" dxfId="1400" priority="30" stopIfTrue="1" operator="greaterThan">
      <formula>$F$42</formula>
    </cfRule>
    <cfRule type="cellIs" dxfId="1399" priority="31" stopIfTrue="1" operator="lessThanOrEqual">
      <formula>0</formula>
    </cfRule>
    <cfRule type="cellIs" dxfId="1398" priority="33" stopIfTrue="1" operator="lessThanOrEqual">
      <formula>0</formula>
    </cfRule>
  </conditionalFormatting>
  <conditionalFormatting sqref="I71:I73">
    <cfRule type="cellIs" dxfId="1397" priority="47" stopIfTrue="1" operator="lessThanOrEqual">
      <formula>0</formula>
    </cfRule>
    <cfRule type="cellIs" dxfId="1396" priority="46" stopIfTrue="1" operator="greaterThan">
      <formula>$F$53</formula>
    </cfRule>
    <cfRule type="cellIs" dxfId="1395" priority="45" stopIfTrue="1" operator="lessThanOrEqual">
      <formula>0</formula>
    </cfRule>
    <cfRule type="cellIs" dxfId="1394" priority="44" stopIfTrue="1" operator="greaterThan">
      <formula>$F$51</formula>
    </cfRule>
    <cfRule type="cellIs" dxfId="1393" priority="49" stopIfTrue="1" operator="lessThanOrEqual">
      <formula>0</formula>
    </cfRule>
    <cfRule type="cellIs" dxfId="1392" priority="48" stopIfTrue="1" operator="greaterThan">
      <formula>$F$51</formula>
    </cfRule>
  </conditionalFormatting>
  <conditionalFormatting sqref="I77:I85">
    <cfRule type="cellIs" dxfId="1391" priority="79" stopIfTrue="1" operator="greaterThan">
      <formula>$J77</formula>
    </cfRule>
    <cfRule type="cellIs" dxfId="1390" priority="80" stopIfTrue="1" operator="lessThanOrEqual">
      <formula>0</formula>
    </cfRule>
  </conditionalFormatting>
  <conditionalFormatting sqref="I88:I96">
    <cfRule type="cellIs" dxfId="1389" priority="109" stopIfTrue="1" operator="lessThanOrEqual">
      <formula>0</formula>
    </cfRule>
    <cfRule type="cellIs" dxfId="1388" priority="108" stopIfTrue="1" operator="greaterThan">
      <formula>4.5</formula>
    </cfRule>
  </conditionalFormatting>
  <conditionalFormatting sqref="I10:J22 I37:J38">
    <cfRule type="cellIs" dxfId="1387" priority="19" operator="lessThan">
      <formula>97.9</formula>
    </cfRule>
  </conditionalFormatting>
  <conditionalFormatting sqref="I23:J36">
    <cfRule type="cellIs" dxfId="1386" priority="5" operator="notBetween">
      <formula>98</formula>
      <formula>99.9</formula>
    </cfRule>
  </conditionalFormatting>
  <conditionalFormatting sqref="J41:J43">
    <cfRule type="cellIs" dxfId="1385" priority="56" stopIfTrue="1" operator="greaterThan">
      <formula>100</formula>
    </cfRule>
    <cfRule type="cellIs" dxfId="1384" priority="55" stopIfTrue="1" operator="lessThan">
      <formula>96.8</formula>
    </cfRule>
    <cfRule type="cellIs" dxfId="1383" priority="57" operator="lessThan">
      <formula>98</formula>
    </cfRule>
  </conditionalFormatting>
  <conditionalFormatting sqref="J41:J45">
    <cfRule type="cellIs" dxfId="1382" priority="54" operator="lessThan">
      <formula>97.4</formula>
    </cfRule>
  </conditionalFormatting>
  <conditionalFormatting sqref="J46">
    <cfRule type="cellIs" dxfId="1381" priority="58" operator="lessThan">
      <formula>98</formula>
    </cfRule>
  </conditionalFormatting>
  <conditionalFormatting sqref="J47:J49">
    <cfRule type="cellIs" dxfId="1380" priority="59" stopIfTrue="1" operator="lessThan">
      <formula>96.8</formula>
    </cfRule>
    <cfRule type="cellIs" dxfId="1379" priority="60" stopIfTrue="1" operator="greaterThan">
      <formula>100</formula>
    </cfRule>
  </conditionalFormatting>
  <conditionalFormatting sqref="J47:J50">
    <cfRule type="cellIs" dxfId="1378" priority="61" operator="lessThan">
      <formula>98</formula>
    </cfRule>
  </conditionalFormatting>
  <conditionalFormatting sqref="J86">
    <cfRule type="cellIs" dxfId="1377" priority="63" stopIfTrue="1" operator="lessThanOrEqual">
      <formula>0</formula>
    </cfRule>
    <cfRule type="cellIs" dxfId="1376" priority="62" stopIfTrue="1" operator="greaterThan">
      <formula>$F86</formula>
    </cfRule>
  </conditionalFormatting>
  <conditionalFormatting sqref="K10:K22 K37:K38">
    <cfRule type="cellIs" dxfId="1375" priority="18" operator="greaterThan">
      <formula>6.4</formula>
    </cfRule>
  </conditionalFormatting>
  <conditionalFormatting sqref="K10:K38">
    <cfRule type="cellIs" dxfId="1374" priority="1" operator="lessThan">
      <formula>4</formula>
    </cfRule>
    <cfRule type="cellIs" dxfId="1373" priority="2" operator="greaterThan">
      <formula>6</formula>
    </cfRule>
  </conditionalFormatting>
  <conditionalFormatting sqref="K70:K73">
    <cfRule type="cellIs" dxfId="1372" priority="38" stopIfTrue="1" operator="lessThan">
      <formula>100%</formula>
    </cfRule>
  </conditionalFormatting>
  <conditionalFormatting sqref="K88:K93">
    <cfRule type="cellIs" dxfId="1371" priority="114" stopIfTrue="1" operator="lessThan">
      <formula>100%</formula>
    </cfRule>
  </conditionalFormatting>
  <conditionalFormatting sqref="K95:K96">
    <cfRule type="cellIs" dxfId="1370" priority="121" stopIfTrue="1" operator="lessThan">
      <formula>100%</formula>
    </cfRule>
  </conditionalFormatting>
  <conditionalFormatting sqref="K77:N80 L81:N81">
    <cfRule type="cellIs" dxfId="1369" priority="92" stopIfTrue="1" operator="lessThan">
      <formula>100%</formula>
    </cfRule>
  </conditionalFormatting>
  <conditionalFormatting sqref="K82:N86">
    <cfRule type="cellIs" dxfId="1368" priority="64" stopIfTrue="1" operator="lessThan">
      <formula>100%</formula>
    </cfRule>
  </conditionalFormatting>
  <conditionalFormatting sqref="L23:L38">
    <cfRule type="cellIs" dxfId="1367" priority="3" operator="between">
      <formula>61</formula>
      <formula>65</formula>
    </cfRule>
    <cfRule type="cellIs" dxfId="1366" priority="4" operator="greaterThan">
      <formula>65</formula>
    </cfRule>
  </conditionalFormatting>
  <conditionalFormatting sqref="L10:M22">
    <cfRule type="cellIs" dxfId="1365" priority="21" operator="greaterThan">
      <formula>65</formula>
    </cfRule>
    <cfRule type="cellIs" dxfId="1364" priority="20" operator="between">
      <formula>61</formula>
      <formula>65</formula>
    </cfRule>
  </conditionalFormatting>
  <conditionalFormatting sqref="L56:N56">
    <cfRule type="cellIs" dxfId="1363" priority="39" operator="notEqual">
      <formula>#REF!</formula>
    </cfRule>
  </conditionalFormatting>
  <conditionalFormatting sqref="L88:N96">
    <cfRule type="cellIs" dxfId="1362" priority="99" stopIfTrue="1" operator="lessThan">
      <formula>100%</formula>
    </cfRule>
  </conditionalFormatting>
  <conditionalFormatting sqref="M10:M22 M37:M38">
    <cfRule type="expression" dxfId="1361" priority="15">
      <formula>IF(+(IF(M10&lt;U10,0,IF(M10&gt;V10,0,1)))=0,1)</formula>
    </cfRule>
  </conditionalFormatting>
  <conditionalFormatting sqref="M23:M36">
    <cfRule type="expression" dxfId="1360" priority="8">
      <formula>IF(+(IF(M23&lt;V23,0,IF(M23&gt;W23,0,1)))=0,1)</formula>
    </cfRule>
  </conditionalFormatting>
  <conditionalFormatting sqref="M41 L42:M52">
    <cfRule type="cellIs" dxfId="1359" priority="69" operator="lessThan">
      <formula>98</formula>
    </cfRule>
  </conditionalFormatting>
  <conditionalFormatting sqref="N10:N22 N37:N38">
    <cfRule type="expression" dxfId="1358" priority="11">
      <formula>IF(+(IF(N10&lt;W10,0,IF(N10&gt;X10,0,1)))=0,1)</formula>
    </cfRule>
  </conditionalFormatting>
  <conditionalFormatting sqref="N23:N36">
    <cfRule type="expression" dxfId="1357" priority="7">
      <formula>IF(+(IF(N23&lt;X23,0,IF(N23&gt;Y23,0,1)))=0,1)</formula>
    </cfRule>
  </conditionalFormatting>
  <conditionalFormatting sqref="P6">
    <cfRule type="cellIs" dxfId="1356" priority="95" operator="greaterThanOrEqual">
      <formula>19</formula>
    </cfRule>
  </conditionalFormatting>
  <dataValidations count="1">
    <dataValidation type="list" allowBlank="1" showInputMessage="1" showErrorMessage="1" sqref="R8 B23:B36 B16" xr:uid="{406A8090-0C35-44B4-AC1F-A754BF6A0E40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90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0676-C0A9-4B74-A19C-C52EC80FC641}">
  <sheetPr>
    <pageSetUpPr fitToPage="1"/>
  </sheetPr>
  <dimension ref="A1:BE85"/>
  <sheetViews>
    <sheetView topLeftCell="A42" zoomScale="80" zoomScaleNormal="80" workbookViewId="0">
      <selection activeCell="G42" sqref="G42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32" style="275" customWidth="1"/>
    <col min="12" max="12" width="14.88671875" style="275" customWidth="1"/>
    <col min="13" max="13" width="18.55468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73" t="s">
        <v>0</v>
      </c>
      <c r="T1" s="473"/>
      <c r="U1" s="473" t="s">
        <v>1</v>
      </c>
      <c r="V1" s="473"/>
      <c r="W1" s="473" t="s">
        <v>2</v>
      </c>
      <c r="X1" s="473"/>
      <c r="Y1" s="473" t="s">
        <v>124</v>
      </c>
      <c r="Z1" s="473"/>
    </row>
    <row r="2" spans="2:29" ht="14.4">
      <c r="B2" s="474" t="s">
        <v>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45824</v>
      </c>
      <c r="J4" s="398" t="s">
        <v>172</v>
      </c>
      <c r="K4" s="398"/>
      <c r="L4" s="11"/>
      <c r="M4" s="471" t="s">
        <v>8</v>
      </c>
      <c r="N4" s="472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68"/>
      <c r="D5" s="468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179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81" t="s">
        <v>17</v>
      </c>
      <c r="C8" s="483" t="s">
        <v>18</v>
      </c>
      <c r="D8" s="483" t="s">
        <v>19</v>
      </c>
      <c r="E8" s="356" t="s">
        <v>20</v>
      </c>
      <c r="F8" s="356" t="s">
        <v>21</v>
      </c>
      <c r="G8" s="483" t="s">
        <v>22</v>
      </c>
      <c r="H8" s="485" t="s">
        <v>144</v>
      </c>
      <c r="I8" s="483" t="s">
        <v>173</v>
      </c>
      <c r="J8" s="487" t="s">
        <v>23</v>
      </c>
      <c r="K8" s="489" t="s">
        <v>142</v>
      </c>
      <c r="L8" s="491" t="s">
        <v>24</v>
      </c>
      <c r="M8" s="359" t="s">
        <v>25</v>
      </c>
      <c r="N8" s="17" t="s">
        <v>26</v>
      </c>
      <c r="O8" s="543" t="s">
        <v>155</v>
      </c>
      <c r="P8" s="555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82"/>
      <c r="C9" s="484"/>
      <c r="D9" s="484"/>
      <c r="E9" s="357" t="s">
        <v>30</v>
      </c>
      <c r="F9" s="357" t="s">
        <v>31</v>
      </c>
      <c r="G9" s="484"/>
      <c r="H9" s="486"/>
      <c r="I9" s="484"/>
      <c r="J9" s="488"/>
      <c r="K9" s="490"/>
      <c r="L9" s="492"/>
      <c r="M9" s="20" t="s">
        <v>32</v>
      </c>
      <c r="N9" s="21" t="s">
        <v>41</v>
      </c>
      <c r="O9" s="556"/>
      <c r="P9" s="555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33"/>
      <c r="C10" s="366"/>
      <c r="D10" s="279"/>
      <c r="E10" s="279"/>
      <c r="F10" s="278"/>
      <c r="G10" s="279"/>
      <c r="H10" s="396"/>
      <c r="I10" s="429"/>
      <c r="J10" s="429"/>
      <c r="K10" s="430"/>
      <c r="L10" s="276"/>
      <c r="M10" s="374"/>
      <c r="N10" s="370"/>
      <c r="O10" s="422"/>
      <c r="P10" s="420"/>
      <c r="R10" s="277">
        <f t="shared" ref="R10:R35" si="0">B10</f>
        <v>0</v>
      </c>
      <c r="S10" s="296" t="e">
        <f t="shared" ref="S10:S35" si="1">VLOOKUP($B10,$R$3:$X$9,2,FALSE)</f>
        <v>#N/A</v>
      </c>
      <c r="T10" s="296" t="e">
        <f t="shared" ref="T10:T35" si="2">VLOOKUP($B10,$R$3:$X$9,3,FALSE)</f>
        <v>#N/A</v>
      </c>
      <c r="U10" s="297" t="e">
        <f t="shared" ref="U10:U35" si="3">VLOOKUP($B10,$R$3:$X$9,4,FALSE)</f>
        <v>#N/A</v>
      </c>
      <c r="V10" s="297" t="e">
        <f t="shared" ref="V10:V35" si="4">VLOOKUP($B10,$R$3:$X$9,5,FALSE)</f>
        <v>#N/A</v>
      </c>
      <c r="W10" s="297" t="e">
        <f t="shared" ref="W10:W35" si="5">VLOOKUP($B10,$R$3:$X$9,6,FALSE)</f>
        <v>#N/A</v>
      </c>
      <c r="X10" s="297" t="e">
        <f t="shared" ref="X10:X35" si="6">VLOOKUP($B10,$R$3:$X$9,7,FALSE)</f>
        <v>#N/A</v>
      </c>
      <c r="Y10" s="297" t="e">
        <f t="shared" ref="Y10:Y35" si="7">VLOOKUP($B10,$R$3:$Z$9,8,FALSE)</f>
        <v>#N/A</v>
      </c>
      <c r="Z10" s="296" t="e">
        <f t="shared" ref="Z10:Z35" si="8">VLOOKUP($B10,$R$3:$Z$9,9,FALSE)</f>
        <v>#N/A</v>
      </c>
    </row>
    <row r="11" spans="2:29" ht="15.75" hidden="1" customHeight="1">
      <c r="B11" s="33"/>
      <c r="C11" s="366"/>
      <c r="D11" s="279"/>
      <c r="E11" s="279"/>
      <c r="F11" s="278"/>
      <c r="G11" s="279"/>
      <c r="H11" s="396"/>
      <c r="I11" s="429"/>
      <c r="J11" s="429"/>
      <c r="K11" s="430"/>
      <c r="L11" s="276"/>
      <c r="M11" s="374"/>
      <c r="N11" s="370"/>
      <c r="O11" s="422"/>
      <c r="P11" s="420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33"/>
      <c r="C12" s="366"/>
      <c r="D12" s="279"/>
      <c r="E12" s="279"/>
      <c r="F12" s="278"/>
      <c r="G12" s="279"/>
      <c r="H12" s="396"/>
      <c r="I12" s="429"/>
      <c r="J12" s="429"/>
      <c r="K12" s="430"/>
      <c r="L12" s="276"/>
      <c r="M12" s="374"/>
      <c r="N12" s="370"/>
      <c r="O12" s="422"/>
      <c r="P12" s="420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33"/>
      <c r="C13" s="366"/>
      <c r="D13" s="279"/>
      <c r="E13" s="279"/>
      <c r="F13" s="278"/>
      <c r="G13" s="279"/>
      <c r="H13" s="396"/>
      <c r="I13" s="429"/>
      <c r="J13" s="429"/>
      <c r="K13" s="430"/>
      <c r="L13" s="276"/>
      <c r="M13" s="374"/>
      <c r="N13" s="370"/>
      <c r="O13" s="422"/>
      <c r="P13" s="420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33"/>
      <c r="C14" s="366"/>
      <c r="D14" s="279"/>
      <c r="E14" s="279"/>
      <c r="F14" s="278"/>
      <c r="G14" s="279"/>
      <c r="H14" s="396"/>
      <c r="I14" s="429"/>
      <c r="J14" s="429"/>
      <c r="K14" s="430"/>
      <c r="L14" s="276"/>
      <c r="M14" s="374"/>
      <c r="N14" s="370"/>
      <c r="O14" s="422"/>
      <c r="P14" s="420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33"/>
      <c r="C15" s="366"/>
      <c r="D15" s="279"/>
      <c r="E15" s="279"/>
      <c r="F15" s="278"/>
      <c r="G15" s="279"/>
      <c r="H15" s="396"/>
      <c r="I15" s="429"/>
      <c r="J15" s="429"/>
      <c r="K15" s="430"/>
      <c r="L15" s="276"/>
      <c r="M15" s="374"/>
      <c r="N15" s="370"/>
      <c r="O15" s="422"/>
      <c r="P15" s="420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customHeight="1">
      <c r="B16" s="37" t="s">
        <v>16</v>
      </c>
      <c r="C16" s="366" t="str">
        <f>[22]Brewhouse!$A51</f>
        <v>SM041</v>
      </c>
      <c r="D16" s="279">
        <f>[22]Brewhouse!$AH51</f>
        <v>51.2</v>
      </c>
      <c r="E16" s="279">
        <f>[22]Brewhouse!$AM51</f>
        <v>51.9</v>
      </c>
      <c r="F16" s="278">
        <f>[22]Brewhouse!$Z51</f>
        <v>63</v>
      </c>
      <c r="G16" s="279">
        <f>[22]Brewhouse!$AK51</f>
        <v>17.28</v>
      </c>
      <c r="H16" s="367"/>
      <c r="I16" s="368">
        <f>[22]Brewhouse!$AY51</f>
        <v>98.050987074941645</v>
      </c>
      <c r="J16" s="368">
        <f>[22]Brewhouse!$AZ51</f>
        <v>99.458162001978906</v>
      </c>
      <c r="K16" s="281">
        <f>[22]Brewhouse!$U51</f>
        <v>6.796875000000008</v>
      </c>
      <c r="L16" s="276">
        <f>[22]Brewhouse!$T51</f>
        <v>61</v>
      </c>
      <c r="M16" s="374">
        <f>[22]Brewhouse!$Y51-[22]Brewhouse!$X51</f>
        <v>0.12916666666666665</v>
      </c>
      <c r="N16" s="370">
        <f>[22]Brewhouse!$AD51</f>
        <v>0.32847222222222222</v>
      </c>
      <c r="O16" s="371" t="str">
        <f>[22]Brewhouse!$BC51</f>
        <v>R.Sookram</v>
      </c>
      <c r="P16" s="420" t="s">
        <v>194</v>
      </c>
      <c r="R16" s="277" t="str">
        <f t="shared" si="0"/>
        <v>STARMALT</v>
      </c>
      <c r="S16" s="296">
        <f t="shared" si="1"/>
        <v>17.100000000000001</v>
      </c>
      <c r="T16" s="296">
        <f t="shared" si="2"/>
        <v>17.5</v>
      </c>
      <c r="U16" s="297">
        <f t="shared" si="3"/>
        <v>0</v>
      </c>
      <c r="V16" s="297">
        <f t="shared" si="4"/>
        <v>0.13605324074074074</v>
      </c>
      <c r="W16" s="297">
        <f t="shared" si="5"/>
        <v>0.27430555555555552</v>
      </c>
      <c r="X16" s="297">
        <f t="shared" si="6"/>
        <v>0.30902777777777779</v>
      </c>
      <c r="Y16" s="297">
        <f t="shared" si="7"/>
        <v>0</v>
      </c>
      <c r="Z16" s="296">
        <f t="shared" si="8"/>
        <v>60</v>
      </c>
    </row>
    <row r="17" spans="2:26" ht="15.75" customHeight="1">
      <c r="B17" s="37" t="s">
        <v>16</v>
      </c>
      <c r="C17" s="366" t="str">
        <f>[22]Brewhouse!$A52</f>
        <v>SM042</v>
      </c>
      <c r="D17" s="279">
        <f>[22]Brewhouse!$AH52</f>
        <v>55.2</v>
      </c>
      <c r="E17" s="279">
        <f>[22]Brewhouse!$AM52</f>
        <v>53.1</v>
      </c>
      <c r="F17" s="278">
        <f>[22]Brewhouse!$Z52</f>
        <v>67</v>
      </c>
      <c r="G17" s="279">
        <f>[22]Brewhouse!$AK52</f>
        <v>16.989999999999998</v>
      </c>
      <c r="H17" s="396">
        <v>16</v>
      </c>
      <c r="I17" s="368">
        <f>[22]Brewhouse!$AY52</f>
        <v>98.420152641026021</v>
      </c>
      <c r="J17" s="368">
        <f>[22]Brewhouse!$AZ52</f>
        <v>99.832625633325208</v>
      </c>
      <c r="K17" s="281">
        <f>[22]Brewhouse!$U52</f>
        <v>6.4855072463768204</v>
      </c>
      <c r="L17" s="276">
        <f>[22]Brewhouse!$T52</f>
        <v>57</v>
      </c>
      <c r="M17" s="374">
        <f>[22]Brewhouse!$Y52-[22]Brewhouse!$X52</f>
        <v>0.12986111111111109</v>
      </c>
      <c r="N17" s="370">
        <f>[22]Brewhouse!$AD52</f>
        <v>0.33541666666666659</v>
      </c>
      <c r="O17" s="371" t="str">
        <f>[22]Brewhouse!$BC52</f>
        <v>R.Sookram</v>
      </c>
      <c r="P17" s="420"/>
      <c r="R17" s="277" t="str">
        <f t="shared" si="0"/>
        <v>STARMALT</v>
      </c>
      <c r="S17" s="296">
        <f t="shared" si="1"/>
        <v>17.100000000000001</v>
      </c>
      <c r="T17" s="296">
        <f t="shared" si="2"/>
        <v>17.5</v>
      </c>
      <c r="U17" s="297">
        <f t="shared" si="3"/>
        <v>0</v>
      </c>
      <c r="V17" s="297">
        <f t="shared" si="4"/>
        <v>0.13605324074074074</v>
      </c>
      <c r="W17" s="297">
        <f t="shared" si="5"/>
        <v>0.27430555555555552</v>
      </c>
      <c r="X17" s="297">
        <f t="shared" si="6"/>
        <v>0.30902777777777779</v>
      </c>
      <c r="Y17" s="297">
        <f t="shared" si="7"/>
        <v>0</v>
      </c>
      <c r="Z17" s="296">
        <f t="shared" si="8"/>
        <v>60</v>
      </c>
    </row>
    <row r="18" spans="2:26" ht="15.75" customHeight="1">
      <c r="B18" s="37" t="s">
        <v>16</v>
      </c>
      <c r="C18" s="366" t="str">
        <f>[22]Brewhouse!$A53</f>
        <v>SM043</v>
      </c>
      <c r="D18" s="279">
        <f>[22]Brewhouse!$AH53</f>
        <v>52.2</v>
      </c>
      <c r="E18" s="279">
        <f>[22]Brewhouse!$AM53</f>
        <v>51.6</v>
      </c>
      <c r="F18" s="278">
        <f>[22]Brewhouse!$Z53</f>
        <v>69</v>
      </c>
      <c r="G18" s="279">
        <f>[22]Brewhouse!$AK53</f>
        <v>17.71</v>
      </c>
      <c r="H18" s="396">
        <v>17.7</v>
      </c>
      <c r="I18" s="368">
        <f>[22]Brewhouse!$AY53</f>
        <v>99.692749620943601</v>
      </c>
      <c r="J18" s="368">
        <f>[22]Brewhouse!$AZ53</f>
        <v>101.12616125166349</v>
      </c>
      <c r="K18" s="281">
        <f>[22]Brewhouse!$U53</f>
        <v>7.0498084291187872</v>
      </c>
      <c r="L18" s="276">
        <f>[22]Brewhouse!$T53</f>
        <v>60</v>
      </c>
      <c r="M18" s="374">
        <f>[22]Brewhouse!$Y53-[22]Brewhouse!$X53</f>
        <v>0.14374999999999993</v>
      </c>
      <c r="N18" s="370">
        <f>[22]Brewhouse!$AD53</f>
        <v>0.31041666666666662</v>
      </c>
      <c r="O18" s="371" t="str">
        <f>[22]Brewhouse!$BC53</f>
        <v>R.Sookram</v>
      </c>
      <c r="P18" s="420"/>
      <c r="R18" s="277" t="str">
        <f t="shared" si="0"/>
        <v>STARMALT</v>
      </c>
      <c r="S18" s="296">
        <f t="shared" si="1"/>
        <v>17.100000000000001</v>
      </c>
      <c r="T18" s="296">
        <f t="shared" si="2"/>
        <v>17.5</v>
      </c>
      <c r="U18" s="297">
        <f t="shared" si="3"/>
        <v>0</v>
      </c>
      <c r="V18" s="297">
        <f t="shared" si="4"/>
        <v>0.13605324074074074</v>
      </c>
      <c r="W18" s="297">
        <f t="shared" si="5"/>
        <v>0.27430555555555552</v>
      </c>
      <c r="X18" s="297">
        <f t="shared" si="6"/>
        <v>0.30902777777777779</v>
      </c>
      <c r="Y18" s="297">
        <f t="shared" si="7"/>
        <v>0</v>
      </c>
      <c r="Z18" s="296">
        <f t="shared" si="8"/>
        <v>60</v>
      </c>
    </row>
    <row r="19" spans="2:26" ht="15.75" customHeight="1">
      <c r="B19" s="37" t="s">
        <v>16</v>
      </c>
      <c r="C19" s="366" t="str">
        <f>[22]Brewhouse!$A54</f>
        <v>SM044</v>
      </c>
      <c r="D19" s="279">
        <f>[22]Brewhouse!$AH54</f>
        <v>54.9</v>
      </c>
      <c r="E19" s="279">
        <f>[22]Brewhouse!$AM54</f>
        <v>51</v>
      </c>
      <c r="F19" s="278">
        <f>[22]Brewhouse!$Z54</f>
        <v>64</v>
      </c>
      <c r="G19" s="279">
        <f>[22]Brewhouse!$AK54</f>
        <v>17.23</v>
      </c>
      <c r="H19" s="396">
        <v>17.2</v>
      </c>
      <c r="I19" s="368">
        <f>[22]Brewhouse!$AY54</f>
        <v>95.725703550808532</v>
      </c>
      <c r="J19" s="368">
        <f>[22]Brewhouse!$AZ54</f>
        <v>97.099507261797626</v>
      </c>
      <c r="K19" s="281">
        <f>[22]Brewhouse!$U54</f>
        <v>4.6994535519125655</v>
      </c>
      <c r="L19" s="276">
        <f>[22]Brewhouse!$T54</f>
        <v>0</v>
      </c>
      <c r="M19" s="442"/>
      <c r="N19" s="370">
        <f>[22]Brewhouse!$AD54</f>
        <v>0.31319444444444439</v>
      </c>
      <c r="O19" s="371" t="str">
        <f>[22]Brewhouse!$BC54</f>
        <v>R.Sookram</v>
      </c>
      <c r="P19" s="420"/>
      <c r="R19" s="277" t="str">
        <f t="shared" si="0"/>
        <v>STARMALT</v>
      </c>
      <c r="S19" s="296">
        <f t="shared" si="1"/>
        <v>17.100000000000001</v>
      </c>
      <c r="T19" s="296">
        <f t="shared" si="2"/>
        <v>17.5</v>
      </c>
      <c r="U19" s="297">
        <f t="shared" si="3"/>
        <v>0</v>
      </c>
      <c r="V19" s="297">
        <f t="shared" si="4"/>
        <v>0.13605324074074074</v>
      </c>
      <c r="W19" s="297">
        <f t="shared" si="5"/>
        <v>0.27430555555555552</v>
      </c>
      <c r="X19" s="297">
        <f t="shared" si="6"/>
        <v>0.30902777777777779</v>
      </c>
      <c r="Y19" s="297">
        <f t="shared" si="7"/>
        <v>0</v>
      </c>
      <c r="Z19" s="296">
        <f t="shared" si="8"/>
        <v>60</v>
      </c>
    </row>
    <row r="20" spans="2:26" ht="15.75" customHeight="1">
      <c r="B20" s="37"/>
      <c r="C20" s="283"/>
      <c r="D20" s="438"/>
      <c r="E20" s="439"/>
      <c r="F20" s="278"/>
      <c r="G20" s="279"/>
      <c r="H20" s="440"/>
      <c r="I20" s="280"/>
      <c r="J20" s="280"/>
      <c r="K20" s="281"/>
      <c r="L20" s="276"/>
      <c r="M20" s="374"/>
      <c r="N20" s="370"/>
      <c r="O20" s="371"/>
      <c r="P20" s="420"/>
      <c r="R20" s="277"/>
      <c r="S20" s="296"/>
      <c r="T20" s="296"/>
      <c r="U20" s="297"/>
      <c r="V20" s="297"/>
      <c r="W20" s="297"/>
      <c r="X20" s="297"/>
      <c r="Y20" s="297"/>
      <c r="Z20" s="296"/>
    </row>
    <row r="21" spans="2:26" ht="15.75" customHeight="1">
      <c r="B21" s="37"/>
      <c r="C21" s="283"/>
      <c r="D21" s="438"/>
      <c r="E21" s="439"/>
      <c r="F21" s="278"/>
      <c r="G21" s="279"/>
      <c r="H21" s="440"/>
      <c r="I21" s="280"/>
      <c r="J21" s="280"/>
      <c r="K21" s="281"/>
      <c r="L21" s="276"/>
      <c r="M21" s="374"/>
      <c r="N21" s="370"/>
      <c r="O21" s="371"/>
      <c r="P21" s="420"/>
      <c r="R21" s="277"/>
      <c r="S21" s="296"/>
      <c r="T21" s="296"/>
      <c r="U21" s="297"/>
      <c r="V21" s="297"/>
      <c r="W21" s="297"/>
      <c r="X21" s="297"/>
      <c r="Y21" s="297"/>
      <c r="Z21" s="296"/>
    </row>
    <row r="22" spans="2:26" ht="15.75" customHeight="1">
      <c r="B22" s="22" t="s">
        <v>33</v>
      </c>
      <c r="C22" s="366" t="str">
        <f>[23]Brewhouse!A48</f>
        <v>VM039</v>
      </c>
      <c r="D22" s="279">
        <f>[23]Brewhouse!AE48</f>
        <v>51.2</v>
      </c>
      <c r="E22" s="279">
        <f>[23]Brewhouse!AJ48</f>
        <v>45.1</v>
      </c>
      <c r="F22" s="278">
        <f>[23]Brewhouse!X48</f>
        <v>74</v>
      </c>
      <c r="G22" s="279">
        <f>[23]Brewhouse!AH48</f>
        <v>14.2</v>
      </c>
      <c r="H22" s="396">
        <v>14.2</v>
      </c>
      <c r="I22" s="368">
        <f>[23]Brewhouse!AV48</f>
        <v>90.887781982231019</v>
      </c>
      <c r="J22" s="368">
        <f>[23]Brewhouse!AW48</f>
        <v>91.320039615760265</v>
      </c>
      <c r="K22" s="281">
        <f>[23]Brewhouse!S48</f>
        <v>10.078124999999993</v>
      </c>
      <c r="L22" s="276">
        <f>[23]Brewhouse!R48</f>
        <v>60</v>
      </c>
      <c r="M22" s="374">
        <f>[23]Brewhouse!$W48-[23]Brewhouse!$V48</f>
        <v>0.14027777777777772</v>
      </c>
      <c r="N22" s="370">
        <f>[23]Brewhouse!AB48</f>
        <v>0.27708333333333335</v>
      </c>
      <c r="O22" s="371" t="str">
        <f>[23]Brewhouse!$AZ48</f>
        <v>R.Regis</v>
      </c>
      <c r="P22" s="420"/>
      <c r="R22" s="277"/>
      <c r="S22" s="296"/>
      <c r="T22" s="296"/>
      <c r="U22" s="297"/>
      <c r="V22" s="297"/>
      <c r="W22" s="297"/>
      <c r="X22" s="297"/>
      <c r="Y22" s="297"/>
      <c r="Z22" s="296"/>
    </row>
    <row r="23" spans="2:26" ht="15.75" customHeight="1">
      <c r="B23" s="22" t="s">
        <v>33</v>
      </c>
      <c r="C23" s="366" t="str">
        <f>[23]Brewhouse!A49</f>
        <v>VM040</v>
      </c>
      <c r="D23" s="279">
        <f>[23]Brewhouse!AE49</f>
        <v>49.9</v>
      </c>
      <c r="E23" s="279">
        <f>[23]Brewhouse!AJ49</f>
        <v>44.2</v>
      </c>
      <c r="F23" s="278">
        <f>[23]Brewhouse!X49</f>
        <v>79</v>
      </c>
      <c r="G23" s="279">
        <f>[23]Brewhouse!AH49</f>
        <v>14.4</v>
      </c>
      <c r="H23" s="396">
        <v>14.3</v>
      </c>
      <c r="I23" s="368">
        <f>[23]Brewhouse!AV49</f>
        <v>90.537381275166723</v>
      </c>
      <c r="J23" s="368">
        <f>[23]Brewhouse!AW49</f>
        <v>90.966130884317664</v>
      </c>
      <c r="K23" s="281">
        <f>[23]Brewhouse!S49</f>
        <v>10.140280561122236</v>
      </c>
      <c r="L23" s="276">
        <f>[23]Brewhouse!R49</f>
        <v>59</v>
      </c>
      <c r="M23" s="374">
        <f>[23]Brewhouse!$W49-[23]Brewhouse!$V49</f>
        <v>0.14166666666666661</v>
      </c>
      <c r="N23" s="370">
        <f>[23]Brewhouse!AB49</f>
        <v>0.31736111111111109</v>
      </c>
      <c r="O23" s="371" t="str">
        <f>[23]Brewhouse!$AZ49</f>
        <v>D. Gomez</v>
      </c>
      <c r="P23" s="420" t="s">
        <v>193</v>
      </c>
      <c r="R23" s="277"/>
      <c r="S23" s="296"/>
      <c r="T23" s="296"/>
      <c r="U23" s="297"/>
      <c r="V23" s="297"/>
      <c r="W23" s="297"/>
      <c r="X23" s="297"/>
      <c r="Y23" s="297"/>
      <c r="Z23" s="296"/>
    </row>
    <row r="24" spans="2:26" ht="15.75" customHeight="1">
      <c r="B24" s="22" t="s">
        <v>33</v>
      </c>
      <c r="C24" s="366" t="str">
        <f>[23]Brewhouse!A50</f>
        <v>VM041</v>
      </c>
      <c r="D24" s="279">
        <f>[23]Brewhouse!AE50</f>
        <v>49.6</v>
      </c>
      <c r="E24" s="279">
        <f>[23]Brewhouse!AJ50</f>
        <v>45.6</v>
      </c>
      <c r="F24" s="278">
        <f>[23]Brewhouse!X50</f>
        <v>82</v>
      </c>
      <c r="G24" s="279">
        <f>[23]Brewhouse!AH50</f>
        <v>14.2</v>
      </c>
      <c r="H24" s="396">
        <v>14.2</v>
      </c>
      <c r="I24" s="368">
        <f>[23]Brewhouse!AV50</f>
        <v>92.190532473722058</v>
      </c>
      <c r="J24" s="368">
        <f>[23]Brewhouse!AW50</f>
        <v>92.623348621159778</v>
      </c>
      <c r="K24" s="281">
        <f>[23]Brewhouse!S50</f>
        <v>6.7741935483871103</v>
      </c>
      <c r="L24" s="276">
        <f>[23]Brewhouse!R50</f>
        <v>60</v>
      </c>
      <c r="M24" s="374">
        <f>[23]Brewhouse!$W50-[23]Brewhouse!$V50</f>
        <v>0.17222222222222228</v>
      </c>
      <c r="N24" s="370">
        <f>[23]Brewhouse!AB50</f>
        <v>0.34375</v>
      </c>
      <c r="O24" s="371" t="str">
        <f>[23]Brewhouse!$AZ50</f>
        <v>D. Gomez</v>
      </c>
      <c r="P24" s="420" t="s">
        <v>192</v>
      </c>
      <c r="R24" s="277"/>
      <c r="S24" s="296"/>
      <c r="T24" s="296"/>
      <c r="U24" s="297"/>
      <c r="V24" s="297"/>
      <c r="W24" s="297"/>
      <c r="X24" s="297"/>
      <c r="Y24" s="297"/>
      <c r="Z24" s="296"/>
    </row>
    <row r="25" spans="2:26" ht="15.75" customHeight="1">
      <c r="B25" s="373"/>
      <c r="C25" s="283"/>
      <c r="D25" s="438"/>
      <c r="E25" s="438"/>
      <c r="F25" s="278"/>
      <c r="G25" s="279"/>
      <c r="H25" s="440"/>
      <c r="I25" s="280"/>
      <c r="J25" s="280"/>
      <c r="K25" s="281"/>
      <c r="L25" s="276"/>
      <c r="M25" s="374"/>
      <c r="N25" s="370"/>
      <c r="O25" s="371"/>
      <c r="P25" s="420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customHeight="1">
      <c r="B26" s="373"/>
      <c r="C26" s="283"/>
      <c r="D26" s="438"/>
      <c r="E26" s="438"/>
      <c r="F26" s="278"/>
      <c r="G26" s="279"/>
      <c r="H26" s="440"/>
      <c r="I26" s="280"/>
      <c r="J26" s="280"/>
      <c r="K26" s="281"/>
      <c r="L26" s="276"/>
      <c r="M26" s="374"/>
      <c r="N26" s="370"/>
      <c r="O26" s="371"/>
      <c r="P26" s="420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customHeight="1">
      <c r="B27" s="373"/>
      <c r="C27" s="283"/>
      <c r="D27" s="438"/>
      <c r="E27" s="438"/>
      <c r="F27" s="278"/>
      <c r="G27" s="279"/>
      <c r="H27" s="440"/>
      <c r="I27" s="280"/>
      <c r="J27" s="280"/>
      <c r="K27" s="281"/>
      <c r="L27" s="276"/>
      <c r="M27" s="374"/>
      <c r="N27" s="370"/>
      <c r="O27" s="371"/>
      <c r="P27" s="420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373"/>
      <c r="C28" s="283"/>
      <c r="D28" s="438"/>
      <c r="E28" s="439"/>
      <c r="F28" s="278"/>
      <c r="G28" s="279"/>
      <c r="H28" s="440"/>
      <c r="I28" s="280"/>
      <c r="J28" s="280"/>
      <c r="K28" s="281"/>
      <c r="L28" s="276"/>
      <c r="M28" s="374"/>
      <c r="N28" s="370"/>
      <c r="O28" s="371"/>
      <c r="P28" s="420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373"/>
      <c r="C29" s="283"/>
      <c r="D29" s="438"/>
      <c r="E29" s="439"/>
      <c r="F29" s="278"/>
      <c r="G29" s="279"/>
      <c r="H29" s="440"/>
      <c r="I29" s="280"/>
      <c r="J29" s="280"/>
      <c r="K29" s="281"/>
      <c r="L29" s="276"/>
      <c r="M29" s="374"/>
      <c r="N29" s="370"/>
      <c r="O29" s="371"/>
      <c r="P29" s="420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373"/>
      <c r="C30" s="283"/>
      <c r="D30" s="438"/>
      <c r="E30" s="439"/>
      <c r="F30" s="278"/>
      <c r="G30" s="279"/>
      <c r="H30" s="440"/>
      <c r="I30" s="280"/>
      <c r="J30" s="280"/>
      <c r="K30" s="281"/>
      <c r="L30" s="276"/>
      <c r="M30" s="374"/>
      <c r="N30" s="370"/>
      <c r="O30" s="371"/>
      <c r="P30" s="420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373"/>
      <c r="C31" s="283"/>
      <c r="D31" s="438"/>
      <c r="E31" s="439"/>
      <c r="F31" s="278"/>
      <c r="G31" s="279"/>
      <c r="H31" s="440"/>
      <c r="I31" s="280"/>
      <c r="J31" s="280"/>
      <c r="K31" s="281"/>
      <c r="L31" s="276"/>
      <c r="M31" s="374"/>
      <c r="N31" s="370"/>
      <c r="O31" s="371"/>
      <c r="P31" s="420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20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20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.75" customHeight="1" thickBot="1">
      <c r="B34" s="358"/>
      <c r="C34" s="358"/>
      <c r="D34" s="358"/>
      <c r="E34" s="358"/>
      <c r="F34" s="294"/>
      <c r="G34" s="294"/>
      <c r="H34" s="348"/>
      <c r="I34" s="497" t="s">
        <v>34</v>
      </c>
      <c r="J34" s="497"/>
      <c r="K34" s="497"/>
      <c r="L34" s="497"/>
      <c r="M34" s="497"/>
      <c r="N34" s="497"/>
      <c r="O34" s="1"/>
      <c r="P34" s="12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7" ht="15" thickBot="1">
      <c r="B35" s="388" t="s">
        <v>180</v>
      </c>
      <c r="C35" s="388"/>
      <c r="D35" s="475" t="s">
        <v>35</v>
      </c>
      <c r="E35" s="476"/>
      <c r="F35" s="294"/>
      <c r="G35" s="294"/>
      <c r="H35" s="348"/>
      <c r="I35" s="24" t="s">
        <v>17</v>
      </c>
      <c r="J35" s="25" t="s">
        <v>36</v>
      </c>
      <c r="K35" s="26" t="s">
        <v>138</v>
      </c>
      <c r="L35" s="25" t="s">
        <v>37</v>
      </c>
      <c r="M35" s="25" t="s">
        <v>38</v>
      </c>
      <c r="N35" s="27" t="s">
        <v>39</v>
      </c>
      <c r="O35" s="294"/>
      <c r="P35" s="12"/>
      <c r="R35" s="277" t="str">
        <f t="shared" si="0"/>
        <v xml:space="preserve">BRAND 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7" ht="15" customHeight="1">
      <c r="A36" s="28"/>
      <c r="B36" s="498" t="s">
        <v>72</v>
      </c>
      <c r="C36" s="362" cm="1">
        <f t="array" ref="C36:C37">[25]Process!$D$233:$D$234</f>
        <v>11.6</v>
      </c>
      <c r="D36" s="501">
        <v>11.8</v>
      </c>
      <c r="E36" s="502"/>
      <c r="F36" s="294"/>
      <c r="G36" s="294"/>
      <c r="H36" s="348"/>
      <c r="I36" s="29" t="s">
        <v>6</v>
      </c>
      <c r="J36" s="280"/>
      <c r="K36" s="284">
        <f>COUNTA([24]Brewhouse!$A$493:$A$524)</f>
        <v>32</v>
      </c>
      <c r="L36" s="302">
        <f>AVERAGE([24]Brewhouse!$AU$493:$AU$524)</f>
        <v>97.854447776659498</v>
      </c>
      <c r="M36" s="302">
        <f>AVERAGE([24]Brewhouse!$AU$102:$AU$171,[24]Brewhouse!$AU$173:$AU$253,[24]Brewhouse!$AU$255:$AU$339,[24]Brewhouse!$AU$341:$AU$346,[24]Brewhouse!$AU$348,[24]Brewhouse!$AU$349:$AU$406,[24]Brewhouse!$AU$408:$AU$491,[24]Brewhouse!$AU$493:$AU$524)</f>
        <v>97.675451867228404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</row>
    <row r="37" spans="1:27" ht="15" customHeight="1">
      <c r="A37" s="28"/>
      <c r="B37" s="499"/>
      <c r="C37" s="349">
        <v>11.6</v>
      </c>
      <c r="D37" s="503"/>
      <c r="E37" s="504"/>
      <c r="F37" s="294"/>
      <c r="G37" s="294"/>
      <c r="H37" s="348"/>
      <c r="I37" s="33" t="s">
        <v>9</v>
      </c>
      <c r="J37" s="280"/>
      <c r="K37" s="284">
        <f>COUNTA([25]Brewhouse!$A$242:$A$261)</f>
        <v>20</v>
      </c>
      <c r="L37" s="302">
        <f>AVERAGE([25]Brewhouse!$AS$242:$AS$261)</f>
        <v>97.625065795762325</v>
      </c>
      <c r="M37" s="302">
        <f>AVERAGE([25]Brewhouse!$AS$15:$AS$64,[25]Brewhouse!$AS$66:$AS$103,[25]Brewhouse!$AS$105:$AS$140,[25]Brewhouse!$AS$142:$AS$193,[25]Brewhouse!$AS$195:$AS$240,[25]Brewhouse!$AS$242:$AS$261)</f>
        <v>97.854851527783097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</row>
    <row r="38" spans="1:27" ht="14.7" customHeight="1">
      <c r="A38" s="28"/>
      <c r="B38" s="499"/>
      <c r="C38" s="349" cm="1">
        <f t="array" ref="C38:C39">[25]Process!$D$239:$D$240</f>
        <v>11.8</v>
      </c>
      <c r="D38" s="501">
        <v>12.13</v>
      </c>
      <c r="E38" s="502"/>
      <c r="F38" s="294"/>
      <c r="G38" s="294"/>
      <c r="H38" s="348"/>
      <c r="I38" s="34" t="s">
        <v>12</v>
      </c>
      <c r="J38" s="280"/>
      <c r="K38" s="284"/>
      <c r="L38" s="302"/>
      <c r="M38" s="302">
        <f>AVERAGE([26]Brewhouse!$AU$4:$AU$7,[26]Brewhouse!$AU$9:$AU$22,[26]Brewhouse!$AU$24:$AU$35,[26]Brewhouse!$AU$37:$AU$45,[26]Brewhouse!$AU$47:$AU$62)</f>
        <v>97.179377138297156</v>
      </c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</row>
    <row r="39" spans="1:27" ht="14.7" customHeight="1">
      <c r="A39" s="28"/>
      <c r="B39" s="499"/>
      <c r="C39" s="349">
        <v>12</v>
      </c>
      <c r="D39" s="503"/>
      <c r="E39" s="504"/>
      <c r="F39" s="294"/>
      <c r="G39" s="294"/>
      <c r="H39" s="348"/>
      <c r="I39" s="22" t="s">
        <v>33</v>
      </c>
      <c r="J39" s="280">
        <f>AVERAGE(I22:I24)</f>
        <v>91.205231910373257</v>
      </c>
      <c r="K39" s="284">
        <f>COUNTA([23]Brewhouse!$A$48:$A$50)</f>
        <v>3</v>
      </c>
      <c r="L39" s="302">
        <f>AVERAGE([23]Brewhouse!$AV$48:$AV$50)</f>
        <v>91.205231910373257</v>
      </c>
      <c r="M39" s="302">
        <f>AVERAGE([23]Brewhouse!$AV$5:$AV$14,[23]Brewhouse!$AV$16:$AV$19,[23]Brewhouse!$AV$21:$AV$24,[23]Brewhouse!$AV$26:$AV$33,[23]Brewhouse!$AV$35:$AV$46,[23]Brewhouse!$AV$48:$AV$50)</f>
        <v>98.434576736702056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</row>
    <row r="40" spans="1:27" ht="14.7" customHeight="1">
      <c r="A40" s="28"/>
      <c r="B40" s="499"/>
      <c r="C40" s="349" cm="1">
        <f t="array" ref="C40:C43">[25]Process!$D$220:$D$223</f>
        <v>11.86</v>
      </c>
      <c r="D40" s="501">
        <v>11.93</v>
      </c>
      <c r="E40" s="502"/>
      <c r="F40" s="419"/>
      <c r="G40" s="294"/>
      <c r="H40" s="348"/>
      <c r="I40" s="35" t="s">
        <v>29</v>
      </c>
      <c r="J40" s="280"/>
      <c r="K40" s="284"/>
      <c r="L40" s="302"/>
      <c r="M40" s="302"/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</row>
    <row r="41" spans="1:27" ht="14.7" customHeight="1">
      <c r="A41" s="28"/>
      <c r="B41" s="499"/>
      <c r="C41" s="349">
        <v>11.8</v>
      </c>
      <c r="D41" s="503"/>
      <c r="E41" s="504"/>
      <c r="F41" s="419"/>
      <c r="G41" s="294"/>
      <c r="H41" s="348"/>
      <c r="I41" s="36" t="s">
        <v>15</v>
      </c>
      <c r="J41" s="323"/>
      <c r="K41" s="284">
        <f>COUNTA([27]Brewhouse!$A$18:$A$21)</f>
        <v>4</v>
      </c>
      <c r="L41" s="302">
        <f>AVERAGE([27]Brewhouse!$AT$18:$AT$21)</f>
        <v>95.061602643439088</v>
      </c>
      <c r="M41" s="302">
        <f>AVERAGE([27]Brewhouse!$AT$4:$AT$11,[27]Brewhouse!$AT$13:$AT$16,[27]Brewhouse!$AT$18:$AT$21)</f>
        <v>94.773169817643847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4.7" customHeight="1">
      <c r="A42" s="28"/>
      <c r="B42" s="499"/>
      <c r="C42" s="349">
        <v>11.8</v>
      </c>
      <c r="D42" s="501">
        <v>12.01</v>
      </c>
      <c r="E42" s="502"/>
      <c r="F42" s="419"/>
      <c r="G42" s="294"/>
      <c r="H42" s="348"/>
      <c r="I42" s="37" t="s">
        <v>16</v>
      </c>
      <c r="J42" s="323">
        <f>AVERAGE(I16:I19)</f>
        <v>97.97239822192995</v>
      </c>
      <c r="K42" s="284">
        <f>COUNTA([22]Brewhouse!$A$45:$A$50)</f>
        <v>6</v>
      </c>
      <c r="L42" s="302">
        <f>AVERAGE([22]Brewhouse!$AY$45:$AY$50)</f>
        <v>96.288901438431267</v>
      </c>
      <c r="M42" s="302">
        <f>AVERAGE([22]Brewhouse!$AY$6:$AY$13,[22]Brewhouse!$AY$15:$AY$20,[22]Brewhouse!$AY$22:$AY$29,[22]Brewhouse!$AY$31:$AY$34,[22]Brewhouse!$AY$36:$AY$43,[22]Brewhouse!$AY$45:$AY$50)</f>
        <v>96.612624784592427</v>
      </c>
      <c r="N42" s="30">
        <v>98</v>
      </c>
      <c r="O42" s="11"/>
      <c r="P42" s="31" t="s">
        <v>41</v>
      </c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4.7" customHeight="1">
      <c r="A43" s="28"/>
      <c r="B43" s="499"/>
      <c r="C43" s="349">
        <v>11.69</v>
      </c>
      <c r="D43" s="503"/>
      <c r="E43" s="504"/>
      <c r="F43" s="294"/>
      <c r="G43" s="294"/>
      <c r="H43" s="348"/>
      <c r="I43" s="411" t="s">
        <v>158</v>
      </c>
      <c r="J43" s="326"/>
      <c r="K43" s="284">
        <f>COUNTA([28]Brewhouse!$A$10:$A$13)</f>
        <v>4</v>
      </c>
      <c r="L43" s="305">
        <f>AVERAGE([28]Brewhouse!$AU$10:$AU$13)</f>
        <v>97.488444912767932</v>
      </c>
      <c r="M43" s="305">
        <f>AVERAGE([28]Brewhouse!$AU$5:$AU$8,[28]Brewhouse!$AU$10:$AU$13)</f>
        <v>94.247666625193744</v>
      </c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4.7" customHeight="1">
      <c r="A44" s="28"/>
      <c r="B44" s="499"/>
      <c r="C44" s="349"/>
      <c r="D44" s="501"/>
      <c r="E44" s="502"/>
      <c r="F44" s="294"/>
      <c r="G44" s="294"/>
      <c r="H44" s="348"/>
      <c r="I44" s="410" t="s">
        <v>157</v>
      </c>
      <c r="J44" s="326"/>
      <c r="K44" s="284"/>
      <c r="L44" s="305"/>
      <c r="M44" s="305"/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5" customHeight="1" thickBot="1">
      <c r="A45" s="28"/>
      <c r="B45" s="499"/>
      <c r="C45" s="349"/>
      <c r="D45" s="503"/>
      <c r="E45" s="504"/>
      <c r="F45" s="294"/>
      <c r="G45" s="294"/>
      <c r="H45" s="348"/>
      <c r="I45" s="406" t="s">
        <v>156</v>
      </c>
      <c r="J45" s="327"/>
      <c r="K45" s="407"/>
      <c r="L45" s="408"/>
      <c r="M45" s="408"/>
      <c r="N45" s="409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5" customHeight="1" thickBot="1">
      <c r="A46" s="28"/>
      <c r="B46" s="499"/>
      <c r="C46" s="349"/>
      <c r="D46" s="501"/>
      <c r="E46" s="502"/>
      <c r="F46" s="294"/>
      <c r="G46" s="294"/>
      <c r="H46" s="348"/>
      <c r="I46" s="1"/>
      <c r="J46" s="39"/>
      <c r="K46" s="404">
        <f>SUM(K36:K45)</f>
        <v>69</v>
      </c>
      <c r="L46" s="405">
        <f>((L36*K36)+(L37*K37)+(L38*K38)+(L39*K39)+(L40*K40)+(K43*L43)+(L41*K41)+(L42*K42)+(L45*K45))/(K46)</f>
        <v>97.179607816737473</v>
      </c>
      <c r="M46" s="405">
        <f>AVERAGE('[29]Jan 31st'!$L$65,'[30]Feb 28th'!$L$35,'[31]Mar. 31st'!$L$35,'[32]Apr. 30th'!$L$45,'[33]May 30th'!$L$37,L46)</f>
        <v>97.559810209017769</v>
      </c>
      <c r="N46" s="4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  <c r="AA46" s="296"/>
    </row>
    <row r="47" spans="1:27" ht="15" thickBot="1">
      <c r="B47" s="500"/>
      <c r="C47" s="350"/>
      <c r="D47" s="503"/>
      <c r="E47" s="504"/>
      <c r="F47" s="294"/>
      <c r="G47" s="42"/>
      <c r="H47" s="41"/>
      <c r="I47" s="42"/>
      <c r="J47" s="42"/>
      <c r="K47" s="351"/>
      <c r="L47" s="348"/>
      <c r="M47" s="348"/>
      <c r="N47" s="11"/>
      <c r="O47" s="294"/>
      <c r="P47" s="12"/>
      <c r="R47" s="277"/>
      <c r="S47" s="296"/>
      <c r="T47" s="296"/>
      <c r="U47" s="297"/>
      <c r="V47" s="297"/>
      <c r="W47" s="297"/>
      <c r="X47" s="297"/>
      <c r="Y47" s="297"/>
      <c r="Z47" s="296"/>
      <c r="AA47" s="296"/>
    </row>
    <row r="48" spans="1:27" ht="15" thickBot="1">
      <c r="B48" s="434"/>
      <c r="C48" s="362"/>
      <c r="D48" s="514"/>
      <c r="E48" s="515"/>
      <c r="F48" s="294"/>
      <c r="G48" s="42"/>
      <c r="H48" s="41"/>
      <c r="I48" s="41"/>
      <c r="J48" s="551" t="s">
        <v>129</v>
      </c>
      <c r="K48" s="551"/>
      <c r="L48" s="294"/>
      <c r="M48" s="294"/>
      <c r="N48" s="294"/>
      <c r="O48" s="294"/>
      <c r="P48" s="12"/>
    </row>
    <row r="49" spans="2:56" ht="13.5" customHeight="1" thickBot="1">
      <c r="B49" s="434"/>
      <c r="C49" s="349"/>
      <c r="D49" s="516"/>
      <c r="E49" s="504"/>
      <c r="F49" s="294"/>
      <c r="G49" s="42"/>
      <c r="H49" s="41"/>
      <c r="I49" s="41"/>
      <c r="J49" s="292" t="s">
        <v>17</v>
      </c>
      <c r="K49" s="293" t="s">
        <v>191</v>
      </c>
      <c r="L49" s="518" t="s">
        <v>136</v>
      </c>
      <c r="M49" s="518"/>
      <c r="N49" s="519"/>
      <c r="O49" s="294"/>
      <c r="P49" s="12"/>
    </row>
    <row r="50" spans="2:56" ht="15" customHeight="1" thickBot="1">
      <c r="B50" s="434"/>
      <c r="C50" s="349"/>
      <c r="D50" s="545"/>
      <c r="E50" s="546"/>
      <c r="F50" s="294"/>
      <c r="G50" s="42"/>
      <c r="H50" s="41"/>
      <c r="I50" s="41"/>
      <c r="J50" s="287" t="s">
        <v>6</v>
      </c>
      <c r="K50" s="324"/>
      <c r="L50" s="343" t="s">
        <v>37</v>
      </c>
      <c r="M50" s="307" t="s">
        <v>38</v>
      </c>
      <c r="N50" s="307" t="s">
        <v>84</v>
      </c>
      <c r="O50" s="294"/>
      <c r="P50" s="12"/>
    </row>
    <row r="51" spans="2:56" ht="15.75" customHeight="1" thickBot="1">
      <c r="B51" s="434"/>
      <c r="C51" s="349"/>
      <c r="D51" s="516"/>
      <c r="E51" s="504"/>
      <c r="F51" s="294"/>
      <c r="G51" s="42"/>
      <c r="H51" s="41"/>
      <c r="I51" s="41"/>
      <c r="J51" s="345" t="s">
        <v>9</v>
      </c>
      <c r="K51" s="324"/>
      <c r="L51" s="344">
        <f>AVERAGE('June 2nd'!K57,'June 16th'!K60,'June 3rd'!K63,'June 4th'!K63,'June 5th '!K63,'June 6th'!K63,'June 10th'!K63,'June 11th'!K63,'June 12th '!K63,'June 13th'!I65,'June 13th'!K65,I60)</f>
        <v>6.6363636363636367</v>
      </c>
      <c r="M51" s="325">
        <f>AVERAGE('[29]Jan 29th '!$M$70,'[30]Feb 28th'!$L$40,'[31]Mar. 31st'!$L$40,'[32]Apr. 30th'!$L$50,'[33]May 30th'!$L$42,L51)</f>
        <v>6.6405008035442821</v>
      </c>
      <c r="N51" s="418">
        <v>9.1999999999999993</v>
      </c>
      <c r="O51" s="294"/>
      <c r="P51" s="12"/>
    </row>
    <row r="52" spans="2:56" ht="15" customHeight="1">
      <c r="B52" s="434"/>
      <c r="C52" s="349"/>
      <c r="D52" s="545"/>
      <c r="E52" s="546"/>
      <c r="F52" s="294"/>
      <c r="G52" s="42"/>
      <c r="H52" s="41"/>
      <c r="I52" s="41"/>
      <c r="J52" s="288" t="s">
        <v>40</v>
      </c>
      <c r="K52" s="324"/>
      <c r="L52" s="294"/>
      <c r="M52" s="294"/>
      <c r="N52" s="294"/>
      <c r="O52" s="294"/>
      <c r="P52" s="12"/>
    </row>
    <row r="53" spans="2:56" ht="15" customHeight="1">
      <c r="B53" s="434"/>
      <c r="C53" s="349"/>
      <c r="D53" s="516"/>
      <c r="E53" s="504"/>
      <c r="F53" s="294"/>
      <c r="G53" s="42"/>
      <c r="H53" s="41"/>
      <c r="I53" s="41"/>
      <c r="J53" s="289" t="s">
        <v>33</v>
      </c>
      <c r="K53" s="324">
        <f>COUNTA(B22:B24)</f>
        <v>3</v>
      </c>
      <c r="L53" s="294"/>
      <c r="M53" s="294"/>
      <c r="N53" s="294"/>
      <c r="O53" s="294"/>
      <c r="P53" s="12"/>
    </row>
    <row r="54" spans="2:56" ht="14.4">
      <c r="B54" s="434"/>
      <c r="C54" s="349"/>
      <c r="D54" s="545"/>
      <c r="E54" s="546"/>
      <c r="F54" s="294"/>
      <c r="G54" s="42"/>
      <c r="H54" s="41"/>
      <c r="I54" s="41"/>
      <c r="J54" s="290" t="s">
        <v>16</v>
      </c>
      <c r="K54" s="324">
        <f>COUNTA(B16:B19)</f>
        <v>4</v>
      </c>
      <c r="L54" s="294"/>
      <c r="M54" s="294"/>
      <c r="N54" s="294"/>
      <c r="O54" s="294"/>
      <c r="P54" s="12"/>
      <c r="BC54" s="44"/>
      <c r="BD54" s="44"/>
    </row>
    <row r="55" spans="2:56" ht="14.4">
      <c r="B55" s="434"/>
      <c r="C55" s="349"/>
      <c r="D55" s="516"/>
      <c r="E55" s="504"/>
      <c r="F55" s="294"/>
      <c r="G55" s="42"/>
      <c r="H55" s="41"/>
      <c r="I55" s="41"/>
      <c r="J55" s="291" t="s">
        <v>15</v>
      </c>
      <c r="K55" s="324"/>
      <c r="L55" s="294"/>
      <c r="M55" s="294"/>
      <c r="N55" s="294"/>
      <c r="O55" s="294"/>
      <c r="P55" s="12"/>
      <c r="BC55" s="44"/>
      <c r="BD55" s="44"/>
    </row>
    <row r="56" spans="2:56" ht="14.4">
      <c r="B56" s="434"/>
      <c r="C56" s="349"/>
      <c r="D56" s="545"/>
      <c r="E56" s="546"/>
      <c r="F56" s="294"/>
      <c r="G56" s="42"/>
      <c r="H56" s="41"/>
      <c r="I56" s="41"/>
      <c r="J56" s="291" t="s">
        <v>149</v>
      </c>
      <c r="K56" s="324"/>
      <c r="L56" s="294"/>
      <c r="M56" s="294"/>
      <c r="N56" s="294"/>
      <c r="O56" s="294"/>
      <c r="P56" s="12"/>
      <c r="BC56" s="44"/>
      <c r="BD56" s="44"/>
    </row>
    <row r="57" spans="2:56" ht="15" thickBot="1">
      <c r="B57" s="435"/>
      <c r="C57" s="350"/>
      <c r="D57" s="547"/>
      <c r="E57" s="548"/>
      <c r="F57" s="294"/>
      <c r="G57" s="42"/>
      <c r="H57" s="41"/>
      <c r="I57" s="41"/>
      <c r="J57" s="291" t="s">
        <v>148</v>
      </c>
      <c r="K57" s="324"/>
      <c r="L57" s="294"/>
      <c r="M57" s="294"/>
      <c r="N57" s="294"/>
      <c r="O57" s="294"/>
      <c r="P57" s="12"/>
      <c r="BC57" s="44"/>
      <c r="BD57" s="44"/>
    </row>
    <row r="58" spans="2:56" ht="17.7" customHeight="1" thickBot="1">
      <c r="B58" s="312" t="s">
        <v>139</v>
      </c>
      <c r="C58" s="313"/>
      <c r="D58" s="562">
        <f>AVERAGE(D36:E57)</f>
        <v>11.967499999999999</v>
      </c>
      <c r="E58" s="563"/>
      <c r="F58" s="294"/>
      <c r="G58" s="42"/>
      <c r="H58" s="41"/>
      <c r="I58" s="41"/>
      <c r="J58" s="295" t="s">
        <v>134</v>
      </c>
      <c r="K58" s="324"/>
      <c r="L58" s="294"/>
      <c r="M58" s="294"/>
      <c r="N58" s="294"/>
      <c r="O58" s="294"/>
      <c r="P58" s="12"/>
      <c r="BC58" s="44"/>
      <c r="BD58" s="44"/>
    </row>
    <row r="59" spans="2:56" ht="17.7" customHeight="1">
      <c r="B59" s="363"/>
      <c r="C59" s="364"/>
      <c r="D59" s="365"/>
      <c r="E59" s="365"/>
      <c r="F59" s="294"/>
      <c r="G59" s="42"/>
      <c r="H59" s="41"/>
      <c r="I59" s="41"/>
      <c r="J59" s="295" t="s">
        <v>131</v>
      </c>
      <c r="K59" s="324"/>
      <c r="L59" s="294"/>
      <c r="M59" s="294"/>
      <c r="N59" s="294"/>
      <c r="O59" s="294"/>
      <c r="P59" s="12"/>
      <c r="BC59" s="44"/>
      <c r="BD59" s="44"/>
    </row>
    <row r="60" spans="2:56" ht="15.75" customHeight="1">
      <c r="B60" s="45"/>
      <c r="C60" s="11"/>
      <c r="D60" s="11"/>
      <c r="E60" s="46"/>
      <c r="F60" s="294"/>
      <c r="G60" s="42"/>
      <c r="H60" s="41"/>
      <c r="I60" s="41"/>
      <c r="J60" s="346" t="s">
        <v>130</v>
      </c>
      <c r="K60" s="324">
        <f>SUM(K50:K59)</f>
        <v>7</v>
      </c>
      <c r="L60" s="294"/>
      <c r="M60" s="294"/>
      <c r="N60" s="294"/>
      <c r="O60" s="294"/>
      <c r="P60" s="12"/>
    </row>
    <row r="61" spans="2:56" ht="20.25" customHeight="1">
      <c r="B61" s="15" t="s">
        <v>42</v>
      </c>
      <c r="C61" s="1" t="s">
        <v>43</v>
      </c>
      <c r="D61" s="1"/>
      <c r="E61" s="1"/>
      <c r="F61" s="294"/>
      <c r="G61" s="42"/>
      <c r="H61" s="41"/>
      <c r="I61" s="42"/>
      <c r="L61" s="294"/>
      <c r="P61" s="334"/>
    </row>
    <row r="62" spans="2:56" ht="15" customHeight="1" thickBot="1"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8"/>
      <c r="O62" s="48"/>
      <c r="P62" s="49"/>
    </row>
    <row r="63" spans="2:56" ht="15" customHeight="1" thickBot="1">
      <c r="B63" s="526" t="s">
        <v>17</v>
      </c>
      <c r="C63" s="526" t="s">
        <v>44</v>
      </c>
      <c r="D63" s="528" t="s">
        <v>45</v>
      </c>
      <c r="E63" s="483" t="s">
        <v>46</v>
      </c>
      <c r="F63" s="543" t="s">
        <v>47</v>
      </c>
      <c r="G63" s="537" t="s">
        <v>48</v>
      </c>
      <c r="H63" s="526" t="s">
        <v>49</v>
      </c>
      <c r="I63" s="526" t="s">
        <v>50</v>
      </c>
      <c r="J63" s="531" t="s">
        <v>28</v>
      </c>
      <c r="K63" s="481" t="s">
        <v>51</v>
      </c>
      <c r="L63" s="493" t="s">
        <v>52</v>
      </c>
      <c r="M63" s="531" t="s">
        <v>53</v>
      </c>
      <c r="N63" s="13"/>
      <c r="O63" s="13"/>
      <c r="P63" s="50"/>
    </row>
    <row r="64" spans="2:56" ht="28.5" customHeight="1" thickTop="1" thickBot="1">
      <c r="B64" s="527"/>
      <c r="C64" s="527"/>
      <c r="D64" s="529"/>
      <c r="E64" s="530"/>
      <c r="F64" s="544"/>
      <c r="G64" s="538"/>
      <c r="H64" s="527"/>
      <c r="I64" s="527"/>
      <c r="J64" s="532"/>
      <c r="K64" s="541"/>
      <c r="L64" s="542"/>
      <c r="M64" s="532"/>
      <c r="N64" s="13"/>
      <c r="O64" s="13"/>
      <c r="P64" s="50"/>
      <c r="Q64" s="355"/>
      <c r="AB64" s="51">
        <v>43474</v>
      </c>
      <c r="AC64" s="51">
        <v>43475</v>
      </c>
      <c r="AD64" s="51">
        <v>43476</v>
      </c>
      <c r="AE64" s="51">
        <v>43477</v>
      </c>
      <c r="AF64" s="51">
        <v>43478</v>
      </c>
      <c r="AG64" s="51">
        <v>43479</v>
      </c>
      <c r="AH64" s="51">
        <v>43480</v>
      </c>
      <c r="AI64" s="51">
        <v>43481</v>
      </c>
      <c r="AJ64" s="51">
        <v>43482</v>
      </c>
      <c r="AK64" s="51">
        <v>43483</v>
      </c>
      <c r="AL64" s="51">
        <v>43484</v>
      </c>
      <c r="AM64" s="51">
        <v>43485</v>
      </c>
      <c r="AN64" s="51">
        <v>43486</v>
      </c>
      <c r="AO64" s="51">
        <v>43487</v>
      </c>
      <c r="AP64" s="51">
        <v>43488</v>
      </c>
      <c r="AQ64" s="51">
        <v>43489</v>
      </c>
      <c r="AR64" s="51">
        <v>43490</v>
      </c>
      <c r="AS64" s="51">
        <v>43491</v>
      </c>
      <c r="AT64" s="51">
        <v>43492</v>
      </c>
      <c r="AU64" s="51">
        <v>43493</v>
      </c>
      <c r="AV64" s="51">
        <v>43494</v>
      </c>
      <c r="AW64" s="51">
        <v>43495</v>
      </c>
      <c r="AX64" s="51">
        <v>43496</v>
      </c>
    </row>
    <row r="65" spans="2:57" s="54" customFormat="1" ht="51" customHeight="1">
      <c r="B65" s="443" t="str">
        <f>I37</f>
        <v>STAG</v>
      </c>
      <c r="C65" s="432">
        <v>45824</v>
      </c>
      <c r="D65" s="377">
        <f>[34]June_2025!$S$13</f>
        <v>511.33</v>
      </c>
      <c r="E65" s="378"/>
      <c r="F65" s="379"/>
      <c r="G65" s="303">
        <f>[34]June_2025!$S$17</f>
        <v>483.2</v>
      </c>
      <c r="H65" s="320"/>
      <c r="I65" s="322"/>
      <c r="J65" s="392" t="s">
        <v>195</v>
      </c>
      <c r="K65" s="286">
        <f>[36]June_2025!$S$25</f>
        <v>0.44853508771929823</v>
      </c>
      <c r="L65" s="391">
        <f>(((D65+E65)-G65)/(D65+E65))*100</f>
        <v>5.5013396436743394</v>
      </c>
      <c r="M65" s="417" t="s">
        <v>196</v>
      </c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416"/>
      <c r="AC65" s="416"/>
      <c r="AD65" s="416"/>
      <c r="AE65" s="416"/>
      <c r="AF65" s="416"/>
      <c r="AG65" s="416"/>
      <c r="AH65" s="416"/>
      <c r="AI65" s="416"/>
      <c r="AJ65" s="416"/>
      <c r="AK65" s="416"/>
      <c r="AL65" s="416"/>
      <c r="AM65" s="416"/>
      <c r="AN65" s="416"/>
      <c r="AO65" s="416"/>
      <c r="AP65" s="416"/>
      <c r="AQ65" s="416"/>
      <c r="AR65" s="416"/>
      <c r="AS65" s="416"/>
      <c r="AT65" s="416"/>
      <c r="AU65" s="416"/>
      <c r="AV65" s="416"/>
      <c r="AW65" s="416"/>
    </row>
    <row r="66" spans="2:57" s="54" customFormat="1" ht="23.25" customHeight="1">
      <c r="B66" s="33"/>
      <c r="C66" s="283"/>
      <c r="D66" s="377"/>
      <c r="E66" s="378"/>
      <c r="F66" s="379"/>
      <c r="G66" s="303"/>
      <c r="H66" s="320"/>
      <c r="I66" s="322"/>
      <c r="J66" s="281"/>
      <c r="K66" s="286"/>
      <c r="L66" s="314"/>
      <c r="M66" s="417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416"/>
      <c r="AC66" s="416"/>
      <c r="AD66" s="416"/>
      <c r="AE66" s="416"/>
      <c r="AF66" s="416"/>
      <c r="AG66" s="416"/>
      <c r="AH66" s="416"/>
      <c r="AI66" s="416"/>
      <c r="AJ66" s="416"/>
      <c r="AK66" s="416"/>
      <c r="AL66" s="416"/>
      <c r="AM66" s="416"/>
      <c r="AN66" s="416"/>
      <c r="AO66" s="416"/>
      <c r="AP66" s="416"/>
      <c r="AQ66" s="416"/>
      <c r="AR66" s="416"/>
      <c r="AS66" s="416"/>
      <c r="AT66" s="416"/>
      <c r="AU66" s="416"/>
      <c r="AV66" s="416"/>
      <c r="AW66" s="416"/>
    </row>
    <row r="67" spans="2:57" s="54" customFormat="1" ht="53.25" hidden="1" customHeight="1">
      <c r="B67" s="436" t="str">
        <f>B74</f>
        <v>GUINN</v>
      </c>
      <c r="C67" s="432">
        <v>45820</v>
      </c>
      <c r="D67" s="377"/>
      <c r="E67" s="378"/>
      <c r="F67" s="379"/>
      <c r="G67" s="303"/>
      <c r="H67" s="320"/>
      <c r="I67" s="322"/>
      <c r="J67" s="392" t="s">
        <v>181</v>
      </c>
      <c r="K67" s="286"/>
      <c r="L67" s="314" t="e">
        <f>(((D67+E67)-G67)/(D67+E67))*100</f>
        <v>#DIV/0!</v>
      </c>
      <c r="M67" s="417" t="s">
        <v>169</v>
      </c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>
        <f>[20]January_2019!L7</f>
        <v>0</v>
      </c>
      <c r="AC67" s="57">
        <f>[20]January_2019!M7</f>
        <v>0</v>
      </c>
      <c r="AD67" s="57">
        <f>[20]January_2019!N7</f>
        <v>0</v>
      </c>
      <c r="AE67" s="57">
        <f>[20]January_2019!O7</f>
        <v>0</v>
      </c>
      <c r="AF67" s="57">
        <f>[20]January_2019!P7</f>
        <v>0</v>
      </c>
      <c r="AG67" s="57">
        <f>[20]January_2019!Q7</f>
        <v>0</v>
      </c>
      <c r="AH67" s="57">
        <f>[20]January_2019!R7</f>
        <v>0</v>
      </c>
      <c r="AI67" s="57">
        <f>[20]January_2019!S7</f>
        <v>0</v>
      </c>
      <c r="AJ67" s="57">
        <f>[20]January_2019!T7</f>
        <v>0</v>
      </c>
      <c r="AK67" s="57">
        <f>[20]January_2019!U7</f>
        <v>0</v>
      </c>
      <c r="AL67" s="57">
        <f>[20]January_2019!V7</f>
        <v>0</v>
      </c>
      <c r="AM67" s="57">
        <f>[20]January_2019!W7</f>
        <v>0</v>
      </c>
      <c r="AN67" s="57">
        <f>[20]January_2019!X7</f>
        <v>0</v>
      </c>
      <c r="AO67" s="57">
        <f>[20]January_2019!Y7</f>
        <v>0</v>
      </c>
      <c r="AP67" s="57">
        <f>[20]January_2019!Z7</f>
        <v>0</v>
      </c>
      <c r="AQ67" s="57">
        <f>[20]January_2019!AA7</f>
        <v>0</v>
      </c>
      <c r="AR67" s="57">
        <f>[20]January_2019!AB7</f>
        <v>0</v>
      </c>
      <c r="AS67" s="57">
        <f>[20]January_2019!AC7</f>
        <v>0</v>
      </c>
      <c r="AT67" s="57">
        <f>[20]January_2019!AD7</f>
        <v>0</v>
      </c>
      <c r="AU67" s="57">
        <f>[20]January_2019!AE7</f>
        <v>0</v>
      </c>
      <c r="AV67" s="57">
        <f>[20]January_2019!AF7</f>
        <v>0</v>
      </c>
      <c r="AW67" s="57">
        <f>[20]January_2019!AG7</f>
        <v>0</v>
      </c>
      <c r="AX67" s="277">
        <f>[20]January_2019!AH7</f>
        <v>0</v>
      </c>
      <c r="AY67" s="277"/>
      <c r="AZ67" s="277"/>
      <c r="BA67" s="277"/>
      <c r="BB67" s="277"/>
      <c r="BC67" s="277"/>
      <c r="BD67" s="277"/>
      <c r="BE67" s="277"/>
    </row>
    <row r="68" spans="2:57" s="54" customFormat="1" ht="16.5" customHeight="1">
      <c r="B68" s="423"/>
      <c r="C68" s="283"/>
      <c r="D68" s="377"/>
      <c r="E68" s="378"/>
      <c r="F68" s="379"/>
      <c r="G68" s="303"/>
      <c r="H68" s="320"/>
      <c r="I68" s="322"/>
      <c r="J68" s="281"/>
      <c r="K68" s="286"/>
      <c r="L68" s="314"/>
      <c r="M68" s="417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6"/>
      <c r="AC68" s="416"/>
      <c r="AD68" s="416"/>
      <c r="AE68" s="416"/>
      <c r="AF68" s="416"/>
      <c r="AG68" s="416"/>
      <c r="AH68" s="416"/>
      <c r="AI68" s="416"/>
      <c r="AJ68" s="416"/>
      <c r="AK68" s="416"/>
      <c r="AL68" s="416"/>
      <c r="AM68" s="416"/>
      <c r="AN68" s="416"/>
      <c r="AO68" s="416"/>
      <c r="AP68" s="416"/>
      <c r="AQ68" s="416"/>
      <c r="AR68" s="416"/>
      <c r="AS68" s="416"/>
      <c r="AT68" s="416"/>
      <c r="AU68" s="416"/>
      <c r="AV68" s="416"/>
      <c r="AW68" s="416"/>
    </row>
    <row r="69" spans="2:57" ht="18" customHeight="1" thickBot="1">
      <c r="B69" s="59"/>
      <c r="C69" s="30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 t="s">
        <v>41</v>
      </c>
      <c r="O69" s="56"/>
      <c r="P69" s="60"/>
    </row>
    <row r="70" spans="2:57" ht="14.4" thickBot="1">
      <c r="B70" s="533" t="s">
        <v>55</v>
      </c>
      <c r="C70" s="534"/>
      <c r="D70" s="534"/>
      <c r="E70" s="534"/>
      <c r="F70" s="535"/>
      <c r="G70" s="533" t="s">
        <v>56</v>
      </c>
      <c r="H70" s="534"/>
      <c r="I70" s="534"/>
      <c r="J70" s="535"/>
      <c r="K70" s="533" t="s">
        <v>51</v>
      </c>
      <c r="L70" s="534"/>
      <c r="M70" s="534"/>
      <c r="N70" s="536"/>
      <c r="O70" s="56"/>
      <c r="P70" s="50"/>
    </row>
    <row r="71" spans="2:57">
      <c r="B71" s="61" t="s">
        <v>17</v>
      </c>
      <c r="C71" s="62" t="s">
        <v>36</v>
      </c>
      <c r="D71" s="62" t="s">
        <v>37</v>
      </c>
      <c r="E71" s="62" t="s">
        <v>38</v>
      </c>
      <c r="F71" s="63" t="s">
        <v>39</v>
      </c>
      <c r="G71" s="62" t="s">
        <v>36</v>
      </c>
      <c r="H71" s="62" t="s">
        <v>37</v>
      </c>
      <c r="I71" s="62" t="s">
        <v>38</v>
      </c>
      <c r="J71" s="63" t="s">
        <v>39</v>
      </c>
      <c r="K71" s="62" t="s">
        <v>36</v>
      </c>
      <c r="L71" s="62" t="s">
        <v>37</v>
      </c>
      <c r="M71" s="62" t="s">
        <v>38</v>
      </c>
      <c r="N71" s="63" t="s">
        <v>39</v>
      </c>
      <c r="O71" s="56"/>
      <c r="P71" s="64"/>
    </row>
    <row r="72" spans="2:57">
      <c r="B72" s="29" t="s">
        <v>6</v>
      </c>
      <c r="C72" s="65"/>
      <c r="D72" s="76">
        <v>6.6211496495091309</v>
      </c>
      <c r="E72" s="76">
        <v>6.6658915943888024</v>
      </c>
      <c r="F72" s="66">
        <v>4.8</v>
      </c>
      <c r="G72" s="65"/>
      <c r="H72" s="76">
        <v>5.3799595332193206</v>
      </c>
      <c r="I72" s="76">
        <v>6.6856909379529688</v>
      </c>
      <c r="J72" s="66">
        <v>4.8</v>
      </c>
      <c r="K72" s="67"/>
      <c r="L72" s="194">
        <v>0.53110526315789475</v>
      </c>
      <c r="M72" s="194">
        <v>0.7398726237851484</v>
      </c>
      <c r="N72" s="68">
        <v>1</v>
      </c>
      <c r="O72" s="56"/>
      <c r="P72" s="69"/>
    </row>
    <row r="73" spans="2:57">
      <c r="B73" s="33" t="s">
        <v>9</v>
      </c>
      <c r="C73" s="65">
        <f>L65</f>
        <v>5.5013396436743394</v>
      </c>
      <c r="D73" s="76">
        <v>5.1578168950813028</v>
      </c>
      <c r="E73" s="76">
        <v>6.1899235134115322</v>
      </c>
      <c r="F73" s="66">
        <v>4.8</v>
      </c>
      <c r="G73" s="65">
        <f>[34]June_2025!$S$21</f>
        <v>4.7324327245829929</v>
      </c>
      <c r="H73" s="76">
        <v>4.3317767966316643</v>
      </c>
      <c r="I73" s="76">
        <v>5.9656703439296974</v>
      </c>
      <c r="J73" s="66">
        <v>4.8</v>
      </c>
      <c r="K73" s="67">
        <f>K65</f>
        <v>0.44853508771929823</v>
      </c>
      <c r="L73" s="194">
        <v>0.49477485380116953</v>
      </c>
      <c r="M73" s="194">
        <v>0.7272527571471048</v>
      </c>
      <c r="N73" s="68">
        <v>1</v>
      </c>
      <c r="P73" s="69"/>
    </row>
    <row r="74" spans="2:57">
      <c r="B74" s="34" t="s">
        <v>40</v>
      </c>
      <c r="C74" s="65"/>
      <c r="D74" s="76">
        <v>9.5325389550870572</v>
      </c>
      <c r="E74" s="76">
        <v>11.724137931034448</v>
      </c>
      <c r="F74" s="66">
        <v>5.5</v>
      </c>
      <c r="G74" s="65"/>
      <c r="H74" s="76">
        <v>8.9041107529384682</v>
      </c>
      <c r="I74" s="76">
        <v>12.945763927425185</v>
      </c>
      <c r="J74" s="66">
        <v>5.5</v>
      </c>
      <c r="K74" s="67"/>
      <c r="L74" s="194">
        <v>0.34631578947368424</v>
      </c>
      <c r="M74" s="194">
        <v>0.52867261020307088</v>
      </c>
      <c r="N74" s="68">
        <v>1</v>
      </c>
      <c r="P74" s="69"/>
    </row>
    <row r="75" spans="2:57">
      <c r="B75" s="22" t="s">
        <v>33</v>
      </c>
      <c r="C75" s="65"/>
      <c r="D75" s="76">
        <v>3.7185929648241238</v>
      </c>
      <c r="E75" s="76">
        <v>4.2675953841355607</v>
      </c>
      <c r="F75" s="66">
        <v>3.3</v>
      </c>
      <c r="G75" s="65"/>
      <c r="H75" s="76">
        <v>3.5401443549560527</v>
      </c>
      <c r="I75" s="76">
        <v>4.1118286580052033</v>
      </c>
      <c r="J75" s="66">
        <v>3.3</v>
      </c>
      <c r="K75" s="67"/>
      <c r="L75" s="194">
        <v>0.33614035087719296</v>
      </c>
      <c r="M75" s="194">
        <v>0.78836257309941515</v>
      </c>
      <c r="N75" s="68">
        <v>1</v>
      </c>
      <c r="P75" s="69"/>
    </row>
    <row r="76" spans="2:57">
      <c r="B76" s="35" t="s">
        <v>29</v>
      </c>
      <c r="C76" s="65"/>
      <c r="D76" s="76"/>
      <c r="E76" s="76"/>
      <c r="F76" s="66">
        <v>3.3</v>
      </c>
      <c r="G76" s="282"/>
      <c r="H76" s="76"/>
      <c r="I76" s="76"/>
      <c r="J76" s="66">
        <v>3</v>
      </c>
      <c r="L76" s="194"/>
      <c r="M76" s="194"/>
      <c r="N76" s="68">
        <v>1</v>
      </c>
      <c r="P76" s="69"/>
    </row>
    <row r="77" spans="2:57">
      <c r="B77" s="36" t="s">
        <v>15</v>
      </c>
      <c r="C77" s="282"/>
      <c r="D77" s="76">
        <v>5.7784145176695159</v>
      </c>
      <c r="E77" s="76">
        <v>7.3129862357869699</v>
      </c>
      <c r="F77" s="70">
        <f>[21]May_2022!$M$43</f>
        <v>3.4878406700073312</v>
      </c>
      <c r="G77" s="282"/>
      <c r="H77" s="76">
        <v>7.6606905670809748</v>
      </c>
      <c r="I77" s="76">
        <v>8.9862703283331644</v>
      </c>
      <c r="J77" s="66">
        <v>5.5</v>
      </c>
      <c r="K77" s="67"/>
      <c r="L77" s="194">
        <v>0.34614035087719303</v>
      </c>
      <c r="M77" s="194">
        <v>0.59276315789473688</v>
      </c>
      <c r="N77" s="68">
        <v>1</v>
      </c>
      <c r="P77" s="69"/>
    </row>
    <row r="78" spans="2:57">
      <c r="B78" s="37" t="s">
        <v>16</v>
      </c>
      <c r="C78" s="65"/>
      <c r="D78" s="76">
        <v>4.4761595848199667</v>
      </c>
      <c r="E78" s="76">
        <v>2.8990450204638254</v>
      </c>
      <c r="F78" s="66">
        <v>3.3</v>
      </c>
      <c r="G78" s="282"/>
      <c r="H78" s="76">
        <v>4.5799898461408048</v>
      </c>
      <c r="I78" s="76">
        <v>4.4797971833783148</v>
      </c>
      <c r="J78" s="66">
        <v>3.3</v>
      </c>
      <c r="K78" s="67"/>
      <c r="L78" s="194">
        <v>0.34444444444444444</v>
      </c>
      <c r="M78" s="194">
        <v>0.75981884057971016</v>
      </c>
      <c r="N78" s="71">
        <v>1</v>
      </c>
      <c r="P78" s="69"/>
    </row>
    <row r="79" spans="2:57" ht="14.4" thickBot="1">
      <c r="B79" s="38" t="s">
        <v>127</v>
      </c>
      <c r="C79" s="65"/>
      <c r="D79" s="76"/>
      <c r="E79" s="76"/>
      <c r="F79" s="66">
        <v>7.5</v>
      </c>
      <c r="G79" s="282"/>
      <c r="H79" s="76"/>
      <c r="I79" s="76"/>
      <c r="J79" s="66">
        <v>7.5</v>
      </c>
      <c r="K79" s="67"/>
      <c r="L79" s="194"/>
      <c r="M79" s="194"/>
      <c r="N79" s="71">
        <v>1</v>
      </c>
      <c r="P79" s="69"/>
    </row>
    <row r="80" spans="2:57" ht="14.4" thickBot="1">
      <c r="B80" s="415" t="s">
        <v>161</v>
      </c>
      <c r="C80" s="65"/>
      <c r="D80" s="76"/>
      <c r="E80" s="76">
        <v>4.8792508624938291</v>
      </c>
      <c r="F80" s="66">
        <v>4.8</v>
      </c>
      <c r="G80" s="282"/>
      <c r="H80" s="76"/>
      <c r="I80" s="76">
        <v>6.2003723782925313</v>
      </c>
      <c r="J80" s="66">
        <v>4.8</v>
      </c>
      <c r="K80" s="67"/>
      <c r="L80" s="194"/>
      <c r="M80" s="194">
        <v>0.33859649122807017</v>
      </c>
      <c r="N80" s="71">
        <v>1</v>
      </c>
      <c r="O80" s="74"/>
      <c r="P80" s="75"/>
    </row>
    <row r="81" spans="4:14">
      <c r="D81" s="76">
        <v>6.0162232106002582</v>
      </c>
      <c r="E81" s="76">
        <v>6.591805834501467</v>
      </c>
      <c r="F81" s="341">
        <v>5.5</v>
      </c>
      <c r="H81" s="76">
        <v>5.2990466088932537</v>
      </c>
      <c r="I81" s="76">
        <v>6.8682679113474308</v>
      </c>
      <c r="J81" s="341">
        <v>5.5</v>
      </c>
      <c r="K81" s="67"/>
      <c r="L81" s="194">
        <v>0.45940765107212483</v>
      </c>
      <c r="M81" s="194">
        <v>0.69683284996133021</v>
      </c>
      <c r="N81" s="386">
        <v>1</v>
      </c>
    </row>
    <row r="85" spans="4:14">
      <c r="F85" s="315"/>
    </row>
  </sheetData>
  <mergeCells count="50">
    <mergeCell ref="L63:L64"/>
    <mergeCell ref="M63:M64"/>
    <mergeCell ref="B70:F70"/>
    <mergeCell ref="G70:J70"/>
    <mergeCell ref="K70:N70"/>
    <mergeCell ref="F63:F64"/>
    <mergeCell ref="G63:G64"/>
    <mergeCell ref="H63:H64"/>
    <mergeCell ref="I63:I64"/>
    <mergeCell ref="J63:J64"/>
    <mergeCell ref="K63:K64"/>
    <mergeCell ref="D56:E57"/>
    <mergeCell ref="D58:E58"/>
    <mergeCell ref="B63:B64"/>
    <mergeCell ref="C63:C64"/>
    <mergeCell ref="D63:D64"/>
    <mergeCell ref="E63:E64"/>
    <mergeCell ref="D54:E55"/>
    <mergeCell ref="I34:N34"/>
    <mergeCell ref="D35:E35"/>
    <mergeCell ref="B36:B47"/>
    <mergeCell ref="D36:E37"/>
    <mergeCell ref="D38:E39"/>
    <mergeCell ref="D40:E41"/>
    <mergeCell ref="D42:E43"/>
    <mergeCell ref="D44:E45"/>
    <mergeCell ref="D46:E47"/>
    <mergeCell ref="D48:E49"/>
    <mergeCell ref="J48:K48"/>
    <mergeCell ref="L49:N49"/>
    <mergeCell ref="D50:E51"/>
    <mergeCell ref="D52:E53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8:B59">
    <cfRule type="cellIs" dxfId="1355" priority="116" operator="notBetween">
      <formula>#REF!</formula>
      <formula>#REF!</formula>
    </cfRule>
  </conditionalFormatting>
  <conditionalFormatting sqref="C62">
    <cfRule type="cellIs" dxfId="1354" priority="148" stopIfTrue="1" operator="greaterThan">
      <formula>100</formula>
    </cfRule>
    <cfRule type="cellIs" dxfId="1353" priority="147" stopIfTrue="1" operator="lessThan">
      <formula>96</formula>
    </cfRule>
  </conditionalFormatting>
  <conditionalFormatting sqref="C72:C73">
    <cfRule type="cellIs" dxfId="1352" priority="94" stopIfTrue="1" operator="lessThanOrEqual">
      <formula>0</formula>
    </cfRule>
  </conditionalFormatting>
  <conditionalFormatting sqref="C72:C76">
    <cfRule type="cellIs" dxfId="1351" priority="93" stopIfTrue="1" operator="greaterThan">
      <formula>$F72</formula>
    </cfRule>
  </conditionalFormatting>
  <conditionalFormatting sqref="C73">
    <cfRule type="cellIs" dxfId="1350" priority="151" stopIfTrue="1" operator="greaterThan">
      <formula>$F72</formula>
    </cfRule>
  </conditionalFormatting>
  <conditionalFormatting sqref="C74:C77">
    <cfRule type="cellIs" dxfId="1349" priority="100" stopIfTrue="1" operator="lessThanOrEqual">
      <formula>0</formula>
    </cfRule>
  </conditionalFormatting>
  <conditionalFormatting sqref="C77">
    <cfRule type="cellIs" dxfId="1348" priority="99" stopIfTrue="1" operator="greaterThan">
      <formula>$J77</formula>
    </cfRule>
  </conditionalFormatting>
  <conditionalFormatting sqref="C83:C87">
    <cfRule type="cellIs" dxfId="1347" priority="139" stopIfTrue="1" operator="lessThanOrEqual">
      <formula>0</formula>
    </cfRule>
  </conditionalFormatting>
  <conditionalFormatting sqref="C84:C87">
    <cfRule type="cellIs" dxfId="1346" priority="138" stopIfTrue="1" operator="greaterThan">
      <formula>$F$83</formula>
    </cfRule>
  </conditionalFormatting>
  <conditionalFormatting sqref="C89">
    <cfRule type="cellIs" dxfId="1345" priority="140" stopIfTrue="1" operator="greaterThan">
      <formula>$F$83</formula>
    </cfRule>
    <cfRule type="cellIs" dxfId="1344" priority="141" stopIfTrue="1" operator="lessThanOrEqual">
      <formula>0</formula>
    </cfRule>
  </conditionalFormatting>
  <conditionalFormatting sqref="C83:D83 D85:D91">
    <cfRule type="cellIs" dxfId="1343" priority="133" stopIfTrue="1" operator="greaterThan">
      <formula>4.5</formula>
    </cfRule>
  </conditionalFormatting>
  <conditionalFormatting sqref="D58:D59">
    <cfRule type="cellIs" dxfId="1342" priority="117" operator="notBetween">
      <formula>#REF!</formula>
      <formula>#REF!</formula>
    </cfRule>
  </conditionalFormatting>
  <conditionalFormatting sqref="D72:D79">
    <cfRule type="cellIs" dxfId="1341" priority="110" stopIfTrue="1" operator="lessThanOrEqual">
      <formula>0</formula>
    </cfRule>
  </conditionalFormatting>
  <conditionalFormatting sqref="D80">
    <cfRule type="cellIs" dxfId="1340" priority="109" stopIfTrue="1" operator="lessThanOrEqual">
      <formula>0</formula>
    </cfRule>
  </conditionalFormatting>
  <conditionalFormatting sqref="D83 D85:D91">
    <cfRule type="cellIs" dxfId="1339" priority="134" stopIfTrue="1" operator="lessThanOrEqual">
      <formula>0</formula>
    </cfRule>
  </conditionalFormatting>
  <conditionalFormatting sqref="D84">
    <cfRule type="cellIs" dxfId="1338" priority="126" stopIfTrue="1" operator="lessThanOrEqual">
      <formula>0</formula>
    </cfRule>
    <cfRule type="cellIs" dxfId="1337" priority="125" stopIfTrue="1" operator="greaterThan">
      <formula>$F$83</formula>
    </cfRule>
  </conditionalFormatting>
  <conditionalFormatting sqref="D72:E81">
    <cfRule type="cellIs" dxfId="1336" priority="90" stopIfTrue="1" operator="greaterThan">
      <formula>$F72</formula>
    </cfRule>
  </conditionalFormatting>
  <conditionalFormatting sqref="D81:E81">
    <cfRule type="cellIs" dxfId="1335" priority="91" stopIfTrue="1" operator="lessThanOrEqual">
      <formula>0</formula>
    </cfRule>
  </conditionalFormatting>
  <conditionalFormatting sqref="E10:E24 E32:E33">
    <cfRule type="cellIs" dxfId="1334" priority="39" operator="lessThan">
      <formula>48</formula>
    </cfRule>
  </conditionalFormatting>
  <conditionalFormatting sqref="E61 E62:F62">
    <cfRule type="cellIs" dxfId="1333" priority="130" stopIfTrue="1" operator="greaterThan">
      <formula>100</formula>
    </cfRule>
  </conditionalFormatting>
  <conditionalFormatting sqref="E62">
    <cfRule type="cellIs" dxfId="1332" priority="128" stopIfTrue="1" operator="greaterThan">
      <formula>100</formula>
    </cfRule>
    <cfRule type="cellIs" dxfId="1331" priority="127" stopIfTrue="1" operator="lessThan">
      <formula>96.8</formula>
    </cfRule>
  </conditionalFormatting>
  <conditionalFormatting sqref="E72:E80">
    <cfRule type="cellIs" dxfId="1330" priority="104" stopIfTrue="1" operator="lessThanOrEqual">
      <formula>0</formula>
    </cfRule>
  </conditionalFormatting>
  <conditionalFormatting sqref="E83:E91">
    <cfRule type="cellIs" dxfId="1329" priority="120" stopIfTrue="1" operator="lessThanOrEqual">
      <formula>0</formula>
    </cfRule>
    <cfRule type="cellIs" dxfId="1328" priority="119" stopIfTrue="1" operator="greaterThan">
      <formula>4.5</formula>
    </cfRule>
  </conditionalFormatting>
  <conditionalFormatting sqref="E62:F62 E61">
    <cfRule type="cellIs" dxfId="1327" priority="129" stopIfTrue="1" operator="lessThan">
      <formula>96.5</formula>
    </cfRule>
  </conditionalFormatting>
  <conditionalFormatting sqref="F10:F24 F32:F33">
    <cfRule type="cellIs" dxfId="1326" priority="40" operator="greaterThan">
      <formula>60</formula>
    </cfRule>
  </conditionalFormatting>
  <conditionalFormatting sqref="F25:F31">
    <cfRule type="cellIs" dxfId="1325" priority="33" operator="greaterThan">
      <formula>$AA25</formula>
    </cfRule>
  </conditionalFormatting>
  <conditionalFormatting sqref="F62">
    <cfRule type="cellIs" dxfId="1324" priority="146" stopIfTrue="1" operator="greaterThan">
      <formula>100</formula>
    </cfRule>
    <cfRule type="cellIs" dxfId="1323" priority="145" stopIfTrue="1" operator="lessThan">
      <formula>96.8</formula>
    </cfRule>
  </conditionalFormatting>
  <conditionalFormatting sqref="F81">
    <cfRule type="cellIs" dxfId="1322" priority="106" stopIfTrue="1" operator="lessThanOrEqual">
      <formula>0</formula>
    </cfRule>
    <cfRule type="cellIs" dxfId="1321" priority="105" stopIfTrue="1" operator="greaterThan">
      <formula>$F81</formula>
    </cfRule>
  </conditionalFormatting>
  <conditionalFormatting sqref="G16:G21 H25:H31">
    <cfRule type="expression" dxfId="1320" priority="37">
      <formula>IF(+(IF(G16&lt;S16,0,IF(G16&gt;T16,0,1)))=0,1)</formula>
    </cfRule>
  </conditionalFormatting>
  <conditionalFormatting sqref="G22:G24">
    <cfRule type="expression" dxfId="1319" priority="11">
      <formula>IF(+(IF(G22&lt;$S$10,0,IF(G22&gt;$T$10,0,1)))=0,1)</formula>
    </cfRule>
  </conditionalFormatting>
  <conditionalFormatting sqref="G25:G31">
    <cfRule type="expression" dxfId="1318" priority="36">
      <formula>IF(+(IF(G25&lt;T25,0,IF(G25&gt;U25,0,1)))=0,1)</formula>
    </cfRule>
  </conditionalFormatting>
  <conditionalFormatting sqref="G72:G73 C78:C80">
    <cfRule type="cellIs" dxfId="1317" priority="112" stopIfTrue="1" operator="lessThanOrEqual">
      <formula>0</formula>
    </cfRule>
    <cfRule type="cellIs" dxfId="1316" priority="111" stopIfTrue="1" operator="greaterThan">
      <formula>$F72</formula>
    </cfRule>
  </conditionalFormatting>
  <conditionalFormatting sqref="G72:G73">
    <cfRule type="cellIs" dxfId="1315" priority="95" stopIfTrue="1" operator="greaterThan">
      <formula>$F72</formula>
    </cfRule>
    <cfRule type="cellIs" dxfId="1314" priority="96" stopIfTrue="1" operator="lessThanOrEqual">
      <formula>0</formula>
    </cfRule>
  </conditionalFormatting>
  <conditionalFormatting sqref="G74">
    <cfRule type="cellIs" dxfId="1313" priority="149" stopIfTrue="1" operator="greaterThan">
      <formula>$F73</formula>
    </cfRule>
    <cfRule type="cellIs" dxfId="1312" priority="150" stopIfTrue="1" operator="lessThanOrEqual">
      <formula>0</formula>
    </cfRule>
  </conditionalFormatting>
  <conditionalFormatting sqref="G75">
    <cfRule type="cellIs" dxfId="1311" priority="108" stopIfTrue="1" operator="lessThanOrEqual">
      <formula>0</formula>
    </cfRule>
    <cfRule type="cellIs" dxfId="1310" priority="107" stopIfTrue="1" operator="greaterThan">
      <formula>$F75</formula>
    </cfRule>
  </conditionalFormatting>
  <conditionalFormatting sqref="G76:G80">
    <cfRule type="cellIs" dxfId="1309" priority="114" stopIfTrue="1" operator="lessThanOrEqual">
      <formula>0</formula>
    </cfRule>
    <cfRule type="cellIs" dxfId="1308" priority="113" stopIfTrue="1" operator="greaterThan">
      <formula>$J76</formula>
    </cfRule>
  </conditionalFormatting>
  <conditionalFormatting sqref="G85:G90 C88 C90">
    <cfRule type="cellIs" dxfId="1307" priority="142" stopIfTrue="1" operator="greaterThan">
      <formula>4.5</formula>
    </cfRule>
    <cfRule type="cellIs" dxfId="1306" priority="143" stopIfTrue="1" operator="lessThanOrEqual">
      <formula>0</formula>
    </cfRule>
  </conditionalFormatting>
  <conditionalFormatting sqref="G10:H15 H16:H24 G32:H33">
    <cfRule type="expression" dxfId="1305" priority="41">
      <formula>IF(+(IF(G10&lt;#REF!,0,IF(G10&gt;#REF!,0,1)))=0,1)</formula>
    </cfRule>
  </conditionalFormatting>
  <conditionalFormatting sqref="G84:H84">
    <cfRule type="cellIs" dxfId="1304" priority="124" stopIfTrue="1" operator="lessThanOrEqual">
      <formula>0</formula>
    </cfRule>
    <cfRule type="cellIs" dxfId="1303" priority="123" stopIfTrue="1" operator="greaterThan">
      <formula>$F$83</formula>
    </cfRule>
  </conditionalFormatting>
  <conditionalFormatting sqref="H47:H61 I48:I60">
    <cfRule type="cellIs" dxfId="1302" priority="121" stopIfTrue="1" operator="greaterThan">
      <formula>0</formula>
    </cfRule>
  </conditionalFormatting>
  <conditionalFormatting sqref="H65">
    <cfRule type="cellIs" dxfId="1301" priority="48" stopIfTrue="1" operator="lessThanOrEqual">
      <formula>0</formula>
    </cfRule>
    <cfRule type="cellIs" dxfId="1300" priority="49" stopIfTrue="1" operator="greaterThan">
      <formula>$F$35</formula>
    </cfRule>
    <cfRule type="cellIs" dxfId="1299" priority="57" stopIfTrue="1" operator="greaterThan">
      <formula>$F$38</formula>
    </cfRule>
    <cfRule type="cellIs" dxfId="1298" priority="58" stopIfTrue="1" operator="lessThanOrEqual">
      <formula>0</formula>
    </cfRule>
    <cfRule type="cellIs" dxfId="1297" priority="59" stopIfTrue="1" operator="greaterThan">
      <formula>$F$36</formula>
    </cfRule>
    <cfRule type="cellIs" dxfId="1296" priority="60" stopIfTrue="1" operator="lessThanOrEqual">
      <formula>0</formula>
    </cfRule>
  </conditionalFormatting>
  <conditionalFormatting sqref="H66:H68">
    <cfRule type="cellIs" dxfId="1295" priority="74" stopIfTrue="1" operator="lessThanOrEqual">
      <formula>0</formula>
    </cfRule>
    <cfRule type="cellIs" dxfId="1294" priority="73" stopIfTrue="1" operator="greaterThan">
      <formula>$F$49</formula>
    </cfRule>
    <cfRule type="cellIs" dxfId="1293" priority="75" stopIfTrue="1" operator="greaterThan">
      <formula>$F$47</formula>
    </cfRule>
    <cfRule type="cellIs" dxfId="1292" priority="76" stopIfTrue="1" operator="lessThanOrEqual">
      <formula>0</formula>
    </cfRule>
    <cfRule type="cellIs" dxfId="1291" priority="65" stopIfTrue="1" operator="greaterThan">
      <formula>$F$46</formula>
    </cfRule>
    <cfRule type="cellIs" dxfId="1290" priority="64" stopIfTrue="1" operator="lessThanOrEqual">
      <formula>0</formula>
    </cfRule>
  </conditionalFormatting>
  <conditionalFormatting sqref="H72:H79">
    <cfRule type="cellIs" dxfId="1289" priority="98" stopIfTrue="1" operator="lessThanOrEqual">
      <formula>0</formula>
    </cfRule>
    <cfRule type="cellIs" dxfId="1288" priority="97" stopIfTrue="1" operator="greaterThan">
      <formula>$J72</formula>
    </cfRule>
  </conditionalFormatting>
  <conditionalFormatting sqref="H80">
    <cfRule type="cellIs" dxfId="1287" priority="101" operator="greaterThan">
      <formula>5.3</formula>
    </cfRule>
  </conditionalFormatting>
  <conditionalFormatting sqref="H83 H85:H91">
    <cfRule type="cellIs" dxfId="1286" priority="135" stopIfTrue="1" operator="greaterThan">
      <formula>4.5</formula>
    </cfRule>
    <cfRule type="cellIs" dxfId="1285" priority="136" stopIfTrue="1" operator="lessThanOrEqual">
      <formula>0</formula>
    </cfRule>
  </conditionalFormatting>
  <conditionalFormatting sqref="H65:I65">
    <cfRule type="cellIs" dxfId="1284" priority="47" stopIfTrue="1" operator="greaterThan">
      <formula>$F$37</formula>
    </cfRule>
    <cfRule type="cellIs" dxfId="1283" priority="50" stopIfTrue="1" operator="lessThanOrEqual">
      <formula>0</formula>
    </cfRule>
  </conditionalFormatting>
  <conditionalFormatting sqref="H66:I68">
    <cfRule type="cellIs" dxfId="1282" priority="63" stopIfTrue="1" operator="greaterThan">
      <formula>$F$48</formula>
    </cfRule>
    <cfRule type="cellIs" dxfId="1281" priority="66" stopIfTrue="1" operator="lessThanOrEqual">
      <formula>0</formula>
    </cfRule>
  </conditionalFormatting>
  <conditionalFormatting sqref="H81:I81">
    <cfRule type="cellIs" dxfId="1280" priority="89" stopIfTrue="1" operator="lessThanOrEqual">
      <formula>0</formula>
    </cfRule>
    <cfRule type="cellIs" dxfId="1279" priority="88" stopIfTrue="1" operator="greaterThan">
      <formula>$J81</formula>
    </cfRule>
  </conditionalFormatting>
  <conditionalFormatting sqref="I65">
    <cfRule type="cellIs" dxfId="1278" priority="55" stopIfTrue="1" operator="greaterThan">
      <formula>$F$35</formula>
    </cfRule>
    <cfRule type="cellIs" dxfId="1277" priority="52" stopIfTrue="1" operator="lessThanOrEqual">
      <formula>0</formula>
    </cfRule>
    <cfRule type="cellIs" dxfId="1276" priority="51" stopIfTrue="1" operator="greaterThan">
      <formula>$F$35</formula>
    </cfRule>
    <cfRule type="cellIs" dxfId="1275" priority="54" stopIfTrue="1" operator="lessThanOrEqual">
      <formula>0</formula>
    </cfRule>
    <cfRule type="cellIs" dxfId="1274" priority="53" stopIfTrue="1" operator="greaterThan">
      <formula>$F$37</formula>
    </cfRule>
    <cfRule type="cellIs" dxfId="1273" priority="56" stopIfTrue="1" operator="lessThanOrEqual">
      <formula>0</formula>
    </cfRule>
  </conditionalFormatting>
  <conditionalFormatting sqref="I66:I68">
    <cfRule type="cellIs" dxfId="1272" priority="70" stopIfTrue="1" operator="lessThanOrEqual">
      <formula>0</formula>
    </cfRule>
    <cfRule type="cellIs" dxfId="1271" priority="68" stopIfTrue="1" operator="lessThanOrEqual">
      <formula>0</formula>
    </cfRule>
    <cfRule type="cellIs" dxfId="1270" priority="69" stopIfTrue="1" operator="greaterThan">
      <formula>$F$48</formula>
    </cfRule>
    <cfRule type="cellIs" dxfId="1269" priority="67" stopIfTrue="1" operator="greaterThan">
      <formula>$F$46</formula>
    </cfRule>
    <cfRule type="cellIs" dxfId="1268" priority="72" stopIfTrue="1" operator="lessThanOrEqual">
      <formula>0</formula>
    </cfRule>
    <cfRule type="cellIs" dxfId="1267" priority="71" stopIfTrue="1" operator="greaterThan">
      <formula>$F$46</formula>
    </cfRule>
  </conditionalFormatting>
  <conditionalFormatting sqref="I72:I80">
    <cfRule type="cellIs" dxfId="1266" priority="102" stopIfTrue="1" operator="greaterThan">
      <formula>$J72</formula>
    </cfRule>
    <cfRule type="cellIs" dxfId="1265" priority="103" stopIfTrue="1" operator="lessThanOrEqual">
      <formula>0</formula>
    </cfRule>
  </conditionalFormatting>
  <conditionalFormatting sqref="I83:I91">
    <cfRule type="cellIs" dxfId="1264" priority="131" stopIfTrue="1" operator="greaterThan">
      <formula>4.5</formula>
    </cfRule>
    <cfRule type="cellIs" dxfId="1263" priority="132" stopIfTrue="1" operator="lessThanOrEqual">
      <formula>0</formula>
    </cfRule>
  </conditionalFormatting>
  <conditionalFormatting sqref="I10:J24 I32:J33">
    <cfRule type="cellIs" dxfId="1262" priority="44" operator="lessThan">
      <formula>97.9</formula>
    </cfRule>
  </conditionalFormatting>
  <conditionalFormatting sqref="I25:J31">
    <cfRule type="cellIs" dxfId="1261" priority="32" operator="notBetween">
      <formula>98</formula>
      <formula>99.9</formula>
    </cfRule>
  </conditionalFormatting>
  <conditionalFormatting sqref="J36:J38">
    <cfRule type="cellIs" dxfId="1260" priority="79" stopIfTrue="1" operator="greaterThan">
      <formula>100</formula>
    </cfRule>
    <cfRule type="cellIs" dxfId="1259" priority="78" stopIfTrue="1" operator="lessThan">
      <formula>96.8</formula>
    </cfRule>
    <cfRule type="cellIs" dxfId="1258" priority="80" operator="lessThan">
      <formula>98</formula>
    </cfRule>
  </conditionalFormatting>
  <conditionalFormatting sqref="J36:J40">
    <cfRule type="cellIs" dxfId="1257" priority="77" operator="lessThan">
      <formula>97.4</formula>
    </cfRule>
  </conditionalFormatting>
  <conditionalFormatting sqref="J41">
    <cfRule type="cellIs" dxfId="1256" priority="81" operator="lessThan">
      <formula>98</formula>
    </cfRule>
  </conditionalFormatting>
  <conditionalFormatting sqref="J43:J44">
    <cfRule type="cellIs" dxfId="1255" priority="83" stopIfTrue="1" operator="greaterThan">
      <formula>100</formula>
    </cfRule>
    <cfRule type="cellIs" dxfId="1254" priority="82" stopIfTrue="1" operator="lessThan">
      <formula>96.8</formula>
    </cfRule>
  </conditionalFormatting>
  <conditionalFormatting sqref="J43:J45">
    <cfRule type="cellIs" dxfId="1253" priority="84" operator="lessThan">
      <formula>98</formula>
    </cfRule>
  </conditionalFormatting>
  <conditionalFormatting sqref="J81">
    <cfRule type="cellIs" dxfId="1252" priority="85" stopIfTrue="1" operator="greaterThan">
      <formula>$F81</formula>
    </cfRule>
    <cfRule type="cellIs" dxfId="1251" priority="86" stopIfTrue="1" operator="lessThanOrEqual">
      <formula>0</formula>
    </cfRule>
  </conditionalFormatting>
  <conditionalFormatting sqref="K10:K24">
    <cfRule type="cellIs" dxfId="1250" priority="25" operator="greaterThan">
      <formula>6.4</formula>
    </cfRule>
  </conditionalFormatting>
  <conditionalFormatting sqref="K10:K33">
    <cfRule type="cellIs" dxfId="1249" priority="22" operator="lessThan">
      <formula>4</formula>
    </cfRule>
    <cfRule type="cellIs" dxfId="1248" priority="21" operator="greaterThan">
      <formula>6</formula>
    </cfRule>
  </conditionalFormatting>
  <conditionalFormatting sqref="K32:K33">
    <cfRule type="cellIs" dxfId="1247" priority="43" operator="greaterThan">
      <formula>6.4</formula>
    </cfRule>
  </conditionalFormatting>
  <conditionalFormatting sqref="K65:K68">
    <cfRule type="cellIs" dxfId="1246" priority="61" stopIfTrue="1" operator="lessThan">
      <formula>100%</formula>
    </cfRule>
  </conditionalFormatting>
  <conditionalFormatting sqref="K83:K88">
    <cfRule type="cellIs" dxfId="1245" priority="137" stopIfTrue="1" operator="lessThan">
      <formula>100%</formula>
    </cfRule>
  </conditionalFormatting>
  <conditionalFormatting sqref="K90:K91">
    <cfRule type="cellIs" dxfId="1244" priority="144" stopIfTrue="1" operator="lessThan">
      <formula>100%</formula>
    </cfRule>
  </conditionalFormatting>
  <conditionalFormatting sqref="K72:N75 L76:N76">
    <cfRule type="cellIs" dxfId="1243" priority="115" stopIfTrue="1" operator="lessThan">
      <formula>100%</formula>
    </cfRule>
  </conditionalFormatting>
  <conditionalFormatting sqref="K77:N81">
    <cfRule type="cellIs" dxfId="1242" priority="87" stopIfTrue="1" operator="lessThan">
      <formula>100%</formula>
    </cfRule>
  </conditionalFormatting>
  <conditionalFormatting sqref="L16:L33">
    <cfRule type="cellIs" dxfId="1241" priority="31" operator="greaterThan">
      <formula>65</formula>
    </cfRule>
    <cfRule type="cellIs" dxfId="1240" priority="30" operator="between">
      <formula>61</formula>
      <formula>65</formula>
    </cfRule>
  </conditionalFormatting>
  <conditionalFormatting sqref="L10:M15">
    <cfRule type="cellIs" dxfId="1239" priority="46" operator="greaterThan">
      <formula>65</formula>
    </cfRule>
    <cfRule type="cellIs" dxfId="1238" priority="45" operator="between">
      <formula>61</formula>
      <formula>65</formula>
    </cfRule>
  </conditionalFormatting>
  <conditionalFormatting sqref="L51:N51">
    <cfRule type="cellIs" dxfId="1237" priority="62" operator="notEqual">
      <formula>#REF!</formula>
    </cfRule>
  </conditionalFormatting>
  <conditionalFormatting sqref="L83:N91">
    <cfRule type="cellIs" dxfId="1236" priority="122" stopIfTrue="1" operator="lessThan">
      <formula>100%</formula>
    </cfRule>
  </conditionalFormatting>
  <conditionalFormatting sqref="M10:M24 M32:M33">
    <cfRule type="expression" dxfId="1235" priority="42">
      <formula>IF(+(IF(M10&lt;U10,0,IF(M10&gt;V10,0,1)))=0,1)</formula>
    </cfRule>
  </conditionalFormatting>
  <conditionalFormatting sqref="M36 L37:M47">
    <cfRule type="cellIs" dxfId="1234" priority="92" operator="lessThan">
      <formula>98</formula>
    </cfRule>
  </conditionalFormatting>
  <conditionalFormatting sqref="N10:N21 N23:N24 M25:M31">
    <cfRule type="expression" dxfId="1233" priority="35">
      <formula>IF(+(IF(M10&lt;V10,0,IF(M10&gt;W10,0,1)))=0,1)</formula>
    </cfRule>
  </conditionalFormatting>
  <conditionalFormatting sqref="N25:N31">
    <cfRule type="expression" dxfId="1232" priority="34">
      <formula>IF(+(IF(N25&lt;X25,0,IF(N25&gt;Y25,0,1)))=0,1)</formula>
    </cfRule>
  </conditionalFormatting>
  <conditionalFormatting sqref="N32:N33">
    <cfRule type="expression" dxfId="1231" priority="38">
      <formula>IF(+(IF(N32&lt;W32,0,IF(N32&gt;X32,0,1)))=0,1)</formula>
    </cfRule>
  </conditionalFormatting>
  <conditionalFormatting sqref="P6">
    <cfRule type="cellIs" dxfId="1230" priority="118" operator="greaterThanOrEqual">
      <formula>19</formula>
    </cfRule>
  </conditionalFormatting>
  <dataValidations count="1">
    <dataValidation type="list" allowBlank="1" showInputMessage="1" showErrorMessage="1" sqref="R8 B25:B31" xr:uid="{B69B4857-B81E-428D-A626-3CDDF36697AB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5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2A5B-03B6-4F8F-9148-96CB03992B79}">
  <sheetPr>
    <pageSetUpPr fitToPage="1"/>
  </sheetPr>
  <dimension ref="A1:BE85"/>
  <sheetViews>
    <sheetView topLeftCell="A34" zoomScale="80" zoomScaleNormal="80" workbookViewId="0">
      <selection activeCell="M67" sqref="M67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32" style="275" customWidth="1"/>
    <col min="12" max="12" width="14.88671875" style="275" customWidth="1"/>
    <col min="13" max="13" width="18.55468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73" t="s">
        <v>0</v>
      </c>
      <c r="T1" s="473"/>
      <c r="U1" s="473" t="s">
        <v>1</v>
      </c>
      <c r="V1" s="473"/>
      <c r="W1" s="473" t="s">
        <v>2</v>
      </c>
      <c r="X1" s="473"/>
      <c r="Y1" s="473" t="s">
        <v>124</v>
      </c>
      <c r="Z1" s="473"/>
    </row>
    <row r="2" spans="2:29" ht="14.4">
      <c r="B2" s="474" t="s">
        <v>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45826</v>
      </c>
      <c r="J4" s="398" t="s">
        <v>172</v>
      </c>
      <c r="K4" s="398"/>
      <c r="L4" s="11"/>
      <c r="M4" s="471" t="s">
        <v>8</v>
      </c>
      <c r="N4" s="472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68"/>
      <c r="D5" s="468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81" t="s">
        <v>17</v>
      </c>
      <c r="C8" s="483" t="s">
        <v>18</v>
      </c>
      <c r="D8" s="483" t="s">
        <v>19</v>
      </c>
      <c r="E8" s="356" t="s">
        <v>20</v>
      </c>
      <c r="F8" s="356" t="s">
        <v>21</v>
      </c>
      <c r="G8" s="483" t="s">
        <v>22</v>
      </c>
      <c r="H8" s="485" t="s">
        <v>144</v>
      </c>
      <c r="I8" s="483" t="s">
        <v>197</v>
      </c>
      <c r="J8" s="487" t="s">
        <v>23</v>
      </c>
      <c r="K8" s="489" t="s">
        <v>142</v>
      </c>
      <c r="L8" s="491" t="s">
        <v>24</v>
      </c>
      <c r="M8" s="359" t="s">
        <v>25</v>
      </c>
      <c r="N8" s="17" t="s">
        <v>26</v>
      </c>
      <c r="O8" s="543" t="s">
        <v>155</v>
      </c>
      <c r="P8" s="555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82"/>
      <c r="C9" s="484"/>
      <c r="D9" s="484"/>
      <c r="E9" s="357" t="s">
        <v>30</v>
      </c>
      <c r="F9" s="357" t="s">
        <v>31</v>
      </c>
      <c r="G9" s="484"/>
      <c r="H9" s="486"/>
      <c r="I9" s="484"/>
      <c r="J9" s="488"/>
      <c r="K9" s="490"/>
      <c r="L9" s="492"/>
      <c r="M9" s="20" t="s">
        <v>32</v>
      </c>
      <c r="N9" s="21" t="s">
        <v>41</v>
      </c>
      <c r="O9" s="556"/>
      <c r="P9" s="555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2" t="s">
        <v>33</v>
      </c>
      <c r="C10" s="366" t="str">
        <f>[23]Brewhouse!A51</f>
        <v>VM042</v>
      </c>
      <c r="D10" s="279">
        <f>[23]Brewhouse!AE51</f>
        <v>52.5</v>
      </c>
      <c r="E10" s="279">
        <f>[23]Brewhouse!AJ51</f>
        <v>49.5</v>
      </c>
      <c r="F10" s="278">
        <f>[23]Brewhouse!X51</f>
        <v>86</v>
      </c>
      <c r="G10" s="279">
        <f>[23]Brewhouse!AH51</f>
        <v>14.3</v>
      </c>
      <c r="H10" s="367"/>
      <c r="I10" s="368">
        <f>[23]Brewhouse!AV51</f>
        <v>100.48690648550411</v>
      </c>
      <c r="J10" s="368">
        <f>[23]Brewhouse!AW51</f>
        <v>100.96481706326021</v>
      </c>
      <c r="K10" s="281">
        <f>[23]Brewhouse!S51</f>
        <v>6.9714285714285644</v>
      </c>
      <c r="L10" s="276">
        <f>[23]Brewhouse!R51</f>
        <v>59</v>
      </c>
      <c r="M10" s="374">
        <f>[23]Brewhouse!$W51-[23]Brewhouse!$V51</f>
        <v>0.13819444444444429</v>
      </c>
      <c r="N10" s="370">
        <f>[23]Brewhouse!AB51</f>
        <v>0.31388888888888888</v>
      </c>
      <c r="O10" s="371" t="str">
        <f>[23]Brewhouse!$AZ51</f>
        <v>D. Gomez</v>
      </c>
      <c r="P10" s="420"/>
      <c r="R10" s="277" t="str">
        <f t="shared" ref="R10:R35" si="0">B10</f>
        <v>VITAMALT</v>
      </c>
      <c r="S10" s="296">
        <f t="shared" ref="S10:S35" si="1">VLOOKUP($B10,$R$3:$X$9,2,FALSE)</f>
        <v>14.4</v>
      </c>
      <c r="T10" s="296">
        <f t="shared" ref="T10:T35" si="2">VLOOKUP($B10,$R$3:$X$9,3,FALSE)</f>
        <v>14.6</v>
      </c>
      <c r="U10" s="297">
        <f t="shared" ref="U10:U35" si="3">VLOOKUP($B10,$R$3:$X$9,4,FALSE)</f>
        <v>0</v>
      </c>
      <c r="V10" s="297">
        <f t="shared" ref="V10:V35" si="4">VLOOKUP($B10,$R$3:$X$9,5,FALSE)</f>
        <v>0.13905092592592591</v>
      </c>
      <c r="W10" s="297">
        <f t="shared" ref="W10:W35" si="5">VLOOKUP($B10,$R$3:$X$9,6,FALSE)</f>
        <v>0.26041666666666669</v>
      </c>
      <c r="X10" s="297">
        <f t="shared" ref="X10:X35" si="6">VLOOKUP($B10,$R$3:$X$9,7,FALSE)</f>
        <v>0.2951388888888889</v>
      </c>
      <c r="Y10" s="297">
        <f t="shared" ref="Y10:Y35" si="7">VLOOKUP($B10,$R$3:$Z$9,8,FALSE)</f>
        <v>0</v>
      </c>
      <c r="Z10" s="296">
        <f t="shared" ref="Z10:Z35" si="8">VLOOKUP($B10,$R$3:$Z$9,9,FALSE)</f>
        <v>75</v>
      </c>
    </row>
    <row r="11" spans="2:29" ht="15.75" customHeight="1">
      <c r="B11" s="22" t="s">
        <v>33</v>
      </c>
      <c r="C11" s="366" t="str">
        <f>[23]Brewhouse!A52</f>
        <v>VM043</v>
      </c>
      <c r="D11" s="279">
        <f>[23]Brewhouse!AE52</f>
        <v>51</v>
      </c>
      <c r="E11" s="279">
        <f>[23]Brewhouse!AJ52</f>
        <v>50.2</v>
      </c>
      <c r="F11" s="278">
        <f>[23]Brewhouse!X52</f>
        <v>90</v>
      </c>
      <c r="G11" s="279">
        <f>[23]Brewhouse!AH52</f>
        <v>14.2</v>
      </c>
      <c r="H11" s="396">
        <v>13.8</v>
      </c>
      <c r="I11" s="368">
        <f>[23]Brewhouse!AV52</f>
        <v>101.16555777179596</v>
      </c>
      <c r="J11" s="368">
        <f>[23]Brewhouse!AW52</f>
        <v>101.64669598029192</v>
      </c>
      <c r="K11" s="281">
        <f>[23]Brewhouse!S52</f>
        <v>3.6470588235294108</v>
      </c>
      <c r="L11" s="276">
        <f>[23]Brewhouse!R52</f>
        <v>62</v>
      </c>
      <c r="M11" s="374">
        <f>[23]Brewhouse!$W52-[23]Brewhouse!$V52</f>
        <v>0.14166666666666666</v>
      </c>
      <c r="N11" s="370">
        <f>[23]Brewhouse!AB52</f>
        <v>0.28194444444444444</v>
      </c>
      <c r="O11" s="371" t="str">
        <f>[23]Brewhouse!$AZ52</f>
        <v>K. Benjamin</v>
      </c>
      <c r="P11" s="420"/>
      <c r="R11" s="277" t="str">
        <f t="shared" si="0"/>
        <v>VITAMALT</v>
      </c>
      <c r="S11" s="296">
        <f t="shared" si="1"/>
        <v>14.4</v>
      </c>
      <c r="T11" s="296">
        <f t="shared" si="2"/>
        <v>14.6</v>
      </c>
      <c r="U11" s="297">
        <f t="shared" si="3"/>
        <v>0</v>
      </c>
      <c r="V11" s="297">
        <f t="shared" si="4"/>
        <v>0.13905092592592591</v>
      </c>
      <c r="W11" s="297">
        <f t="shared" si="5"/>
        <v>0.26041666666666669</v>
      </c>
      <c r="X11" s="297">
        <f t="shared" si="6"/>
        <v>0.2951388888888889</v>
      </c>
      <c r="Y11" s="297">
        <f t="shared" si="7"/>
        <v>0</v>
      </c>
      <c r="Z11" s="296">
        <f t="shared" si="8"/>
        <v>75</v>
      </c>
    </row>
    <row r="12" spans="2:29" ht="15.75" customHeight="1">
      <c r="B12" s="22" t="s">
        <v>33</v>
      </c>
      <c r="C12" s="366" t="str">
        <f>[23]Brewhouse!A53</f>
        <v>VM044</v>
      </c>
      <c r="D12" s="279">
        <f>[23]Brewhouse!AE53</f>
        <v>52</v>
      </c>
      <c r="E12" s="279">
        <f>[23]Brewhouse!AJ53</f>
        <v>50.1</v>
      </c>
      <c r="F12" s="278">
        <f>[23]Brewhouse!X53</f>
        <v>95</v>
      </c>
      <c r="G12" s="279">
        <f>[23]Brewhouse!AH53</f>
        <v>14.3</v>
      </c>
      <c r="H12" s="396">
        <v>13.6</v>
      </c>
      <c r="I12" s="368">
        <f>[23]Brewhouse!AV53</f>
        <v>101.81357333538921</v>
      </c>
      <c r="J12" s="368">
        <f>[23]Brewhouse!AW53</f>
        <v>102.29572257760265</v>
      </c>
      <c r="K12" s="281">
        <f>[23]Brewhouse!S53</f>
        <v>5.4999999999999982</v>
      </c>
      <c r="L12" s="276">
        <f>[23]Brewhouse!R53</f>
        <v>57</v>
      </c>
      <c r="M12" s="374">
        <f>[23]Brewhouse!$W53-[23]Brewhouse!$V53</f>
        <v>0.14375000000000004</v>
      </c>
      <c r="N12" s="370">
        <f>[23]Brewhouse!AB53</f>
        <v>0.28333333333333338</v>
      </c>
      <c r="O12" s="371" t="str">
        <f>[23]Brewhouse!$AZ53</f>
        <v>K. Benjamin</v>
      </c>
      <c r="P12" s="420"/>
      <c r="R12" s="277" t="str">
        <f t="shared" si="0"/>
        <v>VITAMALT</v>
      </c>
      <c r="S12" s="296">
        <f t="shared" si="1"/>
        <v>14.4</v>
      </c>
      <c r="T12" s="296">
        <f t="shared" si="2"/>
        <v>14.6</v>
      </c>
      <c r="U12" s="297">
        <f t="shared" si="3"/>
        <v>0</v>
      </c>
      <c r="V12" s="297">
        <f t="shared" si="4"/>
        <v>0.13905092592592591</v>
      </c>
      <c r="W12" s="297">
        <f t="shared" si="5"/>
        <v>0.26041666666666669</v>
      </c>
      <c r="X12" s="297">
        <f t="shared" si="6"/>
        <v>0.2951388888888889</v>
      </c>
      <c r="Y12" s="297">
        <f t="shared" si="7"/>
        <v>0</v>
      </c>
      <c r="Z12" s="296">
        <f t="shared" si="8"/>
        <v>75</v>
      </c>
    </row>
    <row r="13" spans="2:29" ht="15.75" customHeight="1">
      <c r="B13" s="33"/>
      <c r="C13" s="366"/>
      <c r="D13" s="279"/>
      <c r="E13" s="279"/>
      <c r="F13" s="278"/>
      <c r="G13" s="279"/>
      <c r="H13" s="396"/>
      <c r="I13" s="429"/>
      <c r="J13" s="429"/>
      <c r="K13" s="430"/>
      <c r="L13" s="276"/>
      <c r="M13" s="374"/>
      <c r="N13" s="370"/>
      <c r="O13" s="422"/>
      <c r="P13" s="420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customHeight="1">
      <c r="B14" s="33"/>
      <c r="C14" s="366"/>
      <c r="D14" s="279"/>
      <c r="E14" s="279"/>
      <c r="F14" s="278"/>
      <c r="G14" s="279"/>
      <c r="H14" s="396"/>
      <c r="I14" s="429"/>
      <c r="J14" s="429"/>
      <c r="K14" s="430"/>
      <c r="L14" s="276"/>
      <c r="M14" s="374"/>
      <c r="N14" s="370"/>
      <c r="O14" s="422"/>
      <c r="P14" s="420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customHeight="1">
      <c r="B15" s="29" t="s">
        <v>6</v>
      </c>
      <c r="C15" s="366" t="str">
        <f>[24]Brewhouse!$A525</f>
        <v>CA419</v>
      </c>
      <c r="D15" s="279">
        <f>[24]Brewhouse!$AF525</f>
        <v>52.4</v>
      </c>
      <c r="E15" s="279">
        <f>[24]Brewhouse!$AI525</f>
        <v>49</v>
      </c>
      <c r="F15" s="278">
        <f>[24]Brewhouse!$V525</f>
        <v>56</v>
      </c>
      <c r="G15" s="279">
        <f>[24]Brewhouse!$AG525</f>
        <v>12</v>
      </c>
      <c r="H15" s="396">
        <v>11.9</v>
      </c>
      <c r="I15" s="368">
        <f>[24]Brewhouse!$AU525</f>
        <v>95.154518668294898</v>
      </c>
      <c r="J15" s="368">
        <f>[24]Brewhouse!$AV525</f>
        <v>97.266845883116588</v>
      </c>
      <c r="K15" s="281">
        <f>[24]Brewhouse!$Q525</f>
        <v>8.399999999999995</v>
      </c>
      <c r="L15" s="276">
        <f>[24]Brewhouse!$P525</f>
        <v>60</v>
      </c>
      <c r="M15" s="397">
        <f>[24]Brewhouse!$U525-[24]Brewhouse!$T525</f>
        <v>0.1069444444444444</v>
      </c>
      <c r="N15" s="370">
        <f>[24]Brewhouse!$Z525</f>
        <v>0.23888888888888882</v>
      </c>
      <c r="O15" s="371" t="str">
        <f>[24]Brewhouse!$AX525</f>
        <v>R. Regis</v>
      </c>
      <c r="P15" s="420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[24]Brewhouse!$A526</f>
        <v>CA420</v>
      </c>
      <c r="D16" s="279">
        <f>[24]Brewhouse!$AF526</f>
        <v>53.6</v>
      </c>
      <c r="E16" s="279">
        <f>[24]Brewhouse!$AI526</f>
        <v>50.8</v>
      </c>
      <c r="F16" s="278">
        <f>[24]Brewhouse!$V526</f>
        <v>61</v>
      </c>
      <c r="G16" s="279">
        <f>[24]Brewhouse!$AG526</f>
        <v>12</v>
      </c>
      <c r="H16" s="396">
        <v>12</v>
      </c>
      <c r="I16" s="368">
        <f>[24]Brewhouse!$AU526</f>
        <v>98.892713086542798</v>
      </c>
      <c r="J16" s="368">
        <f>[24]Brewhouse!$AV526</f>
        <v>101.08754666217681</v>
      </c>
      <c r="K16" s="281">
        <f>[24]Brewhouse!$Q526</f>
        <v>7.0609981515711642</v>
      </c>
      <c r="L16" s="276">
        <f>[24]Brewhouse!$P526</f>
        <v>60</v>
      </c>
      <c r="M16" s="397">
        <f>[24]Brewhouse!$U526-[24]Brewhouse!$T526</f>
        <v>0.10972222222222217</v>
      </c>
      <c r="N16" s="370">
        <f>[24]Brewhouse!$Z526</f>
        <v>0.23958333333333326</v>
      </c>
      <c r="O16" s="371" t="str">
        <f>[24]Brewhouse!$AX526</f>
        <v>R. Regis</v>
      </c>
      <c r="P16" s="420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2:26" ht="15.75" customHeight="1">
      <c r="B17" s="29" t="s">
        <v>6</v>
      </c>
      <c r="C17" s="366" t="str">
        <f>[24]Brewhouse!$A527</f>
        <v>CA421</v>
      </c>
      <c r="D17" s="279">
        <f>[24]Brewhouse!$AF527</f>
        <v>53.4</v>
      </c>
      <c r="E17" s="279">
        <f>[24]Brewhouse!$AI527</f>
        <v>50.6</v>
      </c>
      <c r="F17" s="278">
        <f>[24]Brewhouse!$V527</f>
        <v>61</v>
      </c>
      <c r="G17" s="279">
        <f>[24]Brewhouse!$AG527</f>
        <v>11.9</v>
      </c>
      <c r="H17" s="396">
        <v>11.9</v>
      </c>
      <c r="I17" s="368">
        <f>[24]Brewhouse!$AU527</f>
        <v>97.520711041698107</v>
      </c>
      <c r="J17" s="368">
        <f>[24]Brewhouse!$AV527</f>
        <v>99.685330012069258</v>
      </c>
      <c r="K17" s="281">
        <f>[24]Brewhouse!$Q527</f>
        <v>5.6830601092896131</v>
      </c>
      <c r="L17" s="276">
        <f>[24]Brewhouse!$P527</f>
        <v>100</v>
      </c>
      <c r="M17" s="397">
        <f>[24]Brewhouse!$U527-[24]Brewhouse!$T527</f>
        <v>0.14513888888888904</v>
      </c>
      <c r="N17" s="370">
        <f>[24]Brewhouse!$Z527</f>
        <v>0.28680555555555565</v>
      </c>
      <c r="O17" s="371" t="str">
        <f>[24]Brewhouse!$AX527</f>
        <v>D. Gomez</v>
      </c>
      <c r="P17" s="420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2:26" ht="15.75" customHeight="1">
      <c r="B18" s="29" t="s">
        <v>6</v>
      </c>
      <c r="C18" s="366" t="str">
        <f>[24]Brewhouse!$A528</f>
        <v>CA422</v>
      </c>
      <c r="D18" s="279">
        <f>[24]Brewhouse!$AF528</f>
        <v>53</v>
      </c>
      <c r="E18" s="279">
        <f>[24]Brewhouse!$AI528</f>
        <v>50.1</v>
      </c>
      <c r="F18" s="278">
        <f>[24]Brewhouse!$V528</f>
        <v>62</v>
      </c>
      <c r="G18" s="279">
        <f>[24]Brewhouse!$AG528</f>
        <v>11.9</v>
      </c>
      <c r="H18" s="396">
        <v>11.9</v>
      </c>
      <c r="I18" s="368">
        <f>[24]Brewhouse!$AU528</f>
        <v>97.450970277914166</v>
      </c>
      <c r="J18" s="368">
        <f>[24]Brewhouse!$AV528</f>
        <v>99.70610098362171</v>
      </c>
      <c r="K18" s="281">
        <f>[24]Brewhouse!$Q528</f>
        <v>5.2898550724637703</v>
      </c>
      <c r="L18" s="276">
        <f>[24]Brewhouse!$P528</f>
        <v>60</v>
      </c>
      <c r="M18" s="397">
        <f>[24]Brewhouse!$U528-[24]Brewhouse!$T528</f>
        <v>0.10763888888888884</v>
      </c>
      <c r="N18" s="370">
        <f>[24]Brewhouse!$Z528</f>
        <v>0.24236111111111103</v>
      </c>
      <c r="O18" s="371" t="str">
        <f>[24]Brewhouse!$AX528</f>
        <v>D. Gomez</v>
      </c>
      <c r="P18" s="420"/>
      <c r="R18" s="277" t="str">
        <f t="shared" si="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2:26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20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20"/>
      <c r="R20" s="277"/>
      <c r="S20" s="296"/>
      <c r="T20" s="296"/>
      <c r="U20" s="297"/>
      <c r="V20" s="297"/>
      <c r="W20" s="297"/>
      <c r="X20" s="297"/>
      <c r="Y20" s="297"/>
      <c r="Z20" s="296"/>
    </row>
    <row r="21" spans="2:26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20"/>
      <c r="R21" s="277"/>
      <c r="S21" s="296"/>
      <c r="T21" s="296"/>
      <c r="U21" s="297"/>
      <c r="V21" s="297"/>
      <c r="W21" s="297"/>
      <c r="X21" s="297"/>
      <c r="Y21" s="297"/>
      <c r="Z21" s="296"/>
    </row>
    <row r="22" spans="2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20"/>
      <c r="R22" s="277"/>
      <c r="S22" s="296"/>
      <c r="T22" s="296"/>
      <c r="U22" s="297"/>
      <c r="V22" s="297"/>
      <c r="W22" s="297"/>
      <c r="X22" s="297"/>
      <c r="Y22" s="297"/>
      <c r="Z22" s="296"/>
    </row>
    <row r="23" spans="2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20"/>
      <c r="R23" s="277"/>
      <c r="S23" s="296"/>
      <c r="T23" s="296"/>
      <c r="U23" s="297"/>
      <c r="V23" s="297"/>
      <c r="W23" s="297"/>
      <c r="X23" s="297"/>
      <c r="Y23" s="297"/>
      <c r="Z23" s="296"/>
    </row>
    <row r="24" spans="2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20"/>
      <c r="R24" s="277"/>
      <c r="S24" s="296"/>
      <c r="T24" s="296"/>
      <c r="U24" s="297"/>
      <c r="V24" s="297"/>
      <c r="W24" s="297"/>
      <c r="X24" s="297"/>
      <c r="Y24" s="297"/>
      <c r="Z24" s="296"/>
    </row>
    <row r="25" spans="2:26" ht="15.75" hidden="1" customHeight="1">
      <c r="B25" s="373"/>
      <c r="C25" s="283"/>
      <c r="D25" s="438"/>
      <c r="E25" s="438"/>
      <c r="F25" s="278"/>
      <c r="G25" s="279"/>
      <c r="H25" s="440"/>
      <c r="I25" s="280"/>
      <c r="J25" s="280"/>
      <c r="K25" s="281"/>
      <c r="L25" s="276"/>
      <c r="M25" s="374"/>
      <c r="N25" s="370"/>
      <c r="O25" s="371"/>
      <c r="P25" s="420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373"/>
      <c r="C26" s="283"/>
      <c r="D26" s="438"/>
      <c r="E26" s="438"/>
      <c r="F26" s="278"/>
      <c r="G26" s="279"/>
      <c r="H26" s="440"/>
      <c r="I26" s="280"/>
      <c r="J26" s="280"/>
      <c r="K26" s="281"/>
      <c r="L26" s="276"/>
      <c r="M26" s="374"/>
      <c r="N26" s="370"/>
      <c r="O26" s="371"/>
      <c r="P26" s="420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373"/>
      <c r="C27" s="283"/>
      <c r="D27" s="438"/>
      <c r="E27" s="438"/>
      <c r="F27" s="278"/>
      <c r="G27" s="279"/>
      <c r="H27" s="440"/>
      <c r="I27" s="280"/>
      <c r="J27" s="280"/>
      <c r="K27" s="281"/>
      <c r="L27" s="276"/>
      <c r="M27" s="374"/>
      <c r="N27" s="370"/>
      <c r="O27" s="371"/>
      <c r="P27" s="420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373"/>
      <c r="C28" s="283"/>
      <c r="D28" s="438"/>
      <c r="E28" s="439"/>
      <c r="F28" s="278"/>
      <c r="G28" s="279"/>
      <c r="H28" s="440"/>
      <c r="I28" s="280"/>
      <c r="J28" s="280"/>
      <c r="K28" s="281"/>
      <c r="L28" s="276"/>
      <c r="M28" s="374"/>
      <c r="N28" s="370"/>
      <c r="O28" s="371"/>
      <c r="P28" s="420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373"/>
      <c r="C29" s="283"/>
      <c r="D29" s="438"/>
      <c r="E29" s="439"/>
      <c r="F29" s="278"/>
      <c r="G29" s="279"/>
      <c r="H29" s="440"/>
      <c r="I29" s="280"/>
      <c r="J29" s="280"/>
      <c r="K29" s="281"/>
      <c r="L29" s="276"/>
      <c r="M29" s="374"/>
      <c r="N29" s="370"/>
      <c r="O29" s="371"/>
      <c r="P29" s="420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373"/>
      <c r="C30" s="283"/>
      <c r="D30" s="438"/>
      <c r="E30" s="439"/>
      <c r="F30" s="278"/>
      <c r="G30" s="279"/>
      <c r="H30" s="440"/>
      <c r="I30" s="280"/>
      <c r="J30" s="280"/>
      <c r="K30" s="281"/>
      <c r="L30" s="276"/>
      <c r="M30" s="374"/>
      <c r="N30" s="370"/>
      <c r="O30" s="371"/>
      <c r="P30" s="420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373"/>
      <c r="C31" s="283"/>
      <c r="D31" s="438"/>
      <c r="E31" s="439"/>
      <c r="F31" s="278"/>
      <c r="G31" s="279"/>
      <c r="H31" s="440"/>
      <c r="I31" s="280"/>
      <c r="J31" s="280"/>
      <c r="K31" s="281"/>
      <c r="L31" s="276"/>
      <c r="M31" s="374"/>
      <c r="N31" s="370"/>
      <c r="O31" s="371"/>
      <c r="P31" s="420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20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20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.75" customHeight="1" thickBot="1">
      <c r="B34" s="358"/>
      <c r="C34" s="358"/>
      <c r="D34" s="358"/>
      <c r="E34" s="358"/>
      <c r="F34" s="294"/>
      <c r="G34" s="294"/>
      <c r="H34" s="348"/>
      <c r="I34" s="497" t="s">
        <v>34</v>
      </c>
      <c r="J34" s="497"/>
      <c r="K34" s="497"/>
      <c r="L34" s="497"/>
      <c r="M34" s="497"/>
      <c r="N34" s="497"/>
      <c r="O34" s="1"/>
      <c r="P34" s="12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7" ht="15" thickBot="1">
      <c r="B35" s="388" t="s">
        <v>180</v>
      </c>
      <c r="C35" s="388"/>
      <c r="D35" s="475" t="s">
        <v>35</v>
      </c>
      <c r="E35" s="476"/>
      <c r="F35" s="294"/>
      <c r="G35" s="294"/>
      <c r="H35" s="348"/>
      <c r="I35" s="24" t="s">
        <v>17</v>
      </c>
      <c r="J35" s="25" t="s">
        <v>36</v>
      </c>
      <c r="K35" s="26" t="s">
        <v>138</v>
      </c>
      <c r="L35" s="25" t="s">
        <v>37</v>
      </c>
      <c r="M35" s="25" t="s">
        <v>38</v>
      </c>
      <c r="N35" s="27" t="s">
        <v>39</v>
      </c>
      <c r="O35" s="294"/>
      <c r="P35" s="12"/>
      <c r="R35" s="277" t="str">
        <f t="shared" si="0"/>
        <v xml:space="preserve">BRAND 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7" ht="15" customHeight="1">
      <c r="A36" s="28"/>
      <c r="B36" s="498" t="str">
        <f>I37</f>
        <v>STAG</v>
      </c>
      <c r="C36" s="362">
        <f>[25]Process!D226</f>
        <v>11.76</v>
      </c>
      <c r="D36" s="501">
        <v>11.91</v>
      </c>
      <c r="E36" s="502"/>
      <c r="F36" s="294"/>
      <c r="G36" s="294"/>
      <c r="H36" s="348"/>
      <c r="I36" s="29" t="s">
        <v>6</v>
      </c>
      <c r="J36" s="280">
        <f>AVERAGE(I15:I18)</f>
        <v>97.254728268612496</v>
      </c>
      <c r="K36" s="284">
        <f>COUNTA([24]Brewhouse!$A$493:$A$528)</f>
        <v>36</v>
      </c>
      <c r="L36" s="302">
        <f>AVERAGE([24]Brewhouse!$AU$493:$AU$528)</f>
        <v>97.787812275765376</v>
      </c>
      <c r="M36" s="302">
        <f>AVERAGE([24]Brewhouse!$AU$102:$AU$171,[24]Brewhouse!$AU$173:$AU$253,[24]Brewhouse!$AU$255:$AU$339,[24]Brewhouse!$AU$341:$AU$346,[24]Brewhouse!$AU$348,[24]Brewhouse!$AU$349:$AU$406,[24]Brewhouse!$AU$408:$AU$491,[24]Brewhouse!$AU$493:$AU$528)</f>
        <v>97.671454493369794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</row>
    <row r="37" spans="1:27" ht="15" customHeight="1">
      <c r="A37" s="28"/>
      <c r="B37" s="499"/>
      <c r="C37" s="349">
        <f>[25]Process!D227</f>
        <v>11.64</v>
      </c>
      <c r="D37" s="503"/>
      <c r="E37" s="504"/>
      <c r="F37" s="294"/>
      <c r="G37" s="294"/>
      <c r="H37" s="348"/>
      <c r="I37" s="33" t="s">
        <v>9</v>
      </c>
      <c r="J37" s="280"/>
      <c r="K37" s="284">
        <f>COUNTA([25]Brewhouse!$A$242:$A$261)</f>
        <v>20</v>
      </c>
      <c r="L37" s="302">
        <f>AVERAGE([25]Brewhouse!$AS$242:$AS$261)</f>
        <v>97.625065795762325</v>
      </c>
      <c r="M37" s="302">
        <f>AVERAGE([25]Brewhouse!$AS$15:$AS$64,[25]Brewhouse!$AS$66:$AS$103,[25]Brewhouse!$AS$105:$AS$140,[25]Brewhouse!$AS$142:$AS$193,[25]Brewhouse!$AS$195:$AS$240,[25]Brewhouse!$AS$242:$AS$261)</f>
        <v>97.854851527783097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</row>
    <row r="38" spans="1:27" ht="14.7" customHeight="1">
      <c r="A38" s="28"/>
      <c r="B38" s="499"/>
      <c r="C38" s="349">
        <f>[25]Process!D229</f>
        <v>12.3</v>
      </c>
      <c r="D38" s="501">
        <v>11.82</v>
      </c>
      <c r="E38" s="502"/>
      <c r="F38" s="294"/>
      <c r="G38" s="294"/>
      <c r="H38" s="348"/>
      <c r="I38" s="34" t="s">
        <v>12</v>
      </c>
      <c r="J38" s="280"/>
      <c r="K38" s="284"/>
      <c r="L38" s="302"/>
      <c r="M38" s="302">
        <f>AVERAGE([26]Brewhouse!$AU$4:$AU$7,[26]Brewhouse!$AU$9:$AU$22,[26]Brewhouse!$AU$24:$AU$35,[26]Brewhouse!$AU$37:$AU$45,[26]Brewhouse!$AU$47:$AU$62)</f>
        <v>97.179377138297156</v>
      </c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</row>
    <row r="39" spans="1:27" ht="14.7" customHeight="1">
      <c r="A39" s="28"/>
      <c r="B39" s="499"/>
      <c r="C39" s="349">
        <f>[25]Process!D230</f>
        <v>11.6</v>
      </c>
      <c r="D39" s="503"/>
      <c r="E39" s="504"/>
      <c r="F39" s="294"/>
      <c r="G39" s="294"/>
      <c r="H39" s="348"/>
      <c r="I39" s="22" t="s">
        <v>33</v>
      </c>
      <c r="J39" s="280">
        <f>AVERAGE(I10:I12)</f>
        <v>101.15534586422977</v>
      </c>
      <c r="K39" s="284">
        <f>COUNTA([23]Brewhouse!$A$48:$A$53)</f>
        <v>6</v>
      </c>
      <c r="L39" s="302">
        <f>AVERAGE([23]Brewhouse!$AV$48:$AV$53)</f>
        <v>96.180288887301501</v>
      </c>
      <c r="M39" s="302">
        <f>AVERAGE([23]Brewhouse!$AV$5:$AV$14,[23]Brewhouse!$AV$16:$AV$19,[23]Brewhouse!$AV$21:$AV$24,[23]Brewhouse!$AV$26:$AV$33,[23]Brewhouse!$AV$35:$AV$46,[23]Brewhouse!$AV$48:$AV$53)</f>
        <v>98.620083722669861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</row>
    <row r="40" spans="1:27" ht="14.7" customHeight="1">
      <c r="A40" s="28"/>
      <c r="B40" s="499"/>
      <c r="C40" s="349"/>
      <c r="D40" s="501"/>
      <c r="E40" s="502"/>
      <c r="F40" s="419"/>
      <c r="G40" s="294"/>
      <c r="H40" s="348"/>
      <c r="I40" s="35" t="s">
        <v>29</v>
      </c>
      <c r="J40" s="280"/>
      <c r="K40" s="284"/>
      <c r="L40" s="302"/>
      <c r="M40" s="302"/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</row>
    <row r="41" spans="1:27" ht="14.7" customHeight="1">
      <c r="A41" s="28"/>
      <c r="B41" s="499"/>
      <c r="C41" s="349"/>
      <c r="D41" s="503"/>
      <c r="E41" s="504"/>
      <c r="F41" s="419"/>
      <c r="G41" s="294"/>
      <c r="H41" s="348"/>
      <c r="I41" s="36" t="s">
        <v>15</v>
      </c>
      <c r="J41" s="323"/>
      <c r="K41" s="284">
        <f>COUNTA([27]Brewhouse!$A$18:$A$21)</f>
        <v>4</v>
      </c>
      <c r="L41" s="302">
        <f>AVERAGE([27]Brewhouse!$AT$18:$AT$21)</f>
        <v>95.061602643439088</v>
      </c>
      <c r="M41" s="302">
        <f>AVERAGE([27]Brewhouse!$AT$4:$AT$11,[27]Brewhouse!$AT$13:$AT$16,[27]Brewhouse!$AT$18:$AT$21)</f>
        <v>94.773169817643847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4.7" customHeight="1">
      <c r="A42" s="28"/>
      <c r="B42" s="499"/>
      <c r="C42" s="349"/>
      <c r="D42" s="501"/>
      <c r="E42" s="502"/>
      <c r="F42" s="419"/>
      <c r="G42" s="294"/>
      <c r="H42" s="348"/>
      <c r="I42" s="37" t="s">
        <v>16</v>
      </c>
      <c r="J42" s="323"/>
      <c r="K42" s="284">
        <f>COUNTA([22]Brewhouse!$A$45:$A$50)</f>
        <v>6</v>
      </c>
      <c r="L42" s="302">
        <f>AVERAGE([22]Brewhouse!$AY$45:$AY$50)</f>
        <v>96.288901438431267</v>
      </c>
      <c r="M42" s="302">
        <f>AVERAGE([22]Brewhouse!$AY$6:$AY$13,[22]Brewhouse!$AY$15:$AY$20,[22]Brewhouse!$AY$22:$AY$29,[22]Brewhouse!$AY$31:$AY$34,[22]Brewhouse!$AY$36:$AY$43,[22]Brewhouse!$AY$45:$AY$50)</f>
        <v>96.612624784592427</v>
      </c>
      <c r="N42" s="30">
        <v>98</v>
      </c>
      <c r="O42" s="11"/>
      <c r="P42" s="31" t="s">
        <v>41</v>
      </c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4.7" customHeight="1">
      <c r="A43" s="28"/>
      <c r="B43" s="499"/>
      <c r="C43" s="349"/>
      <c r="D43" s="503"/>
      <c r="E43" s="504"/>
      <c r="F43" s="294"/>
      <c r="G43" s="294"/>
      <c r="H43" s="348"/>
      <c r="I43" s="411" t="s">
        <v>158</v>
      </c>
      <c r="J43" s="326"/>
      <c r="K43" s="284">
        <f>COUNTA([28]Brewhouse!$A$10:$A$13)</f>
        <v>4</v>
      </c>
      <c r="L43" s="305">
        <f>AVERAGE([28]Brewhouse!$AU$10:$AU$13)</f>
        <v>97.488444912767932</v>
      </c>
      <c r="M43" s="305">
        <f>AVERAGE([28]Brewhouse!$AU$5:$AU$8,[28]Brewhouse!$AU$10:$AU$13)</f>
        <v>94.247666625193744</v>
      </c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4.7" customHeight="1">
      <c r="A44" s="28"/>
      <c r="B44" s="499"/>
      <c r="C44" s="349"/>
      <c r="D44" s="501"/>
      <c r="E44" s="502"/>
      <c r="F44" s="294"/>
      <c r="G44" s="294"/>
      <c r="H44" s="348"/>
      <c r="I44" s="410" t="s">
        <v>157</v>
      </c>
      <c r="J44" s="326"/>
      <c r="K44" s="284"/>
      <c r="L44" s="305"/>
      <c r="M44" s="305"/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5" customHeight="1" thickBot="1">
      <c r="A45" s="28"/>
      <c r="B45" s="499"/>
      <c r="C45" s="349"/>
      <c r="D45" s="503"/>
      <c r="E45" s="504"/>
      <c r="F45" s="294"/>
      <c r="G45" s="294"/>
      <c r="H45" s="348"/>
      <c r="I45" s="406" t="s">
        <v>156</v>
      </c>
      <c r="J45" s="327"/>
      <c r="K45" s="407"/>
      <c r="L45" s="408"/>
      <c r="M45" s="408"/>
      <c r="N45" s="409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5" customHeight="1" thickBot="1">
      <c r="A46" s="28"/>
      <c r="B46" s="499"/>
      <c r="C46" s="349"/>
      <c r="D46" s="501"/>
      <c r="E46" s="502"/>
      <c r="F46" s="294"/>
      <c r="G46" s="294"/>
      <c r="H46" s="348"/>
      <c r="I46" s="1"/>
      <c r="J46" s="39"/>
      <c r="K46" s="404">
        <f>SUM(K36:K45)</f>
        <v>76</v>
      </c>
      <c r="L46" s="405">
        <f>((L36*K36)+(L37*K37)+(L38*K38)+(L39*K39)+(L40*K40)+(K43*L43)+(L41*K41)+(L42*K42)+(L45*K45))/(K46)</f>
        <v>97.340498552921375</v>
      </c>
      <c r="M46" s="405">
        <f>AVERAGE('[29]Jan 31st'!$L$65,'[30]Feb 28th'!$L$35,'[31]Mar. 31st'!$L$35,'[32]Apr. 30th'!$L$45,'[33]May 30th'!$L$37,L46)</f>
        <v>97.586625331715084</v>
      </c>
      <c r="N46" s="4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  <c r="AA46" s="296"/>
    </row>
    <row r="47" spans="1:27" ht="15" thickBot="1">
      <c r="B47" s="500"/>
      <c r="C47" s="350"/>
      <c r="D47" s="503"/>
      <c r="E47" s="504"/>
      <c r="F47" s="294"/>
      <c r="G47" s="42"/>
      <c r="H47" s="41"/>
      <c r="I47" s="42"/>
      <c r="J47" s="42"/>
      <c r="K47" s="351"/>
      <c r="L47" s="348"/>
      <c r="M47" s="348"/>
      <c r="N47" s="11"/>
      <c r="O47" s="294"/>
      <c r="P47" s="12"/>
      <c r="R47" s="277"/>
      <c r="S47" s="296"/>
      <c r="T47" s="296"/>
      <c r="U47" s="297"/>
      <c r="V47" s="297"/>
      <c r="W47" s="297"/>
      <c r="X47" s="297"/>
      <c r="Y47" s="297"/>
      <c r="Z47" s="296"/>
      <c r="AA47" s="296"/>
    </row>
    <row r="48" spans="1:27" ht="15" thickBot="1">
      <c r="B48" s="564" t="str">
        <f>I36</f>
        <v>CARIB</v>
      </c>
      <c r="C48" s="362">
        <f>[24]Process!D484</f>
        <v>12</v>
      </c>
      <c r="D48" s="514">
        <v>11.97</v>
      </c>
      <c r="E48" s="515"/>
      <c r="F48" s="294"/>
      <c r="G48" s="42"/>
      <c r="H48" s="41"/>
      <c r="I48" s="41"/>
      <c r="J48" s="551" t="s">
        <v>129</v>
      </c>
      <c r="K48" s="551"/>
      <c r="L48" s="294"/>
      <c r="M48" s="294"/>
      <c r="N48" s="294"/>
      <c r="O48" s="294"/>
      <c r="P48" s="12"/>
    </row>
    <row r="49" spans="2:56" ht="13.5" customHeight="1" thickBot="1">
      <c r="B49" s="565"/>
      <c r="C49" s="349">
        <f>[24]Process!D485</f>
        <v>12</v>
      </c>
      <c r="D49" s="516"/>
      <c r="E49" s="504"/>
      <c r="F49" s="294"/>
      <c r="G49" s="42"/>
      <c r="H49" s="41"/>
      <c r="I49" s="41"/>
      <c r="J49" s="292" t="s">
        <v>17</v>
      </c>
      <c r="K49" s="293" t="s">
        <v>191</v>
      </c>
      <c r="L49" s="518" t="s">
        <v>136</v>
      </c>
      <c r="M49" s="518"/>
      <c r="N49" s="519"/>
      <c r="O49" s="294"/>
      <c r="P49" s="12"/>
    </row>
    <row r="50" spans="2:56" ht="15" customHeight="1" thickBot="1">
      <c r="B50" s="565"/>
      <c r="C50" s="349">
        <f>[24]Process!D486</f>
        <v>11.5</v>
      </c>
      <c r="D50" s="545">
        <v>11.96</v>
      </c>
      <c r="E50" s="546"/>
      <c r="F50" s="294"/>
      <c r="G50" s="42"/>
      <c r="H50" s="41"/>
      <c r="I50" s="41"/>
      <c r="J50" s="287" t="s">
        <v>6</v>
      </c>
      <c r="K50" s="324">
        <v>4</v>
      </c>
      <c r="L50" s="343" t="s">
        <v>37</v>
      </c>
      <c r="M50" s="307" t="s">
        <v>38</v>
      </c>
      <c r="N50" s="307" t="s">
        <v>84</v>
      </c>
      <c r="O50" s="294"/>
      <c r="P50" s="12"/>
    </row>
    <row r="51" spans="2:56" ht="15.75" customHeight="1" thickBot="1">
      <c r="B51" s="565"/>
      <c r="C51" s="349">
        <f>[24]Process!D487</f>
        <v>11.6</v>
      </c>
      <c r="D51" s="516"/>
      <c r="E51" s="504"/>
      <c r="F51" s="294"/>
      <c r="G51" s="42"/>
      <c r="H51" s="41"/>
      <c r="I51" s="41"/>
      <c r="J51" s="345" t="s">
        <v>9</v>
      </c>
      <c r="K51" s="324"/>
      <c r="L51" s="344">
        <f>AVERAGE('June 2nd'!K57,'June 3rd'!K63,'June 4th'!K63,'June 5th '!K63,'June 6th'!K63,'June 10th'!K63,'June 11th'!K63,'June 12th '!K63,'June 13th'!I65,'June 13th'!K65,'June 16th'!K60,'June 17th '!K60)</f>
        <v>6.666666666666667</v>
      </c>
      <c r="M51" s="325">
        <f>AVERAGE('[29]Jan 29th '!$M$70,'[30]Feb 28th'!$L$40,'[31]Mar. 31st'!$L$40,'[32]Apr. 30th'!$L$50,'[33]May 30th'!$L$42,L51)</f>
        <v>6.6455513085947864</v>
      </c>
      <c r="N51" s="418">
        <v>9.1999999999999993</v>
      </c>
      <c r="O51" s="294"/>
      <c r="P51" s="12"/>
    </row>
    <row r="52" spans="2:56" ht="15" customHeight="1">
      <c r="B52" s="565"/>
      <c r="C52" s="349">
        <f>[24]Process!D488</f>
        <v>11.9</v>
      </c>
      <c r="D52" s="545">
        <v>11.9</v>
      </c>
      <c r="E52" s="546"/>
      <c r="F52" s="294"/>
      <c r="G52" s="42"/>
      <c r="H52" s="41"/>
      <c r="I52" s="41"/>
      <c r="J52" s="288" t="s">
        <v>40</v>
      </c>
      <c r="K52" s="324"/>
      <c r="L52" s="294"/>
      <c r="M52" s="294"/>
      <c r="N52" s="294"/>
      <c r="O52" s="294"/>
      <c r="P52" s="12"/>
    </row>
    <row r="53" spans="2:56" ht="15" customHeight="1">
      <c r="B53" s="565"/>
      <c r="C53" s="349">
        <f>[24]Process!D489</f>
        <v>11.6</v>
      </c>
      <c r="D53" s="516"/>
      <c r="E53" s="504"/>
      <c r="F53" s="294"/>
      <c r="G53" s="42"/>
      <c r="H53" s="41"/>
      <c r="I53" s="41"/>
      <c r="J53" s="289" t="s">
        <v>33</v>
      </c>
      <c r="K53" s="324">
        <v>3</v>
      </c>
      <c r="L53" s="294"/>
      <c r="M53" s="294"/>
      <c r="N53" s="294"/>
      <c r="O53" s="294"/>
      <c r="P53" s="12"/>
    </row>
    <row r="54" spans="2:56" ht="14.4">
      <c r="B54" s="565"/>
      <c r="C54" s="349">
        <f>[24]Process!D490</f>
        <v>11.7</v>
      </c>
      <c r="D54" s="545">
        <v>11.96</v>
      </c>
      <c r="E54" s="546"/>
      <c r="F54" s="294"/>
      <c r="G54" s="42"/>
      <c r="H54" s="41"/>
      <c r="I54" s="41"/>
      <c r="J54" s="290" t="s">
        <v>16</v>
      </c>
      <c r="K54" s="324"/>
      <c r="L54" s="294"/>
      <c r="M54" s="294"/>
      <c r="N54" s="294"/>
      <c r="O54" s="294"/>
      <c r="P54" s="12"/>
      <c r="BC54" s="44"/>
      <c r="BD54" s="44"/>
    </row>
    <row r="55" spans="2:56" ht="14.4">
      <c r="B55" s="565"/>
      <c r="C55" s="349">
        <f>[24]Process!D491</f>
        <v>11.5</v>
      </c>
      <c r="D55" s="516"/>
      <c r="E55" s="504"/>
      <c r="F55" s="294"/>
      <c r="G55" s="42"/>
      <c r="H55" s="41"/>
      <c r="I55" s="41"/>
      <c r="J55" s="291" t="s">
        <v>15</v>
      </c>
      <c r="K55" s="324"/>
      <c r="L55" s="294"/>
      <c r="M55" s="294"/>
      <c r="N55" s="294"/>
      <c r="O55" s="294"/>
      <c r="P55" s="12"/>
      <c r="BC55" s="44"/>
      <c r="BD55" s="44"/>
    </row>
    <row r="56" spans="2:56" ht="14.4">
      <c r="B56" s="565"/>
      <c r="C56" s="349"/>
      <c r="D56" s="545"/>
      <c r="E56" s="546"/>
      <c r="F56" s="294"/>
      <c r="G56" s="42"/>
      <c r="H56" s="41"/>
      <c r="I56" s="41"/>
      <c r="J56" s="291" t="s">
        <v>149</v>
      </c>
      <c r="K56" s="324"/>
      <c r="L56" s="294"/>
      <c r="M56" s="294"/>
      <c r="N56" s="294"/>
      <c r="O56" s="294"/>
      <c r="P56" s="12"/>
      <c r="BC56" s="44"/>
      <c r="BD56" s="44"/>
    </row>
    <row r="57" spans="2:56" ht="15" thickBot="1">
      <c r="B57" s="566"/>
      <c r="C57" s="350"/>
      <c r="D57" s="547"/>
      <c r="E57" s="548"/>
      <c r="F57" s="294"/>
      <c r="G57" s="42"/>
      <c r="H57" s="41"/>
      <c r="I57" s="41"/>
      <c r="J57" s="291" t="s">
        <v>148</v>
      </c>
      <c r="K57" s="324"/>
      <c r="L57" s="294"/>
      <c r="M57" s="294"/>
      <c r="N57" s="294"/>
      <c r="O57" s="294"/>
      <c r="P57" s="12"/>
      <c r="BC57" s="44"/>
      <c r="BD57" s="44"/>
    </row>
    <row r="58" spans="2:56" ht="17.7" customHeight="1" thickBot="1">
      <c r="B58" s="312" t="s">
        <v>139</v>
      </c>
      <c r="C58" s="313"/>
      <c r="D58" s="562">
        <f>AVERAGE(D36:E57)</f>
        <v>11.920000000000002</v>
      </c>
      <c r="E58" s="563"/>
      <c r="F58" s="294"/>
      <c r="G58" s="42"/>
      <c r="H58" s="41"/>
      <c r="I58" s="41"/>
      <c r="J58" s="295" t="s">
        <v>134</v>
      </c>
      <c r="K58" s="324"/>
      <c r="L58" s="294"/>
      <c r="M58" s="294"/>
      <c r="N58" s="294"/>
      <c r="O58" s="294"/>
      <c r="P58" s="12"/>
      <c r="BC58" s="44"/>
      <c r="BD58" s="44"/>
    </row>
    <row r="59" spans="2:56" ht="17.7" customHeight="1">
      <c r="B59" s="363"/>
      <c r="C59" s="364"/>
      <c r="D59" s="365"/>
      <c r="E59" s="365"/>
      <c r="F59" s="294"/>
      <c r="G59" s="42"/>
      <c r="H59" s="41"/>
      <c r="I59" s="41"/>
      <c r="J59" s="295" t="s">
        <v>131</v>
      </c>
      <c r="K59" s="324"/>
      <c r="L59" s="294"/>
      <c r="M59" s="294"/>
      <c r="N59" s="294"/>
      <c r="O59" s="294"/>
      <c r="P59" s="12"/>
      <c r="BC59" s="44"/>
      <c r="BD59" s="44"/>
    </row>
    <row r="60" spans="2:56" ht="15.75" customHeight="1">
      <c r="B60" s="45"/>
      <c r="C60" s="11"/>
      <c r="D60" s="11"/>
      <c r="E60" s="46"/>
      <c r="F60" s="294"/>
      <c r="G60" s="42"/>
      <c r="H60" s="41"/>
      <c r="I60" s="41"/>
      <c r="J60" s="346" t="s">
        <v>130</v>
      </c>
      <c r="K60" s="324">
        <f>SUM(K50:K59)</f>
        <v>7</v>
      </c>
      <c r="L60" s="294"/>
      <c r="M60" s="294"/>
      <c r="N60" s="294"/>
      <c r="O60" s="294"/>
      <c r="P60" s="12"/>
    </row>
    <row r="61" spans="2:56" ht="20.25" customHeight="1">
      <c r="B61" s="15" t="s">
        <v>42</v>
      </c>
      <c r="C61" s="1" t="s">
        <v>43</v>
      </c>
      <c r="D61" s="1"/>
      <c r="E61" s="1"/>
      <c r="F61" s="294"/>
      <c r="G61" s="42"/>
      <c r="H61" s="41"/>
      <c r="I61" s="42"/>
      <c r="L61" s="294"/>
      <c r="P61" s="334"/>
    </row>
    <row r="62" spans="2:56" ht="15" customHeight="1" thickBot="1"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8"/>
      <c r="O62" s="48"/>
      <c r="P62" s="49"/>
    </row>
    <row r="63" spans="2:56" ht="15" customHeight="1" thickBot="1">
      <c r="B63" s="526" t="s">
        <v>17</v>
      </c>
      <c r="C63" s="526" t="s">
        <v>44</v>
      </c>
      <c r="D63" s="528" t="s">
        <v>45</v>
      </c>
      <c r="E63" s="483" t="s">
        <v>46</v>
      </c>
      <c r="F63" s="543" t="s">
        <v>47</v>
      </c>
      <c r="G63" s="537" t="s">
        <v>48</v>
      </c>
      <c r="H63" s="526" t="s">
        <v>49</v>
      </c>
      <c r="I63" s="526" t="s">
        <v>50</v>
      </c>
      <c r="J63" s="531" t="s">
        <v>28</v>
      </c>
      <c r="K63" s="481" t="s">
        <v>51</v>
      </c>
      <c r="L63" s="493" t="s">
        <v>52</v>
      </c>
      <c r="M63" s="531" t="s">
        <v>53</v>
      </c>
      <c r="N63" s="13"/>
      <c r="O63" s="13"/>
      <c r="P63" s="50"/>
    </row>
    <row r="64" spans="2:56" ht="28.5" customHeight="1" thickTop="1" thickBot="1">
      <c r="B64" s="527"/>
      <c r="C64" s="527"/>
      <c r="D64" s="529"/>
      <c r="E64" s="530"/>
      <c r="F64" s="544"/>
      <c r="G64" s="538"/>
      <c r="H64" s="527"/>
      <c r="I64" s="527"/>
      <c r="J64" s="532"/>
      <c r="K64" s="541"/>
      <c r="L64" s="542"/>
      <c r="M64" s="532"/>
      <c r="N64" s="13"/>
      <c r="O64" s="13"/>
      <c r="P64" s="50"/>
      <c r="Q64" s="355"/>
      <c r="AB64" s="51">
        <v>43474</v>
      </c>
      <c r="AC64" s="51">
        <v>43475</v>
      </c>
      <c r="AD64" s="51">
        <v>43476</v>
      </c>
      <c r="AE64" s="51">
        <v>43477</v>
      </c>
      <c r="AF64" s="51">
        <v>43478</v>
      </c>
      <c r="AG64" s="51">
        <v>43479</v>
      </c>
      <c r="AH64" s="51">
        <v>43480</v>
      </c>
      <c r="AI64" s="51">
        <v>43481</v>
      </c>
      <c r="AJ64" s="51">
        <v>43482</v>
      </c>
      <c r="AK64" s="51">
        <v>43483</v>
      </c>
      <c r="AL64" s="51">
        <v>43484</v>
      </c>
      <c r="AM64" s="51">
        <v>43485</v>
      </c>
      <c r="AN64" s="51">
        <v>43486</v>
      </c>
      <c r="AO64" s="51">
        <v>43487</v>
      </c>
      <c r="AP64" s="51">
        <v>43488</v>
      </c>
      <c r="AQ64" s="51">
        <v>43489</v>
      </c>
      <c r="AR64" s="51">
        <v>43490</v>
      </c>
      <c r="AS64" s="51">
        <v>43491</v>
      </c>
      <c r="AT64" s="51">
        <v>43492</v>
      </c>
      <c r="AU64" s="51">
        <v>43493</v>
      </c>
      <c r="AV64" s="51">
        <v>43494</v>
      </c>
      <c r="AW64" s="51">
        <v>43495</v>
      </c>
      <c r="AX64" s="51">
        <v>43496</v>
      </c>
    </row>
    <row r="65" spans="2:57" s="54" customFormat="1" ht="51" customHeight="1">
      <c r="B65" s="443" t="str">
        <f>I37</f>
        <v>STAG</v>
      </c>
      <c r="C65" s="432">
        <v>45825</v>
      </c>
      <c r="D65" s="377">
        <f>[34]June_2025!$T$13</f>
        <v>201.5</v>
      </c>
      <c r="E65" s="378"/>
      <c r="F65" s="379"/>
      <c r="G65" s="303">
        <f>[34]June_2025!$T$17</f>
        <v>184.3</v>
      </c>
      <c r="H65" s="320"/>
      <c r="I65" s="322"/>
      <c r="J65" s="392" t="s">
        <v>181</v>
      </c>
      <c r="K65" s="286">
        <f>[36]June_2025!$T$25</f>
        <v>0.64666666666666672</v>
      </c>
      <c r="L65" s="314">
        <f>(((D65+E65)-G65)/(D65+E65))*100</f>
        <v>8.53598014888337</v>
      </c>
      <c r="M65" s="417" t="s">
        <v>196</v>
      </c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416"/>
      <c r="AC65" s="416"/>
      <c r="AD65" s="416"/>
      <c r="AE65" s="416"/>
      <c r="AF65" s="416"/>
      <c r="AG65" s="416"/>
      <c r="AH65" s="416"/>
      <c r="AI65" s="416"/>
      <c r="AJ65" s="416"/>
      <c r="AK65" s="416"/>
      <c r="AL65" s="416"/>
      <c r="AM65" s="416"/>
      <c r="AN65" s="416"/>
      <c r="AO65" s="416"/>
      <c r="AP65" s="416"/>
      <c r="AQ65" s="416"/>
      <c r="AR65" s="416"/>
      <c r="AS65" s="416"/>
      <c r="AT65" s="416"/>
      <c r="AU65" s="416"/>
      <c r="AV65" s="416"/>
      <c r="AW65" s="416"/>
    </row>
    <row r="66" spans="2:57" s="54" customFormat="1" ht="23.25" customHeight="1">
      <c r="B66" s="33"/>
      <c r="C66" s="283"/>
      <c r="D66" s="377"/>
      <c r="E66" s="378"/>
      <c r="F66" s="379"/>
      <c r="G66" s="303"/>
      <c r="H66" s="320"/>
      <c r="I66" s="322"/>
      <c r="J66" s="281"/>
      <c r="K66" s="286"/>
      <c r="L66" s="314"/>
      <c r="M66" s="417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416"/>
      <c r="AC66" s="416"/>
      <c r="AD66" s="416"/>
      <c r="AE66" s="416"/>
      <c r="AF66" s="416"/>
      <c r="AG66" s="416"/>
      <c r="AH66" s="416"/>
      <c r="AI66" s="416"/>
      <c r="AJ66" s="416"/>
      <c r="AK66" s="416"/>
      <c r="AL66" s="416"/>
      <c r="AM66" s="416"/>
      <c r="AN66" s="416"/>
      <c r="AO66" s="416"/>
      <c r="AP66" s="416"/>
      <c r="AQ66" s="416"/>
      <c r="AR66" s="416"/>
      <c r="AS66" s="416"/>
      <c r="AT66" s="416"/>
      <c r="AU66" s="416"/>
      <c r="AV66" s="416"/>
      <c r="AW66" s="416"/>
    </row>
    <row r="67" spans="2:57" s="54" customFormat="1" ht="53.25" customHeight="1">
      <c r="B67" s="387" t="str">
        <f>B72</f>
        <v>CARIB</v>
      </c>
      <c r="C67" s="432">
        <v>45825</v>
      </c>
      <c r="D67" s="377">
        <f>[34]June_2025!$T$3</f>
        <v>398.6</v>
      </c>
      <c r="E67" s="378"/>
      <c r="F67" s="379"/>
      <c r="G67" s="303">
        <f>[34]June_2025!$T$7</f>
        <v>375</v>
      </c>
      <c r="H67" s="320"/>
      <c r="I67" s="322"/>
      <c r="J67" s="392" t="s">
        <v>182</v>
      </c>
      <c r="K67" s="286">
        <f>[36]June_2025!$T$18</f>
        <v>0.65789473684210531</v>
      </c>
      <c r="L67" s="314">
        <f>(((D67+E67)-G67)/(D67+E67))*100</f>
        <v>5.9207225288509839</v>
      </c>
      <c r="M67" s="417" t="s">
        <v>169</v>
      </c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>
        <f>[20]January_2019!L7</f>
        <v>0</v>
      </c>
      <c r="AC67" s="57">
        <f>[20]January_2019!M7</f>
        <v>0</v>
      </c>
      <c r="AD67" s="57">
        <f>[20]January_2019!N7</f>
        <v>0</v>
      </c>
      <c r="AE67" s="57">
        <f>[20]January_2019!O7</f>
        <v>0</v>
      </c>
      <c r="AF67" s="57">
        <f>[20]January_2019!P7</f>
        <v>0</v>
      </c>
      <c r="AG67" s="57">
        <f>[20]January_2019!Q7</f>
        <v>0</v>
      </c>
      <c r="AH67" s="57">
        <f>[20]January_2019!R7</f>
        <v>0</v>
      </c>
      <c r="AI67" s="57">
        <f>[20]January_2019!S7</f>
        <v>0</v>
      </c>
      <c r="AJ67" s="57">
        <f>[20]January_2019!T7</f>
        <v>0</v>
      </c>
      <c r="AK67" s="57">
        <f>[20]January_2019!U7</f>
        <v>0</v>
      </c>
      <c r="AL67" s="57">
        <f>[20]January_2019!V7</f>
        <v>0</v>
      </c>
      <c r="AM67" s="57">
        <f>[20]January_2019!W7</f>
        <v>0</v>
      </c>
      <c r="AN67" s="57">
        <f>[20]January_2019!X7</f>
        <v>0</v>
      </c>
      <c r="AO67" s="57">
        <f>[20]January_2019!Y7</f>
        <v>0</v>
      </c>
      <c r="AP67" s="57">
        <f>[20]January_2019!Z7</f>
        <v>0</v>
      </c>
      <c r="AQ67" s="57">
        <f>[20]January_2019!AA7</f>
        <v>0</v>
      </c>
      <c r="AR67" s="57">
        <f>[20]January_2019!AB7</f>
        <v>0</v>
      </c>
      <c r="AS67" s="57">
        <f>[20]January_2019!AC7</f>
        <v>0</v>
      </c>
      <c r="AT67" s="57">
        <f>[20]January_2019!AD7</f>
        <v>0</v>
      </c>
      <c r="AU67" s="57">
        <f>[20]January_2019!AE7</f>
        <v>0</v>
      </c>
      <c r="AV67" s="57">
        <f>[20]January_2019!AF7</f>
        <v>0</v>
      </c>
      <c r="AW67" s="57">
        <f>[20]January_2019!AG7</f>
        <v>0</v>
      </c>
      <c r="AX67" s="277">
        <f>[20]January_2019!AH7</f>
        <v>0</v>
      </c>
      <c r="AY67" s="277"/>
      <c r="AZ67" s="277"/>
      <c r="BA67" s="277"/>
      <c r="BB67" s="277"/>
      <c r="BC67" s="277"/>
      <c r="BD67" s="277"/>
      <c r="BE67" s="277"/>
    </row>
    <row r="68" spans="2:57" s="54" customFormat="1" ht="16.5" customHeight="1">
      <c r="B68" s="423"/>
      <c r="C68" s="283"/>
      <c r="D68" s="377"/>
      <c r="E68" s="378"/>
      <c r="F68" s="379"/>
      <c r="G68" s="303"/>
      <c r="H68" s="320"/>
      <c r="I68" s="322"/>
      <c r="J68" s="281"/>
      <c r="K68" s="286"/>
      <c r="L68" s="314"/>
      <c r="M68" s="417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6"/>
      <c r="AC68" s="416"/>
      <c r="AD68" s="416"/>
      <c r="AE68" s="416"/>
      <c r="AF68" s="416"/>
      <c r="AG68" s="416"/>
      <c r="AH68" s="416"/>
      <c r="AI68" s="416"/>
      <c r="AJ68" s="416"/>
      <c r="AK68" s="416"/>
      <c r="AL68" s="416"/>
      <c r="AM68" s="416"/>
      <c r="AN68" s="416"/>
      <c r="AO68" s="416"/>
      <c r="AP68" s="416"/>
      <c r="AQ68" s="416"/>
      <c r="AR68" s="416"/>
      <c r="AS68" s="416"/>
      <c r="AT68" s="416"/>
      <c r="AU68" s="416"/>
      <c r="AV68" s="416"/>
      <c r="AW68" s="416"/>
    </row>
    <row r="69" spans="2:57" ht="18" customHeight="1" thickBot="1">
      <c r="B69" s="59"/>
      <c r="C69" s="30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 t="s">
        <v>41</v>
      </c>
      <c r="O69" s="56"/>
      <c r="P69" s="60"/>
    </row>
    <row r="70" spans="2:57" ht="14.4" thickBot="1">
      <c r="B70" s="533" t="s">
        <v>55</v>
      </c>
      <c r="C70" s="534"/>
      <c r="D70" s="534"/>
      <c r="E70" s="534"/>
      <c r="F70" s="535"/>
      <c r="G70" s="533" t="s">
        <v>56</v>
      </c>
      <c r="H70" s="534"/>
      <c r="I70" s="534"/>
      <c r="J70" s="535"/>
      <c r="K70" s="533" t="s">
        <v>51</v>
      </c>
      <c r="L70" s="534"/>
      <c r="M70" s="534"/>
      <c r="N70" s="536"/>
      <c r="O70" s="56"/>
      <c r="P70" s="50"/>
    </row>
    <row r="71" spans="2:57">
      <c r="B71" s="61" t="s">
        <v>17</v>
      </c>
      <c r="C71" s="62" t="s">
        <v>36</v>
      </c>
      <c r="D71" s="62" t="s">
        <v>37</v>
      </c>
      <c r="E71" s="62" t="s">
        <v>38</v>
      </c>
      <c r="F71" s="63" t="s">
        <v>39</v>
      </c>
      <c r="G71" s="62" t="s">
        <v>36</v>
      </c>
      <c r="H71" s="62" t="s">
        <v>37</v>
      </c>
      <c r="I71" s="62" t="s">
        <v>38</v>
      </c>
      <c r="J71" s="63" t="s">
        <v>39</v>
      </c>
      <c r="K71" s="62" t="s">
        <v>36</v>
      </c>
      <c r="L71" s="62" t="s">
        <v>37</v>
      </c>
      <c r="M71" s="62" t="s">
        <v>38</v>
      </c>
      <c r="N71" s="63" t="s">
        <v>39</v>
      </c>
      <c r="O71" s="56"/>
      <c r="P71" s="64"/>
    </row>
    <row r="72" spans="2:57">
      <c r="B72" s="29" t="s">
        <v>6</v>
      </c>
      <c r="C72" s="65">
        <f>L67</f>
        <v>5.9207225288509839</v>
      </c>
      <c r="D72" s="76">
        <v>6.5061907840287327</v>
      </c>
      <c r="E72" s="76">
        <v>6.652002792495443</v>
      </c>
      <c r="F72" s="66">
        <v>4.8</v>
      </c>
      <c r="G72" s="65">
        <f>[34]June_2025!$T$11</f>
        <v>3.7720930270629145</v>
      </c>
      <c r="H72" s="76">
        <v>5.1174299262103995</v>
      </c>
      <c r="I72" s="76">
        <v>6.6318405178595192</v>
      </c>
      <c r="J72" s="66">
        <v>4.8</v>
      </c>
      <c r="K72" s="67">
        <f>K67</f>
        <v>0.65789473684210531</v>
      </c>
      <c r="L72" s="194">
        <v>0.55223684210526314</v>
      </c>
      <c r="M72" s="194">
        <v>0.73847447005458111</v>
      </c>
      <c r="N72" s="68">
        <v>1</v>
      </c>
      <c r="O72" s="56"/>
      <c r="P72" s="69"/>
    </row>
    <row r="73" spans="2:57">
      <c r="B73" s="33" t="s">
        <v>9</v>
      </c>
      <c r="C73" s="65">
        <f>L65</f>
        <v>8.53598014888337</v>
      </c>
      <c r="D73" s="76">
        <v>5.0027879491615899</v>
      </c>
      <c r="E73" s="76">
        <v>6.1401001711343852</v>
      </c>
      <c r="F73" s="66">
        <v>4.8</v>
      </c>
      <c r="G73" s="65">
        <f>[34]June_2025!$T$21</f>
        <v>8.3880997610885029</v>
      </c>
      <c r="H73" s="76">
        <v>5.3066484562820797</v>
      </c>
      <c r="I73" s="76">
        <v>6.0772977228147829</v>
      </c>
      <c r="J73" s="66">
        <v>4.8</v>
      </c>
      <c r="K73" s="67">
        <f>K65</f>
        <v>0.64666666666666672</v>
      </c>
      <c r="L73" s="194">
        <v>0.53274780701754387</v>
      </c>
      <c r="M73" s="194">
        <v>0.72463978084566005</v>
      </c>
      <c r="N73" s="68">
        <v>1</v>
      </c>
      <c r="P73" s="69"/>
    </row>
    <row r="74" spans="2:57">
      <c r="B74" s="34" t="s">
        <v>40</v>
      </c>
      <c r="C74" s="65"/>
      <c r="D74" s="76">
        <v>9.5325389550870572</v>
      </c>
      <c r="E74" s="76">
        <v>11.724137931034448</v>
      </c>
      <c r="F74" s="66">
        <v>5.5</v>
      </c>
      <c r="G74" s="65"/>
      <c r="H74" s="76">
        <v>8.9041107529384682</v>
      </c>
      <c r="I74" s="76">
        <v>12.945763927425185</v>
      </c>
      <c r="J74" s="66">
        <v>5.5</v>
      </c>
      <c r="K74" s="67"/>
      <c r="L74" s="194">
        <v>0.34631578947368424</v>
      </c>
      <c r="M74" s="194">
        <v>0.52867261020307088</v>
      </c>
      <c r="N74" s="68">
        <v>1</v>
      </c>
      <c r="P74" s="69"/>
    </row>
    <row r="75" spans="2:57">
      <c r="B75" s="22" t="s">
        <v>33</v>
      </c>
      <c r="C75" s="65"/>
      <c r="D75" s="76">
        <v>3.7185929648241238</v>
      </c>
      <c r="E75" s="76">
        <v>4.2675953841355607</v>
      </c>
      <c r="F75" s="66">
        <v>3.3</v>
      </c>
      <c r="G75" s="65"/>
      <c r="H75" s="76">
        <v>3.5401443549560527</v>
      </c>
      <c r="I75" s="76">
        <v>4.1118286580052033</v>
      </c>
      <c r="J75" s="66">
        <v>3.3</v>
      </c>
      <c r="K75" s="67"/>
      <c r="L75" s="194">
        <v>0.33614035087719296</v>
      </c>
      <c r="M75" s="194">
        <v>0.78836257309941515</v>
      </c>
      <c r="N75" s="68">
        <v>1</v>
      </c>
      <c r="P75" s="69"/>
    </row>
    <row r="76" spans="2:57">
      <c r="B76" s="35" t="s">
        <v>29</v>
      </c>
      <c r="C76" s="65"/>
      <c r="D76" s="76"/>
      <c r="E76" s="76"/>
      <c r="F76" s="66">
        <v>3.3</v>
      </c>
      <c r="G76" s="282"/>
      <c r="H76" s="76"/>
      <c r="I76" s="76"/>
      <c r="J76" s="66">
        <v>3</v>
      </c>
      <c r="L76" s="194"/>
      <c r="M76" s="194"/>
      <c r="N76" s="68">
        <v>1</v>
      </c>
      <c r="P76" s="69"/>
    </row>
    <row r="77" spans="2:57">
      <c r="B77" s="36" t="s">
        <v>15</v>
      </c>
      <c r="C77" s="282"/>
      <c r="D77" s="76">
        <v>5.7784145176695159</v>
      </c>
      <c r="E77" s="76">
        <v>7.3129862357869699</v>
      </c>
      <c r="F77" s="70">
        <f>[21]May_2022!$M$43</f>
        <v>3.4878406700073312</v>
      </c>
      <c r="G77" s="282"/>
      <c r="H77" s="76">
        <v>7.6606905670809748</v>
      </c>
      <c r="I77" s="76">
        <v>8.9862703283331644</v>
      </c>
      <c r="J77" s="66">
        <v>5.5</v>
      </c>
      <c r="K77" s="67"/>
      <c r="L77" s="194">
        <v>0.34614035087719303</v>
      </c>
      <c r="M77" s="194">
        <v>0.59276315789473688</v>
      </c>
      <c r="N77" s="68">
        <v>1</v>
      </c>
      <c r="P77" s="69"/>
    </row>
    <row r="78" spans="2:57">
      <c r="B78" s="37" t="s">
        <v>16</v>
      </c>
      <c r="C78" s="65"/>
      <c r="D78" s="76">
        <v>4.4761595848199667</v>
      </c>
      <c r="E78" s="76">
        <v>2.8990450204638254</v>
      </c>
      <c r="F78" s="66">
        <v>3.3</v>
      </c>
      <c r="G78" s="282"/>
      <c r="H78" s="76">
        <v>4.5799898461408048</v>
      </c>
      <c r="I78" s="76">
        <v>4.4797971833783148</v>
      </c>
      <c r="J78" s="66">
        <v>3.3</v>
      </c>
      <c r="K78" s="67"/>
      <c r="L78" s="194">
        <v>0.34444444444444444</v>
      </c>
      <c r="M78" s="194">
        <v>0.75981884057971016</v>
      </c>
      <c r="N78" s="71">
        <v>1</v>
      </c>
      <c r="P78" s="69"/>
    </row>
    <row r="79" spans="2:57" ht="14.4" thickBot="1">
      <c r="B79" s="38" t="s">
        <v>127</v>
      </c>
      <c r="C79" s="65"/>
      <c r="D79" s="76"/>
      <c r="E79" s="76"/>
      <c r="F79" s="66">
        <v>7.5</v>
      </c>
      <c r="G79" s="282"/>
      <c r="H79" s="76"/>
      <c r="I79" s="76"/>
      <c r="J79" s="66">
        <v>7.5</v>
      </c>
      <c r="K79" s="67"/>
      <c r="L79" s="194"/>
      <c r="M79" s="194"/>
      <c r="N79" s="71">
        <v>1</v>
      </c>
      <c r="P79" s="69"/>
    </row>
    <row r="80" spans="2:57" ht="14.4" thickBot="1">
      <c r="B80" s="415" t="s">
        <v>161</v>
      </c>
      <c r="C80" s="65"/>
      <c r="D80" s="76"/>
      <c r="E80" s="76">
        <v>4.8792508624938291</v>
      </c>
      <c r="F80" s="66">
        <v>4.8</v>
      </c>
      <c r="G80" s="282"/>
      <c r="H80" s="76"/>
      <c r="I80" s="76">
        <v>6.2003723782925313</v>
      </c>
      <c r="J80" s="66">
        <v>4.8</v>
      </c>
      <c r="K80" s="67"/>
      <c r="L80" s="194">
        <v>0</v>
      </c>
      <c r="M80" s="194">
        <v>0.33859649122807017</v>
      </c>
      <c r="N80" s="71">
        <v>1</v>
      </c>
      <c r="O80" s="74"/>
      <c r="P80" s="75"/>
    </row>
    <row r="81" spans="4:14">
      <c r="D81" s="76">
        <v>5.9045015228913273</v>
      </c>
      <c r="E81" s="76">
        <v>6.5683220096275123</v>
      </c>
      <c r="F81" s="341">
        <v>5.5</v>
      </c>
      <c r="H81" s="76">
        <v>5.4518813837579732</v>
      </c>
      <c r="I81" s="76">
        <v>6.8652474011965188</v>
      </c>
      <c r="J81" s="341">
        <v>5.5</v>
      </c>
      <c r="K81" s="67"/>
      <c r="L81" s="194">
        <v>0.48696094402673357</v>
      </c>
      <c r="M81" s="194">
        <v>0.69587202043132801</v>
      </c>
      <c r="N81" s="386">
        <v>1</v>
      </c>
    </row>
    <row r="85" spans="4:14">
      <c r="F85" s="315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4:N34"/>
    <mergeCell ref="D35:E35"/>
    <mergeCell ref="B36:B47"/>
    <mergeCell ref="D36:E37"/>
    <mergeCell ref="D38:E39"/>
    <mergeCell ref="D40:E41"/>
    <mergeCell ref="D42:E43"/>
    <mergeCell ref="D44:E45"/>
    <mergeCell ref="D46:E47"/>
    <mergeCell ref="J48:K48"/>
    <mergeCell ref="L49:N49"/>
    <mergeCell ref="D50:E51"/>
    <mergeCell ref="D52:E53"/>
    <mergeCell ref="D54:E55"/>
    <mergeCell ref="B48:B57"/>
    <mergeCell ref="F63:F64"/>
    <mergeCell ref="G63:G64"/>
    <mergeCell ref="H63:H64"/>
    <mergeCell ref="I63:I64"/>
    <mergeCell ref="D56:E57"/>
    <mergeCell ref="D58:E58"/>
    <mergeCell ref="B63:B64"/>
    <mergeCell ref="C63:C64"/>
    <mergeCell ref="D63:D64"/>
    <mergeCell ref="E63:E64"/>
    <mergeCell ref="D48:E49"/>
    <mergeCell ref="L63:L64"/>
    <mergeCell ref="M63:M64"/>
    <mergeCell ref="B70:F70"/>
    <mergeCell ref="G70:J70"/>
    <mergeCell ref="K70:N70"/>
    <mergeCell ref="J63:J64"/>
    <mergeCell ref="K63:K64"/>
  </mergeCells>
  <conditionalFormatting sqref="B58:B59">
    <cfRule type="cellIs" dxfId="1229" priority="128" operator="notBetween">
      <formula>#REF!</formula>
      <formula>#REF!</formula>
    </cfRule>
  </conditionalFormatting>
  <conditionalFormatting sqref="C62">
    <cfRule type="cellIs" dxfId="1228" priority="160" stopIfTrue="1" operator="greaterThan">
      <formula>100</formula>
    </cfRule>
    <cfRule type="cellIs" dxfId="1227" priority="159" stopIfTrue="1" operator="lessThan">
      <formula>96</formula>
    </cfRule>
  </conditionalFormatting>
  <conditionalFormatting sqref="C72:C73">
    <cfRule type="cellIs" dxfId="1226" priority="106" stopIfTrue="1" operator="lessThanOrEqual">
      <formula>0</formula>
    </cfRule>
  </conditionalFormatting>
  <conditionalFormatting sqref="C72:C76">
    <cfRule type="cellIs" dxfId="1225" priority="105" stopIfTrue="1" operator="greaterThan">
      <formula>$F72</formula>
    </cfRule>
  </conditionalFormatting>
  <conditionalFormatting sqref="C73">
    <cfRule type="cellIs" dxfId="1224" priority="163" stopIfTrue="1" operator="greaterThan">
      <formula>$F72</formula>
    </cfRule>
  </conditionalFormatting>
  <conditionalFormatting sqref="C74:C77">
    <cfRule type="cellIs" dxfId="1223" priority="112" stopIfTrue="1" operator="lessThanOrEqual">
      <formula>0</formula>
    </cfRule>
  </conditionalFormatting>
  <conditionalFormatting sqref="C77">
    <cfRule type="cellIs" dxfId="1222" priority="111" stopIfTrue="1" operator="greaterThan">
      <formula>$J77</formula>
    </cfRule>
  </conditionalFormatting>
  <conditionalFormatting sqref="C83:C87">
    <cfRule type="cellIs" dxfId="1221" priority="151" stopIfTrue="1" operator="lessThanOrEqual">
      <formula>0</formula>
    </cfRule>
  </conditionalFormatting>
  <conditionalFormatting sqref="C84:C87">
    <cfRule type="cellIs" dxfId="1220" priority="150" stopIfTrue="1" operator="greaterThan">
      <formula>$F$83</formula>
    </cfRule>
  </conditionalFormatting>
  <conditionalFormatting sqref="C89">
    <cfRule type="cellIs" dxfId="1219" priority="153" stopIfTrue="1" operator="lessThanOrEqual">
      <formula>0</formula>
    </cfRule>
    <cfRule type="cellIs" dxfId="1218" priority="152" stopIfTrue="1" operator="greaterThan">
      <formula>$F$83</formula>
    </cfRule>
  </conditionalFormatting>
  <conditionalFormatting sqref="C83:D83 D85:D91">
    <cfRule type="cellIs" dxfId="1217" priority="145" stopIfTrue="1" operator="greaterThan">
      <formula>4.5</formula>
    </cfRule>
  </conditionalFormatting>
  <conditionalFormatting sqref="D58:D59">
    <cfRule type="cellIs" dxfId="1216" priority="129" operator="notBetween">
      <formula>#REF!</formula>
      <formula>#REF!</formula>
    </cfRule>
  </conditionalFormatting>
  <conditionalFormatting sqref="D72:D79">
    <cfRule type="cellIs" dxfId="1215" priority="122" stopIfTrue="1" operator="lessThanOrEqual">
      <formula>0</formula>
    </cfRule>
  </conditionalFormatting>
  <conditionalFormatting sqref="D80">
    <cfRule type="cellIs" dxfId="1214" priority="121" stopIfTrue="1" operator="lessThanOrEqual">
      <formula>0</formula>
    </cfRule>
  </conditionalFormatting>
  <conditionalFormatting sqref="D83 D85:D91">
    <cfRule type="cellIs" dxfId="1213" priority="146" stopIfTrue="1" operator="lessThanOrEqual">
      <formula>0</formula>
    </cfRule>
  </conditionalFormatting>
  <conditionalFormatting sqref="D84">
    <cfRule type="cellIs" dxfId="1212" priority="137" stopIfTrue="1" operator="greaterThan">
      <formula>$F$83</formula>
    </cfRule>
    <cfRule type="cellIs" dxfId="1211" priority="138" stopIfTrue="1" operator="lessThanOrEqual">
      <formula>0</formula>
    </cfRule>
  </conditionalFormatting>
  <conditionalFormatting sqref="D72:E81">
    <cfRule type="cellIs" dxfId="1210" priority="102" stopIfTrue="1" operator="greaterThan">
      <formula>$F72</formula>
    </cfRule>
  </conditionalFormatting>
  <conditionalFormatting sqref="D81:E81">
    <cfRule type="cellIs" dxfId="1209" priority="103" stopIfTrue="1" operator="lessThanOrEqual">
      <formula>0</formula>
    </cfRule>
  </conditionalFormatting>
  <conditionalFormatting sqref="E10:E24">
    <cfRule type="cellIs" dxfId="1208" priority="16" operator="lessThan">
      <formula>48</formula>
    </cfRule>
  </conditionalFormatting>
  <conditionalFormatting sqref="E32:E33">
    <cfRule type="cellIs" dxfId="1207" priority="51" operator="lessThan">
      <formula>48</formula>
    </cfRule>
  </conditionalFormatting>
  <conditionalFormatting sqref="E61 E62:F62">
    <cfRule type="cellIs" dxfId="1206" priority="142" stopIfTrue="1" operator="greaterThan">
      <formula>100</formula>
    </cfRule>
  </conditionalFormatting>
  <conditionalFormatting sqref="E62">
    <cfRule type="cellIs" dxfId="1205" priority="139" stopIfTrue="1" operator="lessThan">
      <formula>96.8</formula>
    </cfRule>
    <cfRule type="cellIs" dxfId="1204" priority="140" stopIfTrue="1" operator="greaterThan">
      <formula>100</formula>
    </cfRule>
  </conditionalFormatting>
  <conditionalFormatting sqref="E72:E80">
    <cfRule type="cellIs" dxfId="1203" priority="116" stopIfTrue="1" operator="lessThanOrEqual">
      <formula>0</formula>
    </cfRule>
  </conditionalFormatting>
  <conditionalFormatting sqref="E83:E91">
    <cfRule type="cellIs" dxfId="1202" priority="131" stopIfTrue="1" operator="greaterThan">
      <formula>4.5</formula>
    </cfRule>
    <cfRule type="cellIs" dxfId="1201" priority="132" stopIfTrue="1" operator="lessThanOrEqual">
      <formula>0</formula>
    </cfRule>
  </conditionalFormatting>
  <conditionalFormatting sqref="E62:F62 E61">
    <cfRule type="cellIs" dxfId="1200" priority="141" stopIfTrue="1" operator="lessThan">
      <formula>96.5</formula>
    </cfRule>
  </conditionalFormatting>
  <conditionalFormatting sqref="F10:F24">
    <cfRule type="cellIs" dxfId="1199" priority="17" operator="greaterThan">
      <formula>60</formula>
    </cfRule>
  </conditionalFormatting>
  <conditionalFormatting sqref="F25:F31">
    <cfRule type="cellIs" dxfId="1198" priority="45" operator="greaterThan">
      <formula>$AA25</formula>
    </cfRule>
  </conditionalFormatting>
  <conditionalFormatting sqref="F32:F33">
    <cfRule type="cellIs" dxfId="1197" priority="52" operator="greaterThan">
      <formula>60</formula>
    </cfRule>
  </conditionalFormatting>
  <conditionalFormatting sqref="F62">
    <cfRule type="cellIs" dxfId="1196" priority="158" stopIfTrue="1" operator="greaterThan">
      <formula>100</formula>
    </cfRule>
    <cfRule type="cellIs" dxfId="1195" priority="157" stopIfTrue="1" operator="lessThan">
      <formula>96.8</formula>
    </cfRule>
  </conditionalFormatting>
  <conditionalFormatting sqref="F81">
    <cfRule type="cellIs" dxfId="1194" priority="118" stopIfTrue="1" operator="lessThanOrEqual">
      <formula>0</formula>
    </cfRule>
    <cfRule type="cellIs" dxfId="1193" priority="117" stopIfTrue="1" operator="greaterThan">
      <formula>$F81</formula>
    </cfRule>
  </conditionalFormatting>
  <conditionalFormatting sqref="G10:G12">
    <cfRule type="expression" dxfId="1192" priority="26">
      <formula>IF(+(IF(G10&lt;$S$10,0,IF(G10&gt;$T$10,0,1)))=0,1)</formula>
    </cfRule>
  </conditionalFormatting>
  <conditionalFormatting sqref="G25:G31">
    <cfRule type="expression" dxfId="1191" priority="48">
      <formula>IF(+(IF(G25&lt;T25,0,IF(G25&gt;U25,0,1)))=0,1)</formula>
    </cfRule>
  </conditionalFormatting>
  <conditionalFormatting sqref="G72:G73 C78:C80">
    <cfRule type="cellIs" dxfId="1190" priority="123" stopIfTrue="1" operator="greaterThan">
      <formula>$F72</formula>
    </cfRule>
    <cfRule type="cellIs" dxfId="1189" priority="124" stopIfTrue="1" operator="lessThanOrEqual">
      <formula>0</formula>
    </cfRule>
  </conditionalFormatting>
  <conditionalFormatting sqref="G72:G73">
    <cfRule type="cellIs" dxfId="1188" priority="108" stopIfTrue="1" operator="lessThanOrEqual">
      <formula>0</formula>
    </cfRule>
    <cfRule type="cellIs" dxfId="1187" priority="107" stopIfTrue="1" operator="greaterThan">
      <formula>$F72</formula>
    </cfRule>
  </conditionalFormatting>
  <conditionalFormatting sqref="G74">
    <cfRule type="cellIs" dxfId="1186" priority="162" stopIfTrue="1" operator="lessThanOrEqual">
      <formula>0</formula>
    </cfRule>
    <cfRule type="cellIs" dxfId="1185" priority="161" stopIfTrue="1" operator="greaterThan">
      <formula>$F73</formula>
    </cfRule>
  </conditionalFormatting>
  <conditionalFormatting sqref="G75">
    <cfRule type="cellIs" dxfId="1184" priority="119" stopIfTrue="1" operator="greaterThan">
      <formula>$F75</formula>
    </cfRule>
    <cfRule type="cellIs" dxfId="1183" priority="120" stopIfTrue="1" operator="lessThanOrEqual">
      <formula>0</formula>
    </cfRule>
  </conditionalFormatting>
  <conditionalFormatting sqref="G76:G80">
    <cfRule type="cellIs" dxfId="1182" priority="126" stopIfTrue="1" operator="lessThanOrEqual">
      <formula>0</formula>
    </cfRule>
    <cfRule type="cellIs" dxfId="1181" priority="125" stopIfTrue="1" operator="greaterThan">
      <formula>$J76</formula>
    </cfRule>
  </conditionalFormatting>
  <conditionalFormatting sqref="G85:G90 C88 C90">
    <cfRule type="cellIs" dxfId="1180" priority="154" stopIfTrue="1" operator="greaterThan">
      <formula>4.5</formula>
    </cfRule>
    <cfRule type="cellIs" dxfId="1179" priority="155" stopIfTrue="1" operator="lessThanOrEqual">
      <formula>0</formula>
    </cfRule>
  </conditionalFormatting>
  <conditionalFormatting sqref="G13:H24">
    <cfRule type="expression" dxfId="1178" priority="18">
      <formula>IF(+(IF(G13&lt;#REF!,0,IF(G13&gt;#REF!,0,1)))=0,1)</formula>
    </cfRule>
  </conditionalFormatting>
  <conditionalFormatting sqref="G32:H33">
    <cfRule type="expression" dxfId="1177" priority="53">
      <formula>IF(+(IF(G32&lt;#REF!,0,IF(G32&gt;#REF!,0,1)))=0,1)</formula>
    </cfRule>
  </conditionalFormatting>
  <conditionalFormatting sqref="G84:H84">
    <cfRule type="cellIs" dxfId="1176" priority="136" stopIfTrue="1" operator="lessThanOrEqual">
      <formula>0</formula>
    </cfRule>
    <cfRule type="cellIs" dxfId="1175" priority="135" stopIfTrue="1" operator="greaterThan">
      <formula>$F$83</formula>
    </cfRule>
  </conditionalFormatting>
  <conditionalFormatting sqref="H10:H12">
    <cfRule type="expression" dxfId="1174" priority="35">
      <formula>IF(+(IF(H10&lt;#REF!,0,IF(H10&gt;#REF!,0,1)))=0,1)</formula>
    </cfRule>
  </conditionalFormatting>
  <conditionalFormatting sqref="H25:H31">
    <cfRule type="expression" dxfId="1173" priority="49">
      <formula>IF(+(IF(H25&lt;T25,0,IF(H25&gt;U25,0,1)))=0,1)</formula>
    </cfRule>
  </conditionalFormatting>
  <conditionalFormatting sqref="H47:H61 I48:I60">
    <cfRule type="cellIs" dxfId="1172" priority="133" stopIfTrue="1" operator="greaterThan">
      <formula>0</formula>
    </cfRule>
  </conditionalFormatting>
  <conditionalFormatting sqref="H65">
    <cfRule type="cellIs" dxfId="1171" priority="61" stopIfTrue="1" operator="greaterThan">
      <formula>$F$35</formula>
    </cfRule>
    <cfRule type="cellIs" dxfId="1170" priority="69" stopIfTrue="1" operator="greaterThan">
      <formula>$F$38</formula>
    </cfRule>
    <cfRule type="cellIs" dxfId="1169" priority="70" stopIfTrue="1" operator="lessThanOrEqual">
      <formula>0</formula>
    </cfRule>
    <cfRule type="cellIs" dxfId="1168" priority="72" stopIfTrue="1" operator="lessThanOrEqual">
      <formula>0</formula>
    </cfRule>
    <cfRule type="cellIs" dxfId="1167" priority="71" stopIfTrue="1" operator="greaterThan">
      <formula>$F$36</formula>
    </cfRule>
    <cfRule type="cellIs" dxfId="1166" priority="60" stopIfTrue="1" operator="lessThanOrEqual">
      <formula>0</formula>
    </cfRule>
  </conditionalFormatting>
  <conditionalFormatting sqref="H66 H68">
    <cfRule type="cellIs" dxfId="1165" priority="77" stopIfTrue="1" operator="greaterThan">
      <formula>$F$46</formula>
    </cfRule>
    <cfRule type="cellIs" dxfId="1164" priority="86" stopIfTrue="1" operator="lessThanOrEqual">
      <formula>0</formula>
    </cfRule>
    <cfRule type="cellIs" dxfId="1163" priority="85" stopIfTrue="1" operator="greaterThan">
      <formula>$F$49</formula>
    </cfRule>
    <cfRule type="cellIs" dxfId="1162" priority="76" stopIfTrue="1" operator="lessThanOrEqual">
      <formula>0</formula>
    </cfRule>
    <cfRule type="cellIs" dxfId="1161" priority="88" stopIfTrue="1" operator="lessThanOrEqual">
      <formula>0</formula>
    </cfRule>
    <cfRule type="cellIs" dxfId="1160" priority="87" stopIfTrue="1" operator="greaterThan">
      <formula>$F$47</formula>
    </cfRule>
  </conditionalFormatting>
  <conditionalFormatting sqref="H67">
    <cfRule type="cellIs" dxfId="1159" priority="2" stopIfTrue="1" operator="lessThanOrEqual">
      <formula>0</formula>
    </cfRule>
    <cfRule type="cellIs" dxfId="1158" priority="3" stopIfTrue="1" operator="greaterThan">
      <formula>$F$35</formula>
    </cfRule>
    <cfRule type="cellIs" dxfId="1157" priority="13" stopIfTrue="1" operator="greaterThan">
      <formula>$F$36</formula>
    </cfRule>
    <cfRule type="cellIs" dxfId="1156" priority="14" stopIfTrue="1" operator="lessThanOrEqual">
      <formula>0</formula>
    </cfRule>
    <cfRule type="cellIs" dxfId="1155" priority="11" stopIfTrue="1" operator="greaterThan">
      <formula>$F$38</formula>
    </cfRule>
    <cfRule type="cellIs" dxfId="1154" priority="12" stopIfTrue="1" operator="lessThanOrEqual">
      <formula>0</formula>
    </cfRule>
  </conditionalFormatting>
  <conditionalFormatting sqref="H72:H79">
    <cfRule type="cellIs" dxfId="1153" priority="109" stopIfTrue="1" operator="greaterThan">
      <formula>$J72</formula>
    </cfRule>
    <cfRule type="cellIs" dxfId="1152" priority="110" stopIfTrue="1" operator="lessThanOrEqual">
      <formula>0</formula>
    </cfRule>
  </conditionalFormatting>
  <conditionalFormatting sqref="H80">
    <cfRule type="cellIs" dxfId="1151" priority="113" operator="greaterThan">
      <formula>5.3</formula>
    </cfRule>
  </conditionalFormatting>
  <conditionalFormatting sqref="H83 H85:H91">
    <cfRule type="cellIs" dxfId="1150" priority="148" stopIfTrue="1" operator="lessThanOrEqual">
      <formula>0</formula>
    </cfRule>
    <cfRule type="cellIs" dxfId="1149" priority="147" stopIfTrue="1" operator="greaterThan">
      <formula>4.5</formula>
    </cfRule>
  </conditionalFormatting>
  <conditionalFormatting sqref="H65:I65">
    <cfRule type="cellIs" dxfId="1148" priority="59" stopIfTrue="1" operator="greaterThan">
      <formula>$F$37</formula>
    </cfRule>
    <cfRule type="cellIs" dxfId="1147" priority="62" stopIfTrue="1" operator="lessThanOrEqual">
      <formula>0</formula>
    </cfRule>
  </conditionalFormatting>
  <conditionalFormatting sqref="H66:I66 H68:I68">
    <cfRule type="cellIs" dxfId="1146" priority="75" stopIfTrue="1" operator="greaterThan">
      <formula>$F$48</formula>
    </cfRule>
    <cfRule type="cellIs" dxfId="1145" priority="78" stopIfTrue="1" operator="lessThanOrEqual">
      <formula>0</formula>
    </cfRule>
  </conditionalFormatting>
  <conditionalFormatting sqref="H67:I67">
    <cfRule type="cellIs" dxfId="1144" priority="4" stopIfTrue="1" operator="lessThanOrEqual">
      <formula>0</formula>
    </cfRule>
    <cfRule type="cellIs" dxfId="1143" priority="1" stopIfTrue="1" operator="greaterThan">
      <formula>$F$37</formula>
    </cfRule>
  </conditionalFormatting>
  <conditionalFormatting sqref="H81:I81">
    <cfRule type="cellIs" dxfId="1142" priority="100" stopIfTrue="1" operator="greaterThan">
      <formula>$J81</formula>
    </cfRule>
    <cfRule type="cellIs" dxfId="1141" priority="101" stopIfTrue="1" operator="lessThanOrEqual">
      <formula>0</formula>
    </cfRule>
  </conditionalFormatting>
  <conditionalFormatting sqref="I65">
    <cfRule type="cellIs" dxfId="1140" priority="68" stopIfTrue="1" operator="lessThanOrEqual">
      <formula>0</formula>
    </cfRule>
    <cfRule type="cellIs" dxfId="1139" priority="67" stopIfTrue="1" operator="greaterThan">
      <formula>$F$35</formula>
    </cfRule>
    <cfRule type="cellIs" dxfId="1138" priority="66" stopIfTrue="1" operator="lessThanOrEqual">
      <formula>0</formula>
    </cfRule>
    <cfRule type="cellIs" dxfId="1137" priority="65" stopIfTrue="1" operator="greaterThan">
      <formula>$F$37</formula>
    </cfRule>
    <cfRule type="cellIs" dxfId="1136" priority="64" stopIfTrue="1" operator="lessThanOrEqual">
      <formula>0</formula>
    </cfRule>
    <cfRule type="cellIs" dxfId="1135" priority="63" stopIfTrue="1" operator="greaterThan">
      <formula>$F$35</formula>
    </cfRule>
  </conditionalFormatting>
  <conditionalFormatting sqref="I66 I68">
    <cfRule type="cellIs" dxfId="1134" priority="82" stopIfTrue="1" operator="lessThanOrEqual">
      <formula>0</formula>
    </cfRule>
    <cfRule type="cellIs" dxfId="1133" priority="83" stopIfTrue="1" operator="greaterThan">
      <formula>$F$46</formula>
    </cfRule>
    <cfRule type="cellIs" dxfId="1132" priority="80" stopIfTrue="1" operator="lessThanOrEqual">
      <formula>0</formula>
    </cfRule>
    <cfRule type="cellIs" dxfId="1131" priority="81" stopIfTrue="1" operator="greaterThan">
      <formula>$F$48</formula>
    </cfRule>
    <cfRule type="cellIs" dxfId="1130" priority="84" stopIfTrue="1" operator="lessThanOrEqual">
      <formula>0</formula>
    </cfRule>
    <cfRule type="cellIs" dxfId="1129" priority="79" stopIfTrue="1" operator="greaterThan">
      <formula>$F$46</formula>
    </cfRule>
  </conditionalFormatting>
  <conditionalFormatting sqref="I67">
    <cfRule type="cellIs" dxfId="1128" priority="5" stopIfTrue="1" operator="greaterThan">
      <formula>$F$35</formula>
    </cfRule>
    <cfRule type="cellIs" dxfId="1127" priority="6" stopIfTrue="1" operator="lessThanOrEqual">
      <formula>0</formula>
    </cfRule>
    <cfRule type="cellIs" dxfId="1126" priority="7" stopIfTrue="1" operator="greaterThan">
      <formula>$F$37</formula>
    </cfRule>
    <cfRule type="cellIs" dxfId="1125" priority="8" stopIfTrue="1" operator="lessThanOrEqual">
      <formula>0</formula>
    </cfRule>
    <cfRule type="cellIs" dxfId="1124" priority="9" stopIfTrue="1" operator="greaterThan">
      <formula>$F$35</formula>
    </cfRule>
    <cfRule type="cellIs" dxfId="1123" priority="10" stopIfTrue="1" operator="lessThanOrEqual">
      <formula>0</formula>
    </cfRule>
  </conditionalFormatting>
  <conditionalFormatting sqref="I72:I80">
    <cfRule type="cellIs" dxfId="1122" priority="114" stopIfTrue="1" operator="greaterThan">
      <formula>$J72</formula>
    </cfRule>
    <cfRule type="cellIs" dxfId="1121" priority="115" stopIfTrue="1" operator="lessThanOrEqual">
      <formula>0</formula>
    </cfRule>
  </conditionalFormatting>
  <conditionalFormatting sqref="I83:I91">
    <cfRule type="cellIs" dxfId="1120" priority="143" stopIfTrue="1" operator="greaterThan">
      <formula>4.5</formula>
    </cfRule>
    <cfRule type="cellIs" dxfId="1119" priority="144" stopIfTrue="1" operator="lessThanOrEqual">
      <formula>0</formula>
    </cfRule>
  </conditionalFormatting>
  <conditionalFormatting sqref="I10:J24">
    <cfRule type="cellIs" dxfId="1118" priority="23" operator="lessThan">
      <formula>97.9</formula>
    </cfRule>
  </conditionalFormatting>
  <conditionalFormatting sqref="I25:J31">
    <cfRule type="cellIs" dxfId="1117" priority="44" operator="notBetween">
      <formula>98</formula>
      <formula>99.9</formula>
    </cfRule>
  </conditionalFormatting>
  <conditionalFormatting sqref="I32:J33">
    <cfRule type="cellIs" dxfId="1116" priority="56" operator="lessThan">
      <formula>97.9</formula>
    </cfRule>
  </conditionalFormatting>
  <conditionalFormatting sqref="J36:J38">
    <cfRule type="cellIs" dxfId="1115" priority="91" stopIfTrue="1" operator="greaterThan">
      <formula>100</formula>
    </cfRule>
    <cfRule type="cellIs" dxfId="1114" priority="92" operator="lessThan">
      <formula>98</formula>
    </cfRule>
    <cfRule type="cellIs" dxfId="1113" priority="90" stopIfTrue="1" operator="lessThan">
      <formula>96.8</formula>
    </cfRule>
  </conditionalFormatting>
  <conditionalFormatting sqref="J36:J40">
    <cfRule type="cellIs" dxfId="1112" priority="89" operator="lessThan">
      <formula>97.4</formula>
    </cfRule>
  </conditionalFormatting>
  <conditionalFormatting sqref="J41">
    <cfRule type="cellIs" dxfId="1111" priority="93" operator="lessThan">
      <formula>98</formula>
    </cfRule>
  </conditionalFormatting>
  <conditionalFormatting sqref="J43:J44">
    <cfRule type="cellIs" dxfId="1110" priority="94" stopIfTrue="1" operator="lessThan">
      <formula>96.8</formula>
    </cfRule>
    <cfRule type="cellIs" dxfId="1109" priority="95" stopIfTrue="1" operator="greaterThan">
      <formula>100</formula>
    </cfRule>
  </conditionalFormatting>
  <conditionalFormatting sqref="J43:J45">
    <cfRule type="cellIs" dxfId="1108" priority="96" operator="lessThan">
      <formula>98</formula>
    </cfRule>
  </conditionalFormatting>
  <conditionalFormatting sqref="J81">
    <cfRule type="cellIs" dxfId="1107" priority="97" stopIfTrue="1" operator="greaterThan">
      <formula>$F81</formula>
    </cfRule>
    <cfRule type="cellIs" dxfId="1106" priority="98" stopIfTrue="1" operator="lessThanOrEqual">
      <formula>0</formula>
    </cfRule>
  </conditionalFormatting>
  <conditionalFormatting sqref="K10:K24">
    <cfRule type="cellIs" dxfId="1105" priority="22" operator="greaterThan">
      <formula>6.4</formula>
    </cfRule>
  </conditionalFormatting>
  <conditionalFormatting sqref="K10:K33">
    <cfRule type="cellIs" dxfId="1104" priority="21" operator="lessThan">
      <formula>4</formula>
    </cfRule>
    <cfRule type="cellIs" dxfId="1103" priority="20" operator="greaterThan">
      <formula>6</formula>
    </cfRule>
  </conditionalFormatting>
  <conditionalFormatting sqref="K32:K33">
    <cfRule type="cellIs" dxfId="1102" priority="55" operator="greaterThan">
      <formula>6.4</formula>
    </cfRule>
  </conditionalFormatting>
  <conditionalFormatting sqref="K65:K68">
    <cfRule type="cellIs" dxfId="1101" priority="73" stopIfTrue="1" operator="lessThan">
      <formula>100%</formula>
    </cfRule>
  </conditionalFormatting>
  <conditionalFormatting sqref="K83:K88">
    <cfRule type="cellIs" dxfId="1100" priority="149" stopIfTrue="1" operator="lessThan">
      <formula>100%</formula>
    </cfRule>
  </conditionalFormatting>
  <conditionalFormatting sqref="K90:K91">
    <cfRule type="cellIs" dxfId="1099" priority="156" stopIfTrue="1" operator="lessThan">
      <formula>100%</formula>
    </cfRule>
  </conditionalFormatting>
  <conditionalFormatting sqref="K72:N75 L76:N76">
    <cfRule type="cellIs" dxfId="1098" priority="127" stopIfTrue="1" operator="lessThan">
      <formula>100%</formula>
    </cfRule>
  </conditionalFormatting>
  <conditionalFormatting sqref="K77:N81">
    <cfRule type="cellIs" dxfId="1097" priority="99" stopIfTrue="1" operator="lessThan">
      <formula>100%</formula>
    </cfRule>
  </conditionalFormatting>
  <conditionalFormatting sqref="L10:L12">
    <cfRule type="cellIs" dxfId="1096" priority="30" operator="between">
      <formula>61</formula>
      <formula>65</formula>
    </cfRule>
    <cfRule type="cellIs" dxfId="1095" priority="31" operator="greaterThan">
      <formula>65</formula>
    </cfRule>
  </conditionalFormatting>
  <conditionalFormatting sqref="L15:L33">
    <cfRule type="cellIs" dxfId="1094" priority="24" operator="between">
      <formula>61</formula>
      <formula>65</formula>
    </cfRule>
    <cfRule type="cellIs" dxfId="1093" priority="25" operator="greaterThan">
      <formula>65</formula>
    </cfRule>
  </conditionalFormatting>
  <conditionalFormatting sqref="L13:M14">
    <cfRule type="cellIs" dxfId="1092" priority="57" operator="between">
      <formula>61</formula>
      <formula>65</formula>
    </cfRule>
    <cfRule type="cellIs" dxfId="1091" priority="58" operator="greaterThan">
      <formula>65</formula>
    </cfRule>
  </conditionalFormatting>
  <conditionalFormatting sqref="L51:N51">
    <cfRule type="cellIs" dxfId="1090" priority="74" operator="notEqual">
      <formula>#REF!</formula>
    </cfRule>
  </conditionalFormatting>
  <conditionalFormatting sqref="L83:N91">
    <cfRule type="cellIs" dxfId="1089" priority="134" stopIfTrue="1" operator="lessThan">
      <formula>100%</formula>
    </cfRule>
  </conditionalFormatting>
  <conditionalFormatting sqref="M10:M24">
    <cfRule type="expression" dxfId="1088" priority="19">
      <formula>IF(+(IF(M10&lt;U10,0,IF(M10&gt;V10,0,1)))=0,1)</formula>
    </cfRule>
  </conditionalFormatting>
  <conditionalFormatting sqref="M25:M31">
    <cfRule type="expression" dxfId="1087" priority="47">
      <formula>IF(+(IF(M25&lt;V25,0,IF(M25&gt;W25,0,1)))=0,1)</formula>
    </cfRule>
  </conditionalFormatting>
  <conditionalFormatting sqref="M32:M33">
    <cfRule type="expression" dxfId="1086" priority="54">
      <formula>IF(+(IF(M32&lt;U32,0,IF(M32&gt;V32,0,1)))=0,1)</formula>
    </cfRule>
  </conditionalFormatting>
  <conditionalFormatting sqref="M36 L37:M47">
    <cfRule type="cellIs" dxfId="1085" priority="104" operator="lessThan">
      <formula>98</formula>
    </cfRule>
  </conditionalFormatting>
  <conditionalFormatting sqref="N10:N24">
    <cfRule type="expression" dxfId="1084" priority="15">
      <formula>IF(+(IF(N10&lt;W10,0,IF(N10&gt;X10,0,1)))=0,1)</formula>
    </cfRule>
  </conditionalFormatting>
  <conditionalFormatting sqref="N25:N31">
    <cfRule type="expression" dxfId="1083" priority="46">
      <formula>IF(+(IF(N25&lt;X25,0,IF(N25&gt;Y25,0,1)))=0,1)</formula>
    </cfRule>
  </conditionalFormatting>
  <conditionalFormatting sqref="N32:N33">
    <cfRule type="expression" dxfId="1082" priority="50">
      <formula>IF(+(IF(N32&lt;W32,0,IF(N32&gt;X32,0,1)))=0,1)</formula>
    </cfRule>
  </conditionalFormatting>
  <conditionalFormatting sqref="P6">
    <cfRule type="cellIs" dxfId="1081" priority="130" operator="greaterThanOrEqual">
      <formula>19</formula>
    </cfRule>
  </conditionalFormatting>
  <dataValidations disablePrompts="1" count="1">
    <dataValidation type="list" allowBlank="1" showInputMessage="1" showErrorMessage="1" sqref="R8 B25:B31" xr:uid="{5DAA9B89-26DD-49B3-BD32-FF2ABE05F66E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5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2C82-716B-4B22-A9C4-CED0104B136C}">
  <sheetPr>
    <pageSetUpPr fitToPage="1"/>
  </sheetPr>
  <dimension ref="A1:BE85"/>
  <sheetViews>
    <sheetView topLeftCell="A23" zoomScale="70" zoomScaleNormal="70" workbookViewId="0">
      <selection activeCell="B22" sqref="B22:O22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32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73" t="s">
        <v>0</v>
      </c>
      <c r="T1" s="473"/>
      <c r="U1" s="473" t="s">
        <v>1</v>
      </c>
      <c r="V1" s="473"/>
      <c r="W1" s="473" t="s">
        <v>2</v>
      </c>
      <c r="X1" s="473"/>
      <c r="Y1" s="473" t="s">
        <v>124</v>
      </c>
      <c r="Z1" s="473"/>
    </row>
    <row r="2" spans="2:29" ht="14.4">
      <c r="B2" s="474" t="s">
        <v>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45828</v>
      </c>
      <c r="J4" s="398" t="s">
        <v>172</v>
      </c>
      <c r="K4" s="398"/>
      <c r="L4" s="11"/>
      <c r="M4" s="471" t="s">
        <v>8</v>
      </c>
      <c r="N4" s="472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68"/>
      <c r="D5" s="468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81" t="s">
        <v>17</v>
      </c>
      <c r="C8" s="483" t="s">
        <v>18</v>
      </c>
      <c r="D8" s="483" t="s">
        <v>19</v>
      </c>
      <c r="E8" s="356" t="s">
        <v>20</v>
      </c>
      <c r="F8" s="356" t="s">
        <v>21</v>
      </c>
      <c r="G8" s="483" t="s">
        <v>22</v>
      </c>
      <c r="H8" s="485" t="s">
        <v>144</v>
      </c>
      <c r="I8" s="483" t="s">
        <v>197</v>
      </c>
      <c r="J8" s="487" t="s">
        <v>23</v>
      </c>
      <c r="K8" s="489" t="s">
        <v>142</v>
      </c>
      <c r="L8" s="491" t="s">
        <v>24</v>
      </c>
      <c r="M8" s="359" t="s">
        <v>25</v>
      </c>
      <c r="N8" s="17" t="s">
        <v>26</v>
      </c>
      <c r="O8" s="543" t="s">
        <v>155</v>
      </c>
      <c r="P8" s="555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82"/>
      <c r="C9" s="484"/>
      <c r="D9" s="484"/>
      <c r="E9" s="357" t="s">
        <v>30</v>
      </c>
      <c r="F9" s="357" t="s">
        <v>31</v>
      </c>
      <c r="G9" s="484"/>
      <c r="H9" s="486"/>
      <c r="I9" s="484"/>
      <c r="J9" s="488"/>
      <c r="K9" s="490"/>
      <c r="L9" s="492"/>
      <c r="M9" s="20" t="s">
        <v>32</v>
      </c>
      <c r="N9" s="21" t="s">
        <v>41</v>
      </c>
      <c r="O9" s="556"/>
      <c r="P9" s="555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22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74"/>
      <c r="N10" s="370"/>
      <c r="O10" s="371"/>
      <c r="P10" s="420"/>
      <c r="R10" s="277">
        <f t="shared" ref="R10:R35" si="0">B10</f>
        <v>0</v>
      </c>
      <c r="S10" s="296" t="e">
        <f t="shared" ref="S10:S35" si="1">VLOOKUP($B10,$R$3:$X$9,2,FALSE)</f>
        <v>#N/A</v>
      </c>
      <c r="T10" s="296" t="e">
        <f t="shared" ref="T10:T35" si="2">VLOOKUP($B10,$R$3:$X$9,3,FALSE)</f>
        <v>#N/A</v>
      </c>
      <c r="U10" s="297" t="e">
        <f t="shared" ref="U10:U35" si="3">VLOOKUP($B10,$R$3:$X$9,4,FALSE)</f>
        <v>#N/A</v>
      </c>
      <c r="V10" s="297" t="e">
        <f t="shared" ref="V10:V35" si="4">VLOOKUP($B10,$R$3:$X$9,5,FALSE)</f>
        <v>#N/A</v>
      </c>
      <c r="W10" s="297" t="e">
        <f t="shared" ref="W10:W35" si="5">VLOOKUP($B10,$R$3:$X$9,6,FALSE)</f>
        <v>#N/A</v>
      </c>
      <c r="X10" s="297" t="e">
        <f t="shared" ref="X10:X35" si="6">VLOOKUP($B10,$R$3:$X$9,7,FALSE)</f>
        <v>#N/A</v>
      </c>
      <c r="Y10" s="297" t="e">
        <f t="shared" ref="Y10:Y35" si="7">VLOOKUP($B10,$R$3:$Z$9,8,FALSE)</f>
        <v>#N/A</v>
      </c>
      <c r="Z10" s="296" t="e">
        <f t="shared" ref="Z10:Z35" si="8">VLOOKUP($B10,$R$3:$Z$9,9,FALSE)</f>
        <v>#N/A</v>
      </c>
    </row>
    <row r="11" spans="2:29" ht="15.75" hidden="1" customHeight="1">
      <c r="B11" s="22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371"/>
      <c r="P11" s="420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22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371"/>
      <c r="P12" s="420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33"/>
      <c r="C13" s="366"/>
      <c r="D13" s="279"/>
      <c r="E13" s="279"/>
      <c r="F13" s="278"/>
      <c r="G13" s="279"/>
      <c r="H13" s="396"/>
      <c r="I13" s="429"/>
      <c r="J13" s="429"/>
      <c r="K13" s="430"/>
      <c r="L13" s="276"/>
      <c r="M13" s="374"/>
      <c r="N13" s="370"/>
      <c r="O13" s="422"/>
      <c r="P13" s="420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33"/>
      <c r="C14" s="366"/>
      <c r="D14" s="279"/>
      <c r="E14" s="279"/>
      <c r="F14" s="278"/>
      <c r="G14" s="279"/>
      <c r="H14" s="396"/>
      <c r="I14" s="429"/>
      <c r="J14" s="429"/>
      <c r="K14" s="430"/>
      <c r="L14" s="276"/>
      <c r="M14" s="374"/>
      <c r="N14" s="370"/>
      <c r="O14" s="422"/>
      <c r="P14" s="420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420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20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20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20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customHeight="1">
      <c r="B19" s="29" t="s">
        <v>6</v>
      </c>
      <c r="C19" s="366" t="str">
        <f>[24]Brewhouse!$A529</f>
        <v>CA423</v>
      </c>
      <c r="D19" s="279">
        <f>[24]Brewhouse!$AF529</f>
        <v>52.2</v>
      </c>
      <c r="E19" s="279">
        <f>[24]Brewhouse!$AI529</f>
        <v>49.5</v>
      </c>
      <c r="F19" s="278">
        <f>[24]Brewhouse!$V529</f>
        <v>62</v>
      </c>
      <c r="G19" s="279">
        <f>[24]Brewhouse!$AG529</f>
        <v>11.7</v>
      </c>
      <c r="H19" s="396">
        <v>11.7</v>
      </c>
      <c r="I19" s="368">
        <f>[24]Brewhouse!$AU529</f>
        <v>97.733634215304093</v>
      </c>
      <c r="J19" s="368">
        <f>[24]Brewhouse!$AV529</f>
        <v>99.99197533779359</v>
      </c>
      <c r="K19" s="281">
        <f>[24]Brewhouse!$Q529</f>
        <v>7.0758122743682224</v>
      </c>
      <c r="L19" s="276">
        <f>[24]Brewhouse!$P529</f>
        <v>60</v>
      </c>
      <c r="M19" s="397">
        <f>[24]Brewhouse!$U529-[24]Brewhouse!$T529</f>
        <v>0.12569444444444444</v>
      </c>
      <c r="N19" s="370">
        <f>[24]Brewhouse!$Z529</f>
        <v>0.2638888888888889</v>
      </c>
      <c r="O19" s="371" t="str">
        <f>[24]Brewhouse!$AX529</f>
        <v>D. Gomez</v>
      </c>
      <c r="P19" s="420"/>
      <c r="R19" s="277" t="str">
        <f t="shared" si="0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2:26" ht="15.75" customHeight="1">
      <c r="B20" s="29" t="s">
        <v>6</v>
      </c>
      <c r="C20" s="366" t="str">
        <f>[24]Brewhouse!$A530</f>
        <v>CA424</v>
      </c>
      <c r="D20" s="279">
        <f>[24]Brewhouse!$AF530</f>
        <v>53.5</v>
      </c>
      <c r="E20" s="279">
        <f>[24]Brewhouse!$AI530</f>
        <v>50.8</v>
      </c>
      <c r="F20" s="278">
        <f>[24]Brewhouse!$V530</f>
        <v>62</v>
      </c>
      <c r="G20" s="279">
        <f>[24]Brewhouse!$AG530</f>
        <v>11.6</v>
      </c>
      <c r="H20" s="396">
        <v>11.8</v>
      </c>
      <c r="I20" s="368">
        <f>[24]Brewhouse!$AU530</f>
        <v>99.525778970395052</v>
      </c>
      <c r="J20" s="368">
        <f>[24]Brewhouse!$AV530</f>
        <v>101.82539639592711</v>
      </c>
      <c r="K20" s="281">
        <f>[24]Brewhouse!$Q530</f>
        <v>4.2105263157894743</v>
      </c>
      <c r="L20" s="276">
        <f>[24]Brewhouse!$P530</f>
        <v>57</v>
      </c>
      <c r="M20" s="397">
        <f>[24]Brewhouse!$U530-[24]Brewhouse!$T530</f>
        <v>0.10624999999999996</v>
      </c>
      <c r="N20" s="370">
        <f>[24]Brewhouse!$Z530</f>
        <v>0.28333333333333333</v>
      </c>
      <c r="O20" s="371" t="str">
        <f>[24]Brewhouse!$AX530</f>
        <v>R. Sookram</v>
      </c>
      <c r="P20" s="420"/>
      <c r="R20" s="277"/>
      <c r="S20" s="296"/>
      <c r="T20" s="296"/>
      <c r="U20" s="297"/>
      <c r="V20" s="297"/>
      <c r="W20" s="297"/>
      <c r="X20" s="297"/>
      <c r="Y20" s="297"/>
      <c r="Z20" s="296"/>
    </row>
    <row r="21" spans="2:26" ht="15.75" customHeight="1">
      <c r="B21" s="29" t="s">
        <v>6</v>
      </c>
      <c r="C21" s="366" t="str">
        <f>[24]Brewhouse!$A531</f>
        <v>CA425</v>
      </c>
      <c r="D21" s="279">
        <f>[24]Brewhouse!$AF531</f>
        <v>53</v>
      </c>
      <c r="E21" s="279">
        <f>[24]Brewhouse!$AI531</f>
        <v>51.3</v>
      </c>
      <c r="F21" s="278">
        <f>[24]Brewhouse!$V531</f>
        <v>62</v>
      </c>
      <c r="G21" s="279">
        <f>[24]Brewhouse!$AG531</f>
        <v>11.4</v>
      </c>
      <c r="H21" s="396">
        <v>11.7</v>
      </c>
      <c r="I21" s="368">
        <f>[24]Brewhouse!$AU531</f>
        <v>98.681008627727124</v>
      </c>
      <c r="J21" s="368">
        <f>[24]Brewhouse!$AV531</f>
        <v>100.96110700381622</v>
      </c>
      <c r="K21" s="281">
        <f>[24]Brewhouse!$Q531</f>
        <v>6.809269162210339</v>
      </c>
      <c r="L21" s="276">
        <f>[24]Brewhouse!$P531</f>
        <v>60</v>
      </c>
      <c r="M21" s="397">
        <f>[24]Brewhouse!$U531-[24]Brewhouse!$T531</f>
        <v>0.11041666666666672</v>
      </c>
      <c r="N21" s="370">
        <f>[24]Brewhouse!$Z531</f>
        <v>0.26666666666666672</v>
      </c>
      <c r="O21" s="371" t="str">
        <f>[24]Brewhouse!$AX531</f>
        <v>K.Benjamin</v>
      </c>
      <c r="P21" s="420"/>
      <c r="R21" s="277"/>
      <c r="S21" s="296"/>
      <c r="T21" s="296"/>
      <c r="U21" s="297"/>
      <c r="V21" s="297"/>
      <c r="W21" s="297"/>
      <c r="X21" s="297"/>
      <c r="Y21" s="297"/>
      <c r="Z21" s="296"/>
    </row>
    <row r="22" spans="2:26" ht="15.75" customHeight="1">
      <c r="B22" s="29" t="s">
        <v>6</v>
      </c>
      <c r="C22" s="366" t="str">
        <f>[24]Brewhouse!$A532</f>
        <v>CA426</v>
      </c>
      <c r="D22" s="279">
        <f>[24]Brewhouse!$AF532</f>
        <v>53.3</v>
      </c>
      <c r="E22" s="279">
        <f>[24]Brewhouse!$AI532</f>
        <v>51.6</v>
      </c>
      <c r="F22" s="278">
        <f>[24]Brewhouse!$V532</f>
        <v>60</v>
      </c>
      <c r="G22" s="279">
        <f>[24]Brewhouse!$AG532</f>
        <v>12.1</v>
      </c>
      <c r="H22" s="367"/>
      <c r="I22" s="368">
        <f>[24]Brewhouse!$AU532</f>
        <v>102.14224681645948</v>
      </c>
      <c r="J22" s="368">
        <f>[24]Brewhouse!$AV532</f>
        <v>104.50593920955573</v>
      </c>
      <c r="K22" s="281">
        <f>[24]Brewhouse!$Q532</f>
        <v>6.6074600355239763</v>
      </c>
      <c r="L22" s="276">
        <f>[24]Brewhouse!$P532</f>
        <v>60</v>
      </c>
      <c r="M22" s="397">
        <f>[24]Brewhouse!$U532-[24]Brewhouse!$T532</f>
        <v>0.10694444444444451</v>
      </c>
      <c r="N22" s="370">
        <f>[24]Brewhouse!$Z532</f>
        <v>0.27638888888888891</v>
      </c>
      <c r="O22" s="371" t="str">
        <f>[24]Brewhouse!$AX532</f>
        <v>K.Benjamin</v>
      </c>
      <c r="P22" s="420"/>
      <c r="R22" s="277"/>
      <c r="S22" s="296"/>
      <c r="T22" s="296"/>
      <c r="U22" s="297"/>
      <c r="V22" s="297"/>
      <c r="W22" s="297"/>
      <c r="X22" s="297"/>
      <c r="Y22" s="297"/>
      <c r="Z22" s="296"/>
    </row>
    <row r="23" spans="2:26" ht="15.7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20"/>
      <c r="R23" s="277"/>
      <c r="S23" s="296"/>
      <c r="T23" s="296"/>
      <c r="U23" s="297"/>
      <c r="V23" s="297"/>
      <c r="W23" s="297"/>
      <c r="X23" s="297"/>
      <c r="Y23" s="297"/>
      <c r="Z23" s="296"/>
    </row>
    <row r="24" spans="2:26" ht="15.7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20"/>
      <c r="R24" s="277"/>
      <c r="S24" s="296"/>
      <c r="T24" s="296"/>
      <c r="U24" s="297"/>
      <c r="V24" s="297"/>
      <c r="W24" s="297"/>
      <c r="X24" s="297"/>
      <c r="Y24" s="297"/>
      <c r="Z24" s="296"/>
    </row>
    <row r="25" spans="2:26" ht="15.75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20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20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20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20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20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20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20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20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20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.75" customHeight="1" thickBot="1">
      <c r="B34" s="358"/>
      <c r="C34" s="358"/>
      <c r="D34" s="358"/>
      <c r="E34" s="358"/>
      <c r="F34" s="294"/>
      <c r="G34" s="294"/>
      <c r="H34" s="348"/>
      <c r="I34" s="497" t="s">
        <v>34</v>
      </c>
      <c r="J34" s="497"/>
      <c r="K34" s="497"/>
      <c r="L34" s="497"/>
      <c r="M34" s="497"/>
      <c r="N34" s="497"/>
      <c r="O34" s="1"/>
      <c r="P34" s="12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7" ht="15" thickBot="1">
      <c r="B35" s="388" t="s">
        <v>180</v>
      </c>
      <c r="C35" s="388"/>
      <c r="D35" s="475" t="s">
        <v>35</v>
      </c>
      <c r="E35" s="476"/>
      <c r="F35" s="294"/>
      <c r="G35" s="294"/>
      <c r="H35" s="348"/>
      <c r="I35" s="24" t="s">
        <v>17</v>
      </c>
      <c r="J35" s="25" t="s">
        <v>36</v>
      </c>
      <c r="K35" s="26" t="s">
        <v>138</v>
      </c>
      <c r="L35" s="25" t="s">
        <v>37</v>
      </c>
      <c r="M35" s="25" t="s">
        <v>38</v>
      </c>
      <c r="N35" s="27" t="s">
        <v>39</v>
      </c>
      <c r="O35" s="294"/>
      <c r="P35" s="12"/>
      <c r="R35" s="277" t="str">
        <f t="shared" si="0"/>
        <v xml:space="preserve">BRAND 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7" ht="15" customHeight="1">
      <c r="A36" s="28"/>
      <c r="B36" s="552" t="str">
        <f>I39</f>
        <v>VITAMALT</v>
      </c>
      <c r="C36" s="362">
        <f>[23]Process!D48</f>
        <v>14.2</v>
      </c>
      <c r="D36" s="501">
        <v>16.2</v>
      </c>
      <c r="E36" s="502"/>
      <c r="F36" s="294"/>
      <c r="G36" s="294"/>
      <c r="H36" s="348"/>
      <c r="I36" s="29" t="s">
        <v>6</v>
      </c>
      <c r="J36" s="280">
        <f>AVERAGE(I19:I22)</f>
        <v>99.520667157471436</v>
      </c>
      <c r="K36" s="284">
        <f>COUNTA([24]Brewhouse!$A$493:$A$532)</f>
        <v>40</v>
      </c>
      <c r="L36" s="302">
        <f>AVERAGE([24]Brewhouse!$AU$493:$AU$532)</f>
        <v>97.961097763935996</v>
      </c>
      <c r="M36" s="302">
        <f>AVERAGE([24]Brewhouse!$AU$102:$AU$171,[24]Brewhouse!$AU$173:$AU$253,[24]Brewhouse!$AU$255:$AU$339,[24]Brewhouse!$AU$341:$AU$346,[24]Brewhouse!$AU$348,[24]Brewhouse!$AU$349:$AU$406,[24]Brewhouse!$AU$408:$AU$491,[24]Brewhouse!$AU$493:$AU$532)</f>
        <v>97.688858847855471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</row>
    <row r="37" spans="1:27" ht="15" customHeight="1">
      <c r="A37" s="28"/>
      <c r="B37" s="553"/>
      <c r="C37" s="349">
        <f>[23]Process!D49</f>
        <v>14.4</v>
      </c>
      <c r="D37" s="503"/>
      <c r="E37" s="504"/>
      <c r="F37" s="294"/>
      <c r="G37" s="294"/>
      <c r="H37" s="348"/>
      <c r="I37" s="33" t="s">
        <v>9</v>
      </c>
      <c r="J37" s="280"/>
      <c r="K37" s="284">
        <f>COUNTA([25]Brewhouse!$A$242:$A$261)</f>
        <v>20</v>
      </c>
      <c r="L37" s="302">
        <f>AVERAGE([25]Brewhouse!$AS$242:$AS$261)</f>
        <v>97.625065795762325</v>
      </c>
      <c r="M37" s="302">
        <f>AVERAGE([25]Brewhouse!$AS$15:$AS$64,[25]Brewhouse!$AS$66:$AS$103,[25]Brewhouse!$AS$105:$AS$140,[25]Brewhouse!$AS$142:$AS$193,[25]Brewhouse!$AS$195:$AS$240,[25]Brewhouse!$AS$242:$AS$261)</f>
        <v>97.854851527783097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</row>
    <row r="38" spans="1:27" ht="14.7" customHeight="1">
      <c r="A38" s="28"/>
      <c r="B38" s="553"/>
      <c r="C38" s="349">
        <f>[23]Process!D50</f>
        <v>14.2</v>
      </c>
      <c r="D38" s="501">
        <v>16.73</v>
      </c>
      <c r="E38" s="502"/>
      <c r="F38" s="294"/>
      <c r="G38" s="294"/>
      <c r="H38" s="348"/>
      <c r="I38" s="34" t="s">
        <v>12</v>
      </c>
      <c r="J38" s="280"/>
      <c r="K38" s="284"/>
      <c r="L38" s="302"/>
      <c r="M38" s="302">
        <f>AVERAGE([26]Brewhouse!$AU$4:$AU$7,[26]Brewhouse!$AU$9:$AU$22,[26]Brewhouse!$AU$24:$AU$35,[26]Brewhouse!$AU$37:$AU$45,[26]Brewhouse!$AU$47:$AU$62)</f>
        <v>97.179377138297156</v>
      </c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</row>
    <row r="39" spans="1:27" ht="14.7" customHeight="1">
      <c r="A39" s="28"/>
      <c r="B39" s="553"/>
      <c r="C39" s="349">
        <f>[23]Process!D51</f>
        <v>14.3</v>
      </c>
      <c r="D39" s="503"/>
      <c r="E39" s="504"/>
      <c r="F39" s="294"/>
      <c r="G39" s="294"/>
      <c r="H39" s="348"/>
      <c r="I39" s="22" t="s">
        <v>33</v>
      </c>
      <c r="J39" s="280"/>
      <c r="K39" s="284">
        <f>COUNTA([23]Brewhouse!$A$48:$A$53)</f>
        <v>6</v>
      </c>
      <c r="L39" s="302">
        <f>AVERAGE([23]Brewhouse!$AV$48:$AV$53)</f>
        <v>96.180288887301501</v>
      </c>
      <c r="M39" s="302">
        <f>AVERAGE([23]Brewhouse!$AV$5:$AV$14,[23]Brewhouse!$AV$16:$AV$19,[23]Brewhouse!$AV$21:$AV$24,[23]Brewhouse!$AV$26:$AV$33,[23]Brewhouse!$AV$35:$AV$46,[23]Brewhouse!$AV$48:$AV$53)</f>
        <v>98.620083722669861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</row>
    <row r="40" spans="1:27" ht="14.7" customHeight="1">
      <c r="A40" s="28"/>
      <c r="B40" s="553"/>
      <c r="C40" s="349">
        <f>[23]Process!D52</f>
        <v>14.2</v>
      </c>
      <c r="D40" s="501">
        <v>16.350000000000001</v>
      </c>
      <c r="E40" s="502"/>
      <c r="F40" s="419"/>
      <c r="G40" s="294"/>
      <c r="H40" s="348"/>
      <c r="I40" s="35" t="s">
        <v>29</v>
      </c>
      <c r="J40" s="280"/>
      <c r="K40" s="284"/>
      <c r="L40" s="302"/>
      <c r="M40" s="302"/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</row>
    <row r="41" spans="1:27" ht="14.7" customHeight="1">
      <c r="A41" s="28"/>
      <c r="B41" s="553"/>
      <c r="C41" s="349">
        <f>[23]Process!D53</f>
        <v>14.3</v>
      </c>
      <c r="D41" s="503"/>
      <c r="E41" s="504"/>
      <c r="F41" s="419"/>
      <c r="G41" s="294"/>
      <c r="H41" s="348"/>
      <c r="I41" s="36" t="s">
        <v>15</v>
      </c>
      <c r="J41" s="323"/>
      <c r="K41" s="284">
        <f>COUNTA([27]Brewhouse!$A$18:$A$21)</f>
        <v>4</v>
      </c>
      <c r="L41" s="302">
        <f>AVERAGE([27]Brewhouse!$AT$18:$AT$21)</f>
        <v>95.061602643439088</v>
      </c>
      <c r="M41" s="302">
        <f>AVERAGE([27]Brewhouse!$AT$4:$AT$11,[27]Brewhouse!$AT$13:$AT$16,[27]Brewhouse!$AT$18:$AT$21)</f>
        <v>94.773169817643847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4.7" customHeight="1">
      <c r="A42" s="28"/>
      <c r="B42" s="553"/>
      <c r="C42" s="349"/>
      <c r="D42" s="501"/>
      <c r="E42" s="502"/>
      <c r="F42" s="419"/>
      <c r="G42" s="294"/>
      <c r="H42" s="348"/>
      <c r="I42" s="37" t="s">
        <v>16</v>
      </c>
      <c r="J42" s="323"/>
      <c r="K42" s="284">
        <f>COUNTA([22]Brewhouse!$A$45:$A$50)</f>
        <v>6</v>
      </c>
      <c r="L42" s="302">
        <f>AVERAGE([22]Brewhouse!$AY$45:$AY$50)</f>
        <v>96.288901438431267</v>
      </c>
      <c r="M42" s="302">
        <f>AVERAGE([22]Brewhouse!$AY$6:$AY$13,[22]Brewhouse!$AY$15:$AY$20,[22]Brewhouse!$AY$22:$AY$29,[22]Brewhouse!$AY$31:$AY$34,[22]Brewhouse!$AY$36:$AY$43,[22]Brewhouse!$AY$45:$AY$50)</f>
        <v>96.612624784592427</v>
      </c>
      <c r="N42" s="30">
        <v>98</v>
      </c>
      <c r="O42" s="11"/>
      <c r="P42" s="31" t="s">
        <v>41</v>
      </c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4.7" customHeight="1">
      <c r="A43" s="28"/>
      <c r="B43" s="553"/>
      <c r="C43" s="349"/>
      <c r="D43" s="503"/>
      <c r="E43" s="504"/>
      <c r="F43" s="294"/>
      <c r="G43" s="294"/>
      <c r="H43" s="348"/>
      <c r="I43" s="411" t="s">
        <v>158</v>
      </c>
      <c r="J43" s="326"/>
      <c r="K43" s="284">
        <f>COUNTA([28]Brewhouse!$A$10:$A$13)</f>
        <v>4</v>
      </c>
      <c r="L43" s="305">
        <f>AVERAGE([28]Brewhouse!$AU$10:$AU$13)</f>
        <v>97.488444912767932</v>
      </c>
      <c r="M43" s="305">
        <f>AVERAGE([28]Brewhouse!$AU$5:$AU$8,[28]Brewhouse!$AU$10:$AU$13)</f>
        <v>94.247666625193744</v>
      </c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4.7" customHeight="1">
      <c r="A44" s="28"/>
      <c r="B44" s="553"/>
      <c r="C44" s="349"/>
      <c r="D44" s="501"/>
      <c r="E44" s="502"/>
      <c r="F44" s="294"/>
      <c r="G44" s="294"/>
      <c r="H44" s="348"/>
      <c r="I44" s="410" t="s">
        <v>157</v>
      </c>
      <c r="J44" s="326"/>
      <c r="K44" s="284"/>
      <c r="L44" s="305"/>
      <c r="M44" s="305"/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5" customHeight="1" thickBot="1">
      <c r="A45" s="28"/>
      <c r="B45" s="553"/>
      <c r="C45" s="349"/>
      <c r="D45" s="503"/>
      <c r="E45" s="504"/>
      <c r="F45" s="294"/>
      <c r="G45" s="294"/>
      <c r="H45" s="348"/>
      <c r="I45" s="406" t="s">
        <v>156</v>
      </c>
      <c r="J45" s="327"/>
      <c r="K45" s="407"/>
      <c r="L45" s="408"/>
      <c r="M45" s="408"/>
      <c r="N45" s="409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5" customHeight="1" thickBot="1">
      <c r="A46" s="28"/>
      <c r="B46" s="553"/>
      <c r="C46" s="349"/>
      <c r="D46" s="501"/>
      <c r="E46" s="502"/>
      <c r="F46" s="294"/>
      <c r="G46" s="294"/>
      <c r="H46" s="348"/>
      <c r="I46" s="1"/>
      <c r="J46" s="39"/>
      <c r="K46" s="404">
        <f>SUM(K36:K45)</f>
        <v>80</v>
      </c>
      <c r="L46" s="405">
        <f>((L36*K36)+(L37*K37)+(L38*K38)+(L39*K39)+(L40*K40)+(K43*L43)+(L41*K41)+(L42*K42)+(L45*K45))/(K46)</f>
        <v>97.449506983148879</v>
      </c>
      <c r="M46" s="405">
        <f>AVERAGE('[29]Jan 31st'!$L$65,'[30]Feb 28th'!$L$35,'[31]Mar. 31st'!$L$35,'[32]Apr. 30th'!$L$45,'[33]May 30th'!$L$37,L46)</f>
        <v>97.604793403419663</v>
      </c>
      <c r="N46" s="4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  <c r="AA46" s="296"/>
    </row>
    <row r="47" spans="1:27" ht="15" thickBot="1">
      <c r="B47" s="554"/>
      <c r="C47" s="350"/>
      <c r="D47" s="503"/>
      <c r="E47" s="504"/>
      <c r="F47" s="294"/>
      <c r="G47" s="42"/>
      <c r="H47" s="41"/>
      <c r="I47" s="42"/>
      <c r="J47" s="42"/>
      <c r="K47" s="351"/>
      <c r="L47" s="348"/>
      <c r="M47" s="348"/>
      <c r="N47" s="11"/>
      <c r="O47" s="294"/>
      <c r="P47" s="12"/>
      <c r="R47" s="277"/>
      <c r="S47" s="296"/>
      <c r="T47" s="296"/>
      <c r="U47" s="297"/>
      <c r="V47" s="297"/>
      <c r="W47" s="297"/>
      <c r="X47" s="297"/>
      <c r="Y47" s="297"/>
      <c r="Z47" s="296"/>
      <c r="AA47" s="296"/>
    </row>
    <row r="48" spans="1:27" ht="15" thickBot="1">
      <c r="B48" s="564"/>
      <c r="C48" s="362"/>
      <c r="D48" s="514"/>
      <c r="E48" s="515"/>
      <c r="F48" s="294"/>
      <c r="G48" s="42"/>
      <c r="H48" s="41"/>
      <c r="I48" s="41"/>
      <c r="J48" s="551" t="s">
        <v>129</v>
      </c>
      <c r="K48" s="551"/>
      <c r="L48" s="294"/>
      <c r="M48" s="294"/>
      <c r="N48" s="294"/>
      <c r="O48" s="294"/>
      <c r="P48" s="12"/>
    </row>
    <row r="49" spans="2:56" ht="13.5" customHeight="1" thickBot="1">
      <c r="B49" s="565"/>
      <c r="C49" s="349"/>
      <c r="D49" s="516"/>
      <c r="E49" s="504"/>
      <c r="F49" s="294"/>
      <c r="G49" s="42"/>
      <c r="H49" s="41"/>
      <c r="I49" s="41"/>
      <c r="J49" s="292" t="s">
        <v>17</v>
      </c>
      <c r="K49" s="293" t="s">
        <v>191</v>
      </c>
      <c r="L49" s="518" t="s">
        <v>136</v>
      </c>
      <c r="M49" s="518"/>
      <c r="N49" s="519"/>
      <c r="O49" s="294"/>
      <c r="P49" s="12"/>
    </row>
    <row r="50" spans="2:56" ht="15" customHeight="1" thickBot="1">
      <c r="B50" s="565"/>
      <c r="C50" s="349"/>
      <c r="D50" s="545"/>
      <c r="E50" s="546"/>
      <c r="F50" s="294"/>
      <c r="G50" s="42"/>
      <c r="H50" s="41"/>
      <c r="I50" s="41"/>
      <c r="J50" s="287" t="s">
        <v>6</v>
      </c>
      <c r="K50" s="324">
        <v>4</v>
      </c>
      <c r="L50" s="343" t="s">
        <v>37</v>
      </c>
      <c r="M50" s="307" t="s">
        <v>38</v>
      </c>
      <c r="N50" s="307" t="s">
        <v>84</v>
      </c>
      <c r="O50" s="294"/>
      <c r="P50" s="12"/>
    </row>
    <row r="51" spans="2:56" ht="15.75" customHeight="1" thickBot="1">
      <c r="B51" s="565"/>
      <c r="C51" s="349"/>
      <c r="D51" s="516"/>
      <c r="E51" s="504"/>
      <c r="F51" s="294"/>
      <c r="G51" s="42"/>
      <c r="H51" s="41"/>
      <c r="I51" s="41"/>
      <c r="J51" s="345" t="s">
        <v>9</v>
      </c>
      <c r="K51" s="324"/>
      <c r="L51" s="344">
        <f>AVERAGE('June 2nd'!K57,'June 3rd'!K63,'June 4th'!K63,'June 5th '!K63,'June 6th'!K63,'June 10th'!K63,'June 11th'!K63,'June 12th '!K63,'June 13th'!I65,'June 13th'!K65,'June 16th'!K60,'June 18th'!K60,'June 17th '!K60)</f>
        <v>6.4615384615384617</v>
      </c>
      <c r="M51" s="325">
        <f>AVERAGE('[29]Jan 29th '!$M$70,'[30]Feb 28th'!$L$40,'[31]Mar. 31st'!$L$40,'[32]Apr. 30th'!$L$50,'[33]May 30th'!$L$42,L51)</f>
        <v>6.6113632744067523</v>
      </c>
      <c r="N51" s="418">
        <v>9.1999999999999993</v>
      </c>
      <c r="O51" s="294"/>
      <c r="P51" s="12"/>
    </row>
    <row r="52" spans="2:56" ht="15" customHeight="1">
      <c r="B52" s="565"/>
      <c r="C52" s="349"/>
      <c r="D52" s="545"/>
      <c r="E52" s="546"/>
      <c r="F52" s="294"/>
      <c r="G52" s="42"/>
      <c r="H52" s="41"/>
      <c r="I52" s="41"/>
      <c r="J52" s="288" t="s">
        <v>40</v>
      </c>
      <c r="K52" s="324"/>
      <c r="L52" s="294"/>
      <c r="M52" s="294"/>
      <c r="N52" s="294"/>
      <c r="O52" s="294"/>
      <c r="P52" s="12"/>
    </row>
    <row r="53" spans="2:56" ht="15" customHeight="1">
      <c r="B53" s="565"/>
      <c r="C53" s="349"/>
      <c r="D53" s="516"/>
      <c r="E53" s="504"/>
      <c r="F53" s="294"/>
      <c r="G53" s="42"/>
      <c r="H53" s="41"/>
      <c r="I53" s="41"/>
      <c r="J53" s="289" t="s">
        <v>33</v>
      </c>
      <c r="K53" s="324"/>
      <c r="L53" s="294"/>
      <c r="M53" s="294"/>
      <c r="N53" s="294"/>
      <c r="O53" s="294"/>
      <c r="P53" s="12"/>
    </row>
    <row r="54" spans="2:56" ht="14.4">
      <c r="B54" s="565"/>
      <c r="C54" s="349"/>
      <c r="D54" s="545"/>
      <c r="E54" s="546"/>
      <c r="F54" s="294"/>
      <c r="G54" s="42"/>
      <c r="H54" s="41"/>
      <c r="I54" s="41"/>
      <c r="J54" s="290" t="s">
        <v>16</v>
      </c>
      <c r="K54" s="324"/>
      <c r="L54" s="294"/>
      <c r="M54" s="294"/>
      <c r="N54" s="294"/>
      <c r="O54" s="294"/>
      <c r="P54" s="12"/>
      <c r="BC54" s="44"/>
      <c r="BD54" s="44"/>
    </row>
    <row r="55" spans="2:56" ht="14.4">
      <c r="B55" s="565"/>
      <c r="C55" s="349"/>
      <c r="D55" s="516"/>
      <c r="E55" s="504"/>
      <c r="F55" s="294"/>
      <c r="G55" s="42"/>
      <c r="H55" s="41"/>
      <c r="I55" s="41"/>
      <c r="J55" s="291" t="s">
        <v>15</v>
      </c>
      <c r="K55" s="324"/>
      <c r="L55" s="294"/>
      <c r="M55" s="294"/>
      <c r="N55" s="294"/>
      <c r="O55" s="294"/>
      <c r="P55" s="12"/>
      <c r="BC55" s="44"/>
      <c r="BD55" s="44"/>
    </row>
    <row r="56" spans="2:56" ht="14.4">
      <c r="B56" s="565"/>
      <c r="C56" s="349"/>
      <c r="D56" s="545"/>
      <c r="E56" s="546"/>
      <c r="F56" s="294"/>
      <c r="G56" s="42"/>
      <c r="H56" s="41"/>
      <c r="I56" s="41"/>
      <c r="J56" s="291" t="s">
        <v>149</v>
      </c>
      <c r="K56" s="324"/>
      <c r="L56" s="294"/>
      <c r="M56" s="294"/>
      <c r="N56" s="294"/>
      <c r="O56" s="294"/>
      <c r="P56" s="12"/>
      <c r="BC56" s="44"/>
      <c r="BD56" s="44"/>
    </row>
    <row r="57" spans="2:56" ht="15" thickBot="1">
      <c r="B57" s="566"/>
      <c r="C57" s="350"/>
      <c r="D57" s="547"/>
      <c r="E57" s="548"/>
      <c r="F57" s="294"/>
      <c r="G57" s="42"/>
      <c r="H57" s="41"/>
      <c r="I57" s="41"/>
      <c r="J57" s="291" t="s">
        <v>148</v>
      </c>
      <c r="K57" s="324"/>
      <c r="L57" s="294"/>
      <c r="M57" s="294"/>
      <c r="N57" s="294"/>
      <c r="O57" s="294"/>
      <c r="P57" s="12"/>
      <c r="BC57" s="44"/>
      <c r="BD57" s="44"/>
    </row>
    <row r="58" spans="2:56" ht="17.7" customHeight="1" thickBot="1">
      <c r="B58" s="312" t="s">
        <v>139</v>
      </c>
      <c r="C58" s="313"/>
      <c r="D58" s="562">
        <f>AVERAGE(D36:E57)</f>
        <v>16.426666666666666</v>
      </c>
      <c r="E58" s="563"/>
      <c r="F58" s="294"/>
      <c r="G58" s="42"/>
      <c r="H58" s="41"/>
      <c r="I58" s="41"/>
      <c r="J58" s="295" t="s">
        <v>134</v>
      </c>
      <c r="K58" s="324"/>
      <c r="L58" s="294"/>
      <c r="M58" s="294"/>
      <c r="N58" s="294"/>
      <c r="O58" s="294"/>
      <c r="P58" s="12"/>
      <c r="BC58" s="44"/>
      <c r="BD58" s="44"/>
    </row>
    <row r="59" spans="2:56" ht="17.7" customHeight="1">
      <c r="B59" s="363"/>
      <c r="C59" s="364"/>
      <c r="D59" s="365"/>
      <c r="E59" s="365"/>
      <c r="F59" s="294"/>
      <c r="G59" s="42"/>
      <c r="H59" s="41"/>
      <c r="I59" s="41"/>
      <c r="J59" s="295" t="s">
        <v>131</v>
      </c>
      <c r="K59" s="324"/>
      <c r="L59" s="294"/>
      <c r="M59" s="294"/>
      <c r="N59" s="294"/>
      <c r="O59" s="294"/>
      <c r="P59" s="12"/>
      <c r="BC59" s="44"/>
      <c r="BD59" s="44"/>
    </row>
    <row r="60" spans="2:56" ht="15.75" customHeight="1">
      <c r="B60" s="45"/>
      <c r="C60" s="11"/>
      <c r="D60" s="11"/>
      <c r="E60" s="46"/>
      <c r="F60" s="294"/>
      <c r="G60" s="42"/>
      <c r="H60" s="41"/>
      <c r="I60" s="41"/>
      <c r="J60" s="346" t="s">
        <v>130</v>
      </c>
      <c r="K60" s="324">
        <f>SUM(K50:K59)</f>
        <v>4</v>
      </c>
      <c r="L60" s="294"/>
      <c r="M60" s="294"/>
      <c r="N60" s="294"/>
      <c r="O60" s="294"/>
      <c r="P60" s="12"/>
    </row>
    <row r="61" spans="2:56" ht="20.25" customHeight="1">
      <c r="B61" s="15" t="s">
        <v>42</v>
      </c>
      <c r="C61" s="1" t="s">
        <v>43</v>
      </c>
      <c r="D61" s="1"/>
      <c r="E61" s="1"/>
      <c r="F61" s="294"/>
      <c r="G61" s="42"/>
      <c r="H61" s="41"/>
      <c r="I61" s="42"/>
      <c r="L61" s="294"/>
      <c r="P61" s="334"/>
    </row>
    <row r="62" spans="2:56" ht="15" customHeight="1" thickBot="1"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8"/>
      <c r="O62" s="48"/>
      <c r="P62" s="49"/>
    </row>
    <row r="63" spans="2:56" ht="15" customHeight="1" thickBot="1">
      <c r="B63" s="526" t="s">
        <v>17</v>
      </c>
      <c r="C63" s="526" t="s">
        <v>44</v>
      </c>
      <c r="D63" s="528" t="s">
        <v>45</v>
      </c>
      <c r="E63" s="483" t="s">
        <v>46</v>
      </c>
      <c r="F63" s="543" t="s">
        <v>47</v>
      </c>
      <c r="G63" s="537" t="s">
        <v>48</v>
      </c>
      <c r="H63" s="526" t="s">
        <v>49</v>
      </c>
      <c r="I63" s="526" t="s">
        <v>50</v>
      </c>
      <c r="J63" s="531" t="s">
        <v>28</v>
      </c>
      <c r="K63" s="481" t="s">
        <v>51</v>
      </c>
      <c r="L63" s="493" t="s">
        <v>52</v>
      </c>
      <c r="M63" s="531" t="s">
        <v>53</v>
      </c>
      <c r="N63" s="13"/>
      <c r="O63" s="13"/>
      <c r="P63" s="50"/>
    </row>
    <row r="64" spans="2:56" ht="28.5" customHeight="1" thickTop="1" thickBot="1">
      <c r="B64" s="527"/>
      <c r="C64" s="527"/>
      <c r="D64" s="529"/>
      <c r="E64" s="530"/>
      <c r="F64" s="544"/>
      <c r="G64" s="538"/>
      <c r="H64" s="527"/>
      <c r="I64" s="527"/>
      <c r="J64" s="532"/>
      <c r="K64" s="541"/>
      <c r="L64" s="542"/>
      <c r="M64" s="532"/>
      <c r="N64" s="13"/>
      <c r="O64" s="13"/>
      <c r="P64" s="50"/>
      <c r="Q64" s="355"/>
      <c r="AB64" s="51">
        <v>43474</v>
      </c>
      <c r="AC64" s="51">
        <v>43475</v>
      </c>
      <c r="AD64" s="51">
        <v>43476</v>
      </c>
      <c r="AE64" s="51">
        <v>43477</v>
      </c>
      <c r="AF64" s="51">
        <v>43478</v>
      </c>
      <c r="AG64" s="51">
        <v>43479</v>
      </c>
      <c r="AH64" s="51">
        <v>43480</v>
      </c>
      <c r="AI64" s="51">
        <v>43481</v>
      </c>
      <c r="AJ64" s="51">
        <v>43482</v>
      </c>
      <c r="AK64" s="51">
        <v>43483</v>
      </c>
      <c r="AL64" s="51">
        <v>43484</v>
      </c>
      <c r="AM64" s="51">
        <v>43485</v>
      </c>
      <c r="AN64" s="51">
        <v>43486</v>
      </c>
      <c r="AO64" s="51">
        <v>43487</v>
      </c>
      <c r="AP64" s="51">
        <v>43488</v>
      </c>
      <c r="AQ64" s="51">
        <v>43489</v>
      </c>
      <c r="AR64" s="51">
        <v>43490</v>
      </c>
      <c r="AS64" s="51">
        <v>43491</v>
      </c>
      <c r="AT64" s="51">
        <v>43492</v>
      </c>
      <c r="AU64" s="51">
        <v>43493</v>
      </c>
      <c r="AV64" s="51">
        <v>43494</v>
      </c>
      <c r="AW64" s="51">
        <v>43495</v>
      </c>
      <c r="AX64" s="51">
        <v>43496</v>
      </c>
    </row>
    <row r="65" spans="2:57" s="54" customFormat="1" ht="51" customHeight="1">
      <c r="B65" s="424" t="str">
        <f>B75</f>
        <v>VITAMALT</v>
      </c>
      <c r="C65" s="432">
        <v>45826</v>
      </c>
      <c r="D65" s="377">
        <f>[34]June_2025!$U$65</f>
        <v>284.70000000000005</v>
      </c>
      <c r="E65" s="378">
        <f>[35]VITAMALT!$J$19+[35]VITAMALT!$J$21+[35]VITAMALT!$J$23</f>
        <v>12.299999999999999</v>
      </c>
      <c r="F65" s="379"/>
      <c r="G65" s="303">
        <f>[34]June_2025!$U$70</f>
        <v>258.7</v>
      </c>
      <c r="H65" s="320"/>
      <c r="I65" s="322"/>
      <c r="J65" s="392" t="s">
        <v>200</v>
      </c>
      <c r="K65" s="286">
        <f>[36]June_2025!$U$60</f>
        <v>0.11346491228070175</v>
      </c>
      <c r="L65" s="314">
        <f>(((D65+E65)-G65)/(D65+E65))*100</f>
        <v>12.895622895622916</v>
      </c>
      <c r="M65" s="417" t="s">
        <v>199</v>
      </c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416"/>
      <c r="AC65" s="416"/>
      <c r="AD65" s="416"/>
      <c r="AE65" s="416"/>
      <c r="AF65" s="416"/>
      <c r="AG65" s="416"/>
      <c r="AH65" s="416"/>
      <c r="AI65" s="416"/>
      <c r="AJ65" s="416"/>
      <c r="AK65" s="416"/>
      <c r="AL65" s="416"/>
      <c r="AM65" s="416"/>
      <c r="AN65" s="416"/>
      <c r="AO65" s="416"/>
      <c r="AP65" s="416"/>
      <c r="AQ65" s="416"/>
      <c r="AR65" s="416"/>
      <c r="AS65" s="416"/>
      <c r="AT65" s="416"/>
      <c r="AU65" s="416"/>
      <c r="AV65" s="416"/>
      <c r="AW65" s="416"/>
    </row>
    <row r="66" spans="2:57" s="54" customFormat="1" ht="23.25" customHeight="1">
      <c r="B66" s="22"/>
      <c r="C66" s="283"/>
      <c r="D66" s="377"/>
      <c r="E66" s="378"/>
      <c r="F66" s="379"/>
      <c r="G66" s="303"/>
      <c r="H66" s="320"/>
      <c r="I66" s="322"/>
      <c r="J66" s="281"/>
      <c r="K66" s="286"/>
      <c r="L66" s="314"/>
      <c r="M66" s="417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416"/>
      <c r="AC66" s="416"/>
      <c r="AD66" s="416"/>
      <c r="AE66" s="416"/>
      <c r="AF66" s="416"/>
      <c r="AG66" s="416"/>
      <c r="AH66" s="416"/>
      <c r="AI66" s="416"/>
      <c r="AJ66" s="416"/>
      <c r="AK66" s="416"/>
      <c r="AL66" s="416"/>
      <c r="AM66" s="416"/>
      <c r="AN66" s="416"/>
      <c r="AO66" s="416"/>
      <c r="AP66" s="416"/>
      <c r="AQ66" s="416"/>
      <c r="AR66" s="416"/>
      <c r="AS66" s="416"/>
      <c r="AT66" s="416"/>
      <c r="AU66" s="416"/>
      <c r="AV66" s="416"/>
      <c r="AW66" s="416"/>
    </row>
    <row r="67" spans="2:57" s="54" customFormat="1" ht="53.25" hidden="1" customHeight="1">
      <c r="B67" s="387"/>
      <c r="C67" s="432">
        <v>45826</v>
      </c>
      <c r="D67" s="377"/>
      <c r="E67" s="378"/>
      <c r="F67" s="379"/>
      <c r="G67" s="303"/>
      <c r="H67" s="320"/>
      <c r="I67" s="322"/>
      <c r="J67" s="392" t="s">
        <v>182</v>
      </c>
      <c r="K67" s="286"/>
      <c r="L67" s="314" t="e">
        <f>(((D67+E67)-G67)/(D67+E67))*100</f>
        <v>#DIV/0!</v>
      </c>
      <c r="M67" s="417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>
        <f>[20]January_2019!L7</f>
        <v>0</v>
      </c>
      <c r="AC67" s="57">
        <f>[20]January_2019!M7</f>
        <v>0</v>
      </c>
      <c r="AD67" s="57">
        <f>[20]January_2019!N7</f>
        <v>0</v>
      </c>
      <c r="AE67" s="57">
        <f>[20]January_2019!O7</f>
        <v>0</v>
      </c>
      <c r="AF67" s="57">
        <f>[20]January_2019!P7</f>
        <v>0</v>
      </c>
      <c r="AG67" s="57">
        <f>[20]January_2019!Q7</f>
        <v>0</v>
      </c>
      <c r="AH67" s="57">
        <f>[20]January_2019!R7</f>
        <v>0</v>
      </c>
      <c r="AI67" s="57">
        <f>[20]January_2019!S7</f>
        <v>0</v>
      </c>
      <c r="AJ67" s="57">
        <f>[20]January_2019!T7</f>
        <v>0</v>
      </c>
      <c r="AK67" s="57">
        <f>[20]January_2019!U7</f>
        <v>0</v>
      </c>
      <c r="AL67" s="57">
        <f>[20]January_2019!V7</f>
        <v>0</v>
      </c>
      <c r="AM67" s="57">
        <f>[20]January_2019!W7</f>
        <v>0</v>
      </c>
      <c r="AN67" s="57">
        <f>[20]January_2019!X7</f>
        <v>0</v>
      </c>
      <c r="AO67" s="57">
        <f>[20]January_2019!Y7</f>
        <v>0</v>
      </c>
      <c r="AP67" s="57">
        <f>[20]January_2019!Z7</f>
        <v>0</v>
      </c>
      <c r="AQ67" s="57">
        <f>[20]January_2019!AA7</f>
        <v>0</v>
      </c>
      <c r="AR67" s="57">
        <f>[20]January_2019!AB7</f>
        <v>0</v>
      </c>
      <c r="AS67" s="57">
        <f>[20]January_2019!AC7</f>
        <v>0</v>
      </c>
      <c r="AT67" s="57">
        <f>[20]January_2019!AD7</f>
        <v>0</v>
      </c>
      <c r="AU67" s="57">
        <f>[20]January_2019!AE7</f>
        <v>0</v>
      </c>
      <c r="AV67" s="57">
        <f>[20]January_2019!AF7</f>
        <v>0</v>
      </c>
      <c r="AW67" s="57">
        <f>[20]January_2019!AG7</f>
        <v>0</v>
      </c>
      <c r="AX67" s="277">
        <f>[20]January_2019!AH7</f>
        <v>0</v>
      </c>
      <c r="AY67" s="277"/>
      <c r="AZ67" s="277"/>
      <c r="BA67" s="277"/>
      <c r="BB67" s="277"/>
      <c r="BC67" s="277"/>
      <c r="BD67" s="277"/>
      <c r="BE67" s="277"/>
    </row>
    <row r="68" spans="2:57" s="54" customFormat="1" ht="16.5" customHeight="1">
      <c r="B68" s="423"/>
      <c r="C68" s="283"/>
      <c r="D68" s="377"/>
      <c r="E68" s="378"/>
      <c r="F68" s="379"/>
      <c r="G68" s="303"/>
      <c r="H68" s="320"/>
      <c r="I68" s="322"/>
      <c r="J68" s="281"/>
      <c r="K68" s="286"/>
      <c r="L68" s="314"/>
      <c r="M68" s="417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6"/>
      <c r="AC68" s="416"/>
      <c r="AD68" s="416"/>
      <c r="AE68" s="416"/>
      <c r="AF68" s="416"/>
      <c r="AG68" s="416"/>
      <c r="AH68" s="416"/>
      <c r="AI68" s="416"/>
      <c r="AJ68" s="416"/>
      <c r="AK68" s="416"/>
      <c r="AL68" s="416"/>
      <c r="AM68" s="416"/>
      <c r="AN68" s="416"/>
      <c r="AO68" s="416"/>
      <c r="AP68" s="416"/>
      <c r="AQ68" s="416"/>
      <c r="AR68" s="416"/>
      <c r="AS68" s="416"/>
      <c r="AT68" s="416"/>
      <c r="AU68" s="416"/>
      <c r="AV68" s="416"/>
      <c r="AW68" s="416"/>
    </row>
    <row r="69" spans="2:57" ht="18" customHeight="1" thickBot="1">
      <c r="B69" s="59"/>
      <c r="C69" s="30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 t="s">
        <v>41</v>
      </c>
      <c r="O69" s="56"/>
      <c r="P69" s="60"/>
    </row>
    <row r="70" spans="2:57" ht="14.4" thickBot="1">
      <c r="B70" s="533" t="s">
        <v>55</v>
      </c>
      <c r="C70" s="534"/>
      <c r="D70" s="534"/>
      <c r="E70" s="534"/>
      <c r="F70" s="535"/>
      <c r="G70" s="533" t="s">
        <v>56</v>
      </c>
      <c r="H70" s="534"/>
      <c r="I70" s="534"/>
      <c r="J70" s="535"/>
      <c r="K70" s="533" t="s">
        <v>51</v>
      </c>
      <c r="L70" s="534"/>
      <c r="M70" s="534"/>
      <c r="N70" s="536"/>
      <c r="O70" s="56"/>
      <c r="P70" s="50"/>
    </row>
    <row r="71" spans="2:57">
      <c r="B71" s="61" t="s">
        <v>17</v>
      </c>
      <c r="C71" s="62" t="s">
        <v>36</v>
      </c>
      <c r="D71" s="62" t="s">
        <v>37</v>
      </c>
      <c r="E71" s="62" t="s">
        <v>38</v>
      </c>
      <c r="F71" s="63" t="s">
        <v>39</v>
      </c>
      <c r="G71" s="62" t="s">
        <v>36</v>
      </c>
      <c r="H71" s="62" t="s">
        <v>37</v>
      </c>
      <c r="I71" s="62" t="s">
        <v>38</v>
      </c>
      <c r="J71" s="63" t="s">
        <v>39</v>
      </c>
      <c r="K71" s="62" t="s">
        <v>36</v>
      </c>
      <c r="L71" s="62" t="s">
        <v>37</v>
      </c>
      <c r="M71" s="62" t="s">
        <v>38</v>
      </c>
      <c r="N71" s="63" t="s">
        <v>39</v>
      </c>
      <c r="O71" s="56"/>
      <c r="P71" s="64"/>
    </row>
    <row r="72" spans="2:57">
      <c r="B72" s="29" t="s">
        <v>6</v>
      </c>
      <c r="C72" s="65"/>
      <c r="D72" s="76">
        <v>6.5061907840287327</v>
      </c>
      <c r="E72" s="76">
        <v>6.652002792495443</v>
      </c>
      <c r="F72" s="66">
        <v>4.8</v>
      </c>
      <c r="G72" s="65"/>
      <c r="H72" s="76">
        <v>5.1174299262103995</v>
      </c>
      <c r="I72" s="76">
        <v>6.6318405178595192</v>
      </c>
      <c r="J72" s="66">
        <v>4.8</v>
      </c>
      <c r="K72" s="67"/>
      <c r="L72" s="194">
        <v>0.55223684210526314</v>
      </c>
      <c r="M72" s="194">
        <v>0.73847447005458111</v>
      </c>
      <c r="N72" s="68">
        <v>1</v>
      </c>
      <c r="O72" s="56"/>
      <c r="P72" s="69"/>
    </row>
    <row r="73" spans="2:57">
      <c r="B73" s="33" t="s">
        <v>9</v>
      </c>
      <c r="C73" s="65"/>
      <c r="D73" s="76">
        <v>5.0027879491615899</v>
      </c>
      <c r="E73" s="76">
        <v>6.1401001711343852</v>
      </c>
      <c r="F73" s="66">
        <v>4.8</v>
      </c>
      <c r="G73" s="65"/>
      <c r="H73" s="76">
        <v>5.3066484562820797</v>
      </c>
      <c r="I73" s="76">
        <v>6.0772977228147829</v>
      </c>
      <c r="J73" s="66">
        <v>4.8</v>
      </c>
      <c r="K73" s="67"/>
      <c r="L73" s="194">
        <v>0.53274780701754387</v>
      </c>
      <c r="M73" s="194">
        <v>0.72463978084566005</v>
      </c>
      <c r="N73" s="68">
        <v>1</v>
      </c>
      <c r="P73" s="69"/>
    </row>
    <row r="74" spans="2:57">
      <c r="B74" s="34" t="s">
        <v>40</v>
      </c>
      <c r="C74" s="65"/>
      <c r="D74" s="76">
        <v>9.5325389550870572</v>
      </c>
      <c r="E74" s="76">
        <v>11.724137931034448</v>
      </c>
      <c r="F74" s="66">
        <v>5.5</v>
      </c>
      <c r="G74" s="65"/>
      <c r="H74" s="76">
        <v>8.9041107529384682</v>
      </c>
      <c r="I74" s="76">
        <v>12.945763927425185</v>
      </c>
      <c r="J74" s="66">
        <v>5.5</v>
      </c>
      <c r="K74" s="67"/>
      <c r="L74" s="194">
        <v>0.34631578947368424</v>
      </c>
      <c r="M74" s="194">
        <v>0.52867261020307088</v>
      </c>
      <c r="N74" s="68">
        <v>1</v>
      </c>
      <c r="P74" s="69"/>
    </row>
    <row r="75" spans="2:57">
      <c r="B75" s="22" t="s">
        <v>33</v>
      </c>
      <c r="C75" s="65">
        <f>L65</f>
        <v>12.895622895622916</v>
      </c>
      <c r="D75" s="76">
        <v>10.592686002522056</v>
      </c>
      <c r="E75" s="76">
        <v>5.4214697406339898</v>
      </c>
      <c r="F75" s="66">
        <v>3.3</v>
      </c>
      <c r="G75" s="65">
        <f>[34]June_2025!$U$74</f>
        <v>12.762336838255447</v>
      </c>
      <c r="H75" s="76">
        <v>10.440711622307923</v>
      </c>
      <c r="I75" s="76">
        <v>5.263029001952213</v>
      </c>
      <c r="J75" s="66">
        <v>3.3</v>
      </c>
      <c r="K75" s="67">
        <f>K65</f>
        <v>0.11346491228070175</v>
      </c>
      <c r="L75" s="194">
        <v>0.22480263157894734</v>
      </c>
      <c r="M75" s="194">
        <v>0.6919486215538847</v>
      </c>
      <c r="N75" s="68">
        <v>1</v>
      </c>
      <c r="P75" s="69"/>
    </row>
    <row r="76" spans="2:57">
      <c r="B76" s="35" t="s">
        <v>29</v>
      </c>
      <c r="C76" s="65"/>
      <c r="D76" s="76"/>
      <c r="E76" s="76"/>
      <c r="F76" s="66">
        <v>3.3</v>
      </c>
      <c r="G76" s="282"/>
      <c r="H76" s="76"/>
      <c r="I76" s="76"/>
      <c r="J76" s="66">
        <v>3</v>
      </c>
      <c r="L76" s="194"/>
      <c r="M76" s="194"/>
      <c r="N76" s="68">
        <v>1</v>
      </c>
      <c r="P76" s="69"/>
    </row>
    <row r="77" spans="2:57">
      <c r="B77" s="36" t="s">
        <v>15</v>
      </c>
      <c r="C77" s="282"/>
      <c r="D77" s="76">
        <v>5.7784145176695159</v>
      </c>
      <c r="E77" s="76">
        <v>7.3129862357869699</v>
      </c>
      <c r="F77" s="70">
        <f>[21]May_2022!$M$43</f>
        <v>3.4878406700073312</v>
      </c>
      <c r="G77" s="282"/>
      <c r="H77" s="76">
        <v>7.6606905670809748</v>
      </c>
      <c r="I77" s="76">
        <v>8.9862703283331644</v>
      </c>
      <c r="J77" s="66">
        <v>5.5</v>
      </c>
      <c r="K77" s="67"/>
      <c r="L77" s="194">
        <v>0.34614035087719303</v>
      </c>
      <c r="M77" s="194">
        <v>0.59276315789473688</v>
      </c>
      <c r="N77" s="68">
        <v>1</v>
      </c>
      <c r="P77" s="69"/>
    </row>
    <row r="78" spans="2:57">
      <c r="B78" s="37" t="s">
        <v>16</v>
      </c>
      <c r="C78" s="65"/>
      <c r="D78" s="76">
        <v>4.4761595848199667</v>
      </c>
      <c r="E78" s="76">
        <v>2.8990450204638254</v>
      </c>
      <c r="F78" s="66">
        <v>3.3</v>
      </c>
      <c r="G78" s="282"/>
      <c r="H78" s="76">
        <v>4.5799898461408048</v>
      </c>
      <c r="I78" s="76">
        <v>4.4797971833783148</v>
      </c>
      <c r="J78" s="66">
        <v>3.3</v>
      </c>
      <c r="K78" s="67"/>
      <c r="L78" s="194">
        <v>0.34444444444444444</v>
      </c>
      <c r="M78" s="194">
        <v>0.75981884057971016</v>
      </c>
      <c r="N78" s="71">
        <v>1</v>
      </c>
      <c r="P78" s="69"/>
    </row>
    <row r="79" spans="2:57" ht="14.4" thickBot="1">
      <c r="B79" s="38" t="s">
        <v>127</v>
      </c>
      <c r="C79" s="65"/>
      <c r="D79" s="76"/>
      <c r="E79" s="76"/>
      <c r="F79" s="66">
        <v>7.5</v>
      </c>
      <c r="G79" s="282"/>
      <c r="H79" s="76"/>
      <c r="I79" s="76"/>
      <c r="J79" s="66">
        <v>7.5</v>
      </c>
      <c r="K79" s="67"/>
      <c r="L79" s="194"/>
      <c r="M79" s="194"/>
      <c r="N79" s="71">
        <v>1</v>
      </c>
      <c r="P79" s="69"/>
    </row>
    <row r="80" spans="2:57" ht="14.4" thickBot="1">
      <c r="B80" s="415" t="s">
        <v>161</v>
      </c>
      <c r="C80" s="65"/>
      <c r="D80" s="76"/>
      <c r="E80" s="76">
        <v>4.8792508624938291</v>
      </c>
      <c r="F80" s="66">
        <v>4.8</v>
      </c>
      <c r="G80" s="282"/>
      <c r="H80" s="76"/>
      <c r="I80" s="76">
        <v>6.2003723782925313</v>
      </c>
      <c r="J80" s="66">
        <v>4.8</v>
      </c>
      <c r="K80" s="67"/>
      <c r="L80" s="194"/>
      <c r="M80" s="194">
        <v>0.33859649122807017</v>
      </c>
      <c r="N80" s="71">
        <v>1</v>
      </c>
      <c r="O80" s="74"/>
      <c r="P80" s="75"/>
    </row>
    <row r="81" spans="4:14">
      <c r="D81" s="76">
        <v>6.2962208337106436</v>
      </c>
      <c r="E81" s="76">
        <v>6.6141062764268845</v>
      </c>
      <c r="F81" s="341">
        <v>5.5</v>
      </c>
      <c r="H81" s="76">
        <v>5.9927122145679235</v>
      </c>
      <c r="I81" s="76">
        <v>6.9206752544299883</v>
      </c>
      <c r="J81" s="341">
        <v>5.5</v>
      </c>
      <c r="L81" s="194">
        <v>0.46206120857699812</v>
      </c>
      <c r="M81" s="194">
        <v>0.68965880591428042</v>
      </c>
      <c r="N81" s="386">
        <v>1</v>
      </c>
    </row>
    <row r="85" spans="4:14">
      <c r="F85" s="315"/>
    </row>
  </sheetData>
  <mergeCells count="51">
    <mergeCell ref="M63:M64"/>
    <mergeCell ref="B70:F70"/>
    <mergeCell ref="G70:J70"/>
    <mergeCell ref="K70:N70"/>
    <mergeCell ref="G63:G64"/>
    <mergeCell ref="H63:H64"/>
    <mergeCell ref="I63:I64"/>
    <mergeCell ref="J63:J64"/>
    <mergeCell ref="K63:K64"/>
    <mergeCell ref="L63:L64"/>
    <mergeCell ref="F63:F64"/>
    <mergeCell ref="D58:E58"/>
    <mergeCell ref="B63:B64"/>
    <mergeCell ref="C63:C64"/>
    <mergeCell ref="D63:D64"/>
    <mergeCell ref="E63:E64"/>
    <mergeCell ref="B48:B57"/>
    <mergeCell ref="D48:E49"/>
    <mergeCell ref="J48:K48"/>
    <mergeCell ref="L49:N49"/>
    <mergeCell ref="D50:E51"/>
    <mergeCell ref="D52:E53"/>
    <mergeCell ref="D54:E55"/>
    <mergeCell ref="D56:E57"/>
    <mergeCell ref="I34:N34"/>
    <mergeCell ref="D35:E35"/>
    <mergeCell ref="B36:B47"/>
    <mergeCell ref="D36:E37"/>
    <mergeCell ref="D38:E39"/>
    <mergeCell ref="D40:E41"/>
    <mergeCell ref="D42:E43"/>
    <mergeCell ref="D44:E45"/>
    <mergeCell ref="D46:E4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8:B59">
    <cfRule type="cellIs" dxfId="1080" priority="114" operator="notBetween">
      <formula>#REF!</formula>
      <formula>#REF!</formula>
    </cfRule>
  </conditionalFormatting>
  <conditionalFormatting sqref="C62">
    <cfRule type="cellIs" dxfId="1079" priority="145" stopIfTrue="1" operator="lessThan">
      <formula>96</formula>
    </cfRule>
    <cfRule type="cellIs" dxfId="1078" priority="146" stopIfTrue="1" operator="greaterThan">
      <formula>100</formula>
    </cfRule>
  </conditionalFormatting>
  <conditionalFormatting sqref="C72:C73">
    <cfRule type="cellIs" dxfId="1077" priority="92" stopIfTrue="1" operator="lessThanOrEqual">
      <formula>0</formula>
    </cfRule>
  </conditionalFormatting>
  <conditionalFormatting sqref="C72:C76">
    <cfRule type="cellIs" dxfId="1076" priority="91" stopIfTrue="1" operator="greaterThan">
      <formula>$F72</formula>
    </cfRule>
  </conditionalFormatting>
  <conditionalFormatting sqref="C73">
    <cfRule type="cellIs" dxfId="1075" priority="149" stopIfTrue="1" operator="greaterThan">
      <formula>$F72</formula>
    </cfRule>
  </conditionalFormatting>
  <conditionalFormatting sqref="C74:C77">
    <cfRule type="cellIs" dxfId="1074" priority="98" stopIfTrue="1" operator="lessThanOrEqual">
      <formula>0</formula>
    </cfRule>
  </conditionalFormatting>
  <conditionalFormatting sqref="C77">
    <cfRule type="cellIs" dxfId="1073" priority="97" stopIfTrue="1" operator="greaterThan">
      <formula>$J77</formula>
    </cfRule>
  </conditionalFormatting>
  <conditionalFormatting sqref="C83:C87">
    <cfRule type="cellIs" dxfId="1072" priority="137" stopIfTrue="1" operator="lessThanOrEqual">
      <formula>0</formula>
    </cfRule>
  </conditionalFormatting>
  <conditionalFormatting sqref="C84:C87">
    <cfRule type="cellIs" dxfId="1071" priority="136" stopIfTrue="1" operator="greaterThan">
      <formula>$F$83</formula>
    </cfRule>
  </conditionalFormatting>
  <conditionalFormatting sqref="C89">
    <cfRule type="cellIs" dxfId="1070" priority="139" stopIfTrue="1" operator="lessThanOrEqual">
      <formula>0</formula>
    </cfRule>
    <cfRule type="cellIs" dxfId="1069" priority="138" stopIfTrue="1" operator="greaterThan">
      <formula>$F$83</formula>
    </cfRule>
  </conditionalFormatting>
  <conditionalFormatting sqref="C83:D83 D85:D91">
    <cfRule type="cellIs" dxfId="1068" priority="131" stopIfTrue="1" operator="greaterThan">
      <formula>4.5</formula>
    </cfRule>
  </conditionalFormatting>
  <conditionalFormatting sqref="D58:D59">
    <cfRule type="cellIs" dxfId="1067" priority="115" operator="notBetween">
      <formula>#REF!</formula>
      <formula>#REF!</formula>
    </cfRule>
  </conditionalFormatting>
  <conditionalFormatting sqref="D72:D79">
    <cfRule type="cellIs" dxfId="1066" priority="108" stopIfTrue="1" operator="lessThanOrEqual">
      <formula>0</formula>
    </cfRule>
  </conditionalFormatting>
  <conditionalFormatting sqref="D80">
    <cfRule type="cellIs" dxfId="1065" priority="107" stopIfTrue="1" operator="lessThanOrEqual">
      <formula>0</formula>
    </cfRule>
  </conditionalFormatting>
  <conditionalFormatting sqref="D83 D85:D91">
    <cfRule type="cellIs" dxfId="1064" priority="132" stopIfTrue="1" operator="lessThanOrEqual">
      <formula>0</formula>
    </cfRule>
  </conditionalFormatting>
  <conditionalFormatting sqref="D84">
    <cfRule type="cellIs" dxfId="1063" priority="123" stopIfTrue="1" operator="greaterThan">
      <formula>$F$83</formula>
    </cfRule>
    <cfRule type="cellIs" dxfId="1062" priority="124" stopIfTrue="1" operator="lessThanOrEqual">
      <formula>0</formula>
    </cfRule>
  </conditionalFormatting>
  <conditionalFormatting sqref="D72:E81">
    <cfRule type="cellIs" dxfId="1061" priority="88" stopIfTrue="1" operator="greaterThan">
      <formula>$F72</formula>
    </cfRule>
  </conditionalFormatting>
  <conditionalFormatting sqref="D81:E81">
    <cfRule type="cellIs" dxfId="1060" priority="89" stopIfTrue="1" operator="lessThanOrEqual">
      <formula>0</formula>
    </cfRule>
  </conditionalFormatting>
  <conditionalFormatting sqref="E10:E33">
    <cfRule type="cellIs" dxfId="1059" priority="16" operator="lessThan">
      <formula>48</formula>
    </cfRule>
  </conditionalFormatting>
  <conditionalFormatting sqref="E61 E62:F62">
    <cfRule type="cellIs" dxfId="1058" priority="128" stopIfTrue="1" operator="greaterThan">
      <formula>100</formula>
    </cfRule>
  </conditionalFormatting>
  <conditionalFormatting sqref="E62">
    <cfRule type="cellIs" dxfId="1057" priority="125" stopIfTrue="1" operator="lessThan">
      <formula>96.8</formula>
    </cfRule>
    <cfRule type="cellIs" dxfId="1056" priority="126" stopIfTrue="1" operator="greaterThan">
      <formula>100</formula>
    </cfRule>
  </conditionalFormatting>
  <conditionalFormatting sqref="E72:E80">
    <cfRule type="cellIs" dxfId="1055" priority="102" stopIfTrue="1" operator="lessThanOrEqual">
      <formula>0</formula>
    </cfRule>
  </conditionalFormatting>
  <conditionalFormatting sqref="E83:E91">
    <cfRule type="cellIs" dxfId="1054" priority="118" stopIfTrue="1" operator="lessThanOrEqual">
      <formula>0</formula>
    </cfRule>
    <cfRule type="cellIs" dxfId="1053" priority="117" stopIfTrue="1" operator="greaterThan">
      <formula>4.5</formula>
    </cfRule>
  </conditionalFormatting>
  <conditionalFormatting sqref="E62:F62 E61">
    <cfRule type="cellIs" dxfId="1052" priority="127" stopIfTrue="1" operator="lessThan">
      <formula>96.5</formula>
    </cfRule>
  </conditionalFormatting>
  <conditionalFormatting sqref="F10:F33">
    <cfRule type="cellIs" dxfId="1051" priority="17" operator="greaterThan">
      <formula>60</formula>
    </cfRule>
  </conditionalFormatting>
  <conditionalFormatting sqref="F62">
    <cfRule type="cellIs" dxfId="1050" priority="143" stopIfTrue="1" operator="lessThan">
      <formula>96.8</formula>
    </cfRule>
    <cfRule type="cellIs" dxfId="1049" priority="144" stopIfTrue="1" operator="greaterThan">
      <formula>100</formula>
    </cfRule>
  </conditionalFormatting>
  <conditionalFormatting sqref="F81">
    <cfRule type="cellIs" dxfId="1048" priority="103" stopIfTrue="1" operator="greaterThan">
      <formula>$F81</formula>
    </cfRule>
    <cfRule type="cellIs" dxfId="1047" priority="104" stopIfTrue="1" operator="lessThanOrEqual">
      <formula>0</formula>
    </cfRule>
  </conditionalFormatting>
  <conditionalFormatting sqref="G10:G12">
    <cfRule type="expression" dxfId="1046" priority="26">
      <formula>IF(+(IF(G10&lt;$S$10,0,IF(G10&gt;$T$10,0,1)))=0,1)</formula>
    </cfRule>
  </conditionalFormatting>
  <conditionalFormatting sqref="G72:G73 C78:C80">
    <cfRule type="cellIs" dxfId="1045" priority="110" stopIfTrue="1" operator="lessThanOrEqual">
      <formula>0</formula>
    </cfRule>
    <cfRule type="cellIs" dxfId="1044" priority="109" stopIfTrue="1" operator="greaterThan">
      <formula>$F72</formula>
    </cfRule>
  </conditionalFormatting>
  <conditionalFormatting sqref="G72:G73">
    <cfRule type="cellIs" dxfId="1043" priority="94" stopIfTrue="1" operator="lessThanOrEqual">
      <formula>0</formula>
    </cfRule>
    <cfRule type="cellIs" dxfId="1042" priority="93" stopIfTrue="1" operator="greaterThan">
      <formula>$F72</formula>
    </cfRule>
  </conditionalFormatting>
  <conditionalFormatting sqref="G74">
    <cfRule type="cellIs" dxfId="1041" priority="147" stopIfTrue="1" operator="greaterThan">
      <formula>$F73</formula>
    </cfRule>
    <cfRule type="cellIs" dxfId="1040" priority="148" stopIfTrue="1" operator="lessThanOrEqual">
      <formula>0</formula>
    </cfRule>
  </conditionalFormatting>
  <conditionalFormatting sqref="G75">
    <cfRule type="cellIs" dxfId="1039" priority="106" stopIfTrue="1" operator="lessThanOrEqual">
      <formula>0</formula>
    </cfRule>
    <cfRule type="cellIs" dxfId="1038" priority="105" stopIfTrue="1" operator="greaterThan">
      <formula>$F75</formula>
    </cfRule>
  </conditionalFormatting>
  <conditionalFormatting sqref="G76:G80">
    <cfRule type="cellIs" dxfId="1037" priority="111" stopIfTrue="1" operator="greaterThan">
      <formula>$J76</formula>
    </cfRule>
    <cfRule type="cellIs" dxfId="1036" priority="112" stopIfTrue="1" operator="lessThanOrEqual">
      <formula>0</formula>
    </cfRule>
  </conditionalFormatting>
  <conditionalFormatting sqref="G85:G90 C88 C90">
    <cfRule type="cellIs" dxfId="1035" priority="140" stopIfTrue="1" operator="greaterThan">
      <formula>4.5</formula>
    </cfRule>
    <cfRule type="cellIs" dxfId="1034" priority="141" stopIfTrue="1" operator="lessThanOrEqual">
      <formula>0</formula>
    </cfRule>
  </conditionalFormatting>
  <conditionalFormatting sqref="G13:H33">
    <cfRule type="expression" dxfId="1033" priority="18">
      <formula>IF(+(IF(G13&lt;#REF!,0,IF(G13&gt;#REF!,0,1)))=0,1)</formula>
    </cfRule>
  </conditionalFormatting>
  <conditionalFormatting sqref="G84:H84">
    <cfRule type="cellIs" dxfId="1032" priority="121" stopIfTrue="1" operator="greaterThan">
      <formula>$F$83</formula>
    </cfRule>
    <cfRule type="cellIs" dxfId="1031" priority="122" stopIfTrue="1" operator="lessThanOrEqual">
      <formula>0</formula>
    </cfRule>
  </conditionalFormatting>
  <conditionalFormatting sqref="H10:H12">
    <cfRule type="expression" dxfId="1030" priority="29">
      <formula>IF(+(IF(H10&lt;#REF!,0,IF(H10&gt;#REF!,0,1)))=0,1)</formula>
    </cfRule>
  </conditionalFormatting>
  <conditionalFormatting sqref="H47:H61 I48:I60">
    <cfRule type="cellIs" dxfId="1029" priority="119" stopIfTrue="1" operator="greaterThan">
      <formula>0</formula>
    </cfRule>
  </conditionalFormatting>
  <conditionalFormatting sqref="H65">
    <cfRule type="cellIs" dxfId="1028" priority="47" stopIfTrue="1" operator="greaterThan">
      <formula>$F$35</formula>
    </cfRule>
    <cfRule type="cellIs" dxfId="1027" priority="46" stopIfTrue="1" operator="lessThanOrEqual">
      <formula>0</formula>
    </cfRule>
    <cfRule type="cellIs" dxfId="1026" priority="55" stopIfTrue="1" operator="greaterThan">
      <formula>$F$38</formula>
    </cfRule>
    <cfRule type="cellIs" dxfId="1025" priority="56" stopIfTrue="1" operator="lessThanOrEqual">
      <formula>0</formula>
    </cfRule>
    <cfRule type="cellIs" dxfId="1024" priority="57" stopIfTrue="1" operator="greaterThan">
      <formula>$F$36</formula>
    </cfRule>
    <cfRule type="cellIs" dxfId="1023" priority="58" stopIfTrue="1" operator="lessThanOrEqual">
      <formula>0</formula>
    </cfRule>
  </conditionalFormatting>
  <conditionalFormatting sqref="H66 H68">
    <cfRule type="cellIs" dxfId="1022" priority="62" stopIfTrue="1" operator="lessThanOrEqual">
      <formula>0</formula>
    </cfRule>
    <cfRule type="cellIs" dxfId="1021" priority="63" stopIfTrue="1" operator="greaterThan">
      <formula>$F$46</formula>
    </cfRule>
    <cfRule type="cellIs" dxfId="1020" priority="71" stopIfTrue="1" operator="greaterThan">
      <formula>$F$49</formula>
    </cfRule>
    <cfRule type="cellIs" dxfId="1019" priority="72" stopIfTrue="1" operator="lessThanOrEqual">
      <formula>0</formula>
    </cfRule>
    <cfRule type="cellIs" dxfId="1018" priority="73" stopIfTrue="1" operator="greaterThan">
      <formula>$F$47</formula>
    </cfRule>
    <cfRule type="cellIs" dxfId="1017" priority="74" stopIfTrue="1" operator="lessThanOrEqual">
      <formula>0</formula>
    </cfRule>
  </conditionalFormatting>
  <conditionalFormatting sqref="H67">
    <cfRule type="cellIs" dxfId="1016" priority="14" stopIfTrue="1" operator="lessThanOrEqual">
      <formula>0</formula>
    </cfRule>
    <cfRule type="cellIs" dxfId="1015" priority="13" stopIfTrue="1" operator="greaterThan">
      <formula>$F$36</formula>
    </cfRule>
    <cfRule type="cellIs" dxfId="1014" priority="12" stopIfTrue="1" operator="lessThanOrEqual">
      <formula>0</formula>
    </cfRule>
    <cfRule type="cellIs" dxfId="1013" priority="11" stopIfTrue="1" operator="greaterThan">
      <formula>$F$38</formula>
    </cfRule>
    <cfRule type="cellIs" dxfId="1012" priority="3" stopIfTrue="1" operator="greaterThan">
      <formula>$F$35</formula>
    </cfRule>
    <cfRule type="cellIs" dxfId="1011" priority="2" stopIfTrue="1" operator="lessThanOrEqual">
      <formula>0</formula>
    </cfRule>
  </conditionalFormatting>
  <conditionalFormatting sqref="H72:H79">
    <cfRule type="cellIs" dxfId="1010" priority="95" stopIfTrue="1" operator="greaterThan">
      <formula>$J72</formula>
    </cfRule>
    <cfRule type="cellIs" dxfId="1009" priority="96" stopIfTrue="1" operator="lessThanOrEqual">
      <formula>0</formula>
    </cfRule>
  </conditionalFormatting>
  <conditionalFormatting sqref="H80">
    <cfRule type="cellIs" dxfId="1008" priority="99" operator="greaterThan">
      <formula>5.3</formula>
    </cfRule>
  </conditionalFormatting>
  <conditionalFormatting sqref="H83 H85:H91">
    <cfRule type="cellIs" dxfId="1007" priority="133" stopIfTrue="1" operator="greaterThan">
      <formula>4.5</formula>
    </cfRule>
    <cfRule type="cellIs" dxfId="1006" priority="134" stopIfTrue="1" operator="lessThanOrEqual">
      <formula>0</formula>
    </cfRule>
  </conditionalFormatting>
  <conditionalFormatting sqref="H65:I65">
    <cfRule type="cellIs" dxfId="1005" priority="45" stopIfTrue="1" operator="greaterThan">
      <formula>$F$37</formula>
    </cfRule>
    <cfRule type="cellIs" dxfId="1004" priority="48" stopIfTrue="1" operator="lessThanOrEqual">
      <formula>0</formula>
    </cfRule>
  </conditionalFormatting>
  <conditionalFormatting sqref="H66:I66 H68:I68">
    <cfRule type="cellIs" dxfId="1003" priority="61" stopIfTrue="1" operator="greaterThan">
      <formula>$F$48</formula>
    </cfRule>
    <cfRule type="cellIs" dxfId="1002" priority="64" stopIfTrue="1" operator="lessThanOrEqual">
      <formula>0</formula>
    </cfRule>
  </conditionalFormatting>
  <conditionalFormatting sqref="H67:I67">
    <cfRule type="cellIs" dxfId="1001" priority="4" stopIfTrue="1" operator="lessThanOrEqual">
      <formula>0</formula>
    </cfRule>
    <cfRule type="cellIs" dxfId="1000" priority="1" stopIfTrue="1" operator="greaterThan">
      <formula>$F$37</formula>
    </cfRule>
  </conditionalFormatting>
  <conditionalFormatting sqref="H81:I81">
    <cfRule type="cellIs" dxfId="999" priority="86" stopIfTrue="1" operator="greaterThan">
      <formula>$J81</formula>
    </cfRule>
    <cfRule type="cellIs" dxfId="998" priority="87" stopIfTrue="1" operator="lessThanOrEqual">
      <formula>0</formula>
    </cfRule>
  </conditionalFormatting>
  <conditionalFormatting sqref="I65">
    <cfRule type="cellIs" dxfId="997" priority="52" stopIfTrue="1" operator="lessThanOrEqual">
      <formula>0</formula>
    </cfRule>
    <cfRule type="cellIs" dxfId="996" priority="51" stopIfTrue="1" operator="greaterThan">
      <formula>$F$37</formula>
    </cfRule>
    <cfRule type="cellIs" dxfId="995" priority="50" stopIfTrue="1" operator="lessThanOrEqual">
      <formula>0</formula>
    </cfRule>
    <cfRule type="cellIs" dxfId="994" priority="49" stopIfTrue="1" operator="greaterThan">
      <formula>$F$35</formula>
    </cfRule>
    <cfRule type="cellIs" dxfId="993" priority="53" stopIfTrue="1" operator="greaterThan">
      <formula>$F$35</formula>
    </cfRule>
    <cfRule type="cellIs" dxfId="992" priority="54" stopIfTrue="1" operator="lessThanOrEqual">
      <formula>0</formula>
    </cfRule>
  </conditionalFormatting>
  <conditionalFormatting sqref="I66 I68">
    <cfRule type="cellIs" dxfId="991" priority="70" stopIfTrue="1" operator="lessThanOrEqual">
      <formula>0</formula>
    </cfRule>
    <cfRule type="cellIs" dxfId="990" priority="69" stopIfTrue="1" operator="greaterThan">
      <formula>$F$46</formula>
    </cfRule>
    <cfRule type="cellIs" dxfId="989" priority="68" stopIfTrue="1" operator="lessThanOrEqual">
      <formula>0</formula>
    </cfRule>
    <cfRule type="cellIs" dxfId="988" priority="67" stopIfTrue="1" operator="greaterThan">
      <formula>$F$48</formula>
    </cfRule>
    <cfRule type="cellIs" dxfId="987" priority="66" stopIfTrue="1" operator="lessThanOrEqual">
      <formula>0</formula>
    </cfRule>
    <cfRule type="cellIs" dxfId="986" priority="65" stopIfTrue="1" operator="greaterThan">
      <formula>$F$46</formula>
    </cfRule>
  </conditionalFormatting>
  <conditionalFormatting sqref="I67">
    <cfRule type="cellIs" dxfId="985" priority="10" stopIfTrue="1" operator="lessThanOrEqual">
      <formula>0</formula>
    </cfRule>
    <cfRule type="cellIs" dxfId="984" priority="9" stopIfTrue="1" operator="greaterThan">
      <formula>$F$35</formula>
    </cfRule>
    <cfRule type="cellIs" dxfId="983" priority="8" stopIfTrue="1" operator="lessThanOrEqual">
      <formula>0</formula>
    </cfRule>
    <cfRule type="cellIs" dxfId="982" priority="7" stopIfTrue="1" operator="greaterThan">
      <formula>$F$37</formula>
    </cfRule>
    <cfRule type="cellIs" dxfId="981" priority="6" stopIfTrue="1" operator="lessThanOrEqual">
      <formula>0</formula>
    </cfRule>
    <cfRule type="cellIs" dxfId="980" priority="5" stopIfTrue="1" operator="greaterThan">
      <formula>$F$35</formula>
    </cfRule>
  </conditionalFormatting>
  <conditionalFormatting sqref="I72:I80">
    <cfRule type="cellIs" dxfId="979" priority="100" stopIfTrue="1" operator="greaterThan">
      <formula>$J72</formula>
    </cfRule>
    <cfRule type="cellIs" dxfId="978" priority="101" stopIfTrue="1" operator="lessThanOrEqual">
      <formula>0</formula>
    </cfRule>
  </conditionalFormatting>
  <conditionalFormatting sqref="I83:I91">
    <cfRule type="cellIs" dxfId="977" priority="130" stopIfTrue="1" operator="lessThanOrEqual">
      <formula>0</formula>
    </cfRule>
    <cfRule type="cellIs" dxfId="976" priority="129" stopIfTrue="1" operator="greaterThan">
      <formula>4.5</formula>
    </cfRule>
  </conditionalFormatting>
  <conditionalFormatting sqref="I10:J33">
    <cfRule type="cellIs" dxfId="975" priority="23" operator="lessThan">
      <formula>97.9</formula>
    </cfRule>
  </conditionalFormatting>
  <conditionalFormatting sqref="J36:J38">
    <cfRule type="cellIs" dxfId="974" priority="78" operator="lessThan">
      <formula>98</formula>
    </cfRule>
    <cfRule type="cellIs" dxfId="973" priority="77" stopIfTrue="1" operator="greaterThan">
      <formula>100</formula>
    </cfRule>
    <cfRule type="cellIs" dxfId="972" priority="76" stopIfTrue="1" operator="lessThan">
      <formula>96.8</formula>
    </cfRule>
  </conditionalFormatting>
  <conditionalFormatting sqref="J36:J40">
    <cfRule type="cellIs" dxfId="971" priority="75" operator="lessThan">
      <formula>97.4</formula>
    </cfRule>
  </conditionalFormatting>
  <conditionalFormatting sqref="J41">
    <cfRule type="cellIs" dxfId="970" priority="79" operator="lessThan">
      <formula>98</formula>
    </cfRule>
  </conditionalFormatting>
  <conditionalFormatting sqref="J43:J44">
    <cfRule type="cellIs" dxfId="969" priority="80" stopIfTrue="1" operator="lessThan">
      <formula>96.8</formula>
    </cfRule>
    <cfRule type="cellIs" dxfId="968" priority="81" stopIfTrue="1" operator="greaterThan">
      <formula>100</formula>
    </cfRule>
  </conditionalFormatting>
  <conditionalFormatting sqref="J43:J45">
    <cfRule type="cellIs" dxfId="967" priority="82" operator="lessThan">
      <formula>98</formula>
    </cfRule>
  </conditionalFormatting>
  <conditionalFormatting sqref="J81">
    <cfRule type="cellIs" dxfId="966" priority="84" stopIfTrue="1" operator="lessThanOrEqual">
      <formula>0</formula>
    </cfRule>
    <cfRule type="cellIs" dxfId="965" priority="83" stopIfTrue="1" operator="greaterThan">
      <formula>$F81</formula>
    </cfRule>
  </conditionalFormatting>
  <conditionalFormatting sqref="K10:K33">
    <cfRule type="cellIs" dxfId="964" priority="22" operator="greaterThan">
      <formula>6.4</formula>
    </cfRule>
    <cfRule type="cellIs" dxfId="963" priority="20" operator="greaterThan">
      <formula>6</formula>
    </cfRule>
    <cfRule type="cellIs" dxfId="962" priority="21" operator="lessThan">
      <formula>4</formula>
    </cfRule>
  </conditionalFormatting>
  <conditionalFormatting sqref="K65:K68">
    <cfRule type="cellIs" dxfId="961" priority="59" stopIfTrue="1" operator="lessThan">
      <formula>100%</formula>
    </cfRule>
  </conditionalFormatting>
  <conditionalFormatting sqref="K83:K88">
    <cfRule type="cellIs" dxfId="960" priority="135" stopIfTrue="1" operator="lessThan">
      <formula>100%</formula>
    </cfRule>
  </conditionalFormatting>
  <conditionalFormatting sqref="K90:K91">
    <cfRule type="cellIs" dxfId="959" priority="142" stopIfTrue="1" operator="lessThan">
      <formula>100%</formula>
    </cfRule>
  </conditionalFormatting>
  <conditionalFormatting sqref="K72:N75 L76:N76">
    <cfRule type="cellIs" dxfId="958" priority="113" stopIfTrue="1" operator="lessThan">
      <formula>100%</formula>
    </cfRule>
  </conditionalFormatting>
  <conditionalFormatting sqref="K77:N80 L81:N81">
    <cfRule type="cellIs" dxfId="957" priority="85" stopIfTrue="1" operator="lessThan">
      <formula>100%</formula>
    </cfRule>
  </conditionalFormatting>
  <conditionalFormatting sqref="L10:L12">
    <cfRule type="cellIs" dxfId="956" priority="27" operator="between">
      <formula>61</formula>
      <formula>65</formula>
    </cfRule>
    <cfRule type="cellIs" dxfId="955" priority="28" operator="greaterThan">
      <formula>65</formula>
    </cfRule>
  </conditionalFormatting>
  <conditionalFormatting sqref="L15:L33">
    <cfRule type="cellIs" dxfId="954" priority="25" operator="greaterThan">
      <formula>65</formula>
    </cfRule>
    <cfRule type="cellIs" dxfId="953" priority="24" operator="between">
      <formula>61</formula>
      <formula>65</formula>
    </cfRule>
  </conditionalFormatting>
  <conditionalFormatting sqref="L13:M14">
    <cfRule type="cellIs" dxfId="952" priority="43" operator="between">
      <formula>61</formula>
      <formula>65</formula>
    </cfRule>
    <cfRule type="cellIs" dxfId="951" priority="44" operator="greaterThan">
      <formula>65</formula>
    </cfRule>
  </conditionalFormatting>
  <conditionalFormatting sqref="L51:N51">
    <cfRule type="cellIs" dxfId="950" priority="60" operator="notEqual">
      <formula>#REF!</formula>
    </cfRule>
  </conditionalFormatting>
  <conditionalFormatting sqref="L83:N91">
    <cfRule type="cellIs" dxfId="949" priority="120" stopIfTrue="1" operator="lessThan">
      <formula>100%</formula>
    </cfRule>
  </conditionalFormatting>
  <conditionalFormatting sqref="M10:M33">
    <cfRule type="expression" dxfId="948" priority="19">
      <formula>IF(+(IF(M10&lt;U10,0,IF(M10&gt;V10,0,1)))=0,1)</formula>
    </cfRule>
  </conditionalFormatting>
  <conditionalFormatting sqref="M36 L37:M47">
    <cfRule type="cellIs" dxfId="947" priority="90" operator="lessThan">
      <formula>98</formula>
    </cfRule>
  </conditionalFormatting>
  <conditionalFormatting sqref="N10:N33">
    <cfRule type="expression" dxfId="946" priority="15">
      <formula>IF(+(IF(N10&lt;W10,0,IF(N10&gt;X10,0,1)))=0,1)</formula>
    </cfRule>
  </conditionalFormatting>
  <conditionalFormatting sqref="P6">
    <cfRule type="cellIs" dxfId="945" priority="116" operator="greaterThanOrEqual">
      <formula>19</formula>
    </cfRule>
  </conditionalFormatting>
  <dataValidations count="1">
    <dataValidation type="list" allowBlank="1" showInputMessage="1" showErrorMessage="1" sqref="R8" xr:uid="{3F69B09E-EE21-4969-BCA1-37521CCADE2F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5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542F-0E41-4C6D-B318-FDF6B7771268}">
  <sheetPr>
    <pageSetUpPr fitToPage="1"/>
  </sheetPr>
  <dimension ref="A1:BE85"/>
  <sheetViews>
    <sheetView topLeftCell="A35" zoomScale="70" zoomScaleNormal="70" workbookViewId="0">
      <selection activeCell="H80" sqref="H80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32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73" t="s">
        <v>0</v>
      </c>
      <c r="T1" s="473"/>
      <c r="U1" s="473" t="s">
        <v>1</v>
      </c>
      <c r="V1" s="473"/>
      <c r="W1" s="473" t="s">
        <v>2</v>
      </c>
      <c r="X1" s="473"/>
      <c r="Y1" s="473" t="s">
        <v>124</v>
      </c>
      <c r="Z1" s="473"/>
    </row>
    <row r="2" spans="2:29" ht="14.4">
      <c r="B2" s="474" t="s">
        <v>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45831</v>
      </c>
      <c r="J4" s="398" t="s">
        <v>172</v>
      </c>
      <c r="K4" s="398"/>
      <c r="L4" s="11"/>
      <c r="M4" s="471" t="s">
        <v>8</v>
      </c>
      <c r="N4" s="472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68"/>
      <c r="D5" s="468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198</v>
      </c>
      <c r="K6" s="400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81" t="s">
        <v>17</v>
      </c>
      <c r="C8" s="483" t="s">
        <v>18</v>
      </c>
      <c r="D8" s="483" t="s">
        <v>19</v>
      </c>
      <c r="E8" s="356" t="s">
        <v>20</v>
      </c>
      <c r="F8" s="356" t="s">
        <v>21</v>
      </c>
      <c r="G8" s="483" t="s">
        <v>22</v>
      </c>
      <c r="H8" s="485" t="s">
        <v>144</v>
      </c>
      <c r="I8" s="483" t="s">
        <v>197</v>
      </c>
      <c r="J8" s="487" t="s">
        <v>23</v>
      </c>
      <c r="K8" s="489" t="s">
        <v>142</v>
      </c>
      <c r="L8" s="491" t="s">
        <v>24</v>
      </c>
      <c r="M8" s="359" t="s">
        <v>25</v>
      </c>
      <c r="N8" s="17" t="s">
        <v>26</v>
      </c>
      <c r="O8" s="543" t="s">
        <v>155</v>
      </c>
      <c r="P8" s="555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82"/>
      <c r="C9" s="484"/>
      <c r="D9" s="484"/>
      <c r="E9" s="357" t="s">
        <v>30</v>
      </c>
      <c r="F9" s="357" t="s">
        <v>31</v>
      </c>
      <c r="G9" s="484"/>
      <c r="H9" s="486"/>
      <c r="I9" s="484"/>
      <c r="J9" s="488"/>
      <c r="K9" s="490"/>
      <c r="L9" s="492"/>
      <c r="M9" s="20" t="s">
        <v>32</v>
      </c>
      <c r="N9" s="21" t="s">
        <v>41</v>
      </c>
      <c r="O9" s="556"/>
      <c r="P9" s="555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22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74"/>
      <c r="N10" s="370"/>
      <c r="O10" s="371"/>
      <c r="P10" s="420"/>
      <c r="R10" s="277">
        <f t="shared" ref="R10:R35" si="0">B10</f>
        <v>0</v>
      </c>
      <c r="S10" s="296" t="e">
        <f t="shared" ref="S10:S35" si="1">VLOOKUP($B10,$R$3:$X$9,2,FALSE)</f>
        <v>#N/A</v>
      </c>
      <c r="T10" s="296" t="e">
        <f t="shared" ref="T10:T35" si="2">VLOOKUP($B10,$R$3:$X$9,3,FALSE)</f>
        <v>#N/A</v>
      </c>
      <c r="U10" s="297" t="e">
        <f t="shared" ref="U10:U35" si="3">VLOOKUP($B10,$R$3:$X$9,4,FALSE)</f>
        <v>#N/A</v>
      </c>
      <c r="V10" s="297" t="e">
        <f t="shared" ref="V10:V35" si="4">VLOOKUP($B10,$R$3:$X$9,5,FALSE)</f>
        <v>#N/A</v>
      </c>
      <c r="W10" s="297" t="e">
        <f t="shared" ref="W10:W35" si="5">VLOOKUP($B10,$R$3:$X$9,6,FALSE)</f>
        <v>#N/A</v>
      </c>
      <c r="X10" s="297" t="e">
        <f t="shared" ref="X10:X35" si="6">VLOOKUP($B10,$R$3:$X$9,7,FALSE)</f>
        <v>#N/A</v>
      </c>
      <c r="Y10" s="297" t="e">
        <f t="shared" ref="Y10:Y35" si="7">VLOOKUP($B10,$R$3:$Z$9,8,FALSE)</f>
        <v>#N/A</v>
      </c>
      <c r="Z10" s="296" t="e">
        <f t="shared" ref="Z10:Z35" si="8">VLOOKUP($B10,$R$3:$Z$9,9,FALSE)</f>
        <v>#N/A</v>
      </c>
    </row>
    <row r="11" spans="2:29" ht="15.75" hidden="1" customHeight="1">
      <c r="B11" s="22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74"/>
      <c r="N11" s="370"/>
      <c r="O11" s="371"/>
      <c r="P11" s="420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22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74"/>
      <c r="N12" s="370"/>
      <c r="O12" s="371"/>
      <c r="P12" s="420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33"/>
      <c r="C13" s="366"/>
      <c r="D13" s="279"/>
      <c r="E13" s="279"/>
      <c r="F13" s="278"/>
      <c r="G13" s="279"/>
      <c r="H13" s="396"/>
      <c r="I13" s="429"/>
      <c r="J13" s="429"/>
      <c r="K13" s="430"/>
      <c r="L13" s="276"/>
      <c r="M13" s="374"/>
      <c r="N13" s="370"/>
      <c r="O13" s="422"/>
      <c r="P13" s="420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33"/>
      <c r="C14" s="366"/>
      <c r="D14" s="279"/>
      <c r="E14" s="279"/>
      <c r="F14" s="278"/>
      <c r="G14" s="279"/>
      <c r="H14" s="396"/>
      <c r="I14" s="429"/>
      <c r="J14" s="429"/>
      <c r="K14" s="430"/>
      <c r="L14" s="276"/>
      <c r="M14" s="374"/>
      <c r="N14" s="370"/>
      <c r="O14" s="422"/>
      <c r="P14" s="420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420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20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20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20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20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20"/>
      <c r="R20" s="277"/>
      <c r="S20" s="296"/>
      <c r="T20" s="296"/>
      <c r="U20" s="297"/>
      <c r="V20" s="297"/>
      <c r="W20" s="297"/>
      <c r="X20" s="297"/>
      <c r="Y20" s="297"/>
      <c r="Z20" s="296"/>
    </row>
    <row r="21" spans="2:26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20"/>
      <c r="R21" s="277"/>
      <c r="S21" s="296"/>
      <c r="T21" s="296"/>
      <c r="U21" s="297"/>
      <c r="V21" s="297"/>
      <c r="W21" s="297"/>
      <c r="X21" s="297"/>
      <c r="Y21" s="297"/>
      <c r="Z21" s="296"/>
    </row>
    <row r="22" spans="2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20"/>
      <c r="R22" s="277"/>
      <c r="S22" s="296"/>
      <c r="T22" s="296"/>
      <c r="U22" s="297"/>
      <c r="V22" s="297"/>
      <c r="W22" s="297"/>
      <c r="X22" s="297"/>
      <c r="Y22" s="297"/>
      <c r="Z22" s="296"/>
    </row>
    <row r="23" spans="2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20"/>
      <c r="R23" s="277"/>
      <c r="S23" s="296"/>
      <c r="T23" s="296"/>
      <c r="U23" s="297"/>
      <c r="V23" s="297"/>
      <c r="W23" s="297"/>
      <c r="X23" s="297"/>
      <c r="Y23" s="297"/>
      <c r="Z23" s="296"/>
    </row>
    <row r="24" spans="2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20"/>
      <c r="R24" s="277"/>
      <c r="S24" s="296"/>
      <c r="T24" s="296"/>
      <c r="U24" s="297"/>
      <c r="V24" s="297"/>
      <c r="W24" s="297"/>
      <c r="X24" s="297"/>
      <c r="Y24" s="297"/>
      <c r="Z24" s="296"/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20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20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20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20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20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20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20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20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20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.75" customHeight="1" thickBot="1">
      <c r="B34" s="358"/>
      <c r="C34" s="358"/>
      <c r="D34" s="358"/>
      <c r="E34" s="358"/>
      <c r="F34" s="294"/>
      <c r="G34" s="294"/>
      <c r="H34" s="348"/>
      <c r="I34" s="497" t="s">
        <v>34</v>
      </c>
      <c r="J34" s="497"/>
      <c r="K34" s="497"/>
      <c r="L34" s="497"/>
      <c r="M34" s="497"/>
      <c r="N34" s="497"/>
      <c r="O34" s="1"/>
      <c r="P34" s="12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7" ht="15" thickBot="1">
      <c r="B35" s="388" t="s">
        <v>180</v>
      </c>
      <c r="C35" s="388"/>
      <c r="D35" s="475" t="s">
        <v>35</v>
      </c>
      <c r="E35" s="476"/>
      <c r="F35" s="294"/>
      <c r="G35" s="294"/>
      <c r="H35" s="348"/>
      <c r="I35" s="24" t="s">
        <v>17</v>
      </c>
      <c r="J35" s="25" t="s">
        <v>36</v>
      </c>
      <c r="K35" s="26" t="s">
        <v>138</v>
      </c>
      <c r="L35" s="25" t="s">
        <v>37</v>
      </c>
      <c r="M35" s="25" t="s">
        <v>38</v>
      </c>
      <c r="N35" s="27" t="s">
        <v>39</v>
      </c>
      <c r="O35" s="294"/>
      <c r="P35" s="12"/>
      <c r="R35" s="277" t="str">
        <f t="shared" si="0"/>
        <v xml:space="preserve">BRAND 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7" ht="15" customHeight="1">
      <c r="A36" s="28"/>
      <c r="B36" s="552" t="str">
        <f>I42</f>
        <v>STARMALT</v>
      </c>
      <c r="C36" s="362">
        <f>[22]Process!D50</f>
        <v>17.28</v>
      </c>
      <c r="D36" s="501">
        <v>17.11</v>
      </c>
      <c r="E36" s="502"/>
      <c r="F36" s="294"/>
      <c r="G36" s="294"/>
      <c r="H36" s="348"/>
      <c r="I36" s="29" t="s">
        <v>6</v>
      </c>
      <c r="J36" s="280"/>
      <c r="K36" s="284">
        <f>COUNTA([24]Brewhouse!$A$493:$A$532)</f>
        <v>40</v>
      </c>
      <c r="L36" s="302">
        <f>AVERAGE([24]Brewhouse!$AU$493:$AU$532)</f>
        <v>97.961097763935996</v>
      </c>
      <c r="M36" s="302">
        <f>AVERAGE([24]Brewhouse!$AU$102:$AU$171,[24]Brewhouse!$AU$173:$AU$253,[24]Brewhouse!$AU$255:$AU$339,[24]Brewhouse!$AU$341:$AU$346,[24]Brewhouse!$AU$348,[24]Brewhouse!$AU$349:$AU$406,[24]Brewhouse!$AU$408:$AU$491,[24]Brewhouse!$AU$493:$AU$532)</f>
        <v>97.688858847855471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</row>
    <row r="37" spans="1:27" ht="15" customHeight="1">
      <c r="A37" s="28"/>
      <c r="B37" s="553"/>
      <c r="C37" s="349">
        <f>[22]Process!D51</f>
        <v>16.989999999999998</v>
      </c>
      <c r="D37" s="503"/>
      <c r="E37" s="504"/>
      <c r="F37" s="294"/>
      <c r="G37" s="294"/>
      <c r="H37" s="348"/>
      <c r="I37" s="33" t="s">
        <v>9</v>
      </c>
      <c r="J37" s="280"/>
      <c r="K37" s="284">
        <f>COUNTA([25]Brewhouse!$A$242:$A$261)</f>
        <v>20</v>
      </c>
      <c r="L37" s="302">
        <f>AVERAGE([25]Brewhouse!$AS$242:$AS$261)</f>
        <v>97.625065795762325</v>
      </c>
      <c r="M37" s="302">
        <f>AVERAGE([25]Brewhouse!$AS$15:$AS$64,[25]Brewhouse!$AS$66:$AS$103,[25]Brewhouse!$AS$105:$AS$140,[25]Brewhouse!$AS$142:$AS$193,[25]Brewhouse!$AS$195:$AS$240,[25]Brewhouse!$AS$242:$AS$261)</f>
        <v>97.854851527783097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</row>
    <row r="38" spans="1:27" ht="14.7" customHeight="1">
      <c r="A38" s="28"/>
      <c r="B38" s="553"/>
      <c r="C38" s="349">
        <f>[22]Process!D52</f>
        <v>17.71</v>
      </c>
      <c r="D38" s="501">
        <v>17.11</v>
      </c>
      <c r="E38" s="502"/>
      <c r="F38" s="294"/>
      <c r="G38" s="294"/>
      <c r="H38" s="348"/>
      <c r="I38" s="34" t="s">
        <v>12</v>
      </c>
      <c r="J38" s="280"/>
      <c r="K38" s="284"/>
      <c r="L38" s="302"/>
      <c r="M38" s="302">
        <f>AVERAGE([26]Brewhouse!$AU$4:$AU$7,[26]Brewhouse!$AU$9:$AU$22,[26]Brewhouse!$AU$24:$AU$35,[26]Brewhouse!$AU$37:$AU$45,[26]Brewhouse!$AU$47:$AU$62)</f>
        <v>97.179377138297156</v>
      </c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</row>
    <row r="39" spans="1:27" ht="14.7" customHeight="1">
      <c r="A39" s="28"/>
      <c r="B39" s="553"/>
      <c r="C39" s="349">
        <f>[22]Process!D53</f>
        <v>17.23</v>
      </c>
      <c r="D39" s="503"/>
      <c r="E39" s="504"/>
      <c r="F39" s="294"/>
      <c r="G39" s="294"/>
      <c r="H39" s="348"/>
      <c r="I39" s="22" t="s">
        <v>33</v>
      </c>
      <c r="J39" s="280"/>
      <c r="K39" s="284">
        <f>COUNTA([23]Brewhouse!$A$48:$A$53)</f>
        <v>6</v>
      </c>
      <c r="L39" s="302">
        <f>AVERAGE([23]Brewhouse!$AV$48:$AV$53)</f>
        <v>96.180288887301501</v>
      </c>
      <c r="M39" s="302">
        <f>AVERAGE([23]Brewhouse!$AV$5:$AV$14,[23]Brewhouse!$AV$16:$AV$19,[23]Brewhouse!$AV$21:$AV$24,[23]Brewhouse!$AV$26:$AV$33,[23]Brewhouse!$AV$35:$AV$46,[23]Brewhouse!$AV$48:$AV$53)</f>
        <v>98.620083722669861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</row>
    <row r="40" spans="1:27" ht="14.7" customHeight="1">
      <c r="A40" s="28"/>
      <c r="B40" s="553"/>
      <c r="C40" s="349"/>
      <c r="D40" s="501"/>
      <c r="E40" s="502"/>
      <c r="F40" s="419"/>
      <c r="G40" s="294"/>
      <c r="H40" s="348"/>
      <c r="I40" s="35" t="s">
        <v>29</v>
      </c>
      <c r="J40" s="280"/>
      <c r="K40" s="284"/>
      <c r="L40" s="302"/>
      <c r="M40" s="302"/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</row>
    <row r="41" spans="1:27" ht="14.7" customHeight="1">
      <c r="A41" s="28"/>
      <c r="B41" s="553"/>
      <c r="C41" s="349"/>
      <c r="D41" s="503"/>
      <c r="E41" s="504"/>
      <c r="F41" s="419"/>
      <c r="G41" s="294"/>
      <c r="H41" s="348"/>
      <c r="I41" s="36" t="s">
        <v>15</v>
      </c>
      <c r="J41" s="323"/>
      <c r="K41" s="284">
        <f>COUNTA([27]Brewhouse!$A$18:$A$21)</f>
        <v>4</v>
      </c>
      <c r="L41" s="302">
        <f>AVERAGE([27]Brewhouse!$AT$18:$AT$21)</f>
        <v>95.061602643439088</v>
      </c>
      <c r="M41" s="302">
        <f>AVERAGE([27]Brewhouse!$AT$4:$AT$11,[27]Brewhouse!$AT$13:$AT$16,[27]Brewhouse!$AT$18:$AT$21)</f>
        <v>94.773169817643847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4.7" customHeight="1">
      <c r="A42" s="28"/>
      <c r="B42" s="553"/>
      <c r="C42" s="349"/>
      <c r="D42" s="501"/>
      <c r="E42" s="502"/>
      <c r="F42" s="419"/>
      <c r="G42" s="294"/>
      <c r="H42" s="348"/>
      <c r="I42" s="37" t="s">
        <v>16</v>
      </c>
      <c r="J42" s="323"/>
      <c r="K42" s="284">
        <f>COUNTA([22]Brewhouse!$A$45:$A$50)</f>
        <v>6</v>
      </c>
      <c r="L42" s="302">
        <f>AVERAGE([22]Brewhouse!$AY$45:$AY$50)</f>
        <v>96.288901438431267</v>
      </c>
      <c r="M42" s="302">
        <f>AVERAGE([22]Brewhouse!$AY$6:$AY$13,[22]Brewhouse!$AY$15:$AY$20,[22]Brewhouse!$AY$22:$AY$29,[22]Brewhouse!$AY$31:$AY$34,[22]Brewhouse!$AY$36:$AY$43,[22]Brewhouse!$AY$45:$AY$50)</f>
        <v>96.612624784592427</v>
      </c>
      <c r="N42" s="30">
        <v>98</v>
      </c>
      <c r="O42" s="11"/>
      <c r="P42" s="31" t="s">
        <v>41</v>
      </c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4.7" customHeight="1">
      <c r="A43" s="28"/>
      <c r="B43" s="553"/>
      <c r="C43" s="349"/>
      <c r="D43" s="503"/>
      <c r="E43" s="504"/>
      <c r="F43" s="294"/>
      <c r="G43" s="294"/>
      <c r="H43" s="348"/>
      <c r="I43" s="411" t="s">
        <v>158</v>
      </c>
      <c r="J43" s="326"/>
      <c r="K43" s="284">
        <f>COUNTA([28]Brewhouse!$A$10:$A$13)</f>
        <v>4</v>
      </c>
      <c r="L43" s="305">
        <f>AVERAGE([28]Brewhouse!$AU$10:$AU$13)</f>
        <v>97.488444912767932</v>
      </c>
      <c r="M43" s="305">
        <f>AVERAGE([28]Brewhouse!$AU$5:$AU$8,[28]Brewhouse!$AU$10:$AU$13)</f>
        <v>94.247666625193744</v>
      </c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4.7" customHeight="1">
      <c r="A44" s="28"/>
      <c r="B44" s="553"/>
      <c r="C44" s="349"/>
      <c r="D44" s="501"/>
      <c r="E44" s="502"/>
      <c r="F44" s="294"/>
      <c r="G44" s="294"/>
      <c r="H44" s="348"/>
      <c r="I44" s="410" t="s">
        <v>157</v>
      </c>
      <c r="J44" s="326"/>
      <c r="K44" s="284"/>
      <c r="L44" s="305"/>
      <c r="M44" s="305"/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5" customHeight="1" thickBot="1">
      <c r="A45" s="28"/>
      <c r="B45" s="553"/>
      <c r="C45" s="349"/>
      <c r="D45" s="503"/>
      <c r="E45" s="504"/>
      <c r="F45" s="294"/>
      <c r="G45" s="294"/>
      <c r="H45" s="348"/>
      <c r="I45" s="406" t="s">
        <v>156</v>
      </c>
      <c r="J45" s="327"/>
      <c r="K45" s="407"/>
      <c r="L45" s="408"/>
      <c r="M45" s="408"/>
      <c r="N45" s="409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5" customHeight="1" thickBot="1">
      <c r="A46" s="28"/>
      <c r="B46" s="553"/>
      <c r="C46" s="349"/>
      <c r="D46" s="501"/>
      <c r="E46" s="502"/>
      <c r="F46" s="294"/>
      <c r="G46" s="294"/>
      <c r="H46" s="348"/>
      <c r="I46" s="1"/>
      <c r="J46" s="39"/>
      <c r="K46" s="404">
        <f>SUM(K36:K45)</f>
        <v>80</v>
      </c>
      <c r="L46" s="405">
        <f>((L36*K36)+(L37*K37)+(L38*K38)+(L39*K39)+(L40*K40)+(K43*L43)+(L41*K41)+(L42*K42)+(L45*K45))/(K46)</f>
        <v>97.449506983148879</v>
      </c>
      <c r="M46" s="405">
        <f>AVERAGE('[29]Jan 31st'!$L$65,'[30]Feb 28th'!$L$35,'[31]Mar. 31st'!$L$35,'[32]Apr. 30th'!$L$45,'[33]May 30th'!$L$37,L46)</f>
        <v>97.604793403419663</v>
      </c>
      <c r="N46" s="4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  <c r="AA46" s="296"/>
    </row>
    <row r="47" spans="1:27" ht="15" thickBot="1">
      <c r="B47" s="554"/>
      <c r="C47" s="350"/>
      <c r="D47" s="503"/>
      <c r="E47" s="504"/>
      <c r="F47" s="294"/>
      <c r="G47" s="42"/>
      <c r="H47" s="41"/>
      <c r="I47" s="42"/>
      <c r="J47" s="42"/>
      <c r="K47" s="351"/>
      <c r="L47" s="348"/>
      <c r="M47" s="348"/>
      <c r="N47" s="11"/>
      <c r="O47" s="294"/>
      <c r="P47" s="12"/>
      <c r="R47" s="277"/>
      <c r="S47" s="296"/>
      <c r="T47" s="296"/>
      <c r="U47" s="297"/>
      <c r="V47" s="297"/>
      <c r="W47" s="297"/>
      <c r="X47" s="297"/>
      <c r="Y47" s="297"/>
      <c r="Z47" s="296"/>
      <c r="AA47" s="296"/>
    </row>
    <row r="48" spans="1:27" ht="15" thickBot="1">
      <c r="B48" s="567" t="str">
        <f>I38</f>
        <v>GUINNESS</v>
      </c>
      <c r="C48" s="362">
        <f>[26]Process!D67</f>
        <v>17.600000000000001</v>
      </c>
      <c r="D48" s="514">
        <v>17.760000000000002</v>
      </c>
      <c r="E48" s="515"/>
      <c r="F48" s="294"/>
      <c r="G48" s="42"/>
      <c r="H48" s="41"/>
      <c r="I48" s="41"/>
      <c r="J48" s="551" t="s">
        <v>129</v>
      </c>
      <c r="K48" s="551"/>
      <c r="L48" s="294"/>
      <c r="M48" s="294"/>
      <c r="N48" s="294"/>
      <c r="O48" s="294"/>
      <c r="P48" s="12"/>
    </row>
    <row r="49" spans="2:56" ht="13.5" customHeight="1" thickBot="1">
      <c r="B49" s="568"/>
      <c r="C49" s="349">
        <f>[26]Process!D68</f>
        <v>17.7</v>
      </c>
      <c r="D49" s="516"/>
      <c r="E49" s="504"/>
      <c r="F49" s="294"/>
      <c r="G49" s="42"/>
      <c r="H49" s="41"/>
      <c r="I49" s="41"/>
      <c r="J49" s="292" t="s">
        <v>17</v>
      </c>
      <c r="K49" s="293" t="s">
        <v>191</v>
      </c>
      <c r="L49" s="518" t="s">
        <v>136</v>
      </c>
      <c r="M49" s="518"/>
      <c r="N49" s="519"/>
      <c r="O49" s="294"/>
      <c r="P49" s="12"/>
    </row>
    <row r="50" spans="2:56" ht="15" customHeight="1" thickBot="1">
      <c r="B50" s="568"/>
      <c r="C50" s="349">
        <f>[26]Process!D69</f>
        <v>17.600000000000001</v>
      </c>
      <c r="D50" s="545">
        <v>17.87</v>
      </c>
      <c r="E50" s="546"/>
      <c r="F50" s="294"/>
      <c r="G50" s="42"/>
      <c r="H50" s="41"/>
      <c r="I50" s="41"/>
      <c r="J50" s="287" t="s">
        <v>6</v>
      </c>
      <c r="K50" s="324"/>
      <c r="L50" s="343" t="s">
        <v>37</v>
      </c>
      <c r="M50" s="307" t="s">
        <v>38</v>
      </c>
      <c r="N50" s="307" t="s">
        <v>84</v>
      </c>
      <c r="O50" s="294"/>
      <c r="P50" s="12"/>
    </row>
    <row r="51" spans="2:56" ht="15.75" customHeight="1" thickBot="1">
      <c r="B51" s="568"/>
      <c r="C51" s="349">
        <f>[26]Process!D70</f>
        <v>17.3</v>
      </c>
      <c r="D51" s="516"/>
      <c r="E51" s="504"/>
      <c r="F51" s="294"/>
      <c r="G51" s="42"/>
      <c r="H51" s="41"/>
      <c r="I51" s="41"/>
      <c r="J51" s="345" t="s">
        <v>9</v>
      </c>
      <c r="K51" s="324"/>
      <c r="L51" s="344">
        <f>AVERAGE('June 2nd'!K57,'June 3rd'!K63,'June 4th'!K63,'June 5th '!K63,'June 6th'!K63,'June 10th'!K63,'June 11th'!K63,'June 12th '!K63,'June 13th'!I65,'June 13th'!K65,'June 16th'!K60,'June 20th '!K60,'June 17th '!K60,'June 18th'!K60)</f>
        <v>6</v>
      </c>
      <c r="M51" s="325">
        <f>AVERAGE('[29]Jan 29th '!$M$70,'[30]Feb 28th'!$L$40,'[31]Mar. 31st'!$L$40,'[32]Apr. 30th'!$L$50,'[33]May 30th'!$L$42,L51)</f>
        <v>6.5344401974836757</v>
      </c>
      <c r="N51" s="418">
        <v>9.1999999999999993</v>
      </c>
      <c r="O51" s="294"/>
      <c r="P51" s="12"/>
    </row>
    <row r="52" spans="2:56" ht="15" customHeight="1">
      <c r="B52" s="568"/>
      <c r="C52" s="349"/>
      <c r="D52" s="545"/>
      <c r="E52" s="546"/>
      <c r="F52" s="294"/>
      <c r="G52" s="42"/>
      <c r="H52" s="41"/>
      <c r="I52" s="41"/>
      <c r="J52" s="288" t="s">
        <v>40</v>
      </c>
      <c r="K52" s="324"/>
      <c r="L52" s="294"/>
      <c r="M52" s="294"/>
      <c r="N52" s="294"/>
      <c r="O52" s="294"/>
      <c r="P52" s="12"/>
    </row>
    <row r="53" spans="2:56" ht="15" customHeight="1">
      <c r="B53" s="568"/>
      <c r="C53" s="349"/>
      <c r="D53" s="516"/>
      <c r="E53" s="504"/>
      <c r="F53" s="294"/>
      <c r="G53" s="42"/>
      <c r="H53" s="41"/>
      <c r="I53" s="41"/>
      <c r="J53" s="289" t="s">
        <v>33</v>
      </c>
      <c r="K53" s="324"/>
      <c r="L53" s="294"/>
      <c r="M53" s="294"/>
      <c r="N53" s="294"/>
      <c r="O53" s="294"/>
      <c r="P53" s="12"/>
    </row>
    <row r="54" spans="2:56" ht="14.4">
      <c r="B54" s="568"/>
      <c r="C54" s="349"/>
      <c r="D54" s="545"/>
      <c r="E54" s="546"/>
      <c r="F54" s="294"/>
      <c r="G54" s="42"/>
      <c r="H54" s="41"/>
      <c r="I54" s="41"/>
      <c r="J54" s="290" t="s">
        <v>16</v>
      </c>
      <c r="K54" s="324"/>
      <c r="L54" s="294"/>
      <c r="M54" s="294"/>
      <c r="N54" s="294"/>
      <c r="O54" s="294"/>
      <c r="P54" s="12"/>
      <c r="BC54" s="44"/>
      <c r="BD54" s="44"/>
    </row>
    <row r="55" spans="2:56" ht="14.4">
      <c r="B55" s="568"/>
      <c r="C55" s="349"/>
      <c r="D55" s="516"/>
      <c r="E55" s="504"/>
      <c r="F55" s="294"/>
      <c r="G55" s="42"/>
      <c r="H55" s="41"/>
      <c r="I55" s="41"/>
      <c r="J55" s="291" t="s">
        <v>15</v>
      </c>
      <c r="K55" s="324"/>
      <c r="L55" s="294"/>
      <c r="M55" s="294"/>
      <c r="N55" s="294"/>
      <c r="O55" s="294"/>
      <c r="P55" s="12"/>
      <c r="BC55" s="44"/>
      <c r="BD55" s="44"/>
    </row>
    <row r="56" spans="2:56" ht="14.4">
      <c r="B56" s="568"/>
      <c r="C56" s="349"/>
      <c r="D56" s="545"/>
      <c r="E56" s="546"/>
      <c r="F56" s="294"/>
      <c r="G56" s="42"/>
      <c r="H56" s="41"/>
      <c r="I56" s="41"/>
      <c r="J56" s="291" t="s">
        <v>149</v>
      </c>
      <c r="K56" s="324"/>
      <c r="L56" s="294"/>
      <c r="M56" s="294"/>
      <c r="N56" s="294"/>
      <c r="O56" s="294"/>
      <c r="P56" s="12"/>
      <c r="BC56" s="44"/>
      <c r="BD56" s="44"/>
    </row>
    <row r="57" spans="2:56" ht="15" thickBot="1">
      <c r="B57" s="569"/>
      <c r="C57" s="350"/>
      <c r="D57" s="547"/>
      <c r="E57" s="548"/>
      <c r="F57" s="294"/>
      <c r="G57" s="42"/>
      <c r="H57" s="41"/>
      <c r="I57" s="41"/>
      <c r="J57" s="291" t="s">
        <v>148</v>
      </c>
      <c r="K57" s="324"/>
      <c r="L57" s="294"/>
      <c r="M57" s="294"/>
      <c r="N57" s="294"/>
      <c r="O57" s="294"/>
      <c r="P57" s="12"/>
      <c r="BC57" s="44"/>
      <c r="BD57" s="44"/>
    </row>
    <row r="58" spans="2:56" ht="17.7" customHeight="1" thickBot="1">
      <c r="B58" s="312" t="s">
        <v>139</v>
      </c>
      <c r="C58" s="313"/>
      <c r="D58" s="562">
        <f>AVERAGE(D36:E57)</f>
        <v>17.462500000000002</v>
      </c>
      <c r="E58" s="563"/>
      <c r="F58" s="294"/>
      <c r="G58" s="42"/>
      <c r="H58" s="41"/>
      <c r="I58" s="41"/>
      <c r="J58" s="295" t="s">
        <v>134</v>
      </c>
      <c r="K58" s="324"/>
      <c r="L58" s="294"/>
      <c r="M58" s="294"/>
      <c r="N58" s="294"/>
      <c r="O58" s="294"/>
      <c r="P58" s="12"/>
      <c r="BC58" s="44"/>
      <c r="BD58" s="44"/>
    </row>
    <row r="59" spans="2:56" ht="17.7" customHeight="1">
      <c r="B59" s="363"/>
      <c r="C59" s="364"/>
      <c r="D59" s="365"/>
      <c r="E59" s="365"/>
      <c r="F59" s="294"/>
      <c r="G59" s="42"/>
      <c r="H59" s="41"/>
      <c r="I59" s="41"/>
      <c r="J59" s="295" t="s">
        <v>131</v>
      </c>
      <c r="K59" s="324"/>
      <c r="L59" s="294"/>
      <c r="M59" s="294"/>
      <c r="N59" s="294"/>
      <c r="O59" s="294"/>
      <c r="P59" s="12"/>
      <c r="BC59" s="44"/>
      <c r="BD59" s="44"/>
    </row>
    <row r="60" spans="2:56" ht="15.75" customHeight="1">
      <c r="B60" s="45"/>
      <c r="C60" s="11"/>
      <c r="D60" s="11"/>
      <c r="E60" s="46"/>
      <c r="F60" s="294"/>
      <c r="G60" s="42"/>
      <c r="H60" s="41"/>
      <c r="I60" s="41"/>
      <c r="J60" s="346" t="s">
        <v>130</v>
      </c>
      <c r="K60" s="324">
        <f>SUM(K50:K59)</f>
        <v>0</v>
      </c>
      <c r="L60" s="294"/>
      <c r="M60" s="294"/>
      <c r="N60" s="294"/>
      <c r="O60" s="294"/>
      <c r="P60" s="12"/>
    </row>
    <row r="61" spans="2:56" ht="20.25" customHeight="1">
      <c r="B61" s="15" t="s">
        <v>42</v>
      </c>
      <c r="C61" s="1" t="s">
        <v>43</v>
      </c>
      <c r="D61" s="1"/>
      <c r="E61" s="1"/>
      <c r="F61" s="294"/>
      <c r="G61" s="42"/>
      <c r="H61" s="41"/>
      <c r="I61" s="42"/>
      <c r="L61" s="294"/>
      <c r="P61" s="334"/>
    </row>
    <row r="62" spans="2:56" ht="15" customHeight="1" thickBot="1"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8"/>
      <c r="O62" s="48"/>
      <c r="P62" s="49"/>
    </row>
    <row r="63" spans="2:56" ht="15" customHeight="1" thickBot="1">
      <c r="B63" s="526" t="s">
        <v>17</v>
      </c>
      <c r="C63" s="526" t="s">
        <v>44</v>
      </c>
      <c r="D63" s="528" t="s">
        <v>45</v>
      </c>
      <c r="E63" s="483" t="s">
        <v>46</v>
      </c>
      <c r="F63" s="543" t="s">
        <v>47</v>
      </c>
      <c r="G63" s="537" t="s">
        <v>48</v>
      </c>
      <c r="H63" s="526" t="s">
        <v>49</v>
      </c>
      <c r="I63" s="526" t="s">
        <v>50</v>
      </c>
      <c r="J63" s="531" t="s">
        <v>28</v>
      </c>
      <c r="K63" s="481" t="s">
        <v>51</v>
      </c>
      <c r="L63" s="493" t="s">
        <v>52</v>
      </c>
      <c r="M63" s="531" t="s">
        <v>53</v>
      </c>
      <c r="N63" s="13"/>
      <c r="O63" s="13"/>
      <c r="P63" s="50"/>
    </row>
    <row r="64" spans="2:56" ht="28.5" customHeight="1" thickTop="1" thickBot="1">
      <c r="B64" s="527"/>
      <c r="C64" s="527"/>
      <c r="D64" s="529"/>
      <c r="E64" s="530"/>
      <c r="F64" s="544"/>
      <c r="G64" s="538"/>
      <c r="H64" s="527"/>
      <c r="I64" s="527"/>
      <c r="J64" s="532"/>
      <c r="K64" s="541"/>
      <c r="L64" s="542"/>
      <c r="M64" s="532"/>
      <c r="N64" s="13"/>
      <c r="O64" s="13"/>
      <c r="P64" s="50"/>
      <c r="Q64" s="355"/>
      <c r="AB64" s="51">
        <v>43474</v>
      </c>
      <c r="AC64" s="51">
        <v>43475</v>
      </c>
      <c r="AD64" s="51">
        <v>43476</v>
      </c>
      <c r="AE64" s="51">
        <v>43477</v>
      </c>
      <c r="AF64" s="51">
        <v>43478</v>
      </c>
      <c r="AG64" s="51">
        <v>43479</v>
      </c>
      <c r="AH64" s="51">
        <v>43480</v>
      </c>
      <c r="AI64" s="51">
        <v>43481</v>
      </c>
      <c r="AJ64" s="51">
        <v>43482</v>
      </c>
      <c r="AK64" s="51">
        <v>43483</v>
      </c>
      <c r="AL64" s="51">
        <v>43484</v>
      </c>
      <c r="AM64" s="51">
        <v>43485</v>
      </c>
      <c r="AN64" s="51">
        <v>43486</v>
      </c>
      <c r="AO64" s="51">
        <v>43487</v>
      </c>
      <c r="AP64" s="51">
        <v>43488</v>
      </c>
      <c r="AQ64" s="51">
        <v>43489</v>
      </c>
      <c r="AR64" s="51">
        <v>43490</v>
      </c>
      <c r="AS64" s="51">
        <v>43491</v>
      </c>
      <c r="AT64" s="51">
        <v>43492</v>
      </c>
      <c r="AU64" s="51">
        <v>43493</v>
      </c>
      <c r="AV64" s="51">
        <v>43494</v>
      </c>
      <c r="AW64" s="51">
        <v>43495</v>
      </c>
      <c r="AX64" s="51">
        <v>43496</v>
      </c>
    </row>
    <row r="65" spans="2:57" s="54" customFormat="1" ht="51" customHeight="1">
      <c r="B65" s="428" t="str">
        <f>B78</f>
        <v>STARMALT</v>
      </c>
      <c r="C65" s="432">
        <v>45828</v>
      </c>
      <c r="D65" s="377">
        <f>[34]June_2025!$W$55</f>
        <v>207.6</v>
      </c>
      <c r="E65" s="378"/>
      <c r="F65" s="379"/>
      <c r="G65" s="303">
        <f>[34]June_2025!$W$59</f>
        <v>196.4</v>
      </c>
      <c r="H65" s="320"/>
      <c r="I65" s="322"/>
      <c r="J65" s="392" t="s">
        <v>181</v>
      </c>
      <c r="K65" s="286">
        <f>[36]June_2025!$W$53</f>
        <v>0.34456140350877196</v>
      </c>
      <c r="L65" s="314">
        <f>(((D65+E65)-G65)/(D65+E65))*100</f>
        <v>5.3949903660886269</v>
      </c>
      <c r="M65" s="417" t="s">
        <v>201</v>
      </c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416"/>
      <c r="AC65" s="416"/>
      <c r="AD65" s="416"/>
      <c r="AE65" s="416"/>
      <c r="AF65" s="416"/>
      <c r="AG65" s="416"/>
      <c r="AH65" s="416"/>
      <c r="AI65" s="416"/>
      <c r="AJ65" s="416"/>
      <c r="AK65" s="416"/>
      <c r="AL65" s="416"/>
      <c r="AM65" s="416"/>
      <c r="AN65" s="416"/>
      <c r="AO65" s="416"/>
      <c r="AP65" s="416"/>
      <c r="AQ65" s="416"/>
      <c r="AR65" s="416"/>
      <c r="AS65" s="416"/>
      <c r="AT65" s="416"/>
      <c r="AU65" s="416"/>
      <c r="AV65" s="416"/>
      <c r="AW65" s="416"/>
    </row>
    <row r="66" spans="2:57" s="54" customFormat="1" ht="23.25" customHeight="1">
      <c r="B66" s="22"/>
      <c r="C66" s="283"/>
      <c r="D66" s="377"/>
      <c r="E66" s="378"/>
      <c r="F66" s="379"/>
      <c r="G66" s="303"/>
      <c r="H66" s="320"/>
      <c r="I66" s="322"/>
      <c r="J66" s="281"/>
      <c r="K66" s="286"/>
      <c r="L66" s="314"/>
      <c r="M66" s="417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416"/>
      <c r="AC66" s="416"/>
      <c r="AD66" s="416"/>
      <c r="AE66" s="416"/>
      <c r="AF66" s="416"/>
      <c r="AG66" s="416"/>
      <c r="AH66" s="416"/>
      <c r="AI66" s="416"/>
      <c r="AJ66" s="416"/>
      <c r="AK66" s="416"/>
      <c r="AL66" s="416"/>
      <c r="AM66" s="416"/>
      <c r="AN66" s="416"/>
      <c r="AO66" s="416"/>
      <c r="AP66" s="416"/>
      <c r="AQ66" s="416"/>
      <c r="AR66" s="416"/>
      <c r="AS66" s="416"/>
      <c r="AT66" s="416"/>
      <c r="AU66" s="416"/>
      <c r="AV66" s="416"/>
      <c r="AW66" s="416"/>
    </row>
    <row r="67" spans="2:57" s="54" customFormat="1" ht="53.25" customHeight="1">
      <c r="B67" s="436" t="str">
        <f>B74</f>
        <v>GUINN</v>
      </c>
      <c r="C67" s="432">
        <v>45828</v>
      </c>
      <c r="D67" s="377">
        <f>[34]June_2025!$W$23</f>
        <v>208.4</v>
      </c>
      <c r="E67" s="378">
        <f>[35]GUINNESS!$S$10</f>
        <v>7.2</v>
      </c>
      <c r="F67" s="379"/>
      <c r="G67" s="303">
        <f>[34]June_2025!$W$28</f>
        <v>197.9</v>
      </c>
      <c r="H67" s="320"/>
      <c r="I67" s="322"/>
      <c r="J67" s="392" t="s">
        <v>195</v>
      </c>
      <c r="K67" s="286">
        <f>[36]June_2025!$W$32</f>
        <v>0.17359649122807019</v>
      </c>
      <c r="L67" s="314">
        <f>(((D67+E67)-G67)/(D67+E67))*100</f>
        <v>8.2096474953617751</v>
      </c>
      <c r="M67" s="417" t="s">
        <v>202</v>
      </c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>
        <f>[20]January_2019!L7</f>
        <v>0</v>
      </c>
      <c r="AC67" s="57">
        <f>[20]January_2019!M7</f>
        <v>0</v>
      </c>
      <c r="AD67" s="57">
        <f>[20]January_2019!N7</f>
        <v>0</v>
      </c>
      <c r="AE67" s="57">
        <f>[20]January_2019!O7</f>
        <v>0</v>
      </c>
      <c r="AF67" s="57">
        <f>[20]January_2019!P7</f>
        <v>0</v>
      </c>
      <c r="AG67" s="57">
        <f>[20]January_2019!Q7</f>
        <v>0</v>
      </c>
      <c r="AH67" s="57">
        <f>[20]January_2019!R7</f>
        <v>0</v>
      </c>
      <c r="AI67" s="57">
        <f>[20]January_2019!S7</f>
        <v>0</v>
      </c>
      <c r="AJ67" s="57">
        <f>[20]January_2019!T7</f>
        <v>0</v>
      </c>
      <c r="AK67" s="57">
        <f>[20]January_2019!U7</f>
        <v>0</v>
      </c>
      <c r="AL67" s="57">
        <f>[20]January_2019!V7</f>
        <v>0</v>
      </c>
      <c r="AM67" s="57">
        <f>[20]January_2019!W7</f>
        <v>0</v>
      </c>
      <c r="AN67" s="57">
        <f>[20]January_2019!X7</f>
        <v>0</v>
      </c>
      <c r="AO67" s="57">
        <f>[20]January_2019!Y7</f>
        <v>0</v>
      </c>
      <c r="AP67" s="57">
        <f>[20]January_2019!Z7</f>
        <v>0</v>
      </c>
      <c r="AQ67" s="57">
        <f>[20]January_2019!AA7</f>
        <v>0</v>
      </c>
      <c r="AR67" s="57">
        <f>[20]January_2019!AB7</f>
        <v>0</v>
      </c>
      <c r="AS67" s="57">
        <f>[20]January_2019!AC7</f>
        <v>0</v>
      </c>
      <c r="AT67" s="57">
        <f>[20]January_2019!AD7</f>
        <v>0</v>
      </c>
      <c r="AU67" s="57">
        <f>[20]January_2019!AE7</f>
        <v>0</v>
      </c>
      <c r="AV67" s="57">
        <f>[20]January_2019!AF7</f>
        <v>0</v>
      </c>
      <c r="AW67" s="57">
        <f>[20]January_2019!AG7</f>
        <v>0</v>
      </c>
      <c r="AX67" s="277">
        <f>[20]January_2019!AH7</f>
        <v>0</v>
      </c>
      <c r="AY67" s="277"/>
      <c r="AZ67" s="277"/>
      <c r="BA67" s="277"/>
      <c r="BB67" s="277"/>
      <c r="BC67" s="277"/>
      <c r="BD67" s="277"/>
      <c r="BE67" s="277"/>
    </row>
    <row r="68" spans="2:57" s="54" customFormat="1" ht="16.5" customHeight="1">
      <c r="B68" s="423"/>
      <c r="C68" s="283"/>
      <c r="D68" s="377"/>
      <c r="E68" s="378"/>
      <c r="F68" s="379"/>
      <c r="G68" s="303"/>
      <c r="H68" s="320"/>
      <c r="I68" s="322"/>
      <c r="J68" s="281"/>
      <c r="K68" s="286"/>
      <c r="L68" s="314"/>
      <c r="M68" s="417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6"/>
      <c r="AC68" s="416"/>
      <c r="AD68" s="416"/>
      <c r="AE68" s="416"/>
      <c r="AF68" s="416"/>
      <c r="AG68" s="416"/>
      <c r="AH68" s="416"/>
      <c r="AI68" s="416"/>
      <c r="AJ68" s="416"/>
      <c r="AK68" s="416"/>
      <c r="AL68" s="416"/>
      <c r="AM68" s="416"/>
      <c r="AN68" s="416"/>
      <c r="AO68" s="416"/>
      <c r="AP68" s="416"/>
      <c r="AQ68" s="416"/>
      <c r="AR68" s="416"/>
      <c r="AS68" s="416"/>
      <c r="AT68" s="416"/>
      <c r="AU68" s="416"/>
      <c r="AV68" s="416"/>
      <c r="AW68" s="416"/>
    </row>
    <row r="69" spans="2:57" ht="18" customHeight="1" thickBot="1">
      <c r="B69" s="59"/>
      <c r="C69" s="30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 t="s">
        <v>41</v>
      </c>
      <c r="O69" s="56"/>
      <c r="P69" s="60"/>
    </row>
    <row r="70" spans="2:57" ht="14.4" thickBot="1">
      <c r="B70" s="533" t="s">
        <v>55</v>
      </c>
      <c r="C70" s="534"/>
      <c r="D70" s="534"/>
      <c r="E70" s="534"/>
      <c r="F70" s="535"/>
      <c r="G70" s="533" t="s">
        <v>56</v>
      </c>
      <c r="H70" s="534"/>
      <c r="I70" s="534"/>
      <c r="J70" s="535"/>
      <c r="K70" s="533" t="s">
        <v>51</v>
      </c>
      <c r="L70" s="534"/>
      <c r="M70" s="534"/>
      <c r="N70" s="536"/>
      <c r="O70" s="56"/>
      <c r="P70" s="50"/>
    </row>
    <row r="71" spans="2:57">
      <c r="B71" s="61" t="s">
        <v>17</v>
      </c>
      <c r="C71" s="62" t="s">
        <v>36</v>
      </c>
      <c r="D71" s="62" t="s">
        <v>37</v>
      </c>
      <c r="E71" s="62" t="s">
        <v>38</v>
      </c>
      <c r="F71" s="63" t="s">
        <v>39</v>
      </c>
      <c r="G71" s="62" t="s">
        <v>36</v>
      </c>
      <c r="H71" s="62" t="s">
        <v>37</v>
      </c>
      <c r="I71" s="62" t="s">
        <v>38</v>
      </c>
      <c r="J71" s="63" t="s">
        <v>39</v>
      </c>
      <c r="K71" s="62" t="s">
        <v>36</v>
      </c>
      <c r="L71" s="62" t="s">
        <v>37</v>
      </c>
      <c r="M71" s="62" t="s">
        <v>38</v>
      </c>
      <c r="N71" s="63" t="s">
        <v>39</v>
      </c>
      <c r="O71" s="56"/>
      <c r="P71" s="64"/>
    </row>
    <row r="72" spans="2:57">
      <c r="B72" s="29" t="s">
        <v>6</v>
      </c>
      <c r="C72" s="65"/>
      <c r="D72" s="76">
        <v>6.5061907840287327</v>
      </c>
      <c r="E72" s="76">
        <v>6.652002792495443</v>
      </c>
      <c r="F72" s="66">
        <v>4.8</v>
      </c>
      <c r="G72" s="65"/>
      <c r="H72" s="76">
        <v>5.1174299262103995</v>
      </c>
      <c r="I72" s="76">
        <v>6.6318405178595192</v>
      </c>
      <c r="J72" s="66">
        <v>4.8</v>
      </c>
      <c r="K72" s="67"/>
      <c r="L72" s="194">
        <v>0.55223684210526314</v>
      </c>
      <c r="M72" s="194">
        <v>0.73847447005458111</v>
      </c>
      <c r="N72" s="68">
        <v>1</v>
      </c>
      <c r="O72" s="56"/>
      <c r="P72" s="69"/>
    </row>
    <row r="73" spans="2:57">
      <c r="B73" s="33" t="s">
        <v>9</v>
      </c>
      <c r="C73" s="65"/>
      <c r="D73" s="76">
        <v>5.0027879491615899</v>
      </c>
      <c r="E73" s="76">
        <v>6.1401001711343852</v>
      </c>
      <c r="F73" s="66">
        <v>4.8</v>
      </c>
      <c r="G73" s="65"/>
      <c r="H73" s="76">
        <v>5.3066484562820797</v>
      </c>
      <c r="I73" s="76">
        <v>6.0772977228147829</v>
      </c>
      <c r="J73" s="66">
        <v>4.8</v>
      </c>
      <c r="K73" s="67"/>
      <c r="L73" s="194">
        <v>0.53274780701754387</v>
      </c>
      <c r="M73" s="194">
        <v>0.72463978084566005</v>
      </c>
      <c r="N73" s="68">
        <v>1</v>
      </c>
      <c r="P73" s="69"/>
    </row>
    <row r="74" spans="2:57">
      <c r="B74" s="34" t="s">
        <v>40</v>
      </c>
      <c r="C74" s="65">
        <f>L67</f>
        <v>8.2096474953617751</v>
      </c>
      <c r="D74" s="76">
        <v>9.1516828031350812</v>
      </c>
      <c r="E74" s="76">
        <v>11.517527376401205</v>
      </c>
      <c r="F74" s="66">
        <v>5.5</v>
      </c>
      <c r="G74" s="65">
        <f>[34]June_2025!$W$32</f>
        <v>8.7448199592346025</v>
      </c>
      <c r="H74" s="76">
        <v>9.1018329379729064</v>
      </c>
      <c r="I74" s="76">
        <v>12.687741954690839</v>
      </c>
      <c r="J74" s="66">
        <v>5.5</v>
      </c>
      <c r="K74" s="67">
        <f>K67</f>
        <v>0.17359649122807019</v>
      </c>
      <c r="L74" s="194">
        <v>0.25942982456140351</v>
      </c>
      <c r="M74" s="194">
        <v>0.50086529680365299</v>
      </c>
      <c r="N74" s="68">
        <v>1</v>
      </c>
      <c r="P74" s="69"/>
    </row>
    <row r="75" spans="2:57">
      <c r="B75" s="22" t="s">
        <v>33</v>
      </c>
      <c r="C75" s="65"/>
      <c r="D75" s="76">
        <v>10.592686002522056</v>
      </c>
      <c r="E75" s="76">
        <v>5.4214697406339898</v>
      </c>
      <c r="F75" s="66">
        <v>3.3</v>
      </c>
      <c r="G75" s="65"/>
      <c r="H75" s="76">
        <v>10.440711622307923</v>
      </c>
      <c r="I75" s="76">
        <v>5.263029001952213</v>
      </c>
      <c r="J75" s="66">
        <v>3.3</v>
      </c>
      <c r="K75" s="67"/>
      <c r="L75" s="194">
        <v>0.22480263157894734</v>
      </c>
      <c r="M75" s="194">
        <v>0.6919486215538847</v>
      </c>
      <c r="N75" s="68">
        <v>1</v>
      </c>
      <c r="P75" s="69"/>
    </row>
    <row r="76" spans="2:57">
      <c r="B76" s="35" t="s">
        <v>29</v>
      </c>
      <c r="C76" s="65"/>
      <c r="D76" s="76"/>
      <c r="E76" s="76"/>
      <c r="F76" s="66">
        <v>3.3</v>
      </c>
      <c r="G76" s="282"/>
      <c r="H76" s="76"/>
      <c r="I76" s="76"/>
      <c r="J76" s="66">
        <v>3</v>
      </c>
      <c r="L76" s="194"/>
      <c r="M76" s="194"/>
      <c r="N76" s="68">
        <v>1</v>
      </c>
      <c r="P76" s="69"/>
    </row>
    <row r="77" spans="2:57">
      <c r="B77" s="36" t="s">
        <v>15</v>
      </c>
      <c r="C77" s="282"/>
      <c r="D77" s="76">
        <v>5.7784145176695159</v>
      </c>
      <c r="E77" s="76">
        <v>7.3129862357869699</v>
      </c>
      <c r="F77" s="70">
        <f>[21]May_2022!$M$43</f>
        <v>3.4878406700073312</v>
      </c>
      <c r="G77" s="282"/>
      <c r="H77" s="76">
        <v>7.6606905670809748</v>
      </c>
      <c r="I77" s="76">
        <v>8.9862703283331644</v>
      </c>
      <c r="J77" s="66">
        <v>5.5</v>
      </c>
      <c r="K77" s="67"/>
      <c r="L77" s="194">
        <v>0.34614035087719303</v>
      </c>
      <c r="M77" s="194">
        <v>0.59276315789473688</v>
      </c>
      <c r="N77" s="68">
        <v>1</v>
      </c>
      <c r="P77" s="69"/>
    </row>
    <row r="78" spans="2:57">
      <c r="B78" s="37" t="s">
        <v>16</v>
      </c>
      <c r="C78" s="65">
        <f>L65</f>
        <v>5.3949903660886269</v>
      </c>
      <c r="D78" s="76">
        <v>4.8459003682884285</v>
      </c>
      <c r="E78" s="76">
        <v>3.1283185840707883</v>
      </c>
      <c r="F78" s="66">
        <v>3.3</v>
      </c>
      <c r="G78" s="282">
        <f>[34]June_2025!$W$63</f>
        <v>6.5711607561318512</v>
      </c>
      <c r="H78" s="76">
        <v>5.5758872822526477</v>
      </c>
      <c r="I78" s="76">
        <v>4.7152982918050252</v>
      </c>
      <c r="J78" s="66">
        <v>3.3</v>
      </c>
      <c r="K78" s="67">
        <f>K65</f>
        <v>0.34456140350877196</v>
      </c>
      <c r="L78" s="194">
        <v>0.34362573099415206</v>
      </c>
      <c r="M78" s="194">
        <v>0.70389019607843129</v>
      </c>
      <c r="N78" s="71">
        <v>1</v>
      </c>
      <c r="P78" s="69"/>
    </row>
    <row r="79" spans="2:57" ht="14.4" thickBot="1">
      <c r="B79" s="38" t="s">
        <v>127</v>
      </c>
      <c r="C79" s="65"/>
      <c r="D79" s="76"/>
      <c r="E79" s="76"/>
      <c r="F79" s="66">
        <v>7.5</v>
      </c>
      <c r="G79" s="282"/>
      <c r="H79" s="76"/>
      <c r="I79" s="76"/>
      <c r="J79" s="66">
        <v>7.5</v>
      </c>
      <c r="K79" s="67"/>
      <c r="L79" s="194"/>
      <c r="M79" s="194"/>
      <c r="N79" s="71">
        <v>1</v>
      </c>
      <c r="P79" s="69"/>
    </row>
    <row r="80" spans="2:57" ht="14.4" thickBot="1">
      <c r="B80" s="415" t="s">
        <v>161</v>
      </c>
      <c r="C80" s="65"/>
      <c r="D80" s="76"/>
      <c r="E80" s="76">
        <v>4.8792508624938291</v>
      </c>
      <c r="F80" s="66">
        <v>4.8</v>
      </c>
      <c r="G80" s="282"/>
      <c r="H80" s="76"/>
      <c r="I80" s="76">
        <v>6.2003723782925313</v>
      </c>
      <c r="J80" s="66">
        <v>4.8</v>
      </c>
      <c r="K80" s="67"/>
      <c r="L80" s="194"/>
      <c r="M80" s="194">
        <v>0.33859649122807017</v>
      </c>
      <c r="N80" s="71">
        <v>1</v>
      </c>
      <c r="O80" s="74"/>
      <c r="P80" s="75"/>
    </row>
    <row r="81" spans="4:14">
      <c r="D81" s="76">
        <v>6.3565718119304391</v>
      </c>
      <c r="E81" s="76">
        <v>6.6191923661710614</v>
      </c>
      <c r="F81" s="341">
        <v>5.5</v>
      </c>
      <c r="H81" s="76">
        <v>6.2200263724505032</v>
      </c>
      <c r="I81" s="76">
        <v>6.9391498206354623</v>
      </c>
      <c r="J81" s="341">
        <v>5.5</v>
      </c>
      <c r="L81" s="194">
        <v>0.43801582387340909</v>
      </c>
      <c r="M81" s="194">
        <v>0.68063441451346895</v>
      </c>
      <c r="N81" s="386">
        <v>1</v>
      </c>
    </row>
    <row r="85" spans="4:14">
      <c r="F85" s="315"/>
    </row>
  </sheetData>
  <mergeCells count="51">
    <mergeCell ref="M63:M64"/>
    <mergeCell ref="B70:F70"/>
    <mergeCell ref="G70:J70"/>
    <mergeCell ref="K70:N70"/>
    <mergeCell ref="G63:G64"/>
    <mergeCell ref="H63:H64"/>
    <mergeCell ref="I63:I64"/>
    <mergeCell ref="J63:J64"/>
    <mergeCell ref="K63:K64"/>
    <mergeCell ref="L63:L64"/>
    <mergeCell ref="F63:F64"/>
    <mergeCell ref="D58:E58"/>
    <mergeCell ref="B63:B64"/>
    <mergeCell ref="C63:C64"/>
    <mergeCell ref="D63:D64"/>
    <mergeCell ref="E63:E64"/>
    <mergeCell ref="B48:B57"/>
    <mergeCell ref="D48:E49"/>
    <mergeCell ref="J48:K48"/>
    <mergeCell ref="L49:N49"/>
    <mergeCell ref="D50:E51"/>
    <mergeCell ref="D52:E53"/>
    <mergeCell ref="D54:E55"/>
    <mergeCell ref="D56:E57"/>
    <mergeCell ref="I34:N34"/>
    <mergeCell ref="D35:E35"/>
    <mergeCell ref="B36:B47"/>
    <mergeCell ref="D36:E37"/>
    <mergeCell ref="D38:E39"/>
    <mergeCell ref="D40:E41"/>
    <mergeCell ref="D42:E43"/>
    <mergeCell ref="D44:E45"/>
    <mergeCell ref="D46:E4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8:B59">
    <cfRule type="cellIs" dxfId="944" priority="101" operator="notBetween">
      <formula>#REF!</formula>
      <formula>#REF!</formula>
    </cfRule>
  </conditionalFormatting>
  <conditionalFormatting sqref="C62">
    <cfRule type="cellIs" dxfId="943" priority="132" stopIfTrue="1" operator="lessThan">
      <formula>96</formula>
    </cfRule>
    <cfRule type="cellIs" dxfId="942" priority="133" stopIfTrue="1" operator="greaterThan">
      <formula>100</formula>
    </cfRule>
  </conditionalFormatting>
  <conditionalFormatting sqref="C72:C73">
    <cfRule type="cellIs" dxfId="941" priority="79" stopIfTrue="1" operator="lessThanOrEqual">
      <formula>0</formula>
    </cfRule>
  </conditionalFormatting>
  <conditionalFormatting sqref="C72:C76">
    <cfRule type="cellIs" dxfId="940" priority="78" stopIfTrue="1" operator="greaterThan">
      <formula>$F72</formula>
    </cfRule>
  </conditionalFormatting>
  <conditionalFormatting sqref="C73">
    <cfRule type="cellIs" dxfId="939" priority="136" stopIfTrue="1" operator="greaterThan">
      <formula>$F72</formula>
    </cfRule>
  </conditionalFormatting>
  <conditionalFormatting sqref="C74:C77">
    <cfRule type="cellIs" dxfId="938" priority="85" stopIfTrue="1" operator="lessThanOrEqual">
      <formula>0</formula>
    </cfRule>
  </conditionalFormatting>
  <conditionalFormatting sqref="C77">
    <cfRule type="cellIs" dxfId="937" priority="84" stopIfTrue="1" operator="greaterThan">
      <formula>$J77</formula>
    </cfRule>
  </conditionalFormatting>
  <conditionalFormatting sqref="C83:C87">
    <cfRule type="cellIs" dxfId="936" priority="124" stopIfTrue="1" operator="lessThanOrEqual">
      <formula>0</formula>
    </cfRule>
  </conditionalFormatting>
  <conditionalFormatting sqref="C84:C87">
    <cfRule type="cellIs" dxfId="935" priority="123" stopIfTrue="1" operator="greaterThan">
      <formula>$F$83</formula>
    </cfRule>
  </conditionalFormatting>
  <conditionalFormatting sqref="C89">
    <cfRule type="cellIs" dxfId="934" priority="126" stopIfTrue="1" operator="lessThanOrEqual">
      <formula>0</formula>
    </cfRule>
    <cfRule type="cellIs" dxfId="933" priority="125" stopIfTrue="1" operator="greaterThan">
      <formula>$F$83</formula>
    </cfRule>
  </conditionalFormatting>
  <conditionalFormatting sqref="C83:D83 D85:D91">
    <cfRule type="cellIs" dxfId="932" priority="118" stopIfTrue="1" operator="greaterThan">
      <formula>4.5</formula>
    </cfRule>
  </conditionalFormatting>
  <conditionalFormatting sqref="D58:D59">
    <cfRule type="cellIs" dxfId="931" priority="102" operator="notBetween">
      <formula>#REF!</formula>
      <formula>#REF!</formula>
    </cfRule>
  </conditionalFormatting>
  <conditionalFormatting sqref="D72:D79">
    <cfRule type="cellIs" dxfId="930" priority="95" stopIfTrue="1" operator="lessThanOrEqual">
      <formula>0</formula>
    </cfRule>
  </conditionalFormatting>
  <conditionalFormatting sqref="D80">
    <cfRule type="cellIs" dxfId="929" priority="94" stopIfTrue="1" operator="lessThanOrEqual">
      <formula>0</formula>
    </cfRule>
  </conditionalFormatting>
  <conditionalFormatting sqref="D83 D85:D91">
    <cfRule type="cellIs" dxfId="928" priority="119" stopIfTrue="1" operator="lessThanOrEqual">
      <formula>0</formula>
    </cfRule>
  </conditionalFormatting>
  <conditionalFormatting sqref="D84">
    <cfRule type="cellIs" dxfId="927" priority="110" stopIfTrue="1" operator="greaterThan">
      <formula>$F$83</formula>
    </cfRule>
    <cfRule type="cellIs" dxfId="926" priority="111" stopIfTrue="1" operator="lessThanOrEqual">
      <formula>0</formula>
    </cfRule>
  </conditionalFormatting>
  <conditionalFormatting sqref="D72:E81">
    <cfRule type="cellIs" dxfId="925" priority="75" stopIfTrue="1" operator="greaterThan">
      <formula>$F72</formula>
    </cfRule>
  </conditionalFormatting>
  <conditionalFormatting sqref="D81:E81">
    <cfRule type="cellIs" dxfId="924" priority="76" stopIfTrue="1" operator="lessThanOrEqual">
      <formula>0</formula>
    </cfRule>
  </conditionalFormatting>
  <conditionalFormatting sqref="E10:E33">
    <cfRule type="cellIs" dxfId="923" priority="16" operator="lessThan">
      <formula>48</formula>
    </cfRule>
  </conditionalFormatting>
  <conditionalFormatting sqref="E61 E62:F62">
    <cfRule type="cellIs" dxfId="922" priority="115" stopIfTrue="1" operator="greaterThan">
      <formula>100</formula>
    </cfRule>
  </conditionalFormatting>
  <conditionalFormatting sqref="E62">
    <cfRule type="cellIs" dxfId="921" priority="112" stopIfTrue="1" operator="lessThan">
      <formula>96.8</formula>
    </cfRule>
    <cfRule type="cellIs" dxfId="920" priority="113" stopIfTrue="1" operator="greaterThan">
      <formula>100</formula>
    </cfRule>
  </conditionalFormatting>
  <conditionalFormatting sqref="E72:E80">
    <cfRule type="cellIs" dxfId="919" priority="89" stopIfTrue="1" operator="lessThanOrEqual">
      <formula>0</formula>
    </cfRule>
  </conditionalFormatting>
  <conditionalFormatting sqref="E83:E91">
    <cfRule type="cellIs" dxfId="918" priority="105" stopIfTrue="1" operator="lessThanOrEqual">
      <formula>0</formula>
    </cfRule>
    <cfRule type="cellIs" dxfId="917" priority="104" stopIfTrue="1" operator="greaterThan">
      <formula>4.5</formula>
    </cfRule>
  </conditionalFormatting>
  <conditionalFormatting sqref="E62:F62 E61">
    <cfRule type="cellIs" dxfId="916" priority="114" stopIfTrue="1" operator="lessThan">
      <formula>96.5</formula>
    </cfRule>
  </conditionalFormatting>
  <conditionalFormatting sqref="F10:F33">
    <cfRule type="cellIs" dxfId="915" priority="17" operator="greaterThan">
      <formula>60</formula>
    </cfRule>
  </conditionalFormatting>
  <conditionalFormatting sqref="F62">
    <cfRule type="cellIs" dxfId="914" priority="130" stopIfTrue="1" operator="lessThan">
      <formula>96.8</formula>
    </cfRule>
    <cfRule type="cellIs" dxfId="913" priority="131" stopIfTrue="1" operator="greaterThan">
      <formula>100</formula>
    </cfRule>
  </conditionalFormatting>
  <conditionalFormatting sqref="F81">
    <cfRule type="cellIs" dxfId="912" priority="90" stopIfTrue="1" operator="greaterThan">
      <formula>$F81</formula>
    </cfRule>
    <cfRule type="cellIs" dxfId="911" priority="91" stopIfTrue="1" operator="lessThanOrEqual">
      <formula>0</formula>
    </cfRule>
  </conditionalFormatting>
  <conditionalFormatting sqref="G10:G12">
    <cfRule type="expression" dxfId="910" priority="26">
      <formula>IF(+(IF(G10&lt;$S$10,0,IF(G10&gt;$T$10,0,1)))=0,1)</formula>
    </cfRule>
  </conditionalFormatting>
  <conditionalFormatting sqref="G72:G73 C78:C80">
    <cfRule type="cellIs" dxfId="909" priority="97" stopIfTrue="1" operator="lessThanOrEqual">
      <formula>0</formula>
    </cfRule>
    <cfRule type="cellIs" dxfId="908" priority="96" stopIfTrue="1" operator="greaterThan">
      <formula>$F72</formula>
    </cfRule>
  </conditionalFormatting>
  <conditionalFormatting sqref="G72:G73">
    <cfRule type="cellIs" dxfId="907" priority="81" stopIfTrue="1" operator="lessThanOrEqual">
      <formula>0</formula>
    </cfRule>
    <cfRule type="cellIs" dxfId="906" priority="80" stopIfTrue="1" operator="greaterThan">
      <formula>$F72</formula>
    </cfRule>
  </conditionalFormatting>
  <conditionalFormatting sqref="G74">
    <cfRule type="cellIs" dxfId="905" priority="134" stopIfTrue="1" operator="greaterThan">
      <formula>$F73</formula>
    </cfRule>
    <cfRule type="cellIs" dxfId="904" priority="135" stopIfTrue="1" operator="lessThanOrEqual">
      <formula>0</formula>
    </cfRule>
  </conditionalFormatting>
  <conditionalFormatting sqref="G75">
    <cfRule type="cellIs" dxfId="903" priority="93" stopIfTrue="1" operator="lessThanOrEqual">
      <formula>0</formula>
    </cfRule>
    <cfRule type="cellIs" dxfId="902" priority="92" stopIfTrue="1" operator="greaterThan">
      <formula>$F75</formula>
    </cfRule>
  </conditionalFormatting>
  <conditionalFormatting sqref="G76:G80">
    <cfRule type="cellIs" dxfId="901" priority="98" stopIfTrue="1" operator="greaterThan">
      <formula>$J76</formula>
    </cfRule>
    <cfRule type="cellIs" dxfId="900" priority="99" stopIfTrue="1" operator="lessThanOrEqual">
      <formula>0</formula>
    </cfRule>
  </conditionalFormatting>
  <conditionalFormatting sqref="G85:G90 C88 C90">
    <cfRule type="cellIs" dxfId="899" priority="127" stopIfTrue="1" operator="greaterThan">
      <formula>4.5</formula>
    </cfRule>
    <cfRule type="cellIs" dxfId="898" priority="128" stopIfTrue="1" operator="lessThanOrEqual">
      <formula>0</formula>
    </cfRule>
  </conditionalFormatting>
  <conditionalFormatting sqref="G13:H33">
    <cfRule type="expression" dxfId="897" priority="18">
      <formula>IF(+(IF(G13&lt;#REF!,0,IF(G13&gt;#REF!,0,1)))=0,1)</formula>
    </cfRule>
  </conditionalFormatting>
  <conditionalFormatting sqref="G84:H84">
    <cfRule type="cellIs" dxfId="896" priority="108" stopIfTrue="1" operator="greaterThan">
      <formula>$F$83</formula>
    </cfRule>
    <cfRule type="cellIs" dxfId="895" priority="109" stopIfTrue="1" operator="lessThanOrEqual">
      <formula>0</formula>
    </cfRule>
  </conditionalFormatting>
  <conditionalFormatting sqref="H10:H12">
    <cfRule type="expression" dxfId="894" priority="29">
      <formula>IF(+(IF(H10&lt;#REF!,0,IF(H10&gt;#REF!,0,1)))=0,1)</formula>
    </cfRule>
  </conditionalFormatting>
  <conditionalFormatting sqref="H47:H61 I48:I60">
    <cfRule type="cellIs" dxfId="893" priority="106" stopIfTrue="1" operator="greaterThan">
      <formula>0</formula>
    </cfRule>
  </conditionalFormatting>
  <conditionalFormatting sqref="H65">
    <cfRule type="cellIs" dxfId="892" priority="34" stopIfTrue="1" operator="greaterThan">
      <formula>$F$35</formula>
    </cfRule>
    <cfRule type="cellIs" dxfId="891" priority="33" stopIfTrue="1" operator="lessThanOrEqual">
      <formula>0</formula>
    </cfRule>
    <cfRule type="cellIs" dxfId="890" priority="42" stopIfTrue="1" operator="greaterThan">
      <formula>$F$38</formula>
    </cfRule>
    <cfRule type="cellIs" dxfId="889" priority="43" stopIfTrue="1" operator="lessThanOrEqual">
      <formula>0</formula>
    </cfRule>
    <cfRule type="cellIs" dxfId="888" priority="44" stopIfTrue="1" operator="greaterThan">
      <formula>$F$36</formula>
    </cfRule>
    <cfRule type="cellIs" dxfId="887" priority="45" stopIfTrue="1" operator="lessThanOrEqual">
      <formula>0</formula>
    </cfRule>
  </conditionalFormatting>
  <conditionalFormatting sqref="H66 H68">
    <cfRule type="cellIs" dxfId="886" priority="49" stopIfTrue="1" operator="lessThanOrEqual">
      <formula>0</formula>
    </cfRule>
    <cfRule type="cellIs" dxfId="885" priority="50" stopIfTrue="1" operator="greaterThan">
      <formula>$F$46</formula>
    </cfRule>
    <cfRule type="cellIs" dxfId="884" priority="58" stopIfTrue="1" operator="greaterThan">
      <formula>$F$49</formula>
    </cfRule>
    <cfRule type="cellIs" dxfId="883" priority="59" stopIfTrue="1" operator="lessThanOrEqual">
      <formula>0</formula>
    </cfRule>
    <cfRule type="cellIs" dxfId="882" priority="60" stopIfTrue="1" operator="greaterThan">
      <formula>$F$47</formula>
    </cfRule>
    <cfRule type="cellIs" dxfId="881" priority="61" stopIfTrue="1" operator="lessThanOrEqual">
      <formula>0</formula>
    </cfRule>
  </conditionalFormatting>
  <conditionalFormatting sqref="H67">
    <cfRule type="cellIs" dxfId="880" priority="14" stopIfTrue="1" operator="lessThanOrEqual">
      <formula>0</formula>
    </cfRule>
    <cfRule type="cellIs" dxfId="879" priority="13" stopIfTrue="1" operator="greaterThan">
      <formula>$F$36</formula>
    </cfRule>
    <cfRule type="cellIs" dxfId="878" priority="12" stopIfTrue="1" operator="lessThanOrEqual">
      <formula>0</formula>
    </cfRule>
    <cfRule type="cellIs" dxfId="877" priority="11" stopIfTrue="1" operator="greaterThan">
      <formula>$F$38</formula>
    </cfRule>
    <cfRule type="cellIs" dxfId="876" priority="3" stopIfTrue="1" operator="greaterThan">
      <formula>$F$35</formula>
    </cfRule>
    <cfRule type="cellIs" dxfId="875" priority="2" stopIfTrue="1" operator="lessThanOrEqual">
      <formula>0</formula>
    </cfRule>
  </conditionalFormatting>
  <conditionalFormatting sqref="H72:H79">
    <cfRule type="cellIs" dxfId="874" priority="82" stopIfTrue="1" operator="greaterThan">
      <formula>$J72</formula>
    </cfRule>
    <cfRule type="cellIs" dxfId="873" priority="83" stopIfTrue="1" operator="lessThanOrEqual">
      <formula>0</formula>
    </cfRule>
  </conditionalFormatting>
  <conditionalFormatting sqref="H80">
    <cfRule type="cellIs" dxfId="872" priority="86" operator="greaterThan">
      <formula>5.3</formula>
    </cfRule>
  </conditionalFormatting>
  <conditionalFormatting sqref="H83 H85:H91">
    <cfRule type="cellIs" dxfId="871" priority="120" stopIfTrue="1" operator="greaterThan">
      <formula>4.5</formula>
    </cfRule>
    <cfRule type="cellIs" dxfId="870" priority="121" stopIfTrue="1" operator="lessThanOrEqual">
      <formula>0</formula>
    </cfRule>
  </conditionalFormatting>
  <conditionalFormatting sqref="H65:I65">
    <cfRule type="cellIs" dxfId="869" priority="32" stopIfTrue="1" operator="greaterThan">
      <formula>$F$37</formula>
    </cfRule>
    <cfRule type="cellIs" dxfId="868" priority="35" stopIfTrue="1" operator="lessThanOrEqual">
      <formula>0</formula>
    </cfRule>
  </conditionalFormatting>
  <conditionalFormatting sqref="H66:I66 H68:I68">
    <cfRule type="cellIs" dxfId="867" priority="48" stopIfTrue="1" operator="greaterThan">
      <formula>$F$48</formula>
    </cfRule>
    <cfRule type="cellIs" dxfId="866" priority="51" stopIfTrue="1" operator="lessThanOrEqual">
      <formula>0</formula>
    </cfRule>
  </conditionalFormatting>
  <conditionalFormatting sqref="H67:I67">
    <cfRule type="cellIs" dxfId="865" priority="4" stopIfTrue="1" operator="lessThanOrEqual">
      <formula>0</formula>
    </cfRule>
    <cfRule type="cellIs" dxfId="864" priority="1" stopIfTrue="1" operator="greaterThan">
      <formula>$F$37</formula>
    </cfRule>
  </conditionalFormatting>
  <conditionalFormatting sqref="H81:I81">
    <cfRule type="cellIs" dxfId="863" priority="73" stopIfTrue="1" operator="greaterThan">
      <formula>$J81</formula>
    </cfRule>
    <cfRule type="cellIs" dxfId="862" priority="74" stopIfTrue="1" operator="lessThanOrEqual">
      <formula>0</formula>
    </cfRule>
  </conditionalFormatting>
  <conditionalFormatting sqref="I65">
    <cfRule type="cellIs" dxfId="861" priority="39" stopIfTrue="1" operator="lessThanOrEqual">
      <formula>0</formula>
    </cfRule>
    <cfRule type="cellIs" dxfId="860" priority="38" stopIfTrue="1" operator="greaterThan">
      <formula>$F$37</formula>
    </cfRule>
    <cfRule type="cellIs" dxfId="859" priority="37" stopIfTrue="1" operator="lessThanOrEqual">
      <formula>0</formula>
    </cfRule>
    <cfRule type="cellIs" dxfId="858" priority="36" stopIfTrue="1" operator="greaterThan">
      <formula>$F$35</formula>
    </cfRule>
    <cfRule type="cellIs" dxfId="857" priority="40" stopIfTrue="1" operator="greaterThan">
      <formula>$F$35</formula>
    </cfRule>
    <cfRule type="cellIs" dxfId="856" priority="41" stopIfTrue="1" operator="lessThanOrEqual">
      <formula>0</formula>
    </cfRule>
  </conditionalFormatting>
  <conditionalFormatting sqref="I66 I68">
    <cfRule type="cellIs" dxfId="855" priority="57" stopIfTrue="1" operator="lessThanOrEqual">
      <formula>0</formula>
    </cfRule>
    <cfRule type="cellIs" dxfId="854" priority="56" stopIfTrue="1" operator="greaterThan">
      <formula>$F$46</formula>
    </cfRule>
    <cfRule type="cellIs" dxfId="853" priority="55" stopIfTrue="1" operator="lessThanOrEqual">
      <formula>0</formula>
    </cfRule>
    <cfRule type="cellIs" dxfId="852" priority="54" stopIfTrue="1" operator="greaterThan">
      <formula>$F$48</formula>
    </cfRule>
    <cfRule type="cellIs" dxfId="851" priority="53" stopIfTrue="1" operator="lessThanOrEqual">
      <formula>0</formula>
    </cfRule>
    <cfRule type="cellIs" dxfId="850" priority="52" stopIfTrue="1" operator="greaterThan">
      <formula>$F$46</formula>
    </cfRule>
  </conditionalFormatting>
  <conditionalFormatting sqref="I67">
    <cfRule type="cellIs" dxfId="849" priority="10" stopIfTrue="1" operator="lessThanOrEqual">
      <formula>0</formula>
    </cfRule>
    <cfRule type="cellIs" dxfId="848" priority="9" stopIfTrue="1" operator="greaterThan">
      <formula>$F$35</formula>
    </cfRule>
    <cfRule type="cellIs" dxfId="847" priority="8" stopIfTrue="1" operator="lessThanOrEqual">
      <formula>0</formula>
    </cfRule>
    <cfRule type="cellIs" dxfId="846" priority="7" stopIfTrue="1" operator="greaterThan">
      <formula>$F$37</formula>
    </cfRule>
    <cfRule type="cellIs" dxfId="845" priority="6" stopIfTrue="1" operator="lessThanOrEqual">
      <formula>0</formula>
    </cfRule>
    <cfRule type="cellIs" dxfId="844" priority="5" stopIfTrue="1" operator="greaterThan">
      <formula>$F$35</formula>
    </cfRule>
  </conditionalFormatting>
  <conditionalFormatting sqref="I72:I80">
    <cfRule type="cellIs" dxfId="843" priority="87" stopIfTrue="1" operator="greaterThan">
      <formula>$J72</formula>
    </cfRule>
    <cfRule type="cellIs" dxfId="842" priority="88" stopIfTrue="1" operator="lessThanOrEqual">
      <formula>0</formula>
    </cfRule>
  </conditionalFormatting>
  <conditionalFormatting sqref="I83:I91">
    <cfRule type="cellIs" dxfId="841" priority="117" stopIfTrue="1" operator="lessThanOrEqual">
      <formula>0</formula>
    </cfRule>
    <cfRule type="cellIs" dxfId="840" priority="116" stopIfTrue="1" operator="greaterThan">
      <formula>4.5</formula>
    </cfRule>
  </conditionalFormatting>
  <conditionalFormatting sqref="I10:J33">
    <cfRule type="cellIs" dxfId="839" priority="23" operator="lessThan">
      <formula>97.9</formula>
    </cfRule>
  </conditionalFormatting>
  <conditionalFormatting sqref="J36:J38">
    <cfRule type="cellIs" dxfId="838" priority="65" operator="lessThan">
      <formula>98</formula>
    </cfRule>
    <cfRule type="cellIs" dxfId="837" priority="64" stopIfTrue="1" operator="greaterThan">
      <formula>100</formula>
    </cfRule>
    <cfRule type="cellIs" dxfId="836" priority="63" stopIfTrue="1" operator="lessThan">
      <formula>96.8</formula>
    </cfRule>
  </conditionalFormatting>
  <conditionalFormatting sqref="J36:J40">
    <cfRule type="cellIs" dxfId="835" priority="62" operator="lessThan">
      <formula>97.4</formula>
    </cfRule>
  </conditionalFormatting>
  <conditionalFormatting sqref="J41">
    <cfRule type="cellIs" dxfId="834" priority="66" operator="lessThan">
      <formula>98</formula>
    </cfRule>
  </conditionalFormatting>
  <conditionalFormatting sqref="J43:J44">
    <cfRule type="cellIs" dxfId="833" priority="67" stopIfTrue="1" operator="lessThan">
      <formula>96.8</formula>
    </cfRule>
    <cfRule type="cellIs" dxfId="832" priority="68" stopIfTrue="1" operator="greaterThan">
      <formula>100</formula>
    </cfRule>
  </conditionalFormatting>
  <conditionalFormatting sqref="J43:J45">
    <cfRule type="cellIs" dxfId="831" priority="69" operator="lessThan">
      <formula>98</formula>
    </cfRule>
  </conditionalFormatting>
  <conditionalFormatting sqref="J81">
    <cfRule type="cellIs" dxfId="830" priority="71" stopIfTrue="1" operator="lessThanOrEqual">
      <formula>0</formula>
    </cfRule>
    <cfRule type="cellIs" dxfId="829" priority="70" stopIfTrue="1" operator="greaterThan">
      <formula>$F81</formula>
    </cfRule>
  </conditionalFormatting>
  <conditionalFormatting sqref="K10:K33">
    <cfRule type="cellIs" dxfId="828" priority="22" operator="greaterThan">
      <formula>6.4</formula>
    </cfRule>
    <cfRule type="cellIs" dxfId="827" priority="20" operator="greaterThan">
      <formula>6</formula>
    </cfRule>
    <cfRule type="cellIs" dxfId="826" priority="21" operator="lessThan">
      <formula>4</formula>
    </cfRule>
  </conditionalFormatting>
  <conditionalFormatting sqref="K65:K68">
    <cfRule type="cellIs" dxfId="825" priority="46" stopIfTrue="1" operator="lessThan">
      <formula>100%</formula>
    </cfRule>
  </conditionalFormatting>
  <conditionalFormatting sqref="K83:K88">
    <cfRule type="cellIs" dxfId="824" priority="122" stopIfTrue="1" operator="lessThan">
      <formula>100%</formula>
    </cfRule>
  </conditionalFormatting>
  <conditionalFormatting sqref="K90:K91">
    <cfRule type="cellIs" dxfId="823" priority="129" stopIfTrue="1" operator="lessThan">
      <formula>100%</formula>
    </cfRule>
  </conditionalFormatting>
  <conditionalFormatting sqref="K72:N75 L76:N76">
    <cfRule type="cellIs" dxfId="822" priority="100" stopIfTrue="1" operator="lessThan">
      <formula>100%</formula>
    </cfRule>
  </conditionalFormatting>
  <conditionalFormatting sqref="K77:N80 L81:N81">
    <cfRule type="cellIs" dxfId="821" priority="72" stopIfTrue="1" operator="lessThan">
      <formula>100%</formula>
    </cfRule>
  </conditionalFormatting>
  <conditionalFormatting sqref="L10:L12">
    <cfRule type="cellIs" dxfId="820" priority="27" operator="between">
      <formula>61</formula>
      <formula>65</formula>
    </cfRule>
    <cfRule type="cellIs" dxfId="819" priority="28" operator="greaterThan">
      <formula>65</formula>
    </cfRule>
  </conditionalFormatting>
  <conditionalFormatting sqref="L15:L33">
    <cfRule type="cellIs" dxfId="818" priority="25" operator="greaterThan">
      <formula>65</formula>
    </cfRule>
    <cfRule type="cellIs" dxfId="817" priority="24" operator="between">
      <formula>61</formula>
      <formula>65</formula>
    </cfRule>
  </conditionalFormatting>
  <conditionalFormatting sqref="L13:M14">
    <cfRule type="cellIs" dxfId="816" priority="30" operator="between">
      <formula>61</formula>
      <formula>65</formula>
    </cfRule>
    <cfRule type="cellIs" dxfId="815" priority="31" operator="greaterThan">
      <formula>65</formula>
    </cfRule>
  </conditionalFormatting>
  <conditionalFormatting sqref="L51:N51">
    <cfRule type="cellIs" dxfId="814" priority="47" operator="notEqual">
      <formula>#REF!</formula>
    </cfRule>
  </conditionalFormatting>
  <conditionalFormatting sqref="L83:N91">
    <cfRule type="cellIs" dxfId="813" priority="107" stopIfTrue="1" operator="lessThan">
      <formula>100%</formula>
    </cfRule>
  </conditionalFormatting>
  <conditionalFormatting sqref="M10:M33">
    <cfRule type="expression" dxfId="812" priority="19">
      <formula>IF(+(IF(M10&lt;U10,0,IF(M10&gt;V10,0,1)))=0,1)</formula>
    </cfRule>
  </conditionalFormatting>
  <conditionalFormatting sqref="M36 L37:M47">
    <cfRule type="cellIs" dxfId="811" priority="77" operator="lessThan">
      <formula>98</formula>
    </cfRule>
  </conditionalFormatting>
  <conditionalFormatting sqref="N10:N33">
    <cfRule type="expression" dxfId="810" priority="15">
      <formula>IF(+(IF(N10&lt;W10,0,IF(N10&gt;X10,0,1)))=0,1)</formula>
    </cfRule>
  </conditionalFormatting>
  <conditionalFormatting sqref="P6">
    <cfRule type="cellIs" dxfId="809" priority="103" operator="greaterThanOrEqual">
      <formula>19</formula>
    </cfRule>
  </conditionalFormatting>
  <dataValidations count="1">
    <dataValidation type="list" allowBlank="1" showInputMessage="1" showErrorMessage="1" sqref="R8" xr:uid="{19AD9D24-2F2D-4CA3-9681-A53173945AEC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5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A3F4-232B-4D60-AB51-4D1F3A65E884}">
  <sheetPr>
    <pageSetUpPr fitToPage="1"/>
  </sheetPr>
  <dimension ref="A1:BE85"/>
  <sheetViews>
    <sheetView topLeftCell="A27" zoomScale="70" zoomScaleNormal="70" workbookViewId="0">
      <selection activeCell="H26" sqref="H26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32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73" t="s">
        <v>0</v>
      </c>
      <c r="T1" s="473"/>
      <c r="U1" s="473" t="s">
        <v>1</v>
      </c>
      <c r="V1" s="473"/>
      <c r="W1" s="473" t="s">
        <v>2</v>
      </c>
      <c r="X1" s="473"/>
      <c r="Y1" s="473" t="s">
        <v>124</v>
      </c>
      <c r="Z1" s="473"/>
    </row>
    <row r="2" spans="2:29" ht="14.4">
      <c r="B2" s="474" t="s">
        <v>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45832</v>
      </c>
      <c r="J4" s="398" t="s">
        <v>172</v>
      </c>
      <c r="K4" s="398"/>
      <c r="L4" s="11"/>
      <c r="M4" s="471" t="s">
        <v>8</v>
      </c>
      <c r="N4" s="472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68"/>
      <c r="D5" s="468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198</v>
      </c>
      <c r="K6" s="400"/>
      <c r="L6" s="311" t="s">
        <v>14</v>
      </c>
      <c r="M6" s="340">
        <v>4</v>
      </c>
      <c r="N6" s="340">
        <v>4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81" t="s">
        <v>17</v>
      </c>
      <c r="C8" s="483" t="s">
        <v>18</v>
      </c>
      <c r="D8" s="483" t="s">
        <v>19</v>
      </c>
      <c r="E8" s="356" t="s">
        <v>20</v>
      </c>
      <c r="F8" s="356" t="s">
        <v>21</v>
      </c>
      <c r="G8" s="483" t="s">
        <v>22</v>
      </c>
      <c r="H8" s="485" t="s">
        <v>144</v>
      </c>
      <c r="I8" s="483" t="s">
        <v>197</v>
      </c>
      <c r="J8" s="487" t="s">
        <v>23</v>
      </c>
      <c r="K8" s="489" t="s">
        <v>142</v>
      </c>
      <c r="L8" s="491" t="s">
        <v>24</v>
      </c>
      <c r="M8" s="359" t="s">
        <v>25</v>
      </c>
      <c r="N8" s="17" t="s">
        <v>26</v>
      </c>
      <c r="O8" s="543" t="s">
        <v>155</v>
      </c>
      <c r="P8" s="555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82"/>
      <c r="C9" s="484"/>
      <c r="D9" s="484"/>
      <c r="E9" s="357" t="s">
        <v>30</v>
      </c>
      <c r="F9" s="357" t="s">
        <v>31</v>
      </c>
      <c r="G9" s="484"/>
      <c r="H9" s="486"/>
      <c r="I9" s="484"/>
      <c r="J9" s="488"/>
      <c r="K9" s="490"/>
      <c r="L9" s="492"/>
      <c r="M9" s="20" t="s">
        <v>32</v>
      </c>
      <c r="N9" s="21" t="s">
        <v>41</v>
      </c>
      <c r="O9" s="556"/>
      <c r="P9" s="555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29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97"/>
      <c r="N10" s="370"/>
      <c r="O10" s="371"/>
      <c r="P10" s="420"/>
      <c r="R10" s="277">
        <f t="shared" ref="R10:R35" si="0">B10</f>
        <v>0</v>
      </c>
      <c r="S10" s="296" t="e">
        <f t="shared" ref="S10:S35" si="1">VLOOKUP($B10,$R$3:$X$9,2,FALSE)</f>
        <v>#N/A</v>
      </c>
      <c r="T10" s="296" t="e">
        <f t="shared" ref="T10:T35" si="2">VLOOKUP($B10,$R$3:$X$9,3,FALSE)</f>
        <v>#N/A</v>
      </c>
      <c r="U10" s="297" t="e">
        <f t="shared" ref="U10:U35" si="3">VLOOKUP($B10,$R$3:$X$9,4,FALSE)</f>
        <v>#N/A</v>
      </c>
      <c r="V10" s="297" t="e">
        <f t="shared" ref="V10:V35" si="4">VLOOKUP($B10,$R$3:$X$9,5,FALSE)</f>
        <v>#N/A</v>
      </c>
      <c r="W10" s="297" t="e">
        <f t="shared" ref="W10:W35" si="5">VLOOKUP($B10,$R$3:$X$9,6,FALSE)</f>
        <v>#N/A</v>
      </c>
      <c r="X10" s="297" t="e">
        <f t="shared" ref="X10:X35" si="6">VLOOKUP($B10,$R$3:$X$9,7,FALSE)</f>
        <v>#N/A</v>
      </c>
      <c r="Y10" s="297" t="e">
        <f t="shared" ref="Y10:Y35" si="7">VLOOKUP($B10,$R$3:$Z$9,8,FALSE)</f>
        <v>#N/A</v>
      </c>
      <c r="Z10" s="296" t="e">
        <f t="shared" ref="Z10:Z35" si="8">VLOOKUP($B10,$R$3:$Z$9,9,FALSE)</f>
        <v>#N/A</v>
      </c>
    </row>
    <row r="11" spans="2:29" ht="15.75" hidden="1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97"/>
      <c r="N11" s="370"/>
      <c r="O11" s="371"/>
      <c r="P11" s="420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371"/>
      <c r="P12" s="420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371"/>
      <c r="P13" s="420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371"/>
      <c r="P14" s="420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420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20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20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20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20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20"/>
      <c r="R20" s="277"/>
      <c r="S20" s="296"/>
      <c r="T20" s="296"/>
      <c r="U20" s="297"/>
      <c r="V20" s="297"/>
      <c r="W20" s="297"/>
      <c r="X20" s="297"/>
      <c r="Y20" s="297"/>
      <c r="Z20" s="296"/>
    </row>
    <row r="21" spans="2:26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20"/>
      <c r="R21" s="277"/>
      <c r="S21" s="296"/>
      <c r="T21" s="296"/>
      <c r="U21" s="297"/>
      <c r="V21" s="297"/>
      <c r="W21" s="297"/>
      <c r="X21" s="297"/>
      <c r="Y21" s="297"/>
      <c r="Z21" s="296"/>
    </row>
    <row r="22" spans="2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20"/>
      <c r="R22" s="277"/>
      <c r="S22" s="296"/>
      <c r="T22" s="296"/>
      <c r="U22" s="297"/>
      <c r="V22" s="297"/>
      <c r="W22" s="297"/>
      <c r="X22" s="297"/>
      <c r="Y22" s="297"/>
      <c r="Z22" s="296"/>
    </row>
    <row r="23" spans="2:26" ht="15.75" customHeight="1">
      <c r="B23" s="29" t="s">
        <v>6</v>
      </c>
      <c r="C23" s="366" t="str">
        <f>[24]Brewhouse!$A533</f>
        <v>CA427</v>
      </c>
      <c r="D23" s="279">
        <f>[24]Brewhouse!$AF533</f>
        <v>47.6</v>
      </c>
      <c r="E23" s="279">
        <f>[24]Brewhouse!$AI533</f>
        <v>44.8</v>
      </c>
      <c r="F23" s="278">
        <f>[24]Brewhouse!$V533</f>
        <v>54</v>
      </c>
      <c r="G23" s="279">
        <f>[24]Brewhouse!$AG533</f>
        <v>11.8</v>
      </c>
      <c r="H23" s="396">
        <v>11.8</v>
      </c>
      <c r="I23" s="368">
        <f>[24]Brewhouse!$AU533</f>
        <v>94.522395450056479</v>
      </c>
      <c r="J23" s="368">
        <f>[24]Brewhouse!$AV533</f>
        <v>96.601058540934815</v>
      </c>
      <c r="K23" s="281">
        <f>[24]Brewhouse!$Q533</f>
        <v>8.3234714003944745</v>
      </c>
      <c r="L23" s="276">
        <f>[24]Brewhouse!$P533</f>
        <v>58</v>
      </c>
      <c r="M23" s="397">
        <f>[24]Brewhouse!$U533-[24]Brewhouse!$T533</f>
        <v>0.1166666666666667</v>
      </c>
      <c r="N23" s="370">
        <f>[24]Brewhouse!$Z533</f>
        <v>0.30833333333333335</v>
      </c>
      <c r="O23" s="371" t="str">
        <f>[24]Brewhouse!$AX533</f>
        <v>R. Sookram</v>
      </c>
      <c r="P23" s="420"/>
      <c r="R23" s="277"/>
      <c r="S23" s="296"/>
      <c r="T23" s="296"/>
      <c r="U23" s="297"/>
      <c r="V23" s="297"/>
      <c r="W23" s="297"/>
      <c r="X23" s="297"/>
      <c r="Y23" s="297"/>
      <c r="Z23" s="296"/>
    </row>
    <row r="24" spans="2:26" ht="15.75" customHeight="1">
      <c r="B24" s="29" t="s">
        <v>6</v>
      </c>
      <c r="C24" s="366" t="str">
        <f>[24]Brewhouse!$A534</f>
        <v>CA428</v>
      </c>
      <c r="D24" s="279">
        <f>[24]Brewhouse!$AF534</f>
        <v>54.2</v>
      </c>
      <c r="E24" s="279">
        <f>[24]Brewhouse!$AI534</f>
        <v>50.9</v>
      </c>
      <c r="F24" s="278">
        <f>[24]Brewhouse!$V534</f>
        <v>60</v>
      </c>
      <c r="G24" s="279">
        <f>[24]Brewhouse!$AG534</f>
        <v>11.9</v>
      </c>
      <c r="H24" s="396">
        <v>11.9</v>
      </c>
      <c r="I24" s="368">
        <f>[24]Brewhouse!$AU534</f>
        <v>98.098897075542141</v>
      </c>
      <c r="J24" s="368">
        <f>[24]Brewhouse!$AV534</f>
        <v>100.27634975522382</v>
      </c>
      <c r="K24" s="281">
        <f>[24]Brewhouse!$Q534</f>
        <v>7.4306839186691374</v>
      </c>
      <c r="L24" s="276">
        <f>[24]Brewhouse!$P534</f>
        <v>59</v>
      </c>
      <c r="M24" s="397">
        <f>[24]Brewhouse!$U534-[24]Brewhouse!$T534</f>
        <v>0.11180555555555571</v>
      </c>
      <c r="N24" s="370">
        <f>[24]Brewhouse!$Z534</f>
        <v>0.25416666666666676</v>
      </c>
      <c r="O24" s="371" t="str">
        <f>[24]Brewhouse!$AX534</f>
        <v>R. Regis</v>
      </c>
      <c r="P24" s="420"/>
      <c r="R24" s="277"/>
      <c r="S24" s="296"/>
      <c r="T24" s="296"/>
      <c r="U24" s="297"/>
      <c r="V24" s="297"/>
      <c r="W24" s="297"/>
      <c r="X24" s="297"/>
      <c r="Y24" s="297"/>
      <c r="Z24" s="296"/>
    </row>
    <row r="25" spans="2:26" ht="15.75" customHeight="1">
      <c r="B25" s="29" t="s">
        <v>6</v>
      </c>
      <c r="C25" s="366" t="str">
        <f>[24]Brewhouse!$A535</f>
        <v>CA429</v>
      </c>
      <c r="D25" s="279">
        <f>[24]Brewhouse!$AF535</f>
        <v>54.1</v>
      </c>
      <c r="E25" s="279">
        <f>[24]Brewhouse!$AI535</f>
        <v>50.8</v>
      </c>
      <c r="F25" s="278">
        <f>[24]Brewhouse!$V535</f>
        <v>62</v>
      </c>
      <c r="G25" s="279">
        <f>[24]Brewhouse!$AG535</f>
        <v>11.8</v>
      </c>
      <c r="H25" s="396">
        <v>11.8</v>
      </c>
      <c r="I25" s="368">
        <f>[24]Brewhouse!$AU535</f>
        <v>97.520430517125718</v>
      </c>
      <c r="J25" s="368">
        <f>[24]Brewhouse!$AV535</f>
        <v>99.684096862069694</v>
      </c>
      <c r="K25" s="281">
        <f>[24]Brewhouse!$Q535</f>
        <v>7.7280858676207513</v>
      </c>
      <c r="L25" s="276">
        <f>[24]Brewhouse!$P535</f>
        <v>60</v>
      </c>
      <c r="M25" s="397">
        <f>[24]Brewhouse!$U535-[24]Brewhouse!$T535</f>
        <v>0.19027777777777777</v>
      </c>
      <c r="N25" s="370">
        <f>[24]Brewhouse!$Z535</f>
        <v>0.3208333333333333</v>
      </c>
      <c r="O25" s="371" t="str">
        <f>[24]Brewhouse!$AX535</f>
        <v>R. Regis</v>
      </c>
      <c r="P25" s="420"/>
      <c r="R25" s="277" t="str">
        <f t="shared" si="0"/>
        <v>CARIB</v>
      </c>
      <c r="S25" s="296">
        <f t="shared" si="1"/>
        <v>11.6</v>
      </c>
      <c r="T25" s="296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296">
        <f t="shared" si="8"/>
        <v>60</v>
      </c>
    </row>
    <row r="26" spans="2:26" ht="15.75" customHeight="1">
      <c r="B26" s="29" t="s">
        <v>6</v>
      </c>
      <c r="C26" s="366" t="str">
        <f>[24]Brewhouse!$A536</f>
        <v>CA430</v>
      </c>
      <c r="D26" s="279">
        <f>[24]Brewhouse!$AF536</f>
        <v>54.4</v>
      </c>
      <c r="E26" s="279">
        <f>[24]Brewhouse!$AI536</f>
        <v>51.3</v>
      </c>
      <c r="F26" s="278">
        <f>[24]Brewhouse!$V536</f>
        <v>59</v>
      </c>
      <c r="G26" s="279">
        <f>[24]Brewhouse!$AG536</f>
        <v>11.8</v>
      </c>
      <c r="H26" s="396">
        <v>11.8</v>
      </c>
      <c r="I26" s="368">
        <f>[24]Brewhouse!$AU536</f>
        <v>98.116820172982628</v>
      </c>
      <c r="J26" s="368">
        <f>[24]Brewhouse!$AV536</f>
        <v>100.29443351302365</v>
      </c>
      <c r="K26" s="281">
        <f>[24]Brewhouse!$Q536</f>
        <v>6.2295081967213024</v>
      </c>
      <c r="L26" s="276">
        <f>[24]Brewhouse!$P536</f>
        <v>60</v>
      </c>
      <c r="M26" s="397">
        <f>[24]Brewhouse!$U536-[24]Brewhouse!$T536</f>
        <v>0.12291666666666656</v>
      </c>
      <c r="N26" s="370">
        <f>[24]Brewhouse!$Z536</f>
        <v>0.25486111111111098</v>
      </c>
      <c r="O26" s="371" t="str">
        <f>[24]Brewhouse!$AX536</f>
        <v>R. Regis</v>
      </c>
      <c r="P26" s="420"/>
      <c r="R26" s="277" t="str">
        <f t="shared" si="0"/>
        <v>CARIB</v>
      </c>
      <c r="S26" s="296">
        <f t="shared" si="1"/>
        <v>11.6</v>
      </c>
      <c r="T26" s="296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296">
        <f t="shared" si="8"/>
        <v>60</v>
      </c>
    </row>
    <row r="27" spans="2:26" ht="15.75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20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20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20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20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20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20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20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.75" customHeight="1" thickBot="1">
      <c r="B34" s="358"/>
      <c r="C34" s="358"/>
      <c r="D34" s="358"/>
      <c r="E34" s="358"/>
      <c r="F34" s="294"/>
      <c r="G34" s="294"/>
      <c r="H34" s="348"/>
      <c r="I34" s="497" t="s">
        <v>34</v>
      </c>
      <c r="J34" s="497"/>
      <c r="K34" s="497"/>
      <c r="L34" s="497"/>
      <c r="M34" s="497"/>
      <c r="N34" s="497"/>
      <c r="O34" s="1"/>
      <c r="P34" s="12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7" ht="15" thickBot="1">
      <c r="B35" s="388" t="s">
        <v>180</v>
      </c>
      <c r="C35" s="388"/>
      <c r="D35" s="475" t="s">
        <v>35</v>
      </c>
      <c r="E35" s="476"/>
      <c r="F35" s="294"/>
      <c r="G35" s="294"/>
      <c r="H35" s="348"/>
      <c r="I35" s="24" t="s">
        <v>17</v>
      </c>
      <c r="J35" s="25" t="s">
        <v>36</v>
      </c>
      <c r="K35" s="26" t="s">
        <v>138</v>
      </c>
      <c r="L35" s="25" t="s">
        <v>37</v>
      </c>
      <c r="M35" s="25" t="s">
        <v>38</v>
      </c>
      <c r="N35" s="27" t="s">
        <v>39</v>
      </c>
      <c r="O35" s="294"/>
      <c r="P35" s="12"/>
      <c r="R35" s="277" t="str">
        <f t="shared" si="0"/>
        <v xml:space="preserve">BRAND 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7" ht="15" customHeight="1">
      <c r="A36" s="28"/>
      <c r="B36" s="573" t="str">
        <f>I38</f>
        <v>GUINNESS</v>
      </c>
      <c r="C36" s="362">
        <f>[26]Process!D71</f>
        <v>17.600000000000001</v>
      </c>
      <c r="D36" s="501">
        <v>17.489999999999998</v>
      </c>
      <c r="E36" s="502"/>
      <c r="F36" s="294"/>
      <c r="G36" s="294"/>
      <c r="H36" s="348"/>
      <c r="I36" s="29" t="s">
        <v>6</v>
      </c>
      <c r="J36" s="280">
        <f>AVERAGE(I23:I26)</f>
        <v>97.064635803926734</v>
      </c>
      <c r="K36" s="284">
        <f>COUNTA([24]Brewhouse!$A$493:$A$536)</f>
        <v>44</v>
      </c>
      <c r="L36" s="305">
        <f>AVERAGE([24]Brewhouse!$AU$493:$AU$536)</f>
        <v>97.879601222116975</v>
      </c>
      <c r="M36" s="302">
        <f>AVERAGE([24]Brewhouse!$AU$102:$AU$171,[24]Brewhouse!$AU$173:$AU$253,[24]Brewhouse!$AU$255:$AU$339,[24]Brewhouse!$AU$341:$AU$346,[24]Brewhouse!$AU$348,[24]Brewhouse!$AU$349:$AU$406,[24]Brewhouse!$AU$408:$AU$491,[24]Brewhouse!$AU$493:$AU$536)</f>
        <v>97.683038586373613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</row>
    <row r="37" spans="1:27" ht="15" customHeight="1">
      <c r="A37" s="28"/>
      <c r="B37" s="568"/>
      <c r="C37" s="349">
        <f>[26]Process!D72</f>
        <v>17.5</v>
      </c>
      <c r="D37" s="503"/>
      <c r="E37" s="504"/>
      <c r="F37" s="294"/>
      <c r="G37" s="294"/>
      <c r="H37" s="348"/>
      <c r="I37" s="33" t="s">
        <v>9</v>
      </c>
      <c r="J37" s="280"/>
      <c r="K37" s="284">
        <f>COUNTA([25]Brewhouse!$A$242:$A$261)</f>
        <v>20</v>
      </c>
      <c r="L37" s="302">
        <f>AVERAGE([25]Brewhouse!$AS$242:$AS$261)</f>
        <v>97.625065795762325</v>
      </c>
      <c r="M37" s="302">
        <f>AVERAGE([25]Brewhouse!$AS$15:$AS$64,[25]Brewhouse!$AS$66:$AS$103,[25]Brewhouse!$AS$105:$AS$140,[25]Brewhouse!$AS$142:$AS$193,[25]Brewhouse!$AS$195:$AS$240,[25]Brewhouse!$AS$242:$AS$261)</f>
        <v>97.854851527783097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</row>
    <row r="38" spans="1:27" ht="14.7" customHeight="1">
      <c r="A38" s="28"/>
      <c r="B38" s="568"/>
      <c r="C38" s="349">
        <f>[26]Process!D73</f>
        <v>17.3</v>
      </c>
      <c r="D38" s="501">
        <v>17.86</v>
      </c>
      <c r="E38" s="502"/>
      <c r="F38" s="294"/>
      <c r="G38" s="294"/>
      <c r="H38" s="348"/>
      <c r="I38" s="34" t="s">
        <v>12</v>
      </c>
      <c r="J38" s="280"/>
      <c r="K38" s="284"/>
      <c r="L38" s="302"/>
      <c r="M38" s="302">
        <f>AVERAGE([26]Brewhouse!$AU$4:$AU$7,[26]Brewhouse!$AU$9:$AU$22,[26]Brewhouse!$AU$24:$AU$35,[26]Brewhouse!$AU$37:$AU$45,[26]Brewhouse!$AU$47:$AU$62)</f>
        <v>97.179377138297156</v>
      </c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</row>
    <row r="39" spans="1:27" ht="14.7" customHeight="1">
      <c r="A39" s="28"/>
      <c r="B39" s="568"/>
      <c r="C39" s="349">
        <f>[26]Process!D74</f>
        <v>17.2</v>
      </c>
      <c r="D39" s="503"/>
      <c r="E39" s="504"/>
      <c r="F39" s="294"/>
      <c r="G39" s="294"/>
      <c r="H39" s="348"/>
      <c r="I39" s="22" t="s">
        <v>33</v>
      </c>
      <c r="J39" s="280"/>
      <c r="K39" s="284">
        <f>COUNTA([23]Brewhouse!$A$48:$A$53)</f>
        <v>6</v>
      </c>
      <c r="L39" s="302">
        <f>AVERAGE([23]Brewhouse!$AV$48:$AV$53)</f>
        <v>96.180288887301501</v>
      </c>
      <c r="M39" s="302">
        <f>AVERAGE([23]Brewhouse!$AV$5:$AV$14,[23]Brewhouse!$AV$16:$AV$19,[23]Brewhouse!$AV$21:$AV$24,[23]Brewhouse!$AV$26:$AV$33,[23]Brewhouse!$AV$35:$AV$46,[23]Brewhouse!$AV$48:$AV$53)</f>
        <v>98.620083722669861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</row>
    <row r="40" spans="1:27" ht="14.7" customHeight="1">
      <c r="A40" s="28"/>
      <c r="B40" s="568"/>
      <c r="C40" s="349"/>
      <c r="D40" s="501"/>
      <c r="E40" s="502"/>
      <c r="F40" s="419"/>
      <c r="G40" s="294"/>
      <c r="H40" s="348"/>
      <c r="I40" s="35" t="s">
        <v>29</v>
      </c>
      <c r="J40" s="280"/>
      <c r="K40" s="284"/>
      <c r="L40" s="302"/>
      <c r="M40" s="302"/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</row>
    <row r="41" spans="1:27" ht="14.7" customHeight="1">
      <c r="A41" s="28"/>
      <c r="B41" s="568"/>
      <c r="C41" s="349"/>
      <c r="D41" s="503"/>
      <c r="E41" s="504"/>
      <c r="F41" s="419"/>
      <c r="G41" s="294"/>
      <c r="H41" s="348"/>
      <c r="I41" s="36" t="s">
        <v>15</v>
      </c>
      <c r="J41" s="323"/>
      <c r="K41" s="284">
        <f>COUNTA([27]Brewhouse!$A$18:$A$21)</f>
        <v>4</v>
      </c>
      <c r="L41" s="302">
        <f>AVERAGE([27]Brewhouse!$AT$18:$AT$21)</f>
        <v>95.061602643439088</v>
      </c>
      <c r="M41" s="302">
        <f>AVERAGE([27]Brewhouse!$AT$4:$AT$11,[27]Brewhouse!$AT$13:$AT$16,[27]Brewhouse!$AT$18:$AT$21)</f>
        <v>94.773169817643847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4.7" customHeight="1">
      <c r="A42" s="28"/>
      <c r="B42" s="568"/>
      <c r="C42" s="349"/>
      <c r="D42" s="501"/>
      <c r="E42" s="502"/>
      <c r="F42" s="419"/>
      <c r="G42" s="294"/>
      <c r="H42" s="348"/>
      <c r="I42" s="37" t="s">
        <v>16</v>
      </c>
      <c r="J42" s="323"/>
      <c r="K42" s="284">
        <f>COUNTA([22]Brewhouse!$A$45:$A$50)</f>
        <v>6</v>
      </c>
      <c r="L42" s="302">
        <f>AVERAGE([22]Brewhouse!$AY$45:$AY$50)</f>
        <v>96.288901438431267</v>
      </c>
      <c r="M42" s="302">
        <f>AVERAGE([22]Brewhouse!$AY$6:$AY$13,[22]Brewhouse!$AY$15:$AY$20,[22]Brewhouse!$AY$22:$AY$29,[22]Brewhouse!$AY$31:$AY$34,[22]Brewhouse!$AY$36:$AY$43,[22]Brewhouse!$AY$45:$AY$50)</f>
        <v>96.612624784592427</v>
      </c>
      <c r="N42" s="30">
        <v>98</v>
      </c>
      <c r="O42" s="11"/>
      <c r="P42" s="31" t="s">
        <v>41</v>
      </c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4.7" customHeight="1">
      <c r="A43" s="28"/>
      <c r="B43" s="568"/>
      <c r="C43" s="349"/>
      <c r="D43" s="503"/>
      <c r="E43" s="504"/>
      <c r="F43" s="294"/>
      <c r="G43" s="294"/>
      <c r="H43" s="348"/>
      <c r="I43" s="411" t="s">
        <v>158</v>
      </c>
      <c r="J43" s="326"/>
      <c r="K43" s="284">
        <f>COUNTA([28]Brewhouse!$A$10:$A$13)</f>
        <v>4</v>
      </c>
      <c r="L43" s="305">
        <f>AVERAGE([28]Brewhouse!$AU$10:$AU$13)</f>
        <v>97.488444912767932</v>
      </c>
      <c r="M43" s="305">
        <f>AVERAGE([28]Brewhouse!$AU$5:$AU$8,[28]Brewhouse!$AU$10:$AU$13)</f>
        <v>94.247666625193744</v>
      </c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4.7" customHeight="1">
      <c r="A44" s="28"/>
      <c r="B44" s="568"/>
      <c r="C44" s="349"/>
      <c r="D44" s="501"/>
      <c r="E44" s="502"/>
      <c r="F44" s="294"/>
      <c r="G44" s="294"/>
      <c r="H44" s="348"/>
      <c r="I44" s="410" t="s">
        <v>157</v>
      </c>
      <c r="J44" s="326"/>
      <c r="K44" s="284"/>
      <c r="L44" s="305"/>
      <c r="M44" s="305"/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5" customHeight="1" thickBot="1">
      <c r="A45" s="28"/>
      <c r="B45" s="568"/>
      <c r="C45" s="349"/>
      <c r="D45" s="503"/>
      <c r="E45" s="504"/>
      <c r="F45" s="294"/>
      <c r="G45" s="294"/>
      <c r="H45" s="348"/>
      <c r="I45" s="406" t="s">
        <v>156</v>
      </c>
      <c r="J45" s="327"/>
      <c r="K45" s="407"/>
      <c r="L45" s="408"/>
      <c r="M45" s="408"/>
      <c r="N45" s="409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5" customHeight="1" thickBot="1">
      <c r="A46" s="28"/>
      <c r="B46" s="568"/>
      <c r="C46" s="349"/>
      <c r="D46" s="501"/>
      <c r="E46" s="502"/>
      <c r="F46" s="294"/>
      <c r="G46" s="294"/>
      <c r="H46" s="348"/>
      <c r="I46" s="1"/>
      <c r="J46" s="39"/>
      <c r="K46" s="404">
        <f>SUM(K36:K45)</f>
        <v>84</v>
      </c>
      <c r="L46" s="405">
        <f>((L36*K36)+(L37*K37)+(L38*K38)+(L39*K39)+(L40*K40)+(K43*L43)+(L41*K41)+(L42*K42)+(L45*K45))/(K46)</f>
        <v>97.431179784138322</v>
      </c>
      <c r="M46" s="405">
        <f>AVERAGE('[29]Jan 31st'!$L$65,'[30]Feb 28th'!$L$35,'[31]Mar. 31st'!$L$35,'[32]Apr. 30th'!$L$45,'[33]May 30th'!$L$37,L46)</f>
        <v>97.601738870251225</v>
      </c>
      <c r="N46" s="4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  <c r="AA46" s="296"/>
    </row>
    <row r="47" spans="1:27" ht="15" thickBot="1">
      <c r="B47" s="569"/>
      <c r="C47" s="350"/>
      <c r="D47" s="503"/>
      <c r="E47" s="504"/>
      <c r="F47" s="294"/>
      <c r="G47" s="42"/>
      <c r="H47" s="41"/>
      <c r="I47" s="42"/>
      <c r="J47" s="42"/>
      <c r="K47" s="351"/>
      <c r="L47" s="348"/>
      <c r="M47" s="348"/>
      <c r="N47" s="11"/>
      <c r="O47" s="294"/>
      <c r="P47" s="12"/>
      <c r="R47" s="277"/>
      <c r="S47" s="296"/>
      <c r="T47" s="296"/>
      <c r="U47" s="297"/>
      <c r="V47" s="297"/>
      <c r="W47" s="297"/>
      <c r="X47" s="297"/>
      <c r="Y47" s="297"/>
      <c r="Z47" s="296"/>
      <c r="AA47" s="296"/>
    </row>
    <row r="48" spans="1:27" ht="15" thickBot="1">
      <c r="B48" s="511" t="str">
        <f>I36</f>
        <v>CARIB</v>
      </c>
      <c r="C48" s="362">
        <f>[24]Process!D480</f>
        <v>12</v>
      </c>
      <c r="D48" s="514">
        <v>11.69</v>
      </c>
      <c r="E48" s="515"/>
      <c r="F48" s="294"/>
      <c r="G48" s="42"/>
      <c r="H48" s="41"/>
      <c r="I48" s="41"/>
      <c r="J48" s="551" t="s">
        <v>129</v>
      </c>
      <c r="K48" s="551"/>
      <c r="L48" s="294"/>
      <c r="M48" s="294"/>
      <c r="N48" s="294"/>
      <c r="O48" s="294"/>
      <c r="P48" s="12"/>
    </row>
    <row r="49" spans="2:56" ht="13.5" customHeight="1" thickBot="1">
      <c r="B49" s="512"/>
      <c r="C49" s="349">
        <f>[24]Process!D481</f>
        <v>11.9</v>
      </c>
      <c r="D49" s="516"/>
      <c r="E49" s="504"/>
      <c r="F49" s="294"/>
      <c r="G49" s="42"/>
      <c r="H49" s="41"/>
      <c r="I49" s="41"/>
      <c r="J49" s="292" t="s">
        <v>17</v>
      </c>
      <c r="K49" s="293" t="s">
        <v>191</v>
      </c>
      <c r="L49" s="518" t="s">
        <v>136</v>
      </c>
      <c r="M49" s="518"/>
      <c r="N49" s="519"/>
      <c r="O49" s="294"/>
      <c r="P49" s="12"/>
    </row>
    <row r="50" spans="2:56" ht="15" customHeight="1" thickBot="1">
      <c r="B50" s="512"/>
      <c r="C50" s="349">
        <f>[24]Process!D482</f>
        <v>11.64</v>
      </c>
      <c r="D50" s="545">
        <v>11.67</v>
      </c>
      <c r="E50" s="546"/>
      <c r="F50" s="294"/>
      <c r="G50" s="42"/>
      <c r="H50" s="41"/>
      <c r="I50" s="41"/>
      <c r="J50" s="287" t="s">
        <v>6</v>
      </c>
      <c r="K50" s="324">
        <v>4</v>
      </c>
      <c r="L50" s="343" t="s">
        <v>37</v>
      </c>
      <c r="M50" s="307" t="s">
        <v>38</v>
      </c>
      <c r="N50" s="307" t="s">
        <v>84</v>
      </c>
      <c r="O50" s="294"/>
      <c r="P50" s="12"/>
    </row>
    <row r="51" spans="2:56" ht="15.75" customHeight="1" thickBot="1">
      <c r="B51" s="512"/>
      <c r="C51" s="349">
        <f>[24]Process!D483</f>
        <v>11.73</v>
      </c>
      <c r="D51" s="516"/>
      <c r="E51" s="504"/>
      <c r="F51" s="294"/>
      <c r="G51" s="42"/>
      <c r="H51" s="41"/>
      <c r="I51" s="41"/>
      <c r="J51" s="345" t="s">
        <v>9</v>
      </c>
      <c r="K51" s="324"/>
      <c r="L51" s="344">
        <f>AVERAGE('June 2nd'!K57,'June 3rd'!K63,'June 4th'!K63,'June 5th '!K63,'June 6th'!K63,'June 10th'!K63,'June 11th'!K63,'June 12th '!K63,'June 13th'!I65,'June 13th'!K65,'June 16th'!K60,'June 23rd'!K60,'June 17th '!K60,'June 18th'!K60)</f>
        <v>6.2857142857142856</v>
      </c>
      <c r="M51" s="325">
        <f>AVERAGE('[29]Jan 29th '!$M$70,'[30]Feb 28th'!$L$40,'[31]Mar. 31st'!$L$40,'[32]Apr. 30th'!$L$50,'[33]May 30th'!$L$42,L51)</f>
        <v>6.5820592451027231</v>
      </c>
      <c r="N51" s="418">
        <v>9.1999999999999993</v>
      </c>
      <c r="O51" s="294"/>
      <c r="P51" s="12"/>
    </row>
    <row r="52" spans="2:56" ht="15" customHeight="1">
      <c r="B52" s="512"/>
      <c r="C52" s="349">
        <f>[24]Process!D497</f>
        <v>11.8</v>
      </c>
      <c r="D52" s="545">
        <v>11.85</v>
      </c>
      <c r="E52" s="546"/>
      <c r="F52" s="294"/>
      <c r="G52" s="42"/>
      <c r="H52" s="41"/>
      <c r="I52" s="41"/>
      <c r="J52" s="288" t="s">
        <v>40</v>
      </c>
      <c r="K52" s="324"/>
      <c r="L52" s="294"/>
      <c r="M52" s="294"/>
      <c r="N52" s="294"/>
      <c r="O52" s="294"/>
      <c r="P52" s="12"/>
    </row>
    <row r="53" spans="2:56" ht="15" customHeight="1">
      <c r="B53" s="512"/>
      <c r="C53" s="349">
        <f>[24]Process!D498</f>
        <v>11.9</v>
      </c>
      <c r="D53" s="516"/>
      <c r="E53" s="504"/>
      <c r="F53" s="294"/>
      <c r="G53" s="42"/>
      <c r="H53" s="41"/>
      <c r="I53" s="41"/>
      <c r="J53" s="289" t="s">
        <v>33</v>
      </c>
      <c r="K53" s="324"/>
      <c r="L53" s="294"/>
      <c r="M53" s="294"/>
      <c r="N53" s="294"/>
      <c r="O53" s="294"/>
      <c r="P53" s="12"/>
    </row>
    <row r="54" spans="2:56" ht="14.4">
      <c r="B54" s="512"/>
      <c r="C54" s="349">
        <f>[24]Process!D499</f>
        <v>11.7</v>
      </c>
      <c r="D54" s="545">
        <v>11.69</v>
      </c>
      <c r="E54" s="546"/>
      <c r="F54" s="294"/>
      <c r="G54" s="42"/>
      <c r="H54" s="41"/>
      <c r="I54" s="41"/>
      <c r="J54" s="290" t="s">
        <v>16</v>
      </c>
      <c r="K54" s="324"/>
      <c r="L54" s="294"/>
      <c r="M54" s="294"/>
      <c r="N54" s="294"/>
      <c r="O54" s="294"/>
      <c r="P54" s="12"/>
      <c r="BC54" s="44"/>
      <c r="BD54" s="44"/>
    </row>
    <row r="55" spans="2:56" ht="14.4">
      <c r="B55" s="512"/>
      <c r="C55" s="349">
        <f>[24]Process!D500</f>
        <v>11.7</v>
      </c>
      <c r="D55" s="516"/>
      <c r="E55" s="504"/>
      <c r="F55" s="294"/>
      <c r="G55" s="42"/>
      <c r="H55" s="41"/>
      <c r="I55" s="41"/>
      <c r="J55" s="291" t="s">
        <v>15</v>
      </c>
      <c r="K55" s="324"/>
      <c r="L55" s="294"/>
      <c r="M55" s="294"/>
      <c r="N55" s="294"/>
      <c r="O55" s="294"/>
      <c r="P55" s="12"/>
      <c r="BC55" s="44"/>
      <c r="BD55" s="44"/>
    </row>
    <row r="56" spans="2:56" ht="14.4">
      <c r="B56" s="512"/>
      <c r="C56" s="349"/>
      <c r="D56" s="545"/>
      <c r="E56" s="546"/>
      <c r="F56" s="294"/>
      <c r="G56" s="42"/>
      <c r="H56" s="41"/>
      <c r="I56" s="41"/>
      <c r="J56" s="291" t="s">
        <v>149</v>
      </c>
      <c r="K56" s="324"/>
      <c r="L56" s="294"/>
      <c r="M56" s="294"/>
      <c r="N56" s="294"/>
      <c r="O56" s="294"/>
      <c r="P56" s="12"/>
      <c r="BC56" s="44"/>
      <c r="BD56" s="44"/>
    </row>
    <row r="57" spans="2:56" ht="15" thickBot="1">
      <c r="B57" s="513"/>
      <c r="C57" s="350"/>
      <c r="D57" s="547"/>
      <c r="E57" s="548"/>
      <c r="F57" s="294"/>
      <c r="G57" s="42"/>
      <c r="H57" s="41"/>
      <c r="I57" s="41"/>
      <c r="J57" s="291" t="s">
        <v>148</v>
      </c>
      <c r="K57" s="324"/>
      <c r="L57" s="294"/>
      <c r="M57" s="294"/>
      <c r="N57" s="294"/>
      <c r="O57" s="294"/>
      <c r="P57" s="12"/>
      <c r="BC57" s="44"/>
      <c r="BD57" s="44"/>
    </row>
    <row r="58" spans="2:56" ht="17.7" customHeight="1" thickBot="1">
      <c r="B58" s="312" t="s">
        <v>139</v>
      </c>
      <c r="C58" s="313"/>
      <c r="D58" s="562">
        <f>AVERAGE(D36:E57)</f>
        <v>13.70833333333333</v>
      </c>
      <c r="E58" s="563"/>
      <c r="F58" s="294"/>
      <c r="G58" s="42"/>
      <c r="H58" s="41"/>
      <c r="I58" s="41"/>
      <c r="J58" s="295" t="s">
        <v>134</v>
      </c>
      <c r="K58" s="324"/>
      <c r="L58" s="294"/>
      <c r="M58" s="294"/>
      <c r="N58" s="294"/>
      <c r="O58" s="294"/>
      <c r="P58" s="12"/>
      <c r="BC58" s="44"/>
      <c r="BD58" s="44"/>
    </row>
    <row r="59" spans="2:56" ht="17.7" customHeight="1">
      <c r="B59" s="363"/>
      <c r="C59" s="364"/>
      <c r="D59" s="365"/>
      <c r="E59" s="365"/>
      <c r="F59" s="294"/>
      <c r="G59" s="42"/>
      <c r="H59" s="41"/>
      <c r="I59" s="41"/>
      <c r="J59" s="295" t="s">
        <v>131</v>
      </c>
      <c r="K59" s="324"/>
      <c r="L59" s="294"/>
      <c r="M59" s="294"/>
      <c r="N59" s="294"/>
      <c r="O59" s="294"/>
      <c r="P59" s="12"/>
      <c r="BC59" s="44"/>
      <c r="BD59" s="44"/>
    </row>
    <row r="60" spans="2:56" ht="15.75" customHeight="1">
      <c r="B60" s="45"/>
      <c r="C60" s="11"/>
      <c r="D60" s="11"/>
      <c r="E60" s="46"/>
      <c r="F60" s="294"/>
      <c r="G60" s="42"/>
      <c r="H60" s="41"/>
      <c r="I60" s="41"/>
      <c r="J60" s="346" t="s">
        <v>130</v>
      </c>
      <c r="K60" s="324">
        <f>SUM(K50:K59)</f>
        <v>4</v>
      </c>
      <c r="L60" s="294"/>
      <c r="M60" s="294"/>
      <c r="N60" s="294"/>
      <c r="O60" s="294"/>
      <c r="P60" s="12"/>
    </row>
    <row r="61" spans="2:56" ht="20.25" customHeight="1">
      <c r="B61" s="15" t="s">
        <v>42</v>
      </c>
      <c r="C61" s="1" t="s">
        <v>43</v>
      </c>
      <c r="D61" s="1"/>
      <c r="E61" s="1"/>
      <c r="F61" s="294"/>
      <c r="G61" s="42"/>
      <c r="H61" s="41"/>
      <c r="I61" s="42"/>
      <c r="L61" s="294"/>
      <c r="P61" s="334"/>
    </row>
    <row r="62" spans="2:56" ht="15" customHeight="1" thickBot="1"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8"/>
      <c r="O62" s="48"/>
      <c r="P62" s="49"/>
    </row>
    <row r="63" spans="2:56" ht="15" customHeight="1" thickBot="1">
      <c r="B63" s="526" t="s">
        <v>17</v>
      </c>
      <c r="C63" s="526" t="s">
        <v>44</v>
      </c>
      <c r="D63" s="528" t="s">
        <v>45</v>
      </c>
      <c r="E63" s="483" t="s">
        <v>46</v>
      </c>
      <c r="F63" s="543" t="s">
        <v>47</v>
      </c>
      <c r="G63" s="537" t="s">
        <v>48</v>
      </c>
      <c r="H63" s="526" t="s">
        <v>49</v>
      </c>
      <c r="I63" s="526" t="s">
        <v>50</v>
      </c>
      <c r="J63" s="531" t="s">
        <v>28</v>
      </c>
      <c r="K63" s="481" t="s">
        <v>51</v>
      </c>
      <c r="L63" s="493" t="s">
        <v>52</v>
      </c>
      <c r="M63" s="531" t="s">
        <v>53</v>
      </c>
      <c r="N63" s="13"/>
      <c r="O63" s="13"/>
      <c r="P63" s="50"/>
    </row>
    <row r="64" spans="2:56" ht="28.5" customHeight="1" thickTop="1" thickBot="1">
      <c r="B64" s="527"/>
      <c r="C64" s="527"/>
      <c r="D64" s="529"/>
      <c r="E64" s="530"/>
      <c r="F64" s="544"/>
      <c r="G64" s="538"/>
      <c r="H64" s="527"/>
      <c r="I64" s="527"/>
      <c r="J64" s="532"/>
      <c r="K64" s="541"/>
      <c r="L64" s="542"/>
      <c r="M64" s="532"/>
      <c r="N64" s="13"/>
      <c r="O64" s="13"/>
      <c r="P64" s="50"/>
      <c r="Q64" s="355"/>
      <c r="AB64" s="51">
        <v>43474</v>
      </c>
      <c r="AC64" s="51">
        <v>43475</v>
      </c>
      <c r="AD64" s="51">
        <v>43476</v>
      </c>
      <c r="AE64" s="51">
        <v>43477</v>
      </c>
      <c r="AF64" s="51">
        <v>43478</v>
      </c>
      <c r="AG64" s="51">
        <v>43479</v>
      </c>
      <c r="AH64" s="51">
        <v>43480</v>
      </c>
      <c r="AI64" s="51">
        <v>43481</v>
      </c>
      <c r="AJ64" s="51">
        <v>43482</v>
      </c>
      <c r="AK64" s="51">
        <v>43483</v>
      </c>
      <c r="AL64" s="51">
        <v>43484</v>
      </c>
      <c r="AM64" s="51">
        <v>43485</v>
      </c>
      <c r="AN64" s="51">
        <v>43486</v>
      </c>
      <c r="AO64" s="51">
        <v>43487</v>
      </c>
      <c r="AP64" s="51">
        <v>43488</v>
      </c>
      <c r="AQ64" s="51">
        <v>43489</v>
      </c>
      <c r="AR64" s="51">
        <v>43490</v>
      </c>
      <c r="AS64" s="51">
        <v>43491</v>
      </c>
      <c r="AT64" s="51">
        <v>43492</v>
      </c>
      <c r="AU64" s="51">
        <v>43493</v>
      </c>
      <c r="AV64" s="51">
        <v>43494</v>
      </c>
      <c r="AW64" s="51">
        <v>43495</v>
      </c>
      <c r="AX64" s="51">
        <v>43496</v>
      </c>
    </row>
    <row r="65" spans="2:57" s="54" customFormat="1" ht="51" customHeight="1">
      <c r="B65" s="436" t="str">
        <f>B74</f>
        <v>GUINN</v>
      </c>
      <c r="C65" s="432">
        <v>45831</v>
      </c>
      <c r="D65" s="377">
        <f>[34]June_2025!$Z$23</f>
        <v>213.7</v>
      </c>
      <c r="E65" s="378">
        <f>[35]GUINNESS!$S$14</f>
        <v>2.3000000000000003</v>
      </c>
      <c r="F65" s="379"/>
      <c r="G65" s="303">
        <f>[34]June_2025!$Z$28</f>
        <v>175.3</v>
      </c>
      <c r="H65" s="320"/>
      <c r="I65" s="322"/>
      <c r="J65" s="392" t="s">
        <v>181</v>
      </c>
      <c r="K65" s="286">
        <f>[36]June_2025!$Z$32</f>
        <v>0.30754385964912284</v>
      </c>
      <c r="L65" s="314">
        <f>(((D65+E65)-G65)/(D65+E65))*100</f>
        <v>18.842592592592588</v>
      </c>
      <c r="M65" s="417" t="s">
        <v>185</v>
      </c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416"/>
      <c r="AC65" s="416"/>
      <c r="AD65" s="416"/>
      <c r="AE65" s="416"/>
      <c r="AF65" s="416"/>
      <c r="AG65" s="416"/>
      <c r="AH65" s="416"/>
      <c r="AI65" s="416"/>
      <c r="AJ65" s="416"/>
      <c r="AK65" s="416"/>
      <c r="AL65" s="416"/>
      <c r="AM65" s="416"/>
      <c r="AN65" s="416"/>
      <c r="AO65" s="416"/>
      <c r="AP65" s="416"/>
      <c r="AQ65" s="416"/>
      <c r="AR65" s="416"/>
      <c r="AS65" s="416"/>
      <c r="AT65" s="416"/>
      <c r="AU65" s="416"/>
      <c r="AV65" s="416"/>
      <c r="AW65" s="416"/>
    </row>
    <row r="66" spans="2:57" s="54" customFormat="1" ht="23.25" customHeight="1">
      <c r="B66" s="22"/>
      <c r="C66" s="283"/>
      <c r="D66" s="377"/>
      <c r="E66" s="378"/>
      <c r="F66" s="379"/>
      <c r="G66" s="303"/>
      <c r="H66" s="320"/>
      <c r="I66" s="322"/>
      <c r="J66" s="281"/>
      <c r="K66" s="286"/>
      <c r="L66" s="314"/>
      <c r="M66" s="417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416"/>
      <c r="AC66" s="416"/>
      <c r="AD66" s="416"/>
      <c r="AE66" s="416"/>
      <c r="AF66" s="416"/>
      <c r="AG66" s="416"/>
      <c r="AH66" s="416"/>
      <c r="AI66" s="416"/>
      <c r="AJ66" s="416"/>
      <c r="AK66" s="416"/>
      <c r="AL66" s="416"/>
      <c r="AM66" s="416"/>
      <c r="AN66" s="416"/>
      <c r="AO66" s="416"/>
      <c r="AP66" s="416"/>
      <c r="AQ66" s="416"/>
      <c r="AR66" s="416"/>
      <c r="AS66" s="416"/>
      <c r="AT66" s="416"/>
      <c r="AU66" s="416"/>
      <c r="AV66" s="416"/>
      <c r="AW66" s="416"/>
    </row>
    <row r="67" spans="2:57" s="54" customFormat="1" ht="53.25" customHeight="1">
      <c r="B67" s="387" t="str">
        <f>B72</f>
        <v>CARIB</v>
      </c>
      <c r="C67" s="432">
        <v>45831</v>
      </c>
      <c r="D67" s="377">
        <f>[34]June_2025!$Z$3</f>
        <v>427.5</v>
      </c>
      <c r="E67" s="378"/>
      <c r="F67" s="379"/>
      <c r="G67" s="303">
        <f>[34]June_2025!$Z$7</f>
        <v>407.7</v>
      </c>
      <c r="H67" s="320"/>
      <c r="I67" s="322"/>
      <c r="J67" s="392" t="s">
        <v>203</v>
      </c>
      <c r="K67" s="286">
        <f>[36]June_2025!$Z$18</f>
        <v>0.4768421052631579</v>
      </c>
      <c r="L67" s="391">
        <f>(((D67+E67)-G67)/(D67+E67))*100</f>
        <v>4.631578947368423</v>
      </c>
      <c r="M67" s="417" t="s">
        <v>202</v>
      </c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57">
        <f>[20]January_2019!L7</f>
        <v>0</v>
      </c>
      <c r="AC67" s="57">
        <f>[20]January_2019!M7</f>
        <v>0</v>
      </c>
      <c r="AD67" s="57">
        <f>[20]January_2019!N7</f>
        <v>0</v>
      </c>
      <c r="AE67" s="57">
        <f>[20]January_2019!O7</f>
        <v>0</v>
      </c>
      <c r="AF67" s="57">
        <f>[20]January_2019!P7</f>
        <v>0</v>
      </c>
      <c r="AG67" s="57">
        <f>[20]January_2019!Q7</f>
        <v>0</v>
      </c>
      <c r="AH67" s="57">
        <f>[20]January_2019!R7</f>
        <v>0</v>
      </c>
      <c r="AI67" s="57">
        <f>[20]January_2019!S7</f>
        <v>0</v>
      </c>
      <c r="AJ67" s="57">
        <f>[20]January_2019!T7</f>
        <v>0</v>
      </c>
      <c r="AK67" s="57">
        <f>[20]January_2019!U7</f>
        <v>0</v>
      </c>
      <c r="AL67" s="57">
        <f>[20]January_2019!V7</f>
        <v>0</v>
      </c>
      <c r="AM67" s="57">
        <f>[20]January_2019!W7</f>
        <v>0</v>
      </c>
      <c r="AN67" s="57">
        <f>[20]January_2019!X7</f>
        <v>0</v>
      </c>
      <c r="AO67" s="57">
        <f>[20]January_2019!Y7</f>
        <v>0</v>
      </c>
      <c r="AP67" s="57">
        <f>[20]January_2019!Z7</f>
        <v>0</v>
      </c>
      <c r="AQ67" s="57">
        <f>[20]January_2019!AA7</f>
        <v>0</v>
      </c>
      <c r="AR67" s="57">
        <f>[20]January_2019!AB7</f>
        <v>0</v>
      </c>
      <c r="AS67" s="57">
        <f>[20]January_2019!AC7</f>
        <v>0</v>
      </c>
      <c r="AT67" s="57">
        <f>[20]January_2019!AD7</f>
        <v>0</v>
      </c>
      <c r="AU67" s="57">
        <f>[20]January_2019!AE7</f>
        <v>0</v>
      </c>
      <c r="AV67" s="57">
        <f>[20]January_2019!AF7</f>
        <v>0</v>
      </c>
      <c r="AW67" s="57">
        <f>[20]January_2019!AG7</f>
        <v>0</v>
      </c>
      <c r="AX67" s="277">
        <f>[20]January_2019!AH7</f>
        <v>0</v>
      </c>
      <c r="AY67" s="277"/>
      <c r="AZ67" s="277"/>
      <c r="BA67" s="277"/>
      <c r="BB67" s="277"/>
      <c r="BC67" s="277"/>
      <c r="BD67" s="277"/>
      <c r="BE67" s="277"/>
    </row>
    <row r="68" spans="2:57" s="54" customFormat="1" ht="16.5" customHeight="1">
      <c r="B68" s="423"/>
      <c r="C68" s="283"/>
      <c r="D68" s="377"/>
      <c r="E68" s="378"/>
      <c r="F68" s="379"/>
      <c r="G68" s="303"/>
      <c r="H68" s="320"/>
      <c r="I68" s="322"/>
      <c r="J68" s="281"/>
      <c r="K68" s="286"/>
      <c r="L68" s="314"/>
      <c r="M68" s="417"/>
      <c r="N68" s="13"/>
      <c r="O68" s="13"/>
      <c r="P68" s="50"/>
      <c r="R68" s="275"/>
      <c r="S68" s="275"/>
      <c r="T68" s="275"/>
      <c r="U68" s="275"/>
      <c r="V68" s="275"/>
      <c r="W68" s="275"/>
      <c r="X68" s="275"/>
      <c r="Y68" s="275"/>
      <c r="Z68" s="275"/>
      <c r="AA68" s="275"/>
      <c r="AB68" s="416"/>
      <c r="AC68" s="416"/>
      <c r="AD68" s="416"/>
      <c r="AE68" s="416"/>
      <c r="AF68" s="416"/>
      <c r="AG68" s="416"/>
      <c r="AH68" s="416"/>
      <c r="AI68" s="416"/>
      <c r="AJ68" s="416"/>
      <c r="AK68" s="416"/>
      <c r="AL68" s="416"/>
      <c r="AM68" s="416"/>
      <c r="AN68" s="416"/>
      <c r="AO68" s="416"/>
      <c r="AP68" s="416"/>
      <c r="AQ68" s="416"/>
      <c r="AR68" s="416"/>
      <c r="AS68" s="416"/>
      <c r="AT68" s="416"/>
      <c r="AU68" s="416"/>
      <c r="AV68" s="416"/>
      <c r="AW68" s="416"/>
    </row>
    <row r="69" spans="2:57" ht="18" customHeight="1" thickBot="1">
      <c r="B69" s="59"/>
      <c r="C69" s="30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 t="s">
        <v>41</v>
      </c>
      <c r="O69" s="56"/>
      <c r="P69" s="60"/>
    </row>
    <row r="70" spans="2:57" ht="14.4" thickBot="1">
      <c r="B70" s="533" t="s">
        <v>55</v>
      </c>
      <c r="C70" s="534"/>
      <c r="D70" s="534"/>
      <c r="E70" s="534"/>
      <c r="F70" s="535"/>
      <c r="G70" s="533" t="s">
        <v>56</v>
      </c>
      <c r="H70" s="534"/>
      <c r="I70" s="534"/>
      <c r="J70" s="535"/>
      <c r="K70" s="533" t="s">
        <v>51</v>
      </c>
      <c r="L70" s="534"/>
      <c r="M70" s="534"/>
      <c r="N70" s="536"/>
      <c r="O70" s="56"/>
      <c r="P70" s="50"/>
    </row>
    <row r="71" spans="2:57">
      <c r="B71" s="61" t="s">
        <v>17</v>
      </c>
      <c r="C71" s="62" t="s">
        <v>36</v>
      </c>
      <c r="D71" s="62" t="s">
        <v>37</v>
      </c>
      <c r="E71" s="62" t="s">
        <v>38</v>
      </c>
      <c r="F71" s="63" t="s">
        <v>39</v>
      </c>
      <c r="G71" s="62" t="s">
        <v>36</v>
      </c>
      <c r="H71" s="62" t="s">
        <v>37</v>
      </c>
      <c r="I71" s="62" t="s">
        <v>38</v>
      </c>
      <c r="J71" s="63" t="s">
        <v>39</v>
      </c>
      <c r="K71" s="62" t="s">
        <v>36</v>
      </c>
      <c r="L71" s="62" t="s">
        <v>37</v>
      </c>
      <c r="M71" s="62" t="s">
        <v>38</v>
      </c>
      <c r="N71" s="63" t="s">
        <v>39</v>
      </c>
      <c r="O71" s="56"/>
      <c r="P71" s="64"/>
    </row>
    <row r="72" spans="2:57">
      <c r="B72" s="29" t="s">
        <v>6</v>
      </c>
      <c r="C72" s="65">
        <f>L67</f>
        <v>4.631578947368423</v>
      </c>
      <c r="D72" s="76">
        <v>6.2256005546004856</v>
      </c>
      <c r="E72" s="76">
        <v>6.6124064164258867</v>
      </c>
      <c r="F72" s="66">
        <v>4.8</v>
      </c>
      <c r="G72" s="65">
        <f>[34]June_2025!$Z$11</f>
        <v>5.0952827774460605</v>
      </c>
      <c r="H72" s="76">
        <v>5.1141112368658881</v>
      </c>
      <c r="I72" s="76">
        <v>6.6017830624865876</v>
      </c>
      <c r="J72" s="66">
        <v>4.8</v>
      </c>
      <c r="K72" s="67">
        <f>K67</f>
        <v>0.4768421052631579</v>
      </c>
      <c r="L72" s="194">
        <v>0.54146616541353387</v>
      </c>
      <c r="M72" s="194">
        <v>0.73408709133145034</v>
      </c>
      <c r="N72" s="68">
        <v>1</v>
      </c>
      <c r="O72" s="56"/>
      <c r="P72" s="69"/>
    </row>
    <row r="73" spans="2:57">
      <c r="B73" s="33" t="s">
        <v>9</v>
      </c>
      <c r="C73" s="65"/>
      <c r="D73" s="76">
        <v>5.0027879491615899</v>
      </c>
      <c r="E73" s="76">
        <v>6.1401001711343852</v>
      </c>
      <c r="F73" s="66">
        <v>4.8</v>
      </c>
      <c r="G73" s="65"/>
      <c r="H73" s="76">
        <v>5.3066484562820797</v>
      </c>
      <c r="I73" s="76">
        <v>6.0772977228147829</v>
      </c>
      <c r="J73" s="66">
        <v>4.8</v>
      </c>
      <c r="K73" s="67"/>
      <c r="L73" s="194">
        <v>0.53274780701754387</v>
      </c>
      <c r="M73" s="194">
        <v>0.72463978084566005</v>
      </c>
      <c r="N73" s="68">
        <v>1</v>
      </c>
      <c r="P73" s="69"/>
    </row>
    <row r="74" spans="2:57">
      <c r="B74" s="34" t="s">
        <v>40</v>
      </c>
      <c r="C74" s="65">
        <f>L65</f>
        <v>18.842592592592588</v>
      </c>
      <c r="D74" s="76">
        <v>12.188365650969537</v>
      </c>
      <c r="E74" s="76">
        <v>11.96027372373279</v>
      </c>
      <c r="F74" s="66">
        <v>5.5</v>
      </c>
      <c r="G74" s="65">
        <f>[34]June_2025!$Z$32</f>
        <v>19.669331994623885</v>
      </c>
      <c r="H74" s="76">
        <v>12.44001096804088</v>
      </c>
      <c r="I74" s="76">
        <v>13.111031100634913</v>
      </c>
      <c r="J74" s="66">
        <v>5.5</v>
      </c>
      <c r="K74" s="67">
        <f>K65</f>
        <v>0.30754385964912284</v>
      </c>
      <c r="L74" s="194">
        <v>0.27581871345029241</v>
      </c>
      <c r="M74" s="194">
        <v>0.4869398559932232</v>
      </c>
      <c r="N74" s="68">
        <v>1</v>
      </c>
      <c r="P74" s="69"/>
    </row>
    <row r="75" spans="2:57">
      <c r="B75" s="22" t="s">
        <v>33</v>
      </c>
      <c r="C75" s="65"/>
      <c r="D75" s="76">
        <v>10.592686002522056</v>
      </c>
      <c r="E75" s="76">
        <v>5.4214697406339898</v>
      </c>
      <c r="F75" s="66">
        <v>3.3</v>
      </c>
      <c r="G75" s="65"/>
      <c r="H75" s="76">
        <v>10.440711622307923</v>
      </c>
      <c r="I75" s="76">
        <v>5.263029001952213</v>
      </c>
      <c r="J75" s="66">
        <v>3.3</v>
      </c>
      <c r="K75" s="67"/>
      <c r="L75" s="194">
        <v>0.22480263157894734</v>
      </c>
      <c r="M75" s="194">
        <v>0.6919486215538847</v>
      </c>
      <c r="N75" s="68">
        <v>1</v>
      </c>
      <c r="P75" s="69"/>
    </row>
    <row r="76" spans="2:57">
      <c r="B76" s="35" t="s">
        <v>29</v>
      </c>
      <c r="C76" s="65"/>
      <c r="D76" s="76"/>
      <c r="E76" s="76"/>
      <c r="F76" s="66">
        <v>3.3</v>
      </c>
      <c r="G76" s="282"/>
      <c r="H76" s="76"/>
      <c r="I76" s="76"/>
      <c r="J76" s="66">
        <v>3</v>
      </c>
      <c r="L76" s="194"/>
      <c r="M76" s="194"/>
      <c r="N76" s="68">
        <v>1</v>
      </c>
      <c r="P76" s="69"/>
    </row>
    <row r="77" spans="2:57">
      <c r="B77" s="36" t="s">
        <v>15</v>
      </c>
      <c r="C77" s="282"/>
      <c r="D77" s="76">
        <v>5.7784145176695159</v>
      </c>
      <c r="E77" s="76">
        <v>7.3129862357869699</v>
      </c>
      <c r="F77" s="70">
        <f>[21]May_2022!$M$43</f>
        <v>3.4878406700073312</v>
      </c>
      <c r="G77" s="282"/>
      <c r="H77" s="76">
        <v>7.6606905670809748</v>
      </c>
      <c r="I77" s="76">
        <v>8.9862703283331644</v>
      </c>
      <c r="J77" s="66">
        <v>5.5</v>
      </c>
      <c r="K77" s="67"/>
      <c r="L77" s="194">
        <v>0.34614035087719303</v>
      </c>
      <c r="M77" s="194">
        <v>0.59276315789473688</v>
      </c>
      <c r="N77" s="68">
        <v>1</v>
      </c>
      <c r="P77" s="69"/>
    </row>
    <row r="78" spans="2:57">
      <c r="B78" s="37" t="s">
        <v>16</v>
      </c>
      <c r="C78" s="65"/>
      <c r="D78" s="76">
        <v>4.8459003682884285</v>
      </c>
      <c r="E78" s="76">
        <v>3.1283185840707883</v>
      </c>
      <c r="F78" s="66">
        <v>3.3</v>
      </c>
      <c r="G78" s="282"/>
      <c r="H78" s="76">
        <v>5.3838407622154936</v>
      </c>
      <c r="I78" s="76">
        <v>4.671657298145214</v>
      </c>
      <c r="J78" s="66">
        <v>3.3</v>
      </c>
      <c r="K78" s="67"/>
      <c r="L78" s="194">
        <v>0.3445029239766082</v>
      </c>
      <c r="M78" s="194">
        <v>0.70412549019607829</v>
      </c>
      <c r="N78" s="71">
        <v>1</v>
      </c>
      <c r="P78" s="69"/>
    </row>
    <row r="79" spans="2:57" ht="14.4" thickBot="1">
      <c r="B79" s="38" t="s">
        <v>127</v>
      </c>
      <c r="C79" s="65"/>
      <c r="D79" s="76"/>
      <c r="E79" s="76"/>
      <c r="F79" s="66">
        <v>7.5</v>
      </c>
      <c r="G79" s="282"/>
      <c r="H79" s="76"/>
      <c r="I79" s="76"/>
      <c r="J79" s="66">
        <v>7.5</v>
      </c>
      <c r="K79" s="67"/>
      <c r="L79" s="194"/>
      <c r="M79" s="194"/>
      <c r="N79" s="71">
        <v>1</v>
      </c>
      <c r="P79" s="69"/>
    </row>
    <row r="80" spans="2:57" ht="14.4" thickBot="1">
      <c r="B80" s="415" t="s">
        <v>161</v>
      </c>
      <c r="C80" s="65"/>
      <c r="D80" s="76"/>
      <c r="E80" s="76">
        <v>4.8792508624938291</v>
      </c>
      <c r="F80" s="66">
        <v>4.8</v>
      </c>
      <c r="G80" s="282"/>
      <c r="H80" s="76"/>
      <c r="I80" s="76">
        <v>6.2003723782925313</v>
      </c>
      <c r="J80" s="66">
        <v>4.8</v>
      </c>
      <c r="K80" s="67"/>
      <c r="L80" s="194"/>
      <c r="M80" s="194">
        <v>0.33859649122807017</v>
      </c>
      <c r="N80" s="71">
        <v>1</v>
      </c>
      <c r="O80" s="74"/>
      <c r="P80" s="75"/>
    </row>
    <row r="81" spans="4:14">
      <c r="D81" s="76">
        <v>6.64547519058193</v>
      </c>
      <c r="E81" s="76">
        <v>6.6588619986678284</v>
      </c>
      <c r="F81" s="341">
        <v>5.5</v>
      </c>
      <c r="H81" s="76">
        <v>6.7404432687669464</v>
      </c>
      <c r="I81" s="76">
        <v>7.0072655013685186</v>
      </c>
      <c r="J81" s="341">
        <v>5.5</v>
      </c>
      <c r="L81" s="194">
        <v>0.43334010464758393</v>
      </c>
      <c r="M81" s="194">
        <v>0.67476072518398844</v>
      </c>
      <c r="N81" s="386">
        <v>1</v>
      </c>
    </row>
    <row r="85" spans="4:14">
      <c r="F85" s="315"/>
    </row>
  </sheetData>
  <mergeCells count="51">
    <mergeCell ref="M63:M64"/>
    <mergeCell ref="B70:F70"/>
    <mergeCell ref="G70:J70"/>
    <mergeCell ref="K70:N70"/>
    <mergeCell ref="G63:G64"/>
    <mergeCell ref="H63:H64"/>
    <mergeCell ref="I63:I64"/>
    <mergeCell ref="J63:J64"/>
    <mergeCell ref="K63:K64"/>
    <mergeCell ref="L63:L64"/>
    <mergeCell ref="F63:F64"/>
    <mergeCell ref="D58:E58"/>
    <mergeCell ref="B63:B64"/>
    <mergeCell ref="C63:C64"/>
    <mergeCell ref="D63:D64"/>
    <mergeCell ref="E63:E64"/>
    <mergeCell ref="B48:B57"/>
    <mergeCell ref="D48:E49"/>
    <mergeCell ref="J48:K48"/>
    <mergeCell ref="L49:N49"/>
    <mergeCell ref="D50:E51"/>
    <mergeCell ref="D52:E53"/>
    <mergeCell ref="D54:E55"/>
    <mergeCell ref="D56:E57"/>
    <mergeCell ref="I34:N34"/>
    <mergeCell ref="D35:E35"/>
    <mergeCell ref="B36:B47"/>
    <mergeCell ref="D36:E37"/>
    <mergeCell ref="D38:E39"/>
    <mergeCell ref="D40:E41"/>
    <mergeCell ref="D42:E43"/>
    <mergeCell ref="D44:E45"/>
    <mergeCell ref="D46:E4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8:B59">
    <cfRule type="cellIs" dxfId="808" priority="112" operator="notBetween">
      <formula>#REF!</formula>
      <formula>#REF!</formula>
    </cfRule>
  </conditionalFormatting>
  <conditionalFormatting sqref="C62">
    <cfRule type="cellIs" dxfId="807" priority="144" stopIfTrue="1" operator="greaterThan">
      <formula>100</formula>
    </cfRule>
    <cfRule type="cellIs" dxfId="806" priority="143" stopIfTrue="1" operator="lessThan">
      <formula>96</formula>
    </cfRule>
  </conditionalFormatting>
  <conditionalFormatting sqref="C72:C73">
    <cfRule type="cellIs" dxfId="805" priority="90" stopIfTrue="1" operator="lessThanOrEqual">
      <formula>0</formula>
    </cfRule>
  </conditionalFormatting>
  <conditionalFormatting sqref="C72:C76">
    <cfRule type="cellIs" dxfId="804" priority="89" stopIfTrue="1" operator="greaterThan">
      <formula>$F72</formula>
    </cfRule>
  </conditionalFormatting>
  <conditionalFormatting sqref="C73">
    <cfRule type="cellIs" dxfId="803" priority="147" stopIfTrue="1" operator="greaterThan">
      <formula>$F72</formula>
    </cfRule>
  </conditionalFormatting>
  <conditionalFormatting sqref="C74:C77">
    <cfRule type="cellIs" dxfId="802" priority="96" stopIfTrue="1" operator="lessThanOrEqual">
      <formula>0</formula>
    </cfRule>
  </conditionalFormatting>
  <conditionalFormatting sqref="C77">
    <cfRule type="cellIs" dxfId="801" priority="95" stopIfTrue="1" operator="greaterThan">
      <formula>$J77</formula>
    </cfRule>
  </conditionalFormatting>
  <conditionalFormatting sqref="C83:C87">
    <cfRule type="cellIs" dxfId="800" priority="135" stopIfTrue="1" operator="lessThanOrEqual">
      <formula>0</formula>
    </cfRule>
  </conditionalFormatting>
  <conditionalFormatting sqref="C84:C87">
    <cfRule type="cellIs" dxfId="799" priority="134" stopIfTrue="1" operator="greaterThan">
      <formula>$F$83</formula>
    </cfRule>
  </conditionalFormatting>
  <conditionalFormatting sqref="C89">
    <cfRule type="cellIs" dxfId="798" priority="137" stopIfTrue="1" operator="lessThanOrEqual">
      <formula>0</formula>
    </cfRule>
    <cfRule type="cellIs" dxfId="797" priority="136" stopIfTrue="1" operator="greaterThan">
      <formula>$F$83</formula>
    </cfRule>
  </conditionalFormatting>
  <conditionalFormatting sqref="C83:D83 D85:D91">
    <cfRule type="cellIs" dxfId="796" priority="129" stopIfTrue="1" operator="greaterThan">
      <formula>4.5</formula>
    </cfRule>
  </conditionalFormatting>
  <conditionalFormatting sqref="D58:D59">
    <cfRule type="cellIs" dxfId="795" priority="113" operator="notBetween">
      <formula>#REF!</formula>
      <formula>#REF!</formula>
    </cfRule>
  </conditionalFormatting>
  <conditionalFormatting sqref="D72:D79">
    <cfRule type="cellIs" dxfId="794" priority="106" stopIfTrue="1" operator="lessThanOrEqual">
      <formula>0</formula>
    </cfRule>
  </conditionalFormatting>
  <conditionalFormatting sqref="D80">
    <cfRule type="cellIs" dxfId="793" priority="105" stopIfTrue="1" operator="lessThanOrEqual">
      <formula>0</formula>
    </cfRule>
  </conditionalFormatting>
  <conditionalFormatting sqref="D83 D85:D91">
    <cfRule type="cellIs" dxfId="792" priority="130" stopIfTrue="1" operator="lessThanOrEqual">
      <formula>0</formula>
    </cfRule>
  </conditionalFormatting>
  <conditionalFormatting sqref="D84">
    <cfRule type="cellIs" dxfId="791" priority="121" stopIfTrue="1" operator="greaterThan">
      <formula>$F$83</formula>
    </cfRule>
    <cfRule type="cellIs" dxfId="790" priority="122" stopIfTrue="1" operator="lessThanOrEqual">
      <formula>0</formula>
    </cfRule>
  </conditionalFormatting>
  <conditionalFormatting sqref="D72:E81">
    <cfRule type="cellIs" dxfId="789" priority="86" stopIfTrue="1" operator="greaterThan">
      <formula>$F72</formula>
    </cfRule>
  </conditionalFormatting>
  <conditionalFormatting sqref="D81:E81">
    <cfRule type="cellIs" dxfId="788" priority="87" stopIfTrue="1" operator="lessThanOrEqual">
      <formula>0</formula>
    </cfRule>
  </conditionalFormatting>
  <conditionalFormatting sqref="E10:E33">
    <cfRule type="cellIs" dxfId="787" priority="2" operator="lessThan">
      <formula>48</formula>
    </cfRule>
  </conditionalFormatting>
  <conditionalFormatting sqref="E61 E62:F62">
    <cfRule type="cellIs" dxfId="786" priority="126" stopIfTrue="1" operator="greaterThan">
      <formula>100</formula>
    </cfRule>
  </conditionalFormatting>
  <conditionalFormatting sqref="E62">
    <cfRule type="cellIs" dxfId="785" priority="123" stopIfTrue="1" operator="lessThan">
      <formula>96.8</formula>
    </cfRule>
    <cfRule type="cellIs" dxfId="784" priority="124" stopIfTrue="1" operator="greaterThan">
      <formula>100</formula>
    </cfRule>
  </conditionalFormatting>
  <conditionalFormatting sqref="E72:E80">
    <cfRule type="cellIs" dxfId="783" priority="100" stopIfTrue="1" operator="lessThanOrEqual">
      <formula>0</formula>
    </cfRule>
  </conditionalFormatting>
  <conditionalFormatting sqref="E83:E91">
    <cfRule type="cellIs" dxfId="782" priority="115" stopIfTrue="1" operator="greaterThan">
      <formula>4.5</formula>
    </cfRule>
    <cfRule type="cellIs" dxfId="781" priority="116" stopIfTrue="1" operator="lessThanOrEqual">
      <formula>0</formula>
    </cfRule>
  </conditionalFormatting>
  <conditionalFormatting sqref="E62:F62 E61">
    <cfRule type="cellIs" dxfId="780" priority="125" stopIfTrue="1" operator="lessThan">
      <formula>96.5</formula>
    </cfRule>
  </conditionalFormatting>
  <conditionalFormatting sqref="F10:F33">
    <cfRule type="cellIs" dxfId="779" priority="3" operator="greaterThan">
      <formula>60</formula>
    </cfRule>
  </conditionalFormatting>
  <conditionalFormatting sqref="F62">
    <cfRule type="cellIs" dxfId="778" priority="141" stopIfTrue="1" operator="lessThan">
      <formula>96.8</formula>
    </cfRule>
    <cfRule type="cellIs" dxfId="777" priority="142" stopIfTrue="1" operator="greaterThan">
      <formula>100</formula>
    </cfRule>
  </conditionalFormatting>
  <conditionalFormatting sqref="F81">
    <cfRule type="cellIs" dxfId="776" priority="102" stopIfTrue="1" operator="lessThanOrEqual">
      <formula>0</formula>
    </cfRule>
    <cfRule type="cellIs" dxfId="775" priority="101" stopIfTrue="1" operator="greaterThan">
      <formula>$F81</formula>
    </cfRule>
  </conditionalFormatting>
  <conditionalFormatting sqref="G72:G73 C78:C80">
    <cfRule type="cellIs" dxfId="774" priority="107" stopIfTrue="1" operator="greaterThan">
      <formula>$F72</formula>
    </cfRule>
    <cfRule type="cellIs" dxfId="773" priority="108" stopIfTrue="1" operator="lessThanOrEqual">
      <formula>0</formula>
    </cfRule>
  </conditionalFormatting>
  <conditionalFormatting sqref="G72:G73">
    <cfRule type="cellIs" dxfId="772" priority="92" stopIfTrue="1" operator="lessThanOrEqual">
      <formula>0</formula>
    </cfRule>
    <cfRule type="cellIs" dxfId="771" priority="91" stopIfTrue="1" operator="greaterThan">
      <formula>$F72</formula>
    </cfRule>
  </conditionalFormatting>
  <conditionalFormatting sqref="G74">
    <cfRule type="cellIs" dxfId="770" priority="146" stopIfTrue="1" operator="lessThanOrEqual">
      <formula>0</formula>
    </cfRule>
    <cfRule type="cellIs" dxfId="769" priority="145" stopIfTrue="1" operator="greaterThan">
      <formula>$F73</formula>
    </cfRule>
  </conditionalFormatting>
  <conditionalFormatting sqref="G75">
    <cfRule type="cellIs" dxfId="768" priority="103" stopIfTrue="1" operator="greaterThan">
      <formula>$F75</formula>
    </cfRule>
    <cfRule type="cellIs" dxfId="767" priority="104" stopIfTrue="1" operator="lessThanOrEqual">
      <formula>0</formula>
    </cfRule>
  </conditionalFormatting>
  <conditionalFormatting sqref="G76:G80">
    <cfRule type="cellIs" dxfId="766" priority="110" stopIfTrue="1" operator="lessThanOrEqual">
      <formula>0</formula>
    </cfRule>
    <cfRule type="cellIs" dxfId="765" priority="109" stopIfTrue="1" operator="greaterThan">
      <formula>$J76</formula>
    </cfRule>
  </conditionalFormatting>
  <conditionalFormatting sqref="G85:G90 C88 C90">
    <cfRule type="cellIs" dxfId="764" priority="138" stopIfTrue="1" operator="greaterThan">
      <formula>4.5</formula>
    </cfRule>
    <cfRule type="cellIs" dxfId="763" priority="139" stopIfTrue="1" operator="lessThanOrEqual">
      <formula>0</formula>
    </cfRule>
  </conditionalFormatting>
  <conditionalFormatting sqref="G10:H33">
    <cfRule type="expression" dxfId="762" priority="4">
      <formula>IF(+(IF(G10&lt;#REF!,0,IF(G10&gt;#REF!,0,1)))=0,1)</formula>
    </cfRule>
  </conditionalFormatting>
  <conditionalFormatting sqref="G84:H84">
    <cfRule type="cellIs" dxfId="761" priority="120" stopIfTrue="1" operator="lessThanOrEqual">
      <formula>0</formula>
    </cfRule>
    <cfRule type="cellIs" dxfId="760" priority="119" stopIfTrue="1" operator="greaterThan">
      <formula>$F$83</formula>
    </cfRule>
  </conditionalFormatting>
  <conditionalFormatting sqref="H47:H61 I48:I60">
    <cfRule type="cellIs" dxfId="759" priority="117" stopIfTrue="1" operator="greaterThan">
      <formula>0</formula>
    </cfRule>
  </conditionalFormatting>
  <conditionalFormatting sqref="H65">
    <cfRule type="cellIs" dxfId="758" priority="55" stopIfTrue="1" operator="greaterThan">
      <formula>$F$36</formula>
    </cfRule>
    <cfRule type="cellIs" dxfId="757" priority="56" stopIfTrue="1" operator="lessThanOrEqual">
      <formula>0</formula>
    </cfRule>
    <cfRule type="cellIs" dxfId="756" priority="53" stopIfTrue="1" operator="greaterThan">
      <formula>$F$38</formula>
    </cfRule>
    <cfRule type="cellIs" dxfId="755" priority="44" stopIfTrue="1" operator="lessThanOrEqual">
      <formula>0</formula>
    </cfRule>
    <cfRule type="cellIs" dxfId="754" priority="45" stopIfTrue="1" operator="greaterThan">
      <formula>$F$35</formula>
    </cfRule>
    <cfRule type="cellIs" dxfId="753" priority="54" stopIfTrue="1" operator="lessThanOrEqual">
      <formula>0</formula>
    </cfRule>
  </conditionalFormatting>
  <conditionalFormatting sqref="H66 H68">
    <cfRule type="cellIs" dxfId="752" priority="69" stopIfTrue="1" operator="greaterThan">
      <formula>$F$49</formula>
    </cfRule>
    <cfRule type="cellIs" dxfId="751" priority="61" stopIfTrue="1" operator="greaterThan">
      <formula>$F$46</formula>
    </cfRule>
    <cfRule type="cellIs" dxfId="750" priority="60" stopIfTrue="1" operator="lessThanOrEqual">
      <formula>0</formula>
    </cfRule>
    <cfRule type="cellIs" dxfId="749" priority="72" stopIfTrue="1" operator="lessThanOrEqual">
      <formula>0</formula>
    </cfRule>
    <cfRule type="cellIs" dxfId="748" priority="71" stopIfTrue="1" operator="greaterThan">
      <formula>$F$47</formula>
    </cfRule>
    <cfRule type="cellIs" dxfId="747" priority="70" stopIfTrue="1" operator="lessThanOrEqual">
      <formula>0</formula>
    </cfRule>
  </conditionalFormatting>
  <conditionalFormatting sqref="H67">
    <cfRule type="cellIs" dxfId="746" priority="22" stopIfTrue="1" operator="greaterThan">
      <formula>$F$38</formula>
    </cfRule>
    <cfRule type="cellIs" dxfId="745" priority="23" stopIfTrue="1" operator="lessThanOrEqual">
      <formula>0</formula>
    </cfRule>
    <cfRule type="cellIs" dxfId="744" priority="13" stopIfTrue="1" operator="lessThanOrEqual">
      <formula>0</formula>
    </cfRule>
    <cfRule type="cellIs" dxfId="743" priority="25" stopIfTrue="1" operator="lessThanOrEqual">
      <formula>0</formula>
    </cfRule>
    <cfRule type="cellIs" dxfId="742" priority="24" stopIfTrue="1" operator="greaterThan">
      <formula>$F$36</formula>
    </cfRule>
    <cfRule type="cellIs" dxfId="741" priority="14" stopIfTrue="1" operator="greaterThan">
      <formula>$F$35</formula>
    </cfRule>
  </conditionalFormatting>
  <conditionalFormatting sqref="H72:H79">
    <cfRule type="cellIs" dxfId="740" priority="93" stopIfTrue="1" operator="greaterThan">
      <formula>$J72</formula>
    </cfRule>
    <cfRule type="cellIs" dxfId="739" priority="94" stopIfTrue="1" operator="lessThanOrEqual">
      <formula>0</formula>
    </cfRule>
  </conditionalFormatting>
  <conditionalFormatting sqref="H80">
    <cfRule type="cellIs" dxfId="738" priority="97" operator="greaterThan">
      <formula>5.3</formula>
    </cfRule>
  </conditionalFormatting>
  <conditionalFormatting sqref="H83 H85:H91">
    <cfRule type="cellIs" dxfId="737" priority="132" stopIfTrue="1" operator="lessThanOrEqual">
      <formula>0</formula>
    </cfRule>
    <cfRule type="cellIs" dxfId="736" priority="131" stopIfTrue="1" operator="greaterThan">
      <formula>4.5</formula>
    </cfRule>
  </conditionalFormatting>
  <conditionalFormatting sqref="H65:I65">
    <cfRule type="cellIs" dxfId="735" priority="43" stopIfTrue="1" operator="greaterThan">
      <formula>$F$37</formula>
    </cfRule>
    <cfRule type="cellIs" dxfId="734" priority="46" stopIfTrue="1" operator="lessThanOrEqual">
      <formula>0</formula>
    </cfRule>
  </conditionalFormatting>
  <conditionalFormatting sqref="H66:I66 H68:I68">
    <cfRule type="cellIs" dxfId="733" priority="62" stopIfTrue="1" operator="lessThanOrEqual">
      <formula>0</formula>
    </cfRule>
    <cfRule type="cellIs" dxfId="732" priority="59" stopIfTrue="1" operator="greaterThan">
      <formula>$F$48</formula>
    </cfRule>
  </conditionalFormatting>
  <conditionalFormatting sqref="H67:I67">
    <cfRule type="cellIs" dxfId="731" priority="15" stopIfTrue="1" operator="lessThanOrEqual">
      <formula>0</formula>
    </cfRule>
    <cfRule type="cellIs" dxfId="730" priority="12" stopIfTrue="1" operator="greaterThan">
      <formula>$F$37</formula>
    </cfRule>
  </conditionalFormatting>
  <conditionalFormatting sqref="H81:I81">
    <cfRule type="cellIs" dxfId="729" priority="85" stopIfTrue="1" operator="lessThanOrEqual">
      <formula>0</formula>
    </cfRule>
    <cfRule type="cellIs" dxfId="728" priority="84" stopIfTrue="1" operator="greaterThan">
      <formula>$J81</formula>
    </cfRule>
  </conditionalFormatting>
  <conditionalFormatting sqref="I65">
    <cfRule type="cellIs" dxfId="727" priority="52" stopIfTrue="1" operator="lessThanOrEqual">
      <formula>0</formula>
    </cfRule>
    <cfRule type="cellIs" dxfId="726" priority="51" stopIfTrue="1" operator="greaterThan">
      <formula>$F$35</formula>
    </cfRule>
    <cfRule type="cellIs" dxfId="725" priority="50" stopIfTrue="1" operator="lessThanOrEqual">
      <formula>0</formula>
    </cfRule>
    <cfRule type="cellIs" dxfId="724" priority="47" stopIfTrue="1" operator="greaterThan">
      <formula>$F$35</formula>
    </cfRule>
    <cfRule type="cellIs" dxfId="723" priority="48" stopIfTrue="1" operator="lessThanOrEqual">
      <formula>0</formula>
    </cfRule>
    <cfRule type="cellIs" dxfId="722" priority="49" stopIfTrue="1" operator="greaterThan">
      <formula>$F$37</formula>
    </cfRule>
  </conditionalFormatting>
  <conditionalFormatting sqref="I66 I68">
    <cfRule type="cellIs" dxfId="721" priority="64" stopIfTrue="1" operator="lessThanOrEqual">
      <formula>0</formula>
    </cfRule>
    <cfRule type="cellIs" dxfId="720" priority="63" stopIfTrue="1" operator="greaterThan">
      <formula>$F$46</formula>
    </cfRule>
    <cfRule type="cellIs" dxfId="719" priority="65" stopIfTrue="1" operator="greaterThan">
      <formula>$F$48</formula>
    </cfRule>
    <cfRule type="cellIs" dxfId="718" priority="66" stopIfTrue="1" operator="lessThanOrEqual">
      <formula>0</formula>
    </cfRule>
    <cfRule type="cellIs" dxfId="717" priority="67" stopIfTrue="1" operator="greaterThan">
      <formula>$F$46</formula>
    </cfRule>
    <cfRule type="cellIs" dxfId="716" priority="68" stopIfTrue="1" operator="lessThanOrEqual">
      <formula>0</formula>
    </cfRule>
  </conditionalFormatting>
  <conditionalFormatting sqref="I67">
    <cfRule type="cellIs" dxfId="715" priority="20" stopIfTrue="1" operator="greaterThan">
      <formula>$F$35</formula>
    </cfRule>
    <cfRule type="cellIs" dxfId="714" priority="21" stopIfTrue="1" operator="lessThanOrEqual">
      <formula>0</formula>
    </cfRule>
    <cfRule type="cellIs" dxfId="713" priority="17" stopIfTrue="1" operator="lessThanOrEqual">
      <formula>0</formula>
    </cfRule>
    <cfRule type="cellIs" dxfId="712" priority="16" stopIfTrue="1" operator="greaterThan">
      <formula>$F$35</formula>
    </cfRule>
    <cfRule type="cellIs" dxfId="711" priority="18" stopIfTrue="1" operator="greaterThan">
      <formula>$F$37</formula>
    </cfRule>
    <cfRule type="cellIs" dxfId="710" priority="19" stopIfTrue="1" operator="lessThanOrEqual">
      <formula>0</formula>
    </cfRule>
  </conditionalFormatting>
  <conditionalFormatting sqref="I72:I80">
    <cfRule type="cellIs" dxfId="709" priority="98" stopIfTrue="1" operator="greaterThan">
      <formula>$J72</formula>
    </cfRule>
    <cfRule type="cellIs" dxfId="708" priority="99" stopIfTrue="1" operator="lessThanOrEqual">
      <formula>0</formula>
    </cfRule>
  </conditionalFormatting>
  <conditionalFormatting sqref="I83:I91">
    <cfRule type="cellIs" dxfId="707" priority="127" stopIfTrue="1" operator="greaterThan">
      <formula>4.5</formula>
    </cfRule>
    <cfRule type="cellIs" dxfId="706" priority="128" stopIfTrue="1" operator="lessThanOrEqual">
      <formula>0</formula>
    </cfRule>
  </conditionalFormatting>
  <conditionalFormatting sqref="I10:J33">
    <cfRule type="cellIs" dxfId="705" priority="9" operator="lessThan">
      <formula>97.9</formula>
    </cfRule>
  </conditionalFormatting>
  <conditionalFormatting sqref="J36:J38">
    <cfRule type="cellIs" dxfId="704" priority="75" stopIfTrue="1" operator="greaterThan">
      <formula>100</formula>
    </cfRule>
    <cfRule type="cellIs" dxfId="703" priority="74" stopIfTrue="1" operator="lessThan">
      <formula>96.8</formula>
    </cfRule>
    <cfRule type="cellIs" dxfId="702" priority="76" operator="lessThan">
      <formula>98</formula>
    </cfRule>
  </conditionalFormatting>
  <conditionalFormatting sqref="J36:J40">
    <cfRule type="cellIs" dxfId="701" priority="73" operator="lessThan">
      <formula>97.4</formula>
    </cfRule>
  </conditionalFormatting>
  <conditionalFormatting sqref="J41">
    <cfRule type="cellIs" dxfId="700" priority="77" operator="lessThan">
      <formula>98</formula>
    </cfRule>
  </conditionalFormatting>
  <conditionalFormatting sqref="J43:J44">
    <cfRule type="cellIs" dxfId="699" priority="79" stopIfTrue="1" operator="greaterThan">
      <formula>100</formula>
    </cfRule>
    <cfRule type="cellIs" dxfId="698" priority="78" stopIfTrue="1" operator="lessThan">
      <formula>96.8</formula>
    </cfRule>
  </conditionalFormatting>
  <conditionalFormatting sqref="J43:J45">
    <cfRule type="cellIs" dxfId="697" priority="80" operator="lessThan">
      <formula>98</formula>
    </cfRule>
  </conditionalFormatting>
  <conditionalFormatting sqref="J81">
    <cfRule type="cellIs" dxfId="696" priority="82" stopIfTrue="1" operator="lessThanOrEqual">
      <formula>0</formula>
    </cfRule>
    <cfRule type="cellIs" dxfId="695" priority="81" stopIfTrue="1" operator="greaterThan">
      <formula>$F81</formula>
    </cfRule>
  </conditionalFormatting>
  <conditionalFormatting sqref="K10:K33">
    <cfRule type="cellIs" dxfId="694" priority="8" operator="greaterThan">
      <formula>6.4</formula>
    </cfRule>
    <cfRule type="cellIs" dxfId="693" priority="7" operator="lessThan">
      <formula>4</formula>
    </cfRule>
    <cfRule type="cellIs" dxfId="692" priority="6" operator="greaterThan">
      <formula>6</formula>
    </cfRule>
  </conditionalFormatting>
  <conditionalFormatting sqref="K65:K68">
    <cfRule type="cellIs" dxfId="691" priority="57" stopIfTrue="1" operator="lessThan">
      <formula>100%</formula>
    </cfRule>
  </conditionalFormatting>
  <conditionalFormatting sqref="K83:K88">
    <cfRule type="cellIs" dxfId="690" priority="133" stopIfTrue="1" operator="lessThan">
      <formula>100%</formula>
    </cfRule>
  </conditionalFormatting>
  <conditionalFormatting sqref="K90:K91">
    <cfRule type="cellIs" dxfId="689" priority="140" stopIfTrue="1" operator="lessThan">
      <formula>100%</formula>
    </cfRule>
  </conditionalFormatting>
  <conditionalFormatting sqref="K72:N75 L76:N76">
    <cfRule type="cellIs" dxfId="688" priority="111" stopIfTrue="1" operator="lessThan">
      <formula>100%</formula>
    </cfRule>
  </conditionalFormatting>
  <conditionalFormatting sqref="K77:N80 L81:N81">
    <cfRule type="cellIs" dxfId="687" priority="83" stopIfTrue="1" operator="lessThan">
      <formula>100%</formula>
    </cfRule>
  </conditionalFormatting>
  <conditionalFormatting sqref="L10:L33">
    <cfRule type="cellIs" dxfId="686" priority="11" operator="greaterThan">
      <formula>65</formula>
    </cfRule>
    <cfRule type="cellIs" dxfId="685" priority="10" operator="between">
      <formula>61</formula>
      <formula>65</formula>
    </cfRule>
  </conditionalFormatting>
  <conditionalFormatting sqref="L36:M47">
    <cfRule type="cellIs" dxfId="684" priority="88" operator="lessThan">
      <formula>98</formula>
    </cfRule>
  </conditionalFormatting>
  <conditionalFormatting sqref="L51:N51">
    <cfRule type="cellIs" dxfId="683" priority="58" operator="notEqual">
      <formula>#REF!</formula>
    </cfRule>
  </conditionalFormatting>
  <conditionalFormatting sqref="L83:N91">
    <cfRule type="cellIs" dxfId="682" priority="118" stopIfTrue="1" operator="lessThan">
      <formula>100%</formula>
    </cfRule>
  </conditionalFormatting>
  <conditionalFormatting sqref="M10:M33">
    <cfRule type="expression" dxfId="681" priority="5">
      <formula>IF(+(IF(M10&lt;U10,0,IF(M10&gt;V10,0,1)))=0,1)</formula>
    </cfRule>
  </conditionalFormatting>
  <conditionalFormatting sqref="N10:N33">
    <cfRule type="expression" dxfId="680" priority="1">
      <formula>IF(+(IF(N10&lt;W10,0,IF(N10&gt;X10,0,1)))=0,1)</formula>
    </cfRule>
  </conditionalFormatting>
  <conditionalFormatting sqref="P6">
    <cfRule type="cellIs" dxfId="679" priority="114" operator="greaterThanOrEqual">
      <formula>19</formula>
    </cfRule>
  </conditionalFormatting>
  <dataValidations count="1">
    <dataValidation type="list" allowBlank="1" showInputMessage="1" showErrorMessage="1" sqref="R8" xr:uid="{6F479FC9-61F0-4D56-BAB4-66E1858D96E5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5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C5F9-8F47-422B-870C-FF6EE5B7BFEA}">
  <sheetPr>
    <pageSetUpPr fitToPage="1"/>
  </sheetPr>
  <dimension ref="A1:BE92"/>
  <sheetViews>
    <sheetView topLeftCell="A50" zoomScale="70" zoomScaleNormal="70" workbookViewId="0">
      <selection activeCell="F48" sqref="F48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32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73" t="s">
        <v>0</v>
      </c>
      <c r="T1" s="473"/>
      <c r="U1" s="473" t="s">
        <v>1</v>
      </c>
      <c r="V1" s="473"/>
      <c r="W1" s="473" t="s">
        <v>2</v>
      </c>
      <c r="X1" s="473"/>
      <c r="Y1" s="473" t="s">
        <v>124</v>
      </c>
      <c r="Z1" s="473"/>
    </row>
    <row r="2" spans="2:29" ht="14.4">
      <c r="B2" s="474" t="s">
        <v>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45833</v>
      </c>
      <c r="J4" s="398" t="s">
        <v>172</v>
      </c>
      <c r="K4" s="398"/>
      <c r="L4" s="11"/>
      <c r="M4" s="471" t="s">
        <v>8</v>
      </c>
      <c r="N4" s="472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68"/>
      <c r="D5" s="468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198</v>
      </c>
      <c r="K6" s="400"/>
      <c r="L6" s="311" t="s">
        <v>14</v>
      </c>
      <c r="M6" s="340">
        <v>6</v>
      </c>
      <c r="N6" s="340">
        <v>6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81" t="s">
        <v>17</v>
      </c>
      <c r="C8" s="483" t="s">
        <v>18</v>
      </c>
      <c r="D8" s="483" t="s">
        <v>19</v>
      </c>
      <c r="E8" s="356" t="s">
        <v>20</v>
      </c>
      <c r="F8" s="356" t="s">
        <v>21</v>
      </c>
      <c r="G8" s="483" t="s">
        <v>22</v>
      </c>
      <c r="H8" s="485" t="s">
        <v>144</v>
      </c>
      <c r="I8" s="483" t="s">
        <v>197</v>
      </c>
      <c r="J8" s="487" t="s">
        <v>23</v>
      </c>
      <c r="K8" s="489" t="s">
        <v>142</v>
      </c>
      <c r="L8" s="491" t="s">
        <v>24</v>
      </c>
      <c r="M8" s="359" t="s">
        <v>25</v>
      </c>
      <c r="N8" s="17" t="s">
        <v>26</v>
      </c>
      <c r="O8" s="543" t="s">
        <v>155</v>
      </c>
      <c r="P8" s="555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82"/>
      <c r="C9" s="484"/>
      <c r="D9" s="484"/>
      <c r="E9" s="357" t="s">
        <v>30</v>
      </c>
      <c r="F9" s="357" t="s">
        <v>31</v>
      </c>
      <c r="G9" s="484"/>
      <c r="H9" s="486"/>
      <c r="I9" s="484"/>
      <c r="J9" s="488"/>
      <c r="K9" s="490"/>
      <c r="L9" s="492"/>
      <c r="M9" s="20" t="s">
        <v>32</v>
      </c>
      <c r="N9" s="21" t="s">
        <v>41</v>
      </c>
      <c r="O9" s="556"/>
      <c r="P9" s="555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29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97"/>
      <c r="N10" s="370"/>
      <c r="O10" s="371"/>
      <c r="P10" s="420"/>
      <c r="R10" s="277">
        <f t="shared" ref="R10:R42" si="0">B10</f>
        <v>0</v>
      </c>
      <c r="S10" s="296" t="e">
        <f t="shared" ref="S10:S42" si="1">VLOOKUP($B10,$R$3:$X$9,2,FALSE)</f>
        <v>#N/A</v>
      </c>
      <c r="T10" s="296" t="e">
        <f t="shared" ref="T10:T42" si="2">VLOOKUP($B10,$R$3:$X$9,3,FALSE)</f>
        <v>#N/A</v>
      </c>
      <c r="U10" s="297" t="e">
        <f t="shared" ref="U10:U42" si="3">VLOOKUP($B10,$R$3:$X$9,4,FALSE)</f>
        <v>#N/A</v>
      </c>
      <c r="V10" s="297" t="e">
        <f t="shared" ref="V10:V42" si="4">VLOOKUP($B10,$R$3:$X$9,5,FALSE)</f>
        <v>#N/A</v>
      </c>
      <c r="W10" s="297" t="e">
        <f t="shared" ref="W10:W42" si="5">VLOOKUP($B10,$R$3:$X$9,6,FALSE)</f>
        <v>#N/A</v>
      </c>
      <c r="X10" s="297" t="e">
        <f t="shared" ref="X10:X42" si="6">VLOOKUP($B10,$R$3:$X$9,7,FALSE)</f>
        <v>#N/A</v>
      </c>
      <c r="Y10" s="297" t="e">
        <f t="shared" ref="Y10:Y42" si="7">VLOOKUP($B10,$R$3:$Z$9,8,FALSE)</f>
        <v>#N/A</v>
      </c>
      <c r="Z10" s="296" t="e">
        <f t="shared" ref="Z10:Z42" si="8">VLOOKUP($B10,$R$3:$Z$9,9,FALSE)</f>
        <v>#N/A</v>
      </c>
    </row>
    <row r="11" spans="2:29" ht="15.75" hidden="1" customHeight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97"/>
      <c r="N11" s="370"/>
      <c r="O11" s="371"/>
      <c r="P11" s="420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371"/>
      <c r="P12" s="420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371"/>
      <c r="P13" s="420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371"/>
      <c r="P14" s="420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420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20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20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20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20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20"/>
      <c r="R20" s="277"/>
      <c r="S20" s="296"/>
      <c r="T20" s="296"/>
      <c r="U20" s="297"/>
      <c r="V20" s="297"/>
      <c r="W20" s="297"/>
      <c r="X20" s="297"/>
      <c r="Y20" s="297"/>
      <c r="Z20" s="296"/>
    </row>
    <row r="21" spans="2:26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20"/>
      <c r="R21" s="277"/>
      <c r="S21" s="296"/>
      <c r="T21" s="296"/>
      <c r="U21" s="297"/>
      <c r="V21" s="297"/>
      <c r="W21" s="297"/>
      <c r="X21" s="297"/>
      <c r="Y21" s="297"/>
      <c r="Z21" s="296"/>
    </row>
    <row r="22" spans="2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20"/>
      <c r="R22" s="277"/>
      <c r="S22" s="296"/>
      <c r="T22" s="296"/>
      <c r="U22" s="297"/>
      <c r="V22" s="297"/>
      <c r="W22" s="297"/>
      <c r="X22" s="297"/>
      <c r="Y22" s="297"/>
      <c r="Z22" s="296"/>
    </row>
    <row r="23" spans="2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20"/>
      <c r="R23" s="277">
        <f t="shared" ref="R23:R24" si="9">B23</f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20"/>
      <c r="R24" s="277">
        <f t="shared" si="9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20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20"/>
      <c r="R26" s="277">
        <f t="shared" ref="R26:R41" si="10">B26</f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customHeight="1">
      <c r="B27" s="29" t="s">
        <v>6</v>
      </c>
      <c r="C27" s="366" t="str">
        <f>[24]Brewhouse!$A537</f>
        <v>CA431</v>
      </c>
      <c r="D27" s="279">
        <f>[24]Brewhouse!$AF537</f>
        <v>54.2</v>
      </c>
      <c r="E27" s="279">
        <f>[24]Brewhouse!$AI537</f>
        <v>51.5</v>
      </c>
      <c r="F27" s="278">
        <f>[24]Brewhouse!$V537</f>
        <v>63</v>
      </c>
      <c r="G27" s="279">
        <f>[24]Brewhouse!$AG537</f>
        <v>11.8</v>
      </c>
      <c r="H27" s="396">
        <v>11.8</v>
      </c>
      <c r="I27" s="368">
        <f>[24]Brewhouse!$AU537</f>
        <v>99.289078263260194</v>
      </c>
      <c r="J27" s="368">
        <f>[24]Brewhouse!$AV537</f>
        <v>101.58674496164525</v>
      </c>
      <c r="K27" s="281">
        <f>[24]Brewhouse!$Q537</f>
        <v>5.6014362657091645</v>
      </c>
      <c r="L27" s="276">
        <f>[24]Brewhouse!$P537</f>
        <v>60</v>
      </c>
      <c r="M27" s="397">
        <f>[24]Brewhouse!$U537-[24]Brewhouse!$T537</f>
        <v>0.10694444444444443</v>
      </c>
      <c r="N27" s="370">
        <f>[24]Brewhouse!$Z537</f>
        <v>0.24027777777777776</v>
      </c>
      <c r="O27" s="371" t="str">
        <f>[24]Brewhouse!$AX537</f>
        <v>R. Regis</v>
      </c>
      <c r="P27" s="420"/>
      <c r="R27" s="277" t="str">
        <f t="shared" si="10"/>
        <v>CARIB</v>
      </c>
      <c r="S27" s="296">
        <f t="shared" si="1"/>
        <v>11.6</v>
      </c>
      <c r="T27" s="296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296">
        <f t="shared" si="8"/>
        <v>60</v>
      </c>
    </row>
    <row r="28" spans="2:26" ht="15.75" customHeight="1">
      <c r="B28" s="29" t="s">
        <v>6</v>
      </c>
      <c r="C28" s="366" t="str">
        <f>[24]Brewhouse!$A538</f>
        <v>CA432</v>
      </c>
      <c r="D28" s="279">
        <f>[24]Brewhouse!$AF538</f>
        <v>53.3</v>
      </c>
      <c r="E28" s="279">
        <f>[24]Brewhouse!$AI538</f>
        <v>50.8</v>
      </c>
      <c r="F28" s="278">
        <f>[24]Brewhouse!$V538</f>
        <v>63</v>
      </c>
      <c r="G28" s="279">
        <f>[24]Brewhouse!$AG538</f>
        <v>11.8</v>
      </c>
      <c r="H28" s="396">
        <v>11.9</v>
      </c>
      <c r="I28" s="368">
        <f>[24]Brewhouse!$AU538</f>
        <v>97.939517976186764</v>
      </c>
      <c r="J28" s="368">
        <f>[24]Brewhouse!$AV538</f>
        <v>100.20595425342873</v>
      </c>
      <c r="K28" s="281">
        <f>[24]Brewhouse!$Q538</f>
        <v>5.4316546762589981</v>
      </c>
      <c r="L28" s="276">
        <f>[24]Brewhouse!$P538</f>
        <v>58</v>
      </c>
      <c r="M28" s="397">
        <f>[24]Brewhouse!$U538-[24]Brewhouse!$T538</f>
        <v>0.11388888888888893</v>
      </c>
      <c r="N28" s="370">
        <f>[24]Brewhouse!$Z538</f>
        <v>0.25763888888888892</v>
      </c>
      <c r="O28" s="371" t="str">
        <f>[24]Brewhouse!$AX538</f>
        <v>D. Gomez</v>
      </c>
      <c r="P28" s="420"/>
      <c r="R28" s="277" t="str">
        <f t="shared" si="10"/>
        <v>CARIB</v>
      </c>
      <c r="S28" s="296">
        <f t="shared" si="1"/>
        <v>11.6</v>
      </c>
      <c r="T28" s="296">
        <f t="shared" si="2"/>
        <v>12</v>
      </c>
      <c r="U28" s="297">
        <f t="shared" si="3"/>
        <v>0</v>
      </c>
      <c r="V28" s="297">
        <f t="shared" si="4"/>
        <v>0.118055555555556</v>
      </c>
      <c r="W28" s="297">
        <f t="shared" si="5"/>
        <v>0.22569444444444445</v>
      </c>
      <c r="X28" s="297">
        <f t="shared" si="6"/>
        <v>0.2638888888888889</v>
      </c>
      <c r="Y28" s="297">
        <f t="shared" si="7"/>
        <v>0</v>
      </c>
      <c r="Z28" s="296">
        <f t="shared" si="8"/>
        <v>60</v>
      </c>
    </row>
    <row r="29" spans="2:26" ht="15.75" customHeight="1">
      <c r="B29" s="29" t="s">
        <v>6</v>
      </c>
      <c r="C29" s="366" t="str">
        <f>[24]Brewhouse!$A539</f>
        <v>CA433</v>
      </c>
      <c r="D29" s="279">
        <f>[24]Brewhouse!$AF539</f>
        <v>53.9</v>
      </c>
      <c r="E29" s="279">
        <f>[24]Brewhouse!$AI539</f>
        <v>51.3</v>
      </c>
      <c r="F29" s="278">
        <f>[24]Brewhouse!$V539</f>
        <v>62</v>
      </c>
      <c r="G29" s="279">
        <f>[24]Brewhouse!$AG539</f>
        <v>11.8</v>
      </c>
      <c r="H29" s="367"/>
      <c r="I29" s="368">
        <f>[24]Brewhouse!$AU539</f>
        <v>99.02629043970073</v>
      </c>
      <c r="J29" s="368">
        <f>[24]Brewhouse!$AV539</f>
        <v>101.31775014153772</v>
      </c>
      <c r="K29" s="281">
        <f>[24]Brewhouse!$Q539</f>
        <v>4.8658318425760267</v>
      </c>
      <c r="L29" s="276">
        <f>[24]Brewhouse!$P539</f>
        <v>56</v>
      </c>
      <c r="M29" s="397">
        <f>[24]Brewhouse!$U539-[24]Brewhouse!$T539</f>
        <v>0.10972222222222217</v>
      </c>
      <c r="N29" s="370">
        <f>[24]Brewhouse!$Z539</f>
        <v>0.25208333333333327</v>
      </c>
      <c r="O29" s="371" t="str">
        <f>[24]Brewhouse!$AX539</f>
        <v>D. Gomez</v>
      </c>
      <c r="P29" s="420"/>
      <c r="R29" s="277" t="str">
        <f t="shared" si="10"/>
        <v>CARIB</v>
      </c>
      <c r="S29" s="296">
        <f t="shared" si="1"/>
        <v>11.6</v>
      </c>
      <c r="T29" s="296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296">
        <f t="shared" si="8"/>
        <v>60</v>
      </c>
    </row>
    <row r="30" spans="2:26" ht="15.75" customHeight="1">
      <c r="B30" s="29" t="s">
        <v>6</v>
      </c>
      <c r="C30" s="366" t="str">
        <f>[24]Brewhouse!$A540</f>
        <v>CA434</v>
      </c>
      <c r="D30" s="279">
        <f>[24]Brewhouse!$AF540</f>
        <v>54.7</v>
      </c>
      <c r="E30" s="279">
        <f>[24]Brewhouse!$AI540</f>
        <v>48.4</v>
      </c>
      <c r="F30" s="278">
        <f>[24]Brewhouse!$V540</f>
        <v>65</v>
      </c>
      <c r="G30" s="279">
        <f>[24]Brewhouse!$AG540</f>
        <v>11.7</v>
      </c>
      <c r="H30" s="367"/>
      <c r="I30" s="368">
        <f>[24]Brewhouse!$AU540</f>
        <v>92.480657542018434</v>
      </c>
      <c r="J30" s="368">
        <f>[24]Brewhouse!$AV540</f>
        <v>94.620769332719561</v>
      </c>
      <c r="K30" s="281">
        <f>[24]Brewhouse!$Q540</f>
        <v>4.8398576512455493</v>
      </c>
      <c r="L30" s="276">
        <f>[24]Brewhouse!$P540</f>
        <v>57</v>
      </c>
      <c r="M30" s="397">
        <f>[24]Brewhouse!$U540-[24]Brewhouse!$T540</f>
        <v>0.11319444444444438</v>
      </c>
      <c r="N30" s="370">
        <f>[24]Brewhouse!$Z540</f>
        <v>0.27499999999999997</v>
      </c>
      <c r="O30" s="371" t="str">
        <f>[24]Brewhouse!$AX540</f>
        <v>D. Gomez</v>
      </c>
      <c r="P30" s="420"/>
      <c r="R30" s="277" t="str">
        <f t="shared" si="10"/>
        <v>CARIB</v>
      </c>
      <c r="S30" s="296">
        <f t="shared" si="1"/>
        <v>11.6</v>
      </c>
      <c r="T30" s="296">
        <f t="shared" si="2"/>
        <v>12</v>
      </c>
      <c r="U30" s="297">
        <f t="shared" si="3"/>
        <v>0</v>
      </c>
      <c r="V30" s="297">
        <f t="shared" si="4"/>
        <v>0.118055555555556</v>
      </c>
      <c r="W30" s="297">
        <f t="shared" si="5"/>
        <v>0.22569444444444445</v>
      </c>
      <c r="X30" s="297">
        <f t="shared" si="6"/>
        <v>0.2638888888888889</v>
      </c>
      <c r="Y30" s="297">
        <f t="shared" si="7"/>
        <v>0</v>
      </c>
      <c r="Z30" s="296">
        <f t="shared" si="8"/>
        <v>60</v>
      </c>
    </row>
    <row r="31" spans="2:26" ht="15.75" customHeight="1">
      <c r="B31" s="29" t="s">
        <v>6</v>
      </c>
      <c r="C31" s="366" t="str">
        <f>[24]Brewhouse!$A541</f>
        <v>CA435</v>
      </c>
      <c r="D31" s="279">
        <f>[24]Brewhouse!$AF541</f>
        <v>54</v>
      </c>
      <c r="E31" s="279">
        <f>[24]Brewhouse!$AI541</f>
        <v>51.5</v>
      </c>
      <c r="F31" s="278">
        <f>[24]Brewhouse!$V541</f>
        <v>60</v>
      </c>
      <c r="G31" s="279">
        <f>[24]Brewhouse!$AG541</f>
        <v>11.8</v>
      </c>
      <c r="H31" s="367"/>
      <c r="I31" s="368">
        <f>[24]Brewhouse!$AU541</f>
        <v>99.412357848822381</v>
      </c>
      <c r="J31" s="368">
        <f>[24]Brewhouse!$AV541</f>
        <v>101.71275111674841</v>
      </c>
      <c r="K31" s="281">
        <f>[24]Brewhouse!$Q541</f>
        <v>4.6869409660107291</v>
      </c>
      <c r="L31" s="276">
        <f>[24]Brewhouse!$P541</f>
        <v>64</v>
      </c>
      <c r="M31" s="397">
        <f>[24]Brewhouse!$U541-[24]Brewhouse!$T541</f>
        <v>0.1152777777777777</v>
      </c>
      <c r="N31" s="370">
        <f>[24]Brewhouse!$Z541</f>
        <v>0.39166666666666666</v>
      </c>
      <c r="O31" s="371" t="str">
        <f>[24]Brewhouse!$AX541</f>
        <v>R. Sookram</v>
      </c>
      <c r="P31" s="420"/>
      <c r="R31" s="277" t="str">
        <f t="shared" si="10"/>
        <v>CARIB</v>
      </c>
      <c r="S31" s="296">
        <f t="shared" si="1"/>
        <v>11.6</v>
      </c>
      <c r="T31" s="296">
        <f t="shared" si="2"/>
        <v>12</v>
      </c>
      <c r="U31" s="297">
        <f t="shared" si="3"/>
        <v>0</v>
      </c>
      <c r="V31" s="297">
        <f t="shared" si="4"/>
        <v>0.118055555555556</v>
      </c>
      <c r="W31" s="297">
        <f t="shared" si="5"/>
        <v>0.22569444444444445</v>
      </c>
      <c r="X31" s="297">
        <f t="shared" si="6"/>
        <v>0.2638888888888889</v>
      </c>
      <c r="Y31" s="297">
        <f t="shared" si="7"/>
        <v>0</v>
      </c>
      <c r="Z31" s="296">
        <f t="shared" si="8"/>
        <v>60</v>
      </c>
    </row>
    <row r="32" spans="2:26" ht="15.75" customHeight="1">
      <c r="B32" s="29" t="s">
        <v>6</v>
      </c>
      <c r="C32" s="366" t="str">
        <f>[24]Brewhouse!$A542</f>
        <v>CA436</v>
      </c>
      <c r="D32" s="279">
        <f>[24]Brewhouse!$AF542</f>
        <v>54.8</v>
      </c>
      <c r="E32" s="279">
        <f>[24]Brewhouse!$AI542</f>
        <v>51.3</v>
      </c>
      <c r="F32" s="278">
        <f>[24]Brewhouse!$V542</f>
        <v>62</v>
      </c>
      <c r="G32" s="279">
        <f>[24]Brewhouse!$AG542</f>
        <v>11.9</v>
      </c>
      <c r="H32" s="396">
        <v>11.9</v>
      </c>
      <c r="I32" s="368">
        <f>[24]Brewhouse!$AU542</f>
        <v>96.49844356306086</v>
      </c>
      <c r="J32" s="368">
        <f>[24]Brewhouse!$AV542</f>
        <v>98.644919657131283</v>
      </c>
      <c r="K32" s="281">
        <f>[24]Brewhouse!$Q542</f>
        <v>9.5255474452554729</v>
      </c>
      <c r="L32" s="276">
        <f>[24]Brewhouse!$P542</f>
        <v>61</v>
      </c>
      <c r="M32" s="397">
        <f>[24]Brewhouse!$U542-[24]Brewhouse!$T542</f>
        <v>0.12361111111111112</v>
      </c>
      <c r="N32" s="370">
        <f>[24]Brewhouse!$Z542</f>
        <v>0.27500000000000002</v>
      </c>
      <c r="O32" s="371" t="str">
        <f>[24]Brewhouse!$AX542</f>
        <v>R. Regis</v>
      </c>
      <c r="P32" s="420"/>
      <c r="R32" s="277" t="str">
        <f t="shared" si="10"/>
        <v>CARIB</v>
      </c>
      <c r="S32" s="296">
        <f t="shared" si="1"/>
        <v>11.6</v>
      </c>
      <c r="T32" s="296">
        <f t="shared" si="2"/>
        <v>12</v>
      </c>
      <c r="U32" s="297">
        <f t="shared" si="3"/>
        <v>0</v>
      </c>
      <c r="V32" s="297">
        <f t="shared" si="4"/>
        <v>0.118055555555556</v>
      </c>
      <c r="W32" s="297">
        <f t="shared" si="5"/>
        <v>0.22569444444444445</v>
      </c>
      <c r="X32" s="297">
        <f t="shared" si="6"/>
        <v>0.2638888888888889</v>
      </c>
      <c r="Y32" s="297">
        <f t="shared" si="7"/>
        <v>0</v>
      </c>
      <c r="Z32" s="296">
        <f t="shared" si="8"/>
        <v>60</v>
      </c>
    </row>
    <row r="33" spans="1:27" ht="15.75" customHeight="1">
      <c r="B33" s="29" t="s">
        <v>6</v>
      </c>
      <c r="C33" s="366" t="str">
        <f>[24]Brewhouse!$A543</f>
        <v>CA437</v>
      </c>
      <c r="D33" s="279">
        <f>[24]Brewhouse!$AF543</f>
        <v>53.1</v>
      </c>
      <c r="E33" s="279">
        <f>[24]Brewhouse!$AI543</f>
        <v>50.3</v>
      </c>
      <c r="F33" s="278">
        <f>[24]Brewhouse!$V543</f>
        <v>57</v>
      </c>
      <c r="G33" s="279">
        <f>[24]Brewhouse!$AG543</f>
        <v>11.9</v>
      </c>
      <c r="H33" s="396">
        <v>11.9</v>
      </c>
      <c r="I33" s="368">
        <f>[24]Brewhouse!$AU543</f>
        <v>96.942525007854016</v>
      </c>
      <c r="J33" s="368">
        <f>[24]Brewhouse!$AV543</f>
        <v>99.094310268914683</v>
      </c>
      <c r="K33" s="281">
        <f>[24]Brewhouse!$Q543</f>
        <v>7.0758122743682224</v>
      </c>
      <c r="L33" s="276">
        <f>[24]Brewhouse!$P543</f>
        <v>60</v>
      </c>
      <c r="M33" s="397">
        <f>[24]Brewhouse!$U543-[24]Brewhouse!$T543</f>
        <v>0.10416666666666652</v>
      </c>
      <c r="N33" s="370">
        <f>[24]Brewhouse!$Z543</f>
        <v>0.26527777777777772</v>
      </c>
      <c r="O33" s="371" t="str">
        <f>[24]Brewhouse!$AX543</f>
        <v>R. Regis</v>
      </c>
      <c r="P33" s="420"/>
      <c r="R33" s="277" t="str">
        <f t="shared" si="10"/>
        <v>CARIB</v>
      </c>
      <c r="S33" s="296">
        <f t="shared" si="1"/>
        <v>11.6</v>
      </c>
      <c r="T33" s="296">
        <f t="shared" si="2"/>
        <v>12</v>
      </c>
      <c r="U33" s="297">
        <f t="shared" si="3"/>
        <v>0</v>
      </c>
      <c r="V33" s="297">
        <f t="shared" si="4"/>
        <v>0.118055555555556</v>
      </c>
      <c r="W33" s="297">
        <f t="shared" si="5"/>
        <v>0.22569444444444445</v>
      </c>
      <c r="X33" s="297">
        <f t="shared" si="6"/>
        <v>0.2638888888888889</v>
      </c>
      <c r="Y33" s="297">
        <f t="shared" si="7"/>
        <v>0</v>
      </c>
      <c r="Z33" s="296">
        <f t="shared" si="8"/>
        <v>60</v>
      </c>
    </row>
    <row r="34" spans="1:27" ht="15.75" customHeight="1">
      <c r="B34" s="444" t="s">
        <v>207</v>
      </c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20"/>
      <c r="R34" s="277" t="str">
        <f t="shared" si="10"/>
        <v>June 25th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7" ht="15.75" customHeight="1">
      <c r="B35" s="29" t="s">
        <v>6</v>
      </c>
      <c r="C35" s="366" t="str">
        <f>[24]Brewhouse!$A544</f>
        <v>CA438</v>
      </c>
      <c r="D35" s="279">
        <f>[24]Brewhouse!$AF544</f>
        <v>53.3</v>
      </c>
      <c r="E35" s="279">
        <f>[24]Brewhouse!$AI544</f>
        <v>50.3</v>
      </c>
      <c r="F35" s="278">
        <f>[24]Brewhouse!$V544</f>
        <v>57</v>
      </c>
      <c r="G35" s="279">
        <f>[24]Brewhouse!$AG544</f>
        <v>12</v>
      </c>
      <c r="H35" s="396">
        <v>11.9</v>
      </c>
      <c r="I35" s="368">
        <f>[24]Brewhouse!$AU544</f>
        <v>97.91935961128155</v>
      </c>
      <c r="J35" s="368">
        <f>[24]Brewhouse!$AV544</f>
        <v>100.09259049424199</v>
      </c>
      <c r="K35" s="281">
        <f>[24]Brewhouse!$Q544</f>
        <v>6.8828828828828836</v>
      </c>
      <c r="L35" s="276">
        <f>[24]Brewhouse!$P544</f>
        <v>61</v>
      </c>
      <c r="M35" s="397">
        <f>[24]Brewhouse!$U544-[24]Brewhouse!$T544</f>
        <v>0.10416666666666652</v>
      </c>
      <c r="N35" s="370">
        <f>[24]Brewhouse!$Z544</f>
        <v>0.23958333333333326</v>
      </c>
      <c r="O35" s="371" t="str">
        <f>[24]Brewhouse!$AX544</f>
        <v>R. Regis</v>
      </c>
      <c r="P35" s="420"/>
      <c r="R35" s="277" t="str">
        <f t="shared" si="10"/>
        <v>CARIB</v>
      </c>
      <c r="S35" s="296">
        <f t="shared" si="1"/>
        <v>11.6</v>
      </c>
      <c r="T35" s="296">
        <f t="shared" si="2"/>
        <v>12</v>
      </c>
      <c r="U35" s="297">
        <f t="shared" si="3"/>
        <v>0</v>
      </c>
      <c r="V35" s="297">
        <f t="shared" si="4"/>
        <v>0.118055555555556</v>
      </c>
      <c r="W35" s="297">
        <f t="shared" si="5"/>
        <v>0.22569444444444445</v>
      </c>
      <c r="X35" s="297">
        <f t="shared" si="6"/>
        <v>0.2638888888888889</v>
      </c>
      <c r="Y35" s="297">
        <f t="shared" si="7"/>
        <v>0</v>
      </c>
      <c r="Z35" s="296">
        <f t="shared" si="8"/>
        <v>60</v>
      </c>
    </row>
    <row r="36" spans="1:27" ht="15.75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20"/>
      <c r="R36" s="277">
        <f t="shared" si="1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7" ht="15.75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20"/>
      <c r="R37" s="277">
        <f t="shared" si="1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7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20"/>
      <c r="R38" s="277">
        <f t="shared" si="1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7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20"/>
      <c r="R39" s="277">
        <f t="shared" si="1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7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20"/>
      <c r="R40" s="277">
        <f t="shared" si="1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7" ht="15.75" customHeight="1" thickBot="1">
      <c r="B41" s="358"/>
      <c r="C41" s="358"/>
      <c r="D41" s="358"/>
      <c r="E41" s="358"/>
      <c r="F41" s="294"/>
      <c r="G41" s="294"/>
      <c r="H41" s="348"/>
      <c r="I41" s="497"/>
      <c r="J41" s="497"/>
      <c r="K41" s="497"/>
      <c r="L41" s="497"/>
      <c r="M41" s="497"/>
      <c r="N41" s="497"/>
      <c r="O41" s="1"/>
      <c r="P41" s="12"/>
      <c r="R41" s="277">
        <f t="shared" si="1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7" ht="15" thickBot="1">
      <c r="B42" s="388" t="s">
        <v>180</v>
      </c>
      <c r="C42" s="388"/>
      <c r="D42" s="475" t="s">
        <v>35</v>
      </c>
      <c r="E42" s="476"/>
      <c r="F42" s="294"/>
      <c r="G42" s="294"/>
      <c r="H42" s="348"/>
      <c r="I42" s="24" t="s">
        <v>17</v>
      </c>
      <c r="J42" s="25" t="s">
        <v>36</v>
      </c>
      <c r="K42" s="26" t="s">
        <v>138</v>
      </c>
      <c r="L42" s="25" t="s">
        <v>37</v>
      </c>
      <c r="M42" s="25" t="s">
        <v>38</v>
      </c>
      <c r="N42" s="27" t="s">
        <v>39</v>
      </c>
      <c r="O42" s="294"/>
      <c r="P42" s="12"/>
      <c r="R42" s="277" t="str">
        <f t="shared" si="0"/>
        <v xml:space="preserve">BRAND 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7" ht="15" customHeight="1">
      <c r="A43" s="28"/>
      <c r="B43" s="558" t="str">
        <f>B27</f>
        <v>CARIB</v>
      </c>
      <c r="C43" s="362">
        <f>[24]Process!D493</f>
        <v>11.8</v>
      </c>
      <c r="D43" s="501">
        <v>11.6</v>
      </c>
      <c r="E43" s="502"/>
      <c r="F43" s="294"/>
      <c r="G43" s="294"/>
      <c r="H43" s="348"/>
      <c r="I43" s="29" t="s">
        <v>6</v>
      </c>
      <c r="J43" s="280">
        <f>AVERAGE(I27:I35)</f>
        <v>97.438528781523104</v>
      </c>
      <c r="K43" s="284">
        <f>COUNTA([24]Brewhouse!$A$493:$A$544)</f>
        <v>52</v>
      </c>
      <c r="L43" s="305">
        <f>AVERAGE([24]Brewhouse!$AU$493:$AU$544)</f>
        <v>97.811743923564094</v>
      </c>
      <c r="M43" s="302">
        <f>AVERAGE([24]Brewhouse!$AU$102:$AU$171,[24]Brewhouse!$AU$173:$AU$253,[24]Brewhouse!$AU$255:$AU$339,[24]Brewhouse!$AU$341:$AU$346,[24]Brewhouse!$AU$348,[24]Brewhouse!$AU$349:$AU$406,[24]Brewhouse!$AU$408:$AU$491,[24]Brewhouse!$AU$493:$AU$544)</f>
        <v>97.678562434339739</v>
      </c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</row>
    <row r="44" spans="1:27" ht="15" customHeight="1">
      <c r="A44" s="28"/>
      <c r="B44" s="512"/>
      <c r="C44" s="349">
        <f>[24]Process!D494</f>
        <v>11.9</v>
      </c>
      <c r="D44" s="503"/>
      <c r="E44" s="504"/>
      <c r="F44" s="294"/>
      <c r="G44" s="294"/>
      <c r="H44" s="348"/>
      <c r="I44" s="33" t="s">
        <v>9</v>
      </c>
      <c r="J44" s="280"/>
      <c r="K44" s="284">
        <f>COUNTA([25]Brewhouse!$A$242:$A$261)</f>
        <v>20</v>
      </c>
      <c r="L44" s="302">
        <f>AVERAGE([25]Brewhouse!$AS$242:$AS$261)</f>
        <v>97.625065795762325</v>
      </c>
      <c r="M44" s="302">
        <f>AVERAGE([25]Brewhouse!$AS$15:$AS$64,[25]Brewhouse!$AS$66:$AS$103,[25]Brewhouse!$AS$105:$AS$140,[25]Brewhouse!$AS$142:$AS$193,[25]Brewhouse!$AS$195:$AS$240,[25]Brewhouse!$AS$242:$AS$261)</f>
        <v>97.854851527783097</v>
      </c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</row>
    <row r="45" spans="1:27" ht="14.7" customHeight="1">
      <c r="A45" s="28"/>
      <c r="B45" s="512"/>
      <c r="C45" s="349">
        <f>[24]Process!D495</f>
        <v>11.7</v>
      </c>
      <c r="D45" s="501">
        <v>11.8</v>
      </c>
      <c r="E45" s="502"/>
      <c r="F45" s="294"/>
      <c r="G45" s="294"/>
      <c r="H45" s="348"/>
      <c r="I45" s="34" t="s">
        <v>12</v>
      </c>
      <c r="J45" s="280"/>
      <c r="K45" s="284"/>
      <c r="L45" s="302"/>
      <c r="M45" s="302">
        <f>AVERAGE([26]Brewhouse!$AU$4:$AU$7,[26]Brewhouse!$AU$9:$AU$22,[26]Brewhouse!$AU$24:$AU$35,[26]Brewhouse!$AU$37:$AU$45,[26]Brewhouse!$AU$47:$AU$62)</f>
        <v>97.179377138297156</v>
      </c>
      <c r="N45" s="3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</row>
    <row r="46" spans="1:27" ht="14.7" customHeight="1">
      <c r="A46" s="28"/>
      <c r="B46" s="512"/>
      <c r="C46" s="349">
        <f>[24]Process!D496</f>
        <v>12</v>
      </c>
      <c r="D46" s="503"/>
      <c r="E46" s="504"/>
      <c r="F46" s="294"/>
      <c r="G46" s="294"/>
      <c r="H46" s="348"/>
      <c r="I46" s="22" t="s">
        <v>33</v>
      </c>
      <c r="J46" s="280"/>
      <c r="K46" s="284">
        <f>COUNTA([23]Brewhouse!$A$48:$A$53)</f>
        <v>6</v>
      </c>
      <c r="L46" s="302">
        <f>AVERAGE([23]Brewhouse!$AV$48:$AV$53)</f>
        <v>96.180288887301501</v>
      </c>
      <c r="M46" s="302">
        <f>AVERAGE([23]Brewhouse!$AV$5:$AV$14,[23]Brewhouse!$AV$16:$AV$19,[23]Brewhouse!$AV$21:$AV$24,[23]Brewhouse!$AV$26:$AV$33,[23]Brewhouse!$AV$35:$AV$46,[23]Brewhouse!$AV$48:$AV$53)</f>
        <v>98.620083722669861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7" ht="14.7" customHeight="1">
      <c r="A47" s="28"/>
      <c r="B47" s="512"/>
      <c r="C47" s="349">
        <f>[24]Process!$D$501</f>
        <v>11.8</v>
      </c>
      <c r="D47" s="501">
        <v>11.76</v>
      </c>
      <c r="E47" s="502"/>
      <c r="F47" s="419"/>
      <c r="G47" s="294"/>
      <c r="H47" s="348"/>
      <c r="I47" s="35" t="s">
        <v>29</v>
      </c>
      <c r="J47" s="280"/>
      <c r="K47" s="284"/>
      <c r="L47" s="302"/>
      <c r="M47" s="302"/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7" ht="14.7" customHeight="1">
      <c r="A48" s="28"/>
      <c r="B48" s="512"/>
      <c r="C48" s="349"/>
      <c r="D48" s="503"/>
      <c r="E48" s="504"/>
      <c r="F48" s="419"/>
      <c r="G48" s="294"/>
      <c r="H48" s="348"/>
      <c r="I48" s="36" t="s">
        <v>15</v>
      </c>
      <c r="J48" s="323"/>
      <c r="K48" s="284">
        <f>COUNTA([27]Brewhouse!$A$18:$A$21)</f>
        <v>4</v>
      </c>
      <c r="L48" s="302">
        <f>AVERAGE([27]Brewhouse!$AT$18:$AT$21)</f>
        <v>95.061602643439088</v>
      </c>
      <c r="M48" s="302">
        <f>AVERAGE([27]Brewhouse!$AT$4:$AT$11,[27]Brewhouse!$AT$13:$AT$16,[27]Brewhouse!$AT$18:$AT$21)</f>
        <v>94.773169817643847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  <c r="AA48" s="296"/>
    </row>
    <row r="49" spans="1:56" ht="14.7" customHeight="1">
      <c r="A49" s="28"/>
      <c r="B49" s="512"/>
      <c r="C49" s="349"/>
      <c r="D49" s="501"/>
      <c r="E49" s="502"/>
      <c r="F49" s="419"/>
      <c r="G49" s="294"/>
      <c r="H49" s="348"/>
      <c r="I49" s="37" t="s">
        <v>16</v>
      </c>
      <c r="J49" s="323"/>
      <c r="K49" s="284">
        <f>COUNTA([22]Brewhouse!$A$45:$A$50)</f>
        <v>6</v>
      </c>
      <c r="L49" s="302">
        <f>AVERAGE([22]Brewhouse!$AY$45:$AY$50)</f>
        <v>96.288901438431267</v>
      </c>
      <c r="M49" s="302">
        <f>AVERAGE([22]Brewhouse!$AY$6:$AY$13,[22]Brewhouse!$AY$15:$AY$20,[22]Brewhouse!$AY$22:$AY$29,[22]Brewhouse!$AY$31:$AY$34,[22]Brewhouse!$AY$36:$AY$43,[22]Brewhouse!$AY$45:$AY$50)</f>
        <v>96.612624784592427</v>
      </c>
      <c r="N49" s="30">
        <v>98</v>
      </c>
      <c r="O49" s="11"/>
      <c r="P49" s="31" t="s">
        <v>41</v>
      </c>
      <c r="R49" s="277"/>
      <c r="S49" s="296"/>
      <c r="T49" s="296"/>
      <c r="U49" s="297"/>
      <c r="V49" s="297"/>
      <c r="W49" s="297"/>
      <c r="X49" s="297"/>
      <c r="Y49" s="297"/>
      <c r="Z49" s="296"/>
      <c r="AA49" s="296"/>
    </row>
    <row r="50" spans="1:56" ht="14.7" customHeight="1">
      <c r="A50" s="28"/>
      <c r="B50" s="512"/>
      <c r="C50" s="349"/>
      <c r="D50" s="503"/>
      <c r="E50" s="504"/>
      <c r="F50" s="294"/>
      <c r="G50" s="294"/>
      <c r="H50" s="348"/>
      <c r="I50" s="411" t="s">
        <v>158</v>
      </c>
      <c r="J50" s="326"/>
      <c r="K50" s="284">
        <f>COUNTA([28]Brewhouse!$A$10:$A$13)</f>
        <v>4</v>
      </c>
      <c r="L50" s="305">
        <f>AVERAGE([28]Brewhouse!$AU$10:$AU$13)</f>
        <v>97.488444912767932</v>
      </c>
      <c r="M50" s="305">
        <f>AVERAGE([28]Brewhouse!$AU$5:$AU$8,[28]Brewhouse!$AU$10:$AU$13)</f>
        <v>94.247666625193744</v>
      </c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4.7" customHeight="1">
      <c r="A51" s="28"/>
      <c r="B51" s="512"/>
      <c r="C51" s="349"/>
      <c r="D51" s="501"/>
      <c r="E51" s="502"/>
      <c r="F51" s="294"/>
      <c r="G51" s="294"/>
      <c r="H51" s="348"/>
      <c r="I51" s="410" t="s">
        <v>157</v>
      </c>
      <c r="J51" s="326"/>
      <c r="K51" s="284"/>
      <c r="L51" s="305"/>
      <c r="M51" s="305"/>
      <c r="N51" s="3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5" customHeight="1" thickBot="1">
      <c r="A52" s="28"/>
      <c r="B52" s="512"/>
      <c r="C52" s="349"/>
      <c r="D52" s="503"/>
      <c r="E52" s="504"/>
      <c r="F52" s="294"/>
      <c r="G52" s="294"/>
      <c r="H52" s="348"/>
      <c r="I52" s="406" t="s">
        <v>156</v>
      </c>
      <c r="J52" s="327"/>
      <c r="K52" s="407"/>
      <c r="L52" s="408"/>
      <c r="M52" s="408"/>
      <c r="N52" s="409">
        <v>98</v>
      </c>
      <c r="O52" s="11"/>
      <c r="P52" s="31"/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5" customHeight="1" thickBot="1">
      <c r="A53" s="28"/>
      <c r="B53" s="512"/>
      <c r="C53" s="349"/>
      <c r="D53" s="501"/>
      <c r="E53" s="502"/>
      <c r="F53" s="294"/>
      <c r="G53" s="294"/>
      <c r="H53" s="348"/>
      <c r="I53" s="1"/>
      <c r="J53" s="39"/>
      <c r="K53" s="404">
        <f>SUM(K43:K52)</f>
        <v>92</v>
      </c>
      <c r="L53" s="405">
        <f>((L43*K43)+(L44*K44)+(L45*K45)+(L46*K46)+(L47*K47)+(K50*L50)+(L48*K48)+(L49*K49)+(L52*K52))/(K53)</f>
        <v>97.431818827389179</v>
      </c>
      <c r="M53" s="405">
        <f>AVERAGE('[29]Jan 31st'!$L$65,'[30]Feb 28th'!$L$35,'[31]Mar. 31st'!$L$35,'[32]Apr. 30th'!$L$45,'[33]May 30th'!$L$37,L53)</f>
        <v>97.601845377459711</v>
      </c>
      <c r="N53" s="4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5" thickBot="1">
      <c r="B54" s="513"/>
      <c r="C54" s="350"/>
      <c r="D54" s="503"/>
      <c r="E54" s="504"/>
      <c r="F54" s="294"/>
      <c r="G54" s="42"/>
      <c r="H54" s="41"/>
      <c r="I54" s="42"/>
      <c r="J54" s="42"/>
      <c r="K54" s="351"/>
      <c r="L54" s="348"/>
      <c r="M54" s="348"/>
      <c r="N54" s="11"/>
      <c r="O54" s="294"/>
      <c r="P54" s="12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thickBot="1">
      <c r="B55" s="574" t="str">
        <f>I44</f>
        <v>STAG</v>
      </c>
      <c r="C55" s="362">
        <f>[25]Process!D231</f>
        <v>11.8</v>
      </c>
      <c r="D55" s="514">
        <v>11.98</v>
      </c>
      <c r="E55" s="515"/>
      <c r="F55" s="294"/>
      <c r="G55" s="42"/>
      <c r="H55" s="41"/>
      <c r="I55" s="41"/>
      <c r="J55" s="551" t="s">
        <v>129</v>
      </c>
      <c r="K55" s="551"/>
      <c r="L55" s="294"/>
      <c r="M55" s="294"/>
      <c r="N55" s="294"/>
      <c r="O55" s="294"/>
      <c r="P55" s="12"/>
    </row>
    <row r="56" spans="1:56" ht="13.5" customHeight="1" thickBot="1">
      <c r="B56" s="549"/>
      <c r="C56" s="349">
        <f>[25]Process!D232</f>
        <v>11.6</v>
      </c>
      <c r="D56" s="516"/>
      <c r="E56" s="504"/>
      <c r="F56" s="294"/>
      <c r="G56" s="42"/>
      <c r="H56" s="41"/>
      <c r="I56" s="41"/>
      <c r="J56" s="292" t="s">
        <v>17</v>
      </c>
      <c r="K56" s="293" t="s">
        <v>191</v>
      </c>
      <c r="L56" s="518" t="s">
        <v>136</v>
      </c>
      <c r="M56" s="518"/>
      <c r="N56" s="519"/>
      <c r="O56" s="294"/>
      <c r="P56" s="12"/>
    </row>
    <row r="57" spans="1:56" ht="15" customHeight="1" thickBot="1">
      <c r="B57" s="549"/>
      <c r="C57" s="349">
        <f>[25]Process!D237</f>
        <v>11.8</v>
      </c>
      <c r="D57" s="545">
        <v>11.94</v>
      </c>
      <c r="E57" s="546"/>
      <c r="F57" s="294"/>
      <c r="G57" s="42"/>
      <c r="H57" s="41"/>
      <c r="I57" s="41"/>
      <c r="J57" s="287" t="s">
        <v>6</v>
      </c>
      <c r="K57" s="324">
        <v>7</v>
      </c>
      <c r="L57" s="343" t="s">
        <v>37</v>
      </c>
      <c r="M57" s="307" t="s">
        <v>38</v>
      </c>
      <c r="N57" s="307" t="s">
        <v>84</v>
      </c>
      <c r="O57" s="294"/>
      <c r="P57" s="12"/>
    </row>
    <row r="58" spans="1:56" ht="15.75" customHeight="1" thickBot="1">
      <c r="B58" s="549"/>
      <c r="C58" s="349">
        <f>[25]Process!D238</f>
        <v>11.8</v>
      </c>
      <c r="D58" s="516"/>
      <c r="E58" s="504"/>
      <c r="F58" s="294"/>
      <c r="G58" s="42"/>
      <c r="H58" s="41"/>
      <c r="I58" s="41"/>
      <c r="J58" s="345" t="s">
        <v>9</v>
      </c>
      <c r="K58" s="324"/>
      <c r="L58" s="344">
        <f>AVERAGE('June 2nd'!K57,'June 3rd'!K63,'June 4th'!K63,'June 5th '!K63,'June 6th'!K63,'June 10th'!K63,'June 11th'!K63,'June 12th '!K63,'June 13th'!I65,'June 13th'!K65,'June 16th'!K60,'June 24th'!K67,'June 17th '!K60,'June 18th'!K60,'June 23rd'!K60)</f>
        <v>6.333333333333333</v>
      </c>
      <c r="M58" s="325">
        <f>AVERAGE('[29]Jan 29th '!$M$70,'[30]Feb 28th'!$L$40,'[31]Mar. 31st'!$L$40,'[32]Apr. 30th'!$L$50,'[33]May 30th'!$L$42,L58)</f>
        <v>6.5899957530392319</v>
      </c>
      <c r="N58" s="418">
        <v>9.1999999999999993</v>
      </c>
      <c r="O58" s="294"/>
      <c r="P58" s="12"/>
    </row>
    <row r="59" spans="1:56" ht="15" customHeight="1">
      <c r="B59" s="549"/>
      <c r="C59" s="349">
        <f>[25]Process!D242</f>
        <v>11.6</v>
      </c>
      <c r="D59" s="545">
        <v>11.99</v>
      </c>
      <c r="E59" s="546"/>
      <c r="F59" s="294"/>
      <c r="G59" s="42"/>
      <c r="H59" s="41"/>
      <c r="I59" s="41"/>
      <c r="J59" s="288" t="s">
        <v>40</v>
      </c>
      <c r="K59" s="324"/>
      <c r="L59" s="294"/>
      <c r="M59" s="294"/>
      <c r="N59" s="294"/>
      <c r="O59" s="294"/>
      <c r="P59" s="12"/>
    </row>
    <row r="60" spans="1:56" ht="15" customHeight="1">
      <c r="B60" s="549"/>
      <c r="C60" s="349">
        <f>[25]Process!D243</f>
        <v>11.9</v>
      </c>
      <c r="D60" s="516"/>
      <c r="E60" s="504"/>
      <c r="F60" s="294"/>
      <c r="G60" s="42"/>
      <c r="H60" s="41"/>
      <c r="I60" s="41"/>
      <c r="J60" s="289" t="s">
        <v>33</v>
      </c>
      <c r="K60" s="324"/>
      <c r="L60" s="294"/>
      <c r="M60" s="294"/>
      <c r="N60" s="294"/>
      <c r="O60" s="294"/>
      <c r="P60" s="12"/>
    </row>
    <row r="61" spans="1:56" ht="14.4">
      <c r="B61" s="549"/>
      <c r="C61" s="349">
        <f>[25]Process!D244</f>
        <v>11.8</v>
      </c>
      <c r="D61" s="545">
        <v>11.98</v>
      </c>
      <c r="E61" s="546"/>
      <c r="F61" s="294"/>
      <c r="G61" s="42"/>
      <c r="H61" s="41"/>
      <c r="I61" s="41"/>
      <c r="J61" s="290" t="s">
        <v>16</v>
      </c>
      <c r="K61" s="324"/>
      <c r="L61" s="294"/>
      <c r="M61" s="294"/>
      <c r="N61" s="294"/>
      <c r="O61" s="294"/>
      <c r="P61" s="12"/>
      <c r="BC61" s="44"/>
      <c r="BD61" s="44"/>
    </row>
    <row r="62" spans="1:56" ht="14.4">
      <c r="B62" s="549"/>
      <c r="C62" s="349">
        <f>[25]Process!D245</f>
        <v>11.7</v>
      </c>
      <c r="D62" s="516"/>
      <c r="E62" s="504"/>
      <c r="F62" s="294"/>
      <c r="G62" s="42"/>
      <c r="H62" s="41"/>
      <c r="I62" s="41"/>
      <c r="J62" s="291" t="s">
        <v>15</v>
      </c>
      <c r="K62" s="324"/>
      <c r="L62" s="294"/>
      <c r="M62" s="294"/>
      <c r="N62" s="294"/>
      <c r="O62" s="294"/>
      <c r="P62" s="12"/>
      <c r="BC62" s="44"/>
      <c r="BD62" s="44"/>
    </row>
    <row r="63" spans="1:56" ht="14.4">
      <c r="B63" s="549"/>
      <c r="C63" s="349"/>
      <c r="D63" s="545"/>
      <c r="E63" s="546"/>
      <c r="F63" s="294"/>
      <c r="G63" s="42"/>
      <c r="H63" s="41"/>
      <c r="I63" s="41"/>
      <c r="J63" s="291" t="s">
        <v>149</v>
      </c>
      <c r="K63" s="324"/>
      <c r="L63" s="294"/>
      <c r="M63" s="294"/>
      <c r="N63" s="294"/>
      <c r="O63" s="294"/>
      <c r="P63" s="12"/>
      <c r="BC63" s="44"/>
      <c r="BD63" s="44"/>
    </row>
    <row r="64" spans="1:56" ht="15" thickBot="1">
      <c r="B64" s="550"/>
      <c r="C64" s="350"/>
      <c r="D64" s="547"/>
      <c r="E64" s="548"/>
      <c r="F64" s="294"/>
      <c r="G64" s="42"/>
      <c r="H64" s="41"/>
      <c r="I64" s="41"/>
      <c r="J64" s="291" t="s">
        <v>148</v>
      </c>
      <c r="K64" s="324"/>
      <c r="L64" s="294"/>
      <c r="M64" s="294"/>
      <c r="N64" s="294"/>
      <c r="O64" s="294"/>
      <c r="P64" s="12"/>
      <c r="BC64" s="44"/>
      <c r="BD64" s="44"/>
    </row>
    <row r="65" spans="2:57" ht="17.7" customHeight="1" thickBot="1">
      <c r="B65" s="312" t="s">
        <v>139</v>
      </c>
      <c r="C65" s="313"/>
      <c r="D65" s="562">
        <f>AVERAGE(D43:E64)</f>
        <v>11.864285714285714</v>
      </c>
      <c r="E65" s="563"/>
      <c r="F65" s="294"/>
      <c r="G65" s="42"/>
      <c r="H65" s="41"/>
      <c r="I65" s="41"/>
      <c r="J65" s="295" t="s">
        <v>134</v>
      </c>
      <c r="K65" s="324"/>
      <c r="L65" s="294"/>
      <c r="M65" s="294"/>
      <c r="N65" s="294"/>
      <c r="O65" s="294"/>
      <c r="P65" s="12"/>
      <c r="BC65" s="44"/>
      <c r="BD65" s="44"/>
    </row>
    <row r="66" spans="2:57" ht="17.7" customHeight="1">
      <c r="B66" s="363"/>
      <c r="C66" s="364"/>
      <c r="D66" s="365"/>
      <c r="E66" s="365"/>
      <c r="F66" s="294"/>
      <c r="G66" s="42"/>
      <c r="H66" s="41"/>
      <c r="I66" s="41"/>
      <c r="J66" s="295" t="s">
        <v>131</v>
      </c>
      <c r="K66" s="324"/>
      <c r="L66" s="294"/>
      <c r="M66" s="294"/>
      <c r="N66" s="294"/>
      <c r="O66" s="294"/>
      <c r="P66" s="12"/>
      <c r="BC66" s="44"/>
      <c r="BD66" s="44"/>
    </row>
    <row r="67" spans="2:57" ht="15.75" customHeight="1">
      <c r="B67" s="45"/>
      <c r="C67" s="11"/>
      <c r="D67" s="11"/>
      <c r="E67" s="46"/>
      <c r="F67" s="294"/>
      <c r="G67" s="42"/>
      <c r="H67" s="41"/>
      <c r="I67" s="41"/>
      <c r="J67" s="346" t="s">
        <v>130</v>
      </c>
      <c r="K67" s="324">
        <f>SUM(K57:K66)</f>
        <v>7</v>
      </c>
      <c r="L67" s="294"/>
      <c r="M67" s="294"/>
      <c r="N67" s="294"/>
      <c r="O67" s="294"/>
      <c r="P67" s="12"/>
    </row>
    <row r="68" spans="2:57" ht="20.25" customHeight="1">
      <c r="B68" s="15" t="s">
        <v>42</v>
      </c>
      <c r="C68" s="1" t="s">
        <v>43</v>
      </c>
      <c r="D68" s="1"/>
      <c r="E68" s="1"/>
      <c r="F68" s="294"/>
      <c r="G68" s="42"/>
      <c r="H68" s="41"/>
      <c r="I68" s="42"/>
      <c r="L68" s="294"/>
      <c r="P68" s="334"/>
    </row>
    <row r="69" spans="2:57" ht="15" customHeight="1" thickBot="1"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8"/>
      <c r="O69" s="48"/>
      <c r="P69" s="49"/>
    </row>
    <row r="70" spans="2:57" ht="15" customHeight="1" thickBot="1">
      <c r="B70" s="526" t="s">
        <v>17</v>
      </c>
      <c r="C70" s="526" t="s">
        <v>44</v>
      </c>
      <c r="D70" s="528" t="s">
        <v>45</v>
      </c>
      <c r="E70" s="483" t="s">
        <v>46</v>
      </c>
      <c r="F70" s="543" t="s">
        <v>47</v>
      </c>
      <c r="G70" s="537" t="s">
        <v>48</v>
      </c>
      <c r="H70" s="526" t="s">
        <v>49</v>
      </c>
      <c r="I70" s="526" t="s">
        <v>50</v>
      </c>
      <c r="J70" s="531" t="s">
        <v>28</v>
      </c>
      <c r="K70" s="481" t="s">
        <v>51</v>
      </c>
      <c r="L70" s="493" t="s">
        <v>52</v>
      </c>
      <c r="M70" s="531" t="s">
        <v>53</v>
      </c>
      <c r="N70" s="13"/>
      <c r="O70" s="13"/>
      <c r="P70" s="50"/>
    </row>
    <row r="71" spans="2:57" ht="28.5" customHeight="1" thickTop="1" thickBot="1">
      <c r="B71" s="527"/>
      <c r="C71" s="527"/>
      <c r="D71" s="529"/>
      <c r="E71" s="530"/>
      <c r="F71" s="544"/>
      <c r="G71" s="538"/>
      <c r="H71" s="527"/>
      <c r="I71" s="527"/>
      <c r="J71" s="532"/>
      <c r="K71" s="541"/>
      <c r="L71" s="542"/>
      <c r="M71" s="532"/>
      <c r="N71" s="13"/>
      <c r="O71" s="13"/>
      <c r="P71" s="50"/>
      <c r="Q71" s="355"/>
      <c r="AB71" s="51">
        <v>43474</v>
      </c>
      <c r="AC71" s="51">
        <v>43475</v>
      </c>
      <c r="AD71" s="51">
        <v>43476</v>
      </c>
      <c r="AE71" s="51">
        <v>43477</v>
      </c>
      <c r="AF71" s="51">
        <v>43478</v>
      </c>
      <c r="AG71" s="51">
        <v>43479</v>
      </c>
      <c r="AH71" s="51">
        <v>43480</v>
      </c>
      <c r="AI71" s="51">
        <v>43481</v>
      </c>
      <c r="AJ71" s="51">
        <v>43482</v>
      </c>
      <c r="AK71" s="51">
        <v>43483</v>
      </c>
      <c r="AL71" s="51">
        <v>43484</v>
      </c>
      <c r="AM71" s="51">
        <v>43485</v>
      </c>
      <c r="AN71" s="51">
        <v>43486</v>
      </c>
      <c r="AO71" s="51">
        <v>43487</v>
      </c>
      <c r="AP71" s="51">
        <v>43488</v>
      </c>
      <c r="AQ71" s="51">
        <v>43489</v>
      </c>
      <c r="AR71" s="51">
        <v>43490</v>
      </c>
      <c r="AS71" s="51">
        <v>43491</v>
      </c>
      <c r="AT71" s="51">
        <v>43492</v>
      </c>
      <c r="AU71" s="51">
        <v>43493</v>
      </c>
      <c r="AV71" s="51">
        <v>43494</v>
      </c>
      <c r="AW71" s="51">
        <v>43495</v>
      </c>
      <c r="AX71" s="51">
        <v>43496</v>
      </c>
    </row>
    <row r="72" spans="2:57" s="54" customFormat="1" ht="51" customHeight="1">
      <c r="B72" s="387" t="str">
        <f>B79</f>
        <v>CARIB</v>
      </c>
      <c r="C72" s="432">
        <v>45832</v>
      </c>
      <c r="D72" s="377">
        <f>[34]June_2025!$AA$3</f>
        <v>242.60000000000002</v>
      </c>
      <c r="E72" s="378"/>
      <c r="F72" s="379"/>
      <c r="G72" s="303">
        <f>[34]June_2025!$AA$7</f>
        <v>226.5</v>
      </c>
      <c r="H72" s="320"/>
      <c r="I72" s="322"/>
      <c r="J72" s="392" t="s">
        <v>204</v>
      </c>
      <c r="K72" s="286">
        <f>[36]June_2025!$AA$18</f>
        <v>0.39736842105263159</v>
      </c>
      <c r="L72" s="314">
        <f>(((D72+E72)-G72)/(D72+E72))*100</f>
        <v>6.6364385820280383</v>
      </c>
      <c r="M72" s="417" t="s">
        <v>206</v>
      </c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416"/>
      <c r="AC72" s="416"/>
      <c r="AD72" s="416"/>
      <c r="AE72" s="416"/>
      <c r="AF72" s="416"/>
      <c r="AG72" s="416"/>
      <c r="AH72" s="416"/>
      <c r="AI72" s="416"/>
      <c r="AJ72" s="416"/>
      <c r="AK72" s="416"/>
      <c r="AL72" s="416"/>
      <c r="AM72" s="416"/>
      <c r="AN72" s="416"/>
      <c r="AO72" s="416"/>
      <c r="AP72" s="416"/>
      <c r="AQ72" s="416"/>
      <c r="AR72" s="416"/>
      <c r="AS72" s="416"/>
      <c r="AT72" s="416"/>
      <c r="AU72" s="416"/>
      <c r="AV72" s="416"/>
      <c r="AW72" s="416"/>
    </row>
    <row r="73" spans="2:57" s="54" customFormat="1" ht="23.25" customHeight="1">
      <c r="B73" s="22"/>
      <c r="C73" s="283"/>
      <c r="D73" s="377"/>
      <c r="E73" s="378"/>
      <c r="F73" s="379"/>
      <c r="G73" s="303"/>
      <c r="H73" s="320"/>
      <c r="I73" s="322"/>
      <c r="J73" s="281"/>
      <c r="K73" s="286"/>
      <c r="L73" s="314"/>
      <c r="M73" s="417"/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416"/>
      <c r="AC73" s="416"/>
      <c r="AD73" s="416"/>
      <c r="AE73" s="416"/>
      <c r="AF73" s="416"/>
      <c r="AG73" s="416"/>
      <c r="AH73" s="416"/>
      <c r="AI73" s="416"/>
      <c r="AJ73" s="416"/>
      <c r="AK73" s="416"/>
      <c r="AL73" s="416"/>
      <c r="AM73" s="416"/>
      <c r="AN73" s="416"/>
      <c r="AO73" s="416"/>
      <c r="AP73" s="416"/>
      <c r="AQ73" s="416"/>
      <c r="AR73" s="416"/>
      <c r="AS73" s="416"/>
      <c r="AT73" s="416"/>
      <c r="AU73" s="416"/>
      <c r="AV73" s="416"/>
      <c r="AW73" s="416"/>
    </row>
    <row r="74" spans="2:57" s="54" customFormat="1" ht="53.25" customHeight="1">
      <c r="B74" s="425" t="str">
        <f>B80</f>
        <v>STAG</v>
      </c>
      <c r="C74" s="432">
        <v>45832</v>
      </c>
      <c r="D74" s="377">
        <f>[34]June_2025!$AA$13</f>
        <v>413.40999999999997</v>
      </c>
      <c r="E74" s="378"/>
      <c r="F74" s="379"/>
      <c r="G74" s="303">
        <f>[34]June_2025!$AA$17</f>
        <v>392.3</v>
      </c>
      <c r="H74" s="320"/>
      <c r="I74" s="322"/>
      <c r="J74" s="392" t="s">
        <v>182</v>
      </c>
      <c r="K74" s="286">
        <f>[36]June_2025!$AA$25</f>
        <v>1.3764912280701755</v>
      </c>
      <c r="L74" s="314">
        <f>(((D74+E74)-G74)/(D74+E74))*100</f>
        <v>5.1063109261991624</v>
      </c>
      <c r="M74" s="417" t="s">
        <v>205</v>
      </c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57">
        <f>[20]January_2019!L7</f>
        <v>0</v>
      </c>
      <c r="AC74" s="57">
        <f>[20]January_2019!M7</f>
        <v>0</v>
      </c>
      <c r="AD74" s="57">
        <f>[20]January_2019!N7</f>
        <v>0</v>
      </c>
      <c r="AE74" s="57">
        <f>[20]January_2019!O7</f>
        <v>0</v>
      </c>
      <c r="AF74" s="57">
        <f>[20]January_2019!P7</f>
        <v>0</v>
      </c>
      <c r="AG74" s="57">
        <f>[20]January_2019!Q7</f>
        <v>0</v>
      </c>
      <c r="AH74" s="57">
        <f>[20]January_2019!R7</f>
        <v>0</v>
      </c>
      <c r="AI74" s="57">
        <f>[20]January_2019!S7</f>
        <v>0</v>
      </c>
      <c r="AJ74" s="57">
        <f>[20]January_2019!T7</f>
        <v>0</v>
      </c>
      <c r="AK74" s="57">
        <f>[20]January_2019!U7</f>
        <v>0</v>
      </c>
      <c r="AL74" s="57">
        <f>[20]January_2019!V7</f>
        <v>0</v>
      </c>
      <c r="AM74" s="57">
        <f>[20]January_2019!W7</f>
        <v>0</v>
      </c>
      <c r="AN74" s="57">
        <f>[20]January_2019!X7</f>
        <v>0</v>
      </c>
      <c r="AO74" s="57">
        <f>[20]January_2019!Y7</f>
        <v>0</v>
      </c>
      <c r="AP74" s="57">
        <f>[20]January_2019!Z7</f>
        <v>0</v>
      </c>
      <c r="AQ74" s="57">
        <f>[20]January_2019!AA7</f>
        <v>0</v>
      </c>
      <c r="AR74" s="57">
        <f>[20]January_2019!AB7</f>
        <v>0</v>
      </c>
      <c r="AS74" s="57">
        <f>[20]January_2019!AC7</f>
        <v>0</v>
      </c>
      <c r="AT74" s="57">
        <f>[20]January_2019!AD7</f>
        <v>0</v>
      </c>
      <c r="AU74" s="57">
        <f>[20]January_2019!AE7</f>
        <v>0</v>
      </c>
      <c r="AV74" s="57">
        <f>[20]January_2019!AF7</f>
        <v>0</v>
      </c>
      <c r="AW74" s="57">
        <f>[20]January_2019!AG7</f>
        <v>0</v>
      </c>
      <c r="AX74" s="277">
        <f>[20]January_2019!AH7</f>
        <v>0</v>
      </c>
      <c r="AY74" s="277"/>
      <c r="AZ74" s="277"/>
      <c r="BA74" s="277"/>
      <c r="BB74" s="277"/>
      <c r="BC74" s="277"/>
      <c r="BD74" s="277"/>
      <c r="BE74" s="277"/>
    </row>
    <row r="75" spans="2:57" s="54" customFormat="1" ht="16.5" customHeight="1">
      <c r="B75" s="423"/>
      <c r="C75" s="283"/>
      <c r="D75" s="377"/>
      <c r="E75" s="378"/>
      <c r="F75" s="379"/>
      <c r="G75" s="303"/>
      <c r="H75" s="320"/>
      <c r="I75" s="322"/>
      <c r="J75" s="281"/>
      <c r="K75" s="286"/>
      <c r="L75" s="314"/>
      <c r="M75" s="417"/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416"/>
      <c r="AC75" s="416"/>
      <c r="AD75" s="416"/>
      <c r="AE75" s="416"/>
      <c r="AF75" s="416"/>
      <c r="AG75" s="416"/>
      <c r="AH75" s="416"/>
      <c r="AI75" s="416"/>
      <c r="AJ75" s="416"/>
      <c r="AK75" s="416"/>
      <c r="AL75" s="416"/>
      <c r="AM75" s="416"/>
      <c r="AN75" s="416"/>
      <c r="AO75" s="416"/>
      <c r="AP75" s="416"/>
      <c r="AQ75" s="416"/>
      <c r="AR75" s="416"/>
      <c r="AS75" s="416"/>
      <c r="AT75" s="416"/>
      <c r="AU75" s="416"/>
      <c r="AV75" s="416"/>
      <c r="AW75" s="416"/>
    </row>
    <row r="76" spans="2:57" ht="18" customHeight="1" thickBot="1">
      <c r="B76" s="59"/>
      <c r="C76" s="30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 t="s">
        <v>41</v>
      </c>
      <c r="O76" s="56"/>
      <c r="P76" s="60"/>
    </row>
    <row r="77" spans="2:57" ht="14.4" thickBot="1">
      <c r="B77" s="533" t="s">
        <v>55</v>
      </c>
      <c r="C77" s="534"/>
      <c r="D77" s="534"/>
      <c r="E77" s="534"/>
      <c r="F77" s="535"/>
      <c r="G77" s="533" t="s">
        <v>56</v>
      </c>
      <c r="H77" s="534"/>
      <c r="I77" s="534"/>
      <c r="J77" s="535"/>
      <c r="K77" s="533" t="s">
        <v>51</v>
      </c>
      <c r="L77" s="534"/>
      <c r="M77" s="534"/>
      <c r="N77" s="536"/>
      <c r="O77" s="56"/>
      <c r="P77" s="50"/>
    </row>
    <row r="78" spans="2:57">
      <c r="B78" s="61" t="s">
        <v>17</v>
      </c>
      <c r="C78" s="62" t="s">
        <v>36</v>
      </c>
      <c r="D78" s="62" t="s">
        <v>37</v>
      </c>
      <c r="E78" s="62" t="s">
        <v>38</v>
      </c>
      <c r="F78" s="63" t="s">
        <v>39</v>
      </c>
      <c r="G78" s="62" t="s">
        <v>36</v>
      </c>
      <c r="H78" s="62" t="s">
        <v>37</v>
      </c>
      <c r="I78" s="62" t="s">
        <v>38</v>
      </c>
      <c r="J78" s="63" t="s">
        <v>39</v>
      </c>
      <c r="K78" s="62" t="s">
        <v>36</v>
      </c>
      <c r="L78" s="62" t="s">
        <v>37</v>
      </c>
      <c r="M78" s="62" t="s">
        <v>38</v>
      </c>
      <c r="N78" s="63" t="s">
        <v>39</v>
      </c>
      <c r="O78" s="56"/>
      <c r="P78" s="64"/>
    </row>
    <row r="79" spans="2:57">
      <c r="B79" s="29" t="s">
        <v>6</v>
      </c>
      <c r="C79" s="65">
        <f>L72</f>
        <v>6.6364385820280383</v>
      </c>
      <c r="D79" s="76">
        <v>6.2577653281526633</v>
      </c>
      <c r="E79" s="76">
        <v>6.6126707529337896</v>
      </c>
      <c r="F79" s="66">
        <v>4.8</v>
      </c>
      <c r="G79" s="65">
        <f>[34]June_2025!$AA$11</f>
        <v>7.541416560231327</v>
      </c>
      <c r="H79" s="76">
        <v>5.3049114418471222</v>
      </c>
      <c r="I79" s="76">
        <v>6.6121323875772848</v>
      </c>
      <c r="J79" s="66">
        <v>4.8</v>
      </c>
      <c r="K79" s="67">
        <f>K72</f>
        <v>0.39736842105263159</v>
      </c>
      <c r="L79" s="194">
        <v>0.5234539473684211</v>
      </c>
      <c r="M79" s="194">
        <v>0.7285336977744743</v>
      </c>
      <c r="N79" s="68">
        <v>1</v>
      </c>
      <c r="O79" s="56"/>
      <c r="P79" s="69"/>
    </row>
    <row r="80" spans="2:57">
      <c r="B80" s="33" t="s">
        <v>9</v>
      </c>
      <c r="C80" s="65">
        <f>L74</f>
        <v>5.1063109261991624</v>
      </c>
      <c r="D80" s="76">
        <v>5.0226656262772691</v>
      </c>
      <c r="E80" s="76">
        <v>6.1041550845811177</v>
      </c>
      <c r="F80" s="66">
        <v>4.8</v>
      </c>
      <c r="G80" s="65">
        <f>[34]June_2025!$AA$21</f>
        <v>3.0971611575356328</v>
      </c>
      <c r="H80" s="76">
        <v>4.8957337676562442</v>
      </c>
      <c r="I80" s="76">
        <v>5.9790310903339563</v>
      </c>
      <c r="J80" s="66">
        <v>4.8</v>
      </c>
      <c r="K80" s="67">
        <f>K74</f>
        <v>1.3764912280701755</v>
      </c>
      <c r="L80" s="194">
        <v>0.70149649122807012</v>
      </c>
      <c r="M80" s="194">
        <v>0.74511203431606798</v>
      </c>
      <c r="N80" s="68">
        <v>1</v>
      </c>
      <c r="P80" s="69"/>
    </row>
    <row r="81" spans="2:16">
      <c r="B81" s="34" t="s">
        <v>40</v>
      </c>
      <c r="C81" s="65"/>
      <c r="D81" s="76">
        <v>12.188365650969537</v>
      </c>
      <c r="E81" s="76">
        <v>11.96027372373279</v>
      </c>
      <c r="F81" s="66">
        <v>5.5</v>
      </c>
      <c r="G81" s="65"/>
      <c r="H81" s="76">
        <v>12.44001096804088</v>
      </c>
      <c r="I81" s="76">
        <v>13.111031100634913</v>
      </c>
      <c r="J81" s="66">
        <v>5.5</v>
      </c>
      <c r="K81" s="67"/>
      <c r="L81" s="194">
        <v>0.27581871345029241</v>
      </c>
      <c r="M81" s="194">
        <v>0.4869398559932232</v>
      </c>
      <c r="N81" s="68">
        <v>1</v>
      </c>
      <c r="P81" s="69"/>
    </row>
    <row r="82" spans="2:16">
      <c r="B82" s="22" t="s">
        <v>33</v>
      </c>
      <c r="C82" s="65"/>
      <c r="D82" s="76">
        <v>10.592686002522056</v>
      </c>
      <c r="E82" s="76">
        <v>5.4214697406339898</v>
      </c>
      <c r="F82" s="66">
        <v>3.3</v>
      </c>
      <c r="G82" s="65"/>
      <c r="H82" s="76">
        <v>10.440711622307923</v>
      </c>
      <c r="I82" s="76">
        <v>5.263029001952213</v>
      </c>
      <c r="J82" s="66">
        <v>3.3</v>
      </c>
      <c r="K82" s="67"/>
      <c r="L82" s="194">
        <v>0.22480263157894734</v>
      </c>
      <c r="M82" s="194">
        <v>0.6919486215538847</v>
      </c>
      <c r="N82" s="68">
        <v>1</v>
      </c>
      <c r="P82" s="69"/>
    </row>
    <row r="83" spans="2:16">
      <c r="B83" s="35" t="s">
        <v>29</v>
      </c>
      <c r="C83" s="65"/>
      <c r="D83" s="76"/>
      <c r="E83" s="76"/>
      <c r="F83" s="66">
        <v>3.3</v>
      </c>
      <c r="G83" s="282"/>
      <c r="H83" s="76"/>
      <c r="I83" s="76"/>
      <c r="J83" s="66">
        <v>3</v>
      </c>
      <c r="L83" s="194"/>
      <c r="M83" s="194"/>
      <c r="N83" s="68">
        <v>1</v>
      </c>
      <c r="P83" s="69"/>
    </row>
    <row r="84" spans="2:16">
      <c r="B84" s="36" t="s">
        <v>15</v>
      </c>
      <c r="C84" s="282"/>
      <c r="D84" s="76">
        <v>5.7784145176695159</v>
      </c>
      <c r="E84" s="76">
        <v>7.3129862357869699</v>
      </c>
      <c r="F84" s="70">
        <f>[21]May_2022!$M$43</f>
        <v>3.4878406700073312</v>
      </c>
      <c r="G84" s="282"/>
      <c r="H84" s="76">
        <v>7.6606905670809748</v>
      </c>
      <c r="I84" s="76">
        <v>8.9862703283331644</v>
      </c>
      <c r="J84" s="66">
        <v>5.5</v>
      </c>
      <c r="K84" s="67"/>
      <c r="L84" s="194">
        <v>0.34614035087719303</v>
      </c>
      <c r="M84" s="194">
        <v>0.59276315789473688</v>
      </c>
      <c r="N84" s="68">
        <v>1</v>
      </c>
      <c r="P84" s="69"/>
    </row>
    <row r="85" spans="2:16">
      <c r="B85" s="37" t="s">
        <v>16</v>
      </c>
      <c r="C85" s="65"/>
      <c r="D85" s="76">
        <v>4.8459003682884285</v>
      </c>
      <c r="E85" s="76">
        <v>3.1283185840707883</v>
      </c>
      <c r="F85" s="66">
        <v>3.3</v>
      </c>
      <c r="G85" s="282"/>
      <c r="H85" s="76">
        <v>5.3838407622154936</v>
      </c>
      <c r="I85" s="76">
        <v>4.671657298145214</v>
      </c>
      <c r="J85" s="66">
        <v>3.3</v>
      </c>
      <c r="K85" s="67"/>
      <c r="L85" s="194">
        <v>0.3445029239766082</v>
      </c>
      <c r="M85" s="194">
        <v>0.70412549019607829</v>
      </c>
      <c r="N85" s="71">
        <v>1</v>
      </c>
      <c r="P85" s="69"/>
    </row>
    <row r="86" spans="2:16" ht="14.4" thickBot="1">
      <c r="B86" s="38" t="s">
        <v>127</v>
      </c>
      <c r="C86" s="65"/>
      <c r="D86" s="76"/>
      <c r="E86" s="76"/>
      <c r="F86" s="66">
        <v>7.5</v>
      </c>
      <c r="G86" s="282"/>
      <c r="H86" s="76"/>
      <c r="I86" s="76"/>
      <c r="J86" s="66">
        <v>7.5</v>
      </c>
      <c r="K86" s="67"/>
      <c r="L86" s="194"/>
      <c r="M86" s="194"/>
      <c r="N86" s="71">
        <v>1</v>
      </c>
      <c r="P86" s="69"/>
    </row>
    <row r="87" spans="2:16" ht="14.4" thickBot="1">
      <c r="B87" s="415" t="s">
        <v>161</v>
      </c>
      <c r="C87" s="65"/>
      <c r="D87" s="76"/>
      <c r="E87" s="76">
        <v>4.8792508624938291</v>
      </c>
      <c r="F87" s="66">
        <v>4.8</v>
      </c>
      <c r="G87" s="282"/>
      <c r="H87" s="76"/>
      <c r="I87" s="76">
        <v>6.2003723782925313</v>
      </c>
      <c r="J87" s="66">
        <v>4.8</v>
      </c>
      <c r="K87" s="67"/>
      <c r="L87" s="194"/>
      <c r="M87" s="194">
        <v>0.33859649122807017</v>
      </c>
      <c r="N87" s="71">
        <v>1</v>
      </c>
      <c r="O87" s="74"/>
      <c r="P87" s="75"/>
    </row>
    <row r="88" spans="2:16">
      <c r="D88" s="76">
        <v>6.5545644172652446</v>
      </c>
      <c r="E88" s="76">
        <v>6.6437271614279618</v>
      </c>
      <c r="F88" s="341">
        <v>5.5</v>
      </c>
      <c r="H88" s="76">
        <v>6.580389938593985</v>
      </c>
      <c r="I88" s="76">
        <v>6.977034871448792</v>
      </c>
      <c r="J88" s="341">
        <v>5.5</v>
      </c>
      <c r="L88" s="194">
        <v>0.47653912559175715</v>
      </c>
      <c r="M88" s="194">
        <v>0.6790153034300791</v>
      </c>
      <c r="N88" s="386">
        <v>1</v>
      </c>
    </row>
    <row r="92" spans="2:16">
      <c r="F92" s="315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41:N41"/>
    <mergeCell ref="D42:E42"/>
    <mergeCell ref="B43:B54"/>
    <mergeCell ref="D43:E44"/>
    <mergeCell ref="D45:E46"/>
    <mergeCell ref="D47:E48"/>
    <mergeCell ref="D49:E50"/>
    <mergeCell ref="D51:E52"/>
    <mergeCell ref="D53:E54"/>
    <mergeCell ref="B55:B64"/>
    <mergeCell ref="D55:E56"/>
    <mergeCell ref="J55:K55"/>
    <mergeCell ref="L56:N56"/>
    <mergeCell ref="D57:E58"/>
    <mergeCell ref="D59:E60"/>
    <mergeCell ref="D61:E62"/>
    <mergeCell ref="D63:E64"/>
    <mergeCell ref="D65:E65"/>
    <mergeCell ref="B70:B71"/>
    <mergeCell ref="C70:C71"/>
    <mergeCell ref="D70:D71"/>
    <mergeCell ref="E70:E71"/>
    <mergeCell ref="M70:M71"/>
    <mergeCell ref="B77:F77"/>
    <mergeCell ref="G77:J77"/>
    <mergeCell ref="K77:N77"/>
    <mergeCell ref="G70:G71"/>
    <mergeCell ref="H70:H71"/>
    <mergeCell ref="I70:I71"/>
    <mergeCell ref="J70:J71"/>
    <mergeCell ref="K70:K71"/>
    <mergeCell ref="L70:L71"/>
    <mergeCell ref="F70:F71"/>
  </mergeCells>
  <conditionalFormatting sqref="B65:B66">
    <cfRule type="cellIs" dxfId="678" priority="95" operator="notBetween">
      <formula>#REF!</formula>
      <formula>#REF!</formula>
    </cfRule>
  </conditionalFormatting>
  <conditionalFormatting sqref="C69">
    <cfRule type="cellIs" dxfId="677" priority="127" stopIfTrue="1" operator="greaterThan">
      <formula>100</formula>
    </cfRule>
    <cfRule type="cellIs" dxfId="676" priority="126" stopIfTrue="1" operator="lessThan">
      <formula>96</formula>
    </cfRule>
  </conditionalFormatting>
  <conditionalFormatting sqref="C79:C80">
    <cfRule type="cellIs" dxfId="675" priority="73" stopIfTrue="1" operator="lessThanOrEqual">
      <formula>0</formula>
    </cfRule>
  </conditionalFormatting>
  <conditionalFormatting sqref="C79:C83">
    <cfRule type="cellIs" dxfId="674" priority="72" stopIfTrue="1" operator="greaterThan">
      <formula>$F79</formula>
    </cfRule>
  </conditionalFormatting>
  <conditionalFormatting sqref="C80">
    <cfRule type="cellIs" dxfId="673" priority="130" stopIfTrue="1" operator="greaterThan">
      <formula>$F79</formula>
    </cfRule>
  </conditionalFormatting>
  <conditionalFormatting sqref="C81:C84">
    <cfRule type="cellIs" dxfId="672" priority="79" stopIfTrue="1" operator="lessThanOrEqual">
      <formula>0</formula>
    </cfRule>
  </conditionalFormatting>
  <conditionalFormatting sqref="C84">
    <cfRule type="cellIs" dxfId="671" priority="78" stopIfTrue="1" operator="greaterThan">
      <formula>$J84</formula>
    </cfRule>
  </conditionalFormatting>
  <conditionalFormatting sqref="C90:C94">
    <cfRule type="cellIs" dxfId="670" priority="118" stopIfTrue="1" operator="lessThanOrEqual">
      <formula>0</formula>
    </cfRule>
  </conditionalFormatting>
  <conditionalFormatting sqref="C91:C94">
    <cfRule type="cellIs" dxfId="669" priority="117" stopIfTrue="1" operator="greaterThan">
      <formula>$F$90</formula>
    </cfRule>
  </conditionalFormatting>
  <conditionalFormatting sqref="C96">
    <cfRule type="cellIs" dxfId="668" priority="120" stopIfTrue="1" operator="lessThanOrEqual">
      <formula>0</formula>
    </cfRule>
    <cfRule type="cellIs" dxfId="667" priority="119" stopIfTrue="1" operator="greaterThan">
      <formula>$F$90</formula>
    </cfRule>
  </conditionalFormatting>
  <conditionalFormatting sqref="C90:D90 D92:D98">
    <cfRule type="cellIs" dxfId="666" priority="112" stopIfTrue="1" operator="greaterThan">
      <formula>4.5</formula>
    </cfRule>
  </conditionalFormatting>
  <conditionalFormatting sqref="D65:D66">
    <cfRule type="cellIs" dxfId="665" priority="96" operator="notBetween">
      <formula>#REF!</formula>
      <formula>#REF!</formula>
    </cfRule>
  </conditionalFormatting>
  <conditionalFormatting sqref="D79:D86">
    <cfRule type="cellIs" dxfId="664" priority="89" stopIfTrue="1" operator="lessThanOrEqual">
      <formula>0</formula>
    </cfRule>
  </conditionalFormatting>
  <conditionalFormatting sqref="D87">
    <cfRule type="cellIs" dxfId="663" priority="88" stopIfTrue="1" operator="lessThanOrEqual">
      <formula>0</formula>
    </cfRule>
  </conditionalFormatting>
  <conditionalFormatting sqref="D90 D92:D98">
    <cfRule type="cellIs" dxfId="662" priority="113" stopIfTrue="1" operator="lessThanOrEqual">
      <formula>0</formula>
    </cfRule>
  </conditionalFormatting>
  <conditionalFormatting sqref="D91">
    <cfRule type="cellIs" dxfId="661" priority="104" stopIfTrue="1" operator="greaterThan">
      <formula>$F$90</formula>
    </cfRule>
    <cfRule type="cellIs" dxfId="660" priority="105" stopIfTrue="1" operator="lessThanOrEqual">
      <formula>0</formula>
    </cfRule>
  </conditionalFormatting>
  <conditionalFormatting sqref="D79:E88">
    <cfRule type="cellIs" dxfId="659" priority="69" stopIfTrue="1" operator="greaterThan">
      <formula>$F79</formula>
    </cfRule>
  </conditionalFormatting>
  <conditionalFormatting sqref="D88:E88">
    <cfRule type="cellIs" dxfId="658" priority="70" stopIfTrue="1" operator="lessThanOrEqual">
      <formula>0</formula>
    </cfRule>
  </conditionalFormatting>
  <conditionalFormatting sqref="E10:E40">
    <cfRule type="cellIs" dxfId="657" priority="2" operator="lessThan">
      <formula>48</formula>
    </cfRule>
  </conditionalFormatting>
  <conditionalFormatting sqref="E68 E69:F69">
    <cfRule type="cellIs" dxfId="656" priority="109" stopIfTrue="1" operator="greaterThan">
      <formula>100</formula>
    </cfRule>
  </conditionalFormatting>
  <conditionalFormatting sqref="E69">
    <cfRule type="cellIs" dxfId="655" priority="106" stopIfTrue="1" operator="lessThan">
      <formula>96.8</formula>
    </cfRule>
    <cfRule type="cellIs" dxfId="654" priority="107" stopIfTrue="1" operator="greaterThan">
      <formula>100</formula>
    </cfRule>
  </conditionalFormatting>
  <conditionalFormatting sqref="E79:E87">
    <cfRule type="cellIs" dxfId="653" priority="83" stopIfTrue="1" operator="lessThanOrEqual">
      <formula>0</formula>
    </cfRule>
  </conditionalFormatting>
  <conditionalFormatting sqref="E90:E98">
    <cfRule type="cellIs" dxfId="652" priority="98" stopIfTrue="1" operator="greaterThan">
      <formula>4.5</formula>
    </cfRule>
    <cfRule type="cellIs" dxfId="651" priority="99" stopIfTrue="1" operator="lessThanOrEqual">
      <formula>0</formula>
    </cfRule>
  </conditionalFormatting>
  <conditionalFormatting sqref="E69:F69 E68">
    <cfRule type="cellIs" dxfId="650" priority="108" stopIfTrue="1" operator="lessThan">
      <formula>96.5</formula>
    </cfRule>
  </conditionalFormatting>
  <conditionalFormatting sqref="F10:F40">
    <cfRule type="cellIs" dxfId="649" priority="3" operator="greaterThan">
      <formula>60</formula>
    </cfRule>
  </conditionalFormatting>
  <conditionalFormatting sqref="F69">
    <cfRule type="cellIs" dxfId="648" priority="124" stopIfTrue="1" operator="lessThan">
      <formula>96.8</formula>
    </cfRule>
    <cfRule type="cellIs" dxfId="647" priority="125" stopIfTrue="1" operator="greaterThan">
      <formula>100</formula>
    </cfRule>
  </conditionalFormatting>
  <conditionalFormatting sqref="F88">
    <cfRule type="cellIs" dxfId="646" priority="85" stopIfTrue="1" operator="lessThanOrEqual">
      <formula>0</formula>
    </cfRule>
    <cfRule type="cellIs" dxfId="645" priority="84" stopIfTrue="1" operator="greaterThan">
      <formula>$F88</formula>
    </cfRule>
  </conditionalFormatting>
  <conditionalFormatting sqref="G79:G80 C85:C87">
    <cfRule type="cellIs" dxfId="644" priority="90" stopIfTrue="1" operator="greaterThan">
      <formula>$F79</formula>
    </cfRule>
    <cfRule type="cellIs" dxfId="643" priority="91" stopIfTrue="1" operator="lessThanOrEqual">
      <formula>0</formula>
    </cfRule>
  </conditionalFormatting>
  <conditionalFormatting sqref="G79:G80">
    <cfRule type="cellIs" dxfId="642" priority="75" stopIfTrue="1" operator="lessThanOrEqual">
      <formula>0</formula>
    </cfRule>
    <cfRule type="cellIs" dxfId="641" priority="74" stopIfTrue="1" operator="greaterThan">
      <formula>$F79</formula>
    </cfRule>
  </conditionalFormatting>
  <conditionalFormatting sqref="G81">
    <cfRule type="cellIs" dxfId="640" priority="129" stopIfTrue="1" operator="lessThanOrEqual">
      <formula>0</formula>
    </cfRule>
    <cfRule type="cellIs" dxfId="639" priority="128" stopIfTrue="1" operator="greaterThan">
      <formula>$F80</formula>
    </cfRule>
  </conditionalFormatting>
  <conditionalFormatting sqref="G82">
    <cfRule type="cellIs" dxfId="638" priority="86" stopIfTrue="1" operator="greaterThan">
      <formula>$F82</formula>
    </cfRule>
    <cfRule type="cellIs" dxfId="637" priority="87" stopIfTrue="1" operator="lessThanOrEqual">
      <formula>0</formula>
    </cfRule>
  </conditionalFormatting>
  <conditionalFormatting sqref="G83:G87">
    <cfRule type="cellIs" dxfId="636" priority="93" stopIfTrue="1" operator="lessThanOrEqual">
      <formula>0</formula>
    </cfRule>
    <cfRule type="cellIs" dxfId="635" priority="92" stopIfTrue="1" operator="greaterThan">
      <formula>$J83</formula>
    </cfRule>
  </conditionalFormatting>
  <conditionalFormatting sqref="G92:G97 C95 C97">
    <cfRule type="cellIs" dxfId="634" priority="121" stopIfTrue="1" operator="greaterThan">
      <formula>4.5</formula>
    </cfRule>
    <cfRule type="cellIs" dxfId="633" priority="122" stopIfTrue="1" operator="lessThanOrEqual">
      <formula>0</formula>
    </cfRule>
  </conditionalFormatting>
  <conditionalFormatting sqref="G10:H40">
    <cfRule type="expression" dxfId="632" priority="4">
      <formula>IF(+(IF(G10&lt;#REF!,0,IF(G10&gt;#REF!,0,1)))=0,1)</formula>
    </cfRule>
  </conditionalFormatting>
  <conditionalFormatting sqref="G91:H91">
    <cfRule type="cellIs" dxfId="631" priority="103" stopIfTrue="1" operator="lessThanOrEqual">
      <formula>0</formula>
    </cfRule>
    <cfRule type="cellIs" dxfId="630" priority="102" stopIfTrue="1" operator="greaterThan">
      <formula>$F$90</formula>
    </cfRule>
  </conditionalFormatting>
  <conditionalFormatting sqref="H54:H68 I55:I67">
    <cfRule type="cellIs" dxfId="629" priority="100" stopIfTrue="1" operator="greaterThan">
      <formula>0</formula>
    </cfRule>
  </conditionalFormatting>
  <conditionalFormatting sqref="H72">
    <cfRule type="cellIs" dxfId="628" priority="38" stopIfTrue="1" operator="greaterThan">
      <formula>$F$43</formula>
    </cfRule>
    <cfRule type="cellIs" dxfId="627" priority="39" stopIfTrue="1" operator="lessThanOrEqual">
      <formula>0</formula>
    </cfRule>
    <cfRule type="cellIs" dxfId="626" priority="36" stopIfTrue="1" operator="greaterThan">
      <formula>$F$45</formula>
    </cfRule>
    <cfRule type="cellIs" dxfId="625" priority="27" stopIfTrue="1" operator="lessThanOrEqual">
      <formula>0</formula>
    </cfRule>
    <cfRule type="cellIs" dxfId="624" priority="28" stopIfTrue="1" operator="greaterThan">
      <formula>$F$42</formula>
    </cfRule>
    <cfRule type="cellIs" dxfId="623" priority="37" stopIfTrue="1" operator="lessThanOrEqual">
      <formula>0</formula>
    </cfRule>
  </conditionalFormatting>
  <conditionalFormatting sqref="H73 H75">
    <cfRule type="cellIs" dxfId="622" priority="52" stopIfTrue="1" operator="greaterThan">
      <formula>$F$56</formula>
    </cfRule>
    <cfRule type="cellIs" dxfId="621" priority="44" stopIfTrue="1" operator="greaterThan">
      <formula>$F$53</formula>
    </cfRule>
    <cfRule type="cellIs" dxfId="620" priority="43" stopIfTrue="1" operator="lessThanOrEqual">
      <formula>0</formula>
    </cfRule>
    <cfRule type="cellIs" dxfId="619" priority="55" stopIfTrue="1" operator="lessThanOrEqual">
      <formula>0</formula>
    </cfRule>
    <cfRule type="cellIs" dxfId="618" priority="54" stopIfTrue="1" operator="greaterThan">
      <formula>$F$54</formula>
    </cfRule>
    <cfRule type="cellIs" dxfId="617" priority="53" stopIfTrue="1" operator="lessThanOrEqual">
      <formula>0</formula>
    </cfRule>
  </conditionalFormatting>
  <conditionalFormatting sqref="H74">
    <cfRule type="cellIs" dxfId="616" priority="22" stopIfTrue="1" operator="greaterThan">
      <formula>$F$45</formula>
    </cfRule>
    <cfRule type="cellIs" dxfId="615" priority="23" stopIfTrue="1" operator="lessThanOrEqual">
      <formula>0</formula>
    </cfRule>
    <cfRule type="cellIs" dxfId="614" priority="13" stopIfTrue="1" operator="lessThanOrEqual">
      <formula>0</formula>
    </cfRule>
    <cfRule type="cellIs" dxfId="613" priority="25" stopIfTrue="1" operator="lessThanOrEqual">
      <formula>0</formula>
    </cfRule>
    <cfRule type="cellIs" dxfId="612" priority="24" stopIfTrue="1" operator="greaterThan">
      <formula>$F$43</formula>
    </cfRule>
    <cfRule type="cellIs" dxfId="611" priority="14" stopIfTrue="1" operator="greaterThan">
      <formula>$F$42</formula>
    </cfRule>
  </conditionalFormatting>
  <conditionalFormatting sqref="H79:H86">
    <cfRule type="cellIs" dxfId="610" priority="76" stopIfTrue="1" operator="greaterThan">
      <formula>$J79</formula>
    </cfRule>
    <cfRule type="cellIs" dxfId="609" priority="77" stopIfTrue="1" operator="lessThanOrEqual">
      <formula>0</formula>
    </cfRule>
  </conditionalFormatting>
  <conditionalFormatting sqref="H87">
    <cfRule type="cellIs" dxfId="608" priority="80" operator="greaterThan">
      <formula>5.3</formula>
    </cfRule>
  </conditionalFormatting>
  <conditionalFormatting sqref="H90 H92:H98">
    <cfRule type="cellIs" dxfId="607" priority="115" stopIfTrue="1" operator="lessThanOrEqual">
      <formula>0</formula>
    </cfRule>
    <cfRule type="cellIs" dxfId="606" priority="114" stopIfTrue="1" operator="greaterThan">
      <formula>4.5</formula>
    </cfRule>
  </conditionalFormatting>
  <conditionalFormatting sqref="H72:I72">
    <cfRule type="cellIs" dxfId="605" priority="26" stopIfTrue="1" operator="greaterThan">
      <formula>$F$44</formula>
    </cfRule>
    <cfRule type="cellIs" dxfId="604" priority="29" stopIfTrue="1" operator="lessThanOrEqual">
      <formula>0</formula>
    </cfRule>
  </conditionalFormatting>
  <conditionalFormatting sqref="H73:I73 H75:I75">
    <cfRule type="cellIs" dxfId="603" priority="45" stopIfTrue="1" operator="lessThanOrEqual">
      <formula>0</formula>
    </cfRule>
    <cfRule type="cellIs" dxfId="602" priority="42" stopIfTrue="1" operator="greaterThan">
      <formula>$F$55</formula>
    </cfRule>
  </conditionalFormatting>
  <conditionalFormatting sqref="H74:I74">
    <cfRule type="cellIs" dxfId="601" priority="15" stopIfTrue="1" operator="lessThanOrEqual">
      <formula>0</formula>
    </cfRule>
    <cfRule type="cellIs" dxfId="600" priority="12" stopIfTrue="1" operator="greaterThan">
      <formula>$F$44</formula>
    </cfRule>
  </conditionalFormatting>
  <conditionalFormatting sqref="H88:I88">
    <cfRule type="cellIs" dxfId="599" priority="68" stopIfTrue="1" operator="lessThanOrEqual">
      <formula>0</formula>
    </cfRule>
    <cfRule type="cellIs" dxfId="598" priority="67" stopIfTrue="1" operator="greaterThan">
      <formula>$J88</formula>
    </cfRule>
  </conditionalFormatting>
  <conditionalFormatting sqref="I72">
    <cfRule type="cellIs" dxfId="597" priority="35" stopIfTrue="1" operator="lessThanOrEqual">
      <formula>0</formula>
    </cfRule>
    <cfRule type="cellIs" dxfId="596" priority="34" stopIfTrue="1" operator="greaterThan">
      <formula>$F$42</formula>
    </cfRule>
    <cfRule type="cellIs" dxfId="595" priority="33" stopIfTrue="1" operator="lessThanOrEqual">
      <formula>0</formula>
    </cfRule>
    <cfRule type="cellIs" dxfId="594" priority="30" stopIfTrue="1" operator="greaterThan">
      <formula>$F$42</formula>
    </cfRule>
    <cfRule type="cellIs" dxfId="593" priority="31" stopIfTrue="1" operator="lessThanOrEqual">
      <formula>0</formula>
    </cfRule>
    <cfRule type="cellIs" dxfId="592" priority="32" stopIfTrue="1" operator="greaterThan">
      <formula>$F$44</formula>
    </cfRule>
  </conditionalFormatting>
  <conditionalFormatting sqref="I73 I75">
    <cfRule type="cellIs" dxfId="591" priority="47" stopIfTrue="1" operator="lessThanOrEqual">
      <formula>0</formula>
    </cfRule>
    <cfRule type="cellIs" dxfId="590" priority="46" stopIfTrue="1" operator="greaterThan">
      <formula>$F$53</formula>
    </cfRule>
    <cfRule type="cellIs" dxfId="589" priority="48" stopIfTrue="1" operator="greaterThan">
      <formula>$F$55</formula>
    </cfRule>
    <cfRule type="cellIs" dxfId="588" priority="49" stopIfTrue="1" operator="lessThanOrEqual">
      <formula>0</formula>
    </cfRule>
    <cfRule type="cellIs" dxfId="587" priority="50" stopIfTrue="1" operator="greaterThan">
      <formula>$F$53</formula>
    </cfRule>
    <cfRule type="cellIs" dxfId="586" priority="51" stopIfTrue="1" operator="lessThanOrEqual">
      <formula>0</formula>
    </cfRule>
  </conditionalFormatting>
  <conditionalFormatting sqref="I74">
    <cfRule type="cellIs" dxfId="585" priority="20" stopIfTrue="1" operator="greaterThan">
      <formula>$F$42</formula>
    </cfRule>
    <cfRule type="cellIs" dxfId="584" priority="21" stopIfTrue="1" operator="lessThanOrEqual">
      <formula>0</formula>
    </cfRule>
    <cfRule type="cellIs" dxfId="583" priority="17" stopIfTrue="1" operator="lessThanOrEqual">
      <formula>0</formula>
    </cfRule>
    <cfRule type="cellIs" dxfId="582" priority="16" stopIfTrue="1" operator="greaterThan">
      <formula>$F$42</formula>
    </cfRule>
    <cfRule type="cellIs" dxfId="581" priority="18" stopIfTrue="1" operator="greaterThan">
      <formula>$F$44</formula>
    </cfRule>
    <cfRule type="cellIs" dxfId="580" priority="19" stopIfTrue="1" operator="lessThanOrEqual">
      <formula>0</formula>
    </cfRule>
  </conditionalFormatting>
  <conditionalFormatting sqref="I79:I87">
    <cfRule type="cellIs" dxfId="579" priority="81" stopIfTrue="1" operator="greaterThan">
      <formula>$J79</formula>
    </cfRule>
    <cfRule type="cellIs" dxfId="578" priority="82" stopIfTrue="1" operator="lessThanOrEqual">
      <formula>0</formula>
    </cfRule>
  </conditionalFormatting>
  <conditionalFormatting sqref="I90:I98">
    <cfRule type="cellIs" dxfId="577" priority="110" stopIfTrue="1" operator="greaterThan">
      <formula>4.5</formula>
    </cfRule>
    <cfRule type="cellIs" dxfId="576" priority="111" stopIfTrue="1" operator="lessThanOrEqual">
      <formula>0</formula>
    </cfRule>
  </conditionalFormatting>
  <conditionalFormatting sqref="I10:J40">
    <cfRule type="cellIs" dxfId="575" priority="9" operator="lessThan">
      <formula>97.9</formula>
    </cfRule>
  </conditionalFormatting>
  <conditionalFormatting sqref="J43:J45">
    <cfRule type="cellIs" dxfId="574" priority="58" stopIfTrue="1" operator="greaterThan">
      <formula>100</formula>
    </cfRule>
    <cfRule type="cellIs" dxfId="573" priority="57" stopIfTrue="1" operator="lessThan">
      <formula>96.8</formula>
    </cfRule>
    <cfRule type="cellIs" dxfId="572" priority="59" operator="lessThan">
      <formula>98</formula>
    </cfRule>
  </conditionalFormatting>
  <conditionalFormatting sqref="J43:J47">
    <cfRule type="cellIs" dxfId="571" priority="56" operator="lessThan">
      <formula>97.4</formula>
    </cfRule>
  </conditionalFormatting>
  <conditionalFormatting sqref="J48">
    <cfRule type="cellIs" dxfId="570" priority="60" operator="lessThan">
      <formula>98</formula>
    </cfRule>
  </conditionalFormatting>
  <conditionalFormatting sqref="J50:J51">
    <cfRule type="cellIs" dxfId="569" priority="62" stopIfTrue="1" operator="greaterThan">
      <formula>100</formula>
    </cfRule>
    <cfRule type="cellIs" dxfId="568" priority="61" stopIfTrue="1" operator="lessThan">
      <formula>96.8</formula>
    </cfRule>
  </conditionalFormatting>
  <conditionalFormatting sqref="J50:J52">
    <cfRule type="cellIs" dxfId="567" priority="63" operator="lessThan">
      <formula>98</formula>
    </cfRule>
  </conditionalFormatting>
  <conditionalFormatting sqref="J88">
    <cfRule type="cellIs" dxfId="566" priority="65" stopIfTrue="1" operator="lessThanOrEqual">
      <formula>0</formula>
    </cfRule>
    <cfRule type="cellIs" dxfId="565" priority="64" stopIfTrue="1" operator="greaterThan">
      <formula>$F88</formula>
    </cfRule>
  </conditionalFormatting>
  <conditionalFormatting sqref="K10:K40">
    <cfRule type="cellIs" dxfId="564" priority="8" operator="greaterThan">
      <formula>6.4</formula>
    </cfRule>
    <cfRule type="cellIs" dxfId="563" priority="7" operator="lessThan">
      <formula>4</formula>
    </cfRule>
    <cfRule type="cellIs" dxfId="562" priority="6" operator="greaterThan">
      <formula>6</formula>
    </cfRule>
  </conditionalFormatting>
  <conditionalFormatting sqref="K72:K75">
    <cfRule type="cellIs" dxfId="561" priority="40" stopIfTrue="1" operator="lessThan">
      <formula>100%</formula>
    </cfRule>
  </conditionalFormatting>
  <conditionalFormatting sqref="K90:K95">
    <cfRule type="cellIs" dxfId="560" priority="116" stopIfTrue="1" operator="lessThan">
      <formula>100%</formula>
    </cfRule>
  </conditionalFormatting>
  <conditionalFormatting sqref="K97:K98">
    <cfRule type="cellIs" dxfId="559" priority="123" stopIfTrue="1" operator="lessThan">
      <formula>100%</formula>
    </cfRule>
  </conditionalFormatting>
  <conditionalFormatting sqref="K79:N82 L83:N83">
    <cfRule type="cellIs" dxfId="558" priority="94" stopIfTrue="1" operator="lessThan">
      <formula>100%</formula>
    </cfRule>
  </conditionalFormatting>
  <conditionalFormatting sqref="K84:N87 L88:N88">
    <cfRule type="cellIs" dxfId="557" priority="66" stopIfTrue="1" operator="lessThan">
      <formula>100%</formula>
    </cfRule>
  </conditionalFormatting>
  <conditionalFormatting sqref="L10:L40">
    <cfRule type="cellIs" dxfId="556" priority="11" operator="greaterThan">
      <formula>65</formula>
    </cfRule>
    <cfRule type="cellIs" dxfId="555" priority="10" operator="between">
      <formula>61</formula>
      <formula>65</formula>
    </cfRule>
  </conditionalFormatting>
  <conditionalFormatting sqref="L43:M54">
    <cfRule type="cellIs" dxfId="554" priority="71" operator="lessThan">
      <formula>98</formula>
    </cfRule>
  </conditionalFormatting>
  <conditionalFormatting sqref="L58:N58">
    <cfRule type="cellIs" dxfId="553" priority="41" operator="notEqual">
      <formula>#REF!</formula>
    </cfRule>
  </conditionalFormatting>
  <conditionalFormatting sqref="L90:N98">
    <cfRule type="cellIs" dxfId="552" priority="101" stopIfTrue="1" operator="lessThan">
      <formula>100%</formula>
    </cfRule>
  </conditionalFormatting>
  <conditionalFormatting sqref="M10:M40">
    <cfRule type="expression" dxfId="551" priority="5">
      <formula>IF(+(IF(M10&lt;U10,0,IF(M10&gt;V10,0,1)))=0,1)</formula>
    </cfRule>
  </conditionalFormatting>
  <conditionalFormatting sqref="N10:N40">
    <cfRule type="expression" dxfId="550" priority="1">
      <formula>IF(+(IF(N10&lt;W10,0,IF(N10&gt;X10,0,1)))=0,1)</formula>
    </cfRule>
  </conditionalFormatting>
  <conditionalFormatting sqref="P6">
    <cfRule type="cellIs" dxfId="549" priority="97" operator="greaterThanOrEqual">
      <formula>19</formula>
    </cfRule>
  </conditionalFormatting>
  <dataValidations count="1">
    <dataValidation type="list" allowBlank="1" showInputMessage="1" showErrorMessage="1" sqref="R8" xr:uid="{90782321-E8DB-44E3-9D54-2DD9FFEB576E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92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09F9-AFE5-4D22-8372-025640461C0B}">
  <sheetPr>
    <pageSetUpPr fitToPage="1"/>
  </sheetPr>
  <dimension ref="A1:BE92"/>
  <sheetViews>
    <sheetView topLeftCell="A24" zoomScale="80" zoomScaleNormal="80" workbookViewId="0">
      <selection activeCell="C14" sqref="C14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32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73" t="s">
        <v>0</v>
      </c>
      <c r="T1" s="473"/>
      <c r="U1" s="473" t="s">
        <v>1</v>
      </c>
      <c r="V1" s="473"/>
      <c r="W1" s="473" t="s">
        <v>2</v>
      </c>
      <c r="X1" s="473"/>
      <c r="Y1" s="473" t="s">
        <v>124</v>
      </c>
      <c r="Z1" s="473"/>
    </row>
    <row r="2" spans="2:29" ht="14.4">
      <c r="B2" s="474" t="s">
        <v>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45834</v>
      </c>
      <c r="J4" s="398" t="s">
        <v>172</v>
      </c>
      <c r="K4" s="398"/>
      <c r="L4" s="11"/>
      <c r="M4" s="471" t="s">
        <v>8</v>
      </c>
      <c r="N4" s="472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68"/>
      <c r="D5" s="468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198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81" t="s">
        <v>17</v>
      </c>
      <c r="C8" s="483" t="s">
        <v>18</v>
      </c>
      <c r="D8" s="483" t="s">
        <v>19</v>
      </c>
      <c r="E8" s="356" t="s">
        <v>20</v>
      </c>
      <c r="F8" s="356" t="s">
        <v>21</v>
      </c>
      <c r="G8" s="483" t="s">
        <v>22</v>
      </c>
      <c r="H8" s="485" t="s">
        <v>144</v>
      </c>
      <c r="I8" s="483" t="s">
        <v>197</v>
      </c>
      <c r="J8" s="487" t="s">
        <v>23</v>
      </c>
      <c r="K8" s="489" t="s">
        <v>142</v>
      </c>
      <c r="L8" s="491" t="s">
        <v>24</v>
      </c>
      <c r="M8" s="359" t="s">
        <v>25</v>
      </c>
      <c r="N8" s="17" t="s">
        <v>26</v>
      </c>
      <c r="O8" s="543" t="s">
        <v>155</v>
      </c>
      <c r="P8" s="555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82"/>
      <c r="C9" s="484"/>
      <c r="D9" s="484"/>
      <c r="E9" s="357" t="s">
        <v>30</v>
      </c>
      <c r="F9" s="357" t="s">
        <v>31</v>
      </c>
      <c r="G9" s="484"/>
      <c r="H9" s="486"/>
      <c r="I9" s="484"/>
      <c r="J9" s="488"/>
      <c r="K9" s="490"/>
      <c r="L9" s="492"/>
      <c r="M9" s="20" t="s">
        <v>32</v>
      </c>
      <c r="N9" s="21" t="s">
        <v>41</v>
      </c>
      <c r="O9" s="556"/>
      <c r="P9" s="555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[24]Brewhouse!$A545</f>
        <v>CA439</v>
      </c>
      <c r="D10" s="279">
        <f>[24]Brewhouse!$AF545</f>
        <v>54.5</v>
      </c>
      <c r="E10" s="279">
        <f>[24]Brewhouse!$AI545</f>
        <v>51.7</v>
      </c>
      <c r="F10" s="278">
        <f>[24]Brewhouse!$V545</f>
        <v>59</v>
      </c>
      <c r="G10" s="279">
        <f>[24]Brewhouse!$AG545</f>
        <v>11.7</v>
      </c>
      <c r="H10" s="396">
        <v>11.7</v>
      </c>
      <c r="I10" s="368">
        <f>[24]Brewhouse!$AU545</f>
        <v>98.363446655942425</v>
      </c>
      <c r="J10" s="368">
        <f>[24]Brewhouse!$AV545</f>
        <v>100.54581683184911</v>
      </c>
      <c r="K10" s="392">
        <f>[24]Brewhouse!$Q545</f>
        <v>6.5107913669064699</v>
      </c>
      <c r="L10" s="276">
        <f>[24]Brewhouse!$P545</f>
        <v>60</v>
      </c>
      <c r="M10" s="397">
        <f>[24]Brewhouse!$U545-[24]Brewhouse!$T545</f>
        <v>0.10902777777777778</v>
      </c>
      <c r="N10" s="370">
        <f>[24]Brewhouse!$Z545</f>
        <v>0.2361111111111111</v>
      </c>
      <c r="O10" s="371" t="str">
        <f>[24]Brewhouse!$AX545</f>
        <v>R. Regis</v>
      </c>
      <c r="P10" s="420"/>
      <c r="R10" s="277" t="str">
        <f t="shared" ref="R10:R42" si="0">B10</f>
        <v>CARIB</v>
      </c>
      <c r="S10" s="296">
        <f t="shared" ref="S10:S42" si="1">VLOOKUP($B10,$R$3:$X$9,2,FALSE)</f>
        <v>11.6</v>
      </c>
      <c r="T10" s="296">
        <f t="shared" ref="T10:T42" si="2">VLOOKUP($B10,$R$3:$X$9,3,FALSE)</f>
        <v>12</v>
      </c>
      <c r="U10" s="297">
        <f t="shared" ref="U10:U42" si="3">VLOOKUP($B10,$R$3:$X$9,4,FALSE)</f>
        <v>0</v>
      </c>
      <c r="V10" s="297">
        <f t="shared" ref="V10:V42" si="4">VLOOKUP($B10,$R$3:$X$9,5,FALSE)</f>
        <v>0.118055555555556</v>
      </c>
      <c r="W10" s="297">
        <f t="shared" ref="W10:W42" si="5">VLOOKUP($B10,$R$3:$X$9,6,FALSE)</f>
        <v>0.22569444444444445</v>
      </c>
      <c r="X10" s="297">
        <f t="shared" ref="X10:X42" si="6">VLOOKUP($B10,$R$3:$X$9,7,FALSE)</f>
        <v>0.2638888888888889</v>
      </c>
      <c r="Y10" s="297">
        <f t="shared" ref="Y10:Y42" si="7">VLOOKUP($B10,$R$3:$Z$9,8,FALSE)</f>
        <v>0</v>
      </c>
      <c r="Z10" s="296">
        <f t="shared" ref="Z10:Z42" si="8">VLOOKUP($B10,$R$3:$Z$9,9,FALSE)</f>
        <v>60</v>
      </c>
    </row>
    <row r="11" spans="2:29" ht="15.75" customHeight="1">
      <c r="B11" s="29" t="s">
        <v>6</v>
      </c>
      <c r="C11" s="366" t="str">
        <f>[24]Brewhouse!$A546</f>
        <v>CA440</v>
      </c>
      <c r="D11" s="279">
        <f>[24]Brewhouse!$AF546</f>
        <v>54.4</v>
      </c>
      <c r="E11" s="279">
        <f>[24]Brewhouse!$AI546</f>
        <v>52.6</v>
      </c>
      <c r="F11" s="278">
        <f>[24]Brewhouse!$V546</f>
        <v>65</v>
      </c>
      <c r="G11" s="279">
        <f>[24]Brewhouse!$AG546</f>
        <v>11.8</v>
      </c>
      <c r="H11" s="396">
        <v>11.8</v>
      </c>
      <c r="I11" s="368">
        <f>[24]Brewhouse!$AU546</f>
        <v>101.03394439430311</v>
      </c>
      <c r="J11" s="368">
        <f>[24]Brewhouse!$AV546</f>
        <v>103.37237243439246</v>
      </c>
      <c r="K11" s="392">
        <f>[24]Brewhouse!$Q546</f>
        <v>7.7419354838709555</v>
      </c>
      <c r="L11" s="276">
        <f>[24]Brewhouse!$P546</f>
        <v>62</v>
      </c>
      <c r="M11" s="397">
        <f>[24]Brewhouse!$U546-[24]Brewhouse!$T546</f>
        <v>0.11458333333333331</v>
      </c>
      <c r="N11" s="370">
        <f>[24]Brewhouse!$Z546</f>
        <v>0.25555555555555554</v>
      </c>
      <c r="O11" s="371" t="str">
        <f>[24]Brewhouse!$AX546</f>
        <v>D. Gomez</v>
      </c>
      <c r="P11" s="420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[24]Brewhouse!$A547</f>
        <v>CA441</v>
      </c>
      <c r="D12" s="279">
        <f>[24]Brewhouse!$AF547</f>
        <v>52.8</v>
      </c>
      <c r="E12" s="279">
        <f>[24]Brewhouse!$AI547</f>
        <v>51.4</v>
      </c>
      <c r="F12" s="278">
        <f>[24]Brewhouse!$V547</f>
        <v>59</v>
      </c>
      <c r="G12" s="279">
        <f>[24]Brewhouse!$AG547</f>
        <v>11.9</v>
      </c>
      <c r="H12" s="367"/>
      <c r="I12" s="368">
        <f>[24]Brewhouse!$AU547</f>
        <v>99.732285524420973</v>
      </c>
      <c r="J12" s="368">
        <f>[24]Brewhouse!$AV547</f>
        <v>102.04046096820099</v>
      </c>
      <c r="K12" s="392">
        <f>[24]Brewhouse!$Q547</f>
        <v>9.1592128801431087</v>
      </c>
      <c r="L12" s="276">
        <f>[24]Brewhouse!$P547</f>
        <v>62</v>
      </c>
      <c r="M12" s="397">
        <f>[24]Brewhouse!$U547-[24]Brewhouse!$T547</f>
        <v>0.10902777777777778</v>
      </c>
      <c r="N12" s="370">
        <f>[24]Brewhouse!$Z547</f>
        <v>0.24652777777777779</v>
      </c>
      <c r="O12" s="371" t="str">
        <f>[24]Brewhouse!$AX547</f>
        <v>D. Gomez</v>
      </c>
      <c r="P12" s="420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[24]Brewhouse!$A548</f>
        <v>CA442</v>
      </c>
      <c r="D13" s="279">
        <f>[24]Brewhouse!$AF548</f>
        <v>53.2</v>
      </c>
      <c r="E13" s="279">
        <f>[24]Brewhouse!$AI548</f>
        <v>51.5</v>
      </c>
      <c r="F13" s="278">
        <f>[24]Brewhouse!$V548</f>
        <v>64</v>
      </c>
      <c r="G13" s="279">
        <f>[24]Brewhouse!$AG548</f>
        <v>11.8</v>
      </c>
      <c r="H13" s="367"/>
      <c r="I13" s="368">
        <f>[24]Brewhouse!$AU548</f>
        <v>97.47590491831717</v>
      </c>
      <c r="J13" s="368">
        <f>[24]Brewhouse!$AV548</f>
        <v>99.733433597310096</v>
      </c>
      <c r="K13" s="392">
        <f>[24]Brewhouse!$Q548</f>
        <v>7.6727272727272711</v>
      </c>
      <c r="L13" s="276">
        <f>[24]Brewhouse!$P548</f>
        <v>60</v>
      </c>
      <c r="M13" s="397">
        <f>[24]Brewhouse!$U548-[24]Brewhouse!$T548</f>
        <v>0.11111111111111105</v>
      </c>
      <c r="N13" s="370">
        <f>[24]Brewhouse!$Z548</f>
        <v>0.24027777777777776</v>
      </c>
      <c r="O13" s="371" t="str">
        <f>[24]Brewhouse!$AX548</f>
        <v>D. Gomez</v>
      </c>
      <c r="P13" s="420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[24]Brewhouse!$A549</f>
        <v>CA443</v>
      </c>
      <c r="D14" s="279">
        <f>[24]Brewhouse!$AF549</f>
        <v>51.9</v>
      </c>
      <c r="E14" s="279">
        <f>[24]Brewhouse!$AI549</f>
        <v>51.5</v>
      </c>
      <c r="F14" s="278">
        <f>[24]Brewhouse!$V549</f>
        <v>54</v>
      </c>
      <c r="G14" s="279">
        <f>[24]Brewhouse!$AG549</f>
        <v>11.8</v>
      </c>
      <c r="H14" s="367"/>
      <c r="I14" s="368">
        <f>[24]Brewhouse!$AU549</f>
        <v>99.289078263260194</v>
      </c>
      <c r="J14" s="368">
        <f>[24]Brewhouse!$AV549</f>
        <v>101.58674496164525</v>
      </c>
      <c r="K14" s="392">
        <f>[24]Brewhouse!$Q549</f>
        <v>7.2826086956521792</v>
      </c>
      <c r="L14" s="276">
        <f>[24]Brewhouse!$P549</f>
        <v>58</v>
      </c>
      <c r="M14" s="397">
        <f>[24]Brewhouse!$U549-[24]Brewhouse!$T549</f>
        <v>0.1020833333333333</v>
      </c>
      <c r="N14" s="370">
        <f>[24]Brewhouse!$Z549</f>
        <v>0.24583333333333335</v>
      </c>
      <c r="O14" s="371" t="str">
        <f>[24]Brewhouse!$AX549</f>
        <v>R. Sookram</v>
      </c>
      <c r="P14" s="420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392"/>
      <c r="L15" s="276"/>
      <c r="M15" s="397"/>
      <c r="N15" s="370"/>
      <c r="O15" s="371"/>
      <c r="P15" s="420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392"/>
      <c r="L16" s="276"/>
      <c r="M16" s="397"/>
      <c r="N16" s="370"/>
      <c r="O16" s="371"/>
      <c r="P16" s="420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customHeight="1">
      <c r="B17" s="33" t="s">
        <v>9</v>
      </c>
      <c r="C17" s="366" t="str">
        <f>[25]Brewhouse!$A262</f>
        <v>ST243</v>
      </c>
      <c r="D17" s="279">
        <f>[25]Brewhouse!$AD262</f>
        <v>48.8</v>
      </c>
      <c r="E17" s="367">
        <f>[25]Brewhouse!$AG262</f>
        <v>48.1</v>
      </c>
      <c r="F17" s="278">
        <f>[25]Brewhouse!$V262</f>
        <v>59</v>
      </c>
      <c r="G17" s="279">
        <f>[25]Brewhouse!$AE262</f>
        <v>11.9</v>
      </c>
      <c r="H17" s="396">
        <v>11.9</v>
      </c>
      <c r="I17" s="429">
        <f>[25]Brewhouse!$AS262</f>
        <v>95.242586332157259</v>
      </c>
      <c r="J17" s="429">
        <f>[25]Brewhouse!$AT262</f>
        <v>97.063992716792697</v>
      </c>
      <c r="K17" s="392">
        <f>[25]Brewhouse!$Q262</f>
        <v>13.108614232209739</v>
      </c>
      <c r="L17" s="276">
        <f>[25]Brewhouse!$P262</f>
        <v>57</v>
      </c>
      <c r="M17" s="374">
        <f>[25]Brewhouse!$U262-[25]Brewhouse!$T262</f>
        <v>0.11736111111111103</v>
      </c>
      <c r="N17" s="370">
        <f>[25]Brewhouse!$AW262</f>
        <v>0.33749999999999991</v>
      </c>
      <c r="O17" s="422" t="str">
        <f>[25]Brewhouse!$AV262</f>
        <v>R.Sookram</v>
      </c>
      <c r="P17" s="420"/>
      <c r="R17" s="277" t="str">
        <f t="shared" si="0"/>
        <v>STAG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2:26" ht="15.75" customHeight="1">
      <c r="B18" s="33" t="s">
        <v>9</v>
      </c>
      <c r="C18" s="366" t="str">
        <f>[25]Brewhouse!$A263</f>
        <v>ST244</v>
      </c>
      <c r="D18" s="279">
        <f>[25]Brewhouse!$AD263</f>
        <v>50.2</v>
      </c>
      <c r="E18" s="367">
        <f>[25]Brewhouse!$AG263</f>
        <v>49.2</v>
      </c>
      <c r="F18" s="278">
        <f>[25]Brewhouse!$V263</f>
        <v>62</v>
      </c>
      <c r="G18" s="279">
        <f>[25]Brewhouse!$AE263</f>
        <v>11.9</v>
      </c>
      <c r="H18" s="396">
        <v>11.9</v>
      </c>
      <c r="I18" s="429">
        <f>[25]Brewhouse!$AS263</f>
        <v>97.297864805711271</v>
      </c>
      <c r="J18" s="429">
        <f>[25]Brewhouse!$AT263</f>
        <v>99.159191442218884</v>
      </c>
      <c r="K18" s="392">
        <f>[25]Brewhouse!$Q263</f>
        <v>13.084112149532709</v>
      </c>
      <c r="L18" s="276">
        <f>[25]Brewhouse!$P263</f>
        <v>58</v>
      </c>
      <c r="M18" s="374">
        <f>[25]Brewhouse!$U263-[25]Brewhouse!$T263</f>
        <v>0.11041666666666661</v>
      </c>
      <c r="N18" s="370">
        <f>[25]Brewhouse!$AW263</f>
        <v>0.24166666666666659</v>
      </c>
      <c r="O18" s="422" t="str">
        <f>[25]Brewhouse!$AV263</f>
        <v>R. Regis</v>
      </c>
      <c r="P18" s="420"/>
      <c r="R18" s="277" t="str">
        <f t="shared" si="0"/>
        <v>STAG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2:26" ht="15.75" customHeight="1">
      <c r="B19" s="33" t="s">
        <v>9</v>
      </c>
      <c r="C19" s="366" t="str">
        <f>[25]Brewhouse!$A264</f>
        <v>ST245</v>
      </c>
      <c r="D19" s="279">
        <f>[25]Brewhouse!$AD264</f>
        <v>50.6</v>
      </c>
      <c r="E19" s="367">
        <f>[25]Brewhouse!$AG264</f>
        <v>49.6</v>
      </c>
      <c r="F19" s="278">
        <f>[25]Brewhouse!$V264</f>
        <v>58</v>
      </c>
      <c r="G19" s="279">
        <f>[25]Brewhouse!$AE264</f>
        <v>12</v>
      </c>
      <c r="H19" s="396">
        <v>12</v>
      </c>
      <c r="I19" s="429">
        <f>[25]Brewhouse!$AS264</f>
        <v>98.830948870010644</v>
      </c>
      <c r="J19" s="429">
        <f>[25]Brewhouse!$AT264</f>
        <v>100.72222720912562</v>
      </c>
      <c r="K19" s="392">
        <f>[25]Brewhouse!$Q264</f>
        <v>13.627992633517493</v>
      </c>
      <c r="L19" s="276">
        <f>[25]Brewhouse!$P264</f>
        <v>60</v>
      </c>
      <c r="M19" s="374">
        <f>[25]Brewhouse!$U264-[25]Brewhouse!$T264</f>
        <v>0.10972222222222228</v>
      </c>
      <c r="N19" s="370">
        <f>[25]Brewhouse!$AW264</f>
        <v>0.23819444444444449</v>
      </c>
      <c r="O19" s="422" t="str">
        <f>[25]Brewhouse!$AV264</f>
        <v>R. Regis</v>
      </c>
      <c r="P19" s="420"/>
      <c r="R19" s="277" t="str">
        <f t="shared" si="0"/>
        <v>STAG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2:26" ht="15.75" customHeight="1">
      <c r="B20" s="33" t="s">
        <v>9</v>
      </c>
      <c r="C20" s="366" t="str">
        <f>[25]Brewhouse!$A265</f>
        <v>ST246</v>
      </c>
      <c r="D20" s="279">
        <f>[25]Brewhouse!$AD265</f>
        <v>49.5</v>
      </c>
      <c r="E20" s="367">
        <f>[25]Brewhouse!$AG265</f>
        <v>48.6</v>
      </c>
      <c r="F20" s="278">
        <f>[25]Brewhouse!$V265</f>
        <v>58</v>
      </c>
      <c r="G20" s="279">
        <f>[25]Brewhouse!$AE265</f>
        <v>12</v>
      </c>
      <c r="H20" s="396">
        <v>12</v>
      </c>
      <c r="I20" s="429">
        <f>[25]Brewhouse!$AS265</f>
        <v>96.960481671797865</v>
      </c>
      <c r="J20" s="429">
        <f>[25]Brewhouse!$AT265</f>
        <v>98.815354104864156</v>
      </c>
      <c r="K20" s="392">
        <f>[25]Brewhouse!$Q265</f>
        <v>12.38447319778189</v>
      </c>
      <c r="L20" s="276">
        <f>[25]Brewhouse!$P265</f>
        <v>60</v>
      </c>
      <c r="M20" s="374">
        <f>[25]Brewhouse!$U265-[25]Brewhouse!$T265</f>
        <v>0.10763888888888884</v>
      </c>
      <c r="N20" s="370">
        <f>[25]Brewhouse!$AW265</f>
        <v>0.23611111111111116</v>
      </c>
      <c r="O20" s="422" t="str">
        <f>[25]Brewhouse!$AV265</f>
        <v>R. Regis</v>
      </c>
      <c r="P20" s="420"/>
      <c r="R20" s="277"/>
      <c r="S20" s="296"/>
      <c r="T20" s="296"/>
      <c r="U20" s="297"/>
      <c r="V20" s="297"/>
      <c r="W20" s="297"/>
      <c r="X20" s="297"/>
      <c r="Y20" s="297"/>
      <c r="Z20" s="296"/>
    </row>
    <row r="21" spans="2:26" ht="15.75" customHeight="1">
      <c r="B21" s="445" t="s">
        <v>209</v>
      </c>
      <c r="C21" s="366"/>
      <c r="D21" s="279"/>
      <c r="E21" s="367"/>
      <c r="F21" s="278"/>
      <c r="G21" s="279"/>
      <c r="H21" s="396"/>
      <c r="I21" s="429"/>
      <c r="J21" s="429"/>
      <c r="K21" s="392"/>
      <c r="L21" s="276"/>
      <c r="M21" s="374"/>
      <c r="N21" s="370"/>
      <c r="O21" s="422"/>
      <c r="P21" s="420"/>
      <c r="R21" s="277"/>
      <c r="S21" s="296"/>
      <c r="T21" s="296"/>
      <c r="U21" s="297"/>
      <c r="V21" s="297"/>
      <c r="W21" s="297"/>
      <c r="X21" s="297"/>
      <c r="Y21" s="297"/>
      <c r="Z21" s="296"/>
    </row>
    <row r="22" spans="2:26" ht="15.75" customHeight="1">
      <c r="B22" s="33" t="s">
        <v>9</v>
      </c>
      <c r="C22" s="366" t="str">
        <f>[25]Brewhouse!$A266</f>
        <v>ST247</v>
      </c>
      <c r="D22" s="279">
        <f>[25]Brewhouse!$AD266</f>
        <v>50.2</v>
      </c>
      <c r="E22" s="367">
        <f>[25]Brewhouse!$AG266</f>
        <v>49.4</v>
      </c>
      <c r="F22" s="278">
        <f>[25]Brewhouse!$V266</f>
        <v>60</v>
      </c>
      <c r="G22" s="279">
        <f>[25]Brewhouse!$AE266</f>
        <v>12.1</v>
      </c>
      <c r="H22" s="396">
        <v>12</v>
      </c>
      <c r="I22" s="429">
        <f>[25]Brewhouse!$AS266</f>
        <v>98.920822376514678</v>
      </c>
      <c r="J22" s="429">
        <f>[25]Brewhouse!$AT266</f>
        <v>100.8156834719544</v>
      </c>
      <c r="K22" s="392">
        <f>[25]Brewhouse!$Q266</f>
        <v>11.829944547134932</v>
      </c>
      <c r="L22" s="276">
        <f>[25]Brewhouse!$P266</f>
        <v>60</v>
      </c>
      <c r="M22" s="374">
        <f>[25]Brewhouse!$U266-[25]Brewhouse!$T266</f>
        <v>0.11319444444444446</v>
      </c>
      <c r="N22" s="370">
        <f>[25]Brewhouse!$AW266</f>
        <v>0.24097222222222223</v>
      </c>
      <c r="O22" s="422" t="str">
        <f>[25]Brewhouse!$AV266</f>
        <v>R. Regis</v>
      </c>
      <c r="P22" s="420"/>
      <c r="R22" s="277"/>
      <c r="S22" s="296"/>
      <c r="T22" s="296"/>
      <c r="U22" s="297"/>
      <c r="V22" s="297"/>
      <c r="W22" s="297"/>
      <c r="X22" s="297"/>
      <c r="Y22" s="297"/>
      <c r="Z22" s="296"/>
    </row>
    <row r="23" spans="2:26" ht="15.75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20"/>
      <c r="R23" s="277"/>
      <c r="S23" s="296"/>
      <c r="T23" s="296"/>
      <c r="U23" s="297"/>
      <c r="V23" s="297"/>
      <c r="W23" s="297"/>
      <c r="X23" s="297"/>
      <c r="Y23" s="297"/>
      <c r="Z23" s="296"/>
    </row>
    <row r="24" spans="2:26" ht="15.7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20"/>
      <c r="R24" s="277">
        <f t="shared" ref="R24:R25" si="9">B24</f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20"/>
      <c r="R25" s="277">
        <f t="shared" si="9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20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20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20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20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20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hidden="1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20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20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7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20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7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20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7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20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7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20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7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20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7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20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7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20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7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20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7" ht="15.75" customHeight="1" thickBot="1">
      <c r="B41" s="358"/>
      <c r="C41" s="358"/>
      <c r="D41" s="358"/>
      <c r="E41" s="358"/>
      <c r="F41" s="294"/>
      <c r="G41" s="294"/>
      <c r="H41" s="348"/>
      <c r="I41" s="497"/>
      <c r="J41" s="497"/>
      <c r="K41" s="497"/>
      <c r="L41" s="497"/>
      <c r="M41" s="497"/>
      <c r="N41" s="497"/>
      <c r="O41" s="1"/>
      <c r="P41" s="12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7" ht="15" thickBot="1">
      <c r="B42" s="388" t="s">
        <v>180</v>
      </c>
      <c r="C42" s="388"/>
      <c r="D42" s="475" t="s">
        <v>35</v>
      </c>
      <c r="E42" s="476"/>
      <c r="F42" s="294"/>
      <c r="G42" s="294"/>
      <c r="H42" s="348"/>
      <c r="I42" s="24" t="s">
        <v>17</v>
      </c>
      <c r="J42" s="25" t="s">
        <v>36</v>
      </c>
      <c r="K42" s="26" t="s">
        <v>138</v>
      </c>
      <c r="L42" s="25" t="s">
        <v>37</v>
      </c>
      <c r="M42" s="25" t="s">
        <v>38</v>
      </c>
      <c r="N42" s="27" t="s">
        <v>39</v>
      </c>
      <c r="O42" s="294"/>
      <c r="P42" s="12"/>
      <c r="R42" s="277" t="str">
        <f t="shared" si="0"/>
        <v xml:space="preserve">BRAND 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7" ht="15" customHeight="1">
      <c r="A43" s="28"/>
      <c r="B43" s="557" t="str">
        <f>I44</f>
        <v>STAG</v>
      </c>
      <c r="C43" s="362">
        <f>[25]Process!D246</f>
        <v>11.8</v>
      </c>
      <c r="D43" s="501">
        <v>11.89</v>
      </c>
      <c r="E43" s="502"/>
      <c r="F43" s="294"/>
      <c r="G43" s="294"/>
      <c r="H43" s="348"/>
      <c r="I43" s="29" t="s">
        <v>6</v>
      </c>
      <c r="J43" s="280">
        <f>AVERAGE(I10:I14)</f>
        <v>99.178931951248771</v>
      </c>
      <c r="K43" s="284">
        <f>COUNTA([24]Brewhouse!$A$493:$A$549)</f>
        <v>57</v>
      </c>
      <c r="L43" s="305">
        <f>AVERAGE([24]Brewhouse!$AU$493:$AU$549)</f>
        <v>97.931672697922409</v>
      </c>
      <c r="M43" s="302">
        <f>AVERAGE([24]Brewhouse!$AU$102:$AU$171,[24]Brewhouse!$AU$173:$AU$253,[24]Brewhouse!$AU$255:$AU$339,[24]Brewhouse!$AU$341:$AU$346,[24]Brewhouse!$AU$348,[24]Brewhouse!$AU$349:$AU$406,[24]Brewhouse!$AU$408:$AU$491,[24]Brewhouse!$AU$493:$AU$549)</f>
        <v>97.69553494018713</v>
      </c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</row>
    <row r="44" spans="1:27" ht="15" customHeight="1">
      <c r="A44" s="28"/>
      <c r="B44" s="549"/>
      <c r="C44" s="349">
        <f>[25]Process!D247</f>
        <v>11.8</v>
      </c>
      <c r="D44" s="503"/>
      <c r="E44" s="504"/>
      <c r="F44" s="294"/>
      <c r="G44" s="294"/>
      <c r="H44" s="348"/>
      <c r="I44" s="33" t="s">
        <v>9</v>
      </c>
      <c r="J44" s="280">
        <f>AVERAGE(I17:I20)</f>
        <v>97.082970419919263</v>
      </c>
      <c r="K44" s="284">
        <f>COUNTA([25]Brewhouse!$A$242:$A$265)</f>
        <v>24</v>
      </c>
      <c r="L44" s="302">
        <f>AVERAGE([25]Brewhouse!$AS$242:$AS$265)</f>
        <v>97.534716566455145</v>
      </c>
      <c r="M44" s="302">
        <f>AVERAGE([25]Brewhouse!$AS$15:$AS$64,[25]Brewhouse!$AS$66:$AS$103,[25]Brewhouse!$AS$105:$AS$140,[25]Brewhouse!$AS$142:$AS$193,[25]Brewhouse!$AS$195:$AS$240,[25]Brewhouse!$AS$242:$AS$265)</f>
        <v>97.842300615460104</v>
      </c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</row>
    <row r="45" spans="1:27" ht="14.7" customHeight="1">
      <c r="A45" s="28"/>
      <c r="B45" s="549"/>
      <c r="C45" s="349">
        <f>[25]Process!D248</f>
        <v>11.8</v>
      </c>
      <c r="D45" s="501">
        <v>11.9</v>
      </c>
      <c r="E45" s="502"/>
      <c r="F45" s="294"/>
      <c r="G45" s="294"/>
      <c r="H45" s="348"/>
      <c r="I45" s="34" t="s">
        <v>12</v>
      </c>
      <c r="J45" s="280"/>
      <c r="K45" s="284"/>
      <c r="L45" s="302"/>
      <c r="M45" s="302">
        <f>AVERAGE([26]Brewhouse!$AU$4:$AU$7,[26]Brewhouse!$AU$9:$AU$22,[26]Brewhouse!$AU$24:$AU$35,[26]Brewhouse!$AU$37:$AU$45,[26]Brewhouse!$AU$47:$AU$62)</f>
        <v>97.179377138297156</v>
      </c>
      <c r="N45" s="3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</row>
    <row r="46" spans="1:27" ht="14.7" customHeight="1">
      <c r="A46" s="28"/>
      <c r="B46" s="549"/>
      <c r="C46" s="349">
        <f>[25]Process!D249</f>
        <v>11.8</v>
      </c>
      <c r="D46" s="503"/>
      <c r="E46" s="504"/>
      <c r="F46" s="294"/>
      <c r="G46" s="294"/>
      <c r="H46" s="348"/>
      <c r="I46" s="22" t="s">
        <v>33</v>
      </c>
      <c r="J46" s="280"/>
      <c r="K46" s="284">
        <f>COUNTA([23]Brewhouse!$A$48:$A$53)</f>
        <v>6</v>
      </c>
      <c r="L46" s="302">
        <f>AVERAGE([23]Brewhouse!$AV$48:$AV$53)</f>
        <v>96.180288887301501</v>
      </c>
      <c r="M46" s="302">
        <f>AVERAGE([23]Brewhouse!$AV$5:$AV$14,[23]Brewhouse!$AV$16:$AV$19,[23]Brewhouse!$AV$21:$AV$24,[23]Brewhouse!$AV$26:$AV$33,[23]Brewhouse!$AV$35:$AV$46,[23]Brewhouse!$AV$48:$AV$53)</f>
        <v>98.620083722669861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7" ht="14.7" customHeight="1">
      <c r="A47" s="28"/>
      <c r="B47" s="549"/>
      <c r="C47" s="349"/>
      <c r="D47" s="501"/>
      <c r="E47" s="502"/>
      <c r="F47" s="419"/>
      <c r="G47" s="294"/>
      <c r="H47" s="348"/>
      <c r="I47" s="35" t="s">
        <v>29</v>
      </c>
      <c r="J47" s="280"/>
      <c r="K47" s="284"/>
      <c r="L47" s="302"/>
      <c r="M47" s="302"/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7" ht="14.7" customHeight="1">
      <c r="A48" s="28"/>
      <c r="B48" s="549"/>
      <c r="C48" s="349"/>
      <c r="D48" s="503"/>
      <c r="E48" s="504"/>
      <c r="F48" s="419"/>
      <c r="G48" s="294"/>
      <c r="H48" s="348"/>
      <c r="I48" s="36" t="s">
        <v>15</v>
      </c>
      <c r="J48" s="323"/>
      <c r="K48" s="284">
        <f>COUNTA([27]Brewhouse!$A$18:$A$21)</f>
        <v>4</v>
      </c>
      <c r="L48" s="302">
        <f>AVERAGE([27]Brewhouse!$AT$18:$AT$21)</f>
        <v>95.061602643439088</v>
      </c>
      <c r="M48" s="302">
        <f>AVERAGE([27]Brewhouse!$AT$4:$AT$11,[27]Brewhouse!$AT$13:$AT$16,[27]Brewhouse!$AT$18:$AT$21)</f>
        <v>94.773169817643847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  <c r="AA48" s="296"/>
    </row>
    <row r="49" spans="1:56" ht="14.7" customHeight="1">
      <c r="A49" s="28"/>
      <c r="B49" s="549"/>
      <c r="C49" s="349"/>
      <c r="D49" s="501"/>
      <c r="E49" s="502"/>
      <c r="F49" s="419"/>
      <c r="G49" s="294"/>
      <c r="H49" s="348"/>
      <c r="I49" s="37" t="s">
        <v>16</v>
      </c>
      <c r="J49" s="323"/>
      <c r="K49" s="284">
        <f>COUNTA([22]Brewhouse!$A$45:$A$50)</f>
        <v>6</v>
      </c>
      <c r="L49" s="302">
        <f>AVERAGE([22]Brewhouse!$AY$45:$AY$50)</f>
        <v>96.288901438431267</v>
      </c>
      <c r="M49" s="302">
        <f>AVERAGE([22]Brewhouse!$AY$6:$AY$13,[22]Brewhouse!$AY$15:$AY$20,[22]Brewhouse!$AY$22:$AY$29,[22]Brewhouse!$AY$31:$AY$34,[22]Brewhouse!$AY$36:$AY$43,[22]Brewhouse!$AY$45:$AY$50)</f>
        <v>96.612624784592427</v>
      </c>
      <c r="N49" s="30">
        <v>98</v>
      </c>
      <c r="O49" s="11"/>
      <c r="P49" s="31" t="s">
        <v>41</v>
      </c>
      <c r="R49" s="277"/>
      <c r="S49" s="296"/>
      <c r="T49" s="296"/>
      <c r="U49" s="297"/>
      <c r="V49" s="297"/>
      <c r="W49" s="297"/>
      <c r="X49" s="297"/>
      <c r="Y49" s="297"/>
      <c r="Z49" s="296"/>
      <c r="AA49" s="296"/>
    </row>
    <row r="50" spans="1:56" ht="14.7" customHeight="1">
      <c r="A50" s="28"/>
      <c r="B50" s="549"/>
      <c r="C50" s="349"/>
      <c r="D50" s="503"/>
      <c r="E50" s="504"/>
      <c r="F50" s="294"/>
      <c r="G50" s="294"/>
      <c r="H50" s="348"/>
      <c r="I50" s="411" t="s">
        <v>158</v>
      </c>
      <c r="J50" s="326"/>
      <c r="K50" s="284">
        <f>COUNTA([28]Brewhouse!$A$10:$A$13)</f>
        <v>4</v>
      </c>
      <c r="L50" s="305">
        <f>AVERAGE([28]Brewhouse!$AU$10:$AU$13)</f>
        <v>97.488444912767932</v>
      </c>
      <c r="M50" s="305">
        <f>AVERAGE([28]Brewhouse!$AU$5:$AU$8,[28]Brewhouse!$AU$10:$AU$13)</f>
        <v>94.247666625193744</v>
      </c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4.7" customHeight="1">
      <c r="A51" s="28"/>
      <c r="B51" s="549"/>
      <c r="C51" s="349"/>
      <c r="D51" s="501"/>
      <c r="E51" s="502"/>
      <c r="F51" s="294"/>
      <c r="G51" s="294"/>
      <c r="H51" s="348"/>
      <c r="I51" s="410" t="s">
        <v>157</v>
      </c>
      <c r="J51" s="326"/>
      <c r="K51" s="284"/>
      <c r="L51" s="305"/>
      <c r="M51" s="305"/>
      <c r="N51" s="3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5" customHeight="1" thickBot="1">
      <c r="A52" s="28"/>
      <c r="B52" s="549"/>
      <c r="C52" s="349"/>
      <c r="D52" s="503"/>
      <c r="E52" s="504"/>
      <c r="F52" s="294"/>
      <c r="G52" s="294"/>
      <c r="H52" s="348"/>
      <c r="I52" s="406" t="s">
        <v>156</v>
      </c>
      <c r="J52" s="327"/>
      <c r="K52" s="407"/>
      <c r="L52" s="408"/>
      <c r="M52" s="408"/>
      <c r="N52" s="409">
        <v>98</v>
      </c>
      <c r="O52" s="11"/>
      <c r="P52" s="31"/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5" customHeight="1" thickBot="1">
      <c r="A53" s="28"/>
      <c r="B53" s="549"/>
      <c r="C53" s="349"/>
      <c r="D53" s="501"/>
      <c r="E53" s="502"/>
      <c r="F53" s="294"/>
      <c r="G53" s="294"/>
      <c r="H53" s="348"/>
      <c r="I53" s="1"/>
      <c r="J53" s="39"/>
      <c r="K53" s="404">
        <f>SUM(K43:K52)</f>
        <v>101</v>
      </c>
      <c r="L53" s="405">
        <f>((L43*K43)+(L44*K44)+(L45*K45)+(L46*K46)+(L47*K47)+(K50*L50)+(L48*K48)+(L49*K49)+(L52*K52))/(K53)</f>
        <v>97.504493797581432</v>
      </c>
      <c r="M53" s="405">
        <f>AVERAGE('[29]Jan 31st'!$L$65,'[30]Feb 28th'!$L$35,'[31]Mar. 31st'!$L$35,'[32]Apr. 30th'!$L$45,'[33]May 30th'!$L$37,L53)</f>
        <v>97.613957872491753</v>
      </c>
      <c r="N53" s="4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5" thickBot="1">
      <c r="B54" s="550"/>
      <c r="C54" s="350"/>
      <c r="D54" s="503"/>
      <c r="E54" s="504"/>
      <c r="F54" s="294"/>
      <c r="G54" s="42"/>
      <c r="H54" s="41"/>
      <c r="I54" s="42"/>
      <c r="J54" s="42"/>
      <c r="K54" s="351"/>
      <c r="L54" s="348"/>
      <c r="M54" s="348"/>
      <c r="N54" s="11"/>
      <c r="O54" s="294"/>
      <c r="P54" s="12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thickBot="1">
      <c r="B55" s="511" t="str">
        <f>I43</f>
        <v>CARIB</v>
      </c>
      <c r="C55" s="362">
        <f>[24]Process!D509</f>
        <v>11.9</v>
      </c>
      <c r="D55" s="514">
        <v>11.85</v>
      </c>
      <c r="E55" s="515"/>
      <c r="F55" s="294"/>
      <c r="G55" s="42"/>
      <c r="H55" s="41"/>
      <c r="I55" s="41"/>
      <c r="J55" s="551" t="s">
        <v>129</v>
      </c>
      <c r="K55" s="551"/>
      <c r="L55" s="294"/>
      <c r="M55" s="294"/>
      <c r="N55" s="294"/>
      <c r="O55" s="294"/>
      <c r="P55" s="12"/>
    </row>
    <row r="56" spans="1:56" ht="13.5" customHeight="1" thickBot="1">
      <c r="B56" s="512"/>
      <c r="C56" s="349">
        <f>[24]Process!D510</f>
        <v>12.2</v>
      </c>
      <c r="D56" s="516"/>
      <c r="E56" s="504"/>
      <c r="F56" s="294"/>
      <c r="G56" s="42"/>
      <c r="H56" s="41"/>
      <c r="I56" s="41"/>
      <c r="J56" s="292" t="s">
        <v>17</v>
      </c>
      <c r="K56" s="293" t="s">
        <v>191</v>
      </c>
      <c r="L56" s="518" t="s">
        <v>136</v>
      </c>
      <c r="M56" s="518"/>
      <c r="N56" s="519"/>
      <c r="O56" s="294"/>
      <c r="P56" s="12"/>
    </row>
    <row r="57" spans="1:56" ht="15" customHeight="1" thickBot="1">
      <c r="B57" s="512"/>
      <c r="C57" s="349">
        <f>[24]Process!D511</f>
        <v>11.3</v>
      </c>
      <c r="D57" s="545">
        <v>11.98</v>
      </c>
      <c r="E57" s="546"/>
      <c r="F57" s="294"/>
      <c r="G57" s="42"/>
      <c r="H57" s="41"/>
      <c r="I57" s="41"/>
      <c r="J57" s="287" t="s">
        <v>6</v>
      </c>
      <c r="K57" s="324">
        <v>6</v>
      </c>
      <c r="L57" s="343" t="s">
        <v>37</v>
      </c>
      <c r="M57" s="307" t="s">
        <v>38</v>
      </c>
      <c r="N57" s="307" t="s">
        <v>84</v>
      </c>
      <c r="O57" s="294"/>
      <c r="P57" s="12"/>
    </row>
    <row r="58" spans="1:56" ht="15.75" customHeight="1" thickBot="1">
      <c r="B58" s="512"/>
      <c r="C58" s="349">
        <f>[24]Process!D512</f>
        <v>11.9</v>
      </c>
      <c r="D58" s="516"/>
      <c r="E58" s="504"/>
      <c r="F58" s="294"/>
      <c r="G58" s="42"/>
      <c r="H58" s="41"/>
      <c r="I58" s="41"/>
      <c r="J58" s="345" t="s">
        <v>9</v>
      </c>
      <c r="K58" s="324">
        <v>4</v>
      </c>
      <c r="L58" s="344">
        <f>AVERAGE('June 2nd'!K57,'June 3rd'!K63,'June 4th'!K63,'June 5th '!K63,'June 6th'!K63,'June 10th'!K63,'June 11th'!K63,'June 12th '!K63,'June 13th'!I65,'June 13th'!K65,'June 16th'!K60,'June 25th '!K67,'June 17th '!K60,'June 18th'!K60,'June 23rd'!K60,'June 24th'!K67)</f>
        <v>6.5625</v>
      </c>
      <c r="M58" s="325">
        <f>AVERAGE('[29]Jan 29th '!$M$70,'[30]Feb 28th'!$L$40,'[31]Mar. 31st'!$L$40,'[32]Apr. 30th'!$L$50,'[33]May 30th'!$L$42,L58)</f>
        <v>6.6281901974836757</v>
      </c>
      <c r="N58" s="418">
        <v>9.1999999999999993</v>
      </c>
      <c r="O58" s="294"/>
      <c r="P58" s="12"/>
    </row>
    <row r="59" spans="1:56" ht="15" customHeight="1">
      <c r="B59" s="512"/>
      <c r="C59" s="349">
        <f>[24]Process!D521</f>
        <v>11.9</v>
      </c>
      <c r="D59" s="545">
        <v>11.91</v>
      </c>
      <c r="E59" s="546"/>
      <c r="F59" s="294"/>
      <c r="G59" s="42"/>
      <c r="H59" s="41"/>
      <c r="I59" s="41"/>
      <c r="J59" s="288" t="s">
        <v>40</v>
      </c>
      <c r="K59" s="324"/>
      <c r="L59" s="294"/>
      <c r="M59" s="294"/>
      <c r="N59" s="294"/>
      <c r="O59" s="294"/>
      <c r="P59" s="12"/>
    </row>
    <row r="60" spans="1:56" ht="15" customHeight="1">
      <c r="B60" s="512"/>
      <c r="C60" s="349">
        <f>[24]Process!D522</f>
        <v>12</v>
      </c>
      <c r="D60" s="516"/>
      <c r="E60" s="504"/>
      <c r="F60" s="294"/>
      <c r="G60" s="42"/>
      <c r="H60" s="41"/>
      <c r="I60" s="41"/>
      <c r="J60" s="289" t="s">
        <v>33</v>
      </c>
      <c r="K60" s="324"/>
      <c r="L60" s="294"/>
      <c r="M60" s="294"/>
      <c r="N60" s="294"/>
      <c r="O60" s="294"/>
      <c r="P60" s="12"/>
    </row>
    <row r="61" spans="1:56" ht="14.4">
      <c r="B61" s="512"/>
      <c r="C61" s="349">
        <f>[24]Process!D523</f>
        <v>11.7</v>
      </c>
      <c r="D61" s="545">
        <v>11.9</v>
      </c>
      <c r="E61" s="546"/>
      <c r="F61" s="294"/>
      <c r="G61" s="42"/>
      <c r="H61" s="41"/>
      <c r="I61" s="41"/>
      <c r="J61" s="290" t="s">
        <v>16</v>
      </c>
      <c r="K61" s="324"/>
      <c r="L61" s="294"/>
      <c r="M61" s="294"/>
      <c r="N61" s="294"/>
      <c r="O61" s="294"/>
      <c r="P61" s="12"/>
      <c r="BC61" s="44"/>
      <c r="BD61" s="44"/>
    </row>
    <row r="62" spans="1:56" ht="14.4">
      <c r="B62" s="512"/>
      <c r="C62" s="349">
        <f>[24]Process!D524</f>
        <v>11.7</v>
      </c>
      <c r="D62" s="516"/>
      <c r="E62" s="504"/>
      <c r="F62" s="294"/>
      <c r="G62" s="42"/>
      <c r="H62" s="41"/>
      <c r="I62" s="41"/>
      <c r="J62" s="291" t="s">
        <v>15</v>
      </c>
      <c r="K62" s="324"/>
      <c r="L62" s="294"/>
      <c r="M62" s="294"/>
      <c r="N62" s="294"/>
      <c r="O62" s="294"/>
      <c r="P62" s="12"/>
      <c r="BC62" s="44"/>
      <c r="BD62" s="44"/>
    </row>
    <row r="63" spans="1:56" ht="14.4">
      <c r="B63" s="512"/>
      <c r="C63" s="349"/>
      <c r="D63" s="545"/>
      <c r="E63" s="546"/>
      <c r="F63" s="294"/>
      <c r="G63" s="42"/>
      <c r="H63" s="41"/>
      <c r="I63" s="41"/>
      <c r="J63" s="291" t="s">
        <v>149</v>
      </c>
      <c r="K63" s="324"/>
      <c r="L63" s="294"/>
      <c r="M63" s="294"/>
      <c r="N63" s="294"/>
      <c r="O63" s="294"/>
      <c r="P63" s="12"/>
      <c r="BC63" s="44"/>
      <c r="BD63" s="44"/>
    </row>
    <row r="64" spans="1:56" ht="15" thickBot="1">
      <c r="B64" s="513"/>
      <c r="C64" s="350"/>
      <c r="D64" s="547"/>
      <c r="E64" s="548"/>
      <c r="F64" s="294"/>
      <c r="G64" s="42"/>
      <c r="H64" s="41"/>
      <c r="I64" s="41"/>
      <c r="J64" s="291" t="s">
        <v>148</v>
      </c>
      <c r="K64" s="324"/>
      <c r="L64" s="294"/>
      <c r="M64" s="294"/>
      <c r="N64" s="294"/>
      <c r="O64" s="294"/>
      <c r="P64" s="12"/>
      <c r="BC64" s="44"/>
      <c r="BD64" s="44"/>
    </row>
    <row r="65" spans="2:57" ht="17.7" customHeight="1" thickBot="1">
      <c r="B65" s="312" t="s">
        <v>139</v>
      </c>
      <c r="C65" s="313"/>
      <c r="D65" s="562">
        <f>AVERAGE(D43:E64)</f>
        <v>11.905000000000001</v>
      </c>
      <c r="E65" s="563"/>
      <c r="F65" s="294"/>
      <c r="G65" s="42"/>
      <c r="H65" s="41"/>
      <c r="I65" s="41"/>
      <c r="J65" s="295" t="s">
        <v>134</v>
      </c>
      <c r="K65" s="324"/>
      <c r="L65" s="294"/>
      <c r="M65" s="294"/>
      <c r="N65" s="294"/>
      <c r="O65" s="294"/>
      <c r="P65" s="12"/>
      <c r="BC65" s="44"/>
      <c r="BD65" s="44"/>
    </row>
    <row r="66" spans="2:57" ht="17.7" customHeight="1">
      <c r="B66" s="363"/>
      <c r="C66" s="364"/>
      <c r="D66" s="365"/>
      <c r="E66" s="365"/>
      <c r="F66" s="294"/>
      <c r="G66" s="42"/>
      <c r="H66" s="41"/>
      <c r="I66" s="41"/>
      <c r="J66" s="295" t="s">
        <v>131</v>
      </c>
      <c r="K66" s="324"/>
      <c r="L66" s="294"/>
      <c r="M66" s="294"/>
      <c r="N66" s="294"/>
      <c r="O66" s="294"/>
      <c r="P66" s="12"/>
      <c r="BC66" s="44"/>
      <c r="BD66" s="44"/>
    </row>
    <row r="67" spans="2:57" ht="15.75" customHeight="1">
      <c r="B67" s="45"/>
      <c r="C67" s="11"/>
      <c r="D67" s="11"/>
      <c r="E67" s="46"/>
      <c r="F67" s="294"/>
      <c r="G67" s="42"/>
      <c r="H67" s="41"/>
      <c r="I67" s="41"/>
      <c r="J67" s="346" t="s">
        <v>130</v>
      </c>
      <c r="K67" s="324">
        <f>SUM(K57:K66)</f>
        <v>10</v>
      </c>
      <c r="L67" s="294"/>
      <c r="M67" s="294"/>
      <c r="N67" s="294"/>
      <c r="O67" s="294"/>
      <c r="P67" s="12"/>
    </row>
    <row r="68" spans="2:57" ht="20.25" customHeight="1">
      <c r="B68" s="15" t="s">
        <v>42</v>
      </c>
      <c r="C68" s="1" t="s">
        <v>43</v>
      </c>
      <c r="D68" s="1"/>
      <c r="E68" s="1"/>
      <c r="F68" s="294"/>
      <c r="G68" s="42"/>
      <c r="H68" s="41"/>
      <c r="I68" s="42"/>
      <c r="L68" s="294"/>
      <c r="P68" s="334"/>
    </row>
    <row r="69" spans="2:57" ht="15" customHeight="1" thickBot="1"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8"/>
      <c r="O69" s="48"/>
      <c r="P69" s="49"/>
    </row>
    <row r="70" spans="2:57" ht="15" customHeight="1" thickBot="1">
      <c r="B70" s="526" t="s">
        <v>17</v>
      </c>
      <c r="C70" s="526" t="s">
        <v>44</v>
      </c>
      <c r="D70" s="528" t="s">
        <v>45</v>
      </c>
      <c r="E70" s="483" t="s">
        <v>46</v>
      </c>
      <c r="F70" s="543" t="s">
        <v>47</v>
      </c>
      <c r="G70" s="537" t="s">
        <v>48</v>
      </c>
      <c r="H70" s="526" t="s">
        <v>49</v>
      </c>
      <c r="I70" s="526" t="s">
        <v>50</v>
      </c>
      <c r="J70" s="531" t="s">
        <v>28</v>
      </c>
      <c r="K70" s="481" t="s">
        <v>51</v>
      </c>
      <c r="L70" s="493" t="s">
        <v>52</v>
      </c>
      <c r="M70" s="531" t="s">
        <v>53</v>
      </c>
      <c r="N70" s="13"/>
      <c r="O70" s="13"/>
      <c r="P70" s="50"/>
    </row>
    <row r="71" spans="2:57" ht="28.5" customHeight="1" thickTop="1" thickBot="1">
      <c r="B71" s="527"/>
      <c r="C71" s="527"/>
      <c r="D71" s="529"/>
      <c r="E71" s="530"/>
      <c r="F71" s="544"/>
      <c r="G71" s="538"/>
      <c r="H71" s="527"/>
      <c r="I71" s="527"/>
      <c r="J71" s="532"/>
      <c r="K71" s="541"/>
      <c r="L71" s="542"/>
      <c r="M71" s="532"/>
      <c r="N71" s="13"/>
      <c r="O71" s="13"/>
      <c r="P71" s="50"/>
      <c r="Q71" s="355"/>
      <c r="AB71" s="51">
        <v>43474</v>
      </c>
      <c r="AC71" s="51">
        <v>43475</v>
      </c>
      <c r="AD71" s="51">
        <v>43476</v>
      </c>
      <c r="AE71" s="51">
        <v>43477</v>
      </c>
      <c r="AF71" s="51">
        <v>43478</v>
      </c>
      <c r="AG71" s="51">
        <v>43479</v>
      </c>
      <c r="AH71" s="51">
        <v>43480</v>
      </c>
      <c r="AI71" s="51">
        <v>43481</v>
      </c>
      <c r="AJ71" s="51">
        <v>43482</v>
      </c>
      <c r="AK71" s="51">
        <v>43483</v>
      </c>
      <c r="AL71" s="51">
        <v>43484</v>
      </c>
      <c r="AM71" s="51">
        <v>43485</v>
      </c>
      <c r="AN71" s="51">
        <v>43486</v>
      </c>
      <c r="AO71" s="51">
        <v>43487</v>
      </c>
      <c r="AP71" s="51">
        <v>43488</v>
      </c>
      <c r="AQ71" s="51">
        <v>43489</v>
      </c>
      <c r="AR71" s="51">
        <v>43490</v>
      </c>
      <c r="AS71" s="51">
        <v>43491</v>
      </c>
      <c r="AT71" s="51">
        <v>43492</v>
      </c>
      <c r="AU71" s="51">
        <v>43493</v>
      </c>
      <c r="AV71" s="51">
        <v>43494</v>
      </c>
      <c r="AW71" s="51">
        <v>43495</v>
      </c>
      <c r="AX71" s="51">
        <v>43496</v>
      </c>
    </row>
    <row r="72" spans="2:57" s="54" customFormat="1" ht="51" customHeight="1">
      <c r="B72" s="425" t="str">
        <f>B80</f>
        <v>STAG</v>
      </c>
      <c r="C72" s="432">
        <v>45833</v>
      </c>
      <c r="D72" s="377">
        <f>[34]June_2025!$AB$13</f>
        <v>189.1</v>
      </c>
      <c r="E72" s="378"/>
      <c r="F72" s="379"/>
      <c r="G72" s="303">
        <f>[34]June_2025!$AB$17</f>
        <v>176.6</v>
      </c>
      <c r="H72" s="320"/>
      <c r="I72" s="322"/>
      <c r="J72" s="392" t="s">
        <v>182</v>
      </c>
      <c r="K72" s="286">
        <f>[36]June_2025!$AB$25</f>
        <v>0.61964912280701756</v>
      </c>
      <c r="L72" s="314">
        <f>(((D72+E72)-G72)/(D72+E72))*100</f>
        <v>6.6102591221575882</v>
      </c>
      <c r="M72" s="417" t="s">
        <v>206</v>
      </c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416"/>
      <c r="AC72" s="416"/>
      <c r="AD72" s="416"/>
      <c r="AE72" s="416"/>
      <c r="AF72" s="416"/>
      <c r="AG72" s="416"/>
      <c r="AH72" s="416"/>
      <c r="AI72" s="416"/>
      <c r="AJ72" s="416"/>
      <c r="AK72" s="416"/>
      <c r="AL72" s="416"/>
      <c r="AM72" s="416"/>
      <c r="AN72" s="416"/>
      <c r="AO72" s="416"/>
      <c r="AP72" s="416"/>
      <c r="AQ72" s="416"/>
      <c r="AR72" s="416"/>
      <c r="AS72" s="416"/>
      <c r="AT72" s="416"/>
      <c r="AU72" s="416"/>
      <c r="AV72" s="416"/>
      <c r="AW72" s="416"/>
    </row>
    <row r="73" spans="2:57" s="54" customFormat="1" ht="23.25" customHeight="1">
      <c r="B73" s="22"/>
      <c r="C73" s="283"/>
      <c r="D73" s="377"/>
      <c r="E73" s="378"/>
      <c r="F73" s="379"/>
      <c r="G73" s="303"/>
      <c r="H73" s="320"/>
      <c r="I73" s="322"/>
      <c r="J73" s="281"/>
      <c r="K73" s="286"/>
      <c r="L73" s="314"/>
      <c r="M73" s="417"/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416"/>
      <c r="AC73" s="416"/>
      <c r="AD73" s="416"/>
      <c r="AE73" s="416"/>
      <c r="AF73" s="416"/>
      <c r="AG73" s="416"/>
      <c r="AH73" s="416"/>
      <c r="AI73" s="416"/>
      <c r="AJ73" s="416"/>
      <c r="AK73" s="416"/>
      <c r="AL73" s="416"/>
      <c r="AM73" s="416"/>
      <c r="AN73" s="416"/>
      <c r="AO73" s="416"/>
      <c r="AP73" s="416"/>
      <c r="AQ73" s="416"/>
      <c r="AR73" s="416"/>
      <c r="AS73" s="416"/>
      <c r="AT73" s="416"/>
      <c r="AU73" s="416"/>
      <c r="AV73" s="416"/>
      <c r="AW73" s="416"/>
    </row>
    <row r="74" spans="2:57" s="54" customFormat="1" ht="53.25" customHeight="1">
      <c r="B74" s="387" t="str">
        <f>B79</f>
        <v>CARIB</v>
      </c>
      <c r="C74" s="432">
        <v>45833</v>
      </c>
      <c r="D74" s="377">
        <f>[34]June_2025!$AB$3</f>
        <v>405.70000000000005</v>
      </c>
      <c r="E74" s="378"/>
      <c r="F74" s="379">
        <f>[35]CARIB!$L$83+[35]CARIB!$L$85+[35]CARIB!$L$95+[35]CARIB!$L$97</f>
        <v>396</v>
      </c>
      <c r="G74" s="303">
        <f>[34]June_2025!$AB$7</f>
        <v>384.59999999999997</v>
      </c>
      <c r="H74" s="320">
        <f>(D74-F74)/D74*100</f>
        <v>2.3909292580724784</v>
      </c>
      <c r="I74" s="322">
        <f>((F74+E74)-G74)/(F74+E74)*100</f>
        <v>2.8787878787878873</v>
      </c>
      <c r="J74" s="392" t="s">
        <v>181</v>
      </c>
      <c r="K74" s="286">
        <f>[36]June_2025!$AB$18</f>
        <v>0.67473684210526308</v>
      </c>
      <c r="L74" s="314">
        <f>(((D74+E74)-G74)/(D74+E74))*100</f>
        <v>5.2008873551885815</v>
      </c>
      <c r="M74" s="417" t="s">
        <v>208</v>
      </c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57">
        <f>[20]January_2019!L7</f>
        <v>0</v>
      </c>
      <c r="AC74" s="57">
        <f>[20]January_2019!M7</f>
        <v>0</v>
      </c>
      <c r="AD74" s="57">
        <f>[20]January_2019!N7</f>
        <v>0</v>
      </c>
      <c r="AE74" s="57">
        <f>[20]January_2019!O7</f>
        <v>0</v>
      </c>
      <c r="AF74" s="57">
        <f>[20]January_2019!P7</f>
        <v>0</v>
      </c>
      <c r="AG74" s="57">
        <f>[20]January_2019!Q7</f>
        <v>0</v>
      </c>
      <c r="AH74" s="57">
        <f>[20]January_2019!R7</f>
        <v>0</v>
      </c>
      <c r="AI74" s="57">
        <f>[20]January_2019!S7</f>
        <v>0</v>
      </c>
      <c r="AJ74" s="57">
        <f>[20]January_2019!T7</f>
        <v>0</v>
      </c>
      <c r="AK74" s="57">
        <f>[20]January_2019!U7</f>
        <v>0</v>
      </c>
      <c r="AL74" s="57">
        <f>[20]January_2019!V7</f>
        <v>0</v>
      </c>
      <c r="AM74" s="57">
        <f>[20]January_2019!W7</f>
        <v>0</v>
      </c>
      <c r="AN74" s="57">
        <f>[20]January_2019!X7</f>
        <v>0</v>
      </c>
      <c r="AO74" s="57">
        <f>[20]January_2019!Y7</f>
        <v>0</v>
      </c>
      <c r="AP74" s="57">
        <f>[20]January_2019!Z7</f>
        <v>0</v>
      </c>
      <c r="AQ74" s="57">
        <f>[20]January_2019!AA7</f>
        <v>0</v>
      </c>
      <c r="AR74" s="57">
        <f>[20]January_2019!AB7</f>
        <v>0</v>
      </c>
      <c r="AS74" s="57">
        <f>[20]January_2019!AC7</f>
        <v>0</v>
      </c>
      <c r="AT74" s="57">
        <f>[20]January_2019!AD7</f>
        <v>0</v>
      </c>
      <c r="AU74" s="57">
        <f>[20]January_2019!AE7</f>
        <v>0</v>
      </c>
      <c r="AV74" s="57">
        <f>[20]January_2019!AF7</f>
        <v>0</v>
      </c>
      <c r="AW74" s="57">
        <f>[20]January_2019!AG7</f>
        <v>0</v>
      </c>
      <c r="AX74" s="277">
        <f>[20]January_2019!AH7</f>
        <v>0</v>
      </c>
      <c r="AY74" s="277"/>
      <c r="AZ74" s="277"/>
      <c r="BA74" s="277"/>
      <c r="BB74" s="277"/>
      <c r="BC74" s="277"/>
      <c r="BD74" s="277"/>
      <c r="BE74" s="277"/>
    </row>
    <row r="75" spans="2:57" s="54" customFormat="1" ht="16.5" customHeight="1">
      <c r="B75" s="423"/>
      <c r="C75" s="283"/>
      <c r="D75" s="377"/>
      <c r="E75" s="378"/>
      <c r="F75" s="379"/>
      <c r="G75" s="303"/>
      <c r="H75" s="320"/>
      <c r="I75" s="322"/>
      <c r="J75" s="281"/>
      <c r="K75" s="286"/>
      <c r="L75" s="314"/>
      <c r="M75" s="417"/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416"/>
      <c r="AC75" s="416"/>
      <c r="AD75" s="416"/>
      <c r="AE75" s="416"/>
      <c r="AF75" s="416"/>
      <c r="AG75" s="416"/>
      <c r="AH75" s="416"/>
      <c r="AI75" s="416"/>
      <c r="AJ75" s="416"/>
      <c r="AK75" s="416"/>
      <c r="AL75" s="416"/>
      <c r="AM75" s="416"/>
      <c r="AN75" s="416"/>
      <c r="AO75" s="416"/>
      <c r="AP75" s="416"/>
      <c r="AQ75" s="416"/>
      <c r="AR75" s="416"/>
      <c r="AS75" s="416"/>
      <c r="AT75" s="416"/>
      <c r="AU75" s="416"/>
      <c r="AV75" s="416"/>
      <c r="AW75" s="416"/>
    </row>
    <row r="76" spans="2:57" ht="18" customHeight="1" thickBot="1">
      <c r="B76" s="59"/>
      <c r="C76" s="30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 t="s">
        <v>41</v>
      </c>
      <c r="O76" s="56"/>
      <c r="P76" s="60"/>
    </row>
    <row r="77" spans="2:57" ht="14.4" thickBot="1">
      <c r="B77" s="533" t="s">
        <v>55</v>
      </c>
      <c r="C77" s="534"/>
      <c r="D77" s="534"/>
      <c r="E77" s="534"/>
      <c r="F77" s="535"/>
      <c r="G77" s="533" t="s">
        <v>56</v>
      </c>
      <c r="H77" s="534"/>
      <c r="I77" s="534"/>
      <c r="J77" s="535"/>
      <c r="K77" s="533" t="s">
        <v>51</v>
      </c>
      <c r="L77" s="534"/>
      <c r="M77" s="534"/>
      <c r="N77" s="536"/>
      <c r="O77" s="56"/>
      <c r="P77" s="50"/>
    </row>
    <row r="78" spans="2:57">
      <c r="B78" s="61" t="s">
        <v>17</v>
      </c>
      <c r="C78" s="62" t="s">
        <v>36</v>
      </c>
      <c r="D78" s="62" t="s">
        <v>37</v>
      </c>
      <c r="E78" s="62" t="s">
        <v>38</v>
      </c>
      <c r="F78" s="63" t="s">
        <v>39</v>
      </c>
      <c r="G78" s="62" t="s">
        <v>36</v>
      </c>
      <c r="H78" s="62" t="s">
        <v>37</v>
      </c>
      <c r="I78" s="62" t="s">
        <v>38</v>
      </c>
      <c r="J78" s="63" t="s">
        <v>39</v>
      </c>
      <c r="K78" s="62" t="s">
        <v>36</v>
      </c>
      <c r="L78" s="62" t="s">
        <v>37</v>
      </c>
      <c r="M78" s="62" t="s">
        <v>38</v>
      </c>
      <c r="N78" s="63" t="s">
        <v>39</v>
      </c>
      <c r="O78" s="56"/>
      <c r="P78" s="64"/>
    </row>
    <row r="79" spans="2:57">
      <c r="B79" s="29" t="s">
        <v>6</v>
      </c>
      <c r="C79" s="65">
        <f>L74</f>
        <v>5.2008873551885815</v>
      </c>
      <c r="D79" s="76">
        <v>6.135412237723294</v>
      </c>
      <c r="E79" s="76">
        <v>6.5871713125771034</v>
      </c>
      <c r="F79" s="66">
        <v>4.8</v>
      </c>
      <c r="G79" s="65">
        <f>[34]June_2025!$AB$11</f>
        <v>4.3578879703115012</v>
      </c>
      <c r="H79" s="76">
        <v>5.1949645658278998</v>
      </c>
      <c r="I79" s="76">
        <v>6.5713945823010791</v>
      </c>
      <c r="J79" s="66">
        <v>4.8</v>
      </c>
      <c r="K79" s="67">
        <f>K74</f>
        <v>0.67473684210526308</v>
      </c>
      <c r="L79" s="194">
        <v>0.54026315789473689</v>
      </c>
      <c r="M79" s="194">
        <v>0.72766083918265445</v>
      </c>
      <c r="N79" s="68">
        <v>1</v>
      </c>
      <c r="O79" s="56"/>
      <c r="P79" s="69"/>
    </row>
    <row r="80" spans="2:57">
      <c r="B80" s="33" t="s">
        <v>9</v>
      </c>
      <c r="C80" s="65">
        <f>L72</f>
        <v>6.6102591221575882</v>
      </c>
      <c r="D80" s="76">
        <v>5.1508449537602505</v>
      </c>
      <c r="E80" s="76">
        <v>6.1120783649463784</v>
      </c>
      <c r="F80" s="66">
        <v>4.8</v>
      </c>
      <c r="G80" s="65">
        <f>[34]June_2025!$AB$21</f>
        <v>5.7777735875901151</v>
      </c>
      <c r="H80" s="76">
        <v>4.9416779228770604</v>
      </c>
      <c r="I80" s="76">
        <v>5.9705742349149915</v>
      </c>
      <c r="J80" s="66">
        <v>4.8</v>
      </c>
      <c r="K80" s="67">
        <f>K72</f>
        <v>0.61964912280701756</v>
      </c>
      <c r="L80" s="194">
        <v>0.68785526315789469</v>
      </c>
      <c r="M80" s="194">
        <v>0.74129168926071198</v>
      </c>
      <c r="N80" s="68">
        <v>1</v>
      </c>
      <c r="P80" s="69"/>
    </row>
    <row r="81" spans="2:16">
      <c r="B81" s="34" t="s">
        <v>40</v>
      </c>
      <c r="C81" s="65"/>
      <c r="D81" s="76">
        <v>12.188365650969537</v>
      </c>
      <c r="E81" s="76">
        <v>11.96027372373279</v>
      </c>
      <c r="F81" s="66">
        <v>5.5</v>
      </c>
      <c r="G81" s="65"/>
      <c r="H81" s="76">
        <v>12.44001096804088</v>
      </c>
      <c r="I81" s="76">
        <v>13.111031100634913</v>
      </c>
      <c r="J81" s="66">
        <v>5.5</v>
      </c>
      <c r="K81" s="67"/>
      <c r="L81" s="194">
        <v>0.27581871345029241</v>
      </c>
      <c r="M81" s="194">
        <v>0.4869398559932232</v>
      </c>
      <c r="N81" s="68">
        <v>1</v>
      </c>
      <c r="P81" s="69"/>
    </row>
    <row r="82" spans="2:16">
      <c r="B82" s="22" t="s">
        <v>33</v>
      </c>
      <c r="C82" s="65"/>
      <c r="D82" s="76">
        <v>10.592686002522056</v>
      </c>
      <c r="E82" s="76">
        <v>5.4214697406339898</v>
      </c>
      <c r="F82" s="66">
        <v>3.3</v>
      </c>
      <c r="G82" s="65"/>
      <c r="H82" s="76">
        <v>10.440711622307923</v>
      </c>
      <c r="I82" s="76">
        <v>5.263029001952213</v>
      </c>
      <c r="J82" s="66">
        <v>3.3</v>
      </c>
      <c r="K82" s="67"/>
      <c r="L82" s="194">
        <v>0.22480263157894734</v>
      </c>
      <c r="M82" s="194">
        <v>0.6919486215538847</v>
      </c>
      <c r="N82" s="68">
        <v>1</v>
      </c>
      <c r="P82" s="69"/>
    </row>
    <row r="83" spans="2:16">
      <c r="B83" s="35" t="s">
        <v>29</v>
      </c>
      <c r="C83" s="65"/>
      <c r="D83" s="76"/>
      <c r="E83" s="76"/>
      <c r="F83" s="66">
        <v>3.3</v>
      </c>
      <c r="G83" s="282"/>
      <c r="H83" s="76"/>
      <c r="I83" s="76"/>
      <c r="J83" s="66">
        <v>3</v>
      </c>
      <c r="L83" s="194"/>
      <c r="M83" s="194"/>
      <c r="N83" s="68">
        <v>1</v>
      </c>
      <c r="P83" s="69"/>
    </row>
    <row r="84" spans="2:16">
      <c r="B84" s="36" t="s">
        <v>15</v>
      </c>
      <c r="C84" s="282"/>
      <c r="D84" s="76">
        <v>5.7784145176695159</v>
      </c>
      <c r="E84" s="76">
        <v>7.3129862357869699</v>
      </c>
      <c r="F84" s="70">
        <f>[21]May_2022!$M$43</f>
        <v>3.4878406700073312</v>
      </c>
      <c r="G84" s="282"/>
      <c r="H84" s="76">
        <v>7.6606905670809748</v>
      </c>
      <c r="I84" s="76">
        <v>8.9862703283331644</v>
      </c>
      <c r="J84" s="66">
        <v>5.5</v>
      </c>
      <c r="K84" s="67"/>
      <c r="L84" s="194">
        <v>0.34614035087719303</v>
      </c>
      <c r="M84" s="194">
        <v>0.59276315789473688</v>
      </c>
      <c r="N84" s="68">
        <v>1</v>
      </c>
      <c r="P84" s="69"/>
    </row>
    <row r="85" spans="2:16">
      <c r="B85" s="37" t="s">
        <v>16</v>
      </c>
      <c r="C85" s="65"/>
      <c r="D85" s="76">
        <v>4.8459003682884285</v>
      </c>
      <c r="E85" s="76">
        <v>3.1283185840707883</v>
      </c>
      <c r="F85" s="66">
        <v>3.3</v>
      </c>
      <c r="G85" s="282"/>
      <c r="H85" s="76">
        <v>5.3838407622154936</v>
      </c>
      <c r="I85" s="76">
        <v>4.671657298145214</v>
      </c>
      <c r="J85" s="66">
        <v>3.3</v>
      </c>
      <c r="K85" s="67"/>
      <c r="L85" s="194">
        <v>0.3445029239766082</v>
      </c>
      <c r="M85" s="194">
        <v>0.70412549019607829</v>
      </c>
      <c r="N85" s="71">
        <v>1</v>
      </c>
      <c r="P85" s="69"/>
    </row>
    <row r="86" spans="2:16" ht="14.4" thickBot="1">
      <c r="B86" s="38" t="s">
        <v>127</v>
      </c>
      <c r="C86" s="65"/>
      <c r="D86" s="76"/>
      <c r="E86" s="76"/>
      <c r="F86" s="66">
        <v>7.5</v>
      </c>
      <c r="G86" s="282"/>
      <c r="H86" s="76"/>
      <c r="I86" s="76"/>
      <c r="J86" s="66">
        <v>7.5</v>
      </c>
      <c r="K86" s="67"/>
      <c r="L86" s="194"/>
      <c r="M86" s="194"/>
      <c r="N86" s="71">
        <v>1</v>
      </c>
      <c r="P86" s="69"/>
    </row>
    <row r="87" spans="2:16" ht="14.4" thickBot="1">
      <c r="B87" s="415" t="s">
        <v>161</v>
      </c>
      <c r="C87" s="65"/>
      <c r="D87" s="76"/>
      <c r="E87" s="76">
        <v>4.8792508624938291</v>
      </c>
      <c r="F87" s="66">
        <v>4.8</v>
      </c>
      <c r="G87" s="282"/>
      <c r="H87" s="76"/>
      <c r="I87" s="76">
        <v>6.2003723782925313</v>
      </c>
      <c r="J87" s="66">
        <v>4.8</v>
      </c>
      <c r="K87" s="67"/>
      <c r="L87" s="194"/>
      <c r="M87" s="194">
        <v>0.33859649122807017</v>
      </c>
      <c r="N87" s="71">
        <v>1</v>
      </c>
      <c r="O87" s="74"/>
      <c r="P87" s="75"/>
    </row>
    <row r="88" spans="2:16">
      <c r="D88" s="76">
        <v>6.483857629476959</v>
      </c>
      <c r="E88" s="76">
        <v>6.6300819420345354</v>
      </c>
      <c r="F88" s="341">
        <v>5.5</v>
      </c>
      <c r="H88" s="76">
        <v>6.4462746520417964</v>
      </c>
      <c r="I88" s="76">
        <v>6.948439291873985</v>
      </c>
      <c r="J88" s="341">
        <v>5.5</v>
      </c>
      <c r="L88" s="194">
        <v>0.49137859140605128</v>
      </c>
      <c r="M88" s="194">
        <v>0.67838972236592521</v>
      </c>
      <c r="N88" s="386">
        <v>1</v>
      </c>
    </row>
    <row r="92" spans="2:16">
      <c r="F92" s="315"/>
    </row>
  </sheetData>
  <mergeCells count="51">
    <mergeCell ref="M70:M71"/>
    <mergeCell ref="B77:F77"/>
    <mergeCell ref="G77:J77"/>
    <mergeCell ref="K77:N77"/>
    <mergeCell ref="G70:G71"/>
    <mergeCell ref="H70:H71"/>
    <mergeCell ref="I70:I71"/>
    <mergeCell ref="J70:J71"/>
    <mergeCell ref="K70:K71"/>
    <mergeCell ref="L70:L71"/>
    <mergeCell ref="F70:F71"/>
    <mergeCell ref="D65:E65"/>
    <mergeCell ref="B70:B71"/>
    <mergeCell ref="C70:C71"/>
    <mergeCell ref="D70:D71"/>
    <mergeCell ref="E70:E71"/>
    <mergeCell ref="B55:B64"/>
    <mergeCell ref="D55:E56"/>
    <mergeCell ref="J55:K55"/>
    <mergeCell ref="L56:N56"/>
    <mergeCell ref="D57:E58"/>
    <mergeCell ref="D59:E60"/>
    <mergeCell ref="D61:E62"/>
    <mergeCell ref="D63:E64"/>
    <mergeCell ref="I41:N41"/>
    <mergeCell ref="D42:E42"/>
    <mergeCell ref="B43:B54"/>
    <mergeCell ref="D43:E44"/>
    <mergeCell ref="D45:E46"/>
    <mergeCell ref="D47:E48"/>
    <mergeCell ref="D49:E50"/>
    <mergeCell ref="D51:E52"/>
    <mergeCell ref="D53:E54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65:B66">
    <cfRule type="cellIs" dxfId="548" priority="131" operator="notBetween">
      <formula>#REF!</formula>
      <formula>#REF!</formula>
    </cfRule>
  </conditionalFormatting>
  <conditionalFormatting sqref="C69">
    <cfRule type="cellIs" dxfId="547" priority="162" stopIfTrue="1" operator="lessThan">
      <formula>96</formula>
    </cfRule>
    <cfRule type="cellIs" dxfId="546" priority="163" stopIfTrue="1" operator="greaterThan">
      <formula>100</formula>
    </cfRule>
  </conditionalFormatting>
  <conditionalFormatting sqref="C79:C80">
    <cfRule type="cellIs" dxfId="545" priority="109" stopIfTrue="1" operator="lessThanOrEqual">
      <formula>0</formula>
    </cfRule>
  </conditionalFormatting>
  <conditionalFormatting sqref="C79:C83">
    <cfRule type="cellIs" dxfId="544" priority="108" stopIfTrue="1" operator="greaterThan">
      <formula>$F79</formula>
    </cfRule>
  </conditionalFormatting>
  <conditionalFormatting sqref="C80">
    <cfRule type="cellIs" dxfId="543" priority="166" stopIfTrue="1" operator="greaterThan">
      <formula>$F79</formula>
    </cfRule>
  </conditionalFormatting>
  <conditionalFormatting sqref="C81:C84">
    <cfRule type="cellIs" dxfId="542" priority="115" stopIfTrue="1" operator="lessThanOrEqual">
      <formula>0</formula>
    </cfRule>
  </conditionalFormatting>
  <conditionalFormatting sqref="C84">
    <cfRule type="cellIs" dxfId="541" priority="114" stopIfTrue="1" operator="greaterThan">
      <formula>$J84</formula>
    </cfRule>
  </conditionalFormatting>
  <conditionalFormatting sqref="C90:C94">
    <cfRule type="cellIs" dxfId="540" priority="154" stopIfTrue="1" operator="lessThanOrEqual">
      <formula>0</formula>
    </cfRule>
  </conditionalFormatting>
  <conditionalFormatting sqref="C91:C94">
    <cfRule type="cellIs" dxfId="539" priority="153" stopIfTrue="1" operator="greaterThan">
      <formula>$F$90</formula>
    </cfRule>
  </conditionalFormatting>
  <conditionalFormatting sqref="C96">
    <cfRule type="cellIs" dxfId="538" priority="155" stopIfTrue="1" operator="greaterThan">
      <formula>$F$90</formula>
    </cfRule>
    <cfRule type="cellIs" dxfId="537" priority="156" stopIfTrue="1" operator="lessThanOrEqual">
      <formula>0</formula>
    </cfRule>
  </conditionalFormatting>
  <conditionalFormatting sqref="C90:D90 D92:D98">
    <cfRule type="cellIs" dxfId="536" priority="148" stopIfTrue="1" operator="greaterThan">
      <formula>4.5</formula>
    </cfRule>
  </conditionalFormatting>
  <conditionalFormatting sqref="D65:D66">
    <cfRule type="cellIs" dxfId="535" priority="132" operator="notBetween">
      <formula>#REF!</formula>
      <formula>#REF!</formula>
    </cfRule>
  </conditionalFormatting>
  <conditionalFormatting sqref="D79:D86">
    <cfRule type="cellIs" dxfId="534" priority="125" stopIfTrue="1" operator="lessThanOrEqual">
      <formula>0</formula>
    </cfRule>
  </conditionalFormatting>
  <conditionalFormatting sqref="D87">
    <cfRule type="cellIs" dxfId="533" priority="124" stopIfTrue="1" operator="lessThanOrEqual">
      <formula>0</formula>
    </cfRule>
  </conditionalFormatting>
  <conditionalFormatting sqref="D90 D92:D98">
    <cfRule type="cellIs" dxfId="532" priority="149" stopIfTrue="1" operator="lessThanOrEqual">
      <formula>0</formula>
    </cfRule>
  </conditionalFormatting>
  <conditionalFormatting sqref="D91">
    <cfRule type="cellIs" dxfId="531" priority="141" stopIfTrue="1" operator="lessThanOrEqual">
      <formula>0</formula>
    </cfRule>
    <cfRule type="cellIs" dxfId="530" priority="140" stopIfTrue="1" operator="greaterThan">
      <formula>$F$90</formula>
    </cfRule>
  </conditionalFormatting>
  <conditionalFormatting sqref="D79:E88">
    <cfRule type="cellIs" dxfId="529" priority="105" stopIfTrue="1" operator="greaterThan">
      <formula>$F79</formula>
    </cfRule>
  </conditionalFormatting>
  <conditionalFormatting sqref="D88:E88">
    <cfRule type="cellIs" dxfId="528" priority="106" stopIfTrue="1" operator="lessThanOrEqual">
      <formula>0</formula>
    </cfRule>
  </conditionalFormatting>
  <conditionalFormatting sqref="E10:E40">
    <cfRule type="cellIs" dxfId="527" priority="18" operator="lessThan">
      <formula>48</formula>
    </cfRule>
  </conditionalFormatting>
  <conditionalFormatting sqref="E68 E69:F69">
    <cfRule type="cellIs" dxfId="526" priority="145" stopIfTrue="1" operator="greaterThan">
      <formula>100</formula>
    </cfRule>
  </conditionalFormatting>
  <conditionalFormatting sqref="E69">
    <cfRule type="cellIs" dxfId="525" priority="143" stopIfTrue="1" operator="greaterThan">
      <formula>100</formula>
    </cfRule>
    <cfRule type="cellIs" dxfId="524" priority="142" stopIfTrue="1" operator="lessThan">
      <formula>96.8</formula>
    </cfRule>
  </conditionalFormatting>
  <conditionalFormatting sqref="E79:E87">
    <cfRule type="cellIs" dxfId="523" priority="119" stopIfTrue="1" operator="lessThanOrEqual">
      <formula>0</formula>
    </cfRule>
  </conditionalFormatting>
  <conditionalFormatting sqref="E90:E98">
    <cfRule type="cellIs" dxfId="522" priority="135" stopIfTrue="1" operator="lessThanOrEqual">
      <formula>0</formula>
    </cfRule>
    <cfRule type="cellIs" dxfId="521" priority="134" stopIfTrue="1" operator="greaterThan">
      <formula>4.5</formula>
    </cfRule>
  </conditionalFormatting>
  <conditionalFormatting sqref="E69:F69 E68">
    <cfRule type="cellIs" dxfId="520" priority="144" stopIfTrue="1" operator="lessThan">
      <formula>96.5</formula>
    </cfRule>
  </conditionalFormatting>
  <conditionalFormatting sqref="F10:F40">
    <cfRule type="cellIs" dxfId="519" priority="19" operator="greaterThan">
      <formula>60</formula>
    </cfRule>
  </conditionalFormatting>
  <conditionalFormatting sqref="F69">
    <cfRule type="cellIs" dxfId="518" priority="160" stopIfTrue="1" operator="lessThan">
      <formula>96.8</formula>
    </cfRule>
    <cfRule type="cellIs" dxfId="517" priority="161" stopIfTrue="1" operator="greaterThan">
      <formula>100</formula>
    </cfRule>
  </conditionalFormatting>
  <conditionalFormatting sqref="F88">
    <cfRule type="cellIs" dxfId="516" priority="120" stopIfTrue="1" operator="greaterThan">
      <formula>$F88</formula>
    </cfRule>
    <cfRule type="cellIs" dxfId="515" priority="121" stopIfTrue="1" operator="lessThanOrEqual">
      <formula>0</formula>
    </cfRule>
  </conditionalFormatting>
  <conditionalFormatting sqref="G79:G80 C85:C87">
    <cfRule type="cellIs" dxfId="514" priority="126" stopIfTrue="1" operator="greaterThan">
      <formula>$F79</formula>
    </cfRule>
    <cfRule type="cellIs" dxfId="513" priority="127" stopIfTrue="1" operator="lessThanOrEqual">
      <formula>0</formula>
    </cfRule>
  </conditionalFormatting>
  <conditionalFormatting sqref="G79:G80">
    <cfRule type="cellIs" dxfId="512" priority="110" stopIfTrue="1" operator="greaterThan">
      <formula>$F79</formula>
    </cfRule>
    <cfRule type="cellIs" dxfId="511" priority="111" stopIfTrue="1" operator="lessThanOrEqual">
      <formula>0</formula>
    </cfRule>
  </conditionalFormatting>
  <conditionalFormatting sqref="G81">
    <cfRule type="cellIs" dxfId="510" priority="165" stopIfTrue="1" operator="lessThanOrEqual">
      <formula>0</formula>
    </cfRule>
    <cfRule type="cellIs" dxfId="509" priority="164" stopIfTrue="1" operator="greaterThan">
      <formula>$F80</formula>
    </cfRule>
  </conditionalFormatting>
  <conditionalFormatting sqref="G82">
    <cfRule type="cellIs" dxfId="508" priority="123" stopIfTrue="1" operator="lessThanOrEqual">
      <formula>0</formula>
    </cfRule>
    <cfRule type="cellIs" dxfId="507" priority="122" stopIfTrue="1" operator="greaterThan">
      <formula>$F82</formula>
    </cfRule>
  </conditionalFormatting>
  <conditionalFormatting sqref="G83:G87">
    <cfRule type="cellIs" dxfId="506" priority="128" stopIfTrue="1" operator="greaterThan">
      <formula>$J83</formula>
    </cfRule>
    <cfRule type="cellIs" dxfId="505" priority="129" stopIfTrue="1" operator="lessThanOrEqual">
      <formula>0</formula>
    </cfRule>
  </conditionalFormatting>
  <conditionalFormatting sqref="G92:G97 C95 C97">
    <cfRule type="cellIs" dxfId="504" priority="157" stopIfTrue="1" operator="greaterThan">
      <formula>4.5</formula>
    </cfRule>
    <cfRule type="cellIs" dxfId="503" priority="158" stopIfTrue="1" operator="lessThanOrEqual">
      <formula>0</formula>
    </cfRule>
  </conditionalFormatting>
  <conditionalFormatting sqref="G10:H40">
    <cfRule type="expression" dxfId="502" priority="20">
      <formula>IF(+(IF(G10&lt;#REF!,0,IF(G10&gt;#REF!,0,1)))=0,1)</formula>
    </cfRule>
  </conditionalFormatting>
  <conditionalFormatting sqref="G91:H91">
    <cfRule type="cellIs" dxfId="501" priority="138" stopIfTrue="1" operator="greaterThan">
      <formula>$F$90</formula>
    </cfRule>
    <cfRule type="cellIs" dxfId="500" priority="139" stopIfTrue="1" operator="lessThanOrEqual">
      <formula>0</formula>
    </cfRule>
  </conditionalFormatting>
  <conditionalFormatting sqref="H54:H68 I55:I67">
    <cfRule type="cellIs" dxfId="499" priority="136" stopIfTrue="1" operator="greaterThan">
      <formula>0</formula>
    </cfRule>
  </conditionalFormatting>
  <conditionalFormatting sqref="H72">
    <cfRule type="cellIs" dxfId="498" priority="73" stopIfTrue="1" operator="lessThanOrEqual">
      <formula>0</formula>
    </cfRule>
    <cfRule type="cellIs" dxfId="497" priority="74" stopIfTrue="1" operator="greaterThan">
      <formula>$F$43</formula>
    </cfRule>
    <cfRule type="cellIs" dxfId="496" priority="75" stopIfTrue="1" operator="lessThanOrEqual">
      <formula>0</formula>
    </cfRule>
    <cfRule type="cellIs" dxfId="495" priority="63" stopIfTrue="1" operator="lessThanOrEqual">
      <formula>0</formula>
    </cfRule>
    <cfRule type="cellIs" dxfId="494" priority="64" stopIfTrue="1" operator="greaterThan">
      <formula>$F$42</formula>
    </cfRule>
    <cfRule type="cellIs" dxfId="493" priority="72" stopIfTrue="1" operator="greaterThan">
      <formula>$F$45</formula>
    </cfRule>
  </conditionalFormatting>
  <conditionalFormatting sqref="H73 H75">
    <cfRule type="cellIs" dxfId="492" priority="91" stopIfTrue="1" operator="lessThanOrEqual">
      <formula>0</formula>
    </cfRule>
    <cfRule type="cellIs" dxfId="491" priority="79" stopIfTrue="1" operator="lessThanOrEqual">
      <formula>0</formula>
    </cfRule>
    <cfRule type="cellIs" dxfId="490" priority="80" stopIfTrue="1" operator="greaterThan">
      <formula>$F$53</formula>
    </cfRule>
    <cfRule type="cellIs" dxfId="489" priority="88" stopIfTrue="1" operator="greaterThan">
      <formula>$F$56</formula>
    </cfRule>
    <cfRule type="cellIs" dxfId="488" priority="89" stopIfTrue="1" operator="lessThanOrEqual">
      <formula>0</formula>
    </cfRule>
    <cfRule type="cellIs" dxfId="487" priority="90" stopIfTrue="1" operator="greaterThan">
      <formula>$F$54</formula>
    </cfRule>
  </conditionalFormatting>
  <conditionalFormatting sqref="H74">
    <cfRule type="cellIs" dxfId="486" priority="13" stopIfTrue="1" operator="greaterThan">
      <formula>$F$40</formula>
    </cfRule>
    <cfRule type="cellIs" dxfId="485" priority="12" stopIfTrue="1" operator="lessThanOrEqual">
      <formula>0</formula>
    </cfRule>
    <cfRule type="cellIs" dxfId="484" priority="3" stopIfTrue="1" operator="greaterThan">
      <formula>$F$39</formula>
    </cfRule>
    <cfRule type="cellIs" dxfId="483" priority="2" stopIfTrue="1" operator="lessThanOrEqual">
      <formula>0</formula>
    </cfRule>
    <cfRule type="cellIs" dxfId="482" priority="11" stopIfTrue="1" operator="greaterThan">
      <formula>$F$42</formula>
    </cfRule>
    <cfRule type="cellIs" dxfId="481" priority="14" stopIfTrue="1" operator="lessThanOrEqual">
      <formula>0</formula>
    </cfRule>
  </conditionalFormatting>
  <conditionalFormatting sqref="H79:H86">
    <cfRule type="cellIs" dxfId="480" priority="112" stopIfTrue="1" operator="greaterThan">
      <formula>$J79</formula>
    </cfRule>
    <cfRule type="cellIs" dxfId="479" priority="113" stopIfTrue="1" operator="lessThanOrEqual">
      <formula>0</formula>
    </cfRule>
  </conditionalFormatting>
  <conditionalFormatting sqref="H87">
    <cfRule type="cellIs" dxfId="478" priority="116" operator="greaterThan">
      <formula>5.3</formula>
    </cfRule>
  </conditionalFormatting>
  <conditionalFormatting sqref="H90 H92:H98">
    <cfRule type="cellIs" dxfId="477" priority="151" stopIfTrue="1" operator="lessThanOrEqual">
      <formula>0</formula>
    </cfRule>
    <cfRule type="cellIs" dxfId="476" priority="150" stopIfTrue="1" operator="greaterThan">
      <formula>4.5</formula>
    </cfRule>
  </conditionalFormatting>
  <conditionalFormatting sqref="H72:I72">
    <cfRule type="cellIs" dxfId="475" priority="62" stopIfTrue="1" operator="greaterThan">
      <formula>$F$44</formula>
    </cfRule>
    <cfRule type="cellIs" dxfId="474" priority="65" stopIfTrue="1" operator="lessThanOrEqual">
      <formula>0</formula>
    </cfRule>
  </conditionalFormatting>
  <conditionalFormatting sqref="H73:I73 H75:I75">
    <cfRule type="cellIs" dxfId="473" priority="78" stopIfTrue="1" operator="greaterThan">
      <formula>$F$55</formula>
    </cfRule>
    <cfRule type="cellIs" dxfId="472" priority="81" stopIfTrue="1" operator="lessThanOrEqual">
      <formula>0</formula>
    </cfRule>
  </conditionalFormatting>
  <conditionalFormatting sqref="H74:I74">
    <cfRule type="cellIs" dxfId="471" priority="4" stopIfTrue="1" operator="lessThanOrEqual">
      <formula>0</formula>
    </cfRule>
    <cfRule type="cellIs" dxfId="470" priority="1" stopIfTrue="1" operator="greaterThan">
      <formula>$F$41</formula>
    </cfRule>
  </conditionalFormatting>
  <conditionalFormatting sqref="H88:I88">
    <cfRule type="cellIs" dxfId="469" priority="103" stopIfTrue="1" operator="greaterThan">
      <formula>$J88</formula>
    </cfRule>
    <cfRule type="cellIs" dxfId="468" priority="104" stopIfTrue="1" operator="lessThanOrEqual">
      <formula>0</formula>
    </cfRule>
  </conditionalFormatting>
  <conditionalFormatting sqref="I72">
    <cfRule type="cellIs" dxfId="467" priority="69" stopIfTrue="1" operator="lessThanOrEqual">
      <formula>0</formula>
    </cfRule>
    <cfRule type="cellIs" dxfId="466" priority="70" stopIfTrue="1" operator="greaterThan">
      <formula>$F$42</formula>
    </cfRule>
    <cfRule type="cellIs" dxfId="465" priority="71" stopIfTrue="1" operator="lessThanOrEqual">
      <formula>0</formula>
    </cfRule>
    <cfRule type="cellIs" dxfId="464" priority="67" stopIfTrue="1" operator="lessThanOrEqual">
      <formula>0</formula>
    </cfRule>
    <cfRule type="cellIs" dxfId="463" priority="66" stopIfTrue="1" operator="greaterThan">
      <formula>$F$42</formula>
    </cfRule>
    <cfRule type="cellIs" dxfId="462" priority="68" stopIfTrue="1" operator="greaterThan">
      <formula>$F$44</formula>
    </cfRule>
  </conditionalFormatting>
  <conditionalFormatting sqref="I73 I75">
    <cfRule type="cellIs" dxfId="461" priority="85" stopIfTrue="1" operator="lessThanOrEqual">
      <formula>0</formula>
    </cfRule>
    <cfRule type="cellIs" dxfId="460" priority="86" stopIfTrue="1" operator="greaterThan">
      <formula>$F$53</formula>
    </cfRule>
    <cfRule type="cellIs" dxfId="459" priority="87" stopIfTrue="1" operator="lessThanOrEqual">
      <formula>0</formula>
    </cfRule>
    <cfRule type="cellIs" dxfId="458" priority="84" stopIfTrue="1" operator="greaterThan">
      <formula>$F$55</formula>
    </cfRule>
    <cfRule type="cellIs" dxfId="457" priority="83" stopIfTrue="1" operator="lessThanOrEqual">
      <formula>0</formula>
    </cfRule>
    <cfRule type="cellIs" dxfId="456" priority="82" stopIfTrue="1" operator="greaterThan">
      <formula>$F$53</formula>
    </cfRule>
  </conditionalFormatting>
  <conditionalFormatting sqref="I74">
    <cfRule type="cellIs" dxfId="455" priority="10" stopIfTrue="1" operator="lessThanOrEqual">
      <formula>0</formula>
    </cfRule>
    <cfRule type="cellIs" dxfId="454" priority="9" stopIfTrue="1" operator="greaterThan">
      <formula>$F$39</formula>
    </cfRule>
    <cfRule type="cellIs" dxfId="453" priority="8" stopIfTrue="1" operator="lessThanOrEqual">
      <formula>0</formula>
    </cfRule>
    <cfRule type="cellIs" dxfId="452" priority="7" stopIfTrue="1" operator="greaterThan">
      <formula>$F$41</formula>
    </cfRule>
    <cfRule type="cellIs" dxfId="451" priority="6" stopIfTrue="1" operator="lessThanOrEqual">
      <formula>0</formula>
    </cfRule>
    <cfRule type="cellIs" dxfId="450" priority="5" stopIfTrue="1" operator="greaterThan">
      <formula>$F$39</formula>
    </cfRule>
  </conditionalFormatting>
  <conditionalFormatting sqref="I79:I87">
    <cfRule type="cellIs" dxfId="449" priority="118" stopIfTrue="1" operator="lessThanOrEqual">
      <formula>0</formula>
    </cfRule>
    <cfRule type="cellIs" dxfId="448" priority="117" stopIfTrue="1" operator="greaterThan">
      <formula>$J79</formula>
    </cfRule>
  </conditionalFormatting>
  <conditionalFormatting sqref="I90:I98">
    <cfRule type="cellIs" dxfId="447" priority="147" stopIfTrue="1" operator="lessThanOrEqual">
      <formula>0</formula>
    </cfRule>
    <cfRule type="cellIs" dxfId="446" priority="146" stopIfTrue="1" operator="greaterThan">
      <formula>4.5</formula>
    </cfRule>
  </conditionalFormatting>
  <conditionalFormatting sqref="I10:J40">
    <cfRule type="cellIs" dxfId="445" priority="23" operator="lessThan">
      <formula>97.9</formula>
    </cfRule>
  </conditionalFormatting>
  <conditionalFormatting sqref="J43:J45">
    <cfRule type="cellIs" dxfId="444" priority="93" stopIfTrue="1" operator="lessThan">
      <formula>96.8</formula>
    </cfRule>
    <cfRule type="cellIs" dxfId="443" priority="94" stopIfTrue="1" operator="greaterThan">
      <formula>100</formula>
    </cfRule>
    <cfRule type="cellIs" dxfId="442" priority="95" operator="lessThan">
      <formula>98</formula>
    </cfRule>
  </conditionalFormatting>
  <conditionalFormatting sqref="J43:J47">
    <cfRule type="cellIs" dxfId="441" priority="92" operator="lessThan">
      <formula>97.4</formula>
    </cfRule>
  </conditionalFormatting>
  <conditionalFormatting sqref="J48">
    <cfRule type="cellIs" dxfId="440" priority="96" operator="lessThan">
      <formula>98</formula>
    </cfRule>
  </conditionalFormatting>
  <conditionalFormatting sqref="J50:J51">
    <cfRule type="cellIs" dxfId="439" priority="97" stopIfTrue="1" operator="lessThan">
      <formula>96.8</formula>
    </cfRule>
    <cfRule type="cellIs" dxfId="438" priority="98" stopIfTrue="1" operator="greaterThan">
      <formula>100</formula>
    </cfRule>
  </conditionalFormatting>
  <conditionalFormatting sqref="J50:J52">
    <cfRule type="cellIs" dxfId="437" priority="99" operator="lessThan">
      <formula>98</formula>
    </cfRule>
  </conditionalFormatting>
  <conditionalFormatting sqref="J88">
    <cfRule type="cellIs" dxfId="436" priority="101" stopIfTrue="1" operator="lessThanOrEqual">
      <formula>0</formula>
    </cfRule>
    <cfRule type="cellIs" dxfId="435" priority="100" stopIfTrue="1" operator="greaterThan">
      <formula>$F88</formula>
    </cfRule>
  </conditionalFormatting>
  <conditionalFormatting sqref="K10:K40">
    <cfRule type="cellIs" dxfId="434" priority="15" operator="lessThan">
      <formula>4</formula>
    </cfRule>
    <cfRule type="cellIs" dxfId="433" priority="22" operator="greaterThan">
      <formula>6.4</formula>
    </cfRule>
    <cfRule type="cellIs" dxfId="432" priority="16" operator="greaterThan">
      <formula>6</formula>
    </cfRule>
  </conditionalFormatting>
  <conditionalFormatting sqref="K72:K75">
    <cfRule type="cellIs" dxfId="431" priority="76" stopIfTrue="1" operator="lessThan">
      <formula>100%</formula>
    </cfRule>
  </conditionalFormatting>
  <conditionalFormatting sqref="K90:K95">
    <cfRule type="cellIs" dxfId="430" priority="152" stopIfTrue="1" operator="lessThan">
      <formula>100%</formula>
    </cfRule>
  </conditionalFormatting>
  <conditionalFormatting sqref="K97:K98">
    <cfRule type="cellIs" dxfId="429" priority="159" stopIfTrue="1" operator="lessThan">
      <formula>100%</formula>
    </cfRule>
  </conditionalFormatting>
  <conditionalFormatting sqref="K79:N82 L83:N83">
    <cfRule type="cellIs" dxfId="428" priority="130" stopIfTrue="1" operator="lessThan">
      <formula>100%</formula>
    </cfRule>
  </conditionalFormatting>
  <conditionalFormatting sqref="K84:N87 L88:N88">
    <cfRule type="cellIs" dxfId="427" priority="102" stopIfTrue="1" operator="lessThan">
      <formula>100%</formula>
    </cfRule>
  </conditionalFormatting>
  <conditionalFormatting sqref="L10:L16 L23:L40">
    <cfRule type="cellIs" dxfId="426" priority="35" operator="between">
      <formula>61</formula>
      <formula>65</formula>
    </cfRule>
    <cfRule type="cellIs" dxfId="425" priority="36" operator="greaterThan">
      <formula>65</formula>
    </cfRule>
  </conditionalFormatting>
  <conditionalFormatting sqref="L17:M22">
    <cfRule type="cellIs" dxfId="424" priority="24" operator="between">
      <formula>61</formula>
      <formula>65</formula>
    </cfRule>
    <cfRule type="cellIs" dxfId="423" priority="25" operator="greaterThan">
      <formula>65</formula>
    </cfRule>
  </conditionalFormatting>
  <conditionalFormatting sqref="L43:M54">
    <cfRule type="cellIs" dxfId="422" priority="107" operator="lessThan">
      <formula>98</formula>
    </cfRule>
  </conditionalFormatting>
  <conditionalFormatting sqref="L58:N58">
    <cfRule type="cellIs" dxfId="421" priority="77" operator="notEqual">
      <formula>#REF!</formula>
    </cfRule>
  </conditionalFormatting>
  <conditionalFormatting sqref="L90:N98">
    <cfRule type="cellIs" dxfId="420" priority="137" stopIfTrue="1" operator="lessThan">
      <formula>100%</formula>
    </cfRule>
  </conditionalFormatting>
  <conditionalFormatting sqref="M10:M40">
    <cfRule type="expression" dxfId="419" priority="21">
      <formula>IF(+(IF(M10&lt;U10,0,IF(M10&gt;V10,0,1)))=0,1)</formula>
    </cfRule>
  </conditionalFormatting>
  <conditionalFormatting sqref="N10:N40">
    <cfRule type="expression" dxfId="418" priority="17">
      <formula>IF(+(IF(N10&lt;W10,0,IF(N10&gt;X10,0,1)))=0,1)</formula>
    </cfRule>
  </conditionalFormatting>
  <conditionalFormatting sqref="P6">
    <cfRule type="cellIs" dxfId="417" priority="133" operator="greaterThanOrEqual">
      <formula>19</formula>
    </cfRule>
  </conditionalFormatting>
  <dataValidations disablePrompts="1" count="1">
    <dataValidation type="list" allowBlank="1" showInputMessage="1" showErrorMessage="1" sqref="R8" xr:uid="{46335E3F-8FCD-4236-B395-5E0550606989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92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D036E-4314-4EBE-8FED-E4E47AA0C8E8}">
  <sheetPr>
    <pageSetUpPr fitToPage="1"/>
  </sheetPr>
  <dimension ref="A1:BE93"/>
  <sheetViews>
    <sheetView topLeftCell="G44" zoomScale="80" zoomScaleNormal="80" workbookViewId="0">
      <selection activeCell="B34" sqref="B34:O34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32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73" t="s">
        <v>0</v>
      </c>
      <c r="T1" s="473"/>
      <c r="U1" s="473" t="s">
        <v>1</v>
      </c>
      <c r="V1" s="473"/>
      <c r="W1" s="473" t="s">
        <v>2</v>
      </c>
      <c r="X1" s="473"/>
      <c r="Y1" s="473" t="s">
        <v>124</v>
      </c>
      <c r="Z1" s="473"/>
    </row>
    <row r="2" spans="2:29" ht="14.4">
      <c r="B2" s="474" t="s">
        <v>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45835</v>
      </c>
      <c r="J4" s="398" t="s">
        <v>172</v>
      </c>
      <c r="K4" s="398"/>
      <c r="L4" s="11"/>
      <c r="M4" s="471" t="s">
        <v>8</v>
      </c>
      <c r="N4" s="472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68"/>
      <c r="D5" s="468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211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81" t="s">
        <v>17</v>
      </c>
      <c r="C8" s="483" t="s">
        <v>18</v>
      </c>
      <c r="D8" s="483" t="s">
        <v>19</v>
      </c>
      <c r="E8" s="356" t="s">
        <v>20</v>
      </c>
      <c r="F8" s="356" t="s">
        <v>21</v>
      </c>
      <c r="G8" s="483" t="s">
        <v>22</v>
      </c>
      <c r="H8" s="485" t="s">
        <v>144</v>
      </c>
      <c r="I8" s="483" t="s">
        <v>197</v>
      </c>
      <c r="J8" s="487" t="s">
        <v>23</v>
      </c>
      <c r="K8" s="489" t="s">
        <v>142</v>
      </c>
      <c r="L8" s="491" t="s">
        <v>24</v>
      </c>
      <c r="M8" s="359" t="s">
        <v>25</v>
      </c>
      <c r="N8" s="17" t="s">
        <v>26</v>
      </c>
      <c r="O8" s="543" t="s">
        <v>155</v>
      </c>
      <c r="P8" s="555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82"/>
      <c r="C9" s="484"/>
      <c r="D9" s="484"/>
      <c r="E9" s="357" t="s">
        <v>30</v>
      </c>
      <c r="F9" s="357" t="s">
        <v>31</v>
      </c>
      <c r="G9" s="484"/>
      <c r="H9" s="486"/>
      <c r="I9" s="484"/>
      <c r="J9" s="488"/>
      <c r="K9" s="490"/>
      <c r="L9" s="492"/>
      <c r="M9" s="20" t="s">
        <v>32</v>
      </c>
      <c r="N9" s="21" t="s">
        <v>41</v>
      </c>
      <c r="O9" s="556"/>
      <c r="P9" s="555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hidden="1" customHeight="1">
      <c r="B10" s="33"/>
      <c r="C10" s="366"/>
      <c r="D10" s="279"/>
      <c r="E10" s="367"/>
      <c r="F10" s="278"/>
      <c r="G10" s="279"/>
      <c r="H10" s="396"/>
      <c r="I10" s="429"/>
      <c r="J10" s="429"/>
      <c r="K10" s="281"/>
      <c r="L10" s="276"/>
      <c r="M10" s="374"/>
      <c r="N10" s="370"/>
      <c r="O10" s="422"/>
      <c r="P10" s="420"/>
      <c r="R10" s="277">
        <f t="shared" ref="R10:R42" si="0">B10</f>
        <v>0</v>
      </c>
      <c r="S10" s="296" t="e">
        <f t="shared" ref="S10:S42" si="1">VLOOKUP($B10,$R$3:$X$9,2,FALSE)</f>
        <v>#N/A</v>
      </c>
      <c r="T10" s="296" t="e">
        <f t="shared" ref="T10:T42" si="2">VLOOKUP($B10,$R$3:$X$9,3,FALSE)</f>
        <v>#N/A</v>
      </c>
      <c r="U10" s="297" t="e">
        <f t="shared" ref="U10:U42" si="3">VLOOKUP($B10,$R$3:$X$9,4,FALSE)</f>
        <v>#N/A</v>
      </c>
      <c r="V10" s="297" t="e">
        <f t="shared" ref="V10:V42" si="4">VLOOKUP($B10,$R$3:$X$9,5,FALSE)</f>
        <v>#N/A</v>
      </c>
      <c r="W10" s="297" t="e">
        <f t="shared" ref="W10:W42" si="5">VLOOKUP($B10,$R$3:$X$9,6,FALSE)</f>
        <v>#N/A</v>
      </c>
      <c r="X10" s="297" t="e">
        <f t="shared" ref="X10:X42" si="6">VLOOKUP($B10,$R$3:$X$9,7,FALSE)</f>
        <v>#N/A</v>
      </c>
      <c r="Y10" s="297" t="e">
        <f t="shared" ref="Y10:Y42" si="7">VLOOKUP($B10,$R$3:$Z$9,8,FALSE)</f>
        <v>#N/A</v>
      </c>
      <c r="Z10" s="296" t="e">
        <f t="shared" ref="Z10:Z42" si="8">VLOOKUP($B10,$R$3:$Z$9,9,FALSE)</f>
        <v>#N/A</v>
      </c>
    </row>
    <row r="11" spans="2:29" ht="15.75" hidden="1" customHeight="1">
      <c r="B11" s="33"/>
      <c r="C11" s="366"/>
      <c r="D11" s="279"/>
      <c r="E11" s="367"/>
      <c r="F11" s="278"/>
      <c r="G11" s="279"/>
      <c r="H11" s="396"/>
      <c r="I11" s="429"/>
      <c r="J11" s="429"/>
      <c r="K11" s="281"/>
      <c r="L11" s="276"/>
      <c r="M11" s="374"/>
      <c r="N11" s="370"/>
      <c r="O11" s="422"/>
      <c r="P11" s="420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5.75" hidden="1" customHeight="1">
      <c r="B12" s="33"/>
      <c r="C12" s="366"/>
      <c r="D12" s="279"/>
      <c r="E12" s="367"/>
      <c r="F12" s="278"/>
      <c r="G12" s="279"/>
      <c r="H12" s="396"/>
      <c r="I12" s="429"/>
      <c r="J12" s="429"/>
      <c r="K12" s="281"/>
      <c r="L12" s="276"/>
      <c r="M12" s="374"/>
      <c r="N12" s="370"/>
      <c r="O12" s="422"/>
      <c r="P12" s="420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5.75" hidden="1" customHeight="1">
      <c r="B13" s="33"/>
      <c r="C13" s="366"/>
      <c r="D13" s="279"/>
      <c r="E13" s="367"/>
      <c r="F13" s="278"/>
      <c r="G13" s="279"/>
      <c r="H13" s="396"/>
      <c r="I13" s="429"/>
      <c r="J13" s="429"/>
      <c r="K13" s="281"/>
      <c r="L13" s="276"/>
      <c r="M13" s="374"/>
      <c r="N13" s="370"/>
      <c r="O13" s="422"/>
      <c r="P13" s="420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33"/>
      <c r="C14" s="366"/>
      <c r="D14" s="279"/>
      <c r="E14" s="367"/>
      <c r="F14" s="278"/>
      <c r="G14" s="279"/>
      <c r="H14" s="396"/>
      <c r="I14" s="429"/>
      <c r="J14" s="429"/>
      <c r="K14" s="281"/>
      <c r="L14" s="276"/>
      <c r="M14" s="374"/>
      <c r="N14" s="370"/>
      <c r="O14" s="422"/>
      <c r="P14" s="420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33"/>
      <c r="C15" s="366"/>
      <c r="D15" s="279"/>
      <c r="E15" s="367"/>
      <c r="F15" s="278"/>
      <c r="G15" s="279"/>
      <c r="H15" s="396"/>
      <c r="I15" s="429"/>
      <c r="J15" s="429"/>
      <c r="K15" s="281"/>
      <c r="L15" s="276"/>
      <c r="M15" s="374"/>
      <c r="N15" s="370"/>
      <c r="O15" s="422"/>
      <c r="P15" s="420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33"/>
      <c r="C16" s="366"/>
      <c r="D16" s="279"/>
      <c r="E16" s="367"/>
      <c r="F16" s="278"/>
      <c r="G16" s="279"/>
      <c r="H16" s="396"/>
      <c r="I16" s="429"/>
      <c r="J16" s="429"/>
      <c r="K16" s="281"/>
      <c r="L16" s="276"/>
      <c r="M16" s="374"/>
      <c r="N16" s="370"/>
      <c r="O16" s="422"/>
      <c r="P16" s="420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hidden="1" customHeight="1">
      <c r="B17" s="33"/>
      <c r="C17" s="366"/>
      <c r="D17" s="279"/>
      <c r="E17" s="367"/>
      <c r="F17" s="278"/>
      <c r="G17" s="279"/>
      <c r="H17" s="396"/>
      <c r="I17" s="429"/>
      <c r="J17" s="429"/>
      <c r="K17" s="281"/>
      <c r="L17" s="276"/>
      <c r="M17" s="374"/>
      <c r="N17" s="370"/>
      <c r="O17" s="422"/>
      <c r="P17" s="420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hidden="1" customHeight="1">
      <c r="B18" s="33"/>
      <c r="C18" s="366"/>
      <c r="D18" s="279"/>
      <c r="E18" s="367"/>
      <c r="F18" s="278"/>
      <c r="G18" s="279"/>
      <c r="H18" s="396"/>
      <c r="I18" s="429"/>
      <c r="J18" s="429"/>
      <c r="K18" s="281"/>
      <c r="L18" s="276"/>
      <c r="M18" s="374"/>
      <c r="N18" s="370"/>
      <c r="O18" s="422"/>
      <c r="P18" s="420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hidden="1" customHeight="1">
      <c r="B19" s="33"/>
      <c r="C19" s="366"/>
      <c r="D19" s="279"/>
      <c r="E19" s="367"/>
      <c r="F19" s="278"/>
      <c r="G19" s="279"/>
      <c r="H19" s="396"/>
      <c r="I19" s="429"/>
      <c r="J19" s="429"/>
      <c r="K19" s="281"/>
      <c r="L19" s="276"/>
      <c r="M19" s="374"/>
      <c r="N19" s="370"/>
      <c r="O19" s="422"/>
      <c r="P19" s="420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33"/>
      <c r="C20" s="366"/>
      <c r="D20" s="279"/>
      <c r="E20" s="367"/>
      <c r="F20" s="278"/>
      <c r="G20" s="279"/>
      <c r="H20" s="396"/>
      <c r="I20" s="429"/>
      <c r="J20" s="429"/>
      <c r="K20" s="281"/>
      <c r="L20" s="276"/>
      <c r="M20" s="374"/>
      <c r="N20" s="370"/>
      <c r="O20" s="422"/>
      <c r="P20" s="420"/>
      <c r="R20" s="277"/>
      <c r="S20" s="296"/>
      <c r="T20" s="296"/>
      <c r="U20" s="297"/>
      <c r="V20" s="297"/>
      <c r="W20" s="297"/>
      <c r="X20" s="297"/>
      <c r="Y20" s="297"/>
      <c r="Z20" s="296"/>
    </row>
    <row r="21" spans="2:26" ht="15.75" hidden="1" customHeight="1">
      <c r="B21" s="33"/>
      <c r="C21" s="366"/>
      <c r="D21" s="279"/>
      <c r="E21" s="367"/>
      <c r="F21" s="278"/>
      <c r="G21" s="279"/>
      <c r="H21" s="396"/>
      <c r="I21" s="429"/>
      <c r="J21" s="429"/>
      <c r="K21" s="281"/>
      <c r="L21" s="276"/>
      <c r="M21" s="374"/>
      <c r="N21" s="370"/>
      <c r="O21" s="422"/>
      <c r="P21" s="420"/>
      <c r="R21" s="277"/>
      <c r="S21" s="296"/>
      <c r="T21" s="296"/>
      <c r="U21" s="297"/>
      <c r="V21" s="297"/>
      <c r="W21" s="297"/>
      <c r="X21" s="297"/>
      <c r="Y21" s="297"/>
      <c r="Z21" s="296"/>
    </row>
    <row r="22" spans="2:26" ht="15.75" customHeight="1">
      <c r="B22" s="33" t="s">
        <v>9</v>
      </c>
      <c r="C22" s="366" t="str">
        <f>[25]Brewhouse!$A266</f>
        <v>ST247</v>
      </c>
      <c r="D22" s="279">
        <f>[25]Brewhouse!$AD266</f>
        <v>50.2</v>
      </c>
      <c r="E22" s="279">
        <f>[25]Brewhouse!$AG266</f>
        <v>49.4</v>
      </c>
      <c r="F22" s="278">
        <f>[25]Brewhouse!$V266</f>
        <v>60</v>
      </c>
      <c r="G22" s="446">
        <f>[25]Brewhouse!$AE266</f>
        <v>12.1</v>
      </c>
      <c r="H22" s="396">
        <v>12.1</v>
      </c>
      <c r="I22" s="429">
        <f>[25]Brewhouse!$AS266</f>
        <v>98.920822376514678</v>
      </c>
      <c r="J22" s="429">
        <f>[25]Brewhouse!$AT266</f>
        <v>100.8156834719544</v>
      </c>
      <c r="K22" s="392">
        <f>[25]Brewhouse!$Q266</f>
        <v>11.829944547134932</v>
      </c>
      <c r="L22" s="276">
        <f>[25]Brewhouse!$P266</f>
        <v>60</v>
      </c>
      <c r="M22" s="374">
        <f>[25]Brewhouse!$U266-[25]Brewhouse!$T266</f>
        <v>0.11319444444444446</v>
      </c>
      <c r="N22" s="370">
        <f>[25]Brewhouse!$AW266</f>
        <v>0.24097222222222223</v>
      </c>
      <c r="O22" s="422" t="str">
        <f>[25]Brewhouse!$AV266</f>
        <v>R. Regis</v>
      </c>
      <c r="P22" s="420"/>
      <c r="R22" s="277" t="str">
        <f t="shared" ref="R22:R23" si="9">B22</f>
        <v>STAG</v>
      </c>
      <c r="S22" s="296">
        <f t="shared" si="1"/>
        <v>11.6</v>
      </c>
      <c r="T22" s="296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296">
        <f t="shared" si="8"/>
        <v>60</v>
      </c>
    </row>
    <row r="23" spans="2:26" ht="20.399999999999999" customHeight="1">
      <c r="B23" s="33" t="s">
        <v>9</v>
      </c>
      <c r="C23" s="366" t="str">
        <f>[25]Brewhouse!$A267</f>
        <v>ST248</v>
      </c>
      <c r="D23" s="279">
        <f>[25]Brewhouse!$AD267</f>
        <v>49.3</v>
      </c>
      <c r="E23" s="279">
        <f>[25]Brewhouse!$AG267</f>
        <v>48.7</v>
      </c>
      <c r="F23" s="278">
        <f>[25]Brewhouse!$V267</f>
        <v>61</v>
      </c>
      <c r="G23" s="279">
        <f>[25]Brewhouse!$AE267</f>
        <v>11.8</v>
      </c>
      <c r="H23" s="396">
        <v>11.8</v>
      </c>
      <c r="I23" s="429">
        <f>[25]Brewhouse!$AS267</f>
        <v>95.218043199829722</v>
      </c>
      <c r="J23" s="429">
        <f>[25]Brewhouse!$AT267</f>
        <v>97.040782390036384</v>
      </c>
      <c r="K23" s="392">
        <f>[25]Brewhouse!$Q267</f>
        <v>12.014787430683919</v>
      </c>
      <c r="L23" s="276">
        <f>[25]Brewhouse!$P267</f>
        <v>60</v>
      </c>
      <c r="M23" s="374">
        <f>[25]Brewhouse!$U267-[25]Brewhouse!$T267</f>
        <v>0.10833333333333334</v>
      </c>
      <c r="N23" s="370">
        <f>[25]Brewhouse!$AW267</f>
        <v>0.23680555555555557</v>
      </c>
      <c r="O23" s="422" t="str">
        <f>[25]Brewhouse!$AV267</f>
        <v>D. Gomaz</v>
      </c>
      <c r="P23" s="420"/>
      <c r="R23" s="277" t="str">
        <f t="shared" si="9"/>
        <v>STAG</v>
      </c>
      <c r="S23" s="296">
        <f t="shared" si="1"/>
        <v>11.6</v>
      </c>
      <c r="T23" s="296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296">
        <f t="shared" si="8"/>
        <v>60</v>
      </c>
    </row>
    <row r="24" spans="2:26" ht="15.75" customHeight="1">
      <c r="B24" s="33" t="s">
        <v>9</v>
      </c>
      <c r="C24" s="366" t="str">
        <f>[25]Brewhouse!$A268</f>
        <v>ST249</v>
      </c>
      <c r="D24" s="279">
        <f>[25]Brewhouse!$AD268</f>
        <v>52.1</v>
      </c>
      <c r="E24" s="279">
        <f>[25]Brewhouse!$AG268</f>
        <v>51.2</v>
      </c>
      <c r="F24" s="278">
        <f>[25]Brewhouse!$V268</f>
        <v>64</v>
      </c>
      <c r="G24" s="446">
        <f>[25]Brewhouse!$AE268</f>
        <v>12.1</v>
      </c>
      <c r="H24" s="396">
        <v>12.1</v>
      </c>
      <c r="I24" s="429">
        <f>[25]Brewhouse!$AS268</f>
        <v>102.91252288333963</v>
      </c>
      <c r="J24" s="429">
        <f>[25]Brewhouse!$AT268</f>
        <v>104.8819082588553</v>
      </c>
      <c r="K24" s="392">
        <f>[25]Brewhouse!$Q268</f>
        <v>10.634328358208959</v>
      </c>
      <c r="L24" s="276">
        <f>[25]Brewhouse!$P268</f>
        <v>61</v>
      </c>
      <c r="M24" s="374">
        <f>[25]Brewhouse!$U268-[25]Brewhouse!$T268</f>
        <v>0.11180555555555555</v>
      </c>
      <c r="N24" s="370">
        <f>[25]Brewhouse!$AW268</f>
        <v>0.23888888888888887</v>
      </c>
      <c r="O24" s="422" t="str">
        <f>[25]Brewhouse!$AV268</f>
        <v>D. Gomaz</v>
      </c>
      <c r="P24" s="420"/>
      <c r="R24" s="277" t="str">
        <f t="shared" ref="R24:R25" si="10">B24</f>
        <v>STAG</v>
      </c>
      <c r="S24" s="296">
        <f t="shared" si="1"/>
        <v>11.6</v>
      </c>
      <c r="T24" s="296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296">
        <f t="shared" si="8"/>
        <v>60</v>
      </c>
    </row>
    <row r="25" spans="2:26" ht="15.75" customHeight="1">
      <c r="B25" s="33" t="s">
        <v>9</v>
      </c>
      <c r="C25" s="366" t="str">
        <f>[25]Brewhouse!$A269</f>
        <v>ST250</v>
      </c>
      <c r="D25" s="279">
        <f>[25]Brewhouse!$AD269</f>
        <v>51.1</v>
      </c>
      <c r="E25" s="279">
        <f>[25]Brewhouse!$AG269</f>
        <v>51</v>
      </c>
      <c r="F25" s="278">
        <f>[25]Brewhouse!$V269</f>
        <v>64</v>
      </c>
      <c r="G25" s="279">
        <f>[25]Brewhouse!$AE269</f>
        <v>11.8</v>
      </c>
      <c r="H25" s="396">
        <v>11.8</v>
      </c>
      <c r="I25" s="429">
        <f>[25]Brewhouse!$AS269</f>
        <v>99.840554631081304</v>
      </c>
      <c r="J25" s="429">
        <f>[25]Brewhouse!$AT269</f>
        <v>101.7511532896791</v>
      </c>
      <c r="K25" s="392">
        <f>[25]Brewhouse!$Q269</f>
        <v>11.829944547134932</v>
      </c>
      <c r="L25" s="276">
        <f>[25]Brewhouse!$P269</f>
        <v>60</v>
      </c>
      <c r="M25" s="374">
        <f>[25]Brewhouse!$U269-[25]Brewhouse!$T269</f>
        <v>0.11249999999999999</v>
      </c>
      <c r="N25" s="370">
        <f>[25]Brewhouse!$AW269</f>
        <v>0.23819444444444443</v>
      </c>
      <c r="O25" s="422" t="str">
        <f>[25]Brewhouse!$AV269</f>
        <v>D. Gomaz</v>
      </c>
      <c r="P25" s="420"/>
      <c r="R25" s="277" t="str">
        <f t="shared" si="10"/>
        <v>STAG</v>
      </c>
      <c r="S25" s="296">
        <f t="shared" si="1"/>
        <v>11.6</v>
      </c>
      <c r="T25" s="296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296">
        <f t="shared" si="8"/>
        <v>60</v>
      </c>
    </row>
    <row r="26" spans="2:26" ht="15.75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392"/>
      <c r="L26" s="276"/>
      <c r="M26" s="397"/>
      <c r="N26" s="370"/>
      <c r="O26" s="371"/>
      <c r="P26" s="420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392"/>
      <c r="L27" s="276"/>
      <c r="M27" s="397"/>
      <c r="N27" s="370"/>
      <c r="O27" s="371"/>
      <c r="P27" s="420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customHeight="1">
      <c r="B28" s="29" t="s">
        <v>6</v>
      </c>
      <c r="C28" s="366" t="str">
        <f>[24]Brewhouse!$A550</f>
        <v>CA444</v>
      </c>
      <c r="D28" s="279">
        <f>[24]Brewhouse!$AF550</f>
        <v>45.8</v>
      </c>
      <c r="E28" s="279">
        <f>[24]Brewhouse!$AI550</f>
        <v>49.3</v>
      </c>
      <c r="F28" s="278">
        <f>[24]Brewhouse!$V550</f>
        <v>55</v>
      </c>
      <c r="G28" s="279">
        <f>[24]Brewhouse!$AG550</f>
        <v>11.7</v>
      </c>
      <c r="H28" s="396">
        <v>11.7</v>
      </c>
      <c r="I28" s="368">
        <f>[24]Brewhouse!$AU550</f>
        <v>103.6522838624015</v>
      </c>
      <c r="J28" s="368">
        <f>[24]Brewhouse!$AV550</f>
        <v>105.93049711005014</v>
      </c>
      <c r="K28" s="392">
        <f>[24]Brewhouse!$Q550</f>
        <v>11.607843137254905</v>
      </c>
      <c r="L28" s="276">
        <f>[24]Brewhouse!$P550</f>
        <v>60</v>
      </c>
      <c r="M28" s="397">
        <f>[24]Brewhouse!$U550-[24]Brewhouse!$T550</f>
        <v>0.11180555555555549</v>
      </c>
      <c r="N28" s="370">
        <f>[24]Brewhouse!$Z550</f>
        <v>0.24166666666666664</v>
      </c>
      <c r="O28" s="371" t="str">
        <f>[24]Brewhouse!$AX550</f>
        <v>D. Gomez</v>
      </c>
      <c r="P28" s="420"/>
      <c r="R28" s="277" t="str">
        <f t="shared" si="0"/>
        <v>CARIB</v>
      </c>
      <c r="S28" s="296">
        <f t="shared" si="1"/>
        <v>11.6</v>
      </c>
      <c r="T28" s="296">
        <f t="shared" si="2"/>
        <v>12</v>
      </c>
      <c r="U28" s="297">
        <f t="shared" si="3"/>
        <v>0</v>
      </c>
      <c r="V28" s="297">
        <f t="shared" si="4"/>
        <v>0.118055555555556</v>
      </c>
      <c r="W28" s="297">
        <f t="shared" si="5"/>
        <v>0.22569444444444445</v>
      </c>
      <c r="X28" s="297">
        <f t="shared" si="6"/>
        <v>0.2638888888888889</v>
      </c>
      <c r="Y28" s="297">
        <f t="shared" si="7"/>
        <v>0</v>
      </c>
      <c r="Z28" s="296">
        <f t="shared" si="8"/>
        <v>60</v>
      </c>
    </row>
    <row r="29" spans="2:26" ht="15.75" customHeight="1">
      <c r="B29" s="29" t="s">
        <v>6</v>
      </c>
      <c r="C29" s="366" t="str">
        <f>[24]Brewhouse!$A551</f>
        <v>CA445</v>
      </c>
      <c r="D29" s="279">
        <f>[24]Brewhouse!$AF551</f>
        <v>53.1</v>
      </c>
      <c r="E29" s="279">
        <f>[24]Brewhouse!$AI551</f>
        <v>51.6</v>
      </c>
      <c r="F29" s="278">
        <f>[24]Brewhouse!$V551</f>
        <v>61</v>
      </c>
      <c r="G29" s="279">
        <f>[24]Brewhouse!$AG551</f>
        <v>11.7</v>
      </c>
      <c r="H29" s="396">
        <v>11.8</v>
      </c>
      <c r="I29" s="368">
        <f>[24]Brewhouse!$AU551</f>
        <v>98.416232687970393</v>
      </c>
      <c r="J29" s="368">
        <f>[24]Brewhouse!$AV551</f>
        <v>100.59929293108476</v>
      </c>
      <c r="K29" s="392">
        <f>[24]Brewhouse!$Q551</f>
        <v>8.354430379746832</v>
      </c>
      <c r="L29" s="276">
        <f>[24]Brewhouse!$P551</f>
        <v>61</v>
      </c>
      <c r="M29" s="397">
        <f>[24]Brewhouse!$U551-[24]Brewhouse!$T551</f>
        <v>0.11319444444444438</v>
      </c>
      <c r="N29" s="370">
        <f>[24]Brewhouse!$Z551</f>
        <v>0.24236111111111103</v>
      </c>
      <c r="O29" s="371" t="str">
        <f>[24]Brewhouse!$AX551</f>
        <v>R. Sookram</v>
      </c>
      <c r="P29" s="420"/>
      <c r="R29" s="277" t="str">
        <f t="shared" si="0"/>
        <v>CARIB</v>
      </c>
      <c r="S29" s="296">
        <f t="shared" si="1"/>
        <v>11.6</v>
      </c>
      <c r="T29" s="296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296">
        <f t="shared" si="8"/>
        <v>60</v>
      </c>
    </row>
    <row r="30" spans="2:26" ht="15.75" customHeight="1">
      <c r="B30" s="29" t="s">
        <v>6</v>
      </c>
      <c r="C30" s="366" t="str">
        <f>[24]Brewhouse!$A552</f>
        <v>CA446</v>
      </c>
      <c r="D30" s="279">
        <f>[24]Brewhouse!$AF552</f>
        <v>52.2</v>
      </c>
      <c r="E30" s="279">
        <f>[24]Brewhouse!$AI552</f>
        <v>50.2</v>
      </c>
      <c r="F30" s="278">
        <f>[24]Brewhouse!$V552</f>
        <v>57</v>
      </c>
      <c r="G30" s="279">
        <f>[24]Brewhouse!$AG552</f>
        <v>11.88</v>
      </c>
      <c r="H30" s="396">
        <v>11.8</v>
      </c>
      <c r="I30" s="368">
        <f>[24]Brewhouse!$AU552</f>
        <v>97.710255322201732</v>
      </c>
      <c r="J30" s="368">
        <f>[24]Brewhouse!$AV552</f>
        <v>99.877175636155542</v>
      </c>
      <c r="K30" s="392">
        <f>[24]Brewhouse!$Q552</f>
        <v>11.642857142857135</v>
      </c>
      <c r="L30" s="276">
        <f>[24]Brewhouse!$P552</f>
        <v>57</v>
      </c>
      <c r="M30" s="397">
        <f>[24]Brewhouse!$U552-[24]Brewhouse!$T552</f>
        <v>9.9999999999999978E-2</v>
      </c>
      <c r="N30" s="370">
        <f>[24]Brewhouse!$Z552</f>
        <v>0.24861111111111112</v>
      </c>
      <c r="O30" s="371" t="str">
        <f>[24]Brewhouse!$AX552</f>
        <v>R. Sookram</v>
      </c>
      <c r="P30" s="420"/>
      <c r="R30" s="277" t="str">
        <f t="shared" si="0"/>
        <v>CARIB</v>
      </c>
      <c r="S30" s="296">
        <f t="shared" si="1"/>
        <v>11.6</v>
      </c>
      <c r="T30" s="296">
        <f t="shared" si="2"/>
        <v>12</v>
      </c>
      <c r="U30" s="297">
        <f t="shared" si="3"/>
        <v>0</v>
      </c>
      <c r="V30" s="297">
        <f t="shared" si="4"/>
        <v>0.118055555555556</v>
      </c>
      <c r="W30" s="297">
        <f t="shared" si="5"/>
        <v>0.22569444444444445</v>
      </c>
      <c r="X30" s="297">
        <f t="shared" si="6"/>
        <v>0.2638888888888889</v>
      </c>
      <c r="Y30" s="297">
        <f t="shared" si="7"/>
        <v>0</v>
      </c>
      <c r="Z30" s="296">
        <f t="shared" si="8"/>
        <v>60</v>
      </c>
    </row>
    <row r="31" spans="2:26" ht="15.75" customHeight="1">
      <c r="B31" s="29" t="s">
        <v>6</v>
      </c>
      <c r="C31" s="366" t="str">
        <f>[24]Brewhouse!$A553</f>
        <v>CA447</v>
      </c>
      <c r="D31" s="279">
        <f>[24]Brewhouse!$AF553</f>
        <v>54.2</v>
      </c>
      <c r="E31" s="279">
        <f>[24]Brewhouse!$AI553</f>
        <v>52.8</v>
      </c>
      <c r="F31" s="278">
        <f>[24]Brewhouse!$V553</f>
        <v>66</v>
      </c>
      <c r="G31" s="279">
        <f>[24]Brewhouse!$AG553</f>
        <v>11.8</v>
      </c>
      <c r="H31" s="396">
        <v>11.8</v>
      </c>
      <c r="I31" s="368">
        <f>[24]Brewhouse!$AU553</f>
        <v>100.99146882475272</v>
      </c>
      <c r="J31" s="368">
        <f>[24]Brewhouse!$AV553</f>
        <v>103.35392260458175</v>
      </c>
      <c r="K31" s="392">
        <f>[24]Brewhouse!$Q553</f>
        <v>6.870503597122303</v>
      </c>
      <c r="L31" s="276">
        <f>[24]Brewhouse!$P553</f>
        <v>58</v>
      </c>
      <c r="M31" s="397">
        <f>[24]Brewhouse!$U553-[24]Brewhouse!$T553</f>
        <v>0.11319444444444449</v>
      </c>
      <c r="N31" s="370">
        <f>[24]Brewhouse!$Z553</f>
        <v>0.27361111111111114</v>
      </c>
      <c r="O31" s="371" t="str">
        <f>[24]Brewhouse!$AX553</f>
        <v>R. Sookram</v>
      </c>
      <c r="P31" s="447" t="s">
        <v>212</v>
      </c>
      <c r="R31" s="277" t="str">
        <f t="shared" si="0"/>
        <v>CARIB</v>
      </c>
      <c r="S31" s="296">
        <f t="shared" si="1"/>
        <v>11.6</v>
      </c>
      <c r="T31" s="296">
        <f t="shared" si="2"/>
        <v>12</v>
      </c>
      <c r="U31" s="297">
        <f t="shared" si="3"/>
        <v>0</v>
      </c>
      <c r="V31" s="297">
        <f t="shared" si="4"/>
        <v>0.118055555555556</v>
      </c>
      <c r="W31" s="297">
        <f t="shared" si="5"/>
        <v>0.22569444444444445</v>
      </c>
      <c r="X31" s="297">
        <f t="shared" si="6"/>
        <v>0.2638888888888889</v>
      </c>
      <c r="Y31" s="297">
        <f t="shared" si="7"/>
        <v>0</v>
      </c>
      <c r="Z31" s="296">
        <f t="shared" si="8"/>
        <v>60</v>
      </c>
    </row>
    <row r="32" spans="2:26" ht="15.75" customHeight="1">
      <c r="B32" s="29" t="s">
        <v>6</v>
      </c>
      <c r="C32" s="366" t="str">
        <f>[24]Brewhouse!$A554</f>
        <v>CA448</v>
      </c>
      <c r="D32" s="279">
        <f>[24]Brewhouse!$AF554</f>
        <v>52.5</v>
      </c>
      <c r="E32" s="279">
        <f>[24]Brewhouse!$AI554</f>
        <v>50.8</v>
      </c>
      <c r="F32" s="278">
        <f>[24]Brewhouse!$V554</f>
        <v>65</v>
      </c>
      <c r="G32" s="279">
        <f>[24]Brewhouse!$AG554</f>
        <v>11.73</v>
      </c>
      <c r="H32" s="396">
        <v>11.8</v>
      </c>
      <c r="I32" s="368">
        <f>[24]Brewhouse!$AU554</f>
        <v>96.949674647987464</v>
      </c>
      <c r="J32" s="368">
        <f>[24]Brewhouse!$AV554</f>
        <v>99.435893793674239</v>
      </c>
      <c r="K32" s="392">
        <f>[24]Brewhouse!$Q554</f>
        <v>7.5357142857142829</v>
      </c>
      <c r="L32" s="276">
        <f>[24]Brewhouse!$P554</f>
        <v>60</v>
      </c>
      <c r="M32" s="397">
        <f>[24]Brewhouse!$U554-[24]Brewhouse!$T554</f>
        <v>0.1069444444444444</v>
      </c>
      <c r="N32" s="370">
        <f>[24]Brewhouse!$Z554</f>
        <v>0.24652777777777768</v>
      </c>
      <c r="O32" s="371" t="str">
        <f>[24]Brewhouse!$AX554</f>
        <v>R. Regis</v>
      </c>
      <c r="P32" s="420"/>
      <c r="R32" s="277" t="str">
        <f t="shared" si="0"/>
        <v>CARIB</v>
      </c>
      <c r="S32" s="296">
        <f t="shared" si="1"/>
        <v>11.6</v>
      </c>
      <c r="T32" s="296">
        <f t="shared" si="2"/>
        <v>12</v>
      </c>
      <c r="U32" s="297">
        <f t="shared" si="3"/>
        <v>0</v>
      </c>
      <c r="V32" s="297">
        <f t="shared" si="4"/>
        <v>0.118055555555556</v>
      </c>
      <c r="W32" s="297">
        <f t="shared" si="5"/>
        <v>0.22569444444444445</v>
      </c>
      <c r="X32" s="297">
        <f t="shared" si="6"/>
        <v>0.2638888888888889</v>
      </c>
      <c r="Y32" s="297">
        <f t="shared" si="7"/>
        <v>0</v>
      </c>
      <c r="Z32" s="296">
        <f t="shared" si="8"/>
        <v>60</v>
      </c>
    </row>
    <row r="33" spans="1:27" ht="15.75" customHeight="1">
      <c r="B33" s="29" t="s">
        <v>6</v>
      </c>
      <c r="C33" s="366" t="str">
        <f>[24]Brewhouse!$A555</f>
        <v>CA449</v>
      </c>
      <c r="D33" s="279">
        <f>[24]Brewhouse!$AF555</f>
        <v>53.5</v>
      </c>
      <c r="E33" s="279">
        <f>[24]Brewhouse!$AI555</f>
        <v>51.9</v>
      </c>
      <c r="F33" s="278">
        <f>[24]Brewhouse!$V555</f>
        <v>67</v>
      </c>
      <c r="G33" s="279">
        <f>[24]Brewhouse!$AG555</f>
        <v>11.96</v>
      </c>
      <c r="H33" s="396">
        <v>11.6</v>
      </c>
      <c r="I33" s="368">
        <f>[24]Brewhouse!$AU555</f>
        <v>101.72160029026291</v>
      </c>
      <c r="J33" s="368">
        <f>[24]Brewhouse!$AV555</f>
        <v>104.3301927490804</v>
      </c>
      <c r="K33" s="392">
        <f>[24]Brewhouse!$Q555</f>
        <v>6.184448462929466</v>
      </c>
      <c r="L33" s="276">
        <f>[24]Brewhouse!$P555</f>
        <v>60</v>
      </c>
      <c r="M33" s="397">
        <f>[24]Brewhouse!$U555-[24]Brewhouse!$T555</f>
        <v>0.11250000000000004</v>
      </c>
      <c r="N33" s="370">
        <f>[24]Brewhouse!$Z555</f>
        <v>0.25277777777777777</v>
      </c>
      <c r="O33" s="371" t="str">
        <f>[24]Brewhouse!$AX555</f>
        <v>R. Regis</v>
      </c>
      <c r="P33" s="420"/>
      <c r="R33" s="277" t="str">
        <f t="shared" si="0"/>
        <v>CARIB</v>
      </c>
      <c r="S33" s="296">
        <f t="shared" si="1"/>
        <v>11.6</v>
      </c>
      <c r="T33" s="296">
        <f t="shared" si="2"/>
        <v>12</v>
      </c>
      <c r="U33" s="297">
        <f t="shared" si="3"/>
        <v>0</v>
      </c>
      <c r="V33" s="297">
        <f t="shared" si="4"/>
        <v>0.118055555555556</v>
      </c>
      <c r="W33" s="297">
        <f t="shared" si="5"/>
        <v>0.22569444444444445</v>
      </c>
      <c r="X33" s="297">
        <f t="shared" si="6"/>
        <v>0.2638888888888889</v>
      </c>
      <c r="Y33" s="297">
        <f t="shared" si="7"/>
        <v>0</v>
      </c>
      <c r="Z33" s="296">
        <f t="shared" si="8"/>
        <v>60</v>
      </c>
    </row>
    <row r="34" spans="1:27" ht="15.75" customHeight="1">
      <c r="B34" s="29" t="s">
        <v>6</v>
      </c>
      <c r="C34" s="366" t="str">
        <f>[24]Brewhouse!$A556</f>
        <v>CA450</v>
      </c>
      <c r="D34" s="279">
        <f>[24]Brewhouse!$AF556</f>
        <v>51.3</v>
      </c>
      <c r="E34" s="279">
        <f>[24]Brewhouse!$AI556</f>
        <v>50.4</v>
      </c>
      <c r="F34" s="278">
        <f>[24]Brewhouse!$V556</f>
        <v>59</v>
      </c>
      <c r="G34" s="279">
        <f>[24]Brewhouse!$AG556</f>
        <v>11.85</v>
      </c>
      <c r="H34" s="396">
        <v>11.9</v>
      </c>
      <c r="I34" s="368">
        <f>[24]Brewhouse!$AU556</f>
        <v>97.553132584643137</v>
      </c>
      <c r="J34" s="368">
        <f>[24]Brewhouse!$AV556</f>
        <v>100.05523799216593</v>
      </c>
      <c r="K34" s="392">
        <f>[24]Brewhouse!$Q556</f>
        <v>9.0287769784172713</v>
      </c>
      <c r="L34" s="276">
        <f>[24]Brewhouse!$P556</f>
        <v>60</v>
      </c>
      <c r="M34" s="397">
        <f>[24]Brewhouse!$U556-[24]Brewhouse!$T556</f>
        <v>0.11111111111111116</v>
      </c>
      <c r="N34" s="370">
        <f>[24]Brewhouse!$Z556</f>
        <v>0.25208333333333344</v>
      </c>
      <c r="O34" s="371" t="str">
        <f>[24]Brewhouse!$AX556</f>
        <v>R. Regis</v>
      </c>
      <c r="P34" s="420"/>
      <c r="R34" s="277" t="str">
        <f t="shared" si="0"/>
        <v>CARIB</v>
      </c>
      <c r="S34" s="296">
        <f t="shared" si="1"/>
        <v>11.6</v>
      </c>
      <c r="T34" s="296">
        <f t="shared" si="2"/>
        <v>12</v>
      </c>
      <c r="U34" s="297">
        <f t="shared" si="3"/>
        <v>0</v>
      </c>
      <c r="V34" s="297">
        <f t="shared" si="4"/>
        <v>0.118055555555556</v>
      </c>
      <c r="W34" s="297">
        <f t="shared" si="5"/>
        <v>0.22569444444444445</v>
      </c>
      <c r="X34" s="297">
        <f t="shared" si="6"/>
        <v>0.2638888888888889</v>
      </c>
      <c r="Y34" s="297">
        <f t="shared" si="7"/>
        <v>0</v>
      </c>
      <c r="Z34" s="296">
        <f t="shared" si="8"/>
        <v>60</v>
      </c>
    </row>
    <row r="35" spans="1:27" ht="15.75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20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7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20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7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20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7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20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7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20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7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20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7" ht="15.75" customHeight="1" thickBot="1">
      <c r="B41" s="358"/>
      <c r="C41" s="358"/>
      <c r="D41" s="358"/>
      <c r="E41" s="358"/>
      <c r="F41" s="294"/>
      <c r="G41" s="294"/>
      <c r="H41" s="348"/>
      <c r="I41" s="497"/>
      <c r="J41" s="497"/>
      <c r="K41" s="497"/>
      <c r="L41" s="497"/>
      <c r="M41" s="497"/>
      <c r="N41" s="497"/>
      <c r="O41" s="1"/>
      <c r="P41" s="12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7" ht="15" thickBot="1">
      <c r="B42" s="388" t="s">
        <v>180</v>
      </c>
      <c r="C42" s="388"/>
      <c r="D42" s="475" t="s">
        <v>35</v>
      </c>
      <c r="E42" s="476"/>
      <c r="F42" s="294"/>
      <c r="G42" s="294"/>
      <c r="H42" s="348"/>
      <c r="I42" s="24" t="s">
        <v>17</v>
      </c>
      <c r="J42" s="25" t="s">
        <v>36</v>
      </c>
      <c r="K42" s="26" t="s">
        <v>138</v>
      </c>
      <c r="L42" s="25" t="s">
        <v>37</v>
      </c>
      <c r="M42" s="25" t="s">
        <v>38</v>
      </c>
      <c r="N42" s="27" t="s">
        <v>39</v>
      </c>
      <c r="O42" s="294"/>
      <c r="P42" s="12"/>
      <c r="R42" s="277" t="str">
        <f t="shared" si="0"/>
        <v xml:space="preserve">BRAND 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7" ht="15" customHeight="1">
      <c r="A43" s="28"/>
      <c r="B43" s="558" t="str">
        <f>I43</f>
        <v>CARIB</v>
      </c>
      <c r="C43" s="362">
        <f>[24]Process!D513</f>
        <v>11.8</v>
      </c>
      <c r="D43" s="501">
        <v>11.9</v>
      </c>
      <c r="E43" s="502"/>
      <c r="F43" s="294"/>
      <c r="G43" s="294"/>
      <c r="H43" s="348"/>
      <c r="I43" s="29" t="s">
        <v>6</v>
      </c>
      <c r="J43" s="280">
        <f>AVERAGE(I28:I34)</f>
        <v>99.57066403145997</v>
      </c>
      <c r="K43" s="284">
        <f>COUNTA([24]Brewhouse!$A$493:$A$556)</f>
        <v>64</v>
      </c>
      <c r="L43" s="305">
        <f>AVERAGE([24]Brewhouse!$AU$493:$AU$556)</f>
        <v>98.110937375028087</v>
      </c>
      <c r="M43" s="302">
        <f>AVERAGE([24]Brewhouse!$AU$102:$AU$171,[24]Brewhouse!$AU$173:$AU$253,[24]Brewhouse!$AU$255:$AU$339,[24]Brewhouse!$AU$341:$AU$346,[24]Brewhouse!$AU$348,[24]Brewhouse!$AU$349:$AU$406,[24]Brewhouse!$AU$408:$AU$491,[24]Brewhouse!$AU$493:$AU$556)</f>
        <v>97.72476857858112</v>
      </c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</row>
    <row r="44" spans="1:27" ht="15" customHeight="1">
      <c r="A44" s="28"/>
      <c r="B44" s="512"/>
      <c r="C44" s="349">
        <f>[24]Process!D514</f>
        <v>11.9</v>
      </c>
      <c r="D44" s="503"/>
      <c r="E44" s="504"/>
      <c r="F44" s="294"/>
      <c r="G44" s="294"/>
      <c r="H44" s="348"/>
      <c r="I44" s="33" t="s">
        <v>9</v>
      </c>
      <c r="J44" s="280">
        <f>AVERAGE(I22:I25)</f>
        <v>99.222985772691345</v>
      </c>
      <c r="K44" s="284">
        <f>COUNTA([25]Brewhouse!$A$242:$A$269)</f>
        <v>28</v>
      </c>
      <c r="L44" s="302">
        <f>AVERAGE([25]Brewhouse!$AS$242:$AS$269)</f>
        <v>97.775897881631749</v>
      </c>
      <c r="M44" s="302">
        <f>AVERAGE([25]Brewhouse!$AS$15:$AS$64,[25]Brewhouse!$AS$66:$AS$103,[25]Brewhouse!$AS$105:$AS$140,[25]Brewhouse!$AS$142:$AS$193,[25]Brewhouse!$AS$195:$AS$240,[25]Brewhouse!$AS$242:$AS$269)</f>
        <v>97.864391577975823</v>
      </c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</row>
    <row r="45" spans="1:27" ht="14.7" customHeight="1">
      <c r="A45" s="28"/>
      <c r="B45" s="512"/>
      <c r="C45" s="349">
        <f>[24]Process!D515</f>
        <v>12</v>
      </c>
      <c r="D45" s="501">
        <v>11.9</v>
      </c>
      <c r="E45" s="502"/>
      <c r="F45" s="294"/>
      <c r="G45" s="294"/>
      <c r="H45" s="348"/>
      <c r="I45" s="34" t="s">
        <v>12</v>
      </c>
      <c r="J45" s="280"/>
      <c r="K45" s="284"/>
      <c r="L45" s="302"/>
      <c r="M45" s="302">
        <f>AVERAGE([26]Brewhouse!$AU$4:$AU$7,[26]Brewhouse!$AU$9:$AU$22,[26]Brewhouse!$AU$24:$AU$35,[26]Brewhouse!$AU$37:$AU$45,[26]Brewhouse!$AU$47:$AU$62)</f>
        <v>97.179377138297156</v>
      </c>
      <c r="N45" s="3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</row>
    <row r="46" spans="1:27" ht="14.7" customHeight="1">
      <c r="A46" s="28"/>
      <c r="B46" s="512"/>
      <c r="C46" s="349">
        <f>[24]Process!D516</f>
        <v>12</v>
      </c>
      <c r="D46" s="503"/>
      <c r="E46" s="504"/>
      <c r="F46" s="294"/>
      <c r="G46" s="294"/>
      <c r="H46" s="348"/>
      <c r="I46" s="22" t="s">
        <v>33</v>
      </c>
      <c r="J46" s="280"/>
      <c r="K46" s="284">
        <f>COUNTA([23]Brewhouse!$A$48:$A$53)</f>
        <v>6</v>
      </c>
      <c r="L46" s="302">
        <f>AVERAGE([23]Brewhouse!$AV$48:$AV$53)</f>
        <v>96.180288887301501</v>
      </c>
      <c r="M46" s="302">
        <f>AVERAGE([23]Brewhouse!$AV$5:$AV$14,[23]Brewhouse!$AV$16:$AV$19,[23]Brewhouse!$AV$21:$AV$24,[23]Brewhouse!$AV$26:$AV$33,[23]Brewhouse!$AV$35:$AV$46,[23]Brewhouse!$AV$48:$AV$53)</f>
        <v>98.620083722669861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7" ht="14.7" customHeight="1">
      <c r="A47" s="28"/>
      <c r="B47" s="512"/>
      <c r="C47" s="349">
        <f>[24]Process!D517</f>
        <v>11.6</v>
      </c>
      <c r="D47" s="501">
        <v>11.9</v>
      </c>
      <c r="E47" s="502"/>
      <c r="F47" s="419"/>
      <c r="G47" s="294"/>
      <c r="H47" s="348"/>
      <c r="I47" s="35" t="s">
        <v>29</v>
      </c>
      <c r="J47" s="280"/>
      <c r="K47" s="284"/>
      <c r="L47" s="302"/>
      <c r="M47" s="302"/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7" ht="14.7" customHeight="1">
      <c r="A48" s="28"/>
      <c r="B48" s="512"/>
      <c r="C48" s="349">
        <f>[24]Process!D518</f>
        <v>11.8</v>
      </c>
      <c r="D48" s="503"/>
      <c r="E48" s="504"/>
      <c r="F48" s="419"/>
      <c r="G48" s="294"/>
      <c r="H48" s="348"/>
      <c r="I48" s="36" t="s">
        <v>15</v>
      </c>
      <c r="J48" s="323"/>
      <c r="K48" s="284">
        <f>COUNTA([27]Brewhouse!$A$18:$A$21)</f>
        <v>4</v>
      </c>
      <c r="L48" s="302">
        <f>AVERAGE([27]Brewhouse!$AT$18:$AT$21)</f>
        <v>95.061602643439088</v>
      </c>
      <c r="M48" s="302">
        <f>AVERAGE([27]Brewhouse!$AT$4:$AT$11,[27]Brewhouse!$AT$13:$AT$16,[27]Brewhouse!$AT$18:$AT$21)</f>
        <v>94.773169817643847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  <c r="AA48" s="296"/>
    </row>
    <row r="49" spans="1:56" ht="14.7" customHeight="1">
      <c r="A49" s="28"/>
      <c r="B49" s="512"/>
      <c r="C49" s="349">
        <f>[24]Process!D519</f>
        <v>11.6</v>
      </c>
      <c r="D49" s="501">
        <v>11.83</v>
      </c>
      <c r="E49" s="502"/>
      <c r="F49" s="419"/>
      <c r="G49" s="294"/>
      <c r="H49" s="348"/>
      <c r="I49" s="37" t="s">
        <v>16</v>
      </c>
      <c r="J49" s="323"/>
      <c r="K49" s="284">
        <f>COUNTA([22]Brewhouse!$A$45:$A$50)</f>
        <v>6</v>
      </c>
      <c r="L49" s="302">
        <f>AVERAGE([22]Brewhouse!$AY$45:$AY$50)</f>
        <v>96.288901438431267</v>
      </c>
      <c r="M49" s="302">
        <f>AVERAGE([22]Brewhouse!$AY$6:$AY$13,[22]Brewhouse!$AY$15:$AY$20,[22]Brewhouse!$AY$22:$AY$29,[22]Brewhouse!$AY$31:$AY$34,[22]Brewhouse!$AY$36:$AY$43,[22]Brewhouse!$AY$45:$AY$50)</f>
        <v>96.612624784592427</v>
      </c>
      <c r="N49" s="30">
        <v>98</v>
      </c>
      <c r="O49" s="11"/>
      <c r="P49" s="31" t="s">
        <v>41</v>
      </c>
      <c r="R49" s="277"/>
      <c r="S49" s="296"/>
      <c r="T49" s="296"/>
      <c r="U49" s="297"/>
      <c r="V49" s="297"/>
      <c r="W49" s="297"/>
      <c r="X49" s="297"/>
      <c r="Y49" s="297"/>
      <c r="Z49" s="296"/>
      <c r="AA49" s="296"/>
    </row>
    <row r="50" spans="1:56" ht="14.7" customHeight="1">
      <c r="A50" s="28"/>
      <c r="B50" s="512"/>
      <c r="C50" s="349">
        <f>[24]Process!D520</f>
        <v>11.7</v>
      </c>
      <c r="D50" s="503"/>
      <c r="E50" s="504"/>
      <c r="F50" s="294"/>
      <c r="G50" s="294"/>
      <c r="H50" s="348"/>
      <c r="I50" s="411" t="s">
        <v>158</v>
      </c>
      <c r="J50" s="326"/>
      <c r="K50" s="284">
        <f>COUNTA([28]Brewhouse!$A$10:$A$13)</f>
        <v>4</v>
      </c>
      <c r="L50" s="305">
        <f>AVERAGE([28]Brewhouse!$AU$10:$AU$13)</f>
        <v>97.488444912767932</v>
      </c>
      <c r="M50" s="305">
        <f>AVERAGE([28]Brewhouse!$AU$5:$AU$8,[28]Brewhouse!$AU$10:$AU$13)</f>
        <v>94.247666625193744</v>
      </c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4.7" customHeight="1">
      <c r="A51" s="28"/>
      <c r="B51" s="512"/>
      <c r="C51" s="349"/>
      <c r="D51" s="501"/>
      <c r="E51" s="502"/>
      <c r="F51" s="294"/>
      <c r="G51" s="294"/>
      <c r="H51" s="348"/>
      <c r="I51" s="410" t="s">
        <v>157</v>
      </c>
      <c r="J51" s="326"/>
      <c r="K51" s="284"/>
      <c r="L51" s="305"/>
      <c r="M51" s="305"/>
      <c r="N51" s="3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5" customHeight="1" thickBot="1">
      <c r="A52" s="28"/>
      <c r="B52" s="512"/>
      <c r="C52" s="349"/>
      <c r="D52" s="503"/>
      <c r="E52" s="504"/>
      <c r="F52" s="294"/>
      <c r="G52" s="294"/>
      <c r="H52" s="348"/>
      <c r="I52" s="406" t="s">
        <v>156</v>
      </c>
      <c r="J52" s="327"/>
      <c r="K52" s="407"/>
      <c r="L52" s="408"/>
      <c r="M52" s="408"/>
      <c r="N52" s="409">
        <v>98</v>
      </c>
      <c r="O52" s="11"/>
      <c r="P52" s="31"/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5" customHeight="1" thickBot="1">
      <c r="A53" s="28"/>
      <c r="B53" s="512"/>
      <c r="C53" s="349"/>
      <c r="D53" s="501"/>
      <c r="E53" s="502"/>
      <c r="F53" s="294"/>
      <c r="G53" s="294"/>
      <c r="H53" s="348"/>
      <c r="I53" s="1"/>
      <c r="J53" s="39"/>
      <c r="K53" s="404">
        <f>SUM(K43:K52)</f>
        <v>112</v>
      </c>
      <c r="L53" s="405">
        <f>((L43*K43)+(L44*K44)+(L45*K45)+(L46*K46)+(L47*K47)+(K50*L50)+(L48*K48)+(L49*K49)+(L52*K52))/(K53)</f>
        <v>97.695004150595636</v>
      </c>
      <c r="M53" s="405">
        <f>AVERAGE('[29]Jan 31st'!$L$65,'[30]Feb 28th'!$L$35,'[31]Mar. 31st'!$L$35,'[32]Apr. 30th'!$L$45,'[33]May 30th'!$L$37,L53)</f>
        <v>97.645709597994127</v>
      </c>
      <c r="N53" s="4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5" thickBot="1">
      <c r="B54" s="513"/>
      <c r="C54" s="350"/>
      <c r="D54" s="503"/>
      <c r="E54" s="504"/>
      <c r="F54" s="294"/>
      <c r="G54" s="42"/>
      <c r="H54" s="41"/>
      <c r="I54" s="42"/>
      <c r="J54" s="42"/>
      <c r="K54" s="351"/>
      <c r="L54" s="348"/>
      <c r="M54" s="348"/>
      <c r="N54" s="11"/>
      <c r="O54" s="294"/>
      <c r="P54" s="12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thickBot="1">
      <c r="B55" s="511"/>
      <c r="C55" s="362"/>
      <c r="D55" s="514"/>
      <c r="E55" s="515"/>
      <c r="F55" s="294"/>
      <c r="G55" s="42"/>
      <c r="H55" s="41"/>
      <c r="I55" s="41"/>
      <c r="J55" s="551" t="s">
        <v>129</v>
      </c>
      <c r="K55" s="551"/>
      <c r="L55" s="294"/>
      <c r="M55" s="294"/>
      <c r="N55" s="294"/>
      <c r="O55" s="294"/>
      <c r="P55" s="12"/>
    </row>
    <row r="56" spans="1:56" ht="13.5" customHeight="1" thickBot="1">
      <c r="B56" s="512"/>
      <c r="C56" s="349"/>
      <c r="D56" s="516"/>
      <c r="E56" s="504"/>
      <c r="F56" s="294"/>
      <c r="G56" s="42"/>
      <c r="H56" s="41"/>
      <c r="I56" s="41"/>
      <c r="J56" s="292" t="s">
        <v>17</v>
      </c>
      <c r="K56" s="293" t="s">
        <v>191</v>
      </c>
      <c r="L56" s="518" t="s">
        <v>136</v>
      </c>
      <c r="M56" s="518"/>
      <c r="N56" s="519"/>
      <c r="O56" s="294"/>
      <c r="P56" s="12"/>
    </row>
    <row r="57" spans="1:56" ht="15" customHeight="1" thickBot="1">
      <c r="B57" s="512"/>
      <c r="C57" s="349"/>
      <c r="D57" s="545"/>
      <c r="E57" s="546"/>
      <c r="F57" s="294"/>
      <c r="G57" s="42"/>
      <c r="H57" s="41"/>
      <c r="I57" s="41"/>
      <c r="J57" s="287" t="s">
        <v>6</v>
      </c>
      <c r="K57" s="324">
        <v>7</v>
      </c>
      <c r="L57" s="343" t="s">
        <v>37</v>
      </c>
      <c r="M57" s="307" t="s">
        <v>38</v>
      </c>
      <c r="N57" s="307" t="s">
        <v>84</v>
      </c>
      <c r="O57" s="294"/>
      <c r="P57" s="12"/>
    </row>
    <row r="58" spans="1:56" ht="15.75" customHeight="1" thickBot="1">
      <c r="B58" s="512"/>
      <c r="C58" s="349"/>
      <c r="D58" s="516"/>
      <c r="E58" s="504"/>
      <c r="F58" s="294"/>
      <c r="G58" s="42"/>
      <c r="H58" s="41"/>
      <c r="I58" s="41"/>
      <c r="J58" s="345" t="s">
        <v>9</v>
      </c>
      <c r="K58" s="324">
        <v>4</v>
      </c>
      <c r="L58" s="344">
        <f>AVERAGE('June 2nd'!K57,'June 3rd'!K63,'June 4th'!K63,'June 5th '!K63,'June 6th'!K63,'June 10th'!K63,'June 11th'!K63,'June 12th '!K63,'June 13th'!I65,'June 13th'!K65,'June 16th'!K60,'June 26th '!K67,'June 17th '!K60,'June 18th'!K60,'June 23rd'!K60,'June 24th'!K67,'June 25th '!K67)</f>
        <v>6.8235294117647056</v>
      </c>
      <c r="M58" s="325">
        <f>AVERAGE('[29]Jan 29th '!$M$70,'[30]Feb 28th'!$L$40,'[31]Mar. 31st'!$L$40,'[32]Apr. 30th'!$L$50,'[33]May 30th'!$L$42,L58)</f>
        <v>6.6716950994444595</v>
      </c>
      <c r="N58" s="418">
        <v>9.1999999999999993</v>
      </c>
      <c r="O58" s="294"/>
      <c r="P58" s="12"/>
    </row>
    <row r="59" spans="1:56" ht="15" customHeight="1">
      <c r="B59" s="512"/>
      <c r="C59" s="349"/>
      <c r="D59" s="545"/>
      <c r="E59" s="546"/>
      <c r="F59" s="294"/>
      <c r="G59" s="42"/>
      <c r="H59" s="41"/>
      <c r="I59" s="41"/>
      <c r="J59" s="288" t="s">
        <v>40</v>
      </c>
      <c r="K59" s="324"/>
      <c r="L59" s="294"/>
      <c r="M59" s="294"/>
      <c r="N59" s="294"/>
      <c r="O59" s="294"/>
      <c r="P59" s="12"/>
    </row>
    <row r="60" spans="1:56" ht="15" customHeight="1">
      <c r="B60" s="512"/>
      <c r="C60" s="349"/>
      <c r="D60" s="516"/>
      <c r="E60" s="504"/>
      <c r="F60" s="294"/>
      <c r="G60" s="42"/>
      <c r="H60" s="41"/>
      <c r="I60" s="41"/>
      <c r="J60" s="289" t="s">
        <v>33</v>
      </c>
      <c r="K60" s="324"/>
      <c r="L60" s="294"/>
      <c r="M60" s="294"/>
      <c r="N60" s="294"/>
      <c r="O60" s="294"/>
      <c r="P60" s="12"/>
    </row>
    <row r="61" spans="1:56" ht="14.4">
      <c r="B61" s="512"/>
      <c r="C61" s="349"/>
      <c r="D61" s="545"/>
      <c r="E61" s="546"/>
      <c r="F61" s="294"/>
      <c r="G61" s="42"/>
      <c r="H61" s="41"/>
      <c r="I61" s="41"/>
      <c r="J61" s="290" t="s">
        <v>16</v>
      </c>
      <c r="K61" s="324"/>
      <c r="L61" s="294"/>
      <c r="M61" s="294"/>
      <c r="N61" s="294"/>
      <c r="O61" s="294"/>
      <c r="P61" s="12"/>
      <c r="BC61" s="44"/>
      <c r="BD61" s="44"/>
    </row>
    <row r="62" spans="1:56" ht="14.4">
      <c r="B62" s="512"/>
      <c r="C62" s="349"/>
      <c r="D62" s="516"/>
      <c r="E62" s="504"/>
      <c r="F62" s="294"/>
      <c r="G62" s="42"/>
      <c r="H62" s="41"/>
      <c r="I62" s="41"/>
      <c r="J62" s="291" t="s">
        <v>15</v>
      </c>
      <c r="K62" s="324"/>
      <c r="L62" s="294"/>
      <c r="M62" s="294"/>
      <c r="N62" s="294"/>
      <c r="O62" s="294"/>
      <c r="P62" s="12"/>
      <c r="BC62" s="44"/>
      <c r="BD62" s="44"/>
    </row>
    <row r="63" spans="1:56" ht="14.4">
      <c r="B63" s="512"/>
      <c r="C63" s="349"/>
      <c r="D63" s="545"/>
      <c r="E63" s="546"/>
      <c r="F63" s="294"/>
      <c r="G63" s="42"/>
      <c r="H63" s="41"/>
      <c r="I63" s="41"/>
      <c r="J63" s="291" t="s">
        <v>149</v>
      </c>
      <c r="K63" s="324"/>
      <c r="L63" s="294"/>
      <c r="M63" s="294"/>
      <c r="N63" s="294"/>
      <c r="O63" s="294"/>
      <c r="P63" s="12"/>
      <c r="BC63" s="44"/>
      <c r="BD63" s="44"/>
    </row>
    <row r="64" spans="1:56" ht="15" thickBot="1">
      <c r="B64" s="513"/>
      <c r="C64" s="350"/>
      <c r="D64" s="547"/>
      <c r="E64" s="548"/>
      <c r="F64" s="294"/>
      <c r="G64" s="42"/>
      <c r="H64" s="41"/>
      <c r="I64" s="41"/>
      <c r="J64" s="291" t="s">
        <v>148</v>
      </c>
      <c r="K64" s="324"/>
      <c r="L64" s="294"/>
      <c r="M64" s="294"/>
      <c r="N64" s="294"/>
      <c r="O64" s="294"/>
      <c r="P64" s="12"/>
      <c r="BC64" s="44"/>
      <c r="BD64" s="44"/>
    </row>
    <row r="65" spans="2:57" ht="17.7" customHeight="1" thickBot="1">
      <c r="B65" s="312" t="s">
        <v>139</v>
      </c>
      <c r="C65" s="313"/>
      <c r="D65" s="562">
        <f>AVERAGE(D43:E64)</f>
        <v>11.8825</v>
      </c>
      <c r="E65" s="563"/>
      <c r="F65" s="294"/>
      <c r="G65" s="42"/>
      <c r="H65" s="41"/>
      <c r="I65" s="41"/>
      <c r="J65" s="295" t="s">
        <v>134</v>
      </c>
      <c r="K65" s="324"/>
      <c r="L65" s="294"/>
      <c r="M65" s="294"/>
      <c r="N65" s="294"/>
      <c r="O65" s="294"/>
      <c r="P65" s="12"/>
      <c r="BC65" s="44"/>
      <c r="BD65" s="44"/>
    </row>
    <row r="66" spans="2:57" ht="17.7" customHeight="1">
      <c r="B66" s="363"/>
      <c r="C66" s="364"/>
      <c r="D66" s="365"/>
      <c r="E66" s="365"/>
      <c r="F66" s="294"/>
      <c r="G66" s="42"/>
      <c r="H66" s="41"/>
      <c r="I66" s="41"/>
      <c r="J66" s="295" t="s">
        <v>131</v>
      </c>
      <c r="K66" s="324"/>
      <c r="L66" s="294"/>
      <c r="M66" s="294"/>
      <c r="N66" s="294"/>
      <c r="O66" s="294"/>
      <c r="P66" s="12"/>
      <c r="BC66" s="44"/>
      <c r="BD66" s="44"/>
    </row>
    <row r="67" spans="2:57" ht="15.75" customHeight="1">
      <c r="B67" s="45"/>
      <c r="C67" s="11"/>
      <c r="D67" s="11"/>
      <c r="E67" s="46"/>
      <c r="F67" s="294"/>
      <c r="G67" s="42"/>
      <c r="H67" s="41"/>
      <c r="I67" s="41"/>
      <c r="J67" s="346" t="s">
        <v>130</v>
      </c>
      <c r="K67" s="324">
        <f>SUM(K57:K66)</f>
        <v>11</v>
      </c>
      <c r="L67" s="294"/>
      <c r="M67" s="294"/>
      <c r="N67" s="294"/>
      <c r="O67" s="294"/>
      <c r="P67" s="12"/>
    </row>
    <row r="68" spans="2:57" ht="20.25" customHeight="1">
      <c r="B68" s="15" t="s">
        <v>42</v>
      </c>
      <c r="C68" s="1" t="s">
        <v>43</v>
      </c>
      <c r="D68" s="1"/>
      <c r="E68" s="1"/>
      <c r="F68" s="294"/>
      <c r="G68" s="42"/>
      <c r="H68" s="41"/>
      <c r="I68" s="42"/>
      <c r="L68" s="294"/>
      <c r="P68" s="334"/>
    </row>
    <row r="69" spans="2:57" ht="15" customHeight="1" thickBot="1"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8"/>
      <c r="O69" s="48"/>
      <c r="P69" s="49"/>
    </row>
    <row r="70" spans="2:57" ht="15" customHeight="1" thickBot="1">
      <c r="B70" s="526" t="s">
        <v>17</v>
      </c>
      <c r="C70" s="526" t="s">
        <v>44</v>
      </c>
      <c r="D70" s="528" t="s">
        <v>45</v>
      </c>
      <c r="E70" s="483" t="s">
        <v>46</v>
      </c>
      <c r="F70" s="543" t="s">
        <v>47</v>
      </c>
      <c r="G70" s="537" t="s">
        <v>48</v>
      </c>
      <c r="H70" s="526" t="s">
        <v>49</v>
      </c>
      <c r="I70" s="526" t="s">
        <v>50</v>
      </c>
      <c r="J70" s="531" t="s">
        <v>28</v>
      </c>
      <c r="K70" s="481" t="s">
        <v>51</v>
      </c>
      <c r="L70" s="493" t="s">
        <v>52</v>
      </c>
      <c r="M70" s="531" t="s">
        <v>53</v>
      </c>
      <c r="N70" s="13"/>
      <c r="O70" s="13"/>
      <c r="P70" s="50"/>
    </row>
    <row r="71" spans="2:57" ht="28.5" customHeight="1" thickTop="1" thickBot="1">
      <c r="B71" s="527"/>
      <c r="C71" s="527"/>
      <c r="D71" s="529"/>
      <c r="E71" s="530"/>
      <c r="F71" s="544"/>
      <c r="G71" s="538"/>
      <c r="H71" s="527"/>
      <c r="I71" s="527"/>
      <c r="J71" s="532"/>
      <c r="K71" s="541"/>
      <c r="L71" s="542"/>
      <c r="M71" s="532"/>
      <c r="N71" s="13"/>
      <c r="O71" s="13"/>
      <c r="P71" s="50"/>
      <c r="Q71" s="355"/>
      <c r="AB71" s="51">
        <v>43474</v>
      </c>
      <c r="AC71" s="51">
        <v>43475</v>
      </c>
      <c r="AD71" s="51">
        <v>43476</v>
      </c>
      <c r="AE71" s="51">
        <v>43477</v>
      </c>
      <c r="AF71" s="51">
        <v>43478</v>
      </c>
      <c r="AG71" s="51">
        <v>43479</v>
      </c>
      <c r="AH71" s="51">
        <v>43480</v>
      </c>
      <c r="AI71" s="51">
        <v>43481</v>
      </c>
      <c r="AJ71" s="51">
        <v>43482</v>
      </c>
      <c r="AK71" s="51">
        <v>43483</v>
      </c>
      <c r="AL71" s="51">
        <v>43484</v>
      </c>
      <c r="AM71" s="51">
        <v>43485</v>
      </c>
      <c r="AN71" s="51">
        <v>43486</v>
      </c>
      <c r="AO71" s="51">
        <v>43487</v>
      </c>
      <c r="AP71" s="51">
        <v>43488</v>
      </c>
      <c r="AQ71" s="51">
        <v>43489</v>
      </c>
      <c r="AR71" s="51">
        <v>43490</v>
      </c>
      <c r="AS71" s="51">
        <v>43491</v>
      </c>
      <c r="AT71" s="51">
        <v>43492</v>
      </c>
      <c r="AU71" s="51">
        <v>43493</v>
      </c>
      <c r="AV71" s="51">
        <v>43494</v>
      </c>
      <c r="AW71" s="51">
        <v>43495</v>
      </c>
      <c r="AX71" s="51">
        <v>43496</v>
      </c>
    </row>
    <row r="72" spans="2:57" s="54" customFormat="1" ht="51" customHeight="1">
      <c r="B72" s="387" t="str">
        <f>B79</f>
        <v>CARIB</v>
      </c>
      <c r="C72" s="432">
        <v>45834</v>
      </c>
      <c r="D72" s="377">
        <f>[34]June_2025!$AC$3</f>
        <v>407.8</v>
      </c>
      <c r="E72" s="378"/>
      <c r="F72" s="379">
        <f>[35]CARIB!$L$87</f>
        <v>398</v>
      </c>
      <c r="G72" s="303">
        <f>[34]June_2025!$AC$7</f>
        <v>387.4</v>
      </c>
      <c r="H72" s="320">
        <f>(D72-F72)/D72*100</f>
        <v>2.4031387935262409</v>
      </c>
      <c r="I72" s="322">
        <f>((F72+E72)-G72)/(F72+E72)*100</f>
        <v>2.6633165829145788</v>
      </c>
      <c r="J72" s="392" t="s">
        <v>181</v>
      </c>
      <c r="K72" s="286">
        <f>[36]June_2025!$AC$18</f>
        <v>0.6796491228070175</v>
      </c>
      <c r="L72" s="314">
        <f>(((D72+E72)-G72)/(D72+E72))*100</f>
        <v>5.002452182442382</v>
      </c>
      <c r="M72" s="417" t="s">
        <v>210</v>
      </c>
      <c r="N72" s="13"/>
      <c r="O72" s="13"/>
      <c r="P72" s="50"/>
      <c r="R72" s="275"/>
      <c r="S72" s="275"/>
      <c r="T72" s="275"/>
      <c r="U72" s="275"/>
      <c r="V72" s="275"/>
      <c r="W72" s="275"/>
      <c r="X72" s="275"/>
      <c r="Y72" s="275"/>
      <c r="Z72" s="275"/>
      <c r="AA72" s="275"/>
      <c r="AB72" s="416"/>
      <c r="AC72" s="416"/>
      <c r="AD72" s="416"/>
      <c r="AE72" s="416"/>
      <c r="AF72" s="416"/>
      <c r="AG72" s="416"/>
      <c r="AH72" s="416"/>
      <c r="AI72" s="416"/>
      <c r="AJ72" s="416"/>
      <c r="AK72" s="416"/>
      <c r="AL72" s="416"/>
      <c r="AM72" s="416"/>
      <c r="AN72" s="416"/>
      <c r="AO72" s="416"/>
      <c r="AP72" s="416"/>
      <c r="AQ72" s="416"/>
      <c r="AR72" s="416"/>
      <c r="AS72" s="416"/>
      <c r="AT72" s="416"/>
      <c r="AU72" s="416"/>
      <c r="AV72" s="416"/>
      <c r="AW72" s="416"/>
    </row>
    <row r="73" spans="2:57" s="54" customFormat="1" ht="23.25" customHeight="1">
      <c r="B73" s="22"/>
      <c r="C73" s="283"/>
      <c r="D73" s="377"/>
      <c r="E73" s="378"/>
      <c r="F73" s="379"/>
      <c r="G73" s="303"/>
      <c r="H73" s="320"/>
      <c r="I73" s="322"/>
      <c r="J73" s="281"/>
      <c r="K73" s="286"/>
      <c r="L73" s="314"/>
      <c r="M73" s="417"/>
      <c r="N73" s="13"/>
      <c r="O73" s="13"/>
      <c r="P73" s="50"/>
      <c r="R73" s="275"/>
      <c r="S73" s="275"/>
      <c r="T73" s="275"/>
      <c r="U73" s="275"/>
      <c r="V73" s="275"/>
      <c r="W73" s="275"/>
      <c r="X73" s="275"/>
      <c r="Y73" s="275"/>
      <c r="Z73" s="275"/>
      <c r="AA73" s="275"/>
      <c r="AB73" s="416"/>
      <c r="AC73" s="416"/>
      <c r="AD73" s="416"/>
      <c r="AE73" s="416"/>
      <c r="AF73" s="416"/>
      <c r="AG73" s="416"/>
      <c r="AH73" s="416"/>
      <c r="AI73" s="416"/>
      <c r="AJ73" s="416"/>
      <c r="AK73" s="416"/>
      <c r="AL73" s="416"/>
      <c r="AM73" s="416"/>
      <c r="AN73" s="416"/>
      <c r="AO73" s="416"/>
      <c r="AP73" s="416"/>
      <c r="AQ73" s="416"/>
      <c r="AR73" s="416"/>
      <c r="AS73" s="416"/>
      <c r="AT73" s="416"/>
      <c r="AU73" s="416"/>
      <c r="AV73" s="416"/>
      <c r="AW73" s="416"/>
    </row>
    <row r="74" spans="2:57" s="54" customFormat="1" ht="53.25" hidden="1" customHeight="1">
      <c r="B74" s="387" t="str">
        <f>B79</f>
        <v>CARIB</v>
      </c>
      <c r="C74" s="432">
        <v>45833</v>
      </c>
      <c r="D74" s="377"/>
      <c r="E74" s="378"/>
      <c r="F74" s="379"/>
      <c r="G74" s="303"/>
      <c r="H74" s="320" t="e">
        <f>(D74-F74)/D74*100</f>
        <v>#DIV/0!</v>
      </c>
      <c r="I74" s="322" t="e">
        <f>((F74+E74)-G74)/(F74+E74)*100</f>
        <v>#DIV/0!</v>
      </c>
      <c r="J74" s="392" t="s">
        <v>181</v>
      </c>
      <c r="K74" s="286"/>
      <c r="L74" s="314" t="e">
        <f>(((D74+E74)-G74)/(D74+E74))*100</f>
        <v>#DIV/0!</v>
      </c>
      <c r="M74" s="417" t="s">
        <v>208</v>
      </c>
      <c r="N74" s="13"/>
      <c r="O74" s="13"/>
      <c r="P74" s="50"/>
      <c r="R74" s="275"/>
      <c r="S74" s="275"/>
      <c r="T74" s="275"/>
      <c r="U74" s="275"/>
      <c r="V74" s="275"/>
      <c r="W74" s="275"/>
      <c r="X74" s="275"/>
      <c r="Y74" s="275"/>
      <c r="Z74" s="275"/>
      <c r="AA74" s="275"/>
      <c r="AB74" s="57">
        <f>[20]January_2019!L7</f>
        <v>0</v>
      </c>
      <c r="AC74" s="57">
        <f>[20]January_2019!M7</f>
        <v>0</v>
      </c>
      <c r="AD74" s="57">
        <f>[20]January_2019!N7</f>
        <v>0</v>
      </c>
      <c r="AE74" s="57">
        <f>[20]January_2019!O7</f>
        <v>0</v>
      </c>
      <c r="AF74" s="57">
        <f>[20]January_2019!P7</f>
        <v>0</v>
      </c>
      <c r="AG74" s="57">
        <f>[20]January_2019!Q7</f>
        <v>0</v>
      </c>
      <c r="AH74" s="57">
        <f>[20]January_2019!R7</f>
        <v>0</v>
      </c>
      <c r="AI74" s="57">
        <f>[20]January_2019!S7</f>
        <v>0</v>
      </c>
      <c r="AJ74" s="57">
        <f>[20]January_2019!T7</f>
        <v>0</v>
      </c>
      <c r="AK74" s="57">
        <f>[20]January_2019!U7</f>
        <v>0</v>
      </c>
      <c r="AL74" s="57">
        <f>[20]January_2019!V7</f>
        <v>0</v>
      </c>
      <c r="AM74" s="57">
        <f>[20]January_2019!W7</f>
        <v>0</v>
      </c>
      <c r="AN74" s="57">
        <f>[20]January_2019!X7</f>
        <v>0</v>
      </c>
      <c r="AO74" s="57">
        <f>[20]January_2019!Y7</f>
        <v>0</v>
      </c>
      <c r="AP74" s="57">
        <f>[20]January_2019!Z7</f>
        <v>0</v>
      </c>
      <c r="AQ74" s="57">
        <f>[20]January_2019!AA7</f>
        <v>0</v>
      </c>
      <c r="AR74" s="57">
        <f>[20]January_2019!AB7</f>
        <v>0</v>
      </c>
      <c r="AS74" s="57">
        <f>[20]January_2019!AC7</f>
        <v>0</v>
      </c>
      <c r="AT74" s="57">
        <f>[20]January_2019!AD7</f>
        <v>0</v>
      </c>
      <c r="AU74" s="57">
        <f>[20]January_2019!AE7</f>
        <v>0</v>
      </c>
      <c r="AV74" s="57">
        <f>[20]January_2019!AF7</f>
        <v>0</v>
      </c>
      <c r="AW74" s="57">
        <f>[20]January_2019!AG7</f>
        <v>0</v>
      </c>
      <c r="AX74" s="277">
        <f>[20]January_2019!AH7</f>
        <v>0</v>
      </c>
      <c r="AY74" s="277"/>
      <c r="AZ74" s="277"/>
      <c r="BA74" s="277"/>
      <c r="BB74" s="277"/>
      <c r="BC74" s="277"/>
      <c r="BD74" s="277"/>
      <c r="BE74" s="277"/>
    </row>
    <row r="75" spans="2:57" s="54" customFormat="1" ht="16.5" customHeight="1">
      <c r="B75" s="423"/>
      <c r="C75" s="283"/>
      <c r="D75" s="377"/>
      <c r="E75" s="378"/>
      <c r="F75" s="379"/>
      <c r="G75" s="303"/>
      <c r="H75" s="320"/>
      <c r="I75" s="322"/>
      <c r="J75" s="281"/>
      <c r="K75" s="286"/>
      <c r="L75" s="314"/>
      <c r="M75" s="417"/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416"/>
      <c r="AC75" s="416"/>
      <c r="AD75" s="416"/>
      <c r="AE75" s="416"/>
      <c r="AF75" s="416"/>
      <c r="AG75" s="416"/>
      <c r="AH75" s="416"/>
      <c r="AI75" s="416"/>
      <c r="AJ75" s="416"/>
      <c r="AK75" s="416"/>
      <c r="AL75" s="416"/>
      <c r="AM75" s="416"/>
      <c r="AN75" s="416"/>
      <c r="AO75" s="416"/>
      <c r="AP75" s="416"/>
      <c r="AQ75" s="416"/>
      <c r="AR75" s="416"/>
      <c r="AS75" s="416"/>
      <c r="AT75" s="416"/>
      <c r="AU75" s="416"/>
      <c r="AV75" s="416"/>
      <c r="AW75" s="416"/>
    </row>
    <row r="76" spans="2:57" ht="18" customHeight="1" thickBot="1">
      <c r="B76" s="59"/>
      <c r="C76" s="30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 t="s">
        <v>41</v>
      </c>
      <c r="O76" s="56"/>
      <c r="P76" s="60"/>
    </row>
    <row r="77" spans="2:57" ht="14.4" thickBot="1">
      <c r="B77" s="533" t="s">
        <v>55</v>
      </c>
      <c r="C77" s="534"/>
      <c r="D77" s="534"/>
      <c r="E77" s="534"/>
      <c r="F77" s="535"/>
      <c r="G77" s="533" t="s">
        <v>56</v>
      </c>
      <c r="H77" s="534"/>
      <c r="I77" s="534"/>
      <c r="J77" s="535"/>
      <c r="K77" s="533" t="s">
        <v>51</v>
      </c>
      <c r="L77" s="534"/>
      <c r="M77" s="534"/>
      <c r="N77" s="536"/>
      <c r="O77" s="56"/>
      <c r="P77" s="50"/>
    </row>
    <row r="78" spans="2:57">
      <c r="B78" s="61" t="s">
        <v>17</v>
      </c>
      <c r="C78" s="62" t="s">
        <v>36</v>
      </c>
      <c r="D78" s="62" t="s">
        <v>37</v>
      </c>
      <c r="E78" s="62" t="s">
        <v>38</v>
      </c>
      <c r="F78" s="63" t="s">
        <v>39</v>
      </c>
      <c r="G78" s="62" t="s">
        <v>36</v>
      </c>
      <c r="H78" s="62" t="s">
        <v>37</v>
      </c>
      <c r="I78" s="62" t="s">
        <v>38</v>
      </c>
      <c r="J78" s="63" t="s">
        <v>39</v>
      </c>
      <c r="K78" s="62" t="s">
        <v>36</v>
      </c>
      <c r="L78" s="62" t="s">
        <v>37</v>
      </c>
      <c r="M78" s="62" t="s">
        <v>38</v>
      </c>
      <c r="N78" s="63" t="s">
        <v>39</v>
      </c>
      <c r="O78" s="56"/>
      <c r="P78" s="64"/>
    </row>
    <row r="79" spans="2:57">
      <c r="B79" s="29" t="s">
        <v>6</v>
      </c>
      <c r="C79" s="65">
        <f>L72</f>
        <v>5.002452182442382</v>
      </c>
      <c r="D79" s="76">
        <v>6.0173150214328723</v>
      </c>
      <c r="E79" s="76">
        <v>6.5589132070719618</v>
      </c>
      <c r="F79" s="66">
        <v>4.8</v>
      </c>
      <c r="G79" s="65">
        <f>[34]June_2025!$AC$11</f>
        <v>4.3096013474683055</v>
      </c>
      <c r="H79" s="76">
        <v>5.1026424932575187</v>
      </c>
      <c r="I79" s="76">
        <v>6.5311379198382795</v>
      </c>
      <c r="J79" s="66">
        <v>4.8</v>
      </c>
      <c r="K79" s="67">
        <f>K72</f>
        <v>0.6796491228070175</v>
      </c>
      <c r="L79" s="194">
        <v>0.55420175438596497</v>
      </c>
      <c r="M79" s="194">
        <v>0.72689428242059806</v>
      </c>
      <c r="N79" s="68">
        <v>1</v>
      </c>
      <c r="O79" s="56"/>
      <c r="P79" s="69"/>
    </row>
    <row r="80" spans="2:57">
      <c r="B80" s="33" t="s">
        <v>9</v>
      </c>
      <c r="C80" s="65"/>
      <c r="D80" s="76">
        <v>5.1508449537602505</v>
      </c>
      <c r="E80" s="76">
        <v>6.1120783649463784</v>
      </c>
      <c r="F80" s="66">
        <v>4.8</v>
      </c>
      <c r="G80" s="65"/>
      <c r="H80" s="76">
        <v>4.9416779228770604</v>
      </c>
      <c r="I80" s="76">
        <v>5.9705742349149915</v>
      </c>
      <c r="J80" s="66">
        <v>4.8</v>
      </c>
      <c r="K80" s="67"/>
      <c r="L80" s="194">
        <v>0.68785526315789469</v>
      </c>
      <c r="M80" s="194">
        <v>0.74129168926071198</v>
      </c>
      <c r="N80" s="68">
        <v>1</v>
      </c>
      <c r="P80" s="69"/>
    </row>
    <row r="81" spans="2:16">
      <c r="B81" s="34" t="s">
        <v>40</v>
      </c>
      <c r="C81" s="65"/>
      <c r="D81" s="76">
        <v>12.188365650969537</v>
      </c>
      <c r="E81" s="76">
        <v>11.96027372373279</v>
      </c>
      <c r="F81" s="66">
        <v>5.5</v>
      </c>
      <c r="G81" s="65"/>
      <c r="H81" s="76">
        <v>12.44001096804088</v>
      </c>
      <c r="I81" s="76">
        <v>13.111031100634913</v>
      </c>
      <c r="J81" s="66">
        <v>5.5</v>
      </c>
      <c r="K81" s="67"/>
      <c r="L81" s="194">
        <v>0.27581871345029241</v>
      </c>
      <c r="M81" s="194">
        <v>0.4869398559932232</v>
      </c>
      <c r="N81" s="68">
        <v>1</v>
      </c>
      <c r="P81" s="69"/>
    </row>
    <row r="82" spans="2:16">
      <c r="B82" s="22" t="s">
        <v>33</v>
      </c>
      <c r="C82" s="65"/>
      <c r="D82" s="76">
        <v>10.592686002522056</v>
      </c>
      <c r="E82" s="76">
        <v>5.4214697406339898</v>
      </c>
      <c r="F82" s="66">
        <v>3.3</v>
      </c>
      <c r="G82" s="65"/>
      <c r="H82" s="76">
        <v>10.440711622307923</v>
      </c>
      <c r="I82" s="76">
        <v>5.263029001952213</v>
      </c>
      <c r="J82" s="66">
        <v>3.3</v>
      </c>
      <c r="K82" s="67"/>
      <c r="L82" s="194">
        <v>0.22480263157894734</v>
      </c>
      <c r="M82" s="194">
        <v>0.6919486215538847</v>
      </c>
      <c r="N82" s="68">
        <v>1</v>
      </c>
      <c r="P82" s="69"/>
    </row>
    <row r="83" spans="2:16">
      <c r="B83" s="35" t="s">
        <v>29</v>
      </c>
      <c r="C83" s="65"/>
      <c r="D83" s="76"/>
      <c r="E83" s="76"/>
      <c r="F83" s="66">
        <v>3.3</v>
      </c>
      <c r="G83" s="282"/>
      <c r="H83" s="76"/>
      <c r="I83" s="76"/>
      <c r="J83" s="66">
        <v>3</v>
      </c>
      <c r="L83" s="194"/>
      <c r="M83" s="194"/>
      <c r="N83" s="68">
        <v>1</v>
      </c>
      <c r="P83" s="69"/>
    </row>
    <row r="84" spans="2:16">
      <c r="B84" s="36" t="s">
        <v>15</v>
      </c>
      <c r="C84" s="282"/>
      <c r="D84" s="76">
        <v>5.7784145176695159</v>
      </c>
      <c r="E84" s="76">
        <v>7.3129862357869699</v>
      </c>
      <c r="F84" s="70">
        <f>[21]May_2022!$M$43</f>
        <v>3.4878406700073312</v>
      </c>
      <c r="G84" s="282"/>
      <c r="H84" s="76">
        <v>7.6606905670809748</v>
      </c>
      <c r="I84" s="76">
        <v>8.9862703283331644</v>
      </c>
      <c r="J84" s="66">
        <v>5.5</v>
      </c>
      <c r="K84" s="67"/>
      <c r="L84" s="194">
        <v>0.34614035087719303</v>
      </c>
      <c r="M84" s="194">
        <v>0.59276315789473688</v>
      </c>
      <c r="N84" s="68">
        <v>1</v>
      </c>
      <c r="P84" s="69"/>
    </row>
    <row r="85" spans="2:16">
      <c r="B85" s="37" t="s">
        <v>16</v>
      </c>
      <c r="C85" s="65"/>
      <c r="D85" s="76">
        <v>4.8459003682884285</v>
      </c>
      <c r="E85" s="76">
        <v>3.1283185840707883</v>
      </c>
      <c r="F85" s="66">
        <v>3.3</v>
      </c>
      <c r="G85" s="282"/>
      <c r="H85" s="76">
        <v>5.3838407622154936</v>
      </c>
      <c r="I85" s="76">
        <v>4.671657298145214</v>
      </c>
      <c r="J85" s="66">
        <v>3.3</v>
      </c>
      <c r="K85" s="67"/>
      <c r="L85" s="194">
        <v>0.3445029239766082</v>
      </c>
      <c r="M85" s="194">
        <v>0.70412549019607829</v>
      </c>
      <c r="N85" s="71">
        <v>1</v>
      </c>
      <c r="P85" s="69"/>
    </row>
    <row r="86" spans="2:16" ht="14.4" thickBot="1">
      <c r="B86" s="38" t="s">
        <v>127</v>
      </c>
      <c r="C86" s="65"/>
      <c r="D86" s="76"/>
      <c r="E86" s="76"/>
      <c r="F86" s="66">
        <v>7.5</v>
      </c>
      <c r="G86" s="282"/>
      <c r="H86" s="76"/>
      <c r="I86" s="76"/>
      <c r="J86" s="66">
        <v>7.5</v>
      </c>
      <c r="K86" s="67"/>
      <c r="L86" s="194"/>
      <c r="M86" s="194"/>
      <c r="N86" s="71">
        <v>1</v>
      </c>
      <c r="P86" s="69"/>
    </row>
    <row r="87" spans="2:16" ht="14.4" thickBot="1">
      <c r="B87" s="415" t="s">
        <v>161</v>
      </c>
      <c r="C87" s="65"/>
      <c r="D87" s="76"/>
      <c r="E87" s="76">
        <v>4.8792508624938291</v>
      </c>
      <c r="F87" s="66">
        <v>4.8</v>
      </c>
      <c r="G87" s="282"/>
      <c r="H87" s="76"/>
      <c r="I87" s="76">
        <v>6.2003723782925313</v>
      </c>
      <c r="J87" s="66">
        <v>4.8</v>
      </c>
      <c r="K87" s="67"/>
      <c r="L87" s="194"/>
      <c r="M87" s="194">
        <v>0.33859649122807017</v>
      </c>
      <c r="N87" s="71">
        <v>1</v>
      </c>
      <c r="O87" s="74"/>
      <c r="P87" s="75"/>
    </row>
    <row r="88" spans="2:16">
      <c r="D88" s="76">
        <v>6.4085871454469503</v>
      </c>
      <c r="E88" s="76">
        <v>6.6149175602739421</v>
      </c>
      <c r="F88" s="341">
        <v>5.5</v>
      </c>
      <c r="H88" s="76">
        <v>6.346727497093263</v>
      </c>
      <c r="I88" s="76">
        <v>6.925931727140795</v>
      </c>
      <c r="J88" s="341">
        <v>5.5</v>
      </c>
      <c r="L88" s="194">
        <v>0.49922319688109157</v>
      </c>
      <c r="M88" s="194">
        <v>0.67840198087431691</v>
      </c>
      <c r="N88" s="386">
        <v>1</v>
      </c>
    </row>
    <row r="92" spans="2:16">
      <c r="F92" s="315"/>
    </row>
    <row r="93" spans="2:16">
      <c r="F93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41:N41"/>
    <mergeCell ref="D42:E42"/>
    <mergeCell ref="B43:B54"/>
    <mergeCell ref="D43:E44"/>
    <mergeCell ref="D45:E46"/>
    <mergeCell ref="D47:E48"/>
    <mergeCell ref="D49:E50"/>
    <mergeCell ref="D51:E52"/>
    <mergeCell ref="D53:E54"/>
    <mergeCell ref="B55:B64"/>
    <mergeCell ref="D55:E56"/>
    <mergeCell ref="J55:K55"/>
    <mergeCell ref="L56:N56"/>
    <mergeCell ref="D57:E58"/>
    <mergeCell ref="D59:E60"/>
    <mergeCell ref="D61:E62"/>
    <mergeCell ref="D63:E64"/>
    <mergeCell ref="D65:E65"/>
    <mergeCell ref="B70:B71"/>
    <mergeCell ref="C70:C71"/>
    <mergeCell ref="D70:D71"/>
    <mergeCell ref="E70:E71"/>
    <mergeCell ref="M70:M71"/>
    <mergeCell ref="B77:F77"/>
    <mergeCell ref="G77:J77"/>
    <mergeCell ref="K77:N77"/>
    <mergeCell ref="G70:G71"/>
    <mergeCell ref="H70:H71"/>
    <mergeCell ref="I70:I71"/>
    <mergeCell ref="J70:J71"/>
    <mergeCell ref="K70:K71"/>
    <mergeCell ref="L70:L71"/>
    <mergeCell ref="F70:F71"/>
  </mergeCells>
  <conditionalFormatting sqref="B65:B66">
    <cfRule type="cellIs" dxfId="416" priority="127" operator="notBetween">
      <formula>#REF!</formula>
      <formula>#REF!</formula>
    </cfRule>
  </conditionalFormatting>
  <conditionalFormatting sqref="C69">
    <cfRule type="cellIs" dxfId="415" priority="159" stopIfTrue="1" operator="greaterThan">
      <formula>100</formula>
    </cfRule>
    <cfRule type="cellIs" dxfId="414" priority="158" stopIfTrue="1" operator="lessThan">
      <formula>96</formula>
    </cfRule>
  </conditionalFormatting>
  <conditionalFormatting sqref="C79:C80">
    <cfRule type="cellIs" dxfId="413" priority="105" stopIfTrue="1" operator="lessThanOrEqual">
      <formula>0</formula>
    </cfRule>
  </conditionalFormatting>
  <conditionalFormatting sqref="C79:C83">
    <cfRule type="cellIs" dxfId="412" priority="104" stopIfTrue="1" operator="greaterThan">
      <formula>$F79</formula>
    </cfRule>
  </conditionalFormatting>
  <conditionalFormatting sqref="C80">
    <cfRule type="cellIs" dxfId="411" priority="162" stopIfTrue="1" operator="greaterThan">
      <formula>$F79</formula>
    </cfRule>
  </conditionalFormatting>
  <conditionalFormatting sqref="C81:C84">
    <cfRule type="cellIs" dxfId="410" priority="111" stopIfTrue="1" operator="lessThanOrEqual">
      <formula>0</formula>
    </cfRule>
  </conditionalFormatting>
  <conditionalFormatting sqref="C84">
    <cfRule type="cellIs" dxfId="409" priority="110" stopIfTrue="1" operator="greaterThan">
      <formula>$J84</formula>
    </cfRule>
  </conditionalFormatting>
  <conditionalFormatting sqref="C90:C94">
    <cfRule type="cellIs" dxfId="408" priority="150" stopIfTrue="1" operator="lessThanOrEqual">
      <formula>0</formula>
    </cfRule>
  </conditionalFormatting>
  <conditionalFormatting sqref="C91:C94">
    <cfRule type="cellIs" dxfId="407" priority="149" stopIfTrue="1" operator="greaterThan">
      <formula>$F$90</formula>
    </cfRule>
  </conditionalFormatting>
  <conditionalFormatting sqref="C96">
    <cfRule type="cellIs" dxfId="406" priority="152" stopIfTrue="1" operator="lessThanOrEqual">
      <formula>0</formula>
    </cfRule>
    <cfRule type="cellIs" dxfId="405" priority="151" stopIfTrue="1" operator="greaterThan">
      <formula>$F$90</formula>
    </cfRule>
  </conditionalFormatting>
  <conditionalFormatting sqref="C90:D90 D92:D98">
    <cfRule type="cellIs" dxfId="404" priority="144" stopIfTrue="1" operator="greaterThan">
      <formula>4.5</formula>
    </cfRule>
  </conditionalFormatting>
  <conditionalFormatting sqref="D65:D66">
    <cfRule type="cellIs" dxfId="403" priority="128" operator="notBetween">
      <formula>#REF!</formula>
      <formula>#REF!</formula>
    </cfRule>
  </conditionalFormatting>
  <conditionalFormatting sqref="D79:D86">
    <cfRule type="cellIs" dxfId="402" priority="121" stopIfTrue="1" operator="lessThanOrEqual">
      <formula>0</formula>
    </cfRule>
  </conditionalFormatting>
  <conditionalFormatting sqref="D87">
    <cfRule type="cellIs" dxfId="401" priority="120" stopIfTrue="1" operator="lessThanOrEqual">
      <formula>0</formula>
    </cfRule>
  </conditionalFormatting>
  <conditionalFormatting sqref="D90 D92:D98">
    <cfRule type="cellIs" dxfId="400" priority="145" stopIfTrue="1" operator="lessThanOrEqual">
      <formula>0</formula>
    </cfRule>
  </conditionalFormatting>
  <conditionalFormatting sqref="D91">
    <cfRule type="cellIs" dxfId="399" priority="137" stopIfTrue="1" operator="lessThanOrEqual">
      <formula>0</formula>
    </cfRule>
    <cfRule type="cellIs" dxfId="398" priority="136" stopIfTrue="1" operator="greaterThan">
      <formula>$F$90</formula>
    </cfRule>
  </conditionalFormatting>
  <conditionalFormatting sqref="D79:E88">
    <cfRule type="cellIs" dxfId="397" priority="101" stopIfTrue="1" operator="greaterThan">
      <formula>$F79</formula>
    </cfRule>
  </conditionalFormatting>
  <conditionalFormatting sqref="D88:E88">
    <cfRule type="cellIs" dxfId="396" priority="102" stopIfTrue="1" operator="lessThanOrEqual">
      <formula>0</formula>
    </cfRule>
  </conditionalFormatting>
  <conditionalFormatting sqref="E10:E40">
    <cfRule type="cellIs" dxfId="395" priority="5" operator="lessThan">
      <formula>48</formula>
    </cfRule>
  </conditionalFormatting>
  <conditionalFormatting sqref="E68 E69:F69">
    <cfRule type="cellIs" dxfId="394" priority="141" stopIfTrue="1" operator="greaterThan">
      <formula>100</formula>
    </cfRule>
  </conditionalFormatting>
  <conditionalFormatting sqref="E69">
    <cfRule type="cellIs" dxfId="393" priority="138" stopIfTrue="1" operator="lessThan">
      <formula>96.8</formula>
    </cfRule>
    <cfRule type="cellIs" dxfId="392" priority="139" stopIfTrue="1" operator="greaterThan">
      <formula>100</formula>
    </cfRule>
  </conditionalFormatting>
  <conditionalFormatting sqref="E79:E87">
    <cfRule type="cellIs" dxfId="391" priority="115" stopIfTrue="1" operator="lessThanOrEqual">
      <formula>0</formula>
    </cfRule>
  </conditionalFormatting>
  <conditionalFormatting sqref="E90:E98">
    <cfRule type="cellIs" dxfId="390" priority="130" stopIfTrue="1" operator="greaterThan">
      <formula>4.5</formula>
    </cfRule>
    <cfRule type="cellIs" dxfId="389" priority="131" stopIfTrue="1" operator="lessThanOrEqual">
      <formula>0</formula>
    </cfRule>
  </conditionalFormatting>
  <conditionalFormatting sqref="E69:F69 E68">
    <cfRule type="cellIs" dxfId="388" priority="140" stopIfTrue="1" operator="lessThan">
      <formula>96.5</formula>
    </cfRule>
  </conditionalFormatting>
  <conditionalFormatting sqref="F10:F40">
    <cfRule type="cellIs" dxfId="387" priority="6" operator="greaterThan">
      <formula>60</formula>
    </cfRule>
  </conditionalFormatting>
  <conditionalFormatting sqref="F69">
    <cfRule type="cellIs" dxfId="386" priority="157" stopIfTrue="1" operator="greaterThan">
      <formula>100</formula>
    </cfRule>
    <cfRule type="cellIs" dxfId="385" priority="156" stopIfTrue="1" operator="lessThan">
      <formula>96.8</formula>
    </cfRule>
  </conditionalFormatting>
  <conditionalFormatting sqref="F88">
    <cfRule type="cellIs" dxfId="384" priority="117" stopIfTrue="1" operator="lessThanOrEqual">
      <formula>0</formula>
    </cfRule>
    <cfRule type="cellIs" dxfId="383" priority="116" stopIfTrue="1" operator="greaterThan">
      <formula>$F88</formula>
    </cfRule>
  </conditionalFormatting>
  <conditionalFormatting sqref="F93">
    <cfRule type="cellIs" dxfId="382" priority="13" stopIfTrue="1" operator="greaterThan">
      <formula>$F93</formula>
    </cfRule>
    <cfRule type="cellIs" dxfId="381" priority="14" stopIfTrue="1" operator="lessThanOrEqual">
      <formula>0</formula>
    </cfRule>
  </conditionalFormatting>
  <conditionalFormatting sqref="G79:G80 C85:C87">
    <cfRule type="cellIs" dxfId="380" priority="122" stopIfTrue="1" operator="greaterThan">
      <formula>$F79</formula>
    </cfRule>
    <cfRule type="cellIs" dxfId="379" priority="123" stopIfTrue="1" operator="lessThanOrEqual">
      <formula>0</formula>
    </cfRule>
  </conditionalFormatting>
  <conditionalFormatting sqref="G79:G80">
    <cfRule type="cellIs" dxfId="378" priority="106" stopIfTrue="1" operator="greaterThan">
      <formula>$F79</formula>
    </cfRule>
    <cfRule type="cellIs" dxfId="377" priority="107" stopIfTrue="1" operator="lessThanOrEqual">
      <formula>0</formula>
    </cfRule>
  </conditionalFormatting>
  <conditionalFormatting sqref="G81">
    <cfRule type="cellIs" dxfId="376" priority="160" stopIfTrue="1" operator="greaterThan">
      <formula>$F80</formula>
    </cfRule>
    <cfRule type="cellIs" dxfId="375" priority="161" stopIfTrue="1" operator="lessThanOrEqual">
      <formula>0</formula>
    </cfRule>
  </conditionalFormatting>
  <conditionalFormatting sqref="G82">
    <cfRule type="cellIs" dxfId="374" priority="118" stopIfTrue="1" operator="greaterThan">
      <formula>$F82</formula>
    </cfRule>
    <cfRule type="cellIs" dxfId="373" priority="119" stopIfTrue="1" operator="lessThanOrEqual">
      <formula>0</formula>
    </cfRule>
  </conditionalFormatting>
  <conditionalFormatting sqref="G83:G87">
    <cfRule type="cellIs" dxfId="372" priority="125" stopIfTrue="1" operator="lessThanOrEqual">
      <formula>0</formula>
    </cfRule>
    <cfRule type="cellIs" dxfId="371" priority="124" stopIfTrue="1" operator="greaterThan">
      <formula>$J83</formula>
    </cfRule>
  </conditionalFormatting>
  <conditionalFormatting sqref="G92:G97 C95 C97">
    <cfRule type="cellIs" dxfId="370" priority="153" stopIfTrue="1" operator="greaterThan">
      <formula>4.5</formula>
    </cfRule>
    <cfRule type="cellIs" dxfId="369" priority="154" stopIfTrue="1" operator="lessThanOrEqual">
      <formula>0</formula>
    </cfRule>
  </conditionalFormatting>
  <conditionalFormatting sqref="G10:H40">
    <cfRule type="expression" dxfId="368" priority="1">
      <formula>IF(+(IF(G10&lt;#REF!,0,IF(G10&gt;#REF!,0,1)))=0,1)</formula>
    </cfRule>
  </conditionalFormatting>
  <conditionalFormatting sqref="G91:H91">
    <cfRule type="cellIs" dxfId="367" priority="134" stopIfTrue="1" operator="greaterThan">
      <formula>$F$90</formula>
    </cfRule>
    <cfRule type="cellIs" dxfId="366" priority="135" stopIfTrue="1" operator="lessThanOrEqual">
      <formula>0</formula>
    </cfRule>
  </conditionalFormatting>
  <conditionalFormatting sqref="H54:H68 I55:I67">
    <cfRule type="cellIs" dxfId="365" priority="132" stopIfTrue="1" operator="greaterThan">
      <formula>0</formula>
    </cfRule>
  </conditionalFormatting>
  <conditionalFormatting sqref="H72">
    <cfRule type="cellIs" dxfId="364" priority="28" stopIfTrue="1" operator="lessThanOrEqual">
      <formula>0</formula>
    </cfRule>
    <cfRule type="cellIs" dxfId="363" priority="29" stopIfTrue="1" operator="greaterThan">
      <formula>$F$40</formula>
    </cfRule>
    <cfRule type="cellIs" dxfId="362" priority="30" stopIfTrue="1" operator="lessThanOrEqual">
      <formula>0</formula>
    </cfRule>
    <cfRule type="cellIs" dxfId="361" priority="18" stopIfTrue="1" operator="lessThanOrEqual">
      <formula>0</formula>
    </cfRule>
    <cfRule type="cellIs" dxfId="360" priority="19" stopIfTrue="1" operator="greaterThan">
      <formula>$F$39</formula>
    </cfRule>
    <cfRule type="cellIs" dxfId="359" priority="27" stopIfTrue="1" operator="greaterThan">
      <formula>$F$42</formula>
    </cfRule>
  </conditionalFormatting>
  <conditionalFormatting sqref="H73 H75">
    <cfRule type="cellIs" dxfId="358" priority="87" stopIfTrue="1" operator="lessThanOrEqual">
      <formula>0</formula>
    </cfRule>
    <cfRule type="cellIs" dxfId="357" priority="86" stopIfTrue="1" operator="greaterThan">
      <formula>$F$54</formula>
    </cfRule>
    <cfRule type="cellIs" dxfId="356" priority="85" stopIfTrue="1" operator="lessThanOrEqual">
      <formula>0</formula>
    </cfRule>
    <cfRule type="cellIs" dxfId="355" priority="84" stopIfTrue="1" operator="greaterThan">
      <formula>$F$56</formula>
    </cfRule>
    <cfRule type="cellIs" dxfId="354" priority="75" stopIfTrue="1" operator="lessThanOrEqual">
      <formula>0</formula>
    </cfRule>
    <cfRule type="cellIs" dxfId="353" priority="76" stopIfTrue="1" operator="greaterThan">
      <formula>$F$53</formula>
    </cfRule>
  </conditionalFormatting>
  <conditionalFormatting sqref="H74">
    <cfRule type="cellIs" dxfId="352" priority="41" stopIfTrue="1" operator="greaterThan">
      <formula>$F$42</formula>
    </cfRule>
    <cfRule type="cellIs" dxfId="351" priority="42" stopIfTrue="1" operator="lessThanOrEqual">
      <formula>0</formula>
    </cfRule>
    <cfRule type="cellIs" dxfId="350" priority="43" stopIfTrue="1" operator="greaterThan">
      <formula>$F$40</formula>
    </cfRule>
    <cfRule type="cellIs" dxfId="349" priority="44" stopIfTrue="1" operator="lessThanOrEqual">
      <formula>0</formula>
    </cfRule>
    <cfRule type="cellIs" dxfId="348" priority="32" stopIfTrue="1" operator="lessThanOrEqual">
      <formula>0</formula>
    </cfRule>
    <cfRule type="cellIs" dxfId="347" priority="33" stopIfTrue="1" operator="greaterThan">
      <formula>$F$39</formula>
    </cfRule>
  </conditionalFormatting>
  <conditionalFormatting sqref="H79:H86">
    <cfRule type="cellIs" dxfId="346" priority="108" stopIfTrue="1" operator="greaterThan">
      <formula>$J79</formula>
    </cfRule>
    <cfRule type="cellIs" dxfId="345" priority="109" stopIfTrue="1" operator="lessThanOrEqual">
      <formula>0</formula>
    </cfRule>
  </conditionalFormatting>
  <conditionalFormatting sqref="H87">
    <cfRule type="cellIs" dxfId="344" priority="112" operator="greaterThan">
      <formula>5.3</formula>
    </cfRule>
  </conditionalFormatting>
  <conditionalFormatting sqref="H90 H92:H98">
    <cfRule type="cellIs" dxfId="343" priority="146" stopIfTrue="1" operator="greaterThan">
      <formula>4.5</formula>
    </cfRule>
    <cfRule type="cellIs" dxfId="342" priority="147" stopIfTrue="1" operator="lessThanOrEqual">
      <formula>0</formula>
    </cfRule>
  </conditionalFormatting>
  <conditionalFormatting sqref="H72:I72">
    <cfRule type="cellIs" dxfId="341" priority="17" stopIfTrue="1" operator="greaterThan">
      <formula>$F$41</formula>
    </cfRule>
    <cfRule type="cellIs" dxfId="340" priority="20" stopIfTrue="1" operator="lessThanOrEqual">
      <formula>0</formula>
    </cfRule>
  </conditionalFormatting>
  <conditionalFormatting sqref="H73:I73 H75:I75">
    <cfRule type="cellIs" dxfId="339" priority="77" stopIfTrue="1" operator="lessThanOrEqual">
      <formula>0</formula>
    </cfRule>
    <cfRule type="cellIs" dxfId="338" priority="74" stopIfTrue="1" operator="greaterThan">
      <formula>$F$55</formula>
    </cfRule>
  </conditionalFormatting>
  <conditionalFormatting sqref="H74:I74">
    <cfRule type="cellIs" dxfId="337" priority="31" stopIfTrue="1" operator="greaterThan">
      <formula>$F$41</formula>
    </cfRule>
    <cfRule type="cellIs" dxfId="336" priority="34" stopIfTrue="1" operator="lessThanOrEqual">
      <formula>0</formula>
    </cfRule>
  </conditionalFormatting>
  <conditionalFormatting sqref="H88:I88">
    <cfRule type="cellIs" dxfId="335" priority="99" stopIfTrue="1" operator="greaterThan">
      <formula>$J88</formula>
    </cfRule>
    <cfRule type="cellIs" dxfId="334" priority="100" stopIfTrue="1" operator="lessThanOrEqual">
      <formula>0</formula>
    </cfRule>
  </conditionalFormatting>
  <conditionalFormatting sqref="I72">
    <cfRule type="cellIs" dxfId="333" priority="21" stopIfTrue="1" operator="greaterThan">
      <formula>$F$39</formula>
    </cfRule>
    <cfRule type="cellIs" dxfId="332" priority="26" stopIfTrue="1" operator="lessThanOrEqual">
      <formula>0</formula>
    </cfRule>
    <cfRule type="cellIs" dxfId="331" priority="25" stopIfTrue="1" operator="greaterThan">
      <formula>$F$39</formula>
    </cfRule>
    <cfRule type="cellIs" dxfId="330" priority="24" stopIfTrue="1" operator="lessThanOrEqual">
      <formula>0</formula>
    </cfRule>
    <cfRule type="cellIs" dxfId="329" priority="23" stopIfTrue="1" operator="greaterThan">
      <formula>$F$41</formula>
    </cfRule>
    <cfRule type="cellIs" dxfId="328" priority="22" stopIfTrue="1" operator="lessThanOrEqual">
      <formula>0</formula>
    </cfRule>
  </conditionalFormatting>
  <conditionalFormatting sqref="I73 I75">
    <cfRule type="cellIs" dxfId="327" priority="83" stopIfTrue="1" operator="lessThanOrEqual">
      <formula>0</formula>
    </cfRule>
    <cfRule type="cellIs" dxfId="326" priority="80" stopIfTrue="1" operator="greaterThan">
      <formula>$F$55</formula>
    </cfRule>
    <cfRule type="cellIs" dxfId="325" priority="79" stopIfTrue="1" operator="lessThanOrEqual">
      <formula>0</formula>
    </cfRule>
    <cfRule type="cellIs" dxfId="324" priority="81" stopIfTrue="1" operator="lessThanOrEqual">
      <formula>0</formula>
    </cfRule>
    <cfRule type="cellIs" dxfId="323" priority="78" stopIfTrue="1" operator="greaterThan">
      <formula>$F$53</formula>
    </cfRule>
    <cfRule type="cellIs" dxfId="322" priority="82" stopIfTrue="1" operator="greaterThan">
      <formula>$F$53</formula>
    </cfRule>
  </conditionalFormatting>
  <conditionalFormatting sqref="I74">
    <cfRule type="cellIs" dxfId="321" priority="39" stopIfTrue="1" operator="greaterThan">
      <formula>$F$39</formula>
    </cfRule>
    <cfRule type="cellIs" dxfId="320" priority="36" stopIfTrue="1" operator="lessThanOrEqual">
      <formula>0</formula>
    </cfRule>
    <cfRule type="cellIs" dxfId="319" priority="37" stopIfTrue="1" operator="greaterThan">
      <formula>$F$41</formula>
    </cfRule>
    <cfRule type="cellIs" dxfId="318" priority="35" stopIfTrue="1" operator="greaterThan">
      <formula>$F$39</formula>
    </cfRule>
    <cfRule type="cellIs" dxfId="317" priority="40" stopIfTrue="1" operator="lessThanOrEqual">
      <formula>0</formula>
    </cfRule>
    <cfRule type="cellIs" dxfId="316" priority="38" stopIfTrue="1" operator="lessThanOrEqual">
      <formula>0</formula>
    </cfRule>
  </conditionalFormatting>
  <conditionalFormatting sqref="I79:I87">
    <cfRule type="cellIs" dxfId="315" priority="113" stopIfTrue="1" operator="greaterThan">
      <formula>$J79</formula>
    </cfRule>
    <cfRule type="cellIs" dxfId="314" priority="114" stopIfTrue="1" operator="lessThanOrEqual">
      <formula>0</formula>
    </cfRule>
  </conditionalFormatting>
  <conditionalFormatting sqref="I90:I98">
    <cfRule type="cellIs" dxfId="313" priority="142" stopIfTrue="1" operator="greaterThan">
      <formula>4.5</formula>
    </cfRule>
    <cfRule type="cellIs" dxfId="312" priority="143" stopIfTrue="1" operator="lessThanOrEqual">
      <formula>0</formula>
    </cfRule>
  </conditionalFormatting>
  <conditionalFormatting sqref="I10:J40">
    <cfRule type="cellIs" dxfId="311" priority="10" operator="lessThan">
      <formula>97.9</formula>
    </cfRule>
  </conditionalFormatting>
  <conditionalFormatting sqref="J43:J45">
    <cfRule type="cellIs" dxfId="310" priority="89" stopIfTrue="1" operator="lessThan">
      <formula>96.8</formula>
    </cfRule>
    <cfRule type="cellIs" dxfId="309" priority="90" stopIfTrue="1" operator="greaterThan">
      <formula>100</formula>
    </cfRule>
    <cfRule type="cellIs" dxfId="308" priority="91" operator="lessThan">
      <formula>98</formula>
    </cfRule>
  </conditionalFormatting>
  <conditionalFormatting sqref="J43:J47">
    <cfRule type="cellIs" dxfId="307" priority="88" operator="lessThan">
      <formula>97.4</formula>
    </cfRule>
  </conditionalFormatting>
  <conditionalFormatting sqref="J48">
    <cfRule type="cellIs" dxfId="306" priority="92" operator="lessThan">
      <formula>98</formula>
    </cfRule>
  </conditionalFormatting>
  <conditionalFormatting sqref="J50:J51">
    <cfRule type="cellIs" dxfId="305" priority="94" stopIfTrue="1" operator="greaterThan">
      <formula>100</formula>
    </cfRule>
    <cfRule type="cellIs" dxfId="304" priority="93" stopIfTrue="1" operator="lessThan">
      <formula>96.8</formula>
    </cfRule>
  </conditionalFormatting>
  <conditionalFormatting sqref="J50:J52">
    <cfRule type="cellIs" dxfId="303" priority="95" operator="lessThan">
      <formula>98</formula>
    </cfRule>
  </conditionalFormatting>
  <conditionalFormatting sqref="J88">
    <cfRule type="cellIs" dxfId="302" priority="96" stopIfTrue="1" operator="greaterThan">
      <formula>$F88</formula>
    </cfRule>
    <cfRule type="cellIs" dxfId="301" priority="97" stopIfTrue="1" operator="lessThanOrEqual">
      <formula>0</formula>
    </cfRule>
  </conditionalFormatting>
  <conditionalFormatting sqref="K10:K40">
    <cfRule type="cellIs" dxfId="300" priority="3" operator="greaterThan">
      <formula>6</formula>
    </cfRule>
    <cfRule type="cellIs" dxfId="299" priority="9" operator="greaterThan">
      <formula>6.4</formula>
    </cfRule>
    <cfRule type="cellIs" dxfId="298" priority="2" operator="lessThan">
      <formula>4</formula>
    </cfRule>
  </conditionalFormatting>
  <conditionalFormatting sqref="K72:K75">
    <cfRule type="cellIs" dxfId="297" priority="72" stopIfTrue="1" operator="lessThan">
      <formula>100%</formula>
    </cfRule>
  </conditionalFormatting>
  <conditionalFormatting sqref="K90:K95">
    <cfRule type="cellIs" dxfId="296" priority="148" stopIfTrue="1" operator="lessThan">
      <formula>100%</formula>
    </cfRule>
  </conditionalFormatting>
  <conditionalFormatting sqref="K97:K98">
    <cfRule type="cellIs" dxfId="295" priority="155" stopIfTrue="1" operator="lessThan">
      <formula>100%</formula>
    </cfRule>
  </conditionalFormatting>
  <conditionalFormatting sqref="K79:N82 L83:N83">
    <cfRule type="cellIs" dxfId="294" priority="126" stopIfTrue="1" operator="lessThan">
      <formula>100%</formula>
    </cfRule>
  </conditionalFormatting>
  <conditionalFormatting sqref="K84:N87 L88:N88">
    <cfRule type="cellIs" dxfId="293" priority="98" stopIfTrue="1" operator="lessThan">
      <formula>100%</formula>
    </cfRule>
  </conditionalFormatting>
  <conditionalFormatting sqref="L26:L40">
    <cfRule type="cellIs" dxfId="292" priority="11" operator="between">
      <formula>61</formula>
      <formula>65</formula>
    </cfRule>
    <cfRule type="cellIs" dxfId="291" priority="12" operator="greaterThan">
      <formula>65</formula>
    </cfRule>
  </conditionalFormatting>
  <conditionalFormatting sqref="L10:M25">
    <cfRule type="cellIs" dxfId="290" priority="15" operator="between">
      <formula>61</formula>
      <formula>65</formula>
    </cfRule>
    <cfRule type="cellIs" dxfId="289" priority="16" operator="greaterThan">
      <formula>65</formula>
    </cfRule>
  </conditionalFormatting>
  <conditionalFormatting sqref="L43:M54">
    <cfRule type="cellIs" dxfId="288" priority="103" operator="lessThan">
      <formula>98</formula>
    </cfRule>
  </conditionalFormatting>
  <conditionalFormatting sqref="L58:N58">
    <cfRule type="cellIs" dxfId="287" priority="73" operator="notEqual">
      <formula>#REF!</formula>
    </cfRule>
  </conditionalFormatting>
  <conditionalFormatting sqref="L90:N98">
    <cfRule type="cellIs" dxfId="286" priority="133" stopIfTrue="1" operator="lessThan">
      <formula>100%</formula>
    </cfRule>
  </conditionalFormatting>
  <conditionalFormatting sqref="M10:M27">
    <cfRule type="expression" dxfId="285" priority="51">
      <formula>IF(+(IF(M10&lt;U10,0,IF(M10&gt;V10,0,1)))=0,1)</formula>
    </cfRule>
  </conditionalFormatting>
  <conditionalFormatting sqref="M28:M40">
    <cfRule type="expression" dxfId="284" priority="8">
      <formula>IF(+(IF(M28&lt;U28,0,IF(M28&gt;V28,0,1)))=0,1)</formula>
    </cfRule>
  </conditionalFormatting>
  <conditionalFormatting sqref="N10:N40">
    <cfRule type="expression" dxfId="283" priority="4">
      <formula>IF(+(IF(N10&lt;W10,0,IF(N10&gt;X10,0,1)))=0,1)</formula>
    </cfRule>
  </conditionalFormatting>
  <conditionalFormatting sqref="P6">
    <cfRule type="cellIs" dxfId="282" priority="129" operator="greaterThanOrEqual">
      <formula>19</formula>
    </cfRule>
  </conditionalFormatting>
  <dataValidations count="1">
    <dataValidation type="list" allowBlank="1" showInputMessage="1" showErrorMessage="1" sqref="R8" xr:uid="{552D0035-54D9-4CD2-9B52-36F966C46EE3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92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C612-C430-430D-80EE-48DD7666B746}">
  <sheetPr>
    <pageSetUpPr fitToPage="1"/>
  </sheetPr>
  <dimension ref="A1:BE98"/>
  <sheetViews>
    <sheetView topLeftCell="A34" zoomScale="70" zoomScaleNormal="70" workbookViewId="0">
      <selection activeCell="E36" sqref="E36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73" t="s">
        <v>0</v>
      </c>
      <c r="T1" s="473"/>
      <c r="U1" s="473" t="s">
        <v>1</v>
      </c>
      <c r="V1" s="473"/>
      <c r="W1" s="473" t="s">
        <v>2</v>
      </c>
      <c r="X1" s="473"/>
      <c r="Y1" s="473" t="s">
        <v>124</v>
      </c>
      <c r="Z1" s="473"/>
    </row>
    <row r="2" spans="2:29" ht="14.4">
      <c r="B2" s="474" t="s">
        <v>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45838</v>
      </c>
      <c r="J4" s="398" t="s">
        <v>172</v>
      </c>
      <c r="K4" s="398"/>
      <c r="L4" s="11"/>
      <c r="M4" s="471" t="s">
        <v>8</v>
      </c>
      <c r="N4" s="472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68"/>
      <c r="D5" s="468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222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81" t="s">
        <v>17</v>
      </c>
      <c r="C8" s="483" t="s">
        <v>18</v>
      </c>
      <c r="D8" s="483" t="s">
        <v>19</v>
      </c>
      <c r="E8" s="356" t="s">
        <v>20</v>
      </c>
      <c r="F8" s="356" t="s">
        <v>21</v>
      </c>
      <c r="G8" s="483" t="s">
        <v>22</v>
      </c>
      <c r="H8" s="485" t="s">
        <v>144</v>
      </c>
      <c r="I8" s="483" t="s">
        <v>197</v>
      </c>
      <c r="J8" s="487" t="s">
        <v>23</v>
      </c>
      <c r="K8" s="489" t="s">
        <v>142</v>
      </c>
      <c r="L8" s="491" t="s">
        <v>24</v>
      </c>
      <c r="M8" s="359" t="s">
        <v>25</v>
      </c>
      <c r="N8" s="17" t="s">
        <v>26</v>
      </c>
      <c r="O8" s="543" t="s">
        <v>155</v>
      </c>
      <c r="P8" s="555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82"/>
      <c r="C9" s="484"/>
      <c r="D9" s="484"/>
      <c r="E9" s="357" t="s">
        <v>30</v>
      </c>
      <c r="F9" s="357" t="s">
        <v>31</v>
      </c>
      <c r="G9" s="484"/>
      <c r="H9" s="486"/>
      <c r="I9" s="484"/>
      <c r="J9" s="488"/>
      <c r="K9" s="490"/>
      <c r="L9" s="492"/>
      <c r="M9" s="20" t="s">
        <v>32</v>
      </c>
      <c r="N9" s="21" t="s">
        <v>41</v>
      </c>
      <c r="O9" s="556"/>
      <c r="P9" s="555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20.399999999999999" customHeight="1">
      <c r="B10" s="464" t="s">
        <v>213</v>
      </c>
      <c r="C10" s="357"/>
      <c r="D10" s="357"/>
      <c r="E10" s="357"/>
      <c r="F10" s="357"/>
      <c r="G10" s="357"/>
      <c r="H10" s="448"/>
      <c r="I10" s="357"/>
      <c r="J10" s="449"/>
      <c r="K10" s="357"/>
      <c r="L10" s="450"/>
      <c r="M10" s="20"/>
      <c r="N10" s="21"/>
      <c r="O10" s="451"/>
      <c r="P10" s="339"/>
      <c r="R10" s="452"/>
      <c r="S10" s="453"/>
      <c r="T10" s="453"/>
      <c r="U10" s="454"/>
      <c r="V10" s="454"/>
      <c r="W10" s="455"/>
      <c r="X10" s="455"/>
      <c r="Y10" s="456"/>
      <c r="Z10" s="453"/>
    </row>
    <row r="11" spans="2:29" ht="15.75" customHeight="1">
      <c r="B11" s="29" t="s">
        <v>6</v>
      </c>
      <c r="C11" s="366" t="str">
        <f>[24]Brewhouse!$A557</f>
        <v>CA451</v>
      </c>
      <c r="D11" s="279">
        <f>[24]Brewhouse!$AF557</f>
        <v>53.3</v>
      </c>
      <c r="E11" s="279">
        <f>[24]Brewhouse!$AI557</f>
        <v>51.5</v>
      </c>
      <c r="F11" s="278">
        <f>[24]Brewhouse!$V557</f>
        <v>62</v>
      </c>
      <c r="G11" s="279">
        <f>[24]Brewhouse!$AG557</f>
        <v>11.9</v>
      </c>
      <c r="H11" s="396">
        <v>11.9</v>
      </c>
      <c r="I11" s="368">
        <f>[24]Brewhouse!$AU557</f>
        <v>99.5590993434582</v>
      </c>
      <c r="J11" s="368">
        <f>[24]Brewhouse!$AV557</f>
        <v>102.11279417705809</v>
      </c>
      <c r="K11" s="281">
        <f>[24]Brewhouse!$Q557</f>
        <v>6.151079136690651</v>
      </c>
      <c r="L11" s="276">
        <f>[24]Brewhouse!$P557</f>
        <v>60</v>
      </c>
      <c r="M11" s="397">
        <f>[24]Brewhouse!$U557-[24]Brewhouse!$T557</f>
        <v>0.11458333333333331</v>
      </c>
      <c r="N11" s="370">
        <f>[24]Brewhouse!$Z557</f>
        <v>0.25555555555555554</v>
      </c>
      <c r="O11" s="371" t="str">
        <f>[24]Brewhouse!$AX557</f>
        <v>D. Gomez</v>
      </c>
      <c r="P11" s="420"/>
      <c r="R11" s="277" t="str">
        <f t="shared" ref="R11:R47" si="0">B11</f>
        <v>CARIB</v>
      </c>
      <c r="S11" s="296">
        <f t="shared" ref="S11:S47" si="1">VLOOKUP($B11,$R$3:$X$9,2,FALSE)</f>
        <v>11.6</v>
      </c>
      <c r="T11" s="296">
        <f t="shared" ref="T11:T47" si="2">VLOOKUP($B11,$R$3:$X$9,3,FALSE)</f>
        <v>12</v>
      </c>
      <c r="U11" s="297">
        <f t="shared" ref="U11:U47" si="3">VLOOKUP($B11,$R$3:$X$9,4,FALSE)</f>
        <v>0</v>
      </c>
      <c r="V11" s="297">
        <f t="shared" ref="V11:V47" si="4">VLOOKUP($B11,$R$3:$X$9,5,FALSE)</f>
        <v>0.118055555555556</v>
      </c>
      <c r="W11" s="297">
        <f t="shared" ref="W11:W47" si="5">VLOOKUP($B11,$R$3:$X$9,6,FALSE)</f>
        <v>0.22569444444444445</v>
      </c>
      <c r="X11" s="297">
        <f t="shared" ref="X11:X47" si="6">VLOOKUP($B11,$R$3:$X$9,7,FALSE)</f>
        <v>0.2638888888888889</v>
      </c>
      <c r="Y11" s="297">
        <f t="shared" ref="Y11:Y47" si="7">VLOOKUP($B11,$R$3:$Z$9,8,FALSE)</f>
        <v>0</v>
      </c>
      <c r="Z11" s="296">
        <f t="shared" ref="Z11:Z47" si="8">VLOOKUP($B11,$R$3:$Z$9,9,FALSE)</f>
        <v>60</v>
      </c>
    </row>
    <row r="12" spans="2:29" ht="15.75" customHeight="1">
      <c r="B12" s="29" t="s">
        <v>6</v>
      </c>
      <c r="C12" s="366" t="str">
        <f>[24]Brewhouse!$A558</f>
        <v>CA452</v>
      </c>
      <c r="D12" s="279">
        <f>[24]Brewhouse!$AF558</f>
        <v>53.5</v>
      </c>
      <c r="E12" s="279">
        <f>[24]Brewhouse!$AI558</f>
        <v>50.7</v>
      </c>
      <c r="F12" s="278">
        <f>[24]Brewhouse!$V558</f>
        <v>135</v>
      </c>
      <c r="G12" s="279">
        <f>[24]Brewhouse!$AG558</f>
        <v>11.9</v>
      </c>
      <c r="H12" s="367"/>
      <c r="I12" s="368">
        <f>[24]Brewhouse!$AU558</f>
        <v>98.012550227443327</v>
      </c>
      <c r="J12" s="368">
        <f>[24]Brewhouse!$AV558</f>
        <v>100.52657601508439</v>
      </c>
      <c r="K12" s="281">
        <f>[24]Brewhouse!$Q558</f>
        <v>5.2802893309222325</v>
      </c>
      <c r="L12" s="276">
        <f>[24]Brewhouse!$P558</f>
        <v>59</v>
      </c>
      <c r="M12" s="397">
        <f>[24]Brewhouse!$U558-[24]Brewhouse!$T558</f>
        <v>0.15763888888888888</v>
      </c>
      <c r="N12" s="370">
        <f>[24]Brewhouse!$Z558</f>
        <v>0.31180555555555556</v>
      </c>
      <c r="O12" s="371" t="str">
        <f>[24]Brewhouse!$AX558</f>
        <v>D. Gomez</v>
      </c>
      <c r="P12" s="420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371"/>
      <c r="P13" s="420"/>
      <c r="R13" s="277">
        <f t="shared" ref="R13:R22" si="9">B13</f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customHeight="1">
      <c r="B14" s="460" t="s">
        <v>215</v>
      </c>
      <c r="C14" s="366" t="str">
        <f>[37]Brewhouse!$A13</f>
        <v>HA001</v>
      </c>
      <c r="D14" s="279">
        <f>[37]Brewhouse!$AD13</f>
        <v>56.9</v>
      </c>
      <c r="E14" s="279">
        <f>[37]Brewhouse!$AI13</f>
        <v>50</v>
      </c>
      <c r="F14" s="461">
        <f>[37]Brewhouse!$X13</f>
        <v>59</v>
      </c>
      <c r="G14" s="279">
        <f>[37]Brewhouse!$AG13</f>
        <v>13.6</v>
      </c>
      <c r="H14" s="367"/>
      <c r="I14" s="368">
        <f>[37]Brewhouse!$AU13</f>
        <v>96.227257171591688</v>
      </c>
      <c r="J14" s="368">
        <f>[37]Brewhouse!$AV13</f>
        <v>98.378675460291277</v>
      </c>
      <c r="K14" s="281">
        <f>[37]Brewhouse!$S13</f>
        <v>6.1862917398945445</v>
      </c>
      <c r="L14" s="276">
        <f>[37]Brewhouse!$R13</f>
        <v>59</v>
      </c>
      <c r="M14" s="395">
        <f>[37]Brewhouse!$W13-[37]Brewhouse!$V13</f>
        <v>0.12083333333333324</v>
      </c>
      <c r="N14" s="462">
        <f>[37]Brewhouse!$AY13</f>
        <v>0.27361111111111108</v>
      </c>
      <c r="O14" s="371" t="str">
        <f>[37]Brewhouse!$AX13</f>
        <v>D. Gomez</v>
      </c>
      <c r="P14" s="420"/>
      <c r="R14" s="277" t="str">
        <f t="shared" si="9"/>
        <v>HR-APA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customHeight="1">
      <c r="B15" s="460" t="s">
        <v>215</v>
      </c>
      <c r="C15" s="366" t="str">
        <f>[37]Brewhouse!$A14</f>
        <v>HA002</v>
      </c>
      <c r="D15" s="279">
        <f>[37]Brewhouse!$AD14</f>
        <v>57.7</v>
      </c>
      <c r="E15" s="279">
        <f>[37]Brewhouse!$AI14</f>
        <v>50.8</v>
      </c>
      <c r="F15" s="461">
        <f>[37]Brewhouse!$X14</f>
        <v>60</v>
      </c>
      <c r="G15" s="279">
        <f>[37]Brewhouse!$AG14</f>
        <v>13.7</v>
      </c>
      <c r="H15" s="367"/>
      <c r="I15" s="368">
        <f>[37]Brewhouse!$AU14</f>
        <v>97.993893314944387</v>
      </c>
      <c r="J15" s="368">
        <f>[37]Brewhouse!$AV14</f>
        <v>100.18710493046774</v>
      </c>
      <c r="K15" s="281">
        <f>[37]Brewhouse!$S14</f>
        <v>6.4471403812824928</v>
      </c>
      <c r="L15" s="276">
        <f>[37]Brewhouse!$R14</f>
        <v>64</v>
      </c>
      <c r="M15" s="395">
        <f>[37]Brewhouse!$W14-[37]Brewhouse!$V14</f>
        <v>0.10486111111111107</v>
      </c>
      <c r="N15" s="462">
        <f>[37]Brewhouse!$AY14</f>
        <v>0.25694444444444442</v>
      </c>
      <c r="O15" s="371" t="str">
        <f>[37]Brewhouse!$AX14</f>
        <v>R. Sookram</v>
      </c>
      <c r="P15" s="420"/>
      <c r="R15" s="277" t="str">
        <f t="shared" si="9"/>
        <v>HR-APA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20"/>
      <c r="R16" s="277">
        <f t="shared" si="9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customHeight="1">
      <c r="B17" s="457" t="s">
        <v>214</v>
      </c>
      <c r="C17" s="283" t="str">
        <f>[38]Brewhouse!$A26</f>
        <v>HR001</v>
      </c>
      <c r="D17" s="438">
        <f>[38]Brewhouse!$AF26</f>
        <v>60.9</v>
      </c>
      <c r="E17" s="439">
        <f>[38]Brewhouse!$AK26</f>
        <v>53</v>
      </c>
      <c r="F17" s="278">
        <f>[38]Brewhouse!$Z26</f>
        <v>59</v>
      </c>
      <c r="G17" s="279">
        <f>[38]Brewhouse!$AI26</f>
        <v>16.7</v>
      </c>
      <c r="H17" s="396">
        <v>16.600000000000001</v>
      </c>
      <c r="I17" s="280">
        <f>[38]Brewhouse!$AW26</f>
        <v>96.678776803355618</v>
      </c>
      <c r="J17" s="280">
        <f>[38]Brewhouse!$AX26</f>
        <v>98.883808146995804</v>
      </c>
      <c r="K17" s="281">
        <f>[38]Brewhouse!$U26</f>
        <v>8.2430213464696163</v>
      </c>
      <c r="L17" s="276">
        <f>[38]Brewhouse!$T26</f>
        <v>57</v>
      </c>
      <c r="M17" s="458">
        <f>[38]Brewhouse!$Y26-[38]Brewhouse!$X26</f>
        <v>7.3611111111111072E-2</v>
      </c>
      <c r="N17" s="370">
        <f>[38]Brewhouse!$BA26</f>
        <v>0.24861111111111112</v>
      </c>
      <c r="O17" s="371" t="str">
        <f>[38]Brewhouse!$AZ26</f>
        <v>R. Sookram</v>
      </c>
      <c r="P17" s="420"/>
      <c r="R17" s="277" t="str">
        <f t="shared" si="9"/>
        <v>Hurricane Reef-IPA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customHeight="1">
      <c r="B18" s="457" t="s">
        <v>214</v>
      </c>
      <c r="C18" s="283" t="str">
        <f>[38]Brewhouse!$A27</f>
        <v>HR002</v>
      </c>
      <c r="D18" s="459"/>
      <c r="E18" s="439">
        <f>[38]Brewhouse!$AK27</f>
        <v>51.5</v>
      </c>
      <c r="F18" s="278">
        <f>[38]Brewhouse!$Z27</f>
        <v>52</v>
      </c>
      <c r="G18" s="279">
        <f>[38]Brewhouse!$AI27</f>
        <v>16.7</v>
      </c>
      <c r="H18" s="396">
        <v>16.600000000000001</v>
      </c>
      <c r="I18" s="280">
        <f>[38]Brewhouse!$AW27</f>
        <v>93.942585007034225</v>
      </c>
      <c r="J18" s="280">
        <f>[38]Brewhouse!$AX27</f>
        <v>96.085209803212905</v>
      </c>
      <c r="K18" s="392"/>
      <c r="L18" s="276">
        <f>[38]Brewhouse!$T27</f>
        <v>110</v>
      </c>
      <c r="M18" s="458">
        <f>[38]Brewhouse!$Y27-[38]Brewhouse!$X27</f>
        <v>0.17361111111111105</v>
      </c>
      <c r="N18" s="463">
        <f>[38]Brewhouse!$BA27</f>
        <v>0.35347222222222219</v>
      </c>
      <c r="O18" s="371" t="str">
        <f>[38]Brewhouse!$AZ27</f>
        <v>R. Sookram</v>
      </c>
      <c r="P18" s="420"/>
      <c r="R18" s="277" t="str">
        <f t="shared" si="9"/>
        <v>Hurricane Reef-IPA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20"/>
      <c r="R19" s="277">
        <f t="shared" si="9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customHeight="1">
      <c r="B20" s="33" t="s">
        <v>9</v>
      </c>
      <c r="C20" s="366" t="str">
        <f>[25]Brewhouse!$A270</f>
        <v>ST251</v>
      </c>
      <c r="D20" s="279">
        <f>[25]Brewhouse!$AD270</f>
        <v>52.9</v>
      </c>
      <c r="E20" s="279">
        <f>[25]Brewhouse!$AG270</f>
        <v>47.4</v>
      </c>
      <c r="F20" s="278">
        <f>[25]Brewhouse!$V270</f>
        <v>54</v>
      </c>
      <c r="G20" s="279">
        <f>[25]Brewhouse!$AE270</f>
        <v>12.2</v>
      </c>
      <c r="H20" s="367"/>
      <c r="I20" s="429">
        <f>[25]Brewhouse!$AS270</f>
        <v>95.545616911541998</v>
      </c>
      <c r="J20" s="429">
        <f>[25]Brewhouse!$AT270</f>
        <v>97.573914932101957</v>
      </c>
      <c r="K20" s="392">
        <f>[25]Brewhouse!$Q270</f>
        <v>13.043478260869563</v>
      </c>
      <c r="L20" s="276">
        <f>[25]Brewhouse!$P270</f>
        <v>51</v>
      </c>
      <c r="M20" s="374">
        <f>[25]Brewhouse!$U270-[25]Brewhouse!$T270</f>
        <v>0.10694444444444429</v>
      </c>
      <c r="N20" s="370">
        <f>[25]Brewhouse!$AW270</f>
        <v>0.32986111111111105</v>
      </c>
      <c r="O20" s="422" t="str">
        <f>[25]Brewhouse!$AV270</f>
        <v>R.Sookram</v>
      </c>
      <c r="P20" s="420"/>
      <c r="R20" s="277" t="str">
        <f t="shared" si="9"/>
        <v>STAG</v>
      </c>
      <c r="S20" s="296">
        <f t="shared" si="1"/>
        <v>11.6</v>
      </c>
      <c r="T20" s="296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296">
        <f t="shared" si="8"/>
        <v>60</v>
      </c>
    </row>
    <row r="21" spans="2:26" ht="23.4" customHeight="1">
      <c r="B21" s="464" t="s">
        <v>216</v>
      </c>
      <c r="C21" s="366"/>
      <c r="D21" s="279"/>
      <c r="E21" s="279"/>
      <c r="F21" s="278"/>
      <c r="G21" s="279"/>
      <c r="H21" s="396"/>
      <c r="I21" s="429"/>
      <c r="J21" s="429"/>
      <c r="K21" s="281"/>
      <c r="L21" s="276"/>
      <c r="M21" s="374"/>
      <c r="N21" s="370"/>
      <c r="O21" s="422"/>
      <c r="P21" s="420"/>
      <c r="R21" s="277"/>
      <c r="S21" s="296"/>
      <c r="T21" s="296"/>
      <c r="U21" s="297"/>
      <c r="V21" s="297"/>
      <c r="W21" s="297"/>
      <c r="X21" s="297"/>
      <c r="Y21" s="297"/>
      <c r="Z21" s="296"/>
    </row>
    <row r="22" spans="2:26" ht="15.75" customHeight="1">
      <c r="B22" s="33" t="s">
        <v>9</v>
      </c>
      <c r="C22" s="366" t="str">
        <f>[25]Brewhouse!$A271</f>
        <v>ST252</v>
      </c>
      <c r="D22" s="279">
        <f>[25]Brewhouse!$AD271</f>
        <v>53.5</v>
      </c>
      <c r="E22" s="279">
        <f>[25]Brewhouse!$AG271</f>
        <v>50.1</v>
      </c>
      <c r="F22" s="278">
        <f>[25]Brewhouse!$V271</f>
        <v>61</v>
      </c>
      <c r="G22" s="279">
        <f>[25]Brewhouse!$AE271</f>
        <v>12</v>
      </c>
      <c r="H22" s="396">
        <v>12</v>
      </c>
      <c r="I22" s="429">
        <f>[25]Brewhouse!$AS271</f>
        <v>99.49940457072266</v>
      </c>
      <c r="J22" s="429">
        <f>[25]Brewhouse!$AT271</f>
        <v>101.61025323504261</v>
      </c>
      <c r="K22" s="392">
        <f>[25]Brewhouse!$Q271</f>
        <v>12.149532710280374</v>
      </c>
      <c r="L22" s="276">
        <f>[25]Brewhouse!$P271</f>
        <v>62</v>
      </c>
      <c r="M22" s="374">
        <f>[25]Brewhouse!$U271-[25]Brewhouse!$T271</f>
        <v>0.1111111111111111</v>
      </c>
      <c r="N22" s="370">
        <f>[25]Brewhouse!$AW271</f>
        <v>0.24236111111111114</v>
      </c>
      <c r="O22" s="422" t="str">
        <f>[25]Brewhouse!$AV271</f>
        <v>D. Gomaz</v>
      </c>
      <c r="P22" s="420"/>
      <c r="R22" s="277" t="str">
        <f t="shared" si="9"/>
        <v>STAG</v>
      </c>
      <c r="S22" s="296">
        <f t="shared" si="1"/>
        <v>11.6</v>
      </c>
      <c r="T22" s="296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296">
        <f t="shared" si="8"/>
        <v>60</v>
      </c>
    </row>
    <row r="23" spans="2:26" ht="15.75" customHeight="1">
      <c r="B23" s="33" t="s">
        <v>9</v>
      </c>
      <c r="C23" s="366" t="str">
        <f>[25]Brewhouse!$A272</f>
        <v>ST253</v>
      </c>
      <c r="D23" s="279">
        <f>[25]Brewhouse!$AD272</f>
        <v>53.5</v>
      </c>
      <c r="E23" s="279">
        <f>[25]Brewhouse!$AG272</f>
        <v>49.7</v>
      </c>
      <c r="F23" s="278">
        <f>[25]Brewhouse!$V272</f>
        <v>61</v>
      </c>
      <c r="G23" s="279">
        <f>[25]Brewhouse!$AE272</f>
        <v>11.8</v>
      </c>
      <c r="H23" s="396">
        <v>11.9</v>
      </c>
      <c r="I23" s="429">
        <f>[25]Brewhouse!$AS272</f>
        <v>97.046216145736423</v>
      </c>
      <c r="J23" s="429">
        <f>[25]Brewhouse!$AT272</f>
        <v>99.106369761087166</v>
      </c>
      <c r="K23" s="392">
        <f>[25]Brewhouse!$Q272</f>
        <v>12.336448598130843</v>
      </c>
      <c r="L23" s="276">
        <f>[25]Brewhouse!$P272</f>
        <v>61</v>
      </c>
      <c r="M23" s="374">
        <f>[25]Brewhouse!$U272-[25]Brewhouse!$T272</f>
        <v>0.24097222222222225</v>
      </c>
      <c r="N23" s="370">
        <f>[25]Brewhouse!$AW272</f>
        <v>0.24097222222222225</v>
      </c>
      <c r="O23" s="422" t="str">
        <f>[25]Brewhouse!$AV272</f>
        <v>D. Gomaz</v>
      </c>
      <c r="P23" s="420"/>
      <c r="R23" s="277" t="str">
        <f t="shared" ref="R23:R27" si="10">B23</f>
        <v>STAG</v>
      </c>
      <c r="S23" s="296">
        <f t="shared" si="1"/>
        <v>11.6</v>
      </c>
      <c r="T23" s="296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296">
        <f t="shared" si="8"/>
        <v>60</v>
      </c>
    </row>
    <row r="24" spans="2:26" ht="15.75" customHeight="1">
      <c r="B24" s="33" t="s">
        <v>9</v>
      </c>
      <c r="C24" s="366" t="str">
        <f>[25]Brewhouse!$A273</f>
        <v>ST254</v>
      </c>
      <c r="D24" s="279">
        <f>[25]Brewhouse!$AD273</f>
        <v>53.2</v>
      </c>
      <c r="E24" s="279">
        <f>[25]Brewhouse!$AG273</f>
        <v>52.8</v>
      </c>
      <c r="F24" s="278">
        <f>[25]Brewhouse!$V273</f>
        <v>65</v>
      </c>
      <c r="G24" s="279">
        <f>[25]Brewhouse!$AE273</f>
        <v>11.8</v>
      </c>
      <c r="H24" s="396">
        <v>11.9</v>
      </c>
      <c r="I24" s="429">
        <f>[25]Brewhouse!$AS273</f>
        <v>102.38078795174074</v>
      </c>
      <c r="J24" s="429">
        <f>[25]Brewhouse!$AT273</f>
        <v>104.55630775171711</v>
      </c>
      <c r="K24" s="392">
        <f>[25]Brewhouse!$Q273</f>
        <v>10.714285714285719</v>
      </c>
      <c r="L24" s="276">
        <f>[25]Brewhouse!$P273</f>
        <v>59</v>
      </c>
      <c r="M24" s="374">
        <f>[25]Brewhouse!$U273-[25]Brewhouse!$T273</f>
        <v>0.11388888888888893</v>
      </c>
      <c r="N24" s="370">
        <f>[25]Brewhouse!$AW273</f>
        <v>0.2416666666666667</v>
      </c>
      <c r="O24" s="422" t="str">
        <f>[25]Brewhouse!$AV273</f>
        <v>D. Gomaz</v>
      </c>
      <c r="P24" s="420"/>
      <c r="R24" s="277" t="str">
        <f t="shared" si="10"/>
        <v>STAG</v>
      </c>
      <c r="S24" s="296">
        <f t="shared" si="1"/>
        <v>11.6</v>
      </c>
      <c r="T24" s="296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296">
        <f t="shared" si="8"/>
        <v>60</v>
      </c>
    </row>
    <row r="25" spans="2:26" ht="15.75" customHeight="1">
      <c r="B25" s="33"/>
      <c r="C25" s="366"/>
      <c r="D25" s="279"/>
      <c r="E25" s="279"/>
      <c r="F25" s="278"/>
      <c r="G25" s="279"/>
      <c r="H25" s="396"/>
      <c r="I25" s="429"/>
      <c r="J25" s="429"/>
      <c r="K25" s="281"/>
      <c r="L25" s="276"/>
      <c r="M25" s="374"/>
      <c r="N25" s="370"/>
      <c r="O25" s="422"/>
      <c r="P25" s="420"/>
      <c r="R25" s="277">
        <f t="shared" si="1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customHeight="1">
      <c r="B26" s="29" t="s">
        <v>6</v>
      </c>
      <c r="C26" s="366" t="str">
        <f>[24]Brewhouse!$A559</f>
        <v>CA453</v>
      </c>
      <c r="D26" s="279">
        <f>[24]Brewhouse!$AF559</f>
        <v>53.3</v>
      </c>
      <c r="E26" s="279">
        <f>[24]Brewhouse!$AI559</f>
        <v>52</v>
      </c>
      <c r="F26" s="278">
        <f>[24]Brewhouse!$V559</f>
        <v>63</v>
      </c>
      <c r="G26" s="279">
        <f>[24]Brewhouse!$AG559</f>
        <v>11.5</v>
      </c>
      <c r="H26" s="367">
        <v>11.5</v>
      </c>
      <c r="I26" s="368">
        <f>[24]Brewhouse!$AU559</f>
        <v>96.331969753365684</v>
      </c>
      <c r="J26" s="368">
        <f>[24]Brewhouse!$AV559</f>
        <v>98.701889040237816</v>
      </c>
      <c r="K26" s="281">
        <f>[24]Brewhouse!$Q559</f>
        <v>7.0349907918968571</v>
      </c>
      <c r="L26" s="276">
        <f>[24]Brewhouse!$P559</f>
        <v>58</v>
      </c>
      <c r="M26" s="397">
        <f>[24]Brewhouse!$U559-[24]Brewhouse!$T559</f>
        <v>0.11319444444444449</v>
      </c>
      <c r="N26" s="370">
        <f>[24]Brewhouse!$Z559</f>
        <v>0.24930555555555556</v>
      </c>
      <c r="O26" s="371" t="str">
        <f>[24]Brewhouse!$AX559</f>
        <v>D. Gomez</v>
      </c>
      <c r="P26" s="420"/>
      <c r="R26" s="277" t="str">
        <f t="shared" si="10"/>
        <v>CARIB</v>
      </c>
      <c r="S26" s="296">
        <f t="shared" si="1"/>
        <v>11.6</v>
      </c>
      <c r="T26" s="296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296">
        <f t="shared" si="8"/>
        <v>60</v>
      </c>
    </row>
    <row r="27" spans="2:26" ht="14.4">
      <c r="B27" s="29" t="s">
        <v>6</v>
      </c>
      <c r="C27" s="366" t="str">
        <f>[24]Brewhouse!$A560</f>
        <v>CA454</v>
      </c>
      <c r="D27" s="279">
        <f>[24]Brewhouse!$AF560</f>
        <v>49.6</v>
      </c>
      <c r="E27" s="279">
        <f>[24]Brewhouse!$AI560</f>
        <v>49.3</v>
      </c>
      <c r="F27" s="278">
        <f>[24]Brewhouse!$V560</f>
        <v>58</v>
      </c>
      <c r="G27" s="279">
        <f>[24]Brewhouse!$AG560</f>
        <v>11.8</v>
      </c>
      <c r="H27" s="396">
        <v>11.8</v>
      </c>
      <c r="I27" s="368">
        <f>[24]Brewhouse!$AU560</f>
        <v>97.974745026258816</v>
      </c>
      <c r="J27" s="368">
        <f>[24]Brewhouse!$AV560</f>
        <v>100.48368905812133</v>
      </c>
      <c r="K27" s="281">
        <f>[24]Brewhouse!$Q560</f>
        <v>12.714285714285708</v>
      </c>
      <c r="L27" s="276">
        <f>[24]Brewhouse!$P560</f>
        <v>75</v>
      </c>
      <c r="M27" s="397">
        <f>[24]Brewhouse!$U560-[24]Brewhouse!$T560</f>
        <v>0.12013888888888891</v>
      </c>
      <c r="N27" s="370">
        <f>[24]Brewhouse!$Z560</f>
        <v>0.26527777777777772</v>
      </c>
      <c r="O27" s="371" t="str">
        <f>[24]Brewhouse!$AX560</f>
        <v>D. Gomez</v>
      </c>
      <c r="P27" s="420"/>
      <c r="R27" s="277" t="str">
        <f t="shared" si="10"/>
        <v>CARIB</v>
      </c>
      <c r="S27" s="296">
        <f t="shared" si="1"/>
        <v>11.6</v>
      </c>
      <c r="T27" s="296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296">
        <f t="shared" si="8"/>
        <v>60</v>
      </c>
    </row>
    <row r="28" spans="2:26" ht="15.75" customHeight="1">
      <c r="B28" s="29" t="s">
        <v>6</v>
      </c>
      <c r="C28" s="366" t="str">
        <f>[24]Brewhouse!$A561</f>
        <v>CA455</v>
      </c>
      <c r="D28" s="279">
        <f>[24]Brewhouse!$AF561</f>
        <v>52</v>
      </c>
      <c r="E28" s="279">
        <f>[24]Brewhouse!$AI561</f>
        <v>50</v>
      </c>
      <c r="F28" s="278">
        <f>[24]Brewhouse!$V561</f>
        <v>59</v>
      </c>
      <c r="G28" s="279">
        <f>[24]Brewhouse!$AG561</f>
        <v>11.6</v>
      </c>
      <c r="H28" s="396">
        <v>11.6</v>
      </c>
      <c r="I28" s="368">
        <f>[24]Brewhouse!$AU561</f>
        <v>97.469441737692662</v>
      </c>
      <c r="J28" s="368">
        <f>[24]Brewhouse!$AV561</f>
        <v>99.965592041171078</v>
      </c>
      <c r="K28" s="281">
        <f>[24]Brewhouse!$Q561</f>
        <v>7.769784172661871</v>
      </c>
      <c r="L28" s="276">
        <f>[24]Brewhouse!$P561</f>
        <v>60</v>
      </c>
      <c r="M28" s="397">
        <f>[24]Brewhouse!$U561-[24]Brewhouse!$T561</f>
        <v>0.10486111111111107</v>
      </c>
      <c r="N28" s="370">
        <f>[24]Brewhouse!$Z561</f>
        <v>0.27083333333333337</v>
      </c>
      <c r="O28" s="371" t="str">
        <f>[24]Brewhouse!$AX561</f>
        <v>R. Regis</v>
      </c>
      <c r="P28" s="420"/>
      <c r="R28" s="277" t="str">
        <f t="shared" ref="R28:R29" si="11">B28</f>
        <v>CARIB</v>
      </c>
      <c r="S28" s="296">
        <f t="shared" si="1"/>
        <v>11.6</v>
      </c>
      <c r="T28" s="296">
        <f t="shared" si="2"/>
        <v>12</v>
      </c>
      <c r="U28" s="297">
        <f t="shared" si="3"/>
        <v>0</v>
      </c>
      <c r="V28" s="297">
        <f t="shared" si="4"/>
        <v>0.118055555555556</v>
      </c>
      <c r="W28" s="297">
        <f t="shared" si="5"/>
        <v>0.22569444444444445</v>
      </c>
      <c r="X28" s="297">
        <f t="shared" si="6"/>
        <v>0.2638888888888889</v>
      </c>
      <c r="Y28" s="297">
        <f t="shared" si="7"/>
        <v>0</v>
      </c>
      <c r="Z28" s="296">
        <f t="shared" si="8"/>
        <v>60</v>
      </c>
    </row>
    <row r="29" spans="2:26" ht="15.75" customHeight="1">
      <c r="B29" s="29" t="s">
        <v>6</v>
      </c>
      <c r="C29" s="366" t="str">
        <f>[24]Brewhouse!$A562</f>
        <v>CA456</v>
      </c>
      <c r="D29" s="279">
        <f>[24]Brewhouse!$AF562</f>
        <v>50.9</v>
      </c>
      <c r="E29" s="279">
        <f>[24]Brewhouse!$AI562</f>
        <v>50.2</v>
      </c>
      <c r="F29" s="278">
        <f>[24]Brewhouse!$V562</f>
        <v>58</v>
      </c>
      <c r="G29" s="279">
        <f>[24]Brewhouse!$AG562</f>
        <v>11.6</v>
      </c>
      <c r="H29" s="396">
        <v>11.6</v>
      </c>
      <c r="I29" s="368">
        <f>[24]Brewhouse!$AU562</f>
        <v>98.110462198248086</v>
      </c>
      <c r="J29" s="368">
        <f>[24]Brewhouse!$AV562</f>
        <v>100.6227342337705</v>
      </c>
      <c r="K29" s="281">
        <f>[24]Brewhouse!$Q562</f>
        <v>10.392857142857144</v>
      </c>
      <c r="L29" s="276">
        <f>[24]Brewhouse!$P562</f>
        <v>60</v>
      </c>
      <c r="M29" s="397">
        <f>[24]Brewhouse!$U562-[24]Brewhouse!$T562</f>
        <v>0.10902777777777772</v>
      </c>
      <c r="N29" s="370">
        <f>[24]Brewhouse!$Z562</f>
        <v>0.28055555555555545</v>
      </c>
      <c r="O29" s="371" t="str">
        <f>[24]Brewhouse!$AX562</f>
        <v>R. Regis</v>
      </c>
      <c r="P29" s="420"/>
      <c r="R29" s="277" t="str">
        <f t="shared" si="11"/>
        <v>CARIB</v>
      </c>
      <c r="S29" s="296">
        <f t="shared" si="1"/>
        <v>11.6</v>
      </c>
      <c r="T29" s="296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296">
        <f t="shared" si="8"/>
        <v>60</v>
      </c>
    </row>
    <row r="30" spans="2:26" ht="15.75" customHeight="1">
      <c r="B30" s="29" t="s">
        <v>6</v>
      </c>
      <c r="C30" s="366" t="str">
        <f>[24]Brewhouse!$A563</f>
        <v>CA457</v>
      </c>
      <c r="D30" s="279">
        <f>[24]Brewhouse!$AF563</f>
        <v>52.8</v>
      </c>
      <c r="E30" s="279">
        <f>[24]Brewhouse!$AI563</f>
        <v>50.7</v>
      </c>
      <c r="F30" s="278">
        <f>[24]Brewhouse!$V563</f>
        <v>60</v>
      </c>
      <c r="G30" s="279">
        <f>[24]Brewhouse!$AG563</f>
        <v>12</v>
      </c>
      <c r="H30" s="396">
        <v>12</v>
      </c>
      <c r="I30" s="368">
        <f>[24]Brewhouse!$AU563</f>
        <v>98.709564869595852</v>
      </c>
      <c r="J30" s="368">
        <f>[24]Brewhouse!$AV563</f>
        <v>101.13691775373914</v>
      </c>
      <c r="K30" s="281">
        <f>[24]Brewhouse!$Q563</f>
        <v>5.8227848101265804</v>
      </c>
      <c r="L30" s="276">
        <f>[24]Brewhouse!$P563</f>
        <v>61</v>
      </c>
      <c r="M30" s="397">
        <f>[24]Brewhouse!$U563-[24]Brewhouse!$T563</f>
        <v>0.10763888888888884</v>
      </c>
      <c r="N30" s="370">
        <f>[24]Brewhouse!$Z563</f>
        <v>0.24930555555555545</v>
      </c>
      <c r="O30" s="371" t="str">
        <f>[24]Brewhouse!$AX563</f>
        <v>R. Regis</v>
      </c>
      <c r="P30" s="420"/>
      <c r="R30" s="277" t="str">
        <f t="shared" si="0"/>
        <v>CARIB</v>
      </c>
      <c r="S30" s="296">
        <f t="shared" si="1"/>
        <v>11.6</v>
      </c>
      <c r="T30" s="296">
        <f t="shared" si="2"/>
        <v>12</v>
      </c>
      <c r="U30" s="297">
        <f t="shared" si="3"/>
        <v>0</v>
      </c>
      <c r="V30" s="297">
        <f t="shared" si="4"/>
        <v>0.118055555555556</v>
      </c>
      <c r="W30" s="297">
        <f t="shared" si="5"/>
        <v>0.22569444444444445</v>
      </c>
      <c r="X30" s="297">
        <f t="shared" si="6"/>
        <v>0.2638888888888889</v>
      </c>
      <c r="Y30" s="297">
        <f t="shared" si="7"/>
        <v>0</v>
      </c>
      <c r="Z30" s="296">
        <f t="shared" si="8"/>
        <v>60</v>
      </c>
    </row>
    <row r="31" spans="2:26" ht="15.75" customHeight="1">
      <c r="B31" s="29" t="s">
        <v>6</v>
      </c>
      <c r="C31" s="366" t="str">
        <f>[24]Brewhouse!$A564</f>
        <v>CA458</v>
      </c>
      <c r="D31" s="279">
        <f>[24]Brewhouse!$AF564</f>
        <v>53.9</v>
      </c>
      <c r="E31" s="279">
        <f>[24]Brewhouse!$AI564</f>
        <v>52.3</v>
      </c>
      <c r="F31" s="278">
        <f>[24]Brewhouse!$V564</f>
        <v>59</v>
      </c>
      <c r="G31" s="279">
        <f>[24]Brewhouse!$AG564</f>
        <v>11.6</v>
      </c>
      <c r="H31" s="396">
        <v>11.6</v>
      </c>
      <c r="I31" s="368">
        <f>[24]Brewhouse!$AU564</f>
        <v>99.532596918424787</v>
      </c>
      <c r="J31" s="368">
        <f>[24]Brewhouse!$AV564</f>
        <v>102.084347880916</v>
      </c>
      <c r="K31" s="281">
        <f>[24]Brewhouse!$Q564</f>
        <v>6.690647482014386</v>
      </c>
      <c r="L31" s="276">
        <f>[24]Brewhouse!$P564</f>
        <v>60</v>
      </c>
      <c r="M31" s="397">
        <f>[24]Brewhouse!$U564-[24]Brewhouse!$T564</f>
        <v>0.10694444444444429</v>
      </c>
      <c r="N31" s="370">
        <f>[24]Brewhouse!$Z564</f>
        <v>0.24930555555555545</v>
      </c>
      <c r="O31" s="371" t="str">
        <f>[24]Brewhouse!$AX564</f>
        <v>R. Regis</v>
      </c>
      <c r="P31" s="420"/>
      <c r="R31" s="277" t="str">
        <f t="shared" si="0"/>
        <v>CARIB</v>
      </c>
      <c r="S31" s="296">
        <f t="shared" si="1"/>
        <v>11.6</v>
      </c>
      <c r="T31" s="296">
        <f t="shared" si="2"/>
        <v>12</v>
      </c>
      <c r="U31" s="297">
        <f t="shared" si="3"/>
        <v>0</v>
      </c>
      <c r="V31" s="297">
        <f t="shared" si="4"/>
        <v>0.118055555555556</v>
      </c>
      <c r="W31" s="297">
        <f t="shared" si="5"/>
        <v>0.22569444444444445</v>
      </c>
      <c r="X31" s="297">
        <f t="shared" si="6"/>
        <v>0.2638888888888889</v>
      </c>
      <c r="Y31" s="297">
        <f t="shared" si="7"/>
        <v>0</v>
      </c>
      <c r="Z31" s="296">
        <f t="shared" si="8"/>
        <v>60</v>
      </c>
    </row>
    <row r="32" spans="2:26" ht="25.95" customHeight="1">
      <c r="B32" s="464" t="s">
        <v>217</v>
      </c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20"/>
      <c r="R32" s="277"/>
      <c r="S32" s="296"/>
      <c r="T32" s="296"/>
      <c r="U32" s="297"/>
      <c r="V32" s="297"/>
      <c r="W32" s="297"/>
      <c r="X32" s="297"/>
      <c r="Y32" s="297"/>
      <c r="Z32" s="296"/>
    </row>
    <row r="33" spans="1:26" ht="15.75" customHeight="1">
      <c r="B33" s="29" t="s">
        <v>6</v>
      </c>
      <c r="C33" s="366" t="str">
        <f>[24]Brewhouse!$A565</f>
        <v>CA459</v>
      </c>
      <c r="D33" s="279">
        <f>[24]Brewhouse!$AF565</f>
        <v>53</v>
      </c>
      <c r="E33" s="279">
        <f>[24]Brewhouse!$AI565</f>
        <v>51</v>
      </c>
      <c r="F33" s="278">
        <f>[24]Brewhouse!$V565</f>
        <v>64</v>
      </c>
      <c r="G33" s="279">
        <f>[24]Brewhouse!$AG565</f>
        <v>11.9</v>
      </c>
      <c r="H33" s="396">
        <v>11.9</v>
      </c>
      <c r="I33" s="368">
        <f>[24]Brewhouse!$AU565</f>
        <v>98.714479401126994</v>
      </c>
      <c r="J33" s="368">
        <f>[24]Brewhouse!$AV565</f>
        <v>101.24637177778698</v>
      </c>
      <c r="K33" s="281">
        <f>[24]Brewhouse!$Q565</f>
        <v>6.9750889679715335</v>
      </c>
      <c r="L33" s="276">
        <f>[24]Brewhouse!$P565</f>
        <v>60</v>
      </c>
      <c r="M33" s="397">
        <f>[24]Brewhouse!$U565-[24]Brewhouse!$T565</f>
        <v>0.11180555555555555</v>
      </c>
      <c r="N33" s="370">
        <f>[24]Brewhouse!$Z565</f>
        <v>0.2583333333333333</v>
      </c>
      <c r="O33" s="371" t="str">
        <f>[24]Brewhouse!$AX565</f>
        <v>R. Regis</v>
      </c>
      <c r="P33" s="420"/>
      <c r="R33" s="277" t="str">
        <f t="shared" si="0"/>
        <v>CARIB</v>
      </c>
      <c r="S33" s="296">
        <f t="shared" si="1"/>
        <v>11.6</v>
      </c>
      <c r="T33" s="296">
        <f t="shared" si="2"/>
        <v>12</v>
      </c>
      <c r="U33" s="297">
        <f t="shared" si="3"/>
        <v>0</v>
      </c>
      <c r="V33" s="297">
        <f t="shared" si="4"/>
        <v>0.118055555555556</v>
      </c>
      <c r="W33" s="297">
        <f t="shared" si="5"/>
        <v>0.22569444444444445</v>
      </c>
      <c r="X33" s="297">
        <f t="shared" si="6"/>
        <v>0.2638888888888889</v>
      </c>
      <c r="Y33" s="297">
        <f t="shared" si="7"/>
        <v>0</v>
      </c>
      <c r="Z33" s="296">
        <f t="shared" si="8"/>
        <v>60</v>
      </c>
    </row>
    <row r="34" spans="1:26" ht="15.75" customHeight="1">
      <c r="B34" s="29" t="s">
        <v>6</v>
      </c>
      <c r="C34" s="366" t="str">
        <f>[24]Brewhouse!$A566</f>
        <v>CA460</v>
      </c>
      <c r="D34" s="279">
        <f>[24]Brewhouse!$AF566</f>
        <v>54.8</v>
      </c>
      <c r="E34" s="279">
        <f>[24]Brewhouse!$AI566</f>
        <v>53.6</v>
      </c>
      <c r="F34" s="278">
        <f>[24]Brewhouse!$V566</f>
        <v>67</v>
      </c>
      <c r="G34" s="279">
        <f>[24]Brewhouse!$AG566</f>
        <v>11.6</v>
      </c>
      <c r="H34" s="396">
        <v>11.6</v>
      </c>
      <c r="I34" s="368">
        <f>[24]Brewhouse!$AU566</f>
        <v>100.74778296899167</v>
      </c>
      <c r="J34" s="368">
        <f>[24]Brewhouse!$AV566</f>
        <v>103.33210800045319</v>
      </c>
      <c r="K34" s="281">
        <f>[24]Brewhouse!$Q566</f>
        <v>5.0719424460431659</v>
      </c>
      <c r="L34" s="276">
        <f>[24]Brewhouse!$P566</f>
        <v>60</v>
      </c>
      <c r="M34" s="397">
        <f>[24]Brewhouse!$U566-[24]Brewhouse!$T566</f>
        <v>0.11388888888888887</v>
      </c>
      <c r="N34" s="370">
        <f>[24]Brewhouse!$Z566</f>
        <v>0.25624999999999998</v>
      </c>
      <c r="O34" s="371" t="str">
        <f>[24]Brewhouse!$AX566</f>
        <v>R. Regis</v>
      </c>
      <c r="P34" s="420"/>
      <c r="R34" s="277" t="str">
        <f t="shared" si="0"/>
        <v>CARIB</v>
      </c>
      <c r="S34" s="296">
        <f t="shared" si="1"/>
        <v>11.6</v>
      </c>
      <c r="T34" s="296">
        <f t="shared" si="2"/>
        <v>12</v>
      </c>
      <c r="U34" s="297">
        <f t="shared" si="3"/>
        <v>0</v>
      </c>
      <c r="V34" s="297">
        <f t="shared" si="4"/>
        <v>0.118055555555556</v>
      </c>
      <c r="W34" s="297">
        <f t="shared" si="5"/>
        <v>0.22569444444444445</v>
      </c>
      <c r="X34" s="297">
        <f t="shared" si="6"/>
        <v>0.2638888888888889</v>
      </c>
      <c r="Y34" s="297">
        <f t="shared" si="7"/>
        <v>0</v>
      </c>
      <c r="Z34" s="296">
        <f t="shared" si="8"/>
        <v>60</v>
      </c>
    </row>
    <row r="35" spans="1:26" ht="15.75" customHeight="1">
      <c r="B35" s="29" t="s">
        <v>6</v>
      </c>
      <c r="C35" s="366" t="str">
        <f>[24]Brewhouse!$A567</f>
        <v>CA461</v>
      </c>
      <c r="D35" s="279">
        <f>[24]Brewhouse!$AF567</f>
        <v>51.8</v>
      </c>
      <c r="E35" s="279">
        <f>[24]Brewhouse!$AI567</f>
        <v>49.8</v>
      </c>
      <c r="F35" s="278">
        <f>[24]Brewhouse!$V567</f>
        <v>61</v>
      </c>
      <c r="G35" s="279">
        <f>[24]Brewhouse!$AG567</f>
        <v>11.8</v>
      </c>
      <c r="H35" s="396">
        <v>11.8</v>
      </c>
      <c r="I35" s="368">
        <f>[24]Brewhouse!$AU567</f>
        <v>95.259026995380694</v>
      </c>
      <c r="J35" s="368">
        <f>[24]Brewhouse!$AV567</f>
        <v>97.601528192943391</v>
      </c>
      <c r="K35" s="281">
        <f>[24]Brewhouse!$Q567</f>
        <v>9.2110091743119202</v>
      </c>
      <c r="L35" s="276">
        <f>[24]Brewhouse!$P567</f>
        <v>60</v>
      </c>
      <c r="M35" s="397">
        <f>[24]Brewhouse!$U567-[24]Brewhouse!$T567</f>
        <v>0.10833333333333339</v>
      </c>
      <c r="N35" s="370">
        <f>[24]Brewhouse!$Z567</f>
        <v>0.23750000000000004</v>
      </c>
      <c r="O35" s="371" t="str">
        <f>[24]Brewhouse!$AX567</f>
        <v>R. Regis</v>
      </c>
      <c r="P35" s="420"/>
      <c r="R35" s="277" t="str">
        <f t="shared" si="0"/>
        <v>CARIB</v>
      </c>
      <c r="S35" s="296">
        <f t="shared" si="1"/>
        <v>11.6</v>
      </c>
      <c r="T35" s="296">
        <f t="shared" si="2"/>
        <v>12</v>
      </c>
      <c r="U35" s="297">
        <f t="shared" si="3"/>
        <v>0</v>
      </c>
      <c r="V35" s="297">
        <f t="shared" si="4"/>
        <v>0.118055555555556</v>
      </c>
      <c r="W35" s="297">
        <f t="shared" si="5"/>
        <v>0.22569444444444445</v>
      </c>
      <c r="X35" s="297">
        <f t="shared" si="6"/>
        <v>0.2638888888888889</v>
      </c>
      <c r="Y35" s="297">
        <f t="shared" si="7"/>
        <v>0</v>
      </c>
      <c r="Z35" s="296">
        <f t="shared" si="8"/>
        <v>60</v>
      </c>
    </row>
    <row r="36" spans="1:26" ht="15.75" customHeight="1">
      <c r="B36" s="29" t="s">
        <v>6</v>
      </c>
      <c r="C36" s="366" t="str">
        <f>[24]Brewhouse!$A568</f>
        <v>CA462</v>
      </c>
      <c r="D36" s="279">
        <f>[24]Brewhouse!$AF568</f>
        <v>52.7</v>
      </c>
      <c r="E36" s="279">
        <f>[24]Brewhouse!$AI568</f>
        <v>51.8</v>
      </c>
      <c r="F36" s="278">
        <f>[24]Brewhouse!$V568</f>
        <v>60</v>
      </c>
      <c r="G36" s="279">
        <f>[24]Brewhouse!$AG568</f>
        <v>11.8</v>
      </c>
      <c r="H36" s="396">
        <v>11.8</v>
      </c>
      <c r="I36" s="368">
        <f>[24]Brewhouse!$AU568</f>
        <v>99.207063166935825</v>
      </c>
      <c r="J36" s="368">
        <f>[24]Brewhouse!$AV568</f>
        <v>101.64638223337028</v>
      </c>
      <c r="K36" s="281">
        <f>[24]Brewhouse!$Q568</f>
        <v>6.6544117647058778</v>
      </c>
      <c r="L36" s="276">
        <f>[24]Brewhouse!$P568</f>
        <v>58</v>
      </c>
      <c r="M36" s="397">
        <f>[24]Brewhouse!$U568-[24]Brewhouse!$T568</f>
        <v>0.10486111111111107</v>
      </c>
      <c r="N36" s="370">
        <f>[24]Brewhouse!$Z568</f>
        <v>0.23680555555555549</v>
      </c>
      <c r="O36" s="371" t="str">
        <f>[24]Brewhouse!$AX568</f>
        <v>R. Sookram</v>
      </c>
      <c r="P36" s="447"/>
      <c r="R36" s="277" t="str">
        <f t="shared" si="0"/>
        <v>CARIB</v>
      </c>
      <c r="S36" s="296">
        <f t="shared" si="1"/>
        <v>11.6</v>
      </c>
      <c r="T36" s="296">
        <f t="shared" si="2"/>
        <v>12</v>
      </c>
      <c r="U36" s="297">
        <f t="shared" si="3"/>
        <v>0</v>
      </c>
      <c r="V36" s="297">
        <f t="shared" si="4"/>
        <v>0.118055555555556</v>
      </c>
      <c r="W36" s="297">
        <f t="shared" si="5"/>
        <v>0.22569444444444445</v>
      </c>
      <c r="X36" s="297">
        <f t="shared" si="6"/>
        <v>0.2638888888888889</v>
      </c>
      <c r="Y36" s="297">
        <f t="shared" si="7"/>
        <v>0</v>
      </c>
      <c r="Z36" s="296">
        <f t="shared" si="8"/>
        <v>60</v>
      </c>
    </row>
    <row r="37" spans="1:26" ht="15.75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20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20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20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20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20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hidden="1" customHeight="1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97"/>
      <c r="N42" s="370"/>
      <c r="O42" s="371"/>
      <c r="P42" s="420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.75" hidden="1" customHeight="1">
      <c r="B43" s="29"/>
      <c r="C43" s="366"/>
      <c r="D43" s="279"/>
      <c r="E43" s="279"/>
      <c r="F43" s="278"/>
      <c r="G43" s="279"/>
      <c r="H43" s="396"/>
      <c r="I43" s="368"/>
      <c r="J43" s="368"/>
      <c r="K43" s="281"/>
      <c r="L43" s="276"/>
      <c r="M43" s="397"/>
      <c r="N43" s="370"/>
      <c r="O43" s="371"/>
      <c r="P43" s="420"/>
      <c r="R43" s="277">
        <f t="shared" si="0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.75" hidden="1" customHeight="1">
      <c r="B44" s="29"/>
      <c r="C44" s="366"/>
      <c r="D44" s="279"/>
      <c r="E44" s="279"/>
      <c r="F44" s="278"/>
      <c r="G44" s="279"/>
      <c r="H44" s="396"/>
      <c r="I44" s="368"/>
      <c r="J44" s="368"/>
      <c r="K44" s="281"/>
      <c r="L44" s="276"/>
      <c r="M44" s="397"/>
      <c r="N44" s="370"/>
      <c r="O44" s="371"/>
      <c r="P44" s="420"/>
      <c r="R44" s="277">
        <f t="shared" si="0"/>
        <v>0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26" ht="15.75" hidden="1" customHeight="1">
      <c r="B45" s="29"/>
      <c r="C45" s="366"/>
      <c r="D45" s="279"/>
      <c r="E45" s="279"/>
      <c r="F45" s="278"/>
      <c r="G45" s="279"/>
      <c r="H45" s="396"/>
      <c r="I45" s="368"/>
      <c r="J45" s="368"/>
      <c r="K45" s="281"/>
      <c r="L45" s="276"/>
      <c r="M45" s="397"/>
      <c r="N45" s="370"/>
      <c r="O45" s="371"/>
      <c r="P45" s="420"/>
      <c r="R45" s="277">
        <f t="shared" si="0"/>
        <v>0</v>
      </c>
      <c r="S45" s="296" t="e">
        <f t="shared" si="1"/>
        <v>#N/A</v>
      </c>
      <c r="T45" s="296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296" t="e">
        <f t="shared" si="8"/>
        <v>#N/A</v>
      </c>
    </row>
    <row r="46" spans="1:26" ht="15.75" customHeight="1" thickBot="1">
      <c r="B46" s="358"/>
      <c r="C46" s="358"/>
      <c r="D46" s="358"/>
      <c r="E46" s="358"/>
      <c r="F46" s="294"/>
      <c r="G46" s="294"/>
      <c r="H46" s="348"/>
      <c r="I46" s="497"/>
      <c r="J46" s="497"/>
      <c r="K46" s="497"/>
      <c r="L46" s="497"/>
      <c r="M46" s="497"/>
      <c r="N46" s="497"/>
      <c r="O46" s="1"/>
      <c r="P46" s="12"/>
      <c r="R46" s="277">
        <f t="shared" si="0"/>
        <v>0</v>
      </c>
      <c r="S46" s="296" t="e">
        <f t="shared" si="1"/>
        <v>#N/A</v>
      </c>
      <c r="T46" s="296" t="e">
        <f t="shared" si="2"/>
        <v>#N/A</v>
      </c>
      <c r="U46" s="297" t="e">
        <f t="shared" si="3"/>
        <v>#N/A</v>
      </c>
      <c r="V46" s="297" t="e">
        <f t="shared" si="4"/>
        <v>#N/A</v>
      </c>
      <c r="W46" s="297" t="e">
        <f t="shared" si="5"/>
        <v>#N/A</v>
      </c>
      <c r="X46" s="297" t="e">
        <f t="shared" si="6"/>
        <v>#N/A</v>
      </c>
      <c r="Y46" s="297" t="e">
        <f t="shared" si="7"/>
        <v>#N/A</v>
      </c>
      <c r="Z46" s="296" t="e">
        <f t="shared" si="8"/>
        <v>#N/A</v>
      </c>
    </row>
    <row r="47" spans="1:26" ht="15" thickBot="1">
      <c r="B47" s="388" t="s">
        <v>180</v>
      </c>
      <c r="C47" s="388"/>
      <c r="D47" s="475" t="s">
        <v>35</v>
      </c>
      <c r="E47" s="476"/>
      <c r="F47" s="294"/>
      <c r="G47" s="294"/>
      <c r="H47" s="348"/>
      <c r="I47" s="24" t="s">
        <v>17</v>
      </c>
      <c r="J47" s="25" t="s">
        <v>36</v>
      </c>
      <c r="K47" s="26" t="s">
        <v>138</v>
      </c>
      <c r="L47" s="25" t="s">
        <v>37</v>
      </c>
      <c r="M47" s="25" t="s">
        <v>38</v>
      </c>
      <c r="N47" s="27" t="s">
        <v>39</v>
      </c>
      <c r="O47" s="294"/>
      <c r="P47" s="12"/>
      <c r="R47" s="277" t="str">
        <f t="shared" si="0"/>
        <v xml:space="preserve">BRAND </v>
      </c>
      <c r="S47" s="296" t="e">
        <f t="shared" si="1"/>
        <v>#N/A</v>
      </c>
      <c r="T47" s="296" t="e">
        <f t="shared" si="2"/>
        <v>#N/A</v>
      </c>
      <c r="U47" s="297" t="e">
        <f t="shared" si="3"/>
        <v>#N/A</v>
      </c>
      <c r="V47" s="297" t="e">
        <f t="shared" si="4"/>
        <v>#N/A</v>
      </c>
      <c r="W47" s="297" t="e">
        <f t="shared" si="5"/>
        <v>#N/A</v>
      </c>
      <c r="X47" s="297" t="e">
        <f t="shared" si="6"/>
        <v>#N/A</v>
      </c>
      <c r="Y47" s="297" t="e">
        <f t="shared" si="7"/>
        <v>#N/A</v>
      </c>
      <c r="Z47" s="296" t="e">
        <f t="shared" si="8"/>
        <v>#N/A</v>
      </c>
    </row>
    <row r="48" spans="1:26" ht="15" customHeight="1">
      <c r="A48" s="28"/>
      <c r="B48" s="575" t="s">
        <v>218</v>
      </c>
      <c r="C48" s="362"/>
      <c r="D48" s="501"/>
      <c r="E48" s="502"/>
      <c r="F48" s="294"/>
      <c r="G48" s="294"/>
      <c r="H48" s="348"/>
      <c r="I48" s="29" t="s">
        <v>6</v>
      </c>
      <c r="J48" s="280">
        <f>AVERAGE(I11:I12,I26:I31,I33:I36)</f>
        <v>98.302398550576882</v>
      </c>
      <c r="K48" s="284">
        <f>COUNTA([24]Brewhouse!$A$493:$A$568)</f>
        <v>76</v>
      </c>
      <c r="L48" s="305">
        <f>AVERAGE([24]Brewhouse!$AU$493:$AU$568)</f>
        <v>98.141168086956839</v>
      </c>
      <c r="M48" s="302">
        <f>AVERAGE([24]Brewhouse!$AU$102:$AU$171,[24]Brewhouse!$AU$173:$AU$253,[24]Brewhouse!$AU$255:$AU$339,[24]Brewhouse!$AU$341:$AU$346,[24]Brewhouse!$AU$348,[24]Brewhouse!$AU$349:$AU$406,[24]Brewhouse!$AU$408:$AU$491,[24]Brewhouse!$AU$493:$AU$568)</f>
        <v>97.739804499761064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27" ht="15" customHeight="1">
      <c r="A49" s="28"/>
      <c r="B49" s="576"/>
      <c r="C49" s="349"/>
      <c r="D49" s="503"/>
      <c r="E49" s="504"/>
      <c r="F49" s="294"/>
      <c r="G49" s="294"/>
      <c r="H49" s="348"/>
      <c r="I49" s="33" t="s">
        <v>9</v>
      </c>
      <c r="J49" s="280">
        <f>AVERAGE(I20,I22:I24)</f>
        <v>98.618006394935449</v>
      </c>
      <c r="K49" s="284">
        <f>COUNTA([25]Brewhouse!$A$242:$A$273)</f>
        <v>32</v>
      </c>
      <c r="L49" s="302">
        <f>AVERAGE([25]Brewhouse!$AS$242:$AS$273)</f>
        <v>97.881161445794703</v>
      </c>
      <c r="M49" s="302">
        <f>AVERAGE([25]Brewhouse!$AS$15:$AS$64,[25]Brewhouse!$AS$66:$AS$103,[25]Brewhouse!$AS$105:$AS$140,[25]Brewhouse!$AS$142:$AS$193,[25]Brewhouse!$AS$195:$AS$240,[25]Brewhouse!$AS$242:$AS$273)</f>
        <v>97.876259527849214</v>
      </c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</row>
    <row r="50" spans="1:27" ht="14.7" customHeight="1">
      <c r="A50" s="28"/>
      <c r="B50" s="576"/>
      <c r="C50" s="349"/>
      <c r="D50" s="501"/>
      <c r="E50" s="502"/>
      <c r="F50" s="294"/>
      <c r="G50" s="294"/>
      <c r="H50" s="348"/>
      <c r="I50" s="34" t="s">
        <v>12</v>
      </c>
      <c r="J50" s="280"/>
      <c r="K50" s="284"/>
      <c r="L50" s="302"/>
      <c r="M50" s="302">
        <f>AVERAGE([26]Brewhouse!$AU$4:$AU$7,[26]Brewhouse!$AU$9:$AU$22,[26]Brewhouse!$AU$24:$AU$35,[26]Brewhouse!$AU$37:$AU$45,[26]Brewhouse!$AU$47:$AU$62)</f>
        <v>97.179377138297156</v>
      </c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</row>
    <row r="51" spans="1:27" ht="14.7" customHeight="1">
      <c r="A51" s="28"/>
      <c r="B51" s="576"/>
      <c r="C51" s="349"/>
      <c r="D51" s="503"/>
      <c r="E51" s="504"/>
      <c r="F51" s="294"/>
      <c r="G51" s="294"/>
      <c r="H51" s="348"/>
      <c r="I51" s="22" t="s">
        <v>33</v>
      </c>
      <c r="J51" s="280"/>
      <c r="K51" s="284">
        <f>COUNTA([23]Brewhouse!$A$48:$A$53)</f>
        <v>6</v>
      </c>
      <c r="L51" s="302">
        <f>AVERAGE([23]Brewhouse!$AV$48:$AV$53)</f>
        <v>96.180288887301501</v>
      </c>
      <c r="M51" s="302">
        <f>AVERAGE([23]Brewhouse!$AV$5:$AV$14,[23]Brewhouse!$AV$16:$AV$19,[23]Brewhouse!$AV$21:$AV$24,[23]Brewhouse!$AV$26:$AV$33,[23]Brewhouse!$AV$35:$AV$46,[23]Brewhouse!$AV$48:$AV$53)</f>
        <v>98.620083722669861</v>
      </c>
      <c r="N51" s="3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</row>
    <row r="52" spans="1:27" ht="14.7" customHeight="1">
      <c r="A52" s="28"/>
      <c r="B52" s="576"/>
      <c r="C52" s="349"/>
      <c r="D52" s="501"/>
      <c r="E52" s="502"/>
      <c r="F52" s="419"/>
      <c r="G52" s="294"/>
      <c r="H52" s="348"/>
      <c r="I52" s="35" t="s">
        <v>29</v>
      </c>
      <c r="J52" s="280"/>
      <c r="K52" s="284"/>
      <c r="L52" s="302"/>
      <c r="M52" s="302"/>
      <c r="N52" s="30">
        <v>98</v>
      </c>
      <c r="O52" s="11"/>
      <c r="P52" s="31"/>
      <c r="R52" s="277"/>
      <c r="S52" s="296"/>
      <c r="T52" s="296"/>
      <c r="U52" s="297"/>
      <c r="V52" s="297"/>
      <c r="W52" s="297"/>
      <c r="X52" s="297"/>
      <c r="Y52" s="297"/>
      <c r="Z52" s="296"/>
    </row>
    <row r="53" spans="1:27" ht="14.7" customHeight="1">
      <c r="A53" s="28"/>
      <c r="B53" s="576"/>
      <c r="C53" s="349"/>
      <c r="D53" s="503"/>
      <c r="E53" s="504"/>
      <c r="F53" s="419"/>
      <c r="G53" s="294"/>
      <c r="H53" s="348"/>
      <c r="I53" s="36" t="s">
        <v>15</v>
      </c>
      <c r="J53" s="323"/>
      <c r="K53" s="284">
        <f>COUNTA([27]Brewhouse!$A$18:$A$21)</f>
        <v>4</v>
      </c>
      <c r="L53" s="302">
        <f>AVERAGE([27]Brewhouse!$AT$18:$AT$21)</f>
        <v>95.061602643439088</v>
      </c>
      <c r="M53" s="302">
        <f>AVERAGE([27]Brewhouse!$AT$4:$AT$11,[27]Brewhouse!$AT$13:$AT$16,[27]Brewhouse!$AT$18:$AT$21)</f>
        <v>94.773169817643847</v>
      </c>
      <c r="N53" s="3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27" ht="14.7" customHeight="1">
      <c r="A54" s="28"/>
      <c r="B54" s="576"/>
      <c r="C54" s="349"/>
      <c r="D54" s="501"/>
      <c r="E54" s="502"/>
      <c r="F54" s="419"/>
      <c r="G54" s="294"/>
      <c r="H54" s="348"/>
      <c r="I54" s="37" t="s">
        <v>16</v>
      </c>
      <c r="J54" s="323"/>
      <c r="K54" s="284">
        <f>COUNTA([22]Brewhouse!$A$45:$A$50)</f>
        <v>6</v>
      </c>
      <c r="L54" s="302">
        <f>AVERAGE([22]Brewhouse!$AY$45:$AY$50)</f>
        <v>96.288901438431267</v>
      </c>
      <c r="M54" s="302">
        <f>AVERAGE([22]Brewhouse!$AY$6:$AY$13,[22]Brewhouse!$AY$15:$AY$20,[22]Brewhouse!$AY$22:$AY$29,[22]Brewhouse!$AY$31:$AY$34,[22]Brewhouse!$AY$36:$AY$43,[22]Brewhouse!$AY$45:$AY$50)</f>
        <v>96.612624784592427</v>
      </c>
      <c r="N54" s="30">
        <v>98</v>
      </c>
      <c r="O54" s="11"/>
      <c r="P54" s="31" t="s">
        <v>41</v>
      </c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27" ht="14.7" customHeight="1">
      <c r="A55" s="28"/>
      <c r="B55" s="576"/>
      <c r="C55" s="349"/>
      <c r="D55" s="503"/>
      <c r="E55" s="504"/>
      <c r="F55" s="294"/>
      <c r="G55" s="294"/>
      <c r="H55" s="348"/>
      <c r="I55" s="411" t="s">
        <v>158</v>
      </c>
      <c r="J55" s="326"/>
      <c r="K55" s="284">
        <f>COUNTA([28]Brewhouse!$A$10:$A$13)</f>
        <v>4</v>
      </c>
      <c r="L55" s="305">
        <f>AVERAGE([28]Brewhouse!$AU$10:$AU$13)</f>
        <v>97.488444912767932</v>
      </c>
      <c r="M55" s="305">
        <f>AVERAGE([28]Brewhouse!$AU$5:$AU$8,[28]Brewhouse!$AU$10:$AU$13)</f>
        <v>94.247666625193744</v>
      </c>
      <c r="N55" s="30">
        <v>98</v>
      </c>
      <c r="O55" s="11"/>
      <c r="P55" s="31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27" ht="14.7" customHeight="1">
      <c r="A56" s="28"/>
      <c r="B56" s="576"/>
      <c r="C56" s="349"/>
      <c r="D56" s="501"/>
      <c r="E56" s="502"/>
      <c r="F56" s="294"/>
      <c r="G56" s="294"/>
      <c r="H56" s="348"/>
      <c r="I56" s="410" t="s">
        <v>157</v>
      </c>
      <c r="J56" s="326">
        <f>AVERAGE(I17:I18)</f>
        <v>95.310680905194914</v>
      </c>
      <c r="K56" s="284">
        <f>COUNTA([38]Brewhouse!$A$26:$A$27)</f>
        <v>2</v>
      </c>
      <c r="L56" s="305">
        <f>AVERAGE([38]Brewhouse!$AW$26:$AW$27)</f>
        <v>95.310680905194914</v>
      </c>
      <c r="M56" s="305">
        <f>AVERAGE([38]Brewhouse!$AW$26:$AW$27)</f>
        <v>95.310680905194914</v>
      </c>
      <c r="N56" s="30">
        <v>98</v>
      </c>
      <c r="O56" s="11"/>
      <c r="P56" s="31"/>
      <c r="R56" s="277"/>
      <c r="S56" s="296"/>
      <c r="T56" s="296"/>
      <c r="U56" s="297"/>
      <c r="V56" s="297"/>
      <c r="W56" s="297"/>
      <c r="X56" s="297"/>
      <c r="Y56" s="297"/>
      <c r="Z56" s="296"/>
      <c r="AA56" s="296"/>
    </row>
    <row r="57" spans="1:27" ht="15" customHeight="1" thickBot="1">
      <c r="A57" s="28"/>
      <c r="B57" s="576"/>
      <c r="C57" s="349"/>
      <c r="D57" s="503"/>
      <c r="E57" s="504"/>
      <c r="F57" s="294"/>
      <c r="G57" s="294"/>
      <c r="H57" s="348"/>
      <c r="I57" s="406" t="s">
        <v>156</v>
      </c>
      <c r="J57" s="327">
        <f>AVERAGE(I14:I15)</f>
        <v>97.110575243268045</v>
      </c>
      <c r="K57" s="407">
        <f>COUNTA([37]Brewhouse!$A$13:$A$14)</f>
        <v>2</v>
      </c>
      <c r="L57" s="408">
        <f>AVERAGE([37]Brewhouse!$AU$13:$AU$14)</f>
        <v>97.110575243268045</v>
      </c>
      <c r="M57" s="408">
        <f>AVERAGE([37]Brewhouse!$AU$13:$AU$14)</f>
        <v>97.110575243268045</v>
      </c>
      <c r="N57" s="409">
        <v>98</v>
      </c>
      <c r="O57" s="11"/>
      <c r="P57" s="31"/>
      <c r="R57" s="277"/>
      <c r="S57" s="296"/>
      <c r="T57" s="296"/>
      <c r="U57" s="297"/>
      <c r="V57" s="297"/>
      <c r="W57" s="297"/>
      <c r="X57" s="297"/>
      <c r="Y57" s="297"/>
      <c r="Z57" s="296"/>
      <c r="AA57" s="296"/>
    </row>
    <row r="58" spans="1:27" ht="15" customHeight="1" thickBot="1">
      <c r="A58" s="28"/>
      <c r="B58" s="576"/>
      <c r="C58" s="349"/>
      <c r="D58" s="501"/>
      <c r="E58" s="502"/>
      <c r="F58" s="294"/>
      <c r="G58" s="294"/>
      <c r="H58" s="348"/>
      <c r="I58" s="1"/>
      <c r="J58" s="39"/>
      <c r="K58" s="404">
        <f>SUM(K48:K57)</f>
        <v>132</v>
      </c>
      <c r="L58" s="405">
        <f>((L48*K48)+(L49*K49)+(L50*K50)+(L51*K51)+(L52*K52)+(K55*L55)+(L53*K53)+(L54*K54)+(L57*K57))/(K58)</f>
        <v>96.289109269241735</v>
      </c>
      <c r="M58" s="405">
        <f>AVERAGE('[29]Jan 31st'!$L$65,'[30]Feb 28th'!$L$35,'[31]Mar. 31st'!$L$35,'[32]Apr. 30th'!$L$45,'[33]May 30th'!$L$37,L58)</f>
        <v>97.411393784435134</v>
      </c>
      <c r="N58" s="40">
        <v>98</v>
      </c>
      <c r="O58" s="11"/>
      <c r="P58" s="31"/>
      <c r="R58" s="277"/>
      <c r="S58" s="296"/>
      <c r="T58" s="296"/>
      <c r="U58" s="297"/>
      <c r="V58" s="297"/>
      <c r="W58" s="297"/>
      <c r="X58" s="297"/>
      <c r="Y58" s="297"/>
      <c r="Z58" s="296"/>
      <c r="AA58" s="296"/>
    </row>
    <row r="59" spans="1:27" ht="15" thickBot="1">
      <c r="B59" s="577"/>
      <c r="C59" s="350"/>
      <c r="D59" s="503"/>
      <c r="E59" s="504"/>
      <c r="F59" s="294"/>
      <c r="G59" s="42"/>
      <c r="H59" s="41"/>
      <c r="I59" s="42"/>
      <c r="J59" s="42"/>
      <c r="K59" s="351"/>
      <c r="L59" s="348"/>
      <c r="M59" s="348"/>
      <c r="N59" s="11"/>
      <c r="O59" s="294"/>
      <c r="P59" s="12"/>
      <c r="R59" s="277"/>
      <c r="S59" s="296"/>
      <c r="T59" s="296"/>
      <c r="U59" s="297"/>
      <c r="V59" s="297"/>
      <c r="W59" s="297"/>
      <c r="X59" s="297"/>
      <c r="Y59" s="297"/>
      <c r="Z59" s="296"/>
      <c r="AA59" s="296"/>
    </row>
    <row r="60" spans="1:27" ht="15" thickBot="1">
      <c r="B60" s="511"/>
      <c r="C60" s="362"/>
      <c r="D60" s="514"/>
      <c r="E60" s="515"/>
      <c r="F60" s="294"/>
      <c r="G60" s="42"/>
      <c r="H60" s="41"/>
      <c r="I60" s="41"/>
      <c r="J60" s="551" t="s">
        <v>129</v>
      </c>
      <c r="K60" s="551"/>
      <c r="L60" s="294"/>
      <c r="M60" s="294"/>
      <c r="N60" s="294"/>
      <c r="O60" s="294"/>
      <c r="P60" s="12"/>
    </row>
    <row r="61" spans="1:27" ht="40.950000000000003" customHeight="1" thickBot="1">
      <c r="B61" s="512"/>
      <c r="C61" s="349"/>
      <c r="D61" s="516"/>
      <c r="E61" s="504"/>
      <c r="F61" s="294"/>
      <c r="G61" s="42"/>
      <c r="H61" s="465" t="s">
        <v>221</v>
      </c>
      <c r="I61" s="466" t="s">
        <v>220</v>
      </c>
      <c r="J61" s="292" t="s">
        <v>17</v>
      </c>
      <c r="K61" s="293" t="s">
        <v>219</v>
      </c>
      <c r="L61" s="518" t="s">
        <v>136</v>
      </c>
      <c r="M61" s="518"/>
      <c r="N61" s="519"/>
      <c r="O61" s="294"/>
      <c r="P61" s="12"/>
    </row>
    <row r="62" spans="1:27" ht="15" customHeight="1" thickBot="1">
      <c r="B62" s="512"/>
      <c r="C62" s="349"/>
      <c r="D62" s="545"/>
      <c r="E62" s="546"/>
      <c r="F62" s="294"/>
      <c r="G62" s="42"/>
      <c r="H62" s="324">
        <v>4</v>
      </c>
      <c r="I62" s="324">
        <v>6</v>
      </c>
      <c r="J62" s="287" t="s">
        <v>6</v>
      </c>
      <c r="K62" s="324">
        <v>2</v>
      </c>
      <c r="L62" s="343" t="s">
        <v>37</v>
      </c>
      <c r="M62" s="307" t="s">
        <v>38</v>
      </c>
      <c r="N62" s="307" t="s">
        <v>84</v>
      </c>
      <c r="O62" s="294"/>
      <c r="P62" s="12"/>
    </row>
    <row r="63" spans="1:27" ht="15.75" customHeight="1" thickBot="1">
      <c r="B63" s="512"/>
      <c r="C63" s="349"/>
      <c r="D63" s="516"/>
      <c r="E63" s="504"/>
      <c r="F63" s="294"/>
      <c r="G63" s="42"/>
      <c r="H63" s="324"/>
      <c r="I63" s="324">
        <v>3</v>
      </c>
      <c r="J63" s="345" t="s">
        <v>9</v>
      </c>
      <c r="K63" s="324">
        <v>1</v>
      </c>
      <c r="L63" s="344">
        <f>AVERAGE('June 2nd'!K57,'June 3rd'!K63,'June 4th'!K63,'June 5th '!K63,'June 6th'!K63,'June 10th'!K63,'June 11th'!K63,'June 12th '!K63,'June 13th'!I65,'June 13th'!K65,'June 16th'!K60,'June 27th-29th'!K72,'June 17th '!K60,'June 18th'!K60,'June 23rd'!K60,'June 24th'!K67,'June 25th '!K67,'June 26th '!K67,I72,H72)</f>
        <v>6.8</v>
      </c>
      <c r="M63" s="325">
        <f>AVERAGE('[29]Jan 29th '!$M$70,'[30]Feb 28th'!$L$40,'[31]Mar. 31st'!$L$40,'[32]Apr. 30th'!$L$50,'[33]May 30th'!$L$42,L63)</f>
        <v>6.6677735308170085</v>
      </c>
      <c r="N63" s="418">
        <v>9.1999999999999993</v>
      </c>
      <c r="O63" s="294"/>
      <c r="P63" s="12"/>
    </row>
    <row r="64" spans="1:27" ht="15" customHeight="1">
      <c r="B64" s="512"/>
      <c r="C64" s="349"/>
      <c r="D64" s="545"/>
      <c r="E64" s="546"/>
      <c r="F64" s="294"/>
      <c r="G64" s="42"/>
      <c r="H64" s="324"/>
      <c r="I64" s="324"/>
      <c r="J64" s="288" t="s">
        <v>40</v>
      </c>
      <c r="K64" s="324"/>
      <c r="L64" s="294"/>
      <c r="M64" s="294"/>
      <c r="N64" s="294"/>
      <c r="O64" s="294"/>
      <c r="P64" s="12"/>
    </row>
    <row r="65" spans="2:57" ht="15" customHeight="1">
      <c r="B65" s="512"/>
      <c r="C65" s="349"/>
      <c r="D65" s="516"/>
      <c r="E65" s="504"/>
      <c r="F65" s="294"/>
      <c r="G65" s="42"/>
      <c r="H65" s="324"/>
      <c r="I65" s="324"/>
      <c r="J65" s="289" t="s">
        <v>33</v>
      </c>
      <c r="K65" s="324"/>
      <c r="L65" s="294"/>
      <c r="M65" s="294"/>
      <c r="N65" s="294"/>
      <c r="O65" s="294"/>
      <c r="P65" s="12"/>
    </row>
    <row r="66" spans="2:57" ht="14.4">
      <c r="B66" s="512"/>
      <c r="C66" s="349"/>
      <c r="D66" s="545"/>
      <c r="E66" s="546"/>
      <c r="F66" s="294"/>
      <c r="G66" s="42"/>
      <c r="H66" s="324"/>
      <c r="I66" s="324"/>
      <c r="J66" s="290" t="s">
        <v>16</v>
      </c>
      <c r="K66" s="324"/>
      <c r="L66" s="294"/>
      <c r="M66" s="294"/>
      <c r="N66" s="294"/>
      <c r="O66" s="294"/>
      <c r="P66" s="12"/>
      <c r="BC66" s="44"/>
      <c r="BD66" s="44"/>
    </row>
    <row r="67" spans="2:57" ht="14.4">
      <c r="B67" s="512"/>
      <c r="C67" s="349"/>
      <c r="D67" s="516"/>
      <c r="E67" s="504"/>
      <c r="F67" s="294"/>
      <c r="G67" s="42"/>
      <c r="H67" s="324"/>
      <c r="I67" s="324"/>
      <c r="J67" s="291" t="s">
        <v>15</v>
      </c>
      <c r="K67" s="324"/>
      <c r="L67" s="294"/>
      <c r="M67" s="294"/>
      <c r="N67" s="294"/>
      <c r="O67" s="294"/>
      <c r="P67" s="12"/>
      <c r="BC67" s="44"/>
      <c r="BD67" s="44"/>
    </row>
    <row r="68" spans="2:57" ht="14.4">
      <c r="B68" s="512"/>
      <c r="C68" s="349"/>
      <c r="D68" s="545"/>
      <c r="E68" s="546"/>
      <c r="F68" s="294"/>
      <c r="G68" s="42"/>
      <c r="H68" s="324"/>
      <c r="I68" s="324"/>
      <c r="J68" s="291" t="s">
        <v>149</v>
      </c>
      <c r="K68" s="324">
        <v>2</v>
      </c>
      <c r="L68" s="294"/>
      <c r="M68" s="294"/>
      <c r="N68" s="294"/>
      <c r="O68" s="294"/>
      <c r="P68" s="12"/>
      <c r="BC68" s="44"/>
      <c r="BD68" s="44"/>
    </row>
    <row r="69" spans="2:57" ht="15" thickBot="1">
      <c r="B69" s="513"/>
      <c r="C69" s="350"/>
      <c r="D69" s="547"/>
      <c r="E69" s="548"/>
      <c r="F69" s="294"/>
      <c r="G69" s="42"/>
      <c r="H69" s="324"/>
      <c r="I69" s="324"/>
      <c r="J69" s="291" t="s">
        <v>148</v>
      </c>
      <c r="K69" s="324">
        <v>2</v>
      </c>
      <c r="L69" s="294"/>
      <c r="M69" s="294"/>
      <c r="N69" s="294"/>
      <c r="O69" s="294"/>
      <c r="P69" s="12"/>
      <c r="BC69" s="44"/>
      <c r="BD69" s="44"/>
    </row>
    <row r="70" spans="2:57" ht="17.7" customHeight="1" thickBot="1">
      <c r="B70" s="312" t="s">
        <v>139</v>
      </c>
      <c r="C70" s="313"/>
      <c r="D70" s="562" t="e">
        <f>AVERAGE(D48:E69)</f>
        <v>#DIV/0!</v>
      </c>
      <c r="E70" s="563"/>
      <c r="F70" s="294"/>
      <c r="G70" s="42"/>
      <c r="H70" s="324"/>
      <c r="I70" s="324"/>
      <c r="J70" s="295" t="s">
        <v>134</v>
      </c>
      <c r="K70" s="324"/>
      <c r="L70" s="294"/>
      <c r="M70" s="294"/>
      <c r="N70" s="294"/>
      <c r="O70" s="294"/>
      <c r="P70" s="12"/>
      <c r="BC70" s="44"/>
      <c r="BD70" s="44"/>
    </row>
    <row r="71" spans="2:57" ht="17.7" customHeight="1">
      <c r="B71" s="363"/>
      <c r="C71" s="364"/>
      <c r="D71" s="365"/>
      <c r="E71" s="365"/>
      <c r="F71" s="294"/>
      <c r="G71" s="42"/>
      <c r="H71" s="324"/>
      <c r="I71" s="324"/>
      <c r="J71" s="295" t="s">
        <v>131</v>
      </c>
      <c r="K71" s="324"/>
      <c r="L71" s="294"/>
      <c r="M71" s="294"/>
      <c r="N71" s="294"/>
      <c r="O71" s="294"/>
      <c r="P71" s="12"/>
      <c r="BC71" s="44"/>
      <c r="BD71" s="44"/>
    </row>
    <row r="72" spans="2:57" ht="15.75" customHeight="1">
      <c r="B72" s="45"/>
      <c r="C72" s="11"/>
      <c r="D72" s="11"/>
      <c r="E72" s="46"/>
      <c r="F72" s="294"/>
      <c r="G72" s="42"/>
      <c r="H72" s="324">
        <f>SUM(H62:H71)</f>
        <v>4</v>
      </c>
      <c r="I72" s="324">
        <f>SUM(I62:I71)</f>
        <v>9</v>
      </c>
      <c r="J72" s="346" t="s">
        <v>130</v>
      </c>
      <c r="K72" s="324">
        <f>SUM(K62:K71)</f>
        <v>7</v>
      </c>
      <c r="L72" s="294"/>
      <c r="M72" s="294"/>
      <c r="N72" s="294"/>
      <c r="O72" s="294"/>
      <c r="P72" s="12"/>
    </row>
    <row r="73" spans="2:57" ht="20.25" customHeight="1">
      <c r="B73" s="15" t="s">
        <v>42</v>
      </c>
      <c r="C73" s="1" t="s">
        <v>43</v>
      </c>
      <c r="D73" s="1"/>
      <c r="E73" s="1"/>
      <c r="F73" s="294"/>
      <c r="G73" s="42"/>
      <c r="H73" s="41"/>
      <c r="I73" s="42"/>
      <c r="L73" s="294"/>
      <c r="P73" s="334"/>
    </row>
    <row r="74" spans="2:57" ht="15" customHeight="1" thickBot="1"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8"/>
      <c r="O74" s="48"/>
      <c r="P74" s="49"/>
    </row>
    <row r="75" spans="2:57" ht="15" customHeight="1" thickBot="1">
      <c r="B75" s="526" t="s">
        <v>17</v>
      </c>
      <c r="C75" s="526" t="s">
        <v>44</v>
      </c>
      <c r="D75" s="528" t="s">
        <v>45</v>
      </c>
      <c r="E75" s="483" t="s">
        <v>46</v>
      </c>
      <c r="F75" s="543" t="s">
        <v>47</v>
      </c>
      <c r="G75" s="537" t="s">
        <v>48</v>
      </c>
      <c r="H75" s="526" t="s">
        <v>49</v>
      </c>
      <c r="I75" s="526" t="s">
        <v>50</v>
      </c>
      <c r="J75" s="531" t="s">
        <v>28</v>
      </c>
      <c r="K75" s="481" t="s">
        <v>51</v>
      </c>
      <c r="L75" s="493" t="s">
        <v>52</v>
      </c>
      <c r="M75" s="531" t="s">
        <v>53</v>
      </c>
      <c r="N75" s="13"/>
      <c r="O75" s="13"/>
      <c r="P75" s="50"/>
    </row>
    <row r="76" spans="2:57" ht="28.5" customHeight="1" thickTop="1" thickBot="1">
      <c r="B76" s="527"/>
      <c r="C76" s="527"/>
      <c r="D76" s="529"/>
      <c r="E76" s="530"/>
      <c r="F76" s="544"/>
      <c r="G76" s="538"/>
      <c r="H76" s="527"/>
      <c r="I76" s="527"/>
      <c r="J76" s="532"/>
      <c r="K76" s="541"/>
      <c r="L76" s="542"/>
      <c r="M76" s="532"/>
      <c r="N76" s="13"/>
      <c r="O76" s="13"/>
      <c r="P76" s="50"/>
      <c r="Q76" s="355"/>
      <c r="AB76" s="51">
        <v>43474</v>
      </c>
      <c r="AC76" s="51">
        <v>43475</v>
      </c>
      <c r="AD76" s="51">
        <v>43476</v>
      </c>
      <c r="AE76" s="51">
        <v>43477</v>
      </c>
      <c r="AF76" s="51">
        <v>43478</v>
      </c>
      <c r="AG76" s="51">
        <v>43479</v>
      </c>
      <c r="AH76" s="51">
        <v>43480</v>
      </c>
      <c r="AI76" s="51">
        <v>43481</v>
      </c>
      <c r="AJ76" s="51">
        <v>43482</v>
      </c>
      <c r="AK76" s="51">
        <v>43483</v>
      </c>
      <c r="AL76" s="51">
        <v>43484</v>
      </c>
      <c r="AM76" s="51">
        <v>43485</v>
      </c>
      <c r="AN76" s="51">
        <v>43486</v>
      </c>
      <c r="AO76" s="51">
        <v>43487</v>
      </c>
      <c r="AP76" s="51">
        <v>43488</v>
      </c>
      <c r="AQ76" s="51">
        <v>43489</v>
      </c>
      <c r="AR76" s="51">
        <v>43490</v>
      </c>
      <c r="AS76" s="51">
        <v>43491</v>
      </c>
      <c r="AT76" s="51">
        <v>43492</v>
      </c>
      <c r="AU76" s="51">
        <v>43493</v>
      </c>
      <c r="AV76" s="51">
        <v>43494</v>
      </c>
      <c r="AW76" s="51">
        <v>43495</v>
      </c>
      <c r="AX76" s="51">
        <v>43496</v>
      </c>
    </row>
    <row r="77" spans="2:57" s="54" customFormat="1" ht="51" hidden="1" customHeight="1">
      <c r="B77" s="387" t="str">
        <f>B84</f>
        <v>CARIB</v>
      </c>
      <c r="C77" s="432">
        <v>45834</v>
      </c>
      <c r="D77" s="377"/>
      <c r="E77" s="378"/>
      <c r="F77" s="379"/>
      <c r="G77" s="303"/>
      <c r="H77" s="320" t="e">
        <f>(D77-F77)/D77*100</f>
        <v>#DIV/0!</v>
      </c>
      <c r="I77" s="322" t="e">
        <f>((F77+E77)-G77)/(F77+E77)*100</f>
        <v>#DIV/0!</v>
      </c>
      <c r="J77" s="392" t="s">
        <v>181</v>
      </c>
      <c r="K77" s="286"/>
      <c r="L77" s="314" t="e">
        <f>(((D77+E77)-G77)/(D77+E77))*100</f>
        <v>#DIV/0!</v>
      </c>
      <c r="M77" s="417" t="s">
        <v>210</v>
      </c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416"/>
      <c r="AC77" s="416"/>
      <c r="AD77" s="416"/>
      <c r="AE77" s="416"/>
      <c r="AF77" s="416"/>
      <c r="AG77" s="416"/>
      <c r="AH77" s="416"/>
      <c r="AI77" s="416"/>
      <c r="AJ77" s="416"/>
      <c r="AK77" s="416"/>
      <c r="AL77" s="416"/>
      <c r="AM77" s="416"/>
      <c r="AN77" s="416"/>
      <c r="AO77" s="416"/>
      <c r="AP77" s="416"/>
      <c r="AQ77" s="416"/>
      <c r="AR77" s="416"/>
      <c r="AS77" s="416"/>
      <c r="AT77" s="416"/>
      <c r="AU77" s="416"/>
      <c r="AV77" s="416"/>
      <c r="AW77" s="416"/>
    </row>
    <row r="78" spans="2:57" s="54" customFormat="1" ht="23.25" customHeight="1">
      <c r="B78" s="22"/>
      <c r="C78" s="283"/>
      <c r="D78" s="377"/>
      <c r="E78" s="378"/>
      <c r="F78" s="379"/>
      <c r="G78" s="303"/>
      <c r="H78" s="320"/>
      <c r="I78" s="322"/>
      <c r="J78" s="281"/>
      <c r="K78" s="286"/>
      <c r="L78" s="314"/>
      <c r="M78" s="417"/>
      <c r="N78" s="13"/>
      <c r="O78" s="13"/>
      <c r="P78" s="50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416"/>
      <c r="AC78" s="416"/>
      <c r="AD78" s="416"/>
      <c r="AE78" s="416"/>
      <c r="AF78" s="416"/>
      <c r="AG78" s="416"/>
      <c r="AH78" s="416"/>
      <c r="AI78" s="416"/>
      <c r="AJ78" s="416"/>
      <c r="AK78" s="416"/>
      <c r="AL78" s="416"/>
      <c r="AM78" s="416"/>
      <c r="AN78" s="416"/>
      <c r="AO78" s="416"/>
      <c r="AP78" s="416"/>
      <c r="AQ78" s="416"/>
      <c r="AR78" s="416"/>
      <c r="AS78" s="416"/>
      <c r="AT78" s="416"/>
      <c r="AU78" s="416"/>
      <c r="AV78" s="416"/>
      <c r="AW78" s="416"/>
    </row>
    <row r="79" spans="2:57" s="54" customFormat="1" ht="53.25" hidden="1" customHeight="1">
      <c r="B79" s="387" t="str">
        <f>B84</f>
        <v>CARIB</v>
      </c>
      <c r="C79" s="432">
        <v>45833</v>
      </c>
      <c r="D79" s="377"/>
      <c r="E79" s="378"/>
      <c r="F79" s="379"/>
      <c r="G79" s="303"/>
      <c r="H79" s="320" t="e">
        <f>(D79-F79)/D79*100</f>
        <v>#DIV/0!</v>
      </c>
      <c r="I79" s="322" t="e">
        <f>((F79+E79)-G79)/(F79+E79)*100</f>
        <v>#DIV/0!</v>
      </c>
      <c r="J79" s="392" t="s">
        <v>181</v>
      </c>
      <c r="K79" s="286"/>
      <c r="L79" s="314" t="e">
        <f>(((D79+E79)-G79)/(D79+E79))*100</f>
        <v>#DIV/0!</v>
      </c>
      <c r="M79" s="417" t="s">
        <v>208</v>
      </c>
      <c r="N79" s="13"/>
      <c r="O79" s="13"/>
      <c r="P79" s="50"/>
      <c r="R79" s="275"/>
      <c r="S79" s="275"/>
      <c r="T79" s="275"/>
      <c r="U79" s="275"/>
      <c r="V79" s="275"/>
      <c r="W79" s="275"/>
      <c r="X79" s="275"/>
      <c r="Y79" s="275"/>
      <c r="Z79" s="275"/>
      <c r="AA79" s="275"/>
      <c r="AB79" s="57">
        <f>[20]January_2019!L7</f>
        <v>0</v>
      </c>
      <c r="AC79" s="57">
        <f>[20]January_2019!M7</f>
        <v>0</v>
      </c>
      <c r="AD79" s="57">
        <f>[20]January_2019!N7</f>
        <v>0</v>
      </c>
      <c r="AE79" s="57">
        <f>[20]January_2019!O7</f>
        <v>0</v>
      </c>
      <c r="AF79" s="57">
        <f>[20]January_2019!P7</f>
        <v>0</v>
      </c>
      <c r="AG79" s="57">
        <f>[20]January_2019!Q7</f>
        <v>0</v>
      </c>
      <c r="AH79" s="57">
        <f>[20]January_2019!R7</f>
        <v>0</v>
      </c>
      <c r="AI79" s="57">
        <f>[20]January_2019!S7</f>
        <v>0</v>
      </c>
      <c r="AJ79" s="57">
        <f>[20]January_2019!T7</f>
        <v>0</v>
      </c>
      <c r="AK79" s="57">
        <f>[20]January_2019!U7</f>
        <v>0</v>
      </c>
      <c r="AL79" s="57">
        <f>[20]January_2019!V7</f>
        <v>0</v>
      </c>
      <c r="AM79" s="57">
        <f>[20]January_2019!W7</f>
        <v>0</v>
      </c>
      <c r="AN79" s="57">
        <f>[20]January_2019!X7</f>
        <v>0</v>
      </c>
      <c r="AO79" s="57">
        <f>[20]January_2019!Y7</f>
        <v>0</v>
      </c>
      <c r="AP79" s="57">
        <f>[20]January_2019!Z7</f>
        <v>0</v>
      </c>
      <c r="AQ79" s="57">
        <f>[20]January_2019!AA7</f>
        <v>0</v>
      </c>
      <c r="AR79" s="57">
        <f>[20]January_2019!AB7</f>
        <v>0</v>
      </c>
      <c r="AS79" s="57">
        <f>[20]January_2019!AC7</f>
        <v>0</v>
      </c>
      <c r="AT79" s="57">
        <f>[20]January_2019!AD7</f>
        <v>0</v>
      </c>
      <c r="AU79" s="57">
        <f>[20]January_2019!AE7</f>
        <v>0</v>
      </c>
      <c r="AV79" s="57">
        <f>[20]January_2019!AF7</f>
        <v>0</v>
      </c>
      <c r="AW79" s="57">
        <f>[20]January_2019!AG7</f>
        <v>0</v>
      </c>
      <c r="AX79" s="277">
        <f>[20]January_2019!AH7</f>
        <v>0</v>
      </c>
      <c r="AY79" s="277"/>
      <c r="AZ79" s="277"/>
      <c r="BA79" s="277"/>
      <c r="BB79" s="277"/>
      <c r="BC79" s="277"/>
      <c r="BD79" s="277"/>
      <c r="BE79" s="277"/>
    </row>
    <row r="80" spans="2:57" s="54" customFormat="1" ht="16.5" customHeight="1">
      <c r="B80" s="423"/>
      <c r="C80" s="283"/>
      <c r="D80" s="377"/>
      <c r="E80" s="378"/>
      <c r="F80" s="379"/>
      <c r="G80" s="303"/>
      <c r="H80" s="320"/>
      <c r="I80" s="322"/>
      <c r="J80" s="281"/>
      <c r="K80" s="286"/>
      <c r="L80" s="314"/>
      <c r="M80" s="417"/>
      <c r="N80" s="13"/>
      <c r="O80" s="13"/>
      <c r="P80" s="50"/>
      <c r="R80" s="275"/>
      <c r="S80" s="275"/>
      <c r="T80" s="275"/>
      <c r="U80" s="275"/>
      <c r="V80" s="275"/>
      <c r="W80" s="275"/>
      <c r="X80" s="275"/>
      <c r="Y80" s="275"/>
      <c r="Z80" s="275"/>
      <c r="AA80" s="275"/>
      <c r="AB80" s="416"/>
      <c r="AC80" s="416"/>
      <c r="AD80" s="416"/>
      <c r="AE80" s="416"/>
      <c r="AF80" s="416"/>
      <c r="AG80" s="416"/>
      <c r="AH80" s="416"/>
      <c r="AI80" s="416"/>
      <c r="AJ80" s="416"/>
      <c r="AK80" s="416"/>
      <c r="AL80" s="416"/>
      <c r="AM80" s="416"/>
      <c r="AN80" s="416"/>
      <c r="AO80" s="416"/>
      <c r="AP80" s="416"/>
      <c r="AQ80" s="416"/>
      <c r="AR80" s="416"/>
      <c r="AS80" s="416"/>
      <c r="AT80" s="416"/>
      <c r="AU80" s="416"/>
      <c r="AV80" s="416"/>
      <c r="AW80" s="416"/>
    </row>
    <row r="81" spans="2:16" ht="18" customHeight="1" thickBot="1">
      <c r="B81" s="59"/>
      <c r="C81" s="30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 t="s">
        <v>41</v>
      </c>
      <c r="O81" s="56"/>
      <c r="P81" s="60"/>
    </row>
    <row r="82" spans="2:16" ht="14.4" thickBot="1">
      <c r="B82" s="533" t="s">
        <v>55</v>
      </c>
      <c r="C82" s="534"/>
      <c r="D82" s="534"/>
      <c r="E82" s="534"/>
      <c r="F82" s="535"/>
      <c r="G82" s="533" t="s">
        <v>56</v>
      </c>
      <c r="H82" s="534"/>
      <c r="I82" s="534"/>
      <c r="J82" s="535"/>
      <c r="K82" s="533" t="s">
        <v>51</v>
      </c>
      <c r="L82" s="534"/>
      <c r="M82" s="534"/>
      <c r="N82" s="536"/>
      <c r="O82" s="56"/>
      <c r="P82" s="50"/>
    </row>
    <row r="83" spans="2:16">
      <c r="B83" s="61" t="s">
        <v>17</v>
      </c>
      <c r="C83" s="62" t="s">
        <v>36</v>
      </c>
      <c r="D83" s="62" t="s">
        <v>37</v>
      </c>
      <c r="E83" s="62" t="s">
        <v>38</v>
      </c>
      <c r="F83" s="63" t="s">
        <v>39</v>
      </c>
      <c r="G83" s="62" t="s">
        <v>36</v>
      </c>
      <c r="H83" s="62" t="s">
        <v>37</v>
      </c>
      <c r="I83" s="62" t="s">
        <v>38</v>
      </c>
      <c r="J83" s="63" t="s">
        <v>39</v>
      </c>
      <c r="K83" s="62" t="s">
        <v>36</v>
      </c>
      <c r="L83" s="62" t="s">
        <v>37</v>
      </c>
      <c r="M83" s="62" t="s">
        <v>38</v>
      </c>
      <c r="N83" s="63" t="s">
        <v>39</v>
      </c>
      <c r="O83" s="56"/>
      <c r="P83" s="64"/>
    </row>
    <row r="84" spans="2:16">
      <c r="B84" s="29" t="s">
        <v>6</v>
      </c>
      <c r="C84" s="65"/>
      <c r="D84" s="76">
        <v>6.0173150214328723</v>
      </c>
      <c r="E84" s="76">
        <v>6.5589132070719618</v>
      </c>
      <c r="F84" s="66">
        <v>4.8</v>
      </c>
      <c r="G84" s="65"/>
      <c r="H84" s="76">
        <v>5.1026424932575187</v>
      </c>
      <c r="I84" s="76">
        <v>6.5311379198382795</v>
      </c>
      <c r="J84" s="66">
        <v>4.8</v>
      </c>
      <c r="K84" s="67"/>
      <c r="L84" s="194">
        <v>0.55420175438596497</v>
      </c>
      <c r="M84" s="194">
        <v>0.72689428242059806</v>
      </c>
      <c r="N84" s="68">
        <v>1</v>
      </c>
      <c r="O84" s="56"/>
      <c r="P84" s="69"/>
    </row>
    <row r="85" spans="2:16">
      <c r="B85" s="33" t="s">
        <v>9</v>
      </c>
      <c r="C85" s="65"/>
      <c r="D85" s="76">
        <v>5.1508449537602505</v>
      </c>
      <c r="E85" s="76">
        <v>6.1120783649463784</v>
      </c>
      <c r="F85" s="66">
        <v>4.8</v>
      </c>
      <c r="G85" s="65"/>
      <c r="H85" s="76">
        <v>4.9416779228770604</v>
      </c>
      <c r="I85" s="76">
        <v>5.9705742349149915</v>
      </c>
      <c r="J85" s="66">
        <v>4.8</v>
      </c>
      <c r="K85" s="67"/>
      <c r="L85" s="194">
        <v>0.68785526315789469</v>
      </c>
      <c r="M85" s="194">
        <v>0.74129168926071198</v>
      </c>
      <c r="N85" s="68">
        <v>1</v>
      </c>
      <c r="P85" s="69"/>
    </row>
    <row r="86" spans="2:16">
      <c r="B86" s="34" t="s">
        <v>40</v>
      </c>
      <c r="C86" s="65"/>
      <c r="D86" s="76">
        <v>12.188365650969537</v>
      </c>
      <c r="E86" s="76">
        <v>11.96027372373279</v>
      </c>
      <c r="F86" s="66">
        <v>5.5</v>
      </c>
      <c r="G86" s="65"/>
      <c r="H86" s="76">
        <v>12.44001096804088</v>
      </c>
      <c r="I86" s="76">
        <v>13.111031100634913</v>
      </c>
      <c r="J86" s="66">
        <v>5.5</v>
      </c>
      <c r="K86" s="67"/>
      <c r="L86" s="194">
        <v>0.27581871345029241</v>
      </c>
      <c r="M86" s="194">
        <v>0.4869398559932232</v>
      </c>
      <c r="N86" s="68">
        <v>1</v>
      </c>
      <c r="P86" s="69"/>
    </row>
    <row r="87" spans="2:16">
      <c r="B87" s="22" t="s">
        <v>33</v>
      </c>
      <c r="C87" s="65"/>
      <c r="D87" s="76">
        <v>10.592686002522056</v>
      </c>
      <c r="E87" s="76">
        <v>5.4214697406339898</v>
      </c>
      <c r="F87" s="66">
        <v>3.3</v>
      </c>
      <c r="G87" s="65"/>
      <c r="H87" s="76">
        <v>10.440711622307923</v>
      </c>
      <c r="I87" s="76">
        <v>5.263029001952213</v>
      </c>
      <c r="J87" s="66">
        <v>3.3</v>
      </c>
      <c r="K87" s="67"/>
      <c r="L87" s="194">
        <v>0.22480263157894734</v>
      </c>
      <c r="M87" s="194">
        <v>0.6919486215538847</v>
      </c>
      <c r="N87" s="68">
        <v>1</v>
      </c>
      <c r="P87" s="69"/>
    </row>
    <row r="88" spans="2:16">
      <c r="B88" s="35" t="s">
        <v>29</v>
      </c>
      <c r="C88" s="65"/>
      <c r="D88" s="76"/>
      <c r="E88" s="76"/>
      <c r="F88" s="66">
        <v>3.3</v>
      </c>
      <c r="G88" s="282"/>
      <c r="H88" s="76"/>
      <c r="I88" s="76"/>
      <c r="J88" s="66">
        <v>3</v>
      </c>
      <c r="L88" s="194"/>
      <c r="M88" s="194"/>
      <c r="N88" s="68">
        <v>1</v>
      </c>
      <c r="P88" s="69"/>
    </row>
    <row r="89" spans="2:16">
      <c r="B89" s="36" t="s">
        <v>15</v>
      </c>
      <c r="C89" s="282"/>
      <c r="D89" s="76">
        <v>5.7784145176695159</v>
      </c>
      <c r="E89" s="76">
        <v>7.3129862357869699</v>
      </c>
      <c r="F89" s="70">
        <f>[21]May_2022!$M$43</f>
        <v>3.4878406700073312</v>
      </c>
      <c r="G89" s="282"/>
      <c r="H89" s="76">
        <v>7.6606905670809748</v>
      </c>
      <c r="I89" s="76">
        <v>8.9862703283331644</v>
      </c>
      <c r="J89" s="66">
        <v>5.5</v>
      </c>
      <c r="K89" s="67"/>
      <c r="L89" s="194">
        <v>0.34614035087719303</v>
      </c>
      <c r="M89" s="194">
        <v>0.59276315789473688</v>
      </c>
      <c r="N89" s="68">
        <v>1</v>
      </c>
      <c r="P89" s="69"/>
    </row>
    <row r="90" spans="2:16">
      <c r="B90" s="37" t="s">
        <v>16</v>
      </c>
      <c r="C90" s="65"/>
      <c r="D90" s="76">
        <v>4.8459003682884285</v>
      </c>
      <c r="E90" s="76">
        <v>3.1283185840707883</v>
      </c>
      <c r="F90" s="66">
        <v>3.3</v>
      </c>
      <c r="G90" s="282"/>
      <c r="H90" s="76">
        <v>5.3838407622154936</v>
      </c>
      <c r="I90" s="76">
        <v>4.671657298145214</v>
      </c>
      <c r="J90" s="66">
        <v>3.3</v>
      </c>
      <c r="K90" s="67"/>
      <c r="L90" s="194">
        <v>0.3445029239766082</v>
      </c>
      <c r="M90" s="194">
        <v>0.70412549019607829</v>
      </c>
      <c r="N90" s="71">
        <v>1</v>
      </c>
      <c r="P90" s="69"/>
    </row>
    <row r="91" spans="2:16" ht="14.4" thickBot="1">
      <c r="B91" s="38" t="s">
        <v>127</v>
      </c>
      <c r="C91" s="65"/>
      <c r="D91" s="76"/>
      <c r="E91" s="76"/>
      <c r="F91" s="66">
        <v>7.5</v>
      </c>
      <c r="G91" s="282"/>
      <c r="H91" s="76"/>
      <c r="I91" s="76"/>
      <c r="J91" s="66">
        <v>7.5</v>
      </c>
      <c r="K91" s="67"/>
      <c r="L91" s="194"/>
      <c r="M91" s="194"/>
      <c r="N91" s="71">
        <v>1</v>
      </c>
      <c r="P91" s="69"/>
    </row>
    <row r="92" spans="2:16" ht="14.4" thickBot="1">
      <c r="B92" s="415" t="s">
        <v>161</v>
      </c>
      <c r="C92" s="65"/>
      <c r="D92" s="76"/>
      <c r="E92" s="76">
        <v>4.8792508624938291</v>
      </c>
      <c r="F92" s="66">
        <v>4.8</v>
      </c>
      <c r="G92" s="282"/>
      <c r="H92" s="76"/>
      <c r="I92" s="76">
        <v>6.2003723782925313</v>
      </c>
      <c r="J92" s="66">
        <v>4.8</v>
      </c>
      <c r="K92" s="67"/>
      <c r="L92" s="194"/>
      <c r="M92" s="194">
        <v>0.33859649122807017</v>
      </c>
      <c r="N92" s="71">
        <v>1</v>
      </c>
      <c r="O92" s="74"/>
      <c r="P92" s="75"/>
    </row>
    <row r="93" spans="2:16">
      <c r="D93" s="76">
        <v>6.4085871454469503</v>
      </c>
      <c r="E93" s="76">
        <v>6.6149175602739421</v>
      </c>
      <c r="F93" s="341">
        <v>5.5</v>
      </c>
      <c r="H93" s="76">
        <v>6.346727497093263</v>
      </c>
      <c r="I93" s="76">
        <v>6.925931727140795</v>
      </c>
      <c r="J93" s="341">
        <v>5.5</v>
      </c>
      <c r="L93" s="194">
        <v>0.49922319688109157</v>
      </c>
      <c r="M93" s="194">
        <v>0.67840198087431691</v>
      </c>
      <c r="N93" s="386">
        <v>1</v>
      </c>
    </row>
    <row r="97" spans="6:6">
      <c r="F97" s="315"/>
    </row>
    <row r="98" spans="6:6">
      <c r="F98" s="341"/>
    </row>
  </sheetData>
  <mergeCells count="51">
    <mergeCell ref="M75:M76"/>
    <mergeCell ref="B82:F82"/>
    <mergeCell ref="G82:J82"/>
    <mergeCell ref="K82:N82"/>
    <mergeCell ref="G75:G76"/>
    <mergeCell ref="H75:H76"/>
    <mergeCell ref="I75:I76"/>
    <mergeCell ref="J75:J76"/>
    <mergeCell ref="K75:K76"/>
    <mergeCell ref="L75:L76"/>
    <mergeCell ref="F75:F76"/>
    <mergeCell ref="D70:E70"/>
    <mergeCell ref="B75:B76"/>
    <mergeCell ref="C75:C76"/>
    <mergeCell ref="D75:D76"/>
    <mergeCell ref="E75:E76"/>
    <mergeCell ref="B60:B69"/>
    <mergeCell ref="D60:E61"/>
    <mergeCell ref="J60:K60"/>
    <mergeCell ref="L61:N61"/>
    <mergeCell ref="D62:E63"/>
    <mergeCell ref="D64:E65"/>
    <mergeCell ref="D66:E67"/>
    <mergeCell ref="D68:E69"/>
    <mergeCell ref="I46:N46"/>
    <mergeCell ref="D47:E47"/>
    <mergeCell ref="B48:B59"/>
    <mergeCell ref="D48:E49"/>
    <mergeCell ref="D50:E51"/>
    <mergeCell ref="D52:E53"/>
    <mergeCell ref="D54:E55"/>
    <mergeCell ref="D56:E57"/>
    <mergeCell ref="D58:E59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70:B71">
    <cfRule type="cellIs" dxfId="281" priority="144" operator="notBetween">
      <formula>#REF!</formula>
      <formula>#REF!</formula>
    </cfRule>
  </conditionalFormatting>
  <conditionalFormatting sqref="C74">
    <cfRule type="cellIs" dxfId="280" priority="176" stopIfTrue="1" operator="greaterThan">
      <formula>100</formula>
    </cfRule>
    <cfRule type="cellIs" dxfId="279" priority="175" stopIfTrue="1" operator="lessThan">
      <formula>96</formula>
    </cfRule>
  </conditionalFormatting>
  <conditionalFormatting sqref="C84:C85">
    <cfRule type="cellIs" dxfId="278" priority="122" stopIfTrue="1" operator="lessThanOrEqual">
      <formula>0</formula>
    </cfRule>
  </conditionalFormatting>
  <conditionalFormatting sqref="C84:C88">
    <cfRule type="cellIs" dxfId="277" priority="121" stopIfTrue="1" operator="greaterThan">
      <formula>$F84</formula>
    </cfRule>
  </conditionalFormatting>
  <conditionalFormatting sqref="C85">
    <cfRule type="cellIs" dxfId="276" priority="179" stopIfTrue="1" operator="greaterThan">
      <formula>$F84</formula>
    </cfRule>
  </conditionalFormatting>
  <conditionalFormatting sqref="C86:C89">
    <cfRule type="cellIs" dxfId="275" priority="128" stopIfTrue="1" operator="lessThanOrEqual">
      <formula>0</formula>
    </cfRule>
  </conditionalFormatting>
  <conditionalFormatting sqref="C89">
    <cfRule type="cellIs" dxfId="274" priority="127" stopIfTrue="1" operator="greaterThan">
      <formula>$J89</formula>
    </cfRule>
  </conditionalFormatting>
  <conditionalFormatting sqref="C95:C99">
    <cfRule type="cellIs" dxfId="273" priority="167" stopIfTrue="1" operator="lessThanOrEqual">
      <formula>0</formula>
    </cfRule>
  </conditionalFormatting>
  <conditionalFormatting sqref="C96:C99">
    <cfRule type="cellIs" dxfId="272" priority="166" stopIfTrue="1" operator="greaterThan">
      <formula>$F$95</formula>
    </cfRule>
  </conditionalFormatting>
  <conditionalFormatting sqref="C101">
    <cfRule type="cellIs" dxfId="271" priority="169" stopIfTrue="1" operator="lessThanOrEqual">
      <formula>0</formula>
    </cfRule>
    <cfRule type="cellIs" dxfId="270" priority="168" stopIfTrue="1" operator="greaterThan">
      <formula>$F$95</formula>
    </cfRule>
  </conditionalFormatting>
  <conditionalFormatting sqref="C95:D95 D97:D103">
    <cfRule type="cellIs" dxfId="269" priority="161" stopIfTrue="1" operator="greaterThan">
      <formula>4.5</formula>
    </cfRule>
  </conditionalFormatting>
  <conditionalFormatting sqref="D70:D71">
    <cfRule type="cellIs" dxfId="268" priority="145" operator="notBetween">
      <formula>#REF!</formula>
      <formula>#REF!</formula>
    </cfRule>
  </conditionalFormatting>
  <conditionalFormatting sqref="D84:D91">
    <cfRule type="cellIs" dxfId="267" priority="138" stopIfTrue="1" operator="lessThanOrEqual">
      <formula>0</formula>
    </cfRule>
  </conditionalFormatting>
  <conditionalFormatting sqref="D92">
    <cfRule type="cellIs" dxfId="266" priority="137" stopIfTrue="1" operator="lessThanOrEqual">
      <formula>0</formula>
    </cfRule>
  </conditionalFormatting>
  <conditionalFormatting sqref="D95 D97:D103">
    <cfRule type="cellIs" dxfId="265" priority="162" stopIfTrue="1" operator="lessThanOrEqual">
      <formula>0</formula>
    </cfRule>
  </conditionalFormatting>
  <conditionalFormatting sqref="D96">
    <cfRule type="cellIs" dxfId="264" priority="154" stopIfTrue="1" operator="lessThanOrEqual">
      <formula>0</formula>
    </cfRule>
    <cfRule type="cellIs" dxfId="263" priority="153" stopIfTrue="1" operator="greaterThan">
      <formula>$F$95</formula>
    </cfRule>
  </conditionalFormatting>
  <conditionalFormatting sqref="D84:E93">
    <cfRule type="cellIs" dxfId="262" priority="118" stopIfTrue="1" operator="greaterThan">
      <formula>$F84</formula>
    </cfRule>
  </conditionalFormatting>
  <conditionalFormatting sqref="D93:E93">
    <cfRule type="cellIs" dxfId="261" priority="119" stopIfTrue="1" operator="lessThanOrEqual">
      <formula>0</formula>
    </cfRule>
  </conditionalFormatting>
  <conditionalFormatting sqref="E11:E13 E16">
    <cfRule type="cellIs" dxfId="260" priority="38" operator="lessThan">
      <formula>48</formula>
    </cfRule>
  </conditionalFormatting>
  <conditionalFormatting sqref="E19:E45">
    <cfRule type="cellIs" dxfId="259" priority="3" operator="lessThan">
      <formula>48</formula>
    </cfRule>
  </conditionalFormatting>
  <conditionalFormatting sqref="E73 E74:F74">
    <cfRule type="cellIs" dxfId="258" priority="158" stopIfTrue="1" operator="greaterThan">
      <formula>100</formula>
    </cfRule>
  </conditionalFormatting>
  <conditionalFormatting sqref="E74">
    <cfRule type="cellIs" dxfId="257" priority="156" stopIfTrue="1" operator="greaterThan">
      <formula>100</formula>
    </cfRule>
    <cfRule type="cellIs" dxfId="256" priority="155" stopIfTrue="1" operator="lessThan">
      <formula>96.8</formula>
    </cfRule>
  </conditionalFormatting>
  <conditionalFormatting sqref="E84:E92">
    <cfRule type="cellIs" dxfId="255" priority="132" stopIfTrue="1" operator="lessThanOrEqual">
      <formula>0</formula>
    </cfRule>
  </conditionalFormatting>
  <conditionalFormatting sqref="E95:E103">
    <cfRule type="cellIs" dxfId="254" priority="147" stopIfTrue="1" operator="greaterThan">
      <formula>4.5</formula>
    </cfRule>
    <cfRule type="cellIs" dxfId="253" priority="148" stopIfTrue="1" operator="lessThanOrEqual">
      <formula>0</formula>
    </cfRule>
  </conditionalFormatting>
  <conditionalFormatting sqref="E74:F74 E73">
    <cfRule type="cellIs" dxfId="252" priority="157" stopIfTrue="1" operator="lessThan">
      <formula>96.5</formula>
    </cfRule>
  </conditionalFormatting>
  <conditionalFormatting sqref="F11:F13">
    <cfRule type="cellIs" dxfId="251" priority="39" operator="greaterThan">
      <formula>60</formula>
    </cfRule>
  </conditionalFormatting>
  <conditionalFormatting sqref="F16:F45">
    <cfRule type="cellIs" dxfId="250" priority="4" operator="greaterThan">
      <formula>60</formula>
    </cfRule>
  </conditionalFormatting>
  <conditionalFormatting sqref="F74">
    <cfRule type="cellIs" dxfId="249" priority="174" stopIfTrue="1" operator="greaterThan">
      <formula>100</formula>
    </cfRule>
    <cfRule type="cellIs" dxfId="248" priority="173" stopIfTrue="1" operator="lessThan">
      <formula>96.8</formula>
    </cfRule>
  </conditionalFormatting>
  <conditionalFormatting sqref="F93">
    <cfRule type="cellIs" dxfId="247" priority="133" stopIfTrue="1" operator="greaterThan">
      <formula>$F93</formula>
    </cfRule>
    <cfRule type="cellIs" dxfId="246" priority="134" stopIfTrue="1" operator="lessThanOrEqual">
      <formula>0</formula>
    </cfRule>
  </conditionalFormatting>
  <conditionalFormatting sqref="F98">
    <cfRule type="cellIs" dxfId="245" priority="57" stopIfTrue="1" operator="lessThanOrEqual">
      <formula>0</formula>
    </cfRule>
    <cfRule type="cellIs" dxfId="244" priority="56" stopIfTrue="1" operator="greaterThan">
      <formula>$F98</formula>
    </cfRule>
  </conditionalFormatting>
  <conditionalFormatting sqref="G17:G18">
    <cfRule type="expression" dxfId="243" priority="32">
      <formula>IF(+(IF(G17&lt;T17,0,IF(G17&gt;U17,0,1)))=0,1)</formula>
    </cfRule>
  </conditionalFormatting>
  <conditionalFormatting sqref="G84:G85 C90:C92">
    <cfRule type="cellIs" dxfId="242" priority="140" stopIfTrue="1" operator="lessThanOrEqual">
      <formula>0</formula>
    </cfRule>
    <cfRule type="cellIs" dxfId="241" priority="139" stopIfTrue="1" operator="greaterThan">
      <formula>$F84</formula>
    </cfRule>
  </conditionalFormatting>
  <conditionalFormatting sqref="G84:G85">
    <cfRule type="cellIs" dxfId="240" priority="123" stopIfTrue="1" operator="greaterThan">
      <formula>$F84</formula>
    </cfRule>
    <cfRule type="cellIs" dxfId="239" priority="124" stopIfTrue="1" operator="lessThanOrEqual">
      <formula>0</formula>
    </cfRule>
  </conditionalFormatting>
  <conditionalFormatting sqref="G86">
    <cfRule type="cellIs" dxfId="238" priority="177" stopIfTrue="1" operator="greaterThan">
      <formula>$F85</formula>
    </cfRule>
    <cfRule type="cellIs" dxfId="237" priority="178" stopIfTrue="1" operator="lessThanOrEqual">
      <formula>0</formula>
    </cfRule>
  </conditionalFormatting>
  <conditionalFormatting sqref="G87">
    <cfRule type="cellIs" dxfId="236" priority="136" stopIfTrue="1" operator="lessThanOrEqual">
      <formula>0</formula>
    </cfRule>
    <cfRule type="cellIs" dxfId="235" priority="135" stopIfTrue="1" operator="greaterThan">
      <formula>$F87</formula>
    </cfRule>
  </conditionalFormatting>
  <conditionalFormatting sqref="G88:G92">
    <cfRule type="cellIs" dxfId="234" priority="142" stopIfTrue="1" operator="lessThanOrEqual">
      <formula>0</formula>
    </cfRule>
    <cfRule type="cellIs" dxfId="233" priority="141" stopIfTrue="1" operator="greaterThan">
      <formula>$J88</formula>
    </cfRule>
  </conditionalFormatting>
  <conditionalFormatting sqref="G97:G102 C100 C102">
    <cfRule type="cellIs" dxfId="232" priority="170" stopIfTrue="1" operator="greaterThan">
      <formula>4.5</formula>
    </cfRule>
    <cfRule type="cellIs" dxfId="231" priority="171" stopIfTrue="1" operator="lessThanOrEqual">
      <formula>0</formula>
    </cfRule>
  </conditionalFormatting>
  <conditionalFormatting sqref="G11:H12 G13 G16">
    <cfRule type="expression" dxfId="230" priority="34">
      <formula>IF(+(IF(G11&lt;#REF!,0,IF(G11&gt;#REF!,0,1)))=0,1)</formula>
    </cfRule>
  </conditionalFormatting>
  <conditionalFormatting sqref="G19:H45">
    <cfRule type="expression" dxfId="229" priority="1">
      <formula>IF(+(IF(G19&lt;#REF!,0,IF(G19&gt;#REF!,0,1)))=0,1)</formula>
    </cfRule>
  </conditionalFormatting>
  <conditionalFormatting sqref="G96:H96">
    <cfRule type="cellIs" dxfId="228" priority="152" stopIfTrue="1" operator="lessThanOrEqual">
      <formula>0</formula>
    </cfRule>
    <cfRule type="cellIs" dxfId="227" priority="151" stopIfTrue="1" operator="greaterThan">
      <formula>$F$95</formula>
    </cfRule>
  </conditionalFormatting>
  <conditionalFormatting sqref="H13:H18">
    <cfRule type="expression" dxfId="226" priority="20">
      <formula>IF(+(IF(H13&lt;#REF!,0,IF(H13&gt;#REF!,0,1)))=0,1)</formula>
    </cfRule>
  </conditionalFormatting>
  <conditionalFormatting sqref="H59:H60 I60 I72 H72:H73">
    <cfRule type="cellIs" dxfId="225" priority="149" stopIfTrue="1" operator="greaterThan">
      <formula>0</formula>
    </cfRule>
  </conditionalFormatting>
  <conditionalFormatting sqref="H77">
    <cfRule type="cellIs" dxfId="224" priority="62" stopIfTrue="1" operator="greaterThan">
      <formula>$F$44</formula>
    </cfRule>
    <cfRule type="cellIs" dxfId="223" priority="61" stopIfTrue="1" operator="lessThanOrEqual">
      <formula>0</formula>
    </cfRule>
    <cfRule type="cellIs" dxfId="222" priority="70" stopIfTrue="1" operator="greaterThan">
      <formula>$F$47</formula>
    </cfRule>
    <cfRule type="cellIs" dxfId="221" priority="71" stopIfTrue="1" operator="lessThanOrEqual">
      <formula>0</formula>
    </cfRule>
    <cfRule type="cellIs" dxfId="220" priority="72" stopIfTrue="1" operator="greaterThan">
      <formula>$F$45</formula>
    </cfRule>
    <cfRule type="cellIs" dxfId="219" priority="73" stopIfTrue="1" operator="lessThanOrEqual">
      <formula>0</formula>
    </cfRule>
  </conditionalFormatting>
  <conditionalFormatting sqref="H78 H80">
    <cfRule type="cellIs" dxfId="218" priority="101" stopIfTrue="1" operator="greaterThan">
      <formula>$F$61</formula>
    </cfRule>
    <cfRule type="cellIs" dxfId="217" priority="102" stopIfTrue="1" operator="lessThanOrEqual">
      <formula>0</formula>
    </cfRule>
    <cfRule type="cellIs" dxfId="216" priority="103" stopIfTrue="1" operator="greaterThan">
      <formula>$F$59</formula>
    </cfRule>
    <cfRule type="cellIs" dxfId="215" priority="104" stopIfTrue="1" operator="lessThanOrEqual">
      <formula>0</formula>
    </cfRule>
    <cfRule type="cellIs" dxfId="214" priority="92" stopIfTrue="1" operator="lessThanOrEqual">
      <formula>0</formula>
    </cfRule>
    <cfRule type="cellIs" dxfId="213" priority="93" stopIfTrue="1" operator="greaterThan">
      <formula>$F$58</formula>
    </cfRule>
  </conditionalFormatting>
  <conditionalFormatting sqref="H79">
    <cfRule type="cellIs" dxfId="212" priority="86" stopIfTrue="1" operator="greaterThan">
      <formula>$F$45</formula>
    </cfRule>
    <cfRule type="cellIs" dxfId="211" priority="75" stopIfTrue="1" operator="lessThanOrEqual">
      <formula>0</formula>
    </cfRule>
    <cfRule type="cellIs" dxfId="210" priority="76" stopIfTrue="1" operator="greaterThan">
      <formula>$F$44</formula>
    </cfRule>
    <cfRule type="cellIs" dxfId="209" priority="84" stopIfTrue="1" operator="greaterThan">
      <formula>$F$47</formula>
    </cfRule>
    <cfRule type="cellIs" dxfId="208" priority="85" stopIfTrue="1" operator="lessThanOrEqual">
      <formula>0</formula>
    </cfRule>
    <cfRule type="cellIs" dxfId="207" priority="87" stopIfTrue="1" operator="lessThanOrEqual">
      <formula>0</formula>
    </cfRule>
  </conditionalFormatting>
  <conditionalFormatting sqref="H84:H91">
    <cfRule type="cellIs" dxfId="206" priority="125" stopIfTrue="1" operator="greaterThan">
      <formula>$J84</formula>
    </cfRule>
    <cfRule type="cellIs" dxfId="205" priority="126" stopIfTrue="1" operator="lessThanOrEqual">
      <formula>0</formula>
    </cfRule>
  </conditionalFormatting>
  <conditionalFormatting sqref="H92">
    <cfRule type="cellIs" dxfId="204" priority="129" operator="greaterThan">
      <formula>5.3</formula>
    </cfRule>
  </conditionalFormatting>
  <conditionalFormatting sqref="H95 H97:H103">
    <cfRule type="cellIs" dxfId="203" priority="164" stopIfTrue="1" operator="lessThanOrEqual">
      <formula>0</formula>
    </cfRule>
    <cfRule type="cellIs" dxfId="202" priority="163" stopIfTrue="1" operator="greaterThan">
      <formula>4.5</formula>
    </cfRule>
  </conditionalFormatting>
  <conditionalFormatting sqref="H77:I77">
    <cfRule type="cellIs" dxfId="201" priority="63" stopIfTrue="1" operator="lessThanOrEqual">
      <formula>0</formula>
    </cfRule>
    <cfRule type="cellIs" dxfId="200" priority="60" stopIfTrue="1" operator="greaterThan">
      <formula>$F$46</formula>
    </cfRule>
  </conditionalFormatting>
  <conditionalFormatting sqref="H78:I78 H80:I80">
    <cfRule type="cellIs" dxfId="199" priority="91" stopIfTrue="1" operator="greaterThan">
      <formula>$F$60</formula>
    </cfRule>
    <cfRule type="cellIs" dxfId="198" priority="94" stopIfTrue="1" operator="lessThanOrEqual">
      <formula>0</formula>
    </cfRule>
  </conditionalFormatting>
  <conditionalFormatting sqref="H79:I79">
    <cfRule type="cellIs" dxfId="197" priority="77" stopIfTrue="1" operator="lessThanOrEqual">
      <formula>0</formula>
    </cfRule>
    <cfRule type="cellIs" dxfId="196" priority="74" stopIfTrue="1" operator="greaterThan">
      <formula>$F$46</formula>
    </cfRule>
  </conditionalFormatting>
  <conditionalFormatting sqref="H93:I93">
    <cfRule type="cellIs" dxfId="195" priority="116" stopIfTrue="1" operator="greaterThan">
      <formula>$J93</formula>
    </cfRule>
    <cfRule type="cellIs" dxfId="194" priority="117" stopIfTrue="1" operator="lessThanOrEqual">
      <formula>0</formula>
    </cfRule>
  </conditionalFormatting>
  <conditionalFormatting sqref="I77">
    <cfRule type="cellIs" dxfId="193" priority="69" stopIfTrue="1" operator="lessThanOrEqual">
      <formula>0</formula>
    </cfRule>
    <cfRule type="cellIs" dxfId="192" priority="68" stopIfTrue="1" operator="greaterThan">
      <formula>$F$44</formula>
    </cfRule>
    <cfRule type="cellIs" dxfId="191" priority="67" stopIfTrue="1" operator="lessThanOrEqual">
      <formula>0</formula>
    </cfRule>
    <cfRule type="cellIs" dxfId="190" priority="66" stopIfTrue="1" operator="greaterThan">
      <formula>$F$46</formula>
    </cfRule>
    <cfRule type="cellIs" dxfId="189" priority="64" stopIfTrue="1" operator="greaterThan">
      <formula>$F$44</formula>
    </cfRule>
    <cfRule type="cellIs" dxfId="188" priority="65" stopIfTrue="1" operator="lessThanOrEqual">
      <formula>0</formula>
    </cfRule>
  </conditionalFormatting>
  <conditionalFormatting sqref="I78 I80">
    <cfRule type="cellIs" dxfId="187" priority="96" stopIfTrue="1" operator="lessThanOrEqual">
      <formula>0</formula>
    </cfRule>
    <cfRule type="cellIs" dxfId="186" priority="100" stopIfTrue="1" operator="lessThanOrEqual">
      <formula>0</formula>
    </cfRule>
    <cfRule type="cellIs" dxfId="185" priority="95" stopIfTrue="1" operator="greaterThan">
      <formula>$F$58</formula>
    </cfRule>
    <cfRule type="cellIs" dxfId="184" priority="97" stopIfTrue="1" operator="greaterThan">
      <formula>$F$60</formula>
    </cfRule>
    <cfRule type="cellIs" dxfId="183" priority="99" stopIfTrue="1" operator="greaterThan">
      <formula>$F$58</formula>
    </cfRule>
    <cfRule type="cellIs" dxfId="182" priority="98" stopIfTrue="1" operator="lessThanOrEqual">
      <formula>0</formula>
    </cfRule>
  </conditionalFormatting>
  <conditionalFormatting sqref="I79">
    <cfRule type="cellIs" dxfId="181" priority="82" stopIfTrue="1" operator="greaterThan">
      <formula>$F$44</formula>
    </cfRule>
    <cfRule type="cellIs" dxfId="180" priority="81" stopIfTrue="1" operator="lessThanOrEqual">
      <formula>0</formula>
    </cfRule>
    <cfRule type="cellIs" dxfId="179" priority="80" stopIfTrue="1" operator="greaterThan">
      <formula>$F$46</formula>
    </cfRule>
    <cfRule type="cellIs" dxfId="178" priority="79" stopIfTrue="1" operator="lessThanOrEqual">
      <formula>0</formula>
    </cfRule>
    <cfRule type="cellIs" dxfId="177" priority="78" stopIfTrue="1" operator="greaterThan">
      <formula>$F$44</formula>
    </cfRule>
    <cfRule type="cellIs" dxfId="176" priority="83" stopIfTrue="1" operator="lessThanOrEqual">
      <formula>0</formula>
    </cfRule>
  </conditionalFormatting>
  <conditionalFormatting sqref="I84:I92">
    <cfRule type="cellIs" dxfId="175" priority="130" stopIfTrue="1" operator="greaterThan">
      <formula>$J84</formula>
    </cfRule>
    <cfRule type="cellIs" dxfId="174" priority="131" stopIfTrue="1" operator="lessThanOrEqual">
      <formula>0</formula>
    </cfRule>
  </conditionalFormatting>
  <conditionalFormatting sqref="I95:I103">
    <cfRule type="cellIs" dxfId="173" priority="159" stopIfTrue="1" operator="greaterThan">
      <formula>4.5</formula>
    </cfRule>
    <cfRule type="cellIs" dxfId="172" priority="160" stopIfTrue="1" operator="lessThanOrEqual">
      <formula>0</formula>
    </cfRule>
  </conditionalFormatting>
  <conditionalFormatting sqref="I11:J16">
    <cfRule type="cellIs" dxfId="171" priority="21" operator="lessThan">
      <formula>97.9</formula>
    </cfRule>
  </conditionalFormatting>
  <conditionalFormatting sqref="I17:J18">
    <cfRule type="cellIs" dxfId="170" priority="30" operator="notBetween">
      <formula>98</formula>
      <formula>99.9</formula>
    </cfRule>
  </conditionalFormatting>
  <conditionalFormatting sqref="I19:J45">
    <cfRule type="cellIs" dxfId="169" priority="6" operator="lessThan">
      <formula>97.9</formula>
    </cfRule>
  </conditionalFormatting>
  <conditionalFormatting sqref="J48:J50">
    <cfRule type="cellIs" dxfId="168" priority="108" operator="lessThan">
      <formula>98</formula>
    </cfRule>
    <cfRule type="cellIs" dxfId="167" priority="107" stopIfTrue="1" operator="greaterThan">
      <formula>100</formula>
    </cfRule>
    <cfRule type="cellIs" dxfId="166" priority="106" stopIfTrue="1" operator="lessThan">
      <formula>96.8</formula>
    </cfRule>
  </conditionalFormatting>
  <conditionalFormatting sqref="J48:J52">
    <cfRule type="cellIs" dxfId="165" priority="105" operator="lessThan">
      <formula>97.4</formula>
    </cfRule>
  </conditionalFormatting>
  <conditionalFormatting sqref="J53">
    <cfRule type="cellIs" dxfId="164" priority="109" operator="lessThan">
      <formula>98</formula>
    </cfRule>
  </conditionalFormatting>
  <conditionalFormatting sqref="J55:J56">
    <cfRule type="cellIs" dxfId="163" priority="110" stopIfTrue="1" operator="lessThan">
      <formula>96.8</formula>
    </cfRule>
    <cfRule type="cellIs" dxfId="162" priority="111" stopIfTrue="1" operator="greaterThan">
      <formula>100</formula>
    </cfRule>
  </conditionalFormatting>
  <conditionalFormatting sqref="J55:J57">
    <cfRule type="cellIs" dxfId="161" priority="112" operator="lessThan">
      <formula>98</formula>
    </cfRule>
  </conditionalFormatting>
  <conditionalFormatting sqref="J93">
    <cfRule type="cellIs" dxfId="160" priority="113" stopIfTrue="1" operator="greaterThan">
      <formula>$F93</formula>
    </cfRule>
    <cfRule type="cellIs" dxfId="159" priority="114" stopIfTrue="1" operator="lessThanOrEqual">
      <formula>0</formula>
    </cfRule>
  </conditionalFormatting>
  <conditionalFormatting sqref="K11:K13 K16">
    <cfRule type="cellIs" dxfId="158" priority="41" operator="greaterThan">
      <formula>6.4</formula>
    </cfRule>
  </conditionalFormatting>
  <conditionalFormatting sqref="K11:K45">
    <cfRule type="cellIs" dxfId="157" priority="11" operator="greaterThan">
      <formula>6</formula>
    </cfRule>
    <cfRule type="cellIs" dxfId="156" priority="10" operator="lessThan">
      <formula>4</formula>
    </cfRule>
  </conditionalFormatting>
  <conditionalFormatting sqref="K19:K45">
    <cfRule type="cellIs" dxfId="155" priority="15" operator="greaterThan">
      <formula>6.4</formula>
    </cfRule>
  </conditionalFormatting>
  <conditionalFormatting sqref="K77:K80">
    <cfRule type="cellIs" dxfId="154" priority="89" stopIfTrue="1" operator="lessThan">
      <formula>100%</formula>
    </cfRule>
  </conditionalFormatting>
  <conditionalFormatting sqref="K95:K100">
    <cfRule type="cellIs" dxfId="153" priority="165" stopIfTrue="1" operator="lessThan">
      <formula>100%</formula>
    </cfRule>
  </conditionalFormatting>
  <conditionalFormatting sqref="K102:K103">
    <cfRule type="cellIs" dxfId="152" priority="172" stopIfTrue="1" operator="lessThan">
      <formula>100%</formula>
    </cfRule>
  </conditionalFormatting>
  <conditionalFormatting sqref="K84:N87 L88:N88">
    <cfRule type="cellIs" dxfId="151" priority="143" stopIfTrue="1" operator="lessThan">
      <formula>100%</formula>
    </cfRule>
  </conditionalFormatting>
  <conditionalFormatting sqref="K89:N92 L93:N93">
    <cfRule type="cellIs" dxfId="150" priority="115" stopIfTrue="1" operator="lessThan">
      <formula>100%</formula>
    </cfRule>
  </conditionalFormatting>
  <conditionalFormatting sqref="L11:L13">
    <cfRule type="cellIs" dxfId="149" priority="44" operator="greaterThan">
      <formula>65</formula>
    </cfRule>
    <cfRule type="cellIs" dxfId="148" priority="43" operator="between">
      <formula>61</formula>
      <formula>65</formula>
    </cfRule>
  </conditionalFormatting>
  <conditionalFormatting sqref="L16:L19">
    <cfRule type="cellIs" dxfId="147" priority="29" operator="greaterThan">
      <formula>65</formula>
    </cfRule>
    <cfRule type="cellIs" dxfId="146" priority="28" operator="between">
      <formula>61</formula>
      <formula>65</formula>
    </cfRule>
  </conditionalFormatting>
  <conditionalFormatting sqref="L26:L45">
    <cfRule type="cellIs" dxfId="145" priority="8" operator="greaterThan">
      <formula>65</formula>
    </cfRule>
    <cfRule type="cellIs" dxfId="144" priority="7" operator="between">
      <formula>61</formula>
      <formula>65</formula>
    </cfRule>
  </conditionalFormatting>
  <conditionalFormatting sqref="L20:M25">
    <cfRule type="cellIs" dxfId="143" priority="18" operator="greaterThan">
      <formula>65</formula>
    </cfRule>
    <cfRule type="cellIs" dxfId="142" priority="17" operator="between">
      <formula>61</formula>
      <formula>65</formula>
    </cfRule>
  </conditionalFormatting>
  <conditionalFormatting sqref="L48:M59">
    <cfRule type="cellIs" dxfId="141" priority="120" operator="lessThan">
      <formula>98</formula>
    </cfRule>
  </conditionalFormatting>
  <conditionalFormatting sqref="L63:N63">
    <cfRule type="cellIs" dxfId="140" priority="90" operator="notEqual">
      <formula>#REF!</formula>
    </cfRule>
  </conditionalFormatting>
  <conditionalFormatting sqref="L95:N103">
    <cfRule type="cellIs" dxfId="139" priority="150" stopIfTrue="1" operator="lessThan">
      <formula>100%</formula>
    </cfRule>
  </conditionalFormatting>
  <conditionalFormatting sqref="M11:M13 M16">
    <cfRule type="expression" dxfId="138" priority="40">
      <formula>IF(+(IF(M11&lt;U11,0,IF(M11&gt;V11,0,1)))=0,1)</formula>
    </cfRule>
  </conditionalFormatting>
  <conditionalFormatting sqref="M17:M18">
    <cfRule type="expression" dxfId="137" priority="27">
      <formula>IF(+(IF(M17&lt;V17,0,IF(M17&gt;W17,0,1)))=0,1)</formula>
    </cfRule>
  </conditionalFormatting>
  <conditionalFormatting sqref="M19:M25">
    <cfRule type="expression" dxfId="136" priority="19">
      <formula>IF(+(IF(M19&lt;U19,0,IF(M19&gt;V19,0,1)))=0,1)</formula>
    </cfRule>
  </conditionalFormatting>
  <conditionalFormatting sqref="M26:M45">
    <cfRule type="expression" dxfId="135" priority="5">
      <formula>IF(+(IF(M26&lt;U26,0,IF(M26&gt;V26,0,1)))=0,1)</formula>
    </cfRule>
  </conditionalFormatting>
  <conditionalFormatting sqref="N11:N13 N16">
    <cfRule type="expression" dxfId="134" priority="37">
      <formula>IF(+(IF(N11&lt;W11,0,IF(N11&gt;X11,0,1)))=0,1)</formula>
    </cfRule>
  </conditionalFormatting>
  <conditionalFormatting sqref="N19:N45">
    <cfRule type="expression" dxfId="133" priority="2">
      <formula>IF(+(IF(N19&lt;W19,0,IF(N19&gt;X19,0,1)))=0,1)</formula>
    </cfRule>
  </conditionalFormatting>
  <conditionalFormatting sqref="P6">
    <cfRule type="cellIs" dxfId="132" priority="146" operator="greaterThanOrEqual">
      <formula>19</formula>
    </cfRule>
  </conditionalFormatting>
  <dataValidations disablePrompts="1" count="1">
    <dataValidation type="list" allowBlank="1" showInputMessage="1" showErrorMessage="1" sqref="R8 B17:B18" xr:uid="{B38A907E-00FC-4A1B-BF23-596E58187FF2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97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B2FB-E45A-49B5-B400-35585F5B4588}">
  <sheetPr>
    <pageSetUpPr fitToPage="1"/>
  </sheetPr>
  <dimension ref="A1:BE97"/>
  <sheetViews>
    <sheetView topLeftCell="A4" zoomScale="70" zoomScaleNormal="70" workbookViewId="0">
      <selection activeCell="L54" sqref="L54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2.109375" style="275" customWidth="1"/>
    <col min="8" max="8" width="15.5546875" style="275" customWidth="1"/>
    <col min="9" max="9" width="18" style="275" customWidth="1"/>
    <col min="10" max="10" width="31.5546875" style="275" customWidth="1"/>
    <col min="11" max="11" width="26.33203125" style="275" customWidth="1"/>
    <col min="12" max="12" width="14.88671875" style="275" customWidth="1"/>
    <col min="13" max="13" width="24.109375" style="275" customWidth="1"/>
    <col min="14" max="14" width="11.44140625" style="275" customWidth="1"/>
    <col min="15" max="15" width="17.5546875" style="275" customWidth="1"/>
    <col min="16" max="16" width="67.441406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73" t="s">
        <v>0</v>
      </c>
      <c r="T1" s="473"/>
      <c r="U1" s="473" t="s">
        <v>1</v>
      </c>
      <c r="V1" s="473"/>
      <c r="W1" s="473" t="s">
        <v>2</v>
      </c>
      <c r="X1" s="473"/>
      <c r="Y1" s="473" t="s">
        <v>124</v>
      </c>
      <c r="Z1" s="473"/>
    </row>
    <row r="2" spans="2:29" ht="14.4">
      <c r="B2" s="474" t="s">
        <v>3</v>
      </c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4"/>
      <c r="N2" s="474"/>
      <c r="O2" s="474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1">
        <v>45839</v>
      </c>
      <c r="J4" s="398" t="s">
        <v>172</v>
      </c>
      <c r="K4" s="398"/>
      <c r="L4" s="11"/>
      <c r="M4" s="471" t="s">
        <v>8</v>
      </c>
      <c r="N4" s="472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468"/>
      <c r="D5" s="468"/>
      <c r="J5" s="403"/>
      <c r="K5" s="403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399" t="s">
        <v>222</v>
      </c>
      <c r="K6" s="400"/>
      <c r="L6" s="311" t="s">
        <v>14</v>
      </c>
      <c r="M6" s="340">
        <v>10</v>
      </c>
      <c r="N6" s="340">
        <v>10</v>
      </c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1"/>
      <c r="K7" s="402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81" t="s">
        <v>17</v>
      </c>
      <c r="C8" s="483" t="s">
        <v>18</v>
      </c>
      <c r="D8" s="483" t="s">
        <v>19</v>
      </c>
      <c r="E8" s="356" t="s">
        <v>20</v>
      </c>
      <c r="F8" s="356" t="s">
        <v>21</v>
      </c>
      <c r="G8" s="483" t="s">
        <v>22</v>
      </c>
      <c r="H8" s="485" t="s">
        <v>144</v>
      </c>
      <c r="I8" s="483" t="s">
        <v>197</v>
      </c>
      <c r="J8" s="487" t="s">
        <v>23</v>
      </c>
      <c r="K8" s="489" t="s">
        <v>142</v>
      </c>
      <c r="L8" s="491" t="s">
        <v>24</v>
      </c>
      <c r="M8" s="359" t="s">
        <v>25</v>
      </c>
      <c r="N8" s="17" t="s">
        <v>26</v>
      </c>
      <c r="O8" s="543" t="s">
        <v>155</v>
      </c>
      <c r="P8" s="555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36.6" customHeight="1">
      <c r="B9" s="482"/>
      <c r="C9" s="484"/>
      <c r="D9" s="484"/>
      <c r="E9" s="357" t="s">
        <v>30</v>
      </c>
      <c r="F9" s="357" t="s">
        <v>31</v>
      </c>
      <c r="G9" s="484"/>
      <c r="H9" s="486"/>
      <c r="I9" s="484"/>
      <c r="J9" s="488"/>
      <c r="K9" s="490"/>
      <c r="L9" s="492"/>
      <c r="M9" s="20" t="s">
        <v>32</v>
      </c>
      <c r="N9" s="21" t="s">
        <v>41</v>
      </c>
      <c r="O9" s="556"/>
      <c r="P9" s="555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[24]Brewhouse!$A569</f>
        <v>CA463</v>
      </c>
      <c r="D10" s="279">
        <f>[24]Brewhouse!$AF569</f>
        <v>52.8</v>
      </c>
      <c r="E10" s="279">
        <f>[24]Brewhouse!$AI569</f>
        <v>50.9</v>
      </c>
      <c r="F10" s="278">
        <f>[24]Brewhouse!$V569</f>
        <v>60</v>
      </c>
      <c r="G10" s="279">
        <f>[24]Brewhouse!$AG569</f>
        <v>11.7</v>
      </c>
      <c r="H10" s="396">
        <v>11.8</v>
      </c>
      <c r="I10" s="368">
        <f>[24]Brewhouse!$AU569</f>
        <v>96.139471578525743</v>
      </c>
      <c r="J10" s="368">
        <f>[24]Brewhouse!$AV569</f>
        <v>98.504398193284118</v>
      </c>
      <c r="K10" s="281">
        <f>[24]Brewhouse!$Q569</f>
        <v>6.7148014440433199</v>
      </c>
      <c r="L10" s="276">
        <f>[24]Brewhouse!$P569</f>
        <v>57</v>
      </c>
      <c r="M10" s="397">
        <f>[24]Brewhouse!$U569-[24]Brewhouse!$T569</f>
        <v>0.10277777777777763</v>
      </c>
      <c r="N10" s="370">
        <f>[24]Brewhouse!$Z569</f>
        <v>0.23333333333333339</v>
      </c>
      <c r="O10" s="371" t="str">
        <f>[24]Brewhouse!$AX569</f>
        <v>R. Sookram</v>
      </c>
      <c r="P10" s="420"/>
      <c r="R10" s="277" t="str">
        <f t="shared" ref="R10:R46" si="0">B10</f>
        <v>CARIB</v>
      </c>
      <c r="S10" s="296">
        <f t="shared" ref="S10:S46" si="1">VLOOKUP($B10,$R$3:$X$9,2,FALSE)</f>
        <v>11.6</v>
      </c>
      <c r="T10" s="296">
        <f t="shared" ref="T10:T46" si="2">VLOOKUP($B10,$R$3:$X$9,3,FALSE)</f>
        <v>12</v>
      </c>
      <c r="U10" s="297">
        <f t="shared" ref="U10:U46" si="3">VLOOKUP($B10,$R$3:$X$9,4,FALSE)</f>
        <v>0</v>
      </c>
      <c r="V10" s="297">
        <f t="shared" ref="V10:V46" si="4">VLOOKUP($B10,$R$3:$X$9,5,FALSE)</f>
        <v>0.118055555555556</v>
      </c>
      <c r="W10" s="297">
        <f t="shared" ref="W10:W46" si="5">VLOOKUP($B10,$R$3:$X$9,6,FALSE)</f>
        <v>0.22569444444444445</v>
      </c>
      <c r="X10" s="297">
        <f t="shared" ref="X10:X46" si="6">VLOOKUP($B10,$R$3:$X$9,7,FALSE)</f>
        <v>0.2638888888888889</v>
      </c>
      <c r="Y10" s="297">
        <f t="shared" ref="Y10:Y46" si="7">VLOOKUP($B10,$R$3:$Z$9,8,FALSE)</f>
        <v>0</v>
      </c>
      <c r="Z10" s="296">
        <f t="shared" ref="Z10:Z46" si="8">VLOOKUP($B10,$R$3:$Z$9,9,FALSE)</f>
        <v>60</v>
      </c>
    </row>
    <row r="11" spans="2:29" ht="15.75" customHeight="1">
      <c r="B11" s="29" t="s">
        <v>6</v>
      </c>
      <c r="C11" s="366" t="str">
        <f>[24]Brewhouse!$A570</f>
        <v>CA464</v>
      </c>
      <c r="D11" s="279">
        <f>[24]Brewhouse!$AF570</f>
        <v>52.8</v>
      </c>
      <c r="E11" s="279">
        <f>[24]Brewhouse!$AI570</f>
        <v>50.8</v>
      </c>
      <c r="F11" s="278">
        <f>[24]Brewhouse!$V570</f>
        <v>60</v>
      </c>
      <c r="G11" s="279">
        <f>[24]Brewhouse!$AG570</f>
        <v>11.9</v>
      </c>
      <c r="H11" s="396">
        <v>11.6</v>
      </c>
      <c r="I11" s="368">
        <f>[24]Brewhouse!$AU570</f>
        <v>98.449159710442089</v>
      </c>
      <c r="J11" s="368">
        <f>[24]Brewhouse!$AV570</f>
        <v>100.97410910552793</v>
      </c>
      <c r="K11" s="281">
        <f>[24]Brewhouse!$Q570</f>
        <v>6.6666666666666652</v>
      </c>
      <c r="L11" s="276">
        <f>[24]Brewhouse!$P570</f>
        <v>58</v>
      </c>
      <c r="M11" s="397">
        <f>[24]Brewhouse!$U570-[24]Brewhouse!$T570</f>
        <v>0.10555555555555554</v>
      </c>
      <c r="N11" s="370">
        <f>[24]Brewhouse!$Z570</f>
        <v>0.24027777777777776</v>
      </c>
      <c r="O11" s="371" t="str">
        <f>[24]Brewhouse!$AX570</f>
        <v>R. Sookram</v>
      </c>
      <c r="P11" s="420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[24]Brewhouse!$A571</f>
        <v>CA465</v>
      </c>
      <c r="D12" s="279">
        <f>[24]Brewhouse!$AF571</f>
        <v>52.4</v>
      </c>
      <c r="E12" s="279">
        <f>[24]Brewhouse!$AI571</f>
        <v>51.2</v>
      </c>
      <c r="F12" s="278">
        <f>[24]Brewhouse!$V571</f>
        <v>98</v>
      </c>
      <c r="G12" s="279">
        <f>[24]Brewhouse!$AG571</f>
        <v>11.9</v>
      </c>
      <c r="H12" s="396">
        <v>11.7</v>
      </c>
      <c r="I12" s="368">
        <f>[24]Brewhouse!$AU571</f>
        <v>99.224349944382595</v>
      </c>
      <c r="J12" s="368">
        <f>[24]Brewhouse!$AV571</f>
        <v>101.76918083076833</v>
      </c>
      <c r="K12" s="281">
        <f>[24]Brewhouse!$Q571</f>
        <v>7.0503597122302182</v>
      </c>
      <c r="L12" s="276">
        <f>[24]Brewhouse!$P571</f>
        <v>60</v>
      </c>
      <c r="M12" s="397">
        <f>[24]Brewhouse!$U571-[24]Brewhouse!$T571</f>
        <v>0.13125000000000003</v>
      </c>
      <c r="N12" s="370">
        <f>[24]Brewhouse!$Z571</f>
        <v>0.26875000000000004</v>
      </c>
      <c r="O12" s="371" t="str">
        <f>[24]Brewhouse!$AX571</f>
        <v>R. Regis</v>
      </c>
      <c r="P12" s="420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[24]Brewhouse!$A572</f>
        <v>CA466</v>
      </c>
      <c r="D13" s="279">
        <f>[24]Brewhouse!$AF572</f>
        <v>52.6</v>
      </c>
      <c r="E13" s="279">
        <f>[24]Brewhouse!$AI572</f>
        <v>50.9</v>
      </c>
      <c r="F13" s="278">
        <f>[24]Brewhouse!$V572</f>
        <v>58</v>
      </c>
      <c r="G13" s="279">
        <f>[24]Brewhouse!$AG572</f>
        <v>11.9</v>
      </c>
      <c r="H13" s="396">
        <v>11.8</v>
      </c>
      <c r="I13" s="368">
        <f>[24]Brewhouse!$AU572</f>
        <v>98.642957268927205</v>
      </c>
      <c r="J13" s="368">
        <f>[24]Brewhouse!$AV572</f>
        <v>101.17287703683803</v>
      </c>
      <c r="K13" s="281">
        <f>[24]Brewhouse!$Q572</f>
        <v>7.0250896057347578</v>
      </c>
      <c r="L13" s="276">
        <f>[24]Brewhouse!$P572</f>
        <v>60</v>
      </c>
      <c r="M13" s="397">
        <f>[24]Brewhouse!$U572-[24]Brewhouse!$T572</f>
        <v>0.11041666666666666</v>
      </c>
      <c r="N13" s="370">
        <f>[24]Brewhouse!$Z572</f>
        <v>0.25069444444444444</v>
      </c>
      <c r="O13" s="371" t="str">
        <f>[24]Brewhouse!$AX572</f>
        <v>R. Regis</v>
      </c>
      <c r="P13" s="420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[24]Brewhouse!$A573</f>
        <v>CA467</v>
      </c>
      <c r="D14" s="279">
        <f>[24]Brewhouse!$AF573</f>
        <v>53.2</v>
      </c>
      <c r="E14" s="279">
        <f>[24]Brewhouse!$AI573</f>
        <v>51.3</v>
      </c>
      <c r="F14" s="278">
        <f>[24]Brewhouse!$V573</f>
        <v>63</v>
      </c>
      <c r="G14" s="279">
        <f>[24]Brewhouse!$AG573</f>
        <v>11.8</v>
      </c>
      <c r="H14" s="396">
        <v>11.7</v>
      </c>
      <c r="I14" s="368">
        <f>[24]Brewhouse!$AU573</f>
        <v>98.174932925496933</v>
      </c>
      <c r="J14" s="368">
        <f>[24]Brewhouse!$AV573</f>
        <v>100.69326066576598</v>
      </c>
      <c r="K14" s="281">
        <f>[24]Brewhouse!$Q573</f>
        <v>6.1180679785330847</v>
      </c>
      <c r="L14" s="276">
        <f>[24]Brewhouse!$P573</f>
        <v>60</v>
      </c>
      <c r="M14" s="397">
        <f>[24]Brewhouse!$U573-[24]Brewhouse!$T573</f>
        <v>0.10972222222222217</v>
      </c>
      <c r="N14" s="370">
        <f>[24]Brewhouse!$Z573</f>
        <v>0.25486111111111109</v>
      </c>
      <c r="O14" s="371" t="str">
        <f>[24]Brewhouse!$AX573</f>
        <v>R. Regis</v>
      </c>
      <c r="P14" s="420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[24]Brewhouse!$A574</f>
        <v>CA468</v>
      </c>
      <c r="D15" s="279">
        <f>[24]Brewhouse!$AF574</f>
        <v>53.6</v>
      </c>
      <c r="E15" s="279">
        <f>[24]Brewhouse!$AI574</f>
        <v>52.3</v>
      </c>
      <c r="F15" s="278">
        <f>[24]Brewhouse!$V574</f>
        <v>64</v>
      </c>
      <c r="G15" s="279">
        <f>[24]Brewhouse!$AG574</f>
        <v>11.8</v>
      </c>
      <c r="H15" s="367"/>
      <c r="I15" s="368">
        <f>[24]Brewhouse!$AU574</f>
        <v>100.46060714075915</v>
      </c>
      <c r="J15" s="368">
        <f>[24]Brewhouse!$AV574</f>
        <v>103.03714461427415</v>
      </c>
      <c r="K15" s="281">
        <f>[24]Brewhouse!$Q574</f>
        <v>4.927536231884055</v>
      </c>
      <c r="L15" s="276">
        <f>[24]Brewhouse!$P574</f>
        <v>61</v>
      </c>
      <c r="M15" s="397">
        <f>[24]Brewhouse!$U574-[24]Brewhouse!$T574</f>
        <v>0.10902777777777783</v>
      </c>
      <c r="N15" s="370">
        <f>[24]Brewhouse!$Z574</f>
        <v>0.24513888888888891</v>
      </c>
      <c r="O15" s="371" t="str">
        <f>[24]Brewhouse!$AX574</f>
        <v>D. Gomez</v>
      </c>
      <c r="P15" s="420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[24]Brewhouse!$A575</f>
        <v>CA469</v>
      </c>
      <c r="D16" s="279">
        <f>[24]Brewhouse!$AF575</f>
        <v>52.4</v>
      </c>
      <c r="E16" s="279">
        <f>[24]Brewhouse!$AI575</f>
        <v>51.1</v>
      </c>
      <c r="F16" s="278">
        <f>[24]Brewhouse!$V575</f>
        <v>62</v>
      </c>
      <c r="G16" s="279">
        <f>[24]Brewhouse!$AG575</f>
        <v>11.7</v>
      </c>
      <c r="H16" s="396">
        <v>11.7</v>
      </c>
      <c r="I16" s="368">
        <f>[24]Brewhouse!$AU575</f>
        <v>96.755045495948551</v>
      </c>
      <c r="J16" s="368">
        <f>[24]Brewhouse!$AV575</f>
        <v>99.134595540342445</v>
      </c>
      <c r="K16" s="281">
        <f>[24]Brewhouse!$Q575</f>
        <v>9.3884892086330911</v>
      </c>
      <c r="L16" s="276">
        <f>[24]Brewhouse!$P575</f>
        <v>61</v>
      </c>
      <c r="M16" s="397">
        <f>[24]Brewhouse!$U575-[24]Brewhouse!$T575</f>
        <v>0.11250000000000004</v>
      </c>
      <c r="N16" s="370">
        <f>[24]Brewhouse!$Z575</f>
        <v>0.25138888888888888</v>
      </c>
      <c r="O16" s="371" t="str">
        <f>[24]Brewhouse!$AX575</f>
        <v>D. Gomez</v>
      </c>
      <c r="P16" s="420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2:26" ht="15.75" customHeight="1">
      <c r="B17" s="29" t="s">
        <v>6</v>
      </c>
      <c r="C17" s="366" t="str">
        <f>[24]Brewhouse!$A576</f>
        <v>CA470</v>
      </c>
      <c r="D17" s="279">
        <f>[24]Brewhouse!$AF576</f>
        <v>54.1</v>
      </c>
      <c r="E17" s="279">
        <f>[24]Brewhouse!$AI576</f>
        <v>52.6</v>
      </c>
      <c r="F17" s="278">
        <f>[24]Brewhouse!$V576</f>
        <v>62</v>
      </c>
      <c r="G17" s="279">
        <f>[24]Brewhouse!$AG576</f>
        <v>11.6</v>
      </c>
      <c r="H17" s="367"/>
      <c r="I17" s="368">
        <f>[24]Brewhouse!$AU576</f>
        <v>99.853992090356243</v>
      </c>
      <c r="J17" s="368">
        <f>[24]Brewhouse!$AV576</f>
        <v>102.4142670403337</v>
      </c>
      <c r="K17" s="281">
        <f>[24]Brewhouse!$Q576</f>
        <v>8.2795698924731145</v>
      </c>
      <c r="L17" s="276">
        <f>[24]Brewhouse!$P576</f>
        <v>61</v>
      </c>
      <c r="M17" s="397">
        <f>[24]Brewhouse!$U576-[24]Brewhouse!$T576</f>
        <v>0.11111111111111105</v>
      </c>
      <c r="N17" s="370">
        <f>[24]Brewhouse!$Z576</f>
        <v>0.24930555555555556</v>
      </c>
      <c r="O17" s="371" t="str">
        <f>[24]Brewhouse!$AX576</f>
        <v>D. Gomez</v>
      </c>
      <c r="P17" s="420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2:26" ht="15.75" customHeight="1">
      <c r="B18" s="29" t="s">
        <v>6</v>
      </c>
      <c r="C18" s="366" t="str">
        <f>[24]Brewhouse!$A577</f>
        <v>CA471</v>
      </c>
      <c r="D18" s="279">
        <f>[24]Brewhouse!$AF577</f>
        <v>52.2</v>
      </c>
      <c r="E18" s="279">
        <f>[24]Brewhouse!$AI577</f>
        <v>50.3</v>
      </c>
      <c r="F18" s="278">
        <f>[24]Brewhouse!$V577</f>
        <v>57</v>
      </c>
      <c r="G18" s="279">
        <f>[24]Brewhouse!$AG577</f>
        <v>11.8</v>
      </c>
      <c r="H18" s="396">
        <v>11.8</v>
      </c>
      <c r="I18" s="368">
        <f>[24]Brewhouse!$AU577</f>
        <v>96.738729431574484</v>
      </c>
      <c r="J18" s="368">
        <f>[24]Brewhouse!$AV577</f>
        <v>99.219675176131204</v>
      </c>
      <c r="K18" s="281">
        <f>[24]Brewhouse!$Q577</f>
        <v>10.199637023593462</v>
      </c>
      <c r="L18" s="276">
        <f>[24]Brewhouse!$P577</f>
        <v>58</v>
      </c>
      <c r="M18" s="397">
        <f>[24]Brewhouse!$U577-[24]Brewhouse!$T577</f>
        <v>0.10972222222222228</v>
      </c>
      <c r="N18" s="370">
        <f>[24]Brewhouse!$Z577</f>
        <v>0.3354166666666667</v>
      </c>
      <c r="O18" s="371" t="str">
        <f>[24]Brewhouse!$AX577</f>
        <v>R. Sookram</v>
      </c>
      <c r="P18" s="420"/>
      <c r="R18" s="277" t="str">
        <f t="shared" si="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2:26" ht="15.75" customHeight="1">
      <c r="B19" s="29" t="s">
        <v>6</v>
      </c>
      <c r="C19" s="366" t="str">
        <f>[24]Brewhouse!$A578</f>
        <v>CA472</v>
      </c>
      <c r="D19" s="279">
        <f>[24]Brewhouse!$AF578</f>
        <v>53</v>
      </c>
      <c r="E19" s="279">
        <f>[24]Brewhouse!$AI578</f>
        <v>51</v>
      </c>
      <c r="F19" s="278">
        <f>[24]Brewhouse!$V578</f>
        <v>63</v>
      </c>
      <c r="G19" s="279">
        <f>[24]Brewhouse!$AG578</f>
        <v>11.7</v>
      </c>
      <c r="H19" s="396">
        <v>11.8</v>
      </c>
      <c r="I19" s="368">
        <f>[24]Brewhouse!$AU578</f>
        <v>97.695306890721909</v>
      </c>
      <c r="J19" s="368">
        <f>[24]Brewhouse!$AV578</f>
        <v>100.20023275023426</v>
      </c>
      <c r="K19" s="281">
        <f>[24]Brewhouse!$Q578</f>
        <v>5.2898550724637703</v>
      </c>
      <c r="L19" s="276">
        <f>[24]Brewhouse!$P578</f>
        <v>58</v>
      </c>
      <c r="M19" s="397">
        <f>[24]Brewhouse!$U578-[24]Brewhouse!$T578</f>
        <v>0.10833333333333317</v>
      </c>
      <c r="N19" s="370">
        <f>[24]Brewhouse!$Z578</f>
        <v>0.24236111111111103</v>
      </c>
      <c r="O19" s="371" t="str">
        <f>[24]Brewhouse!$AX578</f>
        <v>R. Sookram</v>
      </c>
      <c r="P19" s="420"/>
      <c r="R19" s="277" t="str">
        <f t="shared" si="0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2:26" ht="14.4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20"/>
      <c r="R20" s="277"/>
      <c r="S20" s="296"/>
      <c r="T20" s="296"/>
      <c r="U20" s="297"/>
      <c r="V20" s="297"/>
      <c r="W20" s="297"/>
      <c r="X20" s="297"/>
      <c r="Y20" s="297"/>
      <c r="Z20" s="296"/>
    </row>
    <row r="21" spans="2:26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20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20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20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20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20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4.4" hidden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20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20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20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20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20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25.95" hidden="1" customHeight="1">
      <c r="B31" s="467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4"/>
      <c r="O31" s="371"/>
      <c r="P31" s="420"/>
      <c r="R31" s="277"/>
      <c r="S31" s="296"/>
      <c r="T31" s="296"/>
      <c r="U31" s="297"/>
      <c r="V31" s="297"/>
      <c r="W31" s="297"/>
      <c r="X31" s="297"/>
      <c r="Y31" s="297"/>
      <c r="Z31" s="296"/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4"/>
      <c r="O32" s="371"/>
      <c r="P32" s="420"/>
      <c r="R32" s="277">
        <f t="shared" si="0"/>
        <v>0</v>
      </c>
      <c r="S32" s="296" t="e">
        <f t="shared" si="1"/>
        <v>#N/A</v>
      </c>
      <c r="T32" s="296" t="e">
        <f t="shared" si="2"/>
        <v>#N/A</v>
      </c>
      <c r="U32" s="297" t="e">
        <f t="shared" si="3"/>
        <v>#N/A</v>
      </c>
      <c r="V32" s="297" t="e">
        <f t="shared" si="4"/>
        <v>#N/A</v>
      </c>
      <c r="W32" s="297" t="e">
        <f t="shared" si="5"/>
        <v>#N/A</v>
      </c>
      <c r="X32" s="297" t="e">
        <f t="shared" si="6"/>
        <v>#N/A</v>
      </c>
      <c r="Y32" s="297" t="e">
        <f t="shared" si="7"/>
        <v>#N/A</v>
      </c>
      <c r="Z32" s="296" t="e">
        <f t="shared" si="8"/>
        <v>#N/A</v>
      </c>
    </row>
    <row r="33" spans="1:26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4"/>
      <c r="O33" s="371"/>
      <c r="P33" s="420"/>
      <c r="R33" s="277">
        <f t="shared" si="0"/>
        <v>0</v>
      </c>
      <c r="S33" s="296" t="e">
        <f t="shared" si="1"/>
        <v>#N/A</v>
      </c>
      <c r="T33" s="296" t="e">
        <f t="shared" si="2"/>
        <v>#N/A</v>
      </c>
      <c r="U33" s="297" t="e">
        <f t="shared" si="3"/>
        <v>#N/A</v>
      </c>
      <c r="V33" s="297" t="e">
        <f t="shared" si="4"/>
        <v>#N/A</v>
      </c>
      <c r="W33" s="297" t="e">
        <f t="shared" si="5"/>
        <v>#N/A</v>
      </c>
      <c r="X33" s="297" t="e">
        <f t="shared" si="6"/>
        <v>#N/A</v>
      </c>
      <c r="Y33" s="297" t="e">
        <f t="shared" si="7"/>
        <v>#N/A</v>
      </c>
      <c r="Z33" s="296" t="e">
        <f t="shared" si="8"/>
        <v>#N/A</v>
      </c>
    </row>
    <row r="34" spans="1:26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4"/>
      <c r="O34" s="371"/>
      <c r="P34" s="420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6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4"/>
      <c r="O35" s="371"/>
      <c r="P35" s="447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6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20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6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20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20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20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20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20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hidden="1" customHeight="1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97"/>
      <c r="N42" s="370"/>
      <c r="O42" s="371"/>
      <c r="P42" s="420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.75" hidden="1" customHeight="1">
      <c r="B43" s="29"/>
      <c r="C43" s="366"/>
      <c r="D43" s="279"/>
      <c r="E43" s="279"/>
      <c r="F43" s="278"/>
      <c r="G43" s="279"/>
      <c r="H43" s="396"/>
      <c r="I43" s="368"/>
      <c r="J43" s="368"/>
      <c r="K43" s="281"/>
      <c r="L43" s="276"/>
      <c r="M43" s="397"/>
      <c r="N43" s="370"/>
      <c r="O43" s="371"/>
      <c r="P43" s="420"/>
      <c r="R43" s="277">
        <f t="shared" si="0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.75" hidden="1" customHeight="1">
      <c r="B44" s="29"/>
      <c r="C44" s="366"/>
      <c r="D44" s="279"/>
      <c r="E44" s="279"/>
      <c r="F44" s="278"/>
      <c r="G44" s="279"/>
      <c r="H44" s="396"/>
      <c r="I44" s="368"/>
      <c r="J44" s="368"/>
      <c r="K44" s="281"/>
      <c r="L44" s="276"/>
      <c r="M44" s="397"/>
      <c r="N44" s="370"/>
      <c r="O44" s="371"/>
      <c r="P44" s="420"/>
      <c r="R44" s="277">
        <f t="shared" si="0"/>
        <v>0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26" ht="15.75" customHeight="1" thickBot="1">
      <c r="B45" s="358"/>
      <c r="C45" s="358"/>
      <c r="D45" s="358"/>
      <c r="E45" s="358"/>
      <c r="F45" s="294"/>
      <c r="G45" s="294"/>
      <c r="H45" s="348"/>
      <c r="I45" s="497"/>
      <c r="J45" s="497"/>
      <c r="K45" s="497"/>
      <c r="L45" s="497"/>
      <c r="M45" s="497"/>
      <c r="N45" s="497"/>
      <c r="O45" s="1"/>
      <c r="P45" s="12"/>
      <c r="R45" s="277">
        <f t="shared" si="0"/>
        <v>0</v>
      </c>
      <c r="S45" s="296" t="e">
        <f t="shared" si="1"/>
        <v>#N/A</v>
      </c>
      <c r="T45" s="296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296" t="e">
        <f t="shared" si="8"/>
        <v>#N/A</v>
      </c>
    </row>
    <row r="46" spans="1:26" ht="15" thickBot="1">
      <c r="B46" s="388" t="s">
        <v>180</v>
      </c>
      <c r="C46" s="388"/>
      <c r="D46" s="475" t="s">
        <v>35</v>
      </c>
      <c r="E46" s="476"/>
      <c r="F46" s="294"/>
      <c r="G46" s="294"/>
      <c r="H46" s="348"/>
      <c r="I46" s="24" t="s">
        <v>17</v>
      </c>
      <c r="J46" s="25" t="s">
        <v>36</v>
      </c>
      <c r="K46" s="26" t="s">
        <v>138</v>
      </c>
      <c r="L46" s="25" t="s">
        <v>37</v>
      </c>
      <c r="M46" s="25" t="s">
        <v>38</v>
      </c>
      <c r="N46" s="27" t="s">
        <v>39</v>
      </c>
      <c r="O46" s="294"/>
      <c r="P46" s="12"/>
      <c r="R46" s="277" t="str">
        <f t="shared" si="0"/>
        <v xml:space="preserve">BRAND </v>
      </c>
      <c r="S46" s="296" t="e">
        <f t="shared" si="1"/>
        <v>#N/A</v>
      </c>
      <c r="T46" s="296" t="e">
        <f t="shared" si="2"/>
        <v>#N/A</v>
      </c>
      <c r="U46" s="297" t="e">
        <f t="shared" si="3"/>
        <v>#N/A</v>
      </c>
      <c r="V46" s="297" t="e">
        <f t="shared" si="4"/>
        <v>#N/A</v>
      </c>
      <c r="W46" s="297" t="e">
        <f t="shared" si="5"/>
        <v>#N/A</v>
      </c>
      <c r="X46" s="297" t="e">
        <f t="shared" si="6"/>
        <v>#N/A</v>
      </c>
      <c r="Y46" s="297" t="e">
        <f t="shared" si="7"/>
        <v>#N/A</v>
      </c>
      <c r="Z46" s="296" t="e">
        <f t="shared" si="8"/>
        <v>#N/A</v>
      </c>
    </row>
    <row r="47" spans="1:26" ht="15" customHeight="1">
      <c r="A47" s="28"/>
      <c r="B47" s="578" t="str">
        <f>I48</f>
        <v>STAG</v>
      </c>
      <c r="C47" s="362">
        <f>[25]Process!D250</f>
        <v>11.8</v>
      </c>
      <c r="D47" s="501">
        <v>11.84</v>
      </c>
      <c r="E47" s="502"/>
      <c r="F47" s="294"/>
      <c r="G47" s="294"/>
      <c r="H47" s="348"/>
      <c r="I47" s="29" t="s">
        <v>6</v>
      </c>
      <c r="J47" s="280">
        <f>AVERAGE(I10:I19)</f>
        <v>98.213455247713483</v>
      </c>
      <c r="K47" s="284">
        <f>COUNTA([24]Brewhouse!$A$493:$A$578)</f>
        <v>86</v>
      </c>
      <c r="L47" s="305">
        <f>AVERAGE([24]Brewhouse!$AU$493:$AU$578)</f>
        <v>98.149573570765767</v>
      </c>
      <c r="M47" s="302">
        <f>AVERAGE([24]Brewhouse!$AU$102:$AU$171,[24]Brewhouse!$AU$173:$AU$253,[24]Brewhouse!$AU$255:$AU$339,[24]Brewhouse!$AU$341:$AU$346,[24]Brewhouse!$AU$348,[24]Brewhouse!$AU$349:$AU$406,[24]Brewhouse!$AU$408:$AU$491,[24]Brewhouse!$AU$493:$AU$578)</f>
        <v>97.749860778910815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5" customHeight="1">
      <c r="A48" s="28"/>
      <c r="B48" s="579"/>
      <c r="C48" s="349">
        <f>[25]Process!D251</f>
        <v>11.7</v>
      </c>
      <c r="D48" s="503"/>
      <c r="E48" s="504"/>
      <c r="F48" s="294"/>
      <c r="G48" s="294"/>
      <c r="H48" s="348"/>
      <c r="I48" s="33" t="s">
        <v>9</v>
      </c>
      <c r="J48" s="280"/>
      <c r="K48" s="284">
        <f>COUNTA([25]Brewhouse!$A$242:$A$273)</f>
        <v>32</v>
      </c>
      <c r="L48" s="302">
        <f>AVERAGE([25]Brewhouse!$AS$242:$AS$273)</f>
        <v>97.881161445794703</v>
      </c>
      <c r="M48" s="302">
        <f>AVERAGE([25]Brewhouse!$AS$15:$AS$64,[25]Brewhouse!$AS$66:$AS$103,[25]Brewhouse!$AS$105:$AS$140,[25]Brewhouse!$AS$142:$AS$193,[25]Brewhouse!$AS$195:$AS$240,[25]Brewhouse!$AS$242:$AS$273)</f>
        <v>97.876259527849214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27" ht="14.7" customHeight="1">
      <c r="A49" s="28"/>
      <c r="B49" s="579"/>
      <c r="C49" s="349">
        <f>[25]Process!D252</f>
        <v>11.8</v>
      </c>
      <c r="D49" s="501">
        <v>11.98</v>
      </c>
      <c r="E49" s="502"/>
      <c r="F49" s="294"/>
      <c r="G49" s="294"/>
      <c r="H49" s="348"/>
      <c r="I49" s="34" t="s">
        <v>12</v>
      </c>
      <c r="J49" s="280"/>
      <c r="K49" s="284"/>
      <c r="L49" s="302"/>
      <c r="M49" s="302">
        <f>AVERAGE([26]Brewhouse!$AU$4:$AU$7,[26]Brewhouse!$AU$9:$AU$22,[26]Brewhouse!$AU$24:$AU$35,[26]Brewhouse!$AU$37:$AU$45,[26]Brewhouse!$AU$47:$AU$62)</f>
        <v>97.179377138297156</v>
      </c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</row>
    <row r="50" spans="1:27" ht="14.7" customHeight="1">
      <c r="A50" s="28"/>
      <c r="B50" s="579"/>
      <c r="C50" s="349">
        <f>[25]Process!D253</f>
        <v>11.7</v>
      </c>
      <c r="D50" s="503"/>
      <c r="E50" s="504"/>
      <c r="F50" s="294"/>
      <c r="G50" s="294"/>
      <c r="H50" s="348"/>
      <c r="I50" s="22" t="s">
        <v>33</v>
      </c>
      <c r="J50" s="280"/>
      <c r="K50" s="284">
        <f>COUNTA([23]Brewhouse!$A$48:$A$53)</f>
        <v>6</v>
      </c>
      <c r="L50" s="302">
        <f>AVERAGE([23]Brewhouse!$AV$48:$AV$53)</f>
        <v>96.180288887301501</v>
      </c>
      <c r="M50" s="302">
        <f>AVERAGE([23]Brewhouse!$AV$5:$AV$14,[23]Brewhouse!$AV$16:$AV$19,[23]Brewhouse!$AV$21:$AV$24,[23]Brewhouse!$AV$26:$AV$33,[23]Brewhouse!$AV$35:$AV$46,[23]Brewhouse!$AV$48:$AV$53)</f>
        <v>98.620083722669861</v>
      </c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</row>
    <row r="51" spans="1:27" ht="14.7" customHeight="1">
      <c r="A51" s="28"/>
      <c r="B51" s="579"/>
      <c r="C51" s="349">
        <f>[25]Process!D254</f>
        <v>11.9</v>
      </c>
      <c r="D51" s="501">
        <v>12.01</v>
      </c>
      <c r="E51" s="502"/>
      <c r="F51" s="419"/>
      <c r="G51" s="294"/>
      <c r="H51" s="348"/>
      <c r="I51" s="35" t="s">
        <v>29</v>
      </c>
      <c r="J51" s="280"/>
      <c r="K51" s="284"/>
      <c r="L51" s="302"/>
      <c r="M51" s="302"/>
      <c r="N51" s="3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</row>
    <row r="52" spans="1:27" ht="14.7" customHeight="1">
      <c r="A52" s="28"/>
      <c r="B52" s="579"/>
      <c r="C52" s="349">
        <f>[25]Process!D255</f>
        <v>11.8</v>
      </c>
      <c r="D52" s="503"/>
      <c r="E52" s="504"/>
      <c r="F52" s="419"/>
      <c r="G52" s="294"/>
      <c r="H52" s="348"/>
      <c r="I52" s="36" t="s">
        <v>15</v>
      </c>
      <c r="J52" s="323"/>
      <c r="K52" s="284">
        <f>COUNTA([27]Brewhouse!$A$18:$A$21)</f>
        <v>4</v>
      </c>
      <c r="L52" s="302">
        <f>AVERAGE([27]Brewhouse!$AT$18:$AT$21)</f>
        <v>95.061602643439088</v>
      </c>
      <c r="M52" s="302">
        <f>AVERAGE([27]Brewhouse!$AT$4:$AT$11,[27]Brewhouse!$AT$13:$AT$16,[27]Brewhouse!$AT$18:$AT$21)</f>
        <v>94.773169817643847</v>
      </c>
      <c r="N52" s="30">
        <v>98</v>
      </c>
      <c r="O52" s="11"/>
      <c r="P52" s="31"/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27" ht="14.7" customHeight="1">
      <c r="A53" s="28"/>
      <c r="B53" s="579"/>
      <c r="C53" s="349">
        <f>[25]Process!D256</f>
        <v>11.9</v>
      </c>
      <c r="D53" s="501">
        <v>11.98</v>
      </c>
      <c r="E53" s="502"/>
      <c r="F53" s="419"/>
      <c r="G53" s="294"/>
      <c r="H53" s="348"/>
      <c r="I53" s="37" t="s">
        <v>16</v>
      </c>
      <c r="J53" s="323"/>
      <c r="K53" s="284">
        <f>COUNTA([22]Brewhouse!$A$45:$A$54)</f>
        <v>10</v>
      </c>
      <c r="L53" s="302">
        <f>AVERAGE([22]Brewhouse!$AY$45:$AY$54)</f>
        <v>96.962300151830732</v>
      </c>
      <c r="M53" s="302">
        <f>AVERAGE([22]Brewhouse!$AY$6:$AY$13,[22]Brewhouse!$AY$15:$AY$20,[22]Brewhouse!$AY$22:$AY$29,[22]Brewhouse!$AY$31:$AY$34,[22]Brewhouse!$AY$36:$AY$43,[22]Brewhouse!$AY$45:$AY$54)</f>
        <v>96.736240551623098</v>
      </c>
      <c r="N53" s="30">
        <v>98</v>
      </c>
      <c r="O53" s="11"/>
      <c r="P53" s="31" t="s">
        <v>41</v>
      </c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27" ht="14.7" customHeight="1">
      <c r="A54" s="28"/>
      <c r="B54" s="579"/>
      <c r="C54" s="349">
        <f>[25]Process!D257</f>
        <v>11.8</v>
      </c>
      <c r="D54" s="503"/>
      <c r="E54" s="504"/>
      <c r="F54" s="294"/>
      <c r="G54" s="294"/>
      <c r="H54" s="348"/>
      <c r="I54" s="411" t="s">
        <v>158</v>
      </c>
      <c r="J54" s="326"/>
      <c r="K54" s="284">
        <f>COUNTA([28]Brewhouse!$A$10:$A$13)</f>
        <v>4</v>
      </c>
      <c r="L54" s="305">
        <f>AVERAGE([28]Brewhouse!$AU$10:$AU$13)</f>
        <v>97.488444912767932</v>
      </c>
      <c r="M54" s="305">
        <f>AVERAGE([28]Brewhouse!$AU$5:$AU$8,[28]Brewhouse!$AU$10:$AU$13)</f>
        <v>94.247666625193744</v>
      </c>
      <c r="N54" s="30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27" ht="14.7" customHeight="1">
      <c r="A55" s="28"/>
      <c r="B55" s="579"/>
      <c r="C55" s="349"/>
      <c r="D55" s="501"/>
      <c r="E55" s="502"/>
      <c r="F55" s="294"/>
      <c r="G55" s="294"/>
      <c r="H55" s="348"/>
      <c r="I55" s="410" t="s">
        <v>157</v>
      </c>
      <c r="J55" s="326"/>
      <c r="K55" s="284">
        <f>COUNTA([38]Brewhouse!$A$26:$A$27)</f>
        <v>2</v>
      </c>
      <c r="L55" s="305">
        <f>AVERAGE([38]Brewhouse!$AW$26:$AW$27)</f>
        <v>95.310680905194914</v>
      </c>
      <c r="M55" s="305">
        <f>AVERAGE([38]Brewhouse!$AW$26:$AW$27)</f>
        <v>95.310680905194914</v>
      </c>
      <c r="N55" s="30">
        <v>98</v>
      </c>
      <c r="O55" s="11"/>
      <c r="P55" s="31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27" ht="15" customHeight="1" thickBot="1">
      <c r="A56" s="28"/>
      <c r="B56" s="579"/>
      <c r="C56" s="349"/>
      <c r="D56" s="503"/>
      <c r="E56" s="504"/>
      <c r="F56" s="294"/>
      <c r="G56" s="294"/>
      <c r="H56" s="348"/>
      <c r="I56" s="406" t="s">
        <v>156</v>
      </c>
      <c r="J56" s="327"/>
      <c r="K56" s="407">
        <f>COUNTA([37]Brewhouse!$A$13:$A$14)</f>
        <v>2</v>
      </c>
      <c r="L56" s="408">
        <f>AVERAGE([37]Brewhouse!$AU$13:$AU$14)</f>
        <v>97.110575243268045</v>
      </c>
      <c r="M56" s="408">
        <f>AVERAGE([37]Brewhouse!$AU$13:$AU$14)</f>
        <v>97.110575243268045</v>
      </c>
      <c r="N56" s="409">
        <v>98</v>
      </c>
      <c r="O56" s="11"/>
      <c r="P56" s="31"/>
      <c r="R56" s="277"/>
      <c r="S56" s="296"/>
      <c r="T56" s="296"/>
      <c r="U56" s="297"/>
      <c r="V56" s="297"/>
      <c r="W56" s="297"/>
      <c r="X56" s="297"/>
      <c r="Y56" s="297"/>
      <c r="Z56" s="296"/>
      <c r="AA56" s="296"/>
    </row>
    <row r="57" spans="1:27" ht="15" customHeight="1" thickBot="1">
      <c r="A57" s="28"/>
      <c r="B57" s="579"/>
      <c r="C57" s="349"/>
      <c r="D57" s="501"/>
      <c r="E57" s="502"/>
      <c r="F57" s="294"/>
      <c r="G57" s="294"/>
      <c r="H57" s="348"/>
      <c r="I57" s="1"/>
      <c r="J57" s="39"/>
      <c r="K57" s="404">
        <f>SUM(K47:K56)</f>
        <v>146</v>
      </c>
      <c r="L57" s="405">
        <f>((L47*K47)+(L48*K48)+(L49*K49)+(L50*K50)+(L51*K51)+(K54*L54)+(L52*K52)+(L53*K53)+(L56*K56)+(K55*L55))/(K57)</f>
        <v>97.772657059692847</v>
      </c>
      <c r="M57" s="405">
        <f>AVERAGE('[29]Jan 31st'!$L$65,'[30]Feb 28th'!$L$35,'[31]Mar. 31st'!$L$35,'[32]Apr. 30th'!$L$45,'[33]May 30th'!$L$37,L57)</f>
        <v>97.658651749510327</v>
      </c>
      <c r="N57" s="40">
        <v>98</v>
      </c>
      <c r="O57" s="11"/>
      <c r="P57" s="31"/>
      <c r="R57" s="277"/>
      <c r="S57" s="296"/>
      <c r="T57" s="296"/>
      <c r="U57" s="297"/>
      <c r="V57" s="297"/>
      <c r="W57" s="297"/>
      <c r="X57" s="297"/>
      <c r="Y57" s="297"/>
      <c r="Z57" s="296"/>
      <c r="AA57" s="296"/>
    </row>
    <row r="58" spans="1:27" ht="15" thickBot="1">
      <c r="B58" s="580"/>
      <c r="C58" s="350"/>
      <c r="D58" s="503"/>
      <c r="E58" s="504"/>
      <c r="F58" s="294"/>
      <c r="G58" s="42"/>
      <c r="H58" s="41"/>
      <c r="I58" s="42"/>
      <c r="J58" s="42"/>
      <c r="K58" s="351"/>
      <c r="L58" s="348"/>
      <c r="M58" s="348"/>
      <c r="N58" s="11"/>
      <c r="O58" s="294"/>
      <c r="P58" s="12"/>
      <c r="R58" s="277"/>
      <c r="S58" s="296"/>
      <c r="T58" s="296"/>
      <c r="U58" s="297"/>
      <c r="V58" s="297"/>
      <c r="W58" s="297"/>
      <c r="X58" s="297"/>
      <c r="Y58" s="297"/>
      <c r="Z58" s="296"/>
      <c r="AA58" s="296"/>
    </row>
    <row r="59" spans="1:27" ht="15" thickBot="1">
      <c r="B59" s="511" t="str">
        <f>I47</f>
        <v>CARIB</v>
      </c>
      <c r="C59" s="362">
        <f>[24]Process!$D502</f>
        <v>11.9</v>
      </c>
      <c r="D59" s="514">
        <v>12</v>
      </c>
      <c r="E59" s="515"/>
      <c r="F59" s="294"/>
      <c r="G59" s="42"/>
      <c r="H59" s="41"/>
      <c r="I59" s="42"/>
      <c r="J59" s="551" t="s">
        <v>129</v>
      </c>
      <c r="K59" s="551"/>
      <c r="L59" s="294"/>
      <c r="M59" s="294"/>
      <c r="N59" s="294"/>
      <c r="O59" s="294"/>
      <c r="P59" s="12"/>
    </row>
    <row r="60" spans="1:27" ht="15" thickBot="1">
      <c r="B60" s="512"/>
      <c r="C60" s="362">
        <f>[24]Process!$D503</f>
        <v>11.9</v>
      </c>
      <c r="D60" s="516"/>
      <c r="E60" s="504"/>
      <c r="F60" s="294"/>
      <c r="G60" s="42"/>
      <c r="H60" s="41"/>
      <c r="I60" s="42"/>
      <c r="J60" s="292" t="s">
        <v>17</v>
      </c>
      <c r="K60" s="293" t="s">
        <v>147</v>
      </c>
      <c r="L60" s="518" t="s">
        <v>136</v>
      </c>
      <c r="M60" s="518"/>
      <c r="N60" s="519"/>
      <c r="O60" s="294"/>
      <c r="P60" s="12"/>
    </row>
    <row r="61" spans="1:27" ht="15" customHeight="1" thickBot="1">
      <c r="B61" s="512"/>
      <c r="C61" s="349"/>
      <c r="D61" s="545"/>
      <c r="E61" s="546"/>
      <c r="F61" s="294"/>
      <c r="G61" s="42"/>
      <c r="H61" s="41"/>
      <c r="I61" s="42"/>
      <c r="J61" s="287" t="s">
        <v>6</v>
      </c>
      <c r="K61" s="324">
        <v>10</v>
      </c>
      <c r="L61" s="343" t="s">
        <v>37</v>
      </c>
      <c r="M61" s="307" t="s">
        <v>38</v>
      </c>
      <c r="N61" s="307" t="s">
        <v>84</v>
      </c>
      <c r="O61" s="294"/>
      <c r="P61" s="12"/>
    </row>
    <row r="62" spans="1:27" ht="15.75" customHeight="1" thickBot="1">
      <c r="B62" s="512"/>
      <c r="C62" s="349"/>
      <c r="D62" s="516"/>
      <c r="E62" s="504"/>
      <c r="F62" s="294"/>
      <c r="G62" s="42"/>
      <c r="H62" s="41"/>
      <c r="I62" s="42"/>
      <c r="J62" s="345" t="s">
        <v>9</v>
      </c>
      <c r="K62" s="324"/>
      <c r="L62" s="344">
        <f>AVERAGE('June 2nd'!K57,'June 3rd'!K63,'June 4th'!K63,'June 5th '!K63,'June 6th'!K63,'June 10th'!K63,'June 11th'!K63,'June 12th '!K63,'June 13th'!K65,'June 13th'!I65,'June 16th'!K60,'June 17th '!K60,'June 18th'!K60,'June 23rd'!K60,'June 24th'!K67,'June 25th '!K67,'June 26th '!K67,'June 27th-29th'!K72,'June 27th-29th'!I72,'June 27th-29th'!H72,'June 30th'!K71)</f>
        <v>6.9523809523809526</v>
      </c>
      <c r="M62" s="325">
        <f>AVERAGE('[29]Jan 29th '!$M$70,'[30]Feb 28th'!$L$40,'[31]Mar. 31st'!$L$40,'[32]Apr. 30th'!$L$50,'[33]May 30th'!$L$42,L62)</f>
        <v>6.6931703562138338</v>
      </c>
      <c r="N62" s="418">
        <v>9.1999999999999993</v>
      </c>
      <c r="O62" s="294"/>
      <c r="P62" s="12"/>
    </row>
    <row r="63" spans="1:27" ht="15" customHeight="1">
      <c r="B63" s="512"/>
      <c r="C63" s="349"/>
      <c r="D63" s="545"/>
      <c r="E63" s="546"/>
      <c r="F63" s="294"/>
      <c r="G63" s="42"/>
      <c r="H63" s="41"/>
      <c r="I63" s="42"/>
      <c r="J63" s="288" t="s">
        <v>40</v>
      </c>
      <c r="K63" s="324"/>
      <c r="L63" s="294"/>
      <c r="M63" s="294"/>
      <c r="N63" s="294"/>
      <c r="O63" s="294"/>
      <c r="P63" s="12"/>
    </row>
    <row r="64" spans="1:27" ht="15" customHeight="1">
      <c r="B64" s="512"/>
      <c r="C64" s="349"/>
      <c r="D64" s="516"/>
      <c r="E64" s="504"/>
      <c r="F64" s="294"/>
      <c r="G64" s="42"/>
      <c r="H64" s="41"/>
      <c r="I64" s="42"/>
      <c r="J64" s="289" t="s">
        <v>33</v>
      </c>
      <c r="K64" s="324"/>
      <c r="L64" s="294"/>
      <c r="M64" s="294"/>
      <c r="N64" s="294"/>
      <c r="O64" s="294"/>
      <c r="P64" s="12"/>
    </row>
    <row r="65" spans="2:57" ht="14.4">
      <c r="B65" s="512"/>
      <c r="C65" s="349"/>
      <c r="D65" s="545"/>
      <c r="E65" s="546"/>
      <c r="F65" s="294"/>
      <c r="G65" s="42"/>
      <c r="H65" s="41"/>
      <c r="I65" s="42"/>
      <c r="J65" s="290" t="s">
        <v>16</v>
      </c>
      <c r="K65" s="324"/>
      <c r="L65" s="294"/>
      <c r="M65" s="294"/>
      <c r="N65" s="294"/>
      <c r="O65" s="294"/>
      <c r="P65" s="12"/>
      <c r="BC65" s="44"/>
      <c r="BD65" s="44"/>
    </row>
    <row r="66" spans="2:57" ht="14.4">
      <c r="B66" s="512"/>
      <c r="C66" s="349"/>
      <c r="D66" s="516"/>
      <c r="E66" s="504"/>
      <c r="F66" s="294"/>
      <c r="G66" s="42"/>
      <c r="H66" s="41"/>
      <c r="I66" s="42"/>
      <c r="J66" s="291" t="s">
        <v>15</v>
      </c>
      <c r="K66" s="324"/>
      <c r="L66" s="294"/>
      <c r="M66" s="294"/>
      <c r="N66" s="294"/>
      <c r="O66" s="294"/>
      <c r="P66" s="12"/>
      <c r="BC66" s="44"/>
      <c r="BD66" s="44"/>
    </row>
    <row r="67" spans="2:57" ht="14.4">
      <c r="B67" s="512"/>
      <c r="C67" s="349"/>
      <c r="D67" s="545"/>
      <c r="E67" s="546"/>
      <c r="F67" s="294"/>
      <c r="G67" s="42"/>
      <c r="H67" s="41"/>
      <c r="I67" s="42"/>
      <c r="J67" s="291" t="s">
        <v>149</v>
      </c>
      <c r="K67" s="324"/>
      <c r="L67" s="294"/>
      <c r="M67" s="294"/>
      <c r="N67" s="294"/>
      <c r="O67" s="294"/>
      <c r="P67" s="12"/>
      <c r="BC67" s="44"/>
      <c r="BD67" s="44"/>
    </row>
    <row r="68" spans="2:57" ht="15" thickBot="1">
      <c r="B68" s="513"/>
      <c r="C68" s="350"/>
      <c r="D68" s="547"/>
      <c r="E68" s="548"/>
      <c r="F68" s="294"/>
      <c r="G68" s="42"/>
      <c r="H68" s="41"/>
      <c r="I68" s="42"/>
      <c r="J68" s="291" t="s">
        <v>148</v>
      </c>
      <c r="K68" s="324"/>
      <c r="L68" s="294"/>
      <c r="M68" s="294"/>
      <c r="N68" s="294"/>
      <c r="O68" s="294"/>
      <c r="P68" s="12"/>
      <c r="BC68" s="44"/>
      <c r="BD68" s="44"/>
    </row>
    <row r="69" spans="2:57" ht="17.7" customHeight="1" thickBot="1">
      <c r="B69" s="312" t="s">
        <v>139</v>
      </c>
      <c r="C69" s="313"/>
      <c r="D69" s="562">
        <f>AVERAGE(D47:E68)</f>
        <v>11.962</v>
      </c>
      <c r="E69" s="563"/>
      <c r="F69" s="294"/>
      <c r="G69" s="42"/>
      <c r="H69" s="41"/>
      <c r="I69" s="42"/>
      <c r="J69" s="295" t="s">
        <v>134</v>
      </c>
      <c r="K69" s="324"/>
      <c r="L69" s="294"/>
      <c r="M69" s="294"/>
      <c r="N69" s="294"/>
      <c r="O69" s="294"/>
      <c r="P69" s="12"/>
      <c r="BC69" s="44"/>
      <c r="BD69" s="44"/>
    </row>
    <row r="70" spans="2:57" ht="17.7" customHeight="1">
      <c r="B70" s="363"/>
      <c r="C70" s="364"/>
      <c r="D70" s="365"/>
      <c r="E70" s="365"/>
      <c r="F70" s="294"/>
      <c r="G70" s="42"/>
      <c r="H70" s="41"/>
      <c r="I70" s="42"/>
      <c r="J70" s="295" t="s">
        <v>131</v>
      </c>
      <c r="K70" s="324"/>
      <c r="L70" s="294"/>
      <c r="M70" s="294"/>
      <c r="N70" s="294"/>
      <c r="O70" s="294"/>
      <c r="P70" s="12"/>
      <c r="BC70" s="44"/>
      <c r="BD70" s="44"/>
    </row>
    <row r="71" spans="2:57" ht="15.75" customHeight="1">
      <c r="B71" s="45"/>
      <c r="C71" s="11"/>
      <c r="D71" s="11"/>
      <c r="E71" s="46"/>
      <c r="F71" s="294"/>
      <c r="G71" s="42"/>
      <c r="H71" s="41"/>
      <c r="I71" s="42"/>
      <c r="J71" s="346" t="s">
        <v>130</v>
      </c>
      <c r="K71" s="324">
        <f>SUM(K61:K70)</f>
        <v>10</v>
      </c>
      <c r="L71" s="294"/>
      <c r="M71" s="294"/>
      <c r="N71" s="294"/>
      <c r="O71" s="294"/>
      <c r="P71" s="12"/>
    </row>
    <row r="72" spans="2:57" ht="20.25" customHeight="1">
      <c r="B72" s="15" t="s">
        <v>42</v>
      </c>
      <c r="C72" s="1" t="s">
        <v>43</v>
      </c>
      <c r="D72" s="1"/>
      <c r="E72" s="1"/>
      <c r="F72" s="294"/>
      <c r="G72" s="42"/>
      <c r="H72" s="41"/>
      <c r="I72" s="42"/>
      <c r="L72" s="294"/>
      <c r="P72" s="334"/>
    </row>
    <row r="73" spans="2:57" ht="15" customHeight="1" thickBot="1"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8"/>
      <c r="O73" s="48"/>
      <c r="P73" s="49"/>
    </row>
    <row r="74" spans="2:57" ht="15" customHeight="1" thickBot="1">
      <c r="B74" s="526" t="s">
        <v>17</v>
      </c>
      <c r="C74" s="526" t="s">
        <v>44</v>
      </c>
      <c r="D74" s="528" t="s">
        <v>45</v>
      </c>
      <c r="E74" s="483" t="s">
        <v>46</v>
      </c>
      <c r="F74" s="543" t="s">
        <v>47</v>
      </c>
      <c r="G74" s="537" t="s">
        <v>48</v>
      </c>
      <c r="H74" s="526" t="s">
        <v>49</v>
      </c>
      <c r="I74" s="526" t="s">
        <v>50</v>
      </c>
      <c r="J74" s="531" t="s">
        <v>28</v>
      </c>
      <c r="K74" s="481" t="s">
        <v>51</v>
      </c>
      <c r="L74" s="493" t="s">
        <v>52</v>
      </c>
      <c r="M74" s="531" t="s">
        <v>53</v>
      </c>
      <c r="N74" s="13"/>
      <c r="O74" s="13"/>
      <c r="P74" s="50"/>
    </row>
    <row r="75" spans="2:57" ht="28.5" customHeight="1" thickTop="1" thickBot="1">
      <c r="B75" s="527"/>
      <c r="C75" s="527"/>
      <c r="D75" s="529"/>
      <c r="E75" s="530"/>
      <c r="F75" s="544"/>
      <c r="G75" s="538"/>
      <c r="H75" s="527"/>
      <c r="I75" s="527"/>
      <c r="J75" s="532"/>
      <c r="K75" s="541"/>
      <c r="L75" s="542"/>
      <c r="M75" s="532"/>
      <c r="N75" s="13"/>
      <c r="O75" s="13"/>
      <c r="P75" s="50"/>
      <c r="Q75" s="355"/>
      <c r="AB75" s="51">
        <v>43474</v>
      </c>
      <c r="AC75" s="51">
        <v>43475</v>
      </c>
      <c r="AD75" s="51">
        <v>43476</v>
      </c>
      <c r="AE75" s="51">
        <v>43477</v>
      </c>
      <c r="AF75" s="51">
        <v>43478</v>
      </c>
      <c r="AG75" s="51">
        <v>43479</v>
      </c>
      <c r="AH75" s="51">
        <v>43480</v>
      </c>
      <c r="AI75" s="51">
        <v>43481</v>
      </c>
      <c r="AJ75" s="51">
        <v>43482</v>
      </c>
      <c r="AK75" s="51">
        <v>43483</v>
      </c>
      <c r="AL75" s="51">
        <v>43484</v>
      </c>
      <c r="AM75" s="51">
        <v>43485</v>
      </c>
      <c r="AN75" s="51">
        <v>43486</v>
      </c>
      <c r="AO75" s="51">
        <v>43487</v>
      </c>
      <c r="AP75" s="51">
        <v>43488</v>
      </c>
      <c r="AQ75" s="51">
        <v>43489</v>
      </c>
      <c r="AR75" s="51">
        <v>43490</v>
      </c>
      <c r="AS75" s="51">
        <v>43491</v>
      </c>
      <c r="AT75" s="51">
        <v>43492</v>
      </c>
      <c r="AU75" s="51">
        <v>43493</v>
      </c>
      <c r="AV75" s="51">
        <v>43494</v>
      </c>
      <c r="AW75" s="51">
        <v>43495</v>
      </c>
      <c r="AX75" s="51">
        <v>43496</v>
      </c>
    </row>
    <row r="76" spans="2:57" s="54" customFormat="1" ht="51" customHeight="1">
      <c r="B76" s="425" t="str">
        <f>B84</f>
        <v>STAG</v>
      </c>
      <c r="C76" s="432">
        <v>45838</v>
      </c>
      <c r="D76" s="377">
        <f>[34]June_2025!$AG$13</f>
        <v>420.3</v>
      </c>
      <c r="E76" s="378"/>
      <c r="F76" s="379"/>
      <c r="G76" s="303">
        <f>[34]June_2025!$AG$17</f>
        <v>394.70000000000005</v>
      </c>
      <c r="H76" s="320"/>
      <c r="I76" s="322"/>
      <c r="J76" s="392" t="s">
        <v>182</v>
      </c>
      <c r="K76" s="286">
        <f>[36]June_2025!$AG$25</f>
        <v>1.3849122807017546</v>
      </c>
      <c r="L76" s="314">
        <f>(((D76+E76)-G76)/(D76+E76))*100</f>
        <v>6.0908874613371324</v>
      </c>
      <c r="M76" s="417" t="s">
        <v>223</v>
      </c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416"/>
      <c r="AC76" s="416"/>
      <c r="AD76" s="416"/>
      <c r="AE76" s="416"/>
      <c r="AF76" s="416"/>
      <c r="AG76" s="416"/>
      <c r="AH76" s="416"/>
      <c r="AI76" s="416"/>
      <c r="AJ76" s="416"/>
      <c r="AK76" s="416"/>
      <c r="AL76" s="416"/>
      <c r="AM76" s="416"/>
      <c r="AN76" s="416"/>
      <c r="AO76" s="416"/>
      <c r="AP76" s="416"/>
      <c r="AQ76" s="416"/>
      <c r="AR76" s="416"/>
      <c r="AS76" s="416"/>
      <c r="AT76" s="416"/>
      <c r="AU76" s="416"/>
      <c r="AV76" s="416"/>
      <c r="AW76" s="416"/>
    </row>
    <row r="77" spans="2:57" s="54" customFormat="1" ht="23.25" customHeight="1">
      <c r="B77" s="22"/>
      <c r="C77" s="283"/>
      <c r="D77" s="377"/>
      <c r="E77" s="378"/>
      <c r="F77" s="379"/>
      <c r="G77" s="303"/>
      <c r="H77" s="320"/>
      <c r="I77" s="322"/>
      <c r="J77" s="281"/>
      <c r="K77" s="286"/>
      <c r="L77" s="314"/>
      <c r="M77" s="417"/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416"/>
      <c r="AC77" s="416"/>
      <c r="AD77" s="416"/>
      <c r="AE77" s="416"/>
      <c r="AF77" s="416"/>
      <c r="AG77" s="416"/>
      <c r="AH77" s="416"/>
      <c r="AI77" s="416"/>
      <c r="AJ77" s="416"/>
      <c r="AK77" s="416"/>
      <c r="AL77" s="416"/>
      <c r="AM77" s="416"/>
      <c r="AN77" s="416"/>
      <c r="AO77" s="416"/>
      <c r="AP77" s="416"/>
      <c r="AQ77" s="416"/>
      <c r="AR77" s="416"/>
      <c r="AS77" s="416"/>
      <c r="AT77" s="416"/>
      <c r="AU77" s="416"/>
      <c r="AV77" s="416"/>
      <c r="AW77" s="416"/>
    </row>
    <row r="78" spans="2:57" s="54" customFormat="1" ht="53.25" customHeight="1">
      <c r="B78" s="387" t="str">
        <f>B83</f>
        <v>CARIB</v>
      </c>
      <c r="C78" s="432">
        <v>45838</v>
      </c>
      <c r="D78" s="377">
        <f>[34]June_2025!$AG$3</f>
        <v>100.5</v>
      </c>
      <c r="E78" s="378"/>
      <c r="F78" s="379"/>
      <c r="G78" s="303">
        <f>[34]June_2025!$AG$7</f>
        <v>94.1</v>
      </c>
      <c r="H78" s="320"/>
      <c r="I78" s="322"/>
      <c r="J78" s="392" t="s">
        <v>182</v>
      </c>
      <c r="K78" s="286">
        <f>[36]June_2025!$AG$18</f>
        <v>0.33017543859649123</v>
      </c>
      <c r="L78" s="314">
        <f>(((D78+E78)-G78)/(D78+E78))*100</f>
        <v>6.3681592039801043</v>
      </c>
      <c r="M78" s="417" t="s">
        <v>166</v>
      </c>
      <c r="N78" s="13"/>
      <c r="O78" s="13"/>
      <c r="P78" s="50"/>
      <c r="R78" s="275"/>
      <c r="S78" s="275"/>
      <c r="T78" s="275"/>
      <c r="U78" s="275"/>
      <c r="V78" s="275"/>
      <c r="W78" s="275"/>
      <c r="X78" s="275"/>
      <c r="Y78" s="275"/>
      <c r="Z78" s="275"/>
      <c r="AA78" s="275"/>
      <c r="AB78" s="57">
        <f>[20]January_2019!L7</f>
        <v>0</v>
      </c>
      <c r="AC78" s="57">
        <f>[20]January_2019!M7</f>
        <v>0</v>
      </c>
      <c r="AD78" s="57">
        <f>[20]January_2019!N7</f>
        <v>0</v>
      </c>
      <c r="AE78" s="57">
        <f>[20]January_2019!O7</f>
        <v>0</v>
      </c>
      <c r="AF78" s="57">
        <f>[20]January_2019!P7</f>
        <v>0</v>
      </c>
      <c r="AG78" s="57">
        <f>[20]January_2019!Q7</f>
        <v>0</v>
      </c>
      <c r="AH78" s="57">
        <f>[20]January_2019!R7</f>
        <v>0</v>
      </c>
      <c r="AI78" s="57">
        <f>[20]January_2019!S7</f>
        <v>0</v>
      </c>
      <c r="AJ78" s="57">
        <f>[20]January_2019!T7</f>
        <v>0</v>
      </c>
      <c r="AK78" s="57">
        <f>[20]January_2019!U7</f>
        <v>0</v>
      </c>
      <c r="AL78" s="57">
        <f>[20]January_2019!V7</f>
        <v>0</v>
      </c>
      <c r="AM78" s="57">
        <f>[20]January_2019!W7</f>
        <v>0</v>
      </c>
      <c r="AN78" s="57">
        <f>[20]January_2019!X7</f>
        <v>0</v>
      </c>
      <c r="AO78" s="57">
        <f>[20]January_2019!Y7</f>
        <v>0</v>
      </c>
      <c r="AP78" s="57">
        <f>[20]January_2019!Z7</f>
        <v>0</v>
      </c>
      <c r="AQ78" s="57">
        <f>[20]January_2019!AA7</f>
        <v>0</v>
      </c>
      <c r="AR78" s="57">
        <f>[20]January_2019!AB7</f>
        <v>0</v>
      </c>
      <c r="AS78" s="57">
        <f>[20]January_2019!AC7</f>
        <v>0</v>
      </c>
      <c r="AT78" s="57">
        <f>[20]January_2019!AD7</f>
        <v>0</v>
      </c>
      <c r="AU78" s="57">
        <f>[20]January_2019!AE7</f>
        <v>0</v>
      </c>
      <c r="AV78" s="57">
        <f>[20]January_2019!AF7</f>
        <v>0</v>
      </c>
      <c r="AW78" s="57">
        <f>[20]January_2019!AG7</f>
        <v>0</v>
      </c>
      <c r="AX78" s="277">
        <f>[20]January_2019!AH7</f>
        <v>0</v>
      </c>
      <c r="AY78" s="277"/>
      <c r="AZ78" s="277"/>
      <c r="BA78" s="277"/>
      <c r="BB78" s="277"/>
      <c r="BC78" s="277"/>
      <c r="BD78" s="277"/>
      <c r="BE78" s="277"/>
    </row>
    <row r="79" spans="2:57" s="54" customFormat="1" ht="16.5" customHeight="1">
      <c r="B79" s="423"/>
      <c r="C79" s="283"/>
      <c r="D79" s="377"/>
      <c r="E79" s="378"/>
      <c r="F79" s="379"/>
      <c r="G79" s="303"/>
      <c r="H79" s="320"/>
      <c r="I79" s="322"/>
      <c r="J79" s="281"/>
      <c r="K79" s="286"/>
      <c r="L79" s="314"/>
      <c r="M79" s="417"/>
      <c r="N79" s="13"/>
      <c r="O79" s="13"/>
      <c r="P79" s="50"/>
      <c r="R79" s="275"/>
      <c r="S79" s="275"/>
      <c r="T79" s="275"/>
      <c r="U79" s="275"/>
      <c r="V79" s="275"/>
      <c r="W79" s="275"/>
      <c r="X79" s="275"/>
      <c r="Y79" s="275"/>
      <c r="Z79" s="275"/>
      <c r="AA79" s="275"/>
      <c r="AB79" s="416"/>
      <c r="AC79" s="416"/>
      <c r="AD79" s="416"/>
      <c r="AE79" s="416"/>
      <c r="AF79" s="416"/>
      <c r="AG79" s="416"/>
      <c r="AH79" s="416"/>
      <c r="AI79" s="416"/>
      <c r="AJ79" s="416"/>
      <c r="AK79" s="416"/>
      <c r="AL79" s="416"/>
      <c r="AM79" s="416"/>
      <c r="AN79" s="416"/>
      <c r="AO79" s="416"/>
      <c r="AP79" s="416"/>
      <c r="AQ79" s="416"/>
      <c r="AR79" s="416"/>
      <c r="AS79" s="416"/>
      <c r="AT79" s="416"/>
      <c r="AU79" s="416"/>
      <c r="AV79" s="416"/>
      <c r="AW79" s="416"/>
    </row>
    <row r="80" spans="2:57" ht="18" customHeight="1" thickBot="1">
      <c r="B80" s="59"/>
      <c r="C80" s="30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 t="s">
        <v>41</v>
      </c>
      <c r="O80" s="56"/>
      <c r="P80" s="60"/>
    </row>
    <row r="81" spans="2:16" ht="14.4" thickBot="1">
      <c r="B81" s="533" t="s">
        <v>55</v>
      </c>
      <c r="C81" s="534"/>
      <c r="D81" s="534"/>
      <c r="E81" s="534"/>
      <c r="F81" s="535"/>
      <c r="G81" s="533" t="s">
        <v>56</v>
      </c>
      <c r="H81" s="534"/>
      <c r="I81" s="534"/>
      <c r="J81" s="535"/>
      <c r="K81" s="533" t="s">
        <v>51</v>
      </c>
      <c r="L81" s="534"/>
      <c r="M81" s="534"/>
      <c r="N81" s="536"/>
      <c r="O81" s="56"/>
      <c r="P81" s="50"/>
    </row>
    <row r="82" spans="2:16">
      <c r="B82" s="61" t="s">
        <v>17</v>
      </c>
      <c r="C82" s="62" t="s">
        <v>36</v>
      </c>
      <c r="D82" s="62" t="s">
        <v>37</v>
      </c>
      <c r="E82" s="62" t="s">
        <v>38</v>
      </c>
      <c r="F82" s="63" t="s">
        <v>39</v>
      </c>
      <c r="G82" s="62" t="s">
        <v>36</v>
      </c>
      <c r="H82" s="62" t="s">
        <v>37</v>
      </c>
      <c r="I82" s="62" t="s">
        <v>38</v>
      </c>
      <c r="J82" s="63" t="s">
        <v>39</v>
      </c>
      <c r="K82" s="62" t="s">
        <v>36</v>
      </c>
      <c r="L82" s="62" t="s">
        <v>37</v>
      </c>
      <c r="M82" s="62" t="s">
        <v>38</v>
      </c>
      <c r="N82" s="63" t="s">
        <v>39</v>
      </c>
      <c r="O82" s="56"/>
      <c r="P82" s="64"/>
    </row>
    <row r="83" spans="2:16">
      <c r="B83" s="29" t="s">
        <v>6</v>
      </c>
      <c r="C83" s="65">
        <f>L78</f>
        <v>6.3681592039801043</v>
      </c>
      <c r="D83" s="76">
        <v>6.0261020607020956</v>
      </c>
      <c r="E83" s="76">
        <v>6.5580786060420548</v>
      </c>
      <c r="F83" s="66">
        <v>4.8</v>
      </c>
      <c r="G83" s="65">
        <f>[34]June_2025!$AG$11</f>
        <v>5.5408899278706834</v>
      </c>
      <c r="H83" s="76">
        <v>5.1137179055634423</v>
      </c>
      <c r="I83" s="76">
        <v>6.5267749304402933</v>
      </c>
      <c r="J83" s="66">
        <v>4.8</v>
      </c>
      <c r="K83" s="67">
        <f>K78</f>
        <v>0.33017543859649123</v>
      </c>
      <c r="L83" s="194">
        <v>0.533835725677831</v>
      </c>
      <c r="M83" s="194">
        <v>0.72065979536710689</v>
      </c>
      <c r="N83" s="68">
        <v>1</v>
      </c>
      <c r="O83" s="56"/>
      <c r="P83" s="69"/>
    </row>
    <row r="84" spans="2:16">
      <c r="B84" s="33" t="s">
        <v>9</v>
      </c>
      <c r="C84" s="65">
        <f>L76</f>
        <v>6.0908874613371324</v>
      </c>
      <c r="D84" s="76">
        <v>5.2938706361043231</v>
      </c>
      <c r="E84" s="76">
        <v>6.1113657946887594</v>
      </c>
      <c r="F84" s="66">
        <v>4.8</v>
      </c>
      <c r="G84" s="65">
        <f>[34]June_2025!$AG$21</f>
        <v>4.7971638688272034</v>
      </c>
      <c r="H84" s="76">
        <v>4.9189015313071582</v>
      </c>
      <c r="I84" s="76">
        <v>5.9309257123728454</v>
      </c>
      <c r="J84" s="66">
        <v>4.8</v>
      </c>
      <c r="K84" s="67">
        <f>K76</f>
        <v>1.3849122807017546</v>
      </c>
      <c r="L84" s="194">
        <v>0.78743483709273177</v>
      </c>
      <c r="M84" s="194">
        <v>0.76031080132037965</v>
      </c>
      <c r="N84" s="68">
        <v>1</v>
      </c>
      <c r="P84" s="69"/>
    </row>
    <row r="85" spans="2:16">
      <c r="B85" s="34" t="s">
        <v>40</v>
      </c>
      <c r="C85" s="65"/>
      <c r="D85" s="76">
        <v>12.188365650969537</v>
      </c>
      <c r="E85" s="76">
        <v>11.96027372373279</v>
      </c>
      <c r="F85" s="66">
        <v>5.5</v>
      </c>
      <c r="G85" s="65"/>
      <c r="H85" s="76">
        <v>12.44001096804088</v>
      </c>
      <c r="I85" s="76">
        <v>13.111031100634913</v>
      </c>
      <c r="J85" s="66">
        <v>5.5</v>
      </c>
      <c r="K85" s="67"/>
      <c r="L85" s="194">
        <v>0.27581871345029241</v>
      </c>
      <c r="M85" s="194">
        <v>0.4869398559932232</v>
      </c>
      <c r="N85" s="68">
        <v>1</v>
      </c>
      <c r="P85" s="69"/>
    </row>
    <row r="86" spans="2:16">
      <c r="B86" s="22" t="s">
        <v>33</v>
      </c>
      <c r="C86" s="65"/>
      <c r="D86" s="76">
        <v>10.592686002522056</v>
      </c>
      <c r="E86" s="76">
        <v>5.4214697406339898</v>
      </c>
      <c r="F86" s="66">
        <v>3.3</v>
      </c>
      <c r="G86" s="65"/>
      <c r="H86" s="76">
        <v>10.440711622307923</v>
      </c>
      <c r="I86" s="76">
        <v>5.263029001952213</v>
      </c>
      <c r="J86" s="66">
        <v>3.3</v>
      </c>
      <c r="K86" s="67"/>
      <c r="L86" s="194">
        <v>0.22480263157894734</v>
      </c>
      <c r="M86" s="194">
        <v>0.6919486215538847</v>
      </c>
      <c r="N86" s="68">
        <v>1</v>
      </c>
      <c r="P86" s="69"/>
    </row>
    <row r="87" spans="2:16">
      <c r="B87" s="35" t="s">
        <v>29</v>
      </c>
      <c r="C87" s="65"/>
      <c r="D87" s="76"/>
      <c r="E87" s="76"/>
      <c r="F87" s="66">
        <v>3.3</v>
      </c>
      <c r="G87" s="282"/>
      <c r="H87" s="76"/>
      <c r="I87" s="76"/>
      <c r="J87" s="66">
        <v>3</v>
      </c>
      <c r="L87" s="194"/>
      <c r="M87" s="194"/>
      <c r="N87" s="68">
        <v>1</v>
      </c>
      <c r="P87" s="69"/>
    </row>
    <row r="88" spans="2:16">
      <c r="B88" s="36" t="s">
        <v>15</v>
      </c>
      <c r="C88" s="282"/>
      <c r="D88" s="76">
        <v>5.7784145176695159</v>
      </c>
      <c r="E88" s="76">
        <v>7.3129862357869699</v>
      </c>
      <c r="F88" s="70">
        <f>[21]May_2022!$M$43</f>
        <v>3.4878406700073312</v>
      </c>
      <c r="G88" s="282"/>
      <c r="H88" s="76">
        <v>7.6606905670809748</v>
      </c>
      <c r="I88" s="76">
        <v>8.9862703283331644</v>
      </c>
      <c r="J88" s="66">
        <v>5.5</v>
      </c>
      <c r="K88" s="67"/>
      <c r="L88" s="194">
        <v>0.34614035087719303</v>
      </c>
      <c r="M88" s="194">
        <v>0.59276315789473688</v>
      </c>
      <c r="N88" s="68">
        <v>1</v>
      </c>
      <c r="P88" s="69"/>
    </row>
    <row r="89" spans="2:16">
      <c r="B89" s="37" t="s">
        <v>16</v>
      </c>
      <c r="C89" s="65"/>
      <c r="D89" s="76">
        <v>4.8459003682884285</v>
      </c>
      <c r="E89" s="76">
        <v>3.1283185840707883</v>
      </c>
      <c r="F89" s="66">
        <v>3.3</v>
      </c>
      <c r="G89" s="282"/>
      <c r="H89" s="76">
        <v>5.3838407622154936</v>
      </c>
      <c r="I89" s="76">
        <v>4.671657298145214</v>
      </c>
      <c r="J89" s="66">
        <v>3.3</v>
      </c>
      <c r="K89" s="67"/>
      <c r="L89" s="194">
        <v>0.3445029239766082</v>
      </c>
      <c r="M89" s="194">
        <v>0.70412549019607829</v>
      </c>
      <c r="N89" s="71">
        <v>1</v>
      </c>
      <c r="P89" s="69"/>
    </row>
    <row r="90" spans="2:16" ht="14.4" thickBot="1">
      <c r="B90" s="38" t="s">
        <v>127</v>
      </c>
      <c r="C90" s="65"/>
      <c r="D90" s="76"/>
      <c r="E90" s="76"/>
      <c r="F90" s="66">
        <v>7.5</v>
      </c>
      <c r="G90" s="282"/>
      <c r="H90" s="76"/>
      <c r="I90" s="76"/>
      <c r="J90" s="66">
        <v>7.5</v>
      </c>
      <c r="K90" s="67"/>
      <c r="L90" s="194"/>
      <c r="M90" s="194"/>
      <c r="N90" s="71">
        <v>1</v>
      </c>
      <c r="P90" s="69"/>
    </row>
    <row r="91" spans="2:16" ht="14.4" thickBot="1">
      <c r="B91" s="415" t="s">
        <v>161</v>
      </c>
      <c r="C91" s="65"/>
      <c r="D91" s="76"/>
      <c r="E91" s="76">
        <v>4.8792508624938291</v>
      </c>
      <c r="F91" s="66">
        <v>4.8</v>
      </c>
      <c r="G91" s="282"/>
      <c r="H91" s="76"/>
      <c r="I91" s="76">
        <v>6.2003723782925313</v>
      </c>
      <c r="J91" s="66">
        <v>4.8</v>
      </c>
      <c r="K91" s="67"/>
      <c r="L91" s="194"/>
      <c r="M91" s="194">
        <v>0.33859649122807017</v>
      </c>
      <c r="N91" s="71">
        <v>1</v>
      </c>
      <c r="O91" s="74"/>
      <c r="P91" s="75"/>
    </row>
    <row r="92" spans="2:16">
      <c r="D92" s="76">
        <v>6.3924883727732693</v>
      </c>
      <c r="E92" s="76">
        <v>6.6093848496397474</v>
      </c>
      <c r="F92" s="341">
        <v>5.5</v>
      </c>
      <c r="H92" s="76">
        <v>6.267696238695061</v>
      </c>
      <c r="I92" s="76">
        <v>6.9045145451869727</v>
      </c>
      <c r="J92" s="341">
        <v>5.5</v>
      </c>
      <c r="L92" s="194">
        <v>0.5267863247863247</v>
      </c>
      <c r="M92" s="194">
        <v>0.68182278056951429</v>
      </c>
      <c r="N92" s="386">
        <v>1</v>
      </c>
    </row>
    <row r="96" spans="2:16">
      <c r="F96" s="315"/>
    </row>
    <row r="97" spans="6:6">
      <c r="F97" s="341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45:N45"/>
    <mergeCell ref="D46:E46"/>
    <mergeCell ref="B47:B58"/>
    <mergeCell ref="D47:E48"/>
    <mergeCell ref="D49:E50"/>
    <mergeCell ref="D51:E52"/>
    <mergeCell ref="D53:E54"/>
    <mergeCell ref="D55:E56"/>
    <mergeCell ref="D57:E58"/>
    <mergeCell ref="B59:B68"/>
    <mergeCell ref="D59:E60"/>
    <mergeCell ref="J59:K59"/>
    <mergeCell ref="L60:N60"/>
    <mergeCell ref="D61:E62"/>
    <mergeCell ref="D63:E64"/>
    <mergeCell ref="D65:E66"/>
    <mergeCell ref="D67:E68"/>
    <mergeCell ref="D69:E69"/>
    <mergeCell ref="B74:B75"/>
    <mergeCell ref="C74:C75"/>
    <mergeCell ref="D74:D75"/>
    <mergeCell ref="E74:E75"/>
    <mergeCell ref="M74:M75"/>
    <mergeCell ref="B81:F81"/>
    <mergeCell ref="G81:J81"/>
    <mergeCell ref="K81:N81"/>
    <mergeCell ref="G74:G75"/>
    <mergeCell ref="H74:H75"/>
    <mergeCell ref="I74:I75"/>
    <mergeCell ref="J74:J75"/>
    <mergeCell ref="K74:K75"/>
    <mergeCell ref="L74:L75"/>
    <mergeCell ref="F74:F75"/>
  </mergeCells>
  <conditionalFormatting sqref="B69:B70">
    <cfRule type="cellIs" dxfId="131" priority="126" operator="notBetween">
      <formula>#REF!</formula>
      <formula>#REF!</formula>
    </cfRule>
  </conditionalFormatting>
  <conditionalFormatting sqref="C73">
    <cfRule type="cellIs" dxfId="130" priority="158" stopIfTrue="1" operator="greaterThan">
      <formula>100</formula>
    </cfRule>
    <cfRule type="cellIs" dxfId="129" priority="157" stopIfTrue="1" operator="lessThan">
      <formula>96</formula>
    </cfRule>
  </conditionalFormatting>
  <conditionalFormatting sqref="C83:C84">
    <cfRule type="cellIs" dxfId="128" priority="104" stopIfTrue="1" operator="lessThanOrEqual">
      <formula>0</formula>
    </cfRule>
  </conditionalFormatting>
  <conditionalFormatting sqref="C83:C87">
    <cfRule type="cellIs" dxfId="127" priority="103" stopIfTrue="1" operator="greaterThan">
      <formula>$F83</formula>
    </cfRule>
  </conditionalFormatting>
  <conditionalFormatting sqref="C84">
    <cfRule type="cellIs" dxfId="126" priority="161" stopIfTrue="1" operator="greaterThan">
      <formula>$F83</formula>
    </cfRule>
  </conditionalFormatting>
  <conditionalFormatting sqref="C85:C88">
    <cfRule type="cellIs" dxfId="125" priority="110" stopIfTrue="1" operator="lessThanOrEqual">
      <formula>0</formula>
    </cfRule>
  </conditionalFormatting>
  <conditionalFormatting sqref="C88">
    <cfRule type="cellIs" dxfId="124" priority="109" stopIfTrue="1" operator="greaterThan">
      <formula>$J88</formula>
    </cfRule>
  </conditionalFormatting>
  <conditionalFormatting sqref="C94:C98">
    <cfRule type="cellIs" dxfId="123" priority="149" stopIfTrue="1" operator="lessThanOrEqual">
      <formula>0</formula>
    </cfRule>
  </conditionalFormatting>
  <conditionalFormatting sqref="C95:C98">
    <cfRule type="cellIs" dxfId="122" priority="148" stopIfTrue="1" operator="greaterThan">
      <formula>$F$94</formula>
    </cfRule>
  </conditionalFormatting>
  <conditionalFormatting sqref="C100">
    <cfRule type="cellIs" dxfId="121" priority="150" stopIfTrue="1" operator="greaterThan">
      <formula>$F$94</formula>
    </cfRule>
    <cfRule type="cellIs" dxfId="120" priority="151" stopIfTrue="1" operator="lessThanOrEqual">
      <formula>0</formula>
    </cfRule>
  </conditionalFormatting>
  <conditionalFormatting sqref="C94:D94 D96:D102">
    <cfRule type="cellIs" dxfId="119" priority="143" stopIfTrue="1" operator="greaterThan">
      <formula>4.5</formula>
    </cfRule>
  </conditionalFormatting>
  <conditionalFormatting sqref="D69:D70">
    <cfRule type="cellIs" dxfId="118" priority="127" operator="notBetween">
      <formula>#REF!</formula>
      <formula>#REF!</formula>
    </cfRule>
  </conditionalFormatting>
  <conditionalFormatting sqref="D83:D90">
    <cfRule type="cellIs" dxfId="117" priority="120" stopIfTrue="1" operator="lessThanOrEqual">
      <formula>0</formula>
    </cfRule>
  </conditionalFormatting>
  <conditionalFormatting sqref="D91">
    <cfRule type="cellIs" dxfId="116" priority="119" stopIfTrue="1" operator="lessThanOrEqual">
      <formula>0</formula>
    </cfRule>
  </conditionalFormatting>
  <conditionalFormatting sqref="D94 D96:D102">
    <cfRule type="cellIs" dxfId="115" priority="144" stopIfTrue="1" operator="lessThanOrEqual">
      <formula>0</formula>
    </cfRule>
  </conditionalFormatting>
  <conditionalFormatting sqref="D95">
    <cfRule type="cellIs" dxfId="114" priority="136" stopIfTrue="1" operator="lessThanOrEqual">
      <formula>0</formula>
    </cfRule>
    <cfRule type="cellIs" dxfId="113" priority="135" stopIfTrue="1" operator="greaterThan">
      <formula>$F$94</formula>
    </cfRule>
  </conditionalFormatting>
  <conditionalFormatting sqref="D83:E92">
    <cfRule type="cellIs" dxfId="112" priority="100" stopIfTrue="1" operator="greaterThan">
      <formula>$F83</formula>
    </cfRule>
  </conditionalFormatting>
  <conditionalFormatting sqref="D92:E92">
    <cfRule type="cellIs" dxfId="111" priority="101" stopIfTrue="1" operator="lessThanOrEqual">
      <formula>0</formula>
    </cfRule>
  </conditionalFormatting>
  <conditionalFormatting sqref="E10:E44">
    <cfRule type="cellIs" dxfId="110" priority="3" operator="lessThan">
      <formula>48</formula>
    </cfRule>
  </conditionalFormatting>
  <conditionalFormatting sqref="E72 E73:F73">
    <cfRule type="cellIs" dxfId="109" priority="140" stopIfTrue="1" operator="greaterThan">
      <formula>100</formula>
    </cfRule>
  </conditionalFormatting>
  <conditionalFormatting sqref="E73">
    <cfRule type="cellIs" dxfId="108" priority="138" stopIfTrue="1" operator="greaterThan">
      <formula>100</formula>
    </cfRule>
    <cfRule type="cellIs" dxfId="107" priority="137" stopIfTrue="1" operator="lessThan">
      <formula>96.8</formula>
    </cfRule>
  </conditionalFormatting>
  <conditionalFormatting sqref="E83:E91">
    <cfRule type="cellIs" dxfId="106" priority="114" stopIfTrue="1" operator="lessThanOrEqual">
      <formula>0</formula>
    </cfRule>
  </conditionalFormatting>
  <conditionalFormatting sqref="E94:E102">
    <cfRule type="cellIs" dxfId="105" priority="130" stopIfTrue="1" operator="lessThanOrEqual">
      <formula>0</formula>
    </cfRule>
    <cfRule type="cellIs" dxfId="104" priority="129" stopIfTrue="1" operator="greaterThan">
      <formula>4.5</formula>
    </cfRule>
  </conditionalFormatting>
  <conditionalFormatting sqref="E73:F73 E72">
    <cfRule type="cellIs" dxfId="103" priority="139" stopIfTrue="1" operator="lessThan">
      <formula>96.5</formula>
    </cfRule>
  </conditionalFormatting>
  <conditionalFormatting sqref="F10:F44">
    <cfRule type="cellIs" dxfId="102" priority="4" operator="greaterThan">
      <formula>60</formula>
    </cfRule>
  </conditionalFormatting>
  <conditionalFormatting sqref="F73">
    <cfRule type="cellIs" dxfId="101" priority="155" stopIfTrue="1" operator="lessThan">
      <formula>96.8</formula>
    </cfRule>
    <cfRule type="cellIs" dxfId="100" priority="156" stopIfTrue="1" operator="greaterThan">
      <formula>100</formula>
    </cfRule>
  </conditionalFormatting>
  <conditionalFormatting sqref="F92">
    <cfRule type="cellIs" dxfId="99" priority="115" stopIfTrue="1" operator="greaterThan">
      <formula>$F92</formula>
    </cfRule>
    <cfRule type="cellIs" dxfId="98" priority="116" stopIfTrue="1" operator="lessThanOrEqual">
      <formula>0</formula>
    </cfRule>
  </conditionalFormatting>
  <conditionalFormatting sqref="F97">
    <cfRule type="cellIs" dxfId="97" priority="42" stopIfTrue="1" operator="lessThanOrEqual">
      <formula>0</formula>
    </cfRule>
    <cfRule type="cellIs" dxfId="96" priority="41" stopIfTrue="1" operator="greaterThan">
      <formula>$F97</formula>
    </cfRule>
  </conditionalFormatting>
  <conditionalFormatting sqref="G83:G84 C89:C91">
    <cfRule type="cellIs" dxfId="95" priority="121" stopIfTrue="1" operator="greaterThan">
      <formula>$F83</formula>
    </cfRule>
    <cfRule type="cellIs" dxfId="94" priority="122" stopIfTrue="1" operator="lessThanOrEqual">
      <formula>0</formula>
    </cfRule>
  </conditionalFormatting>
  <conditionalFormatting sqref="G83:G84">
    <cfRule type="cellIs" dxfId="93" priority="106" stopIfTrue="1" operator="lessThanOrEqual">
      <formula>0</formula>
    </cfRule>
    <cfRule type="cellIs" dxfId="92" priority="105" stopIfTrue="1" operator="greaterThan">
      <formula>$F83</formula>
    </cfRule>
  </conditionalFormatting>
  <conditionalFormatting sqref="G85">
    <cfRule type="cellIs" dxfId="91" priority="160" stopIfTrue="1" operator="lessThanOrEqual">
      <formula>0</formula>
    </cfRule>
    <cfRule type="cellIs" dxfId="90" priority="159" stopIfTrue="1" operator="greaterThan">
      <formula>$F84</formula>
    </cfRule>
  </conditionalFormatting>
  <conditionalFormatting sqref="G86">
    <cfRule type="cellIs" dxfId="89" priority="117" stopIfTrue="1" operator="greaterThan">
      <formula>$F86</formula>
    </cfRule>
    <cfRule type="cellIs" dxfId="88" priority="118" stopIfTrue="1" operator="lessThanOrEqual">
      <formula>0</formula>
    </cfRule>
  </conditionalFormatting>
  <conditionalFormatting sqref="G87:G91">
    <cfRule type="cellIs" dxfId="87" priority="124" stopIfTrue="1" operator="lessThanOrEqual">
      <formula>0</formula>
    </cfRule>
    <cfRule type="cellIs" dxfId="86" priority="123" stopIfTrue="1" operator="greaterThan">
      <formula>$J87</formula>
    </cfRule>
  </conditionalFormatting>
  <conditionalFormatting sqref="G96:G101 C99 C101">
    <cfRule type="cellIs" dxfId="85" priority="153" stopIfTrue="1" operator="lessThanOrEqual">
      <formula>0</formula>
    </cfRule>
    <cfRule type="cellIs" dxfId="84" priority="152" stopIfTrue="1" operator="greaterThan">
      <formula>4.5</formula>
    </cfRule>
  </conditionalFormatting>
  <conditionalFormatting sqref="G10:H44">
    <cfRule type="expression" dxfId="83" priority="1">
      <formula>IF(+(IF(G10&lt;#REF!,0,IF(G10&gt;#REF!,0,1)))=0,1)</formula>
    </cfRule>
  </conditionalFormatting>
  <conditionalFormatting sqref="G95:H95">
    <cfRule type="cellIs" dxfId="82" priority="134" stopIfTrue="1" operator="lessThanOrEqual">
      <formula>0</formula>
    </cfRule>
    <cfRule type="cellIs" dxfId="81" priority="133" stopIfTrue="1" operator="greaterThan">
      <formula>$F$94</formula>
    </cfRule>
  </conditionalFormatting>
  <conditionalFormatting sqref="H58:H72">
    <cfRule type="cellIs" dxfId="80" priority="131" stopIfTrue="1" operator="greaterThan">
      <formula>0</formula>
    </cfRule>
  </conditionalFormatting>
  <conditionalFormatting sqref="H76">
    <cfRule type="cellIs" dxfId="79" priority="53" stopIfTrue="1" operator="greaterThan">
      <formula>$F$46</formula>
    </cfRule>
    <cfRule type="cellIs" dxfId="78" priority="45" stopIfTrue="1" operator="greaterThan">
      <formula>$F$43</formula>
    </cfRule>
    <cfRule type="cellIs" dxfId="77" priority="44" stopIfTrue="1" operator="lessThanOrEqual">
      <formula>0</formula>
    </cfRule>
    <cfRule type="cellIs" dxfId="76" priority="56" stopIfTrue="1" operator="lessThanOrEqual">
      <formula>0</formula>
    </cfRule>
    <cfRule type="cellIs" dxfId="75" priority="55" stopIfTrue="1" operator="greaterThan">
      <formula>$F$44</formula>
    </cfRule>
    <cfRule type="cellIs" dxfId="74" priority="54" stopIfTrue="1" operator="lessThanOrEqual">
      <formula>0</formula>
    </cfRule>
  </conditionalFormatting>
  <conditionalFormatting sqref="H77 H79">
    <cfRule type="cellIs" dxfId="73" priority="83" stopIfTrue="1" operator="greaterThan">
      <formula>$F$60</formula>
    </cfRule>
    <cfRule type="cellIs" dxfId="72" priority="84" stopIfTrue="1" operator="lessThanOrEqual">
      <formula>0</formula>
    </cfRule>
    <cfRule type="cellIs" dxfId="71" priority="85" stopIfTrue="1" operator="greaterThan">
      <formula>$F$58</formula>
    </cfRule>
    <cfRule type="cellIs" dxfId="70" priority="75" stopIfTrue="1" operator="greaterThan">
      <formula>$F$57</formula>
    </cfRule>
    <cfRule type="cellIs" dxfId="69" priority="86" stopIfTrue="1" operator="lessThanOrEqual">
      <formula>0</formula>
    </cfRule>
    <cfRule type="cellIs" dxfId="68" priority="74" stopIfTrue="1" operator="lessThanOrEqual">
      <formula>0</formula>
    </cfRule>
  </conditionalFormatting>
  <conditionalFormatting sqref="H78">
    <cfRule type="cellIs" dxfId="67" priority="58" stopIfTrue="1" operator="lessThanOrEqual">
      <formula>0</formula>
    </cfRule>
    <cfRule type="cellIs" dxfId="66" priority="68" stopIfTrue="1" operator="lessThanOrEqual">
      <formula>0</formula>
    </cfRule>
    <cfRule type="cellIs" dxfId="65" priority="69" stopIfTrue="1" operator="greaterThan">
      <formula>$F$44</formula>
    </cfRule>
    <cfRule type="cellIs" dxfId="64" priority="70" stopIfTrue="1" operator="lessThanOrEqual">
      <formula>0</formula>
    </cfRule>
    <cfRule type="cellIs" dxfId="63" priority="67" stopIfTrue="1" operator="greaterThan">
      <formula>$F$46</formula>
    </cfRule>
    <cfRule type="cellIs" dxfId="62" priority="59" stopIfTrue="1" operator="greaterThan">
      <formula>$F$43</formula>
    </cfRule>
  </conditionalFormatting>
  <conditionalFormatting sqref="H83:H90">
    <cfRule type="cellIs" dxfId="61" priority="108" stopIfTrue="1" operator="lessThanOrEqual">
      <formula>0</formula>
    </cfRule>
    <cfRule type="cellIs" dxfId="60" priority="107" stopIfTrue="1" operator="greaterThan">
      <formula>$J83</formula>
    </cfRule>
  </conditionalFormatting>
  <conditionalFormatting sqref="H91">
    <cfRule type="cellIs" dxfId="59" priority="111" operator="greaterThan">
      <formula>5.3</formula>
    </cfRule>
  </conditionalFormatting>
  <conditionalFormatting sqref="H94 H96:H102">
    <cfRule type="cellIs" dxfId="58" priority="146" stopIfTrue="1" operator="lessThanOrEqual">
      <formula>0</formula>
    </cfRule>
    <cfRule type="cellIs" dxfId="57" priority="145" stopIfTrue="1" operator="greaterThan">
      <formula>4.5</formula>
    </cfRule>
  </conditionalFormatting>
  <conditionalFormatting sqref="H76:I76">
    <cfRule type="cellIs" dxfId="56" priority="43" stopIfTrue="1" operator="greaterThan">
      <formula>$F$45</formula>
    </cfRule>
    <cfRule type="cellIs" dxfId="55" priority="46" stopIfTrue="1" operator="lessThanOrEqual">
      <formula>0</formula>
    </cfRule>
  </conditionalFormatting>
  <conditionalFormatting sqref="H77:I77 H79:I79">
    <cfRule type="cellIs" dxfId="54" priority="73" stopIfTrue="1" operator="greaterThan">
      <formula>$F$59</formula>
    </cfRule>
    <cfRule type="cellIs" dxfId="53" priority="76" stopIfTrue="1" operator="lessThanOrEqual">
      <formula>0</formula>
    </cfRule>
  </conditionalFormatting>
  <conditionalFormatting sqref="H78:I78">
    <cfRule type="cellIs" dxfId="52" priority="57" stopIfTrue="1" operator="greaterThan">
      <formula>$F$45</formula>
    </cfRule>
    <cfRule type="cellIs" dxfId="51" priority="60" stopIfTrue="1" operator="lessThanOrEqual">
      <formula>0</formula>
    </cfRule>
  </conditionalFormatting>
  <conditionalFormatting sqref="H92:I92">
    <cfRule type="cellIs" dxfId="50" priority="99" stopIfTrue="1" operator="lessThanOrEqual">
      <formula>0</formula>
    </cfRule>
    <cfRule type="cellIs" dxfId="49" priority="98" stopIfTrue="1" operator="greaterThan">
      <formula>$J92</formula>
    </cfRule>
  </conditionalFormatting>
  <conditionalFormatting sqref="I76">
    <cfRule type="cellIs" dxfId="48" priority="48" stopIfTrue="1" operator="lessThanOrEqual">
      <formula>0</formula>
    </cfRule>
    <cfRule type="cellIs" dxfId="47" priority="49" stopIfTrue="1" operator="greaterThan">
      <formula>$F$45</formula>
    </cfRule>
    <cfRule type="cellIs" dxfId="46" priority="51" stopIfTrue="1" operator="greaterThan">
      <formula>$F$43</formula>
    </cfRule>
    <cfRule type="cellIs" dxfId="45" priority="50" stopIfTrue="1" operator="lessThanOrEqual">
      <formula>0</formula>
    </cfRule>
    <cfRule type="cellIs" dxfId="44" priority="52" stopIfTrue="1" operator="lessThanOrEqual">
      <formula>0</formula>
    </cfRule>
    <cfRule type="cellIs" dxfId="43" priority="47" stopIfTrue="1" operator="greaterThan">
      <formula>$F$43</formula>
    </cfRule>
  </conditionalFormatting>
  <conditionalFormatting sqref="I77 I79">
    <cfRule type="cellIs" dxfId="42" priority="82" stopIfTrue="1" operator="lessThanOrEqual">
      <formula>0</formula>
    </cfRule>
    <cfRule type="cellIs" dxfId="41" priority="81" stopIfTrue="1" operator="greaterThan">
      <formula>$F$57</formula>
    </cfRule>
    <cfRule type="cellIs" dxfId="40" priority="80" stopIfTrue="1" operator="lessThanOrEqual">
      <formula>0</formula>
    </cfRule>
    <cfRule type="cellIs" dxfId="39" priority="79" stopIfTrue="1" operator="greaterThan">
      <formula>$F$59</formula>
    </cfRule>
    <cfRule type="cellIs" dxfId="38" priority="78" stopIfTrue="1" operator="lessThanOrEqual">
      <formula>0</formula>
    </cfRule>
    <cfRule type="cellIs" dxfId="37" priority="77" stopIfTrue="1" operator="greaterThan">
      <formula>$F$57</formula>
    </cfRule>
  </conditionalFormatting>
  <conditionalFormatting sqref="I78">
    <cfRule type="cellIs" dxfId="36" priority="63" stopIfTrue="1" operator="greaterThan">
      <formula>$F$45</formula>
    </cfRule>
    <cfRule type="cellIs" dxfId="35" priority="61" stopIfTrue="1" operator="greaterThan">
      <formula>$F$43</formula>
    </cfRule>
    <cfRule type="cellIs" dxfId="34" priority="64" stopIfTrue="1" operator="lessThanOrEqual">
      <formula>0</formula>
    </cfRule>
    <cfRule type="cellIs" dxfId="33" priority="65" stopIfTrue="1" operator="greaterThan">
      <formula>$F$43</formula>
    </cfRule>
    <cfRule type="cellIs" dxfId="32" priority="62" stopIfTrue="1" operator="lessThanOrEqual">
      <formula>0</formula>
    </cfRule>
    <cfRule type="cellIs" dxfId="31" priority="66" stopIfTrue="1" operator="lessThanOrEqual">
      <formula>0</formula>
    </cfRule>
  </conditionalFormatting>
  <conditionalFormatting sqref="I83:I91">
    <cfRule type="cellIs" dxfId="30" priority="113" stopIfTrue="1" operator="lessThanOrEqual">
      <formula>0</formula>
    </cfRule>
    <cfRule type="cellIs" dxfId="29" priority="112" stopIfTrue="1" operator="greaterThan">
      <formula>$J83</formula>
    </cfRule>
  </conditionalFormatting>
  <conditionalFormatting sqref="I94:I102">
    <cfRule type="cellIs" dxfId="28" priority="141" stopIfTrue="1" operator="greaterThan">
      <formula>4.5</formula>
    </cfRule>
    <cfRule type="cellIs" dxfId="27" priority="142" stopIfTrue="1" operator="lessThanOrEqual">
      <formula>0</formula>
    </cfRule>
  </conditionalFormatting>
  <conditionalFormatting sqref="I10:J44">
    <cfRule type="cellIs" dxfId="26" priority="6" operator="lessThan">
      <formula>97.9</formula>
    </cfRule>
  </conditionalFormatting>
  <conditionalFormatting sqref="J47:J49">
    <cfRule type="cellIs" dxfId="25" priority="88" stopIfTrue="1" operator="lessThan">
      <formula>96.8</formula>
    </cfRule>
    <cfRule type="cellIs" dxfId="24" priority="90" operator="lessThan">
      <formula>98</formula>
    </cfRule>
    <cfRule type="cellIs" dxfId="23" priority="89" stopIfTrue="1" operator="greaterThan">
      <formula>100</formula>
    </cfRule>
  </conditionalFormatting>
  <conditionalFormatting sqref="J47:J51">
    <cfRule type="cellIs" dxfId="22" priority="87" operator="lessThan">
      <formula>97.4</formula>
    </cfRule>
  </conditionalFormatting>
  <conditionalFormatting sqref="J52">
    <cfRule type="cellIs" dxfId="21" priority="91" operator="lessThan">
      <formula>98</formula>
    </cfRule>
  </conditionalFormatting>
  <conditionalFormatting sqref="J54:J55">
    <cfRule type="cellIs" dxfId="20" priority="93" stopIfTrue="1" operator="greaterThan">
      <formula>100</formula>
    </cfRule>
    <cfRule type="cellIs" dxfId="19" priority="92" stopIfTrue="1" operator="lessThan">
      <formula>96.8</formula>
    </cfRule>
  </conditionalFormatting>
  <conditionalFormatting sqref="J54:J56">
    <cfRule type="cellIs" dxfId="18" priority="94" operator="lessThan">
      <formula>98</formula>
    </cfRule>
  </conditionalFormatting>
  <conditionalFormatting sqref="J92">
    <cfRule type="cellIs" dxfId="17" priority="95" stopIfTrue="1" operator="greaterThan">
      <formula>$F92</formula>
    </cfRule>
    <cfRule type="cellIs" dxfId="16" priority="96" stopIfTrue="1" operator="lessThanOrEqual">
      <formula>0</formula>
    </cfRule>
  </conditionalFormatting>
  <conditionalFormatting sqref="K10:K44">
    <cfRule type="cellIs" dxfId="15" priority="11" operator="greaterThan">
      <formula>6.4</formula>
    </cfRule>
    <cfRule type="cellIs" dxfId="14" priority="10" operator="greaterThan">
      <formula>6</formula>
    </cfRule>
    <cfRule type="cellIs" dxfId="13" priority="9" operator="lessThan">
      <formula>4</formula>
    </cfRule>
  </conditionalFormatting>
  <conditionalFormatting sqref="K76:K79">
    <cfRule type="cellIs" dxfId="12" priority="71" stopIfTrue="1" operator="lessThan">
      <formula>100%</formula>
    </cfRule>
  </conditionalFormatting>
  <conditionalFormatting sqref="K94:K99">
    <cfRule type="cellIs" dxfId="11" priority="147" stopIfTrue="1" operator="lessThan">
      <formula>100%</formula>
    </cfRule>
  </conditionalFormatting>
  <conditionalFormatting sqref="K101:K102">
    <cfRule type="cellIs" dxfId="10" priority="154" stopIfTrue="1" operator="lessThan">
      <formula>100%</formula>
    </cfRule>
  </conditionalFormatting>
  <conditionalFormatting sqref="K83:N86 L87:N87">
    <cfRule type="cellIs" dxfId="9" priority="125" stopIfTrue="1" operator="lessThan">
      <formula>100%</formula>
    </cfRule>
  </conditionalFormatting>
  <conditionalFormatting sqref="K88:N91 L92:N92">
    <cfRule type="cellIs" dxfId="8" priority="97" stopIfTrue="1" operator="lessThan">
      <formula>100%</formula>
    </cfRule>
  </conditionalFormatting>
  <conditionalFormatting sqref="L10:L44">
    <cfRule type="cellIs" dxfId="7" priority="7" operator="between">
      <formula>61</formula>
      <formula>65</formula>
    </cfRule>
    <cfRule type="cellIs" dxfId="6" priority="8" operator="greaterThan">
      <formula>65</formula>
    </cfRule>
  </conditionalFormatting>
  <conditionalFormatting sqref="L47:M58">
    <cfRule type="cellIs" dxfId="5" priority="102" operator="lessThan">
      <formula>98</formula>
    </cfRule>
  </conditionalFormatting>
  <conditionalFormatting sqref="L62:N62">
    <cfRule type="cellIs" dxfId="4" priority="72" operator="notEqual">
      <formula>#REF!</formula>
    </cfRule>
  </conditionalFormatting>
  <conditionalFormatting sqref="L94:N102">
    <cfRule type="cellIs" dxfId="3" priority="132" stopIfTrue="1" operator="lessThan">
      <formula>100%</formula>
    </cfRule>
  </conditionalFormatting>
  <conditionalFormatting sqref="M10:M44">
    <cfRule type="expression" dxfId="2" priority="5">
      <formula>IF(+(IF(M10&lt;U10,0,IF(M10&gt;V10,0,1)))=0,1)</formula>
    </cfRule>
  </conditionalFormatting>
  <conditionalFormatting sqref="N10:N44">
    <cfRule type="expression" dxfId="1" priority="2">
      <formula>IF(+(IF(N10&lt;W10,0,IF(N10&gt;X10,0,1)))=0,1)</formula>
    </cfRule>
  </conditionalFormatting>
  <conditionalFormatting sqref="P6">
    <cfRule type="cellIs" dxfId="0" priority="128" operator="greaterThanOrEqual">
      <formula>19</formula>
    </cfRule>
  </conditionalFormatting>
  <dataValidations count="1">
    <dataValidation type="list" allowBlank="1" showInputMessage="1" showErrorMessage="1" sqref="R8" xr:uid="{926D10C7-3C2A-4AF7-B8BB-7CC59A5417FB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96" max="16383" man="1"/>
  </rowBreaks>
  <colBreaks count="1" manualBreakCount="1">
    <brk id="15" max="89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3" workbookViewId="0">
      <selection activeCell="J56" sqref="J56:J65"/>
    </sheetView>
  </sheetViews>
  <sheetFormatPr defaultColWidth="9.44140625" defaultRowHeight="13.2"/>
  <cols>
    <col min="1" max="1" width="9.44140625" style="78"/>
    <col min="2" max="2" width="12.5546875" style="78" customWidth="1"/>
    <col min="3" max="3" width="9.44140625" style="78" hidden="1" customWidth="1"/>
    <col min="4" max="4" width="9.5546875" style="78" customWidth="1"/>
    <col min="5" max="5" width="8.5546875" style="78" customWidth="1"/>
    <col min="6" max="6" width="14.44140625" style="78" hidden="1" customWidth="1"/>
    <col min="7" max="8" width="9.44140625" style="78" bestFit="1" customWidth="1"/>
    <col min="9" max="9" width="11.5546875" style="78" hidden="1" customWidth="1"/>
    <col min="10" max="10" width="10.5546875" style="78" bestFit="1" customWidth="1"/>
    <col min="11" max="11" width="16.44140625" style="78" customWidth="1"/>
    <col min="12" max="12" width="13.44140625" style="78" customWidth="1"/>
    <col min="13" max="16384" width="9.44140625" style="78"/>
  </cols>
  <sheetData>
    <row r="1" spans="2:14" ht="13.8" hidden="1" thickBot="1"/>
    <row r="2" spans="2:14" ht="15.6" hidden="1" thickBot="1">
      <c r="B2" s="581" t="s">
        <v>58</v>
      </c>
      <c r="C2" s="581"/>
      <c r="D2" s="581"/>
      <c r="E2" s="581"/>
      <c r="F2" s="581"/>
      <c r="G2" s="581"/>
      <c r="H2" s="581"/>
      <c r="I2" s="581"/>
      <c r="J2" s="581"/>
      <c r="K2" s="581"/>
    </row>
    <row r="3" spans="2:14" ht="15.6" hidden="1" thickBot="1">
      <c r="B3" s="79"/>
    </row>
    <row r="4" spans="2:14" ht="13.8" hidden="1" thickBot="1">
      <c r="B4" s="78" t="s">
        <v>7</v>
      </c>
      <c r="C4" s="582">
        <v>41431</v>
      </c>
      <c r="D4" s="582"/>
    </row>
    <row r="5" spans="2:14" ht="13.8" hidden="1" thickBot="1">
      <c r="C5" s="78" t="s">
        <v>41</v>
      </c>
    </row>
    <row r="6" spans="2:14" ht="14.4" hidden="1" thickBot="1">
      <c r="B6" s="5" t="s">
        <v>13</v>
      </c>
    </row>
    <row r="7" spans="2:14" ht="13.8" hidden="1" thickBot="1"/>
    <row r="8" spans="2:14" ht="25.5" hidden="1" customHeight="1" thickBot="1">
      <c r="B8" s="583" t="s">
        <v>17</v>
      </c>
      <c r="C8" s="585" t="s">
        <v>18</v>
      </c>
      <c r="D8" s="585" t="s">
        <v>59</v>
      </c>
      <c r="E8" s="80" t="s">
        <v>20</v>
      </c>
      <c r="F8" s="81" t="s">
        <v>21</v>
      </c>
      <c r="G8" s="585" t="s">
        <v>60</v>
      </c>
      <c r="H8" s="585" t="s">
        <v>61</v>
      </c>
      <c r="I8" s="587" t="s">
        <v>62</v>
      </c>
      <c r="J8" s="82" t="s">
        <v>25</v>
      </c>
      <c r="K8" s="589" t="s">
        <v>28</v>
      </c>
    </row>
    <row r="9" spans="2:14" ht="27" hidden="1" thickBot="1">
      <c r="B9" s="584"/>
      <c r="C9" s="586"/>
      <c r="D9" s="586"/>
      <c r="E9" s="83" t="s">
        <v>30</v>
      </c>
      <c r="F9" s="84" t="s">
        <v>63</v>
      </c>
      <c r="G9" s="586"/>
      <c r="H9" s="586"/>
      <c r="I9" s="588"/>
      <c r="J9" s="85" t="s">
        <v>32</v>
      </c>
      <c r="K9" s="590"/>
      <c r="L9" s="86"/>
      <c r="M9" s="86"/>
      <c r="N9" s="86"/>
    </row>
    <row r="10" spans="2:14" ht="13.8" hidden="1" thickBot="1">
      <c r="B10" s="87" t="s">
        <v>64</v>
      </c>
      <c r="C10" s="88" t="str">
        <f>[39]Brewhouse!A5359</f>
        <v>CA236</v>
      </c>
      <c r="D10" s="88">
        <f>[39]Brewhouse!B5359</f>
        <v>41437</v>
      </c>
      <c r="E10" s="89">
        <f>[39]Brewhouse!AG5359</f>
        <v>49.011000000000003</v>
      </c>
      <c r="F10" s="90">
        <f>[39]Brewhouse!T5359</f>
        <v>60</v>
      </c>
      <c r="G10" s="91">
        <f>[39]Brewhouse!I5359</f>
        <v>19.79</v>
      </c>
      <c r="H10" s="92">
        <f>[39]Brewhouse!AS5359</f>
        <v>94.981545664755075</v>
      </c>
      <c r="I10" s="92">
        <f>[39]Brewhouse!AT5359</f>
        <v>97.074072469002047</v>
      </c>
      <c r="J10" s="93">
        <f>[39]Brewhouse!S5359-[39]Brewhouse!R5359</f>
        <v>0.10694444444444451</v>
      </c>
      <c r="K10" s="94"/>
      <c r="N10" s="95"/>
    </row>
    <row r="11" spans="2:14" ht="13.8" hidden="1" thickBot="1">
      <c r="B11" s="96"/>
      <c r="C11" s="88" t="str">
        <f>[39]Brewhouse!A5360</f>
        <v>CA237</v>
      </c>
      <c r="D11" s="88">
        <f>[39]Brewhouse!B5360</f>
        <v>41437</v>
      </c>
      <c r="E11" s="89">
        <f>[39]Brewhouse!AG5360</f>
        <v>48.531999999999996</v>
      </c>
      <c r="F11" s="90">
        <f>[39]Brewhouse!T5360</f>
        <v>68</v>
      </c>
      <c r="G11" s="91">
        <f>[39]Brewhouse!I5360</f>
        <v>17.7</v>
      </c>
      <c r="H11" s="92">
        <f>[39]Brewhouse!AS5360</f>
        <v>94.053260986347809</v>
      </c>
      <c r="I11" s="92">
        <f>[39]Brewhouse!AT5360</f>
        <v>96.1253368644918</v>
      </c>
      <c r="J11" s="93">
        <f>[39]Brewhouse!S5360-[39]Brewhouse!R5360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[39]Brewhouse!A5361</f>
        <v>CA238</v>
      </c>
      <c r="D12" s="88">
        <f>[39]Brewhouse!B5361</f>
        <v>41437</v>
      </c>
      <c r="E12" s="89">
        <f>[39]Brewhouse!AG5361</f>
        <v>50.466999999999999</v>
      </c>
      <c r="F12" s="90">
        <f>[39]Brewhouse!T5361</f>
        <v>61</v>
      </c>
      <c r="G12" s="91">
        <f>[39]Brewhouse!I5361</f>
        <v>19.7</v>
      </c>
      <c r="H12" s="92">
        <f>[39]Brewhouse!AS5361</f>
        <v>96.931393272913695</v>
      </c>
      <c r="I12" s="92">
        <f>[39]Brewhouse!AT5361</f>
        <v>99.066876931102286</v>
      </c>
      <c r="J12" s="93">
        <f>[39]Brewhouse!S5361-[39]Brewhouse!R5361</f>
        <v>0.10208333333333341</v>
      </c>
      <c r="K12" s="98"/>
    </row>
    <row r="13" spans="2:14" ht="13.8" hidden="1" thickBot="1">
      <c r="B13" s="99"/>
      <c r="C13" s="88" t="str">
        <f>[39]Brewhouse!A5362</f>
        <v>CA239</v>
      </c>
      <c r="D13" s="88">
        <f>[39]Brewhouse!B5362</f>
        <v>41437</v>
      </c>
      <c r="E13" s="89">
        <f>[39]Brewhouse!AG5362</f>
        <v>49.374000000000002</v>
      </c>
      <c r="F13" s="90">
        <f>[39]Brewhouse!T5362</f>
        <v>62</v>
      </c>
      <c r="G13" s="91">
        <f>[39]Brewhouse!I5362</f>
        <v>19</v>
      </c>
      <c r="H13" s="92">
        <f>[39]Brewhouse!AS5362</f>
        <v>95.68502653795305</v>
      </c>
      <c r="I13" s="92">
        <f>[39]Brewhouse!AT5362</f>
        <v>97.793051643192499</v>
      </c>
      <c r="J13" s="93">
        <f>[39]Brewhouse!S5362-[39]Brewhouse!R5362</f>
        <v>0.10416666666666663</v>
      </c>
      <c r="K13" s="98"/>
      <c r="M13" s="100"/>
    </row>
    <row r="14" spans="2:14" ht="13.8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8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8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8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8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4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8" hidden="1" thickBot="1">
      <c r="B21" s="86" t="s">
        <v>66</v>
      </c>
      <c r="C21" s="118"/>
      <c r="D21" s="123" t="s">
        <v>67</v>
      </c>
      <c r="E21" s="124" t="s">
        <v>68</v>
      </c>
      <c r="F21" s="591" t="s">
        <v>69</v>
      </c>
      <c r="G21" s="592"/>
      <c r="H21" s="337"/>
      <c r="I21" s="125"/>
      <c r="J21" s="97"/>
      <c r="K21" s="126" t="s">
        <v>24</v>
      </c>
    </row>
    <row r="22" spans="2:11" ht="13.8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6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[39]Brewhouse!N5359</f>
        <v>60</v>
      </c>
    </row>
    <row r="24" spans="2:11" ht="15.6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[39]Brewhouse!N5360</f>
        <v>60</v>
      </c>
    </row>
    <row r="25" spans="2:11" ht="15.6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[39]Brewhouse!N5361</f>
        <v>60</v>
      </c>
    </row>
    <row r="26" spans="2:11" ht="15.6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[39]Brewhouse!N5362</f>
        <v>60</v>
      </c>
    </row>
    <row r="27" spans="2:11" ht="15.6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6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6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8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8" hidden="1" thickBot="1">
      <c r="F31" s="97"/>
    </row>
    <row r="32" spans="2:11" ht="13.8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8" hidden="1" thickBot="1">
      <c r="B33" s="87" t="s">
        <v>64</v>
      </c>
      <c r="C33" s="145">
        <f>AVERAGE(H10:H13)</f>
        <v>95.4128066154924</v>
      </c>
      <c r="D33" s="146">
        <f>AVERAGE([39]Brewhouse!$AS$5347:$AS$5362)</f>
        <v>96.296241624200576</v>
      </c>
      <c r="E33" s="147">
        <v>96</v>
      </c>
    </row>
    <row r="34" spans="2:15" ht="13.8" hidden="1" thickBot="1">
      <c r="B34" s="99" t="s">
        <v>72</v>
      </c>
      <c r="C34" s="100"/>
      <c r="D34" s="146">
        <f>AVERAGE([40]Brewhouse!$AQ$641:$AQ$644)</f>
        <v>94.359266355846486</v>
      </c>
      <c r="E34" s="147">
        <v>96</v>
      </c>
    </row>
    <row r="35" spans="2:15" ht="13.8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8" hidden="1" thickBot="1">
      <c r="B36" s="148" t="s">
        <v>74</v>
      </c>
      <c r="C36" s="145"/>
      <c r="D36" s="149">
        <f>AVERAGE([41]Brewhouse!$AU$708:$AU$711)</f>
        <v>95.049759132870761</v>
      </c>
      <c r="E36" s="147">
        <v>96</v>
      </c>
    </row>
    <row r="37" spans="2:15" ht="13.8" hidden="1" thickBot="1">
      <c r="B37" s="150" t="s">
        <v>75</v>
      </c>
      <c r="C37" s="145"/>
      <c r="D37" s="151">
        <f>AVERAGE([42]Brewhouse!$AY$943:$AY$946)</f>
        <v>95.307332180967137</v>
      </c>
      <c r="E37" s="147">
        <v>96</v>
      </c>
    </row>
    <row r="38" spans="2:15" ht="13.8" hidden="1" thickBot="1">
      <c r="B38" s="102" t="s">
        <v>76</v>
      </c>
      <c r="C38" s="152"/>
      <c r="D38" s="153"/>
      <c r="E38" s="147">
        <v>96</v>
      </c>
    </row>
    <row r="39" spans="2:15" ht="13.8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4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4.4" hidden="1" thickBot="1">
      <c r="B41" s="5" t="s">
        <v>42</v>
      </c>
      <c r="C41" s="78" t="s">
        <v>78</v>
      </c>
      <c r="D41" s="335"/>
    </row>
    <row r="42" spans="2:15" ht="13.8" hidden="1" thickBot="1"/>
    <row r="43" spans="2:15" ht="12.75" hidden="1" customHeight="1" thickBot="1">
      <c r="B43" s="583" t="s">
        <v>17</v>
      </c>
      <c r="C43" s="585" t="s">
        <v>18</v>
      </c>
      <c r="D43" s="585" t="s">
        <v>44</v>
      </c>
      <c r="E43" s="585" t="s">
        <v>79</v>
      </c>
      <c r="F43" s="585" t="s">
        <v>51</v>
      </c>
      <c r="G43" s="585" t="s">
        <v>48</v>
      </c>
      <c r="H43" s="600" t="s">
        <v>28</v>
      </c>
      <c r="I43" s="601"/>
      <c r="J43" s="601"/>
      <c r="K43" s="589" t="s">
        <v>27</v>
      </c>
    </row>
    <row r="44" spans="2:15" ht="15.75" hidden="1" customHeight="1" thickBot="1">
      <c r="B44" s="596"/>
      <c r="C44" s="597"/>
      <c r="D44" s="597"/>
      <c r="E44" s="597"/>
      <c r="F44" s="597"/>
      <c r="G44" s="597"/>
      <c r="H44" s="602"/>
      <c r="I44" s="603"/>
      <c r="J44" s="603"/>
      <c r="K44" s="593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594"/>
      <c r="I45" s="595"/>
      <c r="J45" s="595"/>
      <c r="K45" s="165"/>
      <c r="L45" s="166"/>
      <c r="N45" s="95"/>
    </row>
    <row r="46" spans="2:15" ht="13.8" hidden="1" thickBot="1">
      <c r="B46" s="99"/>
      <c r="C46" s="160"/>
      <c r="D46" s="167"/>
      <c r="E46" s="163"/>
      <c r="F46" s="168"/>
      <c r="G46" s="162"/>
      <c r="H46" s="604"/>
      <c r="I46" s="605"/>
      <c r="J46" s="605"/>
      <c r="K46" s="169"/>
      <c r="L46" s="166"/>
      <c r="M46" s="97"/>
      <c r="N46" s="95"/>
      <c r="O46" s="100"/>
    </row>
    <row r="47" spans="2:15" ht="13.8" hidden="1" thickBot="1">
      <c r="B47" s="99"/>
      <c r="C47" s="160"/>
      <c r="D47" s="103"/>
      <c r="E47" s="170"/>
      <c r="F47" s="168"/>
      <c r="G47" s="162"/>
      <c r="H47" s="604"/>
      <c r="I47" s="605"/>
      <c r="J47" s="605"/>
      <c r="K47" s="169"/>
    </row>
    <row r="48" spans="2:15" ht="13.8" hidden="1" thickBot="1">
      <c r="B48" s="102"/>
      <c r="C48" s="160"/>
      <c r="D48" s="167"/>
      <c r="E48" s="128"/>
      <c r="F48" s="168"/>
      <c r="G48" s="171"/>
      <c r="H48" s="604"/>
      <c r="I48" s="605"/>
      <c r="J48" s="605"/>
      <c r="K48" s="172"/>
    </row>
    <row r="49" spans="2:11" ht="13.8" hidden="1" thickBot="1">
      <c r="B49" s="101"/>
      <c r="C49" s="160"/>
      <c r="D49" s="167"/>
      <c r="E49" s="170"/>
      <c r="F49" s="163"/>
      <c r="G49" s="162"/>
      <c r="H49" s="598"/>
      <c r="I49" s="599"/>
      <c r="J49" s="599"/>
      <c r="K49" s="172"/>
    </row>
    <row r="50" spans="2:11" ht="13.8" hidden="1" thickBot="1">
      <c r="B50" s="173"/>
      <c r="C50" s="160"/>
      <c r="E50" s="168"/>
      <c r="F50" s="168"/>
      <c r="G50" s="145"/>
      <c r="H50" s="598"/>
      <c r="I50" s="599"/>
      <c r="J50" s="599"/>
      <c r="K50" s="172"/>
    </row>
    <row r="51" spans="2:11" ht="13.8" hidden="1" thickBot="1">
      <c r="B51" s="174"/>
      <c r="C51" s="160"/>
      <c r="D51" s="167"/>
      <c r="E51" s="175"/>
      <c r="F51" s="175"/>
      <c r="G51" s="176"/>
      <c r="H51" s="598"/>
      <c r="I51" s="599"/>
      <c r="J51" s="599"/>
      <c r="K51" s="177"/>
    </row>
    <row r="52" spans="2:11" ht="13.8" hidden="1" thickBot="1">
      <c r="B52" s="178"/>
      <c r="C52" s="179"/>
      <c r="D52" s="180"/>
      <c r="E52" s="181"/>
      <c r="F52" s="181"/>
      <c r="G52" s="182"/>
      <c r="H52" s="606"/>
      <c r="I52" s="607"/>
      <c r="J52" s="607"/>
      <c r="K52" s="183"/>
    </row>
    <row r="53" spans="2:11" ht="13.8" thickBot="1">
      <c r="B53" s="184"/>
      <c r="C53" s="117"/>
      <c r="D53" s="608" t="s">
        <v>80</v>
      </c>
      <c r="E53" s="608"/>
      <c r="F53" s="608"/>
      <c r="G53" s="608"/>
      <c r="H53" s="608"/>
      <c r="I53" s="608"/>
      <c r="J53" s="608"/>
      <c r="K53" s="185"/>
    </row>
    <row r="54" spans="2:11" ht="13.8" thickBot="1">
      <c r="B54" s="609" t="s">
        <v>55</v>
      </c>
      <c r="C54" s="610"/>
      <c r="D54" s="610"/>
      <c r="E54" s="611"/>
      <c r="F54" s="609" t="s">
        <v>56</v>
      </c>
      <c r="G54" s="610"/>
      <c r="H54" s="611"/>
      <c r="I54" s="612" t="s">
        <v>81</v>
      </c>
      <c r="J54" s="613"/>
      <c r="K54" s="614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3.8">
      <c r="B56" s="29" t="s">
        <v>64</v>
      </c>
      <c r="C56" s="191"/>
      <c r="D56" s="76">
        <f>[35]MTD!E5</f>
        <v>6.0261020607020956</v>
      </c>
      <c r="E56" s="192">
        <v>5</v>
      </c>
      <c r="F56" s="191"/>
      <c r="G56" s="76">
        <f>[34]June_2025!AN3</f>
        <v>5.1137179055634423</v>
      </c>
      <c r="H56" s="192">
        <v>5</v>
      </c>
      <c r="I56" s="193"/>
      <c r="J56" s="194">
        <f>[36]June_2025!AN13</f>
        <v>0.533835725677831</v>
      </c>
      <c r="K56" s="195">
        <v>1</v>
      </c>
    </row>
    <row r="57" spans="2:11" ht="13.8">
      <c r="B57" s="33" t="s">
        <v>72</v>
      </c>
      <c r="C57" s="191"/>
      <c r="D57" s="76">
        <f>[35]MTD!E6</f>
        <v>5.2938706361043231</v>
      </c>
      <c r="E57" s="192">
        <v>5</v>
      </c>
      <c r="F57" s="191"/>
      <c r="G57" s="76">
        <f>[34]June_2025!AN4</f>
        <v>4.9189015313071582</v>
      </c>
      <c r="H57" s="192">
        <v>5</v>
      </c>
      <c r="I57" s="196"/>
      <c r="J57" s="194">
        <f>[36]June_2025!AN14</f>
        <v>0.78743483709273177</v>
      </c>
      <c r="K57" s="195">
        <v>1</v>
      </c>
    </row>
    <row r="58" spans="2:11" ht="13.8">
      <c r="B58" s="34" t="s">
        <v>73</v>
      </c>
      <c r="C58" s="191"/>
      <c r="D58" s="76">
        <f>[35]MTD!E7</f>
        <v>12.188365650969537</v>
      </c>
      <c r="E58" s="192">
        <v>5</v>
      </c>
      <c r="F58" s="191"/>
      <c r="G58" s="76">
        <f>[34]June_2025!AN5</f>
        <v>12.44001096804088</v>
      </c>
      <c r="H58" s="192">
        <v>5</v>
      </c>
      <c r="I58" s="196"/>
      <c r="J58" s="194">
        <f>[36]June_2025!AN15</f>
        <v>0.27581871345029241</v>
      </c>
      <c r="K58" s="195">
        <v>1</v>
      </c>
    </row>
    <row r="59" spans="2:11" ht="13.8">
      <c r="B59" s="197" t="s">
        <v>74</v>
      </c>
      <c r="C59" s="191"/>
      <c r="D59" s="76">
        <f>[35]MTD!E8</f>
        <v>10.592686002522056</v>
      </c>
      <c r="E59" s="192">
        <v>3.5</v>
      </c>
      <c r="F59" s="191"/>
      <c r="G59" s="76">
        <f>[34]June_2025!AN6</f>
        <v>10.440711622307923</v>
      </c>
      <c r="H59" s="192">
        <v>3.5</v>
      </c>
      <c r="I59" s="196"/>
      <c r="J59" s="194">
        <f>[36]June_2025!AN16</f>
        <v>0.22480263157894734</v>
      </c>
      <c r="K59" s="195">
        <v>1</v>
      </c>
    </row>
    <row r="60" spans="2:11" ht="14.4" thickBot="1">
      <c r="B60" s="38" t="s">
        <v>160</v>
      </c>
      <c r="C60" s="191"/>
      <c r="D60" s="76" t="e">
        <f>[35]MTD!E9</f>
        <v>#DIV/0!</v>
      </c>
      <c r="E60" s="192">
        <v>3.5</v>
      </c>
      <c r="F60" s="198"/>
      <c r="G60" s="76" t="e">
        <f>[34]June_2025!AN7</f>
        <v>#DIV/0!</v>
      </c>
      <c r="H60" s="192">
        <v>3.5</v>
      </c>
      <c r="I60" s="196"/>
      <c r="J60" s="194" t="e">
        <f>[36]June_2025!AN17</f>
        <v>#DIV/0!</v>
      </c>
      <c r="K60" s="195">
        <v>1</v>
      </c>
    </row>
    <row r="61" spans="2:11" ht="13.8">
      <c r="B61" s="199" t="s">
        <v>76</v>
      </c>
      <c r="C61" s="191"/>
      <c r="D61" s="76">
        <f>[35]MTD!E10</f>
        <v>5.7784145176695159</v>
      </c>
      <c r="E61" s="200">
        <v>5</v>
      </c>
      <c r="F61" s="191"/>
      <c r="G61" s="76">
        <f>[34]June_2025!AN8</f>
        <v>7.6606905670809748</v>
      </c>
      <c r="H61" s="200">
        <v>5</v>
      </c>
      <c r="I61" s="196"/>
      <c r="J61" s="194">
        <f>[36]June_2025!AN18</f>
        <v>0.34614035087719303</v>
      </c>
      <c r="K61" s="195">
        <v>1</v>
      </c>
    </row>
    <row r="62" spans="2:11" ht="13.8">
      <c r="B62" s="201" t="s">
        <v>82</v>
      </c>
      <c r="C62" s="202"/>
      <c r="D62" s="76">
        <f>[35]MTD!E11</f>
        <v>4.8459003682884285</v>
      </c>
      <c r="E62" s="200">
        <v>3.3</v>
      </c>
      <c r="F62" s="202"/>
      <c r="G62" s="76">
        <f>[34]June_2025!AN9</f>
        <v>5.3838407622154936</v>
      </c>
      <c r="H62" s="200">
        <v>3.3</v>
      </c>
      <c r="I62" s="203"/>
      <c r="J62" s="194">
        <f>[36]June_2025!AN19</f>
        <v>0.3445029239766082</v>
      </c>
      <c r="K62" s="204">
        <v>1</v>
      </c>
    </row>
    <row r="63" spans="2:11" ht="14.4" thickBot="1">
      <c r="B63" s="38" t="s">
        <v>128</v>
      </c>
      <c r="C63" s="205"/>
      <c r="D63" s="76" t="e">
        <f>[35]MTD!E12</f>
        <v>#DIV/0!</v>
      </c>
      <c r="E63" s="206">
        <v>3.5</v>
      </c>
      <c r="F63" s="205"/>
      <c r="G63" s="76" t="e">
        <f>[34]June_2025!AN10</f>
        <v>#DIV/0!</v>
      </c>
      <c r="H63" s="206">
        <v>3.5</v>
      </c>
      <c r="I63" s="207"/>
      <c r="J63" s="194" t="e">
        <f>[36]June_2025!AN20</f>
        <v>#DIV/0!</v>
      </c>
      <c r="K63" s="208">
        <v>1</v>
      </c>
    </row>
    <row r="64" spans="2:11" ht="14.4" thickBot="1">
      <c r="B64" s="413" t="s">
        <v>159</v>
      </c>
      <c r="C64" s="198"/>
      <c r="D64" s="76" t="e">
        <f>[35]MTD!E13</f>
        <v>#DIV/0!</v>
      </c>
      <c r="E64" s="192">
        <v>5</v>
      </c>
      <c r="F64" s="198"/>
      <c r="G64" s="76" t="e">
        <f>[34]June_2025!AN11</f>
        <v>#DIV/0!</v>
      </c>
      <c r="H64" s="192">
        <v>5</v>
      </c>
      <c r="I64" s="412"/>
      <c r="J64" s="194">
        <f>[36]June_2025!AN21</f>
        <v>0</v>
      </c>
      <c r="K64" s="208">
        <v>1</v>
      </c>
    </row>
    <row r="65" spans="2:11">
      <c r="B65" s="209"/>
      <c r="C65" s="210"/>
      <c r="D65" s="76">
        <f>[35]MTD!E14</f>
        <v>6.3924883727732693</v>
      </c>
      <c r="E65" s="210"/>
      <c r="F65" s="210"/>
      <c r="G65" s="76">
        <f>[34]June_2025!AN12</f>
        <v>6.267696238695061</v>
      </c>
      <c r="H65" s="211"/>
      <c r="I65" s="212"/>
      <c r="J65" s="194">
        <f>[36]June_2025!AN22</f>
        <v>0.5267863247863247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4" zoomScale="115" zoomScaleNormal="115" workbookViewId="0">
      <selection activeCell="D65" sqref="D65"/>
    </sheetView>
  </sheetViews>
  <sheetFormatPr defaultColWidth="9.44140625" defaultRowHeight="13.2"/>
  <cols>
    <col min="1" max="1" width="9.44140625" style="78"/>
    <col min="2" max="2" width="12.5546875" style="78" customWidth="1"/>
    <col min="3" max="3" width="9.44140625" style="78" customWidth="1"/>
    <col min="4" max="4" width="9.5546875" style="78" customWidth="1"/>
    <col min="5" max="5" width="8.5546875" style="78" customWidth="1"/>
    <col min="6" max="6" width="14.44140625" style="78" customWidth="1"/>
    <col min="7" max="7" width="11.44140625" style="78" customWidth="1"/>
    <col min="8" max="8" width="9.44140625" style="78" bestFit="1" customWidth="1"/>
    <col min="9" max="9" width="11.5546875" style="78" customWidth="1"/>
    <col min="10" max="10" width="11.5546875" style="78" bestFit="1" customWidth="1"/>
    <col min="11" max="11" width="16.44140625" style="78" customWidth="1"/>
    <col min="12" max="12" width="13.44140625" style="78" customWidth="1"/>
    <col min="13" max="16384" width="9.44140625" style="78"/>
  </cols>
  <sheetData>
    <row r="1" spans="2:14" ht="13.8" hidden="1" thickBot="1"/>
    <row r="2" spans="2:14" ht="15.6" hidden="1" thickBot="1">
      <c r="B2" s="581" t="s">
        <v>58</v>
      </c>
      <c r="C2" s="581"/>
      <c r="D2" s="581"/>
      <c r="E2" s="581"/>
      <c r="F2" s="581"/>
      <c r="G2" s="581"/>
      <c r="H2" s="581"/>
      <c r="I2" s="581"/>
      <c r="J2" s="581"/>
      <c r="K2" s="581"/>
    </row>
    <row r="3" spans="2:14" ht="15.6" hidden="1" thickBot="1">
      <c r="B3" s="79"/>
    </row>
    <row r="4" spans="2:14" ht="13.8" hidden="1" thickBot="1">
      <c r="B4" s="78" t="s">
        <v>7</v>
      </c>
      <c r="C4" s="582">
        <v>41431</v>
      </c>
      <c r="D4" s="582"/>
    </row>
    <row r="5" spans="2:14" ht="13.8" hidden="1" thickBot="1">
      <c r="C5" s="78" t="s">
        <v>41</v>
      </c>
    </row>
    <row r="6" spans="2:14" ht="14.4" hidden="1" thickBot="1">
      <c r="B6" s="5" t="s">
        <v>13</v>
      </c>
    </row>
    <row r="7" spans="2:14" ht="13.8" hidden="1" thickBot="1"/>
    <row r="8" spans="2:14" ht="25.5" hidden="1" customHeight="1" thickBot="1">
      <c r="B8" s="583" t="s">
        <v>17</v>
      </c>
      <c r="C8" s="585" t="s">
        <v>18</v>
      </c>
      <c r="D8" s="585" t="s">
        <v>59</v>
      </c>
      <c r="E8" s="80" t="s">
        <v>20</v>
      </c>
      <c r="F8" s="81" t="s">
        <v>21</v>
      </c>
      <c r="G8" s="585" t="s">
        <v>60</v>
      </c>
      <c r="H8" s="585" t="s">
        <v>61</v>
      </c>
      <c r="I8" s="587" t="s">
        <v>62</v>
      </c>
      <c r="J8" s="82" t="s">
        <v>25</v>
      </c>
      <c r="K8" s="589" t="s">
        <v>28</v>
      </c>
    </row>
    <row r="9" spans="2:14" ht="27" hidden="1" thickBot="1">
      <c r="B9" s="584"/>
      <c r="C9" s="586"/>
      <c r="D9" s="586"/>
      <c r="E9" s="83" t="s">
        <v>30</v>
      </c>
      <c r="F9" s="84" t="s">
        <v>63</v>
      </c>
      <c r="G9" s="586"/>
      <c r="H9" s="586"/>
      <c r="I9" s="588"/>
      <c r="J9" s="85" t="s">
        <v>32</v>
      </c>
      <c r="K9" s="590"/>
      <c r="L9" s="86"/>
      <c r="M9" s="86"/>
      <c r="N9" s="86"/>
    </row>
    <row r="10" spans="2:14" ht="13.8" hidden="1" thickBot="1">
      <c r="B10" s="87" t="s">
        <v>64</v>
      </c>
      <c r="C10" s="88" t="str">
        <f>[39]Brewhouse!A5359</f>
        <v>CA236</v>
      </c>
      <c r="D10" s="88">
        <f>[39]Brewhouse!B5359</f>
        <v>41437</v>
      </c>
      <c r="E10" s="89">
        <f>[39]Brewhouse!AG5359</f>
        <v>49.011000000000003</v>
      </c>
      <c r="F10" s="90">
        <f>[39]Brewhouse!T5359</f>
        <v>60</v>
      </c>
      <c r="G10" s="91">
        <f>[39]Brewhouse!I5359</f>
        <v>19.79</v>
      </c>
      <c r="H10" s="92">
        <f>[39]Brewhouse!AS5359</f>
        <v>94.981545664755075</v>
      </c>
      <c r="I10" s="92">
        <f>[39]Brewhouse!AT5359</f>
        <v>97.074072469002047</v>
      </c>
      <c r="J10" s="93">
        <f>[39]Brewhouse!S5359-[39]Brewhouse!R5359</f>
        <v>0.10694444444444451</v>
      </c>
      <c r="K10" s="94"/>
      <c r="N10" s="95"/>
    </row>
    <row r="11" spans="2:14" ht="13.8" hidden="1" thickBot="1">
      <c r="B11" s="96"/>
      <c r="C11" s="88" t="str">
        <f>[39]Brewhouse!A5360</f>
        <v>CA237</v>
      </c>
      <c r="D11" s="88">
        <f>[39]Brewhouse!B5360</f>
        <v>41437</v>
      </c>
      <c r="E11" s="89">
        <f>[39]Brewhouse!AG5360</f>
        <v>48.531999999999996</v>
      </c>
      <c r="F11" s="90">
        <f>[39]Brewhouse!T5360</f>
        <v>68</v>
      </c>
      <c r="G11" s="91">
        <f>[39]Brewhouse!I5360</f>
        <v>17.7</v>
      </c>
      <c r="H11" s="92">
        <f>[39]Brewhouse!AS5360</f>
        <v>94.053260986347809</v>
      </c>
      <c r="I11" s="92">
        <f>[39]Brewhouse!AT5360</f>
        <v>96.1253368644918</v>
      </c>
      <c r="J11" s="93">
        <f>[39]Brewhouse!S5360-[39]Brewhouse!R5360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[39]Brewhouse!A5361</f>
        <v>CA238</v>
      </c>
      <c r="D12" s="88">
        <f>[39]Brewhouse!B5361</f>
        <v>41437</v>
      </c>
      <c r="E12" s="89">
        <f>[39]Brewhouse!AG5361</f>
        <v>50.466999999999999</v>
      </c>
      <c r="F12" s="90">
        <f>[39]Brewhouse!T5361</f>
        <v>61</v>
      </c>
      <c r="G12" s="91">
        <f>[39]Brewhouse!I5361</f>
        <v>19.7</v>
      </c>
      <c r="H12" s="92">
        <f>[39]Brewhouse!AS5361</f>
        <v>96.931393272913695</v>
      </c>
      <c r="I12" s="92">
        <f>[39]Brewhouse!AT5361</f>
        <v>99.066876931102286</v>
      </c>
      <c r="J12" s="93">
        <f>[39]Brewhouse!S5361-[39]Brewhouse!R5361</f>
        <v>0.10208333333333341</v>
      </c>
      <c r="K12" s="98"/>
    </row>
    <row r="13" spans="2:14" ht="13.8" hidden="1" thickBot="1">
      <c r="B13" s="99"/>
      <c r="C13" s="88" t="str">
        <f>[39]Brewhouse!A5362</f>
        <v>CA239</v>
      </c>
      <c r="D13" s="88">
        <f>[39]Brewhouse!B5362</f>
        <v>41437</v>
      </c>
      <c r="E13" s="89">
        <f>[39]Brewhouse!AG5362</f>
        <v>49.374000000000002</v>
      </c>
      <c r="F13" s="90">
        <f>[39]Brewhouse!T5362</f>
        <v>62</v>
      </c>
      <c r="G13" s="91">
        <f>[39]Brewhouse!I5362</f>
        <v>19</v>
      </c>
      <c r="H13" s="92">
        <f>[39]Brewhouse!AS5362</f>
        <v>95.68502653795305</v>
      </c>
      <c r="I13" s="92">
        <f>[39]Brewhouse!AT5362</f>
        <v>97.793051643192499</v>
      </c>
      <c r="J13" s="93">
        <f>[39]Brewhouse!S5362-[39]Brewhouse!R5362</f>
        <v>0.10416666666666663</v>
      </c>
      <c r="K13" s="98"/>
      <c r="M13" s="100"/>
    </row>
    <row r="14" spans="2:14" ht="13.8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8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8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8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8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4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8" hidden="1" thickBot="1">
      <c r="B21" s="86" t="s">
        <v>66</v>
      </c>
      <c r="C21" s="118"/>
      <c r="D21" s="123" t="s">
        <v>67</v>
      </c>
      <c r="E21" s="124" t="s">
        <v>68</v>
      </c>
      <c r="F21" s="591" t="s">
        <v>69</v>
      </c>
      <c r="G21" s="592"/>
      <c r="H21" s="337"/>
      <c r="I21" s="125"/>
      <c r="J21" s="97"/>
      <c r="K21" s="126" t="s">
        <v>24</v>
      </c>
    </row>
    <row r="22" spans="2:11" ht="13.8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6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[39]Brewhouse!N5359</f>
        <v>60</v>
      </c>
    </row>
    <row r="24" spans="2:11" ht="15.6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[39]Brewhouse!N5360</f>
        <v>60</v>
      </c>
    </row>
    <row r="25" spans="2:11" ht="15.6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[39]Brewhouse!N5361</f>
        <v>60</v>
      </c>
    </row>
    <row r="26" spans="2:11" ht="15.6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[39]Brewhouse!N5362</f>
        <v>60</v>
      </c>
    </row>
    <row r="27" spans="2:11" ht="15.6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6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6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8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8" hidden="1" thickBot="1">
      <c r="F31" s="97"/>
    </row>
    <row r="32" spans="2:11" ht="13.8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8" hidden="1" thickBot="1">
      <c r="B33" s="87" t="s">
        <v>64</v>
      </c>
      <c r="C33" s="145">
        <f>AVERAGE(H10:H13)</f>
        <v>95.4128066154924</v>
      </c>
      <c r="D33" s="146">
        <f>AVERAGE([39]Brewhouse!$AS$5347:$AS$5362)</f>
        <v>96.296241624200576</v>
      </c>
      <c r="E33" s="147">
        <v>96</v>
      </c>
    </row>
    <row r="34" spans="2:15" ht="13.8" hidden="1" thickBot="1">
      <c r="B34" s="99" t="s">
        <v>72</v>
      </c>
      <c r="C34" s="100"/>
      <c r="D34" s="146">
        <f>AVERAGE([40]Brewhouse!$AQ$641:$AQ$644)</f>
        <v>94.359266355846486</v>
      </c>
      <c r="E34" s="147">
        <v>96</v>
      </c>
    </row>
    <row r="35" spans="2:15" ht="13.8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8" hidden="1" thickBot="1">
      <c r="B36" s="148" t="s">
        <v>74</v>
      </c>
      <c r="C36" s="145"/>
      <c r="D36" s="149">
        <f>AVERAGE([41]Brewhouse!$AU$708:$AU$711)</f>
        <v>95.049759132870761</v>
      </c>
      <c r="E36" s="147">
        <v>96</v>
      </c>
    </row>
    <row r="37" spans="2:15" ht="13.8" hidden="1" thickBot="1">
      <c r="B37" s="150" t="s">
        <v>75</v>
      </c>
      <c r="C37" s="145"/>
      <c r="D37" s="151">
        <f>AVERAGE([42]Brewhouse!$AY$943:$AY$946)</f>
        <v>95.307332180967137</v>
      </c>
      <c r="E37" s="147">
        <v>96</v>
      </c>
    </row>
    <row r="38" spans="2:15" ht="13.8" hidden="1" thickBot="1">
      <c r="B38" s="102" t="s">
        <v>76</v>
      </c>
      <c r="C38" s="152"/>
      <c r="D38" s="153"/>
      <c r="E38" s="147">
        <v>96</v>
      </c>
    </row>
    <row r="39" spans="2:15" ht="13.8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4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4.4" hidden="1" thickBot="1">
      <c r="B41" s="5" t="s">
        <v>42</v>
      </c>
      <c r="C41" s="78" t="s">
        <v>78</v>
      </c>
      <c r="D41" s="335"/>
    </row>
    <row r="42" spans="2:15" ht="13.8" hidden="1" thickBot="1"/>
    <row r="43" spans="2:15" ht="12.75" hidden="1" customHeight="1" thickBot="1">
      <c r="B43" s="583" t="s">
        <v>17</v>
      </c>
      <c r="C43" s="585" t="s">
        <v>18</v>
      </c>
      <c r="D43" s="585" t="s">
        <v>44</v>
      </c>
      <c r="E43" s="585" t="s">
        <v>79</v>
      </c>
      <c r="F43" s="585" t="s">
        <v>51</v>
      </c>
      <c r="G43" s="585" t="s">
        <v>48</v>
      </c>
      <c r="H43" s="600" t="s">
        <v>28</v>
      </c>
      <c r="I43" s="601"/>
      <c r="J43" s="601"/>
      <c r="K43" s="589" t="s">
        <v>27</v>
      </c>
    </row>
    <row r="44" spans="2:15" ht="15.75" hidden="1" customHeight="1" thickBot="1">
      <c r="B44" s="596"/>
      <c r="C44" s="597"/>
      <c r="D44" s="597"/>
      <c r="E44" s="597"/>
      <c r="F44" s="597"/>
      <c r="G44" s="597"/>
      <c r="H44" s="602"/>
      <c r="I44" s="603"/>
      <c r="J44" s="603"/>
      <c r="K44" s="593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594"/>
      <c r="I45" s="595"/>
      <c r="J45" s="595"/>
      <c r="K45" s="165"/>
      <c r="L45" s="166"/>
      <c r="N45" s="95"/>
    </row>
    <row r="46" spans="2:15" ht="13.8" hidden="1" thickBot="1">
      <c r="B46" s="99"/>
      <c r="C46" s="160"/>
      <c r="D46" s="167"/>
      <c r="E46" s="163"/>
      <c r="F46" s="168"/>
      <c r="G46" s="162"/>
      <c r="H46" s="604"/>
      <c r="I46" s="605"/>
      <c r="J46" s="605"/>
      <c r="K46" s="169"/>
      <c r="L46" s="166"/>
      <c r="M46" s="97"/>
      <c r="N46" s="95"/>
      <c r="O46" s="100"/>
    </row>
    <row r="47" spans="2:15" ht="13.8" hidden="1" thickBot="1">
      <c r="B47" s="99"/>
      <c r="C47" s="160"/>
      <c r="D47" s="103"/>
      <c r="E47" s="170"/>
      <c r="F47" s="168"/>
      <c r="G47" s="162"/>
      <c r="H47" s="604"/>
      <c r="I47" s="605"/>
      <c r="J47" s="605"/>
      <c r="K47" s="169"/>
    </row>
    <row r="48" spans="2:15" ht="13.8" hidden="1" thickBot="1">
      <c r="B48" s="102"/>
      <c r="C48" s="160"/>
      <c r="D48" s="167"/>
      <c r="E48" s="128"/>
      <c r="F48" s="168"/>
      <c r="G48" s="171"/>
      <c r="H48" s="604"/>
      <c r="I48" s="605"/>
      <c r="J48" s="605"/>
      <c r="K48" s="172"/>
    </row>
    <row r="49" spans="2:11" ht="13.8" hidden="1" thickBot="1">
      <c r="B49" s="101"/>
      <c r="C49" s="160"/>
      <c r="D49" s="167"/>
      <c r="E49" s="170"/>
      <c r="F49" s="163"/>
      <c r="G49" s="162"/>
      <c r="H49" s="598"/>
      <c r="I49" s="599"/>
      <c r="J49" s="599"/>
      <c r="K49" s="172"/>
    </row>
    <row r="50" spans="2:11" ht="13.8" hidden="1" thickBot="1">
      <c r="B50" s="173"/>
      <c r="C50" s="160"/>
      <c r="E50" s="168"/>
      <c r="F50" s="168"/>
      <c r="G50" s="145"/>
      <c r="H50" s="598"/>
      <c r="I50" s="599"/>
      <c r="J50" s="599"/>
      <c r="K50" s="172"/>
    </row>
    <row r="51" spans="2:11" ht="13.8" hidden="1" thickBot="1">
      <c r="B51" s="174"/>
      <c r="C51" s="160"/>
      <c r="D51" s="167"/>
      <c r="E51" s="175"/>
      <c r="F51" s="175"/>
      <c r="G51" s="176"/>
      <c r="H51" s="598"/>
      <c r="I51" s="599"/>
      <c r="J51" s="599"/>
      <c r="K51" s="177"/>
    </row>
    <row r="52" spans="2:11" ht="13.8" hidden="1" thickBot="1">
      <c r="B52" s="178"/>
      <c r="C52" s="179"/>
      <c r="D52" s="180"/>
      <c r="E52" s="181"/>
      <c r="F52" s="181"/>
      <c r="G52" s="182"/>
      <c r="H52" s="606"/>
      <c r="I52" s="607"/>
      <c r="J52" s="607"/>
      <c r="K52" s="183"/>
    </row>
    <row r="53" spans="2:11" ht="13.8" thickBot="1">
      <c r="B53" s="184"/>
      <c r="C53" s="117"/>
      <c r="D53" s="608" t="s">
        <v>80</v>
      </c>
      <c r="E53" s="608"/>
      <c r="F53" s="608"/>
      <c r="G53" s="608"/>
      <c r="H53" s="608"/>
      <c r="I53" s="608"/>
      <c r="J53" s="608"/>
      <c r="K53" s="185"/>
    </row>
    <row r="54" spans="2:11" ht="13.8" thickBot="1">
      <c r="B54" s="609" t="s">
        <v>55</v>
      </c>
      <c r="C54" s="610"/>
      <c r="D54" s="610"/>
      <c r="E54" s="611"/>
      <c r="F54" s="609" t="s">
        <v>56</v>
      </c>
      <c r="G54" s="610"/>
      <c r="H54" s="611"/>
      <c r="I54" s="612" t="s">
        <v>81</v>
      </c>
      <c r="J54" s="613"/>
      <c r="K54" s="614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3.8">
      <c r="B56" s="29" t="s">
        <v>64</v>
      </c>
      <c r="C56" s="191"/>
      <c r="D56" s="76">
        <f>'[35]YTD 2025'!E5</f>
        <v>6.5580786060420548</v>
      </c>
      <c r="E56" s="192">
        <v>5</v>
      </c>
      <c r="F56" s="191"/>
      <c r="G56" s="76">
        <f>[34]June_2025!AQ3</f>
        <v>6.5267749304402933</v>
      </c>
      <c r="H56" s="192">
        <v>5</v>
      </c>
      <c r="I56" s="193"/>
      <c r="J56" s="194">
        <f>[36]June_2025!AQ13</f>
        <v>0.72065979536710689</v>
      </c>
      <c r="K56" s="195">
        <v>1</v>
      </c>
    </row>
    <row r="57" spans="2:11" ht="13.8">
      <c r="B57" s="33" t="s">
        <v>72</v>
      </c>
      <c r="C57" s="191"/>
      <c r="D57" s="76">
        <f>'[35]YTD 2025'!E6</f>
        <v>6.1113657946887594</v>
      </c>
      <c r="E57" s="192">
        <v>5</v>
      </c>
      <c r="F57" s="191"/>
      <c r="G57" s="76">
        <f>[34]June_2025!AQ4</f>
        <v>5.9309257123728454</v>
      </c>
      <c r="H57" s="192">
        <v>5</v>
      </c>
      <c r="I57" s="196"/>
      <c r="J57" s="194">
        <f>[36]June_2025!AQ14</f>
        <v>0.76031080132037965</v>
      </c>
      <c r="K57" s="195">
        <v>1</v>
      </c>
    </row>
    <row r="58" spans="2:11" ht="13.8">
      <c r="B58" s="34" t="s">
        <v>73</v>
      </c>
      <c r="C58" s="191"/>
      <c r="D58" s="76">
        <f>'[35]YTD 2025'!E7</f>
        <v>11.96027372373279</v>
      </c>
      <c r="E58" s="192">
        <v>5</v>
      </c>
      <c r="F58" s="191"/>
      <c r="G58" s="76">
        <f>[34]June_2025!AQ5</f>
        <v>13.111031100634913</v>
      </c>
      <c r="H58" s="192">
        <v>5</v>
      </c>
      <c r="I58" s="196"/>
      <c r="J58" s="194">
        <f>[36]June_2025!AQ15</f>
        <v>0.4869398559932232</v>
      </c>
      <c r="K58" s="195">
        <v>1</v>
      </c>
    </row>
    <row r="59" spans="2:11" ht="13.8">
      <c r="B59" s="197" t="s">
        <v>74</v>
      </c>
      <c r="C59" s="191"/>
      <c r="D59" s="76">
        <f>'[35]YTD 2025'!E8</f>
        <v>5.4214697406339898</v>
      </c>
      <c r="E59" s="192">
        <v>3.5</v>
      </c>
      <c r="F59" s="191"/>
      <c r="G59" s="76">
        <f>[34]June_2025!AQ6</f>
        <v>5.263029001952213</v>
      </c>
      <c r="H59" s="192">
        <v>3.5</v>
      </c>
      <c r="I59" s="196"/>
      <c r="J59" s="194">
        <f>[36]June_2025!AQ16</f>
        <v>0.6919486215538847</v>
      </c>
      <c r="K59" s="195">
        <v>1</v>
      </c>
    </row>
    <row r="60" spans="2:11" ht="14.4" thickBot="1">
      <c r="B60" s="38" t="s">
        <v>160</v>
      </c>
      <c r="C60" s="191"/>
      <c r="D60" s="76" t="e">
        <f>'[35]YTD 2025'!E9</f>
        <v>#DIV/0!</v>
      </c>
      <c r="E60" s="192">
        <v>3.5</v>
      </c>
      <c r="F60" s="198"/>
      <c r="G60" s="76" t="e">
        <f>[34]June_2025!AQ7</f>
        <v>#DIV/0!</v>
      </c>
      <c r="H60" s="192">
        <v>3.5</v>
      </c>
      <c r="I60" s="196"/>
      <c r="J60" s="194" t="e">
        <f>[36]June_2025!AQ17</f>
        <v>#DIV/0!</v>
      </c>
      <c r="K60" s="195">
        <v>1</v>
      </c>
    </row>
    <row r="61" spans="2:11" ht="13.8">
      <c r="B61" s="199" t="s">
        <v>76</v>
      </c>
      <c r="C61" s="191"/>
      <c r="D61" s="76">
        <f>'[35]YTD 2025'!E10</f>
        <v>7.3129862357869699</v>
      </c>
      <c r="E61" s="200">
        <v>5</v>
      </c>
      <c r="F61" s="191"/>
      <c r="G61" s="76">
        <f>[34]June_2025!AQ8</f>
        <v>8.9862703283331644</v>
      </c>
      <c r="H61" s="200">
        <v>5</v>
      </c>
      <c r="I61" s="196"/>
      <c r="J61" s="194">
        <f>[36]June_2025!AQ18</f>
        <v>0.59276315789473688</v>
      </c>
      <c r="K61" s="195">
        <v>1</v>
      </c>
    </row>
    <row r="62" spans="2:11" ht="13.8">
      <c r="B62" s="201" t="s">
        <v>82</v>
      </c>
      <c r="C62" s="202"/>
      <c r="D62" s="76">
        <f>'[35]YTD 2025'!E11</f>
        <v>3.1283185840707883</v>
      </c>
      <c r="E62" s="200">
        <v>3.3</v>
      </c>
      <c r="F62" s="202"/>
      <c r="G62" s="76">
        <f>[34]June_2025!AQ9</f>
        <v>4.671657298145214</v>
      </c>
      <c r="H62" s="200">
        <v>3.3</v>
      </c>
      <c r="I62" s="203"/>
      <c r="J62" s="194">
        <f>[36]June_2025!AQ19</f>
        <v>0.70412549019607829</v>
      </c>
      <c r="K62" s="204">
        <v>1</v>
      </c>
    </row>
    <row r="63" spans="2:11" ht="14.4" thickBot="1">
      <c r="B63" s="38" t="s">
        <v>128</v>
      </c>
      <c r="C63" s="205"/>
      <c r="D63" s="76" t="e">
        <f>'[35]YTD 2025'!E12</f>
        <v>#DIV/0!</v>
      </c>
      <c r="E63" s="206">
        <v>3.5</v>
      </c>
      <c r="F63" s="205"/>
      <c r="G63" s="76" t="e">
        <f>[34]June_2025!AQ10</f>
        <v>#DIV/0!</v>
      </c>
      <c r="H63" s="206">
        <v>3.5</v>
      </c>
      <c r="I63" s="207"/>
      <c r="J63" s="194" t="e">
        <f>[36]June_2025!AQ20</f>
        <v>#DIV/0!</v>
      </c>
      <c r="K63" s="208">
        <v>1</v>
      </c>
    </row>
    <row r="64" spans="2:11" ht="14.4" thickBot="1">
      <c r="B64" s="413" t="s">
        <v>159</v>
      </c>
      <c r="C64" s="205"/>
      <c r="D64" s="76">
        <f>'[35]YTD 2025'!E13</f>
        <v>4.8792508624938291</v>
      </c>
      <c r="E64" s="206">
        <v>5</v>
      </c>
      <c r="F64" s="205"/>
      <c r="G64" s="76">
        <f>[34]June_2025!AQ11</f>
        <v>6.2003723782925313</v>
      </c>
      <c r="H64" s="206">
        <v>5</v>
      </c>
      <c r="I64" s="207"/>
      <c r="J64" s="194">
        <f>[36]June_2025!AQ21</f>
        <v>0.33859649122807017</v>
      </c>
      <c r="K64" s="208">
        <v>1</v>
      </c>
    </row>
    <row r="65" spans="2:11">
      <c r="B65" s="209"/>
      <c r="C65" s="210"/>
      <c r="D65" s="76">
        <f>'[35]YTD 2025'!E14</f>
        <v>6.6093848496397474</v>
      </c>
      <c r="E65" s="210"/>
      <c r="F65" s="210"/>
      <c r="G65" s="76">
        <f>[34]June_2025!AQ12</f>
        <v>6.9045145451869727</v>
      </c>
      <c r="H65" s="211"/>
      <c r="I65" s="212"/>
      <c r="J65" s="194">
        <f>[36]June_2025!AQ22</f>
        <v>0.68182278056951429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H52:J52"/>
    <mergeCell ref="D53:J53"/>
    <mergeCell ref="B54:E54"/>
    <mergeCell ref="F54:H54"/>
    <mergeCell ref="I54:K5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F21:G21"/>
    <mergeCell ref="K43:K44"/>
    <mergeCell ref="H45:J45"/>
    <mergeCell ref="B43:B44"/>
    <mergeCell ref="C43:C44"/>
    <mergeCell ref="D43:D44"/>
    <mergeCell ref="E43:E44"/>
    <mergeCell ref="B2:K2"/>
    <mergeCell ref="C4:D4"/>
    <mergeCell ref="B8:B9"/>
    <mergeCell ref="C8:C9"/>
    <mergeCell ref="D8:D9"/>
    <mergeCell ref="G8:G9"/>
    <mergeCell ref="H8:H9"/>
    <mergeCell ref="I8:I9"/>
    <mergeCell ref="K8:K9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3.2"/>
  <cols>
    <col min="2" max="2" width="9.5546875" customWidth="1"/>
    <col min="3" max="3" width="11" customWidth="1"/>
    <col min="4" max="4" width="13.5546875" customWidth="1"/>
    <col min="5" max="5" width="15.5546875" customWidth="1"/>
    <col min="11" max="11" width="10.44140625" bestFit="1" customWidth="1"/>
    <col min="12" max="12" width="15.44140625" bestFit="1" customWidth="1"/>
    <col min="13" max="13" width="12.332031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6">
      <c r="A2" s="215"/>
      <c r="B2" s="615" t="s">
        <v>34</v>
      </c>
      <c r="C2" s="615"/>
      <c r="D2" s="615"/>
      <c r="E2" s="215"/>
      <c r="F2" s="215"/>
      <c r="G2" s="215"/>
      <c r="H2" s="215"/>
      <c r="I2" s="215"/>
      <c r="J2" s="215"/>
      <c r="K2" s="215"/>
    </row>
    <row r="3" spans="1:13" s="219" customFormat="1" ht="15.6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6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6">
      <c r="A14" s="215"/>
      <c r="B14" s="615" t="s">
        <v>100</v>
      </c>
      <c r="C14" s="615"/>
      <c r="D14" s="615"/>
      <c r="E14" s="215"/>
      <c r="F14" s="215"/>
      <c r="G14" s="215"/>
      <c r="H14" s="215"/>
      <c r="I14" s="215"/>
      <c r="J14" s="215"/>
      <c r="K14" s="215"/>
    </row>
    <row r="15" spans="1:13" ht="15.6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6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6">
      <c r="A27" s="215"/>
      <c r="B27" s="615" t="s">
        <v>101</v>
      </c>
      <c r="C27" s="615"/>
      <c r="D27" s="615"/>
      <c r="E27" s="215"/>
      <c r="F27" s="215"/>
      <c r="G27" s="215"/>
      <c r="H27" s="215"/>
      <c r="I27" s="215"/>
      <c r="J27" s="215"/>
      <c r="K27" s="215"/>
    </row>
    <row r="28" spans="1:13" ht="15.6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6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3.2"/>
  <cols>
    <col min="1" max="1" width="2.44140625" customWidth="1"/>
    <col min="2" max="2" width="6.44140625" customWidth="1"/>
    <col min="3" max="3" width="25.44140625" customWidth="1"/>
    <col min="4" max="4" width="19.44140625" customWidth="1"/>
    <col min="5" max="5" width="15" customWidth="1"/>
    <col min="6" max="6" width="17.5546875" customWidth="1"/>
    <col min="7" max="7" width="13.44140625" customWidth="1"/>
    <col min="8" max="11" width="13.5546875" customWidth="1"/>
    <col min="12" max="12" width="17.44140625" bestFit="1" customWidth="1"/>
    <col min="13" max="15" width="17.44140625" customWidth="1"/>
    <col min="16" max="16" width="13.44140625" customWidth="1"/>
    <col min="17" max="17" width="8.5546875" customWidth="1"/>
    <col min="18" max="20" width="11.5546875" customWidth="1"/>
  </cols>
  <sheetData>
    <row r="2" spans="3:23" ht="1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617" t="s">
        <v>102</v>
      </c>
      <c r="D3" s="618"/>
      <c r="E3" s="619">
        <f ca="1">TODAY()</f>
        <v>45867</v>
      </c>
      <c r="F3" s="619"/>
      <c r="G3" s="619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8.600000000000001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620" t="s">
        <v>143</v>
      </c>
      <c r="D14" s="620"/>
      <c r="E14" s="620"/>
      <c r="F14" s="620"/>
      <c r="G14" s="620"/>
      <c r="H14" s="620"/>
    </row>
    <row r="15" spans="3:23" ht="15" customHeight="1">
      <c r="C15" s="620"/>
      <c r="D15" s="620"/>
      <c r="E15" s="620"/>
      <c r="F15" s="620"/>
      <c r="G15" s="620"/>
      <c r="H15" s="620"/>
    </row>
    <row r="16" spans="3:23" ht="15" customHeight="1">
      <c r="C16" s="620"/>
      <c r="D16" s="620"/>
      <c r="E16" s="620"/>
      <c r="F16" s="620"/>
      <c r="G16" s="620"/>
      <c r="H16" s="620"/>
    </row>
    <row r="17" spans="3:8" ht="15" customHeight="1">
      <c r="C17" s="620"/>
      <c r="D17" s="620"/>
      <c r="E17" s="620"/>
      <c r="F17" s="620"/>
      <c r="G17" s="620"/>
      <c r="H17" s="620"/>
    </row>
    <row r="18" spans="3:8" ht="15" customHeight="1">
      <c r="C18" s="620"/>
      <c r="D18" s="620"/>
      <c r="E18" s="620"/>
      <c r="F18" s="620"/>
      <c r="G18" s="620"/>
      <c r="H18" s="620"/>
    </row>
    <row r="19" spans="3:8" ht="15" customHeight="1">
      <c r="C19" s="620"/>
      <c r="D19" s="620"/>
      <c r="E19" s="620"/>
      <c r="F19" s="620"/>
      <c r="G19" s="620"/>
      <c r="H19" s="620"/>
    </row>
    <row r="20" spans="3:8" ht="15" customHeight="1">
      <c r="C20" s="620"/>
      <c r="D20" s="620"/>
      <c r="E20" s="620"/>
      <c r="F20" s="620"/>
      <c r="G20" s="620"/>
      <c r="H20" s="620"/>
    </row>
    <row r="21" spans="3:8" ht="15" customHeight="1">
      <c r="C21" s="620"/>
      <c r="D21" s="620"/>
      <c r="E21" s="620"/>
      <c r="F21" s="620"/>
      <c r="G21" s="620"/>
      <c r="H21" s="620"/>
    </row>
    <row r="22" spans="3:8" ht="15" customHeight="1">
      <c r="C22" s="620"/>
      <c r="D22" s="620"/>
      <c r="E22" s="620"/>
      <c r="F22" s="620"/>
      <c r="G22" s="620"/>
      <c r="H22" s="620"/>
    </row>
    <row r="23" spans="3:8" ht="15" customHeight="1">
      <c r="C23" s="620"/>
      <c r="D23" s="620"/>
      <c r="E23" s="620"/>
      <c r="F23" s="620"/>
      <c r="G23" s="620"/>
      <c r="H23" s="620"/>
    </row>
    <row r="24" spans="3:8" ht="15" customHeight="1">
      <c r="C24" s="620"/>
      <c r="D24" s="620"/>
      <c r="E24" s="620"/>
      <c r="F24" s="620"/>
      <c r="G24" s="620"/>
      <c r="H24" s="620"/>
    </row>
    <row r="25" spans="3:8" ht="15" customHeight="1">
      <c r="C25" s="620"/>
      <c r="D25" s="620"/>
      <c r="E25" s="620"/>
      <c r="F25" s="620"/>
      <c r="G25" s="620"/>
      <c r="H25" s="620"/>
    </row>
    <row r="26" spans="3:8" ht="15" customHeight="1">
      <c r="C26" s="620"/>
      <c r="D26" s="620"/>
      <c r="E26" s="620"/>
      <c r="F26" s="620"/>
      <c r="G26" s="620"/>
      <c r="H26" s="620"/>
    </row>
    <row r="27" spans="3:8" ht="15" customHeight="1">
      <c r="C27" s="620"/>
      <c r="D27" s="620"/>
      <c r="E27" s="620"/>
      <c r="F27" s="620"/>
      <c r="G27" s="620"/>
      <c r="H27" s="620"/>
    </row>
    <row r="28" spans="3:8" ht="15" customHeight="1">
      <c r="C28" s="620"/>
      <c r="D28" s="620"/>
      <c r="E28" s="620"/>
      <c r="F28" s="620"/>
      <c r="G28" s="620"/>
      <c r="H28" s="620"/>
    </row>
    <row r="29" spans="3:8" ht="15" customHeight="1">
      <c r="C29" s="620"/>
      <c r="D29" s="620"/>
      <c r="E29" s="620"/>
      <c r="F29" s="620"/>
      <c r="G29" s="620"/>
      <c r="H29" s="620"/>
    </row>
    <row r="30" spans="3:8" ht="15" customHeight="1">
      <c r="C30" s="620"/>
      <c r="D30" s="620"/>
      <c r="E30" s="620"/>
      <c r="F30" s="620"/>
      <c r="G30" s="620"/>
      <c r="H30" s="620"/>
    </row>
    <row r="31" spans="3:8" ht="15" customHeight="1">
      <c r="C31" s="620"/>
      <c r="D31" s="620"/>
      <c r="E31" s="620"/>
      <c r="F31" s="620"/>
      <c r="G31" s="620"/>
      <c r="H31" s="620"/>
    </row>
    <row r="36" spans="2:17" ht="15" customHeight="1"/>
    <row r="37" spans="2:17" ht="15" customHeight="1"/>
    <row r="38" spans="2:17" ht="30.75" customHeight="1" thickBot="1">
      <c r="C38" s="621" t="s">
        <v>109</v>
      </c>
      <c r="D38" s="621"/>
      <c r="E38" s="621"/>
      <c r="F38" s="622">
        <f ca="1">TODAY()</f>
        <v>45867</v>
      </c>
      <c r="G38" s="622"/>
      <c r="H38" s="622"/>
      <c r="I38" s="622"/>
      <c r="J38" s="623" t="s">
        <v>110</v>
      </c>
      <c r="K38" s="623"/>
      <c r="L38" s="623"/>
      <c r="M38" s="623"/>
      <c r="N38" s="623"/>
      <c r="O38" s="623"/>
      <c r="P38" s="623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'[43]Brewer Performance'!D40</f>
        <v>96.507822129582451</v>
      </c>
      <c r="E40" s="259">
        <f>AVERAGE('[44]Feb. 1'!I12:I13,'[44]Feb. 2'!I11:I14,[44]Feb.4!I13,[44]Feb.8!I14:I16,[44]Feb.9!I14,[44]Feb.9!I17:I18,[44]Feb10!I13:I16,[44]Feb14!I17,[44]Feb14!I15:I17,[44]Feb17!I10,[44]Feb17!I19:I21,'[44]Feb 21'!I10:I12,'[44]Feb 22'!I11:I13,'[44]Feb 23'!I14:I16,'[44]Feb 24'!I10:I12,'[44]Feb 25'!I13:I15,'[44]Feb 28'!I15:I18)</f>
        <v>98.284801217583563</v>
      </c>
      <c r="F40" s="259">
        <v>98.226686244092193</v>
      </c>
      <c r="G40" s="259">
        <v>98.210530202427222</v>
      </c>
      <c r="H40" s="259">
        <f>'[45]Brewer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'[43]Brewer Performance'!D41</f>
        <v>97.99738587335284</v>
      </c>
      <c r="E41" s="259">
        <f>AVERAGE('[44]Feb. 1'!I10:I11,'[44]Feb. 2'!I10,[44]Feb.3!I11:I13,[44]Feb.4!I10:I12,[44]Feb.8!I10,[44]Feb.8!I13,[44]Feb.9!I10:I13,[44]Feb10!I10:I12,[44]Feb11!I11:I13,[44]Feb14!I13:I14,[44]Feb17!I16:I18,[44]Feb18!I13:I15,'[44]Feb 21'!I17:I19,'[44]Feb 22'!I10,'[44]Feb 22'!I20:I22,'[44]Feb 23'!I10:I11,'[44]Feb 23'!I21,'[44]Feb 25'!I10:I12,'[44]Feb 28'!I11:I14)</f>
        <v>97.918121549662388</v>
      </c>
      <c r="F41" s="259">
        <v>98.070081368185257</v>
      </c>
      <c r="G41" s="259">
        <v>97.79453968977019</v>
      </c>
      <c r="H41" s="259">
        <f>'[45]Brewer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'[43]Brewer Performance'!D43</f>
        <v>98.304611060419475</v>
      </c>
      <c r="E44" s="259">
        <f>AVERAGE('[44]Feb. 2'!I15,[44]Feb.3!I10,[44]Feb.4!I16:I17,[44]Feb.8!I19:I21,[44]Feb.9!I19:I20,[44]Feb10!I17:I18,[44]Feb11!I10,[44]Feb14!I10:I12,[44]Feb17!I11:I13,[44]Feb18!I10:I12,'[44]Feb 21'!I13,'[44]Feb 21'!I16,'[44]Feb 22'!I16:I19,'[44]Feb 23'!I17:I20,'[44]Feb 24'!I15:I18,'[44]Feb 25'!I16:I17,'[44]Feb 28'!I10,'[44]Feb 28'!I19:I20)</f>
        <v>97.289162940824014</v>
      </c>
      <c r="F44" s="259">
        <v>98.163642226187022</v>
      </c>
      <c r="G44" s="259">
        <v>97.964054285784258</v>
      </c>
      <c r="H44" s="259">
        <f>'[45]Brewer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'[43]Brewer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'[43]Brewer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616" t="s">
        <v>123</v>
      </c>
      <c r="C48" s="616"/>
      <c r="D48" s="616"/>
      <c r="E48" s="616"/>
      <c r="F48" s="616"/>
      <c r="G48" s="616"/>
      <c r="H48" s="616"/>
      <c r="I48" s="616"/>
      <c r="J48" s="616"/>
      <c r="K48" s="616"/>
      <c r="L48" s="616"/>
      <c r="M48" s="616"/>
      <c r="N48" s="616"/>
      <c r="O48" s="616"/>
      <c r="P48" s="616"/>
      <c r="Q48" s="616"/>
    </row>
    <row r="49" spans="2:17" ht="15" customHeight="1">
      <c r="B49" s="616"/>
      <c r="C49" s="616"/>
      <c r="D49" s="616"/>
      <c r="E49" s="616"/>
      <c r="F49" s="616"/>
      <c r="G49" s="616"/>
      <c r="H49" s="616"/>
      <c r="I49" s="616"/>
      <c r="J49" s="616"/>
      <c r="K49" s="616"/>
      <c r="L49" s="616"/>
      <c r="M49" s="616"/>
      <c r="N49" s="616"/>
      <c r="O49" s="616"/>
      <c r="P49" s="616"/>
      <c r="Q49" s="616"/>
    </row>
    <row r="50" spans="2:17" ht="15" customHeight="1">
      <c r="B50" s="616"/>
      <c r="C50" s="616"/>
      <c r="D50" s="616"/>
      <c r="E50" s="616"/>
      <c r="F50" s="616"/>
      <c r="G50" s="616"/>
      <c r="H50" s="616"/>
      <c r="I50" s="616"/>
      <c r="J50" s="616"/>
      <c r="K50" s="616"/>
      <c r="L50" s="616"/>
      <c r="M50" s="616"/>
      <c r="N50" s="616"/>
      <c r="O50" s="616"/>
      <c r="P50" s="616"/>
      <c r="Q50" s="616"/>
    </row>
    <row r="51" spans="2:17" ht="15" customHeight="1">
      <c r="B51" s="616"/>
      <c r="C51" s="616"/>
      <c r="D51" s="616"/>
      <c r="E51" s="616"/>
      <c r="F51" s="616"/>
      <c r="G51" s="616"/>
      <c r="H51" s="616"/>
      <c r="I51" s="616"/>
      <c r="J51" s="616"/>
      <c r="K51" s="616"/>
      <c r="L51" s="616"/>
      <c r="M51" s="616"/>
      <c r="N51" s="616"/>
      <c r="O51" s="616"/>
      <c r="P51" s="616"/>
      <c r="Q51" s="616"/>
    </row>
    <row r="52" spans="2:17" ht="15" customHeight="1">
      <c r="B52" s="616"/>
      <c r="C52" s="616"/>
      <c r="D52" s="616"/>
      <c r="E52" s="616"/>
      <c r="F52" s="616"/>
      <c r="G52" s="616"/>
      <c r="H52" s="616"/>
      <c r="I52" s="616"/>
      <c r="J52" s="616"/>
      <c r="K52" s="616"/>
      <c r="L52" s="616"/>
      <c r="M52" s="616"/>
      <c r="N52" s="616"/>
      <c r="O52" s="616"/>
      <c r="P52" s="616"/>
      <c r="Q52" s="616"/>
    </row>
    <row r="53" spans="2:17" ht="15" customHeight="1">
      <c r="B53" s="616"/>
      <c r="C53" s="616"/>
      <c r="D53" s="616"/>
      <c r="E53" s="616"/>
      <c r="F53" s="616"/>
      <c r="G53" s="616"/>
      <c r="H53" s="616"/>
      <c r="I53" s="616"/>
      <c r="J53" s="616"/>
      <c r="K53" s="616"/>
      <c r="L53" s="616"/>
      <c r="M53" s="616"/>
      <c r="N53" s="616"/>
      <c r="O53" s="616"/>
      <c r="P53" s="616"/>
      <c r="Q53" s="616"/>
    </row>
    <row r="54" spans="2:17" ht="15" customHeight="1">
      <c r="B54" s="616"/>
      <c r="C54" s="616"/>
      <c r="D54" s="616"/>
      <c r="E54" s="616"/>
      <c r="F54" s="616"/>
      <c r="G54" s="616"/>
      <c r="H54" s="616"/>
      <c r="I54" s="616"/>
      <c r="J54" s="616"/>
      <c r="K54" s="616"/>
      <c r="L54" s="616"/>
      <c r="M54" s="616"/>
      <c r="N54" s="616"/>
      <c r="O54" s="616"/>
      <c r="P54" s="616"/>
      <c r="Q54" s="616"/>
    </row>
    <row r="55" spans="2:17" ht="15" customHeight="1">
      <c r="B55" s="616"/>
      <c r="C55" s="616"/>
      <c r="D55" s="616"/>
      <c r="E55" s="616"/>
      <c r="F55" s="616"/>
      <c r="G55" s="616"/>
      <c r="H55" s="616"/>
      <c r="I55" s="616"/>
      <c r="J55" s="616"/>
      <c r="K55" s="616"/>
      <c r="L55" s="616"/>
      <c r="M55" s="616"/>
      <c r="N55" s="616"/>
      <c r="O55" s="616"/>
      <c r="P55" s="616"/>
      <c r="Q55" s="616"/>
    </row>
    <row r="56" spans="2:17" ht="15" customHeight="1">
      <c r="B56" s="616"/>
      <c r="C56" s="616"/>
      <c r="D56" s="616"/>
      <c r="E56" s="616"/>
      <c r="F56" s="616"/>
      <c r="G56" s="616"/>
      <c r="H56" s="616"/>
      <c r="I56" s="616"/>
      <c r="J56" s="616"/>
      <c r="K56" s="616"/>
      <c r="L56" s="616"/>
      <c r="M56" s="616"/>
      <c r="N56" s="616"/>
      <c r="O56" s="616"/>
      <c r="P56" s="616"/>
      <c r="Q56" s="616"/>
    </row>
    <row r="57" spans="2:17" ht="15" customHeight="1">
      <c r="B57" s="616"/>
      <c r="C57" s="616"/>
      <c r="D57" s="616"/>
      <c r="E57" s="616"/>
      <c r="F57" s="616"/>
      <c r="G57" s="616"/>
      <c r="H57" s="616"/>
      <c r="I57" s="616"/>
      <c r="J57" s="616"/>
      <c r="K57" s="616"/>
      <c r="L57" s="616"/>
      <c r="M57" s="616"/>
      <c r="N57" s="616"/>
      <c r="O57" s="616"/>
      <c r="P57" s="616"/>
      <c r="Q57" s="616"/>
    </row>
    <row r="58" spans="2:17" ht="15" customHeight="1">
      <c r="B58" s="616"/>
      <c r="C58" s="616"/>
      <c r="D58" s="616"/>
      <c r="E58" s="616"/>
      <c r="F58" s="616"/>
      <c r="G58" s="616"/>
      <c r="H58" s="616"/>
      <c r="I58" s="616"/>
      <c r="J58" s="616"/>
      <c r="K58" s="616"/>
      <c r="L58" s="616"/>
      <c r="M58" s="616"/>
      <c r="N58" s="616"/>
      <c r="O58" s="616"/>
      <c r="P58" s="616"/>
      <c r="Q58" s="616"/>
    </row>
    <row r="59" spans="2:17" ht="15" customHeight="1">
      <c r="B59" s="616"/>
      <c r="C59" s="616"/>
      <c r="D59" s="616"/>
      <c r="E59" s="616"/>
      <c r="F59" s="616"/>
      <c r="G59" s="616"/>
      <c r="H59" s="616"/>
      <c r="I59" s="616"/>
      <c r="J59" s="616"/>
      <c r="K59" s="616"/>
      <c r="L59" s="616"/>
      <c r="M59" s="616"/>
      <c r="N59" s="616"/>
      <c r="O59" s="616"/>
      <c r="P59" s="616"/>
      <c r="Q59" s="616"/>
    </row>
    <row r="60" spans="2:17" ht="15" customHeight="1">
      <c r="B60" s="616"/>
      <c r="C60" s="616"/>
      <c r="D60" s="616"/>
      <c r="E60" s="616"/>
      <c r="F60" s="616"/>
      <c r="G60" s="616"/>
      <c r="H60" s="616"/>
      <c r="I60" s="616"/>
      <c r="J60" s="616"/>
      <c r="K60" s="616"/>
      <c r="L60" s="616"/>
      <c r="M60" s="616"/>
      <c r="N60" s="616"/>
      <c r="O60" s="616"/>
      <c r="P60" s="616"/>
      <c r="Q60" s="616"/>
    </row>
    <row r="61" spans="2:17" ht="15" customHeight="1">
      <c r="B61" s="616"/>
      <c r="C61" s="616"/>
      <c r="D61" s="616"/>
      <c r="E61" s="616"/>
      <c r="F61" s="616"/>
      <c r="G61" s="616"/>
      <c r="H61" s="616"/>
      <c r="I61" s="616"/>
      <c r="J61" s="616"/>
      <c r="K61" s="616"/>
      <c r="L61" s="616"/>
      <c r="M61" s="616"/>
      <c r="N61" s="616"/>
      <c r="O61" s="616"/>
      <c r="P61" s="616"/>
      <c r="Q61" s="616"/>
    </row>
    <row r="62" spans="2:17" ht="15" customHeight="1">
      <c r="B62" s="616"/>
      <c r="C62" s="616"/>
      <c r="D62" s="616"/>
      <c r="E62" s="616"/>
      <c r="F62" s="616"/>
      <c r="G62" s="616"/>
      <c r="H62" s="616"/>
      <c r="I62" s="616"/>
      <c r="J62" s="616"/>
      <c r="K62" s="616"/>
      <c r="L62" s="616"/>
      <c r="M62" s="616"/>
      <c r="N62" s="616"/>
      <c r="O62" s="616"/>
      <c r="P62" s="616"/>
      <c r="Q62" s="616"/>
    </row>
    <row r="63" spans="2:17" ht="15" customHeight="1">
      <c r="B63" s="616"/>
      <c r="C63" s="616"/>
      <c r="D63" s="616"/>
      <c r="E63" s="616"/>
      <c r="F63" s="616"/>
      <c r="G63" s="616"/>
      <c r="H63" s="616"/>
      <c r="I63" s="616"/>
      <c r="J63" s="616"/>
      <c r="K63" s="616"/>
      <c r="L63" s="616"/>
      <c r="M63" s="616"/>
      <c r="N63" s="616"/>
      <c r="O63" s="616"/>
      <c r="P63" s="616"/>
      <c r="Q63" s="616"/>
    </row>
    <row r="64" spans="2:17" ht="15" customHeight="1">
      <c r="B64" s="616"/>
      <c r="C64" s="616"/>
      <c r="D64" s="616"/>
      <c r="E64" s="616"/>
      <c r="F64" s="616"/>
      <c r="G64" s="616"/>
      <c r="H64" s="616"/>
      <c r="I64" s="616"/>
      <c r="J64" s="616"/>
      <c r="K64" s="616"/>
      <c r="L64" s="616"/>
      <c r="M64" s="616"/>
      <c r="N64" s="616"/>
      <c r="O64" s="616"/>
      <c r="P64" s="616"/>
      <c r="Q64" s="616"/>
    </row>
    <row r="65" spans="2:17" ht="15" customHeight="1">
      <c r="B65" s="616"/>
      <c r="C65" s="616"/>
      <c r="D65" s="616"/>
      <c r="E65" s="616"/>
      <c r="F65" s="616"/>
      <c r="G65" s="616"/>
      <c r="H65" s="616"/>
      <c r="I65" s="616"/>
      <c r="J65" s="616"/>
      <c r="K65" s="616"/>
      <c r="L65" s="616"/>
      <c r="M65" s="616"/>
      <c r="N65" s="616"/>
      <c r="O65" s="616"/>
      <c r="P65" s="616"/>
      <c r="Q65" s="616"/>
    </row>
    <row r="66" spans="2:17" ht="15" customHeight="1"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6"/>
      <c r="Q66" s="616"/>
    </row>
    <row r="67" spans="2:17" ht="15" customHeight="1">
      <c r="B67" s="616"/>
      <c r="C67" s="616"/>
      <c r="D67" s="616"/>
      <c r="E67" s="616"/>
      <c r="F67" s="616"/>
      <c r="G67" s="616"/>
      <c r="H67" s="616"/>
      <c r="I67" s="616"/>
      <c r="J67" s="616"/>
      <c r="K67" s="616"/>
      <c r="L67" s="616"/>
      <c r="M67" s="616"/>
      <c r="N67" s="616"/>
      <c r="O67" s="616"/>
      <c r="P67" s="616"/>
      <c r="Q67" s="616"/>
    </row>
    <row r="68" spans="2:17" ht="15" customHeight="1"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6"/>
      <c r="Q68" s="616"/>
    </row>
    <row r="69" spans="2:17" ht="15" customHeight="1">
      <c r="B69" s="616"/>
      <c r="C69" s="616"/>
      <c r="D69" s="616"/>
      <c r="E69" s="616"/>
      <c r="F69" s="616"/>
      <c r="G69" s="616"/>
      <c r="H69" s="616"/>
      <c r="I69" s="616"/>
      <c r="J69" s="616"/>
      <c r="K69" s="616"/>
      <c r="L69" s="616"/>
      <c r="M69" s="616"/>
      <c r="N69" s="616"/>
      <c r="O69" s="616"/>
      <c r="P69" s="616"/>
      <c r="Q69" s="616"/>
    </row>
    <row r="70" spans="2:17" ht="15" customHeight="1"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6"/>
      <c r="Q70" s="616"/>
    </row>
    <row r="71" spans="2:17" ht="15" customHeight="1">
      <c r="B71" s="616"/>
      <c r="C71" s="616"/>
      <c r="D71" s="616"/>
      <c r="E71" s="616"/>
      <c r="F71" s="616"/>
      <c r="G71" s="616"/>
      <c r="H71" s="616"/>
      <c r="I71" s="616"/>
      <c r="J71" s="616"/>
      <c r="K71" s="616"/>
      <c r="L71" s="616"/>
      <c r="M71" s="616"/>
      <c r="N71" s="616"/>
      <c r="O71" s="616"/>
      <c r="P71" s="616"/>
      <c r="Q71" s="616"/>
    </row>
    <row r="72" spans="2:17" ht="15" customHeight="1">
      <c r="B72" s="616"/>
      <c r="C72" s="616"/>
      <c r="D72" s="616"/>
      <c r="E72" s="616"/>
      <c r="F72" s="616"/>
      <c r="G72" s="616"/>
      <c r="H72" s="616"/>
      <c r="I72" s="616"/>
      <c r="J72" s="616"/>
      <c r="K72" s="616"/>
      <c r="L72" s="616"/>
      <c r="M72" s="616"/>
      <c r="N72" s="616"/>
      <c r="O72" s="616"/>
      <c r="P72" s="616"/>
      <c r="Q72" s="616"/>
    </row>
    <row r="73" spans="2:17" ht="15" customHeight="1">
      <c r="B73" s="616"/>
      <c r="C73" s="616"/>
      <c r="D73" s="616"/>
      <c r="E73" s="616"/>
      <c r="F73" s="616"/>
      <c r="G73" s="616"/>
      <c r="H73" s="616"/>
      <c r="I73" s="616"/>
      <c r="J73" s="616"/>
      <c r="K73" s="616"/>
      <c r="L73" s="616"/>
      <c r="M73" s="616"/>
      <c r="N73" s="616"/>
      <c r="O73" s="616"/>
      <c r="P73" s="616"/>
      <c r="Q73" s="616"/>
    </row>
    <row r="74" spans="2:17" ht="15" customHeight="1">
      <c r="B74" s="616"/>
      <c r="C74" s="616"/>
      <c r="D74" s="616"/>
      <c r="E74" s="616"/>
      <c r="F74" s="616"/>
      <c r="G74" s="616"/>
      <c r="H74" s="616"/>
      <c r="I74" s="616"/>
      <c r="J74" s="616"/>
      <c r="K74" s="616"/>
      <c r="L74" s="616"/>
      <c r="M74" s="616"/>
      <c r="N74" s="616"/>
      <c r="O74" s="616"/>
      <c r="P74" s="616"/>
      <c r="Q74" s="616"/>
    </row>
    <row r="75" spans="2:17" ht="15" customHeight="1">
      <c r="B75" s="616"/>
      <c r="C75" s="616"/>
      <c r="D75" s="616"/>
      <c r="E75" s="616"/>
      <c r="F75" s="616"/>
      <c r="G75" s="616"/>
      <c r="H75" s="616"/>
      <c r="I75" s="616"/>
      <c r="J75" s="616"/>
      <c r="K75" s="616"/>
      <c r="L75" s="616"/>
      <c r="M75" s="616"/>
      <c r="N75" s="616"/>
      <c r="O75" s="616"/>
      <c r="P75" s="616"/>
      <c r="Q75" s="616"/>
    </row>
    <row r="76" spans="2:17">
      <c r="B76" s="616"/>
      <c r="C76" s="616"/>
      <c r="D76" s="616"/>
      <c r="E76" s="616"/>
      <c r="F76" s="616"/>
      <c r="G76" s="616"/>
      <c r="H76" s="616"/>
      <c r="I76" s="616"/>
      <c r="J76" s="616"/>
      <c r="K76" s="616"/>
      <c r="L76" s="616"/>
      <c r="M76" s="616"/>
      <c r="N76" s="616"/>
      <c r="O76" s="616"/>
      <c r="P76" s="616"/>
      <c r="Q76" s="616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Dec 18th</vt:lpstr>
      <vt:lpstr>June 2nd</vt:lpstr>
      <vt:lpstr>June 3rd</vt:lpstr>
      <vt:lpstr>June 4th</vt:lpstr>
      <vt:lpstr>June 5th </vt:lpstr>
      <vt:lpstr>June 6th</vt:lpstr>
      <vt:lpstr>June 10th</vt:lpstr>
      <vt:lpstr>June 11th</vt:lpstr>
      <vt:lpstr>June 12th </vt:lpstr>
      <vt:lpstr>June 13th</vt:lpstr>
      <vt:lpstr>June 16th</vt:lpstr>
      <vt:lpstr>June 17th </vt:lpstr>
      <vt:lpstr>June 18th</vt:lpstr>
      <vt:lpstr>June 20th </vt:lpstr>
      <vt:lpstr>June 23rd</vt:lpstr>
      <vt:lpstr>June 24th</vt:lpstr>
      <vt:lpstr>June 25th </vt:lpstr>
      <vt:lpstr>June 26th </vt:lpstr>
      <vt:lpstr>June 27th-29th</vt:lpstr>
      <vt:lpstr>June 30th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Reshelle Fleming</cp:lastModifiedBy>
  <cp:lastPrinted>2024-01-26T11:36:30Z</cp:lastPrinted>
  <dcterms:created xsi:type="dcterms:W3CDTF">2020-01-28T18:21:11Z</dcterms:created>
  <dcterms:modified xsi:type="dcterms:W3CDTF">2025-07-29T11:52:38Z</dcterms:modified>
</cp:coreProperties>
</file>