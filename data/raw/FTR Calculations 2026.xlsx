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A64D67FE-A3F4-447D-9434-C7716544F69D}"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4" l="1"/>
  <c r="L12" i="34"/>
  <c r="L11" i="34"/>
  <c r="L10" i="34"/>
  <c r="L9" i="34"/>
  <c r="L8" i="34"/>
  <c r="K8" i="34"/>
  <c r="L5" i="34"/>
  <c r="L4" i="34"/>
  <c r="L3" i="34"/>
  <c r="L2" i="34"/>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28" i="34" l="1"/>
  <c r="H5" i="16"/>
  <c r="C35" i="23"/>
  <c r="H24" i="17" l="1"/>
  <c r="H10" i="16"/>
  <c r="C9" i="4" l="1"/>
  <c r="G8" i="17" s="1"/>
  <c r="C10" i="4" l="1"/>
  <c r="G9" i="17" s="1"/>
  <c r="C11" i="4"/>
  <c r="G10" i="17" s="1"/>
  <c r="C12" i="4"/>
  <c r="G11" i="17" s="1"/>
  <c r="C7" i="4"/>
  <c r="C8" i="4"/>
  <c r="G7" i="17" s="1"/>
  <c r="G5" i="16" l="1"/>
  <c r="C35" i="4"/>
  <c r="G24" i="17" l="1"/>
  <c r="G10" i="16"/>
  <c r="F39" i="20" l="1"/>
  <c r="F35" i="13"/>
  <c r="F39" i="19"/>
  <c r="D24" i="17" l="1"/>
  <c r="D10" i="16"/>
  <c r="F35" i="23" l="1"/>
  <c r="F35" i="4"/>
  <c r="G25" i="9" l="1"/>
  <c r="F26" i="34" l="1"/>
  <c r="F27" i="34"/>
  <c r="F25" i="34"/>
  <c r="G14" i="9"/>
  <c r="F24" i="34" l="1"/>
  <c r="F28" i="34"/>
  <c r="G17" i="9"/>
  <c r="G19" i="9"/>
  <c r="G18" i="9"/>
  <c r="G21" i="9" l="1"/>
  <c r="G23" i="9"/>
  <c r="G22" i="9"/>
  <c r="G24" i="9"/>
  <c r="G31" i="9" l="1"/>
  <c r="G34" i="9" l="1"/>
  <c r="G35" i="9"/>
  <c r="G33" i="9"/>
  <c r="G30" i="6" l="1"/>
  <c r="G33" i="6" l="1"/>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L21" i="34" l="1"/>
  <c r="L19" i="34"/>
  <c r="L20" i="34"/>
  <c r="L17" i="34"/>
  <c r="L18" i="34"/>
  <c r="L16" i="34"/>
  <c r="C21" i="33"/>
  <c r="C37" i="33" s="1"/>
  <c r="O17" i="34" l="1"/>
  <c r="O21" i="34"/>
  <c r="O19" i="34"/>
  <c r="O20" i="34"/>
  <c r="O18" i="34"/>
  <c r="C25" i="9" l="1"/>
  <c r="O26" i="34" l="1"/>
  <c r="O27" i="34" l="1"/>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I25" i="34" l="1"/>
  <c r="K18" i="34"/>
  <c r="G11" i="34"/>
  <c r="G8" i="34"/>
  <c r="G9" i="34"/>
  <c r="J27" i="34" l="1"/>
  <c r="J26" i="34"/>
  <c r="J25" i="34"/>
  <c r="I27" i="34"/>
  <c r="I26" i="34"/>
  <c r="K19" i="34"/>
  <c r="K21" i="34"/>
  <c r="K16" i="34"/>
  <c r="K17" i="34"/>
  <c r="K20" i="34"/>
  <c r="G3" i="34"/>
  <c r="J24" i="34" l="1"/>
  <c r="J28" i="34"/>
  <c r="I24" i="34"/>
  <c r="I28" i="34"/>
  <c r="G2" i="34"/>
  <c r="G4" i="34"/>
  <c r="J17" i="34" l="1"/>
  <c r="J21" i="34"/>
  <c r="J18" i="34"/>
  <c r="J20" i="34"/>
  <c r="G5" i="34"/>
  <c r="G16" i="34" l="1"/>
  <c r="G21" i="34"/>
  <c r="G19" i="34"/>
  <c r="G20" i="34"/>
  <c r="H3" i="34" l="1"/>
  <c r="J3" i="34" l="1"/>
  <c r="I3" i="34" l="1"/>
  <c r="I5" i="34"/>
  <c r="I2" i="34" l="1"/>
  <c r="J2" i="34"/>
  <c r="H2" i="34"/>
  <c r="I4" i="34"/>
  <c r="D2" i="34"/>
  <c r="H4" i="34"/>
  <c r="J5" i="34" l="1"/>
  <c r="H5" i="34" l="1"/>
  <c r="J4" i="34" l="1"/>
  <c r="C2" i="34" l="1"/>
  <c r="J16" i="34" l="1"/>
  <c r="J19" i="34" l="1"/>
  <c r="I12" i="34" l="1"/>
  <c r="I10" i="34"/>
  <c r="H10" i="34"/>
  <c r="L26" i="34" l="1"/>
  <c r="L27" i="34"/>
  <c r="I13" i="34"/>
  <c r="H11" i="34"/>
  <c r="I11" i="34"/>
  <c r="J8" i="34"/>
  <c r="H9" i="34"/>
  <c r="H12" i="34"/>
  <c r="I9" i="34"/>
  <c r="I8" i="34"/>
  <c r="H13" i="34"/>
  <c r="H8" i="34"/>
  <c r="L25" i="34" l="1"/>
  <c r="L24" i="34"/>
  <c r="L28" i="34"/>
  <c r="J10" i="34"/>
  <c r="J13" i="34" l="1"/>
  <c r="J12" i="34"/>
  <c r="J9" i="34"/>
  <c r="J11" i="34"/>
  <c r="K25" i="34" l="1"/>
  <c r="K27" i="34" l="1"/>
  <c r="K26" i="34"/>
  <c r="K24" i="34" l="1"/>
  <c r="K28" i="34"/>
  <c r="I20" i="34" l="1"/>
  <c r="K13" i="34"/>
  <c r="I16" i="34" l="1"/>
  <c r="I18" i="34"/>
  <c r="K9" i="34"/>
  <c r="K10" i="34"/>
  <c r="K11" i="34"/>
  <c r="K12" i="34"/>
  <c r="I21" i="34" l="1"/>
  <c r="I19" i="34"/>
  <c r="I17" i="34"/>
  <c r="K5" i="34"/>
  <c r="K3" i="34"/>
  <c r="K2" i="34" l="1"/>
  <c r="K4" i="34"/>
  <c r="L40" i="34" l="1"/>
  <c r="L37" i="34"/>
  <c r="L38" i="34"/>
  <c r="L39" i="34"/>
  <c r="L36" i="34"/>
  <c r="L42" i="34" s="1"/>
  <c r="O43" i="34" s="1"/>
  <c r="H18" i="34" l="1"/>
  <c r="H19" i="34"/>
  <c r="H21" i="34"/>
  <c r="H17" i="34"/>
  <c r="H20" i="34"/>
  <c r="H16" i="34"/>
  <c r="F40" i="34" l="1"/>
  <c r="F37" i="34"/>
  <c r="F39" i="34"/>
  <c r="F38" i="34"/>
  <c r="F36" i="34"/>
  <c r="F42" i="34" s="1"/>
  <c r="G27" i="34" l="1"/>
  <c r="G25" i="34"/>
  <c r="G26" i="34"/>
  <c r="G28" i="34" l="1"/>
  <c r="G24" i="34"/>
  <c r="C28" i="34" l="1"/>
  <c r="H27" i="34" l="1"/>
  <c r="H25" i="34"/>
  <c r="H24" i="34"/>
  <c r="H26" i="34"/>
  <c r="I36" i="34" l="1"/>
  <c r="I42" i="34" s="1"/>
  <c r="H39" i="34"/>
  <c r="G36" i="34"/>
  <c r="G42" i="34" s="1"/>
  <c r="H37" i="34"/>
  <c r="H38" i="34"/>
  <c r="H40" i="34"/>
  <c r="H36" i="34"/>
  <c r="H42" i="34" s="1"/>
  <c r="D28" i="34" l="1"/>
  <c r="I39" i="34" l="1"/>
  <c r="I38" i="34" l="1"/>
  <c r="I37" i="34"/>
  <c r="K38" i="34" l="1"/>
  <c r="K37" i="34" l="1"/>
  <c r="K40" i="34"/>
  <c r="K36" i="34"/>
  <c r="K42" i="34" s="1"/>
  <c r="K39" i="34"/>
  <c r="J37" i="34" l="1"/>
  <c r="J36" i="34"/>
  <c r="J42" i="34" s="1"/>
  <c r="J38" i="34" l="1"/>
  <c r="J40" i="34"/>
  <c r="J39" i="34"/>
  <c r="I40" i="34" l="1"/>
  <c r="G38" i="34" l="1"/>
  <c r="G37" i="34"/>
  <c r="G40" i="34"/>
  <c r="G39" i="34"/>
  <c r="E27" i="34" l="1"/>
  <c r="E37" i="34"/>
  <c r="E38" i="34"/>
  <c r="E40" i="34"/>
  <c r="E39" i="34"/>
  <c r="E36" i="34"/>
  <c r="E25" i="34"/>
  <c r="E26" i="34"/>
  <c r="E24" i="34" l="1"/>
  <c r="E42" i="34" s="1"/>
  <c r="E28" i="34"/>
  <c r="D26" i="34" l="1"/>
  <c r="D27" i="34" l="1"/>
  <c r="D25" i="34"/>
  <c r="D24" i="34"/>
  <c r="D39" i="34" l="1"/>
  <c r="D38" i="34"/>
  <c r="D40" i="34"/>
  <c r="D37" i="34"/>
  <c r="D36" i="34"/>
  <c r="D42" i="34" s="1"/>
  <c r="C25" i="34" l="1"/>
  <c r="C26" i="34"/>
  <c r="C24" i="34"/>
  <c r="C27" i="34"/>
  <c r="C40" i="34" l="1"/>
  <c r="C37" i="34"/>
  <c r="C38" i="34"/>
  <c r="C36" i="34"/>
  <c r="C42" i="34" s="1"/>
  <c r="C39" i="34"/>
  <c r="M43" i="34" l="1"/>
  <c r="J43" i="34"/>
  <c r="N43" i="34"/>
  <c r="L43" i="34"/>
  <c r="I43" i="34"/>
  <c r="D43" i="34"/>
  <c r="H43" i="34"/>
  <c r="E43" i="34"/>
  <c r="F43" i="34"/>
  <c r="K43" i="34"/>
  <c r="G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2" authorId="0" shapeId="0" xr:uid="{C0F9EDE1-4E1E-4BEF-99B0-1ED6CF6355C7}">
      <text>
        <r>
          <rPr>
            <b/>
            <sz val="9"/>
            <color indexed="81"/>
            <rFont val="Tahoma"/>
            <family val="2"/>
          </rPr>
          <t>Kaylil Baptiste:</t>
        </r>
        <r>
          <rPr>
            <sz val="9"/>
            <color indexed="81"/>
            <rFont val="Tahoma"/>
            <family val="2"/>
          </rPr>
          <t xml:space="preserve">
80.2</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<sst xmlns="http://schemas.openxmlformats.org/spreadsheetml/2006/main" count="2305" uniqueCount="113">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</sst>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0.9</v>
          </cell>
          <cell r="G1752">
            <v>1</v>
          </cell>
          <cell r="I1752">
            <v>0.9</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1</v>
          </cell>
          <cell r="G505">
            <v>1</v>
          </cell>
          <cell r="I505">
            <v>1</v>
          </cell>
          <cell r="K505">
            <v>1</v>
          </cell>
          <cell r="M505" t="e">
            <v>#DIV/0!</v>
          </cell>
          <cell r="P505" t="e">
            <v>#DIV/0!</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1">
          <cell r="D631">
            <v>1</v>
          </cell>
          <cell r="F631">
            <v>0.8571428571428571</v>
          </cell>
          <cell r="H631">
            <v>1</v>
          </cell>
          <cell r="L631">
            <v>0.8571428571428571</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1</v>
          </cell>
          <cell r="H624">
            <v>1</v>
          </cell>
          <cell r="J624">
            <v>1</v>
          </cell>
          <cell r="L624">
            <v>1</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7" zoomScale="110" zoomScaleNormal="110" workbookViewId="0">
      <selection activeCell="K36" sqref="K36"/>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0.9</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0.9</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1</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t="e">
        <f>'[1]FTR Fermentation'!$P$505</f>
        <v>#DIV/0!</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1</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t="e">
        <f>'[1]FTR Fermentation'!$M$505</f>
        <v>#DIV/0!</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Packaging'!$L$631</f>
        <v>0.8571428571428571</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Packaging'!$F$631</f>
        <v>0.8571428571428571</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Packaging'!$D$631</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Packaging'!$H$631</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Packaging'!$L$631</f>
        <v>0.8571428571428571</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1</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1</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t="e">
        <f>(L2+L8+L16+L24+L31+L36)/5</f>
        <v>#DIV/0!</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t="e">
        <f>AVERAGE($C$42:L42)</f>
        <v>#DIV/0!</v>
      </c>
      <c r="M43" s="144" t="e">
        <f>AVERAGE($C$42:M42)</f>
        <v>#DIV/0!</v>
      </c>
      <c r="N43" s="144" t="e">
        <f>AVERAGE($C$42:N42)</f>
        <v>#DIV/0!</v>
      </c>
      <c r="O43" s="143" t="e">
        <f t="shared" ref="O43" si="2">AVERAGE(L42,M42,N42,O42,K42)</f>
        <v>#DIV/0!</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Onika Lett</cp:lastModifiedBy>
  <cp:lastPrinted>2025-06-03T15:15:49Z</cp:lastPrinted>
  <dcterms:created xsi:type="dcterms:W3CDTF">2017-05-24T17:19:13Z</dcterms:created>
  <dcterms:modified xsi:type="dcterms:W3CDTF">2026-10-06T13:24:06Z</dcterms:modified>
</cp:coreProperties>
</file>