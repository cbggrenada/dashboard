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CB5C2F21-8F20-494F-936C-4862D475A503}"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4" l="1"/>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5" i="16" l="1"/>
  <c r="C35" i="23"/>
  <c r="H24" i="17" l="1"/>
  <c r="H10" i="16"/>
  <c r="C9" i="4" l="1"/>
  <c r="G8" i="17" s="1"/>
  <c r="C10" i="4" l="1"/>
  <c r="G9" i="17" s="1"/>
  <c r="C11" i="4"/>
  <c r="G10" i="17" s="1"/>
  <c r="C12" i="4"/>
  <c r="G11" i="17" s="1"/>
  <c r="C7" i="4"/>
  <c r="C8" i="4"/>
  <c r="G7" i="17" s="1"/>
  <c r="G5" i="16" l="1"/>
  <c r="C35" i="4"/>
  <c r="H28" i="34" l="1"/>
  <c r="G24" i="17"/>
  <c r="G10" i="16"/>
  <c r="F39" i="20" l="1"/>
  <c r="F35" i="13"/>
  <c r="F39" i="19"/>
  <c r="D24" i="17" l="1"/>
  <c r="D10" i="16"/>
  <c r="F35" i="23" l="1"/>
  <c r="F35" i="4"/>
  <c r="G25" i="9" l="1"/>
  <c r="G14" i="9" l="1"/>
  <c r="G17" i="9" l="1"/>
  <c r="G19" i="9"/>
  <c r="G18" i="9"/>
  <c r="G21" i="9" l="1"/>
  <c r="G23" i="9"/>
  <c r="G22" i="9"/>
  <c r="G24" i="9"/>
  <c r="G31" i="9" l="1"/>
  <c r="G34" i="9" l="1"/>
  <c r="G35" i="9"/>
  <c r="G33" i="9"/>
  <c r="F26" i="34" l="1"/>
  <c r="F27" i="34"/>
  <c r="F25" i="34"/>
  <c r="G30" i="6"/>
  <c r="F28" i="34" l="1"/>
  <c r="F24" i="34"/>
  <c r="G33" i="6"/>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C21" i="33" l="1"/>
  <c r="C37" i="33" s="1"/>
  <c r="O17" i="34" l="1"/>
  <c r="O21" i="34"/>
  <c r="O19" i="34"/>
  <c r="O20" i="34"/>
  <c r="O18" i="34"/>
  <c r="C25" i="9" l="1"/>
  <c r="O26" i="34" l="1"/>
  <c r="O27" i="34" l="1"/>
  <c r="O25" i="34"/>
  <c r="M26" i="34"/>
  <c r="M25" i="34"/>
  <c r="M27" i="34"/>
  <c r="C25" i="32" l="1"/>
  <c r="L19" i="34" l="1"/>
  <c r="L21" i="34"/>
  <c r="L18" i="34"/>
  <c r="L16" i="34"/>
  <c r="N26" i="34"/>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K18" i="34" l="1"/>
  <c r="G11" i="34"/>
  <c r="G8" i="34"/>
  <c r="G9" i="34"/>
  <c r="K19" i="34" l="1"/>
  <c r="K21" i="34"/>
  <c r="K16" i="34"/>
  <c r="K17" i="34"/>
  <c r="K20" i="34"/>
  <c r="G3" i="34"/>
  <c r="G2" i="34" l="1"/>
  <c r="G4" i="34"/>
  <c r="I25" i="34" l="1"/>
  <c r="J17" i="34"/>
  <c r="J21" i="34"/>
  <c r="J18" i="34"/>
  <c r="J20" i="34"/>
  <c r="G5" i="34"/>
  <c r="J27" i="34" l="1"/>
  <c r="J26" i="34"/>
  <c r="J25" i="34"/>
  <c r="I27" i="34"/>
  <c r="I26" i="34"/>
  <c r="G16" i="34"/>
  <c r="G21" i="34"/>
  <c r="G19" i="34"/>
  <c r="G20" i="34"/>
  <c r="J24" i="34" l="1"/>
  <c r="J28" i="34"/>
  <c r="I24" i="34"/>
  <c r="I28" i="34"/>
  <c r="H3" i="34"/>
  <c r="J3" i="34" l="1"/>
  <c r="I3" i="34" l="1"/>
  <c r="I5" i="34"/>
  <c r="I2" i="34" l="1"/>
  <c r="J2" i="34"/>
  <c r="H2" i="34"/>
  <c r="I4" i="34"/>
  <c r="D2" i="34"/>
  <c r="H4" i="34"/>
  <c r="J5" i="34" l="1"/>
  <c r="H5" i="34" l="1"/>
  <c r="J4" i="34" l="1"/>
  <c r="C2" i="34" l="1"/>
  <c r="J16" i="34" l="1"/>
  <c r="J19" i="34" l="1"/>
  <c r="I12" i="34" l="1"/>
  <c r="I10" i="34"/>
  <c r="H10" i="34"/>
  <c r="I13" i="34" l="1"/>
  <c r="H11" i="34"/>
  <c r="I11" i="34"/>
  <c r="J8" i="34"/>
  <c r="H9" i="34"/>
  <c r="H12" i="34"/>
  <c r="I9" i="34"/>
  <c r="I8" i="34"/>
  <c r="H13" i="34"/>
  <c r="H8" i="34"/>
  <c r="J10" i="34" l="1"/>
  <c r="J13" i="34" l="1"/>
  <c r="J12" i="34"/>
  <c r="J9" i="34"/>
  <c r="J11" i="34"/>
  <c r="I20" i="34" l="1"/>
  <c r="K13" i="34"/>
  <c r="I16" i="34" l="1"/>
  <c r="I18" i="34"/>
  <c r="K9" i="34"/>
  <c r="K10" i="34"/>
  <c r="K11" i="34"/>
  <c r="K12" i="34"/>
  <c r="K25" i="34" l="1"/>
  <c r="K27" i="34"/>
  <c r="K26" i="34"/>
  <c r="I21" i="34"/>
  <c r="I19" i="34"/>
  <c r="I17" i="34"/>
  <c r="K5" i="34"/>
  <c r="K3" i="34"/>
  <c r="K24" i="34" l="1"/>
  <c r="K28" i="34"/>
  <c r="K2" i="34"/>
  <c r="K4" i="34"/>
  <c r="L40" i="34" l="1"/>
  <c r="L37" i="34"/>
  <c r="L38" i="34"/>
  <c r="L39" i="34"/>
  <c r="L36" i="34"/>
  <c r="H18" i="34" l="1"/>
  <c r="H19" i="34"/>
  <c r="H21" i="34"/>
  <c r="H17" i="34"/>
  <c r="H20" i="34"/>
  <c r="H16" i="34"/>
  <c r="F40" i="34" l="1"/>
  <c r="F37" i="34"/>
  <c r="F39" i="34"/>
  <c r="F38" i="34"/>
  <c r="F36" i="34"/>
  <c r="F42" i="34" s="1"/>
  <c r="L27" i="34" l="1"/>
  <c r="L26" i="34"/>
  <c r="L25" i="34"/>
  <c r="I36" i="34"/>
  <c r="I42" i="34" s="1"/>
  <c r="H39" i="34"/>
  <c r="G36" i="34"/>
  <c r="H37" i="34"/>
  <c r="H38" i="34"/>
  <c r="H40" i="34"/>
  <c r="H36" i="34"/>
  <c r="L24" i="34" l="1"/>
  <c r="L28" i="34"/>
  <c r="I39" i="34"/>
  <c r="I38" i="34" l="1"/>
  <c r="I37" i="34"/>
  <c r="K38" i="34" l="1"/>
  <c r="K37" i="34" l="1"/>
  <c r="K40" i="34"/>
  <c r="J37" i="34" l="1"/>
  <c r="J36" i="34"/>
  <c r="J42" i="34" s="1"/>
  <c r="J38" i="34" l="1"/>
  <c r="J40" i="34"/>
  <c r="J39" i="34"/>
  <c r="I40" i="34" l="1"/>
  <c r="G38" i="34" l="1"/>
  <c r="G37" i="34"/>
  <c r="G40" i="34"/>
  <c r="G39" i="34"/>
  <c r="E37" i="34" l="1"/>
  <c r="E38" i="34"/>
  <c r="E40" i="34"/>
  <c r="E39" i="34"/>
  <c r="E36" i="34"/>
  <c r="D39" i="34" l="1"/>
  <c r="D38" i="34"/>
  <c r="D40" i="34"/>
  <c r="D37" i="34"/>
  <c r="D36" i="34"/>
  <c r="C40" i="34" l="1"/>
  <c r="C37" i="34"/>
  <c r="C38" i="34"/>
  <c r="C36" i="34"/>
  <c r="C39" i="34"/>
  <c r="K36" i="34" l="1"/>
  <c r="K42" i="34" s="1"/>
  <c r="K39" i="34"/>
  <c r="L13" i="34" l="1"/>
  <c r="L12" i="34"/>
  <c r="L8" i="34"/>
  <c r="G27" i="34" l="1"/>
  <c r="G25" i="34"/>
  <c r="G26" i="34"/>
  <c r="G28" i="34" l="1"/>
  <c r="G24" i="34"/>
  <c r="G42" i="34" s="1"/>
  <c r="C28" i="34" l="1"/>
  <c r="H27" i="34" l="1"/>
  <c r="H25" i="34"/>
  <c r="H24" i="34"/>
  <c r="H42" i="34" s="1"/>
  <c r="H26" i="34"/>
  <c r="D28" i="34" l="1"/>
  <c r="E27" i="34" l="1"/>
  <c r="E25" i="34"/>
  <c r="E26" i="34"/>
  <c r="E24" i="34" l="1"/>
  <c r="E42" i="34" s="1"/>
  <c r="E28" i="34"/>
  <c r="D26" i="34" l="1"/>
  <c r="D27" i="34" l="1"/>
  <c r="D25" i="34"/>
  <c r="D24" i="34"/>
  <c r="D42" i="34" s="1"/>
  <c r="C25" i="34" l="1"/>
  <c r="C26" i="34"/>
  <c r="C24" i="34"/>
  <c r="C42" i="34" s="1"/>
  <c r="C27" i="34"/>
  <c r="G43" i="34" l="1"/>
  <c r="K43" i="34"/>
  <c r="F43" i="34"/>
  <c r="E43" i="34"/>
  <c r="D43" i="34"/>
  <c r="H43" i="34"/>
  <c r="I43" i="34"/>
  <c r="J43" i="34"/>
  <c r="L9" i="34" l="1"/>
  <c r="L10" i="34"/>
  <c r="L11" i="34"/>
  <c r="L5" i="34" l="1"/>
  <c r="L3" i="34" l="1"/>
  <c r="L2" i="34" l="1"/>
  <c r="L42" i="34" s="1"/>
  <c r="L43" i="34" s="1"/>
  <c r="L4" i="34"/>
  <c r="O43" i="34" l="1"/>
  <c r="M43" i="34"/>
  <c r="N43" i="34"/>
  <c r="L20" i="34" l="1"/>
  <c r="L17"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<sst xmlns="http://schemas.openxmlformats.org/spreadsheetml/2006/main" count="2305" uniqueCount="113">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</sst>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8">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9" fontId="3" fillId="9" borderId="4" xfId="2" applyFont="1" applyFill="1" applyBorder="1" applyAlignment="1" applyProtection="1">
      <alignment horizontal="center" vertical="center"/>
      <protection locked="0"/>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0.96491228070175439</v>
          </cell>
          <cell r="E1752">
            <v>0.40350877192982454</v>
          </cell>
          <cell r="G1752">
            <v>0.96226415094339623</v>
          </cell>
          <cell r="I1752">
            <v>0.38596491228070173</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0.72727272727272729</v>
          </cell>
          <cell r="G505">
            <v>1</v>
          </cell>
          <cell r="I505">
            <v>1</v>
          </cell>
          <cell r="K505">
            <v>1</v>
          </cell>
          <cell r="M505">
            <v>0.8571428571428571</v>
          </cell>
          <cell r="P505">
            <v>0.7142857142857143</v>
          </cell>
        </row>
      </sheetData>
      <sheetData sheetId="8"/>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0.97674418604651159</v>
          </cell>
          <cell r="F893">
            <v>1</v>
          </cell>
          <cell r="H893">
            <v>1</v>
          </cell>
          <cell r="J893">
            <v>1</v>
          </cell>
          <cell r="L893">
            <v>0.87179487179487181</v>
          </cell>
          <cell r="N893">
            <v>0.80952380952380953</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2">
          <cell r="D632">
            <v>1</v>
          </cell>
          <cell r="F632">
            <v>0.96666666666666667</v>
          </cell>
          <cell r="H632">
            <v>1</v>
          </cell>
          <cell r="L632">
            <v>0.96551724137931039</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0.96666666666666667</v>
          </cell>
          <cell r="F624">
            <v>0.82758620689655171</v>
          </cell>
          <cell r="H624">
            <v>1</v>
          </cell>
          <cell r="J624">
            <v>0.967741935483871</v>
          </cell>
          <cell r="L624">
            <v>0.77419354838709675</v>
          </cell>
        </row>
      </sheetData>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7"/>
    </row>
    <row r="4" spans="1:5" ht="15.75" x14ac:dyDescent="0.25">
      <c r="A4" s="4" t="s">
        <v>87</v>
      </c>
      <c r="B4" s="5" t="s">
        <v>1</v>
      </c>
      <c r="C4" s="54">
        <f>'[12]FTR Brewhouse'!$E$846</f>
        <v>0.9178082191780822</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7"/>
    </row>
    <row r="22" spans="1:6" ht="15.75" x14ac:dyDescent="0.25">
      <c r="A22" s="4" t="s">
        <v>19</v>
      </c>
      <c r="B22" s="5" t="s">
        <v>1</v>
      </c>
      <c r="C22" s="54">
        <f>'[12]FTR Packaging'!$D$458</f>
        <v>1</v>
      </c>
      <c r="E22" s="157"/>
    </row>
    <row r="23" spans="1:6" ht="3.95" customHeight="1" x14ac:dyDescent="0.25">
      <c r="A23" s="7"/>
      <c r="B23" s="8"/>
      <c r="C23" s="53"/>
      <c r="E23" s="157"/>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7"/>
    </row>
    <row r="4" spans="1:5" ht="15.75" x14ac:dyDescent="0.25">
      <c r="A4" s="4" t="s">
        <v>87</v>
      </c>
      <c r="B4" s="5" t="s">
        <v>1</v>
      </c>
      <c r="C4" s="54">
        <f>'[12]FTR Brewhouse'!$E$1015</f>
        <v>0.90714285714285714</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7"/>
    </row>
    <row r="22" spans="1:5" ht="15.75" x14ac:dyDescent="0.25">
      <c r="A22" s="4" t="s">
        <v>19</v>
      </c>
      <c r="B22" s="5" t="s">
        <v>1</v>
      </c>
      <c r="C22" s="54">
        <f>'[12]FTR Packaging'!$D$553</f>
        <v>1</v>
      </c>
      <c r="E22" s="157"/>
    </row>
    <row r="23" spans="1:5" ht="3.95" customHeight="1" x14ac:dyDescent="0.25">
      <c r="A23" s="7"/>
      <c r="B23" s="8"/>
      <c r="C23" s="53"/>
      <c r="E23" s="157"/>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7"/>
    </row>
    <row r="4" spans="1:5" ht="15.75" x14ac:dyDescent="0.25">
      <c r="A4" s="4" t="s">
        <v>87</v>
      </c>
      <c r="B4" s="5" t="s">
        <v>1</v>
      </c>
      <c r="C4" s="54">
        <f>'[12]FTR Brewhouse'!$E$1569</f>
        <v>0.85981308411214952</v>
      </c>
      <c r="E4" s="157"/>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7"/>
    </row>
    <row r="25" spans="1:5" ht="15.75" x14ac:dyDescent="0.25">
      <c r="A25" s="1" t="s">
        <v>22</v>
      </c>
      <c r="B25" s="2" t="s">
        <v>1</v>
      </c>
      <c r="C25" s="108">
        <v>0.71599999999999997</v>
      </c>
      <c r="E25" s="157"/>
    </row>
    <row r="26" spans="1:5" ht="15.75" x14ac:dyDescent="0.25">
      <c r="A26" s="4" t="s">
        <v>23</v>
      </c>
      <c r="B26" s="2" t="s">
        <v>1</v>
      </c>
      <c r="C26" s="54">
        <v>1</v>
      </c>
      <c r="E26" s="157"/>
    </row>
    <row r="27" spans="1:5" ht="15.75" x14ac:dyDescent="0.25">
      <c r="A27" s="4" t="s">
        <v>24</v>
      </c>
      <c r="B27" s="2" t="s">
        <v>1</v>
      </c>
      <c r="C27" s="54">
        <v>0.71599999999999997</v>
      </c>
      <c r="E27" s="157"/>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7"/>
    </row>
    <row r="4" spans="1:5" ht="15.75" x14ac:dyDescent="0.25">
      <c r="A4" s="4" t="s">
        <v>29</v>
      </c>
      <c r="B4" s="5" t="s">
        <v>1</v>
      </c>
      <c r="C4" s="54">
        <f>'[13]FTR Brewhouse'!$E$3240</f>
        <v>0.50993377483443714</v>
      </c>
      <c r="E4" s="157"/>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7"/>
    </row>
    <row r="25" spans="1:5" ht="15.75" x14ac:dyDescent="0.25">
      <c r="A25" s="4" t="s">
        <v>19</v>
      </c>
      <c r="B25" s="5" t="s">
        <v>1</v>
      </c>
      <c r="C25" s="54">
        <f>'[13]FTR Packaging'!$D$1344</f>
        <v>0.96491228070175439</v>
      </c>
      <c r="E25" s="157"/>
    </row>
    <row r="26" spans="1:5" ht="15.75" x14ac:dyDescent="0.25">
      <c r="A26" s="4" t="s">
        <v>20</v>
      </c>
      <c r="B26" s="5" t="s">
        <v>1</v>
      </c>
      <c r="C26" s="54" t="e">
        <f>'[13]FTR Packaging'!$H$1344</f>
        <v>#DIV/0!</v>
      </c>
      <c r="E26" s="157"/>
    </row>
    <row r="27" spans="1:5" ht="3.95"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7"/>
    </row>
    <row r="4" spans="1:5" ht="15.75" x14ac:dyDescent="0.25">
      <c r="A4" s="4" t="s">
        <v>29</v>
      </c>
      <c r="B4" s="5" t="s">
        <v>1</v>
      </c>
      <c r="C4" s="54">
        <f>'[13]FTR Brewhouse'!$E$3401</f>
        <v>0.88970588235294112</v>
      </c>
      <c r="E4" s="157"/>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7"/>
    </row>
    <row r="25" spans="1:5" ht="15.75" x14ac:dyDescent="0.25">
      <c r="A25" s="4" t="s">
        <v>19</v>
      </c>
      <c r="B25" s="5" t="s">
        <v>1</v>
      </c>
      <c r="C25" s="54">
        <f>'[13]FTR Packaging'!$D$1422</f>
        <v>1</v>
      </c>
      <c r="E25" s="157"/>
    </row>
    <row r="26" spans="1:5" ht="15.75" x14ac:dyDescent="0.25">
      <c r="A26" s="4" t="s">
        <v>20</v>
      </c>
      <c r="B26" s="5" t="s">
        <v>1</v>
      </c>
      <c r="C26" s="54" t="e">
        <f>'[13]FTR Packaging'!$H$1422</f>
        <v>#DIV/0!</v>
      </c>
      <c r="E26" s="157"/>
    </row>
    <row r="27" spans="1:5" ht="14.25" hidden="1"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8"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9"/>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2"/>
      <c r="U5" s="162"/>
      <c r="V5" s="162"/>
      <c r="W5" s="162"/>
      <c r="X5" s="162"/>
      <c r="Y5" s="162"/>
      <c r="Z5" s="162"/>
      <c r="AA5" s="162"/>
      <c r="AB5" s="162"/>
      <c r="AC5" s="162"/>
      <c r="AD5" s="162"/>
      <c r="AE5" s="162"/>
      <c r="AF5" s="162"/>
    </row>
    <row r="6" spans="1:38" ht="17.25" customHeight="1" x14ac:dyDescent="0.25">
      <c r="A6" s="160"/>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3"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3"/>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3"/>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3"/>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3"/>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2" t="s">
        <v>82</v>
      </c>
      <c r="U11" s="162"/>
      <c r="V11" s="162"/>
      <c r="W11" s="162"/>
      <c r="X11" s="162"/>
      <c r="Y11" s="162"/>
      <c r="Z11" s="162"/>
      <c r="AA11" s="162"/>
      <c r="AB11" s="162"/>
      <c r="AC11" s="162"/>
      <c r="AD11" s="162"/>
      <c r="AE11" s="162"/>
      <c r="AF11" s="162"/>
      <c r="AG11" s="105"/>
      <c r="AH11" s="105"/>
      <c r="AI11" s="105"/>
      <c r="AJ11" s="105"/>
      <c r="AK11" s="105"/>
      <c r="AL11" s="105"/>
    </row>
    <row r="12" spans="1:38" ht="15.75" x14ac:dyDescent="0.25">
      <c r="A12" s="164"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4"/>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2" t="s">
        <v>85</v>
      </c>
      <c r="U13" s="162"/>
      <c r="V13" s="162"/>
      <c r="W13" s="162"/>
      <c r="X13" s="162"/>
      <c r="Y13" s="162"/>
      <c r="Z13" s="162"/>
      <c r="AA13" s="162"/>
      <c r="AB13" s="162"/>
      <c r="AC13" s="162"/>
      <c r="AD13" s="162"/>
      <c r="AE13" s="162"/>
      <c r="AF13" s="162"/>
    </row>
    <row r="14" spans="1:38" ht="15.75" x14ac:dyDescent="0.25">
      <c r="A14" s="164"/>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4"/>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5"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1" t="s">
        <v>83</v>
      </c>
      <c r="U16" s="161"/>
      <c r="V16" s="161"/>
      <c r="W16" s="161"/>
      <c r="X16" s="161"/>
      <c r="Y16" s="161"/>
      <c r="Z16" s="161"/>
      <c r="AA16" s="161"/>
      <c r="AB16" s="161"/>
      <c r="AC16" s="161"/>
      <c r="AD16" s="161"/>
      <c r="AE16" s="161"/>
      <c r="AF16" s="161"/>
    </row>
    <row r="17" spans="1:32" ht="25.5" customHeight="1" x14ac:dyDescent="0.25">
      <c r="A17" s="165"/>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5"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5"/>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6"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2"/>
      <c r="U20" s="162"/>
      <c r="V20" s="162"/>
      <c r="W20" s="162"/>
      <c r="X20" s="162"/>
      <c r="Y20" s="162"/>
      <c r="Z20" s="162"/>
      <c r="AA20" s="162"/>
      <c r="AB20" s="162"/>
      <c r="AC20" s="162"/>
      <c r="AD20" s="162"/>
      <c r="AE20" s="162"/>
      <c r="AF20" s="162"/>
    </row>
    <row r="21" spans="1:32" ht="15.75" x14ac:dyDescent="0.25">
      <c r="A21" s="166"/>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6"/>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7"/>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2" zoomScale="110" zoomScaleNormal="110" workbookViewId="0">
      <selection activeCell="S35" sqref="S35"/>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0.38596491228070173</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0.96491228070175439</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0.40350877192982454</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0.96226415094339623</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0.7142857142857143</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0.72727272727272729</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0.8571428571428571</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0.80952380952380953</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0.97674418604651159</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0.87179487179487181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Packaging'!$L$632</f>
        <v>0.96551724137931039</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Packaging'!$F$632</f>
        <v>0.96666666666666667</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Packaging'!$D$632</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Packaging'!$H$632</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Packaging'!$L$632</f>
        <v>0.96551724137931039</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156">
        <v>0.85</v>
      </c>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0.77419354838709675</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0.967741935483871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0.82758620689655171</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0.96666666666666667</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(L2+L8+L16+L24+L31+L36)/6</f>
        <v>0.74991420430943878</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0.71819810284622432</v>
      </c>
      <c r="M43" s="144">
        <f>AVERAGE($C$42:M42)</f>
        <v>0.72402257780275903</v>
      </c>
      <c r="N43" s="144">
        <f>AVERAGE($C$42:N42)</f>
        <v>0.7275435151695625</v>
      </c>
      <c r="O43" s="143">
        <f t="shared" ref="O43" si="2">AVERAGE(L42,M42,N42,O42,K42)</f>
        <v>0.7500850009932335</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7" t="s">
        <v>32</v>
      </c>
    </row>
    <row r="4" spans="1:5" ht="15.75" x14ac:dyDescent="0.25">
      <c r="A4" s="4" t="s">
        <v>29</v>
      </c>
      <c r="B4" s="5" t="s">
        <v>1</v>
      </c>
      <c r="C4" s="16">
        <v>94.9</v>
      </c>
      <c r="E4" s="157"/>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7" t="s">
        <v>33</v>
      </c>
    </row>
    <row r="25" spans="1:5" ht="15.75" x14ac:dyDescent="0.25">
      <c r="A25" s="4" t="s">
        <v>18</v>
      </c>
      <c r="B25" s="5" t="s">
        <v>1</v>
      </c>
      <c r="C25" s="6">
        <v>88.9</v>
      </c>
      <c r="E25" s="157"/>
    </row>
    <row r="26" spans="1:5" ht="15.75" x14ac:dyDescent="0.25">
      <c r="A26" s="4" t="s">
        <v>19</v>
      </c>
      <c r="B26" s="5" t="s">
        <v>1</v>
      </c>
      <c r="C26" s="6">
        <v>88.9</v>
      </c>
      <c r="E26" s="157"/>
    </row>
    <row r="27" spans="1:5" ht="15.75" x14ac:dyDescent="0.25">
      <c r="A27" s="4" t="s">
        <v>20</v>
      </c>
      <c r="B27" s="5" t="s">
        <v>1</v>
      </c>
      <c r="C27" s="6">
        <v>88.9</v>
      </c>
      <c r="E27" s="157"/>
    </row>
    <row r="28" spans="1:5" ht="3.95" customHeight="1" x14ac:dyDescent="0.25">
      <c r="A28" s="7"/>
      <c r="B28" s="8"/>
      <c r="C28" s="9"/>
      <c r="E28" s="157"/>
    </row>
    <row r="29" spans="1:5" ht="15.75" x14ac:dyDescent="0.25">
      <c r="A29" s="13" t="s">
        <v>21</v>
      </c>
      <c r="B29" s="2"/>
      <c r="C29" s="14">
        <v>70</v>
      </c>
      <c r="E29" s="157"/>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Onika Lett</cp:lastModifiedBy>
  <cp:lastPrinted>2025-06-03T15:15:49Z</cp:lastPrinted>
  <dcterms:created xsi:type="dcterms:W3CDTF">2017-05-24T17:19:13Z</dcterms:created>
  <dcterms:modified xsi:type="dcterms:W3CDTF">2026-10-20T13:37:19Z</dcterms:modified>
</cp:coreProperties>
</file>